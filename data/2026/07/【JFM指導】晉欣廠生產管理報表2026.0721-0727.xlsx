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0" windowHeight="13170" tabRatio="899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25" l="1"/>
  <c r="A8" i="25"/>
  <c r="S81" i="37"/>
  <c r="S80" i="37"/>
  <c r="S79" i="37"/>
  <c r="S78" i="37"/>
  <c r="S77" i="37"/>
  <c r="S76" i="37"/>
  <c r="S75" i="37"/>
  <c r="S74" i="37"/>
  <c r="S73" i="37"/>
  <c r="S72" i="37"/>
  <c r="S71" i="37"/>
  <c r="S70" i="37"/>
  <c r="S69" i="37"/>
  <c r="S68" i="37"/>
  <c r="T67" i="37"/>
  <c r="S67" i="37"/>
  <c r="X81" i="37"/>
  <c r="X80" i="37"/>
  <c r="X79" i="37"/>
  <c r="X78" i="37"/>
  <c r="X77" i="37"/>
  <c r="X76" i="37"/>
  <c r="X75" i="37"/>
  <c r="X74" i="37"/>
  <c r="X73" i="37"/>
  <c r="X72" i="37"/>
  <c r="X71" i="37"/>
  <c r="X70" i="37"/>
  <c r="X69" i="37"/>
  <c r="X68" i="37"/>
  <c r="Y67" i="37"/>
  <c r="X67" i="37"/>
  <c r="AC81" i="37"/>
  <c r="AC80" i="37"/>
  <c r="AC79" i="37"/>
  <c r="AC78" i="37"/>
  <c r="AC77" i="37"/>
  <c r="AC76" i="37"/>
  <c r="AC75" i="37"/>
  <c r="AC74" i="37"/>
  <c r="AC73" i="37"/>
  <c r="AC72" i="37"/>
  <c r="AC71" i="37"/>
  <c r="AC70" i="37"/>
  <c r="AC69" i="37"/>
  <c r="AC68" i="37"/>
  <c r="AD67" i="37"/>
  <c r="AC67" i="37"/>
  <c r="AH81" i="37"/>
  <c r="AH80" i="37"/>
  <c r="AH79" i="37"/>
  <c r="AH78" i="37"/>
  <c r="AH77" i="37"/>
  <c r="AH76" i="37"/>
  <c r="AH75" i="37"/>
  <c r="AH74" i="37"/>
  <c r="AH73" i="37"/>
  <c r="AH72" i="37"/>
  <c r="AH71" i="37"/>
  <c r="AH70" i="37"/>
  <c r="AH69" i="37"/>
  <c r="AH68" i="37"/>
  <c r="AI67" i="37"/>
  <c r="AH67" i="37"/>
  <c r="AM81" i="37"/>
  <c r="AM80" i="37"/>
  <c r="AM79" i="37"/>
  <c r="AM78" i="37"/>
  <c r="AM77" i="37"/>
  <c r="AM76" i="37"/>
  <c r="AM75" i="37"/>
  <c r="AM74" i="37"/>
  <c r="AM73" i="37"/>
  <c r="AM72" i="37"/>
  <c r="AM71" i="37"/>
  <c r="AM70" i="37"/>
  <c r="AM69" i="37"/>
  <c r="AM68" i="37"/>
  <c r="AN67" i="37"/>
  <c r="AM67" i="37"/>
  <c r="AR81" i="37"/>
  <c r="AR80" i="37"/>
  <c r="AR79" i="37"/>
  <c r="AR78" i="37"/>
  <c r="AR77" i="37"/>
  <c r="AR76" i="37"/>
  <c r="AR75" i="37"/>
  <c r="AR74" i="37"/>
  <c r="AR73" i="37"/>
  <c r="AR72" i="37"/>
  <c r="AR71" i="37"/>
  <c r="AR70" i="37"/>
  <c r="AR69" i="37"/>
  <c r="AR68" i="37"/>
  <c r="AS67" i="37"/>
  <c r="AR67" i="37"/>
  <c r="AW81" i="37"/>
  <c r="AW80" i="37"/>
  <c r="AW79" i="37"/>
  <c r="AW78" i="37"/>
  <c r="AW77" i="37"/>
  <c r="AW76" i="37"/>
  <c r="AW75" i="37"/>
  <c r="AW74" i="37"/>
  <c r="AW73" i="37"/>
  <c r="AW72" i="37"/>
  <c r="AW71" i="37"/>
  <c r="AW70" i="37"/>
  <c r="AW69" i="37"/>
  <c r="AW68" i="37"/>
  <c r="AX67" i="37"/>
  <c r="AW67" i="37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T67" i="36"/>
  <c r="S67" i="36"/>
  <c r="X81" i="36"/>
  <c r="X80" i="36"/>
  <c r="X79" i="36"/>
  <c r="X78" i="36"/>
  <c r="X77" i="36"/>
  <c r="X76" i="36"/>
  <c r="X75" i="36"/>
  <c r="X74" i="36"/>
  <c r="X73" i="36"/>
  <c r="X72" i="36"/>
  <c r="X71" i="36"/>
  <c r="X70" i="36"/>
  <c r="X69" i="36"/>
  <c r="X68" i="36"/>
  <c r="Y67" i="36"/>
  <c r="X67" i="36"/>
  <c r="AC81" i="36"/>
  <c r="AC80" i="36"/>
  <c r="AC79" i="36"/>
  <c r="AC78" i="36"/>
  <c r="AC77" i="36"/>
  <c r="AC76" i="36"/>
  <c r="AC75" i="36"/>
  <c r="AC74" i="36"/>
  <c r="AC73" i="36"/>
  <c r="AC72" i="36"/>
  <c r="AC71" i="36"/>
  <c r="AC70" i="36"/>
  <c r="AC69" i="36"/>
  <c r="AC68" i="36"/>
  <c r="AD67" i="36"/>
  <c r="AC67" i="36"/>
  <c r="AH81" i="36"/>
  <c r="AH80" i="36"/>
  <c r="AH79" i="36"/>
  <c r="AH78" i="36"/>
  <c r="AH77" i="36"/>
  <c r="AH76" i="36"/>
  <c r="AH75" i="36"/>
  <c r="AH74" i="36"/>
  <c r="AH73" i="36"/>
  <c r="AH72" i="36"/>
  <c r="AH71" i="36"/>
  <c r="AH70" i="36"/>
  <c r="AH69" i="36"/>
  <c r="AH68" i="36"/>
  <c r="AI67" i="36"/>
  <c r="AH67" i="36"/>
  <c r="AM81" i="36"/>
  <c r="AM80" i="36"/>
  <c r="AM79" i="36"/>
  <c r="AM78" i="36"/>
  <c r="AM77" i="36"/>
  <c r="AM76" i="36"/>
  <c r="AM75" i="36"/>
  <c r="AM74" i="36"/>
  <c r="AM73" i="36"/>
  <c r="AM72" i="36"/>
  <c r="AM71" i="36"/>
  <c r="AM70" i="36"/>
  <c r="AM69" i="36"/>
  <c r="AM68" i="36"/>
  <c r="AN67" i="36"/>
  <c r="AM67" i="36"/>
  <c r="AR81" i="36"/>
  <c r="AR80" i="36"/>
  <c r="AR79" i="36"/>
  <c r="AR78" i="36"/>
  <c r="AR77" i="36"/>
  <c r="AR76" i="36"/>
  <c r="AR75" i="36"/>
  <c r="AR74" i="36"/>
  <c r="AR73" i="36"/>
  <c r="AR72" i="36"/>
  <c r="AR71" i="36"/>
  <c r="AR70" i="36"/>
  <c r="AR69" i="36"/>
  <c r="AR68" i="36"/>
  <c r="AS67" i="36"/>
  <c r="AR67" i="36"/>
  <c r="AW81" i="36"/>
  <c r="AW80" i="36"/>
  <c r="AW79" i="36"/>
  <c r="AW78" i="36"/>
  <c r="AW77" i="36"/>
  <c r="AW76" i="36"/>
  <c r="AW75" i="36"/>
  <c r="AW74" i="36"/>
  <c r="AW73" i="36"/>
  <c r="AW72" i="36"/>
  <c r="AW71" i="36"/>
  <c r="AW70" i="36"/>
  <c r="AW69" i="36"/>
  <c r="AW68" i="36"/>
  <c r="AX67" i="36"/>
  <c r="AW67" i="36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T47" i="35"/>
  <c r="S47" i="35"/>
  <c r="X61" i="35"/>
  <c r="X60" i="35"/>
  <c r="X59" i="35"/>
  <c r="X58" i="35"/>
  <c r="X57" i="35"/>
  <c r="X56" i="35"/>
  <c r="X55" i="35"/>
  <c r="X54" i="35"/>
  <c r="X53" i="35"/>
  <c r="X52" i="35"/>
  <c r="X51" i="35"/>
  <c r="X50" i="35"/>
  <c r="X49" i="35"/>
  <c r="X48" i="35"/>
  <c r="Y47" i="35"/>
  <c r="X47" i="35"/>
  <c r="AC61" i="35"/>
  <c r="AC60" i="35"/>
  <c r="AC59" i="35"/>
  <c r="AC58" i="35"/>
  <c r="AC57" i="35"/>
  <c r="AC56" i="35"/>
  <c r="AC55" i="35"/>
  <c r="AC54" i="35"/>
  <c r="AC53" i="35"/>
  <c r="AC52" i="35"/>
  <c r="AC51" i="35"/>
  <c r="AC50" i="35"/>
  <c r="AC49" i="35"/>
  <c r="AC48" i="35"/>
  <c r="AD47" i="35"/>
  <c r="AC47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I47" i="35"/>
  <c r="AH47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N47" i="35"/>
  <c r="AM47" i="35"/>
  <c r="AR61" i="35"/>
  <c r="AR60" i="35"/>
  <c r="AR59" i="35"/>
  <c r="AR58" i="35"/>
  <c r="AR57" i="35"/>
  <c r="AR56" i="35"/>
  <c r="AR55" i="35"/>
  <c r="AR54" i="35"/>
  <c r="AR53" i="35"/>
  <c r="AR52" i="35"/>
  <c r="AR51" i="35"/>
  <c r="AR50" i="35"/>
  <c r="AR49" i="35"/>
  <c r="AR48" i="35"/>
  <c r="AS47" i="35"/>
  <c r="AR47" i="35"/>
  <c r="AW61" i="35"/>
  <c r="AW60" i="35"/>
  <c r="AW59" i="35"/>
  <c r="AW58" i="35"/>
  <c r="AW57" i="35"/>
  <c r="AW56" i="35"/>
  <c r="AW55" i="35"/>
  <c r="AW54" i="35"/>
  <c r="AW53" i="35"/>
  <c r="AW52" i="35"/>
  <c r="AW51" i="35"/>
  <c r="AW50" i="35"/>
  <c r="AW49" i="35"/>
  <c r="AW48" i="35"/>
  <c r="AX47" i="35"/>
  <c r="AW47" i="35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T67" i="35"/>
  <c r="S67" i="35"/>
  <c r="X81" i="35"/>
  <c r="X80" i="35"/>
  <c r="X79" i="35"/>
  <c r="X78" i="35"/>
  <c r="X77" i="35"/>
  <c r="X76" i="35"/>
  <c r="X75" i="35"/>
  <c r="X74" i="35"/>
  <c r="X73" i="35"/>
  <c r="X72" i="35"/>
  <c r="X71" i="35"/>
  <c r="X70" i="35"/>
  <c r="X69" i="35"/>
  <c r="X68" i="35"/>
  <c r="Y67" i="35"/>
  <c r="X67" i="35"/>
  <c r="AC81" i="35"/>
  <c r="AC80" i="35"/>
  <c r="AC79" i="35"/>
  <c r="AC78" i="35"/>
  <c r="AC77" i="35"/>
  <c r="AC76" i="35"/>
  <c r="AC75" i="35"/>
  <c r="AC74" i="35"/>
  <c r="AC73" i="35"/>
  <c r="AC72" i="35"/>
  <c r="AC71" i="35"/>
  <c r="AC70" i="35"/>
  <c r="AC69" i="35"/>
  <c r="AC68" i="35"/>
  <c r="AD67" i="35"/>
  <c r="AC67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I67" i="35"/>
  <c r="AH67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N67" i="35"/>
  <c r="AM67" i="35"/>
  <c r="AR81" i="35"/>
  <c r="AR80" i="35"/>
  <c r="AR79" i="35"/>
  <c r="AR78" i="35"/>
  <c r="AR77" i="35"/>
  <c r="AR76" i="35"/>
  <c r="AR75" i="35"/>
  <c r="AR74" i="35"/>
  <c r="AR73" i="35"/>
  <c r="AR72" i="35"/>
  <c r="AR71" i="35"/>
  <c r="AR70" i="35"/>
  <c r="AR69" i="35"/>
  <c r="AR68" i="35"/>
  <c r="AS67" i="35"/>
  <c r="AR67" i="35"/>
  <c r="AW81" i="35"/>
  <c r="AW80" i="35"/>
  <c r="AW79" i="35"/>
  <c r="AW78" i="35"/>
  <c r="AW77" i="35"/>
  <c r="AW76" i="35"/>
  <c r="AW75" i="35"/>
  <c r="AW74" i="35"/>
  <c r="AW73" i="35"/>
  <c r="AW72" i="35"/>
  <c r="AW71" i="35"/>
  <c r="AW70" i="35"/>
  <c r="AW69" i="35"/>
  <c r="AW68" i="35"/>
  <c r="AX67" i="35"/>
  <c r="AW67" i="35"/>
  <c r="S81" i="34"/>
  <c r="S80" i="34"/>
  <c r="S79" i="34"/>
  <c r="S78" i="34"/>
  <c r="S77" i="34"/>
  <c r="S76" i="34"/>
  <c r="S75" i="34"/>
  <c r="S74" i="34"/>
  <c r="S73" i="34"/>
  <c r="S72" i="34"/>
  <c r="S71" i="34"/>
  <c r="S70" i="34"/>
  <c r="S69" i="34"/>
  <c r="S68" i="34"/>
  <c r="T67" i="34"/>
  <c r="S67" i="34"/>
  <c r="X81" i="34"/>
  <c r="X80" i="34"/>
  <c r="X79" i="34"/>
  <c r="X78" i="34"/>
  <c r="X77" i="34"/>
  <c r="X76" i="34"/>
  <c r="X75" i="34"/>
  <c r="X74" i="34"/>
  <c r="X73" i="34"/>
  <c r="X72" i="34"/>
  <c r="X71" i="34"/>
  <c r="X70" i="34"/>
  <c r="X69" i="34"/>
  <c r="X68" i="34"/>
  <c r="Y67" i="34"/>
  <c r="X67" i="34"/>
  <c r="AC81" i="34"/>
  <c r="AC80" i="34"/>
  <c r="AC79" i="34"/>
  <c r="AC78" i="34"/>
  <c r="AC77" i="34"/>
  <c r="AC76" i="34"/>
  <c r="AC75" i="34"/>
  <c r="AC74" i="34"/>
  <c r="AC73" i="34"/>
  <c r="AC72" i="34"/>
  <c r="AC71" i="34"/>
  <c r="AC70" i="34"/>
  <c r="AC69" i="34"/>
  <c r="AC68" i="34"/>
  <c r="AD67" i="34"/>
  <c r="AC67" i="34"/>
  <c r="AH81" i="34"/>
  <c r="AH80" i="34"/>
  <c r="AH79" i="34"/>
  <c r="AH78" i="34"/>
  <c r="AH77" i="34"/>
  <c r="AH76" i="34"/>
  <c r="AH75" i="34"/>
  <c r="AH74" i="34"/>
  <c r="AH73" i="34"/>
  <c r="AH72" i="34"/>
  <c r="AH71" i="34"/>
  <c r="AH70" i="34"/>
  <c r="AH69" i="34"/>
  <c r="AH68" i="34"/>
  <c r="AI67" i="34"/>
  <c r="AH67" i="34"/>
  <c r="AM81" i="34"/>
  <c r="AM80" i="34"/>
  <c r="AM79" i="34"/>
  <c r="AM78" i="34"/>
  <c r="AM77" i="34"/>
  <c r="AM76" i="34"/>
  <c r="AM75" i="34"/>
  <c r="AM74" i="34"/>
  <c r="AM73" i="34"/>
  <c r="AM72" i="34"/>
  <c r="AM71" i="34"/>
  <c r="AM70" i="34"/>
  <c r="AM69" i="34"/>
  <c r="AM68" i="34"/>
  <c r="AN67" i="34"/>
  <c r="AM67" i="34"/>
  <c r="AR81" i="34"/>
  <c r="AR80" i="34"/>
  <c r="AR79" i="34"/>
  <c r="AR78" i="34"/>
  <c r="AR77" i="34"/>
  <c r="AR76" i="34"/>
  <c r="AR75" i="34"/>
  <c r="AR74" i="34"/>
  <c r="AR73" i="34"/>
  <c r="AR72" i="34"/>
  <c r="AR71" i="34"/>
  <c r="AR70" i="34"/>
  <c r="AR69" i="34"/>
  <c r="AR68" i="34"/>
  <c r="AS67" i="34"/>
  <c r="AR67" i="34"/>
  <c r="AW81" i="34"/>
  <c r="AW80" i="34"/>
  <c r="AW79" i="34"/>
  <c r="AW78" i="34"/>
  <c r="AW77" i="34"/>
  <c r="AW76" i="34"/>
  <c r="AW75" i="34"/>
  <c r="AW74" i="34"/>
  <c r="AW73" i="34"/>
  <c r="AW72" i="34"/>
  <c r="AW71" i="34"/>
  <c r="AW70" i="34"/>
  <c r="AW69" i="34"/>
  <c r="AW68" i="34"/>
  <c r="AX67" i="34"/>
  <c r="AW67" i="34"/>
  <c r="S141" i="33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T112" i="33"/>
  <c r="S112" i="33"/>
  <c r="X141" i="33"/>
  <c r="X140" i="33"/>
  <c r="X139" i="33"/>
  <c r="X138" i="33"/>
  <c r="X137" i="33"/>
  <c r="X136" i="33"/>
  <c r="X135" i="33"/>
  <c r="X134" i="33"/>
  <c r="X133" i="33"/>
  <c r="X132" i="33"/>
  <c r="X131" i="33"/>
  <c r="X130" i="33"/>
  <c r="X129" i="33"/>
  <c r="X128" i="33"/>
  <c r="X127" i="33"/>
  <c r="X126" i="33"/>
  <c r="X125" i="33"/>
  <c r="X124" i="33"/>
  <c r="X123" i="33"/>
  <c r="X122" i="33"/>
  <c r="X121" i="33"/>
  <c r="X120" i="33"/>
  <c r="X119" i="33"/>
  <c r="X118" i="33"/>
  <c r="X117" i="33"/>
  <c r="X116" i="33"/>
  <c r="X115" i="33"/>
  <c r="X114" i="33"/>
  <c r="X113" i="33"/>
  <c r="Y112" i="33"/>
  <c r="X112" i="33"/>
  <c r="AC141" i="33"/>
  <c r="AC140" i="33"/>
  <c r="AC139" i="33"/>
  <c r="AC138" i="33"/>
  <c r="AC137" i="33"/>
  <c r="AC136" i="33"/>
  <c r="AC135" i="33"/>
  <c r="AC134" i="33"/>
  <c r="AC133" i="33"/>
  <c r="AC132" i="33"/>
  <c r="AC131" i="33"/>
  <c r="AC130" i="33"/>
  <c r="AC129" i="33"/>
  <c r="AC128" i="33"/>
  <c r="AC127" i="33"/>
  <c r="AC126" i="33"/>
  <c r="AC125" i="33"/>
  <c r="AC124" i="33"/>
  <c r="AC123" i="33"/>
  <c r="AC122" i="33"/>
  <c r="AC121" i="33"/>
  <c r="AC120" i="33"/>
  <c r="AC119" i="33"/>
  <c r="AC118" i="33"/>
  <c r="AC117" i="33"/>
  <c r="AC116" i="33"/>
  <c r="AC115" i="33"/>
  <c r="AC114" i="33"/>
  <c r="AC113" i="33"/>
  <c r="AD112" i="33"/>
  <c r="AC112" i="33"/>
  <c r="AH141" i="33"/>
  <c r="AH140" i="33"/>
  <c r="AH139" i="33"/>
  <c r="AH138" i="33"/>
  <c r="AH137" i="33"/>
  <c r="AH136" i="33"/>
  <c r="AH135" i="33"/>
  <c r="AH134" i="33"/>
  <c r="AH133" i="33"/>
  <c r="AH132" i="33"/>
  <c r="AH131" i="33"/>
  <c r="AH130" i="33"/>
  <c r="AH129" i="33"/>
  <c r="AH128" i="33"/>
  <c r="AH127" i="33"/>
  <c r="AH126" i="33"/>
  <c r="AH125" i="33"/>
  <c r="AH124" i="33"/>
  <c r="AH123" i="33"/>
  <c r="AH122" i="33"/>
  <c r="AH121" i="33"/>
  <c r="AH120" i="33"/>
  <c r="AH119" i="33"/>
  <c r="AH118" i="33"/>
  <c r="AH117" i="33"/>
  <c r="AH116" i="33"/>
  <c r="AH115" i="33"/>
  <c r="AH114" i="33"/>
  <c r="AH113" i="33"/>
  <c r="AI112" i="33"/>
  <c r="AH112" i="33"/>
  <c r="AM141" i="33"/>
  <c r="AM140" i="33"/>
  <c r="AM139" i="33"/>
  <c r="AM138" i="33"/>
  <c r="AM137" i="33"/>
  <c r="AM136" i="33"/>
  <c r="AM135" i="33"/>
  <c r="AM134" i="33"/>
  <c r="AM133" i="33"/>
  <c r="AM132" i="33"/>
  <c r="AM131" i="33"/>
  <c r="AM130" i="33"/>
  <c r="AM129" i="33"/>
  <c r="AM128" i="33"/>
  <c r="AM127" i="33"/>
  <c r="AM126" i="33"/>
  <c r="AM125" i="33"/>
  <c r="AM124" i="33"/>
  <c r="AM123" i="33"/>
  <c r="AM122" i="33"/>
  <c r="AM121" i="33"/>
  <c r="AM120" i="33"/>
  <c r="AM119" i="33"/>
  <c r="AM118" i="33"/>
  <c r="AM117" i="33"/>
  <c r="AM116" i="33"/>
  <c r="AM115" i="33"/>
  <c r="AM114" i="33"/>
  <c r="AM113" i="33"/>
  <c r="AN112" i="33"/>
  <c r="AM112" i="33"/>
  <c r="AR141" i="33"/>
  <c r="AR140" i="33"/>
  <c r="AR139" i="33"/>
  <c r="AR138" i="33"/>
  <c r="AR137" i="33"/>
  <c r="AR136" i="33"/>
  <c r="AR135" i="33"/>
  <c r="AR134" i="33"/>
  <c r="AR133" i="33"/>
  <c r="AR132" i="33"/>
  <c r="AR131" i="33"/>
  <c r="AR130" i="33"/>
  <c r="AR129" i="33"/>
  <c r="AR128" i="33"/>
  <c r="AR127" i="33"/>
  <c r="AR126" i="33"/>
  <c r="AR125" i="33"/>
  <c r="AR124" i="33"/>
  <c r="AR123" i="33"/>
  <c r="AR122" i="33"/>
  <c r="AR121" i="33"/>
  <c r="AR120" i="33"/>
  <c r="AR119" i="33"/>
  <c r="AR118" i="33"/>
  <c r="AR117" i="33"/>
  <c r="AR116" i="33"/>
  <c r="AR115" i="33"/>
  <c r="AR114" i="33"/>
  <c r="AR113" i="33"/>
  <c r="AS112" i="33"/>
  <c r="AR112" i="33"/>
  <c r="AW141" i="33"/>
  <c r="AW140" i="33"/>
  <c r="AW139" i="33"/>
  <c r="AW138" i="33"/>
  <c r="AW137" i="33"/>
  <c r="AW136" i="33"/>
  <c r="AW135" i="33"/>
  <c r="AW134" i="33"/>
  <c r="AW133" i="33"/>
  <c r="AW132" i="33"/>
  <c r="AW131" i="33"/>
  <c r="AW130" i="33"/>
  <c r="AW129" i="33"/>
  <c r="AW128" i="33"/>
  <c r="AW127" i="33"/>
  <c r="AW126" i="33"/>
  <c r="AW125" i="33"/>
  <c r="AW124" i="33"/>
  <c r="AW123" i="33"/>
  <c r="AW122" i="33"/>
  <c r="AW121" i="33"/>
  <c r="AW120" i="33"/>
  <c r="AW119" i="33"/>
  <c r="AW118" i="33"/>
  <c r="AW117" i="33"/>
  <c r="AW116" i="33"/>
  <c r="AW115" i="33"/>
  <c r="AW114" i="33"/>
  <c r="AW113" i="33"/>
  <c r="AX112" i="33"/>
  <c r="AW112" i="33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X81" i="31"/>
  <c r="X80" i="31"/>
  <c r="X79" i="31"/>
  <c r="X78" i="31"/>
  <c r="X77" i="31"/>
  <c r="X76" i="31"/>
  <c r="X75" i="31"/>
  <c r="X74" i="31"/>
  <c r="X73" i="31"/>
  <c r="X72" i="31"/>
  <c r="X71" i="31"/>
  <c r="X70" i="31"/>
  <c r="X69" i="31"/>
  <c r="X68" i="31"/>
  <c r="Y67" i="31"/>
  <c r="X67" i="31"/>
  <c r="AC81" i="31"/>
  <c r="AC80" i="31"/>
  <c r="AC79" i="31"/>
  <c r="AC78" i="31"/>
  <c r="AC77" i="31"/>
  <c r="AC76" i="31"/>
  <c r="AC75" i="31"/>
  <c r="AC74" i="31"/>
  <c r="AC73" i="31"/>
  <c r="AC72" i="31"/>
  <c r="AC71" i="31"/>
  <c r="AC70" i="31"/>
  <c r="AC69" i="31"/>
  <c r="AC68" i="31"/>
  <c r="AD67" i="31"/>
  <c r="AC67" i="31"/>
  <c r="AH81" i="31"/>
  <c r="AH80" i="31"/>
  <c r="AH79" i="31"/>
  <c r="AH78" i="31"/>
  <c r="AH77" i="31"/>
  <c r="AH76" i="31"/>
  <c r="AH75" i="31"/>
  <c r="AH74" i="31"/>
  <c r="AH73" i="31"/>
  <c r="AH72" i="31"/>
  <c r="AH71" i="31"/>
  <c r="AH70" i="31"/>
  <c r="AH69" i="31"/>
  <c r="AH68" i="31"/>
  <c r="AI67" i="31"/>
  <c r="AH67" i="31"/>
  <c r="AM81" i="31"/>
  <c r="AM80" i="31"/>
  <c r="AM79" i="31"/>
  <c r="AM78" i="31"/>
  <c r="AM77" i="31"/>
  <c r="AM76" i="31"/>
  <c r="AM75" i="31"/>
  <c r="AM74" i="31"/>
  <c r="AM73" i="31"/>
  <c r="AM72" i="31"/>
  <c r="AM71" i="31"/>
  <c r="AM70" i="31"/>
  <c r="AM69" i="31"/>
  <c r="AM68" i="31"/>
  <c r="AN67" i="31"/>
  <c r="AM67" i="31"/>
  <c r="AR81" i="31"/>
  <c r="AR80" i="31"/>
  <c r="AR79" i="31"/>
  <c r="AR78" i="31"/>
  <c r="AR77" i="31"/>
  <c r="AR76" i="31"/>
  <c r="AR75" i="31"/>
  <c r="AR74" i="31"/>
  <c r="AR73" i="31"/>
  <c r="AR72" i="31"/>
  <c r="AR71" i="31"/>
  <c r="AR70" i="31"/>
  <c r="AR69" i="31"/>
  <c r="AR68" i="31"/>
  <c r="AS67" i="31"/>
  <c r="AR67" i="31"/>
  <c r="AW81" i="31"/>
  <c r="AW80" i="31"/>
  <c r="AW79" i="31"/>
  <c r="AW78" i="31"/>
  <c r="AW77" i="31"/>
  <c r="AW76" i="31"/>
  <c r="AW75" i="31"/>
  <c r="AW74" i="31"/>
  <c r="AW73" i="31"/>
  <c r="AW72" i="31"/>
  <c r="AW71" i="31"/>
  <c r="AW70" i="31"/>
  <c r="AW69" i="31"/>
  <c r="AW68" i="31"/>
  <c r="AX67" i="31"/>
  <c r="AW67" i="31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T67" i="32"/>
  <c r="S67" i="32"/>
  <c r="X81" i="32"/>
  <c r="X80" i="32"/>
  <c r="X79" i="32"/>
  <c r="X78" i="32"/>
  <c r="X77" i="32"/>
  <c r="X76" i="32"/>
  <c r="X75" i="32"/>
  <c r="X74" i="32"/>
  <c r="X73" i="32"/>
  <c r="X72" i="32"/>
  <c r="X71" i="32"/>
  <c r="X70" i="32"/>
  <c r="X69" i="32"/>
  <c r="X68" i="32"/>
  <c r="Y67" i="32"/>
  <c r="X67" i="32"/>
  <c r="AC81" i="32"/>
  <c r="AC80" i="32"/>
  <c r="AC79" i="32"/>
  <c r="AC78" i="32"/>
  <c r="AC77" i="32"/>
  <c r="AC76" i="32"/>
  <c r="AC75" i="32"/>
  <c r="AC74" i="32"/>
  <c r="AC73" i="32"/>
  <c r="AC72" i="32"/>
  <c r="AC71" i="32"/>
  <c r="AC70" i="32"/>
  <c r="AC69" i="32"/>
  <c r="AC68" i="32"/>
  <c r="AD67" i="32"/>
  <c r="AC67" i="32"/>
  <c r="AH81" i="32"/>
  <c r="AH80" i="32"/>
  <c r="AH79" i="32"/>
  <c r="AH78" i="32"/>
  <c r="AH77" i="32"/>
  <c r="AH76" i="32"/>
  <c r="AH75" i="32"/>
  <c r="AH74" i="32"/>
  <c r="AH73" i="32"/>
  <c r="AH72" i="32"/>
  <c r="AH71" i="32"/>
  <c r="AH70" i="32"/>
  <c r="AH69" i="32"/>
  <c r="AH68" i="32"/>
  <c r="AI67" i="32"/>
  <c r="AH67" i="32"/>
  <c r="AM81" i="32"/>
  <c r="AM80" i="32"/>
  <c r="AM79" i="32"/>
  <c r="AM78" i="32"/>
  <c r="AM77" i="32"/>
  <c r="AM76" i="32"/>
  <c r="AM75" i="32"/>
  <c r="AM74" i="32"/>
  <c r="AM73" i="32"/>
  <c r="AM72" i="32"/>
  <c r="AM71" i="32"/>
  <c r="AM70" i="32"/>
  <c r="AM69" i="32"/>
  <c r="AM68" i="32"/>
  <c r="AN67" i="32"/>
  <c r="AM67" i="32"/>
  <c r="AR81" i="32"/>
  <c r="AR80" i="32"/>
  <c r="AR79" i="32"/>
  <c r="AR78" i="32"/>
  <c r="AR77" i="32"/>
  <c r="AR76" i="32"/>
  <c r="AR75" i="32"/>
  <c r="AR74" i="32"/>
  <c r="AR73" i="32"/>
  <c r="AR72" i="32"/>
  <c r="AR71" i="32"/>
  <c r="AR70" i="32"/>
  <c r="AR69" i="32"/>
  <c r="AR68" i="32"/>
  <c r="AS67" i="32"/>
  <c r="AR67" i="32"/>
  <c r="AW81" i="32"/>
  <c r="AW80" i="32"/>
  <c r="AW79" i="32"/>
  <c r="AW78" i="32"/>
  <c r="AW77" i="32"/>
  <c r="AW76" i="32"/>
  <c r="AW75" i="32"/>
  <c r="AW74" i="32"/>
  <c r="AW73" i="32"/>
  <c r="AW72" i="32"/>
  <c r="AW71" i="32"/>
  <c r="AW70" i="32"/>
  <c r="AW69" i="32"/>
  <c r="AW68" i="32"/>
  <c r="AX67" i="32"/>
  <c r="AW67" i="32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T67" i="30"/>
  <c r="S67" i="30"/>
  <c r="X81" i="30"/>
  <c r="X80" i="30"/>
  <c r="X79" i="30"/>
  <c r="X78" i="30"/>
  <c r="X77" i="30"/>
  <c r="X76" i="30"/>
  <c r="X75" i="30"/>
  <c r="X74" i="30"/>
  <c r="X73" i="30"/>
  <c r="X72" i="30"/>
  <c r="X71" i="30"/>
  <c r="X70" i="30"/>
  <c r="X69" i="30"/>
  <c r="X68" i="30"/>
  <c r="Y67" i="30"/>
  <c r="X67" i="30"/>
  <c r="AC81" i="30"/>
  <c r="AC80" i="30"/>
  <c r="AC79" i="30"/>
  <c r="AC78" i="30"/>
  <c r="AC77" i="30"/>
  <c r="AC76" i="30"/>
  <c r="AC75" i="30"/>
  <c r="AC74" i="30"/>
  <c r="AC73" i="30"/>
  <c r="AC72" i="30"/>
  <c r="AC71" i="30"/>
  <c r="AC70" i="30"/>
  <c r="AC69" i="30"/>
  <c r="AC68" i="30"/>
  <c r="AD67" i="30"/>
  <c r="AC67" i="30"/>
  <c r="AH81" i="30"/>
  <c r="AH80" i="30"/>
  <c r="AH79" i="30"/>
  <c r="AH78" i="30"/>
  <c r="AH77" i="30"/>
  <c r="AH76" i="30"/>
  <c r="AH75" i="30"/>
  <c r="AH74" i="30"/>
  <c r="AH73" i="30"/>
  <c r="AH72" i="30"/>
  <c r="AH71" i="30"/>
  <c r="AH70" i="30"/>
  <c r="AH69" i="30"/>
  <c r="AH68" i="30"/>
  <c r="AI67" i="30"/>
  <c r="AH67" i="30"/>
  <c r="AM81" i="30"/>
  <c r="AM80" i="30"/>
  <c r="AM79" i="30"/>
  <c r="AM78" i="30"/>
  <c r="AM77" i="30"/>
  <c r="AM76" i="30"/>
  <c r="AM75" i="30"/>
  <c r="AM74" i="30"/>
  <c r="AM73" i="30"/>
  <c r="AM72" i="30"/>
  <c r="AM71" i="30"/>
  <c r="AM70" i="30"/>
  <c r="AM69" i="30"/>
  <c r="AM68" i="30"/>
  <c r="AN67" i="30"/>
  <c r="AM67" i="30"/>
  <c r="AR81" i="30"/>
  <c r="AR80" i="30"/>
  <c r="AR79" i="30"/>
  <c r="AR78" i="30"/>
  <c r="AR77" i="30"/>
  <c r="AR76" i="30"/>
  <c r="AR75" i="30"/>
  <c r="AR74" i="30"/>
  <c r="AR73" i="30"/>
  <c r="AR72" i="30"/>
  <c r="AR71" i="30"/>
  <c r="AR70" i="30"/>
  <c r="AR69" i="30"/>
  <c r="AR68" i="30"/>
  <c r="AS67" i="30"/>
  <c r="AR67" i="30"/>
  <c r="AW81" i="30"/>
  <c r="AW80" i="30"/>
  <c r="AW79" i="30"/>
  <c r="AW78" i="30"/>
  <c r="AW77" i="30"/>
  <c r="AW76" i="30"/>
  <c r="AW75" i="30"/>
  <c r="AW74" i="30"/>
  <c r="AW73" i="30"/>
  <c r="AW72" i="30"/>
  <c r="AW71" i="30"/>
  <c r="AW70" i="30"/>
  <c r="AW69" i="30"/>
  <c r="AW68" i="30"/>
  <c r="AX67" i="30"/>
  <c r="AW67" i="30"/>
  <c r="P82" i="30"/>
  <c r="U82" i="30" s="1"/>
  <c r="Z82" i="30" s="1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T112" i="8"/>
  <c r="S112" i="8"/>
  <c r="X141" i="8"/>
  <c r="X140" i="8"/>
  <c r="X139" i="8"/>
  <c r="X138" i="8"/>
  <c r="X137" i="8"/>
  <c r="X136" i="8"/>
  <c r="X135" i="8"/>
  <c r="X134" i="8"/>
  <c r="X133" i="8"/>
  <c r="X132" i="8"/>
  <c r="X131" i="8"/>
  <c r="X130" i="8"/>
  <c r="X129" i="8"/>
  <c r="X128" i="8"/>
  <c r="X127" i="8"/>
  <c r="X126" i="8"/>
  <c r="X125" i="8"/>
  <c r="X124" i="8"/>
  <c r="X123" i="8"/>
  <c r="X122" i="8"/>
  <c r="X121" i="8"/>
  <c r="X120" i="8"/>
  <c r="X119" i="8"/>
  <c r="X118" i="8"/>
  <c r="X117" i="8"/>
  <c r="X116" i="8"/>
  <c r="X115" i="8"/>
  <c r="X114" i="8"/>
  <c r="X113" i="8"/>
  <c r="Y112" i="8"/>
  <c r="X112" i="8"/>
  <c r="AC141" i="8"/>
  <c r="AC140" i="8"/>
  <c r="AC139" i="8"/>
  <c r="AC138" i="8"/>
  <c r="AC137" i="8"/>
  <c r="AC136" i="8"/>
  <c r="AC135" i="8"/>
  <c r="AC134" i="8"/>
  <c r="AC133" i="8"/>
  <c r="AC132" i="8"/>
  <c r="AC131" i="8"/>
  <c r="AC130" i="8"/>
  <c r="AC129" i="8"/>
  <c r="AC128" i="8"/>
  <c r="AC127" i="8"/>
  <c r="AC126" i="8"/>
  <c r="AC125" i="8"/>
  <c r="AC124" i="8"/>
  <c r="AC123" i="8"/>
  <c r="AC122" i="8"/>
  <c r="AC121" i="8"/>
  <c r="AC120" i="8"/>
  <c r="AC119" i="8"/>
  <c r="AC118" i="8"/>
  <c r="AC117" i="8"/>
  <c r="AC116" i="8"/>
  <c r="AC115" i="8"/>
  <c r="AC114" i="8"/>
  <c r="AC113" i="8"/>
  <c r="AD112" i="8"/>
  <c r="AC112" i="8"/>
  <c r="AH141" i="8"/>
  <c r="AH140" i="8"/>
  <c r="AH139" i="8"/>
  <c r="AH138" i="8"/>
  <c r="AH137" i="8"/>
  <c r="AH136" i="8"/>
  <c r="AH135" i="8"/>
  <c r="AH134" i="8"/>
  <c r="AH133" i="8"/>
  <c r="AH132" i="8"/>
  <c r="AH131" i="8"/>
  <c r="AH130" i="8"/>
  <c r="AH129" i="8"/>
  <c r="AH128" i="8"/>
  <c r="AH127" i="8"/>
  <c r="AH126" i="8"/>
  <c r="AH125" i="8"/>
  <c r="AH124" i="8"/>
  <c r="AH123" i="8"/>
  <c r="AH122" i="8"/>
  <c r="AH121" i="8"/>
  <c r="AH120" i="8"/>
  <c r="AH119" i="8"/>
  <c r="AH118" i="8"/>
  <c r="AH117" i="8"/>
  <c r="AH116" i="8"/>
  <c r="AH115" i="8"/>
  <c r="AH114" i="8"/>
  <c r="AH113" i="8"/>
  <c r="AI112" i="8"/>
  <c r="AH112" i="8"/>
  <c r="AM141" i="8"/>
  <c r="AM140" i="8"/>
  <c r="AM139" i="8"/>
  <c r="AM138" i="8"/>
  <c r="AM137" i="8"/>
  <c r="AM136" i="8"/>
  <c r="AM135" i="8"/>
  <c r="AM134" i="8"/>
  <c r="AM133" i="8"/>
  <c r="AM132" i="8"/>
  <c r="AM131" i="8"/>
  <c r="AM130" i="8"/>
  <c r="AM129" i="8"/>
  <c r="AM128" i="8"/>
  <c r="AM127" i="8"/>
  <c r="AM126" i="8"/>
  <c r="AM125" i="8"/>
  <c r="AM124" i="8"/>
  <c r="AM123" i="8"/>
  <c r="AM122" i="8"/>
  <c r="AM121" i="8"/>
  <c r="AM120" i="8"/>
  <c r="AM119" i="8"/>
  <c r="AM118" i="8"/>
  <c r="AM117" i="8"/>
  <c r="AM116" i="8"/>
  <c r="AM115" i="8"/>
  <c r="AM114" i="8"/>
  <c r="AM113" i="8"/>
  <c r="AN112" i="8"/>
  <c r="AM112" i="8"/>
  <c r="AR141" i="8"/>
  <c r="AR140" i="8"/>
  <c r="AR139" i="8"/>
  <c r="AR138" i="8"/>
  <c r="AR137" i="8"/>
  <c r="AR136" i="8"/>
  <c r="AR135" i="8"/>
  <c r="AR134" i="8"/>
  <c r="AR133" i="8"/>
  <c r="AR132" i="8"/>
  <c r="AR131" i="8"/>
  <c r="AR130" i="8"/>
  <c r="AR129" i="8"/>
  <c r="AR128" i="8"/>
  <c r="AR127" i="8"/>
  <c r="AR126" i="8"/>
  <c r="AR125" i="8"/>
  <c r="AR124" i="8"/>
  <c r="AR123" i="8"/>
  <c r="AR122" i="8"/>
  <c r="AR121" i="8"/>
  <c r="AR120" i="8"/>
  <c r="AR119" i="8"/>
  <c r="AR118" i="8"/>
  <c r="AR117" i="8"/>
  <c r="AR116" i="8"/>
  <c r="AR115" i="8"/>
  <c r="AR114" i="8"/>
  <c r="AR113" i="8"/>
  <c r="AS112" i="8"/>
  <c r="AR112" i="8"/>
  <c r="AW141" i="8"/>
  <c r="AW140" i="8"/>
  <c r="AW139" i="8"/>
  <c r="AW138" i="8"/>
  <c r="AW137" i="8"/>
  <c r="AW136" i="8"/>
  <c r="AW135" i="8"/>
  <c r="AW134" i="8"/>
  <c r="AW133" i="8"/>
  <c r="AW132" i="8"/>
  <c r="AW131" i="8"/>
  <c r="AW130" i="8"/>
  <c r="AW129" i="8"/>
  <c r="AW128" i="8"/>
  <c r="AW127" i="8"/>
  <c r="AW126" i="8"/>
  <c r="AW125" i="8"/>
  <c r="AW124" i="8"/>
  <c r="AW123" i="8"/>
  <c r="AW122" i="8"/>
  <c r="AW121" i="8"/>
  <c r="AW120" i="8"/>
  <c r="AW119" i="8"/>
  <c r="AW118" i="8"/>
  <c r="AW117" i="8"/>
  <c r="AW116" i="8"/>
  <c r="AW115" i="8"/>
  <c r="AW114" i="8"/>
  <c r="AW113" i="8"/>
  <c r="AX112" i="8"/>
  <c r="AW112" i="8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G19" i="5" l="1"/>
  <c r="I19" i="5"/>
  <c r="M19" i="5"/>
  <c r="P19" i="5"/>
  <c r="S19" i="5"/>
  <c r="V19" i="5"/>
  <c r="I20" i="5"/>
  <c r="I21" i="5"/>
  <c r="I22" i="5"/>
  <c r="I23" i="5"/>
  <c r="I24" i="5"/>
  <c r="I25" i="5"/>
  <c r="J19" i="5" l="1"/>
  <c r="S41" i="37" l="1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U2" i="33"/>
  <c r="Z2" i="33" s="1"/>
  <c r="AE2" i="33" s="1"/>
  <c r="AJ2" i="33" s="1"/>
  <c r="AO2" i="33" s="1"/>
  <c r="AT2" i="33" s="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Y27" i="31"/>
  <c r="X27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D27" i="31"/>
  <c r="AC27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I27" i="31"/>
  <c r="AH27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N27" i="31"/>
  <c r="AM27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S27" i="31"/>
  <c r="AR27" i="31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X27" i="31"/>
  <c r="AW27" i="31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U2" i="35" l="1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4"/>
  <c r="Z2" i="34" s="1"/>
  <c r="AE2" i="34" s="1"/>
  <c r="AJ2" i="34" s="1"/>
  <c r="AO2" i="34" s="1"/>
  <c r="AT2" i="34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0"/>
  <c r="Z2" i="30" s="1"/>
  <c r="AE2" i="30" s="1"/>
  <c r="AJ2" i="30" s="1"/>
  <c r="AO2" i="30" s="1"/>
  <c r="AT2" i="30" s="1"/>
  <c r="M33" i="33"/>
  <c r="K36" i="33"/>
  <c r="M36" i="33" s="1"/>
  <c r="J36" i="33"/>
  <c r="I36" i="33"/>
  <c r="K35" i="33"/>
  <c r="M35" i="33" s="1"/>
  <c r="J35" i="33"/>
  <c r="I35" i="33"/>
  <c r="K34" i="33"/>
  <c r="M34" i="33" s="1"/>
  <c r="J34" i="33"/>
  <c r="I34" i="33"/>
  <c r="K33" i="33"/>
  <c r="J33" i="33"/>
  <c r="I33" i="33"/>
  <c r="K32" i="33"/>
  <c r="M32" i="33" s="1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J7" i="33"/>
  <c r="I7" i="33"/>
  <c r="H7" i="33"/>
  <c r="K36" i="8"/>
  <c r="M36" i="8" s="1"/>
  <c r="J36" i="8"/>
  <c r="I36" i="8"/>
  <c r="K35" i="8"/>
  <c r="M35" i="8" s="1"/>
  <c r="J35" i="8"/>
  <c r="I35" i="8"/>
  <c r="K34" i="8"/>
  <c r="M34" i="8" s="1"/>
  <c r="J34" i="8"/>
  <c r="I34" i="8"/>
  <c r="K33" i="8"/>
  <c r="J33" i="8"/>
  <c r="I33" i="8"/>
  <c r="K32" i="8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M8" i="8" s="1"/>
  <c r="J8" i="8"/>
  <c r="I8" i="8"/>
  <c r="K7" i="8"/>
  <c r="J7" i="8"/>
  <c r="I7" i="8"/>
  <c r="H7" i="8"/>
  <c r="U2" i="8"/>
  <c r="Z2" i="8" s="1"/>
  <c r="AE2" i="8" s="1"/>
  <c r="AJ2" i="8" s="1"/>
  <c r="AO2" i="8" s="1"/>
  <c r="AT2" i="8" s="1"/>
  <c r="T10" i="3"/>
  <c r="N10" i="3"/>
  <c r="K10" i="3"/>
  <c r="H10" i="3"/>
  <c r="W10" i="5"/>
  <c r="T10" i="5"/>
  <c r="Q10" i="5"/>
  <c r="N10" i="5"/>
  <c r="H10" i="5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AC48" i="6"/>
  <c r="S48" i="6"/>
  <c r="M48" i="6"/>
  <c r="AC47" i="6"/>
  <c r="S47" i="6"/>
  <c r="M47" i="6"/>
  <c r="AC46" i="6"/>
  <c r="S46" i="6"/>
  <c r="M46" i="6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l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M10" i="33"/>
  <c r="M22" i="33"/>
  <c r="M7" i="8"/>
  <c r="M11" i="8"/>
  <c r="M15" i="8"/>
  <c r="M19" i="8"/>
  <c r="M23" i="8"/>
  <c r="M27" i="8"/>
  <c r="M31" i="8"/>
  <c r="M26" i="33"/>
  <c r="M14" i="33"/>
  <c r="M18" i="33"/>
  <c r="M30" i="33"/>
  <c r="M9" i="8"/>
  <c r="M13" i="8"/>
  <c r="M17" i="8"/>
  <c r="M21" i="8"/>
  <c r="M25" i="8"/>
  <c r="M29" i="8"/>
  <c r="M33" i="8"/>
  <c r="M8" i="33"/>
  <c r="M12" i="33"/>
  <c r="M16" i="33"/>
  <c r="M20" i="33"/>
  <c r="M24" i="33"/>
  <c r="M28" i="33"/>
  <c r="M12" i="8"/>
  <c r="M16" i="8"/>
  <c r="M20" i="8"/>
  <c r="M24" i="8"/>
  <c r="M28" i="8"/>
  <c r="M32" i="8"/>
  <c r="M7" i="33"/>
  <c r="M11" i="33"/>
  <c r="M15" i="33"/>
  <c r="M19" i="33"/>
  <c r="M23" i="33"/>
  <c r="M27" i="33"/>
  <c r="M31" i="33"/>
  <c r="M26" i="8"/>
  <c r="M10" i="8"/>
  <c r="M14" i="8"/>
  <c r="M18" i="8"/>
  <c r="M22" i="8"/>
  <c r="M30" i="8"/>
  <c r="L7" i="33"/>
  <c r="M9" i="33"/>
  <c r="M13" i="33"/>
  <c r="M17" i="33"/>
  <c r="M21" i="33"/>
  <c r="M25" i="33"/>
  <c r="M29" i="33"/>
  <c r="L7" i="8"/>
  <c r="S40" i="3" l="1"/>
  <c r="M40" i="3"/>
  <c r="J40" i="3"/>
  <c r="G40" i="3"/>
  <c r="P40" i="3" l="1"/>
  <c r="V40" i="3"/>
  <c r="V40" i="5"/>
  <c r="S40" i="5"/>
  <c r="P40" i="5"/>
  <c r="M40" i="5"/>
  <c r="G40" i="5"/>
  <c r="AC48" i="7" l="1"/>
  <c r="S48" i="7"/>
  <c r="M48" i="7"/>
  <c r="AC47" i="7"/>
  <c r="S47" i="7"/>
  <c r="M47" i="7"/>
  <c r="AC46" i="7"/>
  <c r="S46" i="7"/>
  <c r="M46" i="7"/>
  <c r="AC45" i="7"/>
  <c r="S45" i="7"/>
  <c r="M45" i="7"/>
  <c r="F48" i="6"/>
  <c r="S12" i="5"/>
  <c r="S26" i="5"/>
  <c r="S33" i="5"/>
  <c r="S6" i="5"/>
  <c r="P6" i="5"/>
  <c r="M6" i="5"/>
  <c r="I46" i="5"/>
  <c r="I45" i="5"/>
  <c r="I44" i="5"/>
  <c r="I43" i="5"/>
  <c r="I42" i="5"/>
  <c r="I41" i="5"/>
  <c r="U46" i="3"/>
  <c r="O46" i="3"/>
  <c r="U45" i="3"/>
  <c r="O45" i="3"/>
  <c r="U44" i="3"/>
  <c r="O44" i="3"/>
  <c r="U43" i="3"/>
  <c r="O43" i="3"/>
  <c r="U42" i="3"/>
  <c r="O42" i="3"/>
  <c r="U41" i="3"/>
  <c r="O41" i="3"/>
  <c r="D6" i="3"/>
  <c r="D7" i="3" s="1"/>
  <c r="D8" i="3" s="1"/>
  <c r="D9" i="3" s="1"/>
  <c r="D10" i="3" s="1"/>
  <c r="D11" i="3" s="1"/>
  <c r="F46" i="7" l="1"/>
  <c r="AL48" i="6"/>
  <c r="AD48" i="6"/>
  <c r="X48" i="6"/>
  <c r="R48" i="6"/>
  <c r="L48" i="6"/>
  <c r="AJ48" i="6"/>
  <c r="V48" i="6"/>
  <c r="P48" i="6"/>
  <c r="J48" i="6"/>
  <c r="AH48" i="6"/>
  <c r="AB48" i="6"/>
  <c r="T48" i="6"/>
  <c r="N48" i="6"/>
  <c r="AF48" i="6"/>
  <c r="Z48" i="6"/>
  <c r="F46" i="6"/>
  <c r="AF46" i="7"/>
  <c r="L46" i="7"/>
  <c r="X46" i="7"/>
  <c r="F48" i="7"/>
  <c r="AJ48" i="7" s="1"/>
  <c r="R46" i="7"/>
  <c r="AD46" i="7"/>
  <c r="AL46" i="7"/>
  <c r="N46" i="7"/>
  <c r="T46" i="7"/>
  <c r="AB46" i="7"/>
  <c r="AH46" i="7"/>
  <c r="F45" i="7"/>
  <c r="T45" i="7" s="1"/>
  <c r="J46" i="7"/>
  <c r="P46" i="7"/>
  <c r="V46" i="7"/>
  <c r="AJ46" i="7"/>
  <c r="Z46" i="7"/>
  <c r="F47" i="7"/>
  <c r="AD47" i="7" s="1"/>
  <c r="F45" i="6"/>
  <c r="F47" i="6"/>
  <c r="K155" i="8"/>
  <c r="K156" i="8"/>
  <c r="AC14" i="6"/>
  <c r="S14" i="6"/>
  <c r="M14" i="6"/>
  <c r="AH47" i="6" l="1"/>
  <c r="AB47" i="6"/>
  <c r="T47" i="6"/>
  <c r="N47" i="6"/>
  <c r="AF47" i="6"/>
  <c r="Z47" i="6"/>
  <c r="AL47" i="6"/>
  <c r="AD47" i="6"/>
  <c r="X47" i="6"/>
  <c r="R47" i="6"/>
  <c r="L47" i="6"/>
  <c r="AJ47" i="6"/>
  <c r="V47" i="6"/>
  <c r="P47" i="6"/>
  <c r="J47" i="6"/>
  <c r="AL46" i="6"/>
  <c r="AD46" i="6"/>
  <c r="X46" i="6"/>
  <c r="R46" i="6"/>
  <c r="L46" i="6"/>
  <c r="AJ46" i="6"/>
  <c r="V46" i="6"/>
  <c r="P46" i="6"/>
  <c r="J46" i="6"/>
  <c r="AH46" i="6"/>
  <c r="AB46" i="6"/>
  <c r="T46" i="6"/>
  <c r="N46" i="6"/>
  <c r="AF46" i="6"/>
  <c r="Z46" i="6"/>
  <c r="AH45" i="6"/>
  <c r="AB45" i="6"/>
  <c r="T45" i="6"/>
  <c r="N45" i="6"/>
  <c r="AF45" i="6"/>
  <c r="Z45" i="6"/>
  <c r="AL45" i="6"/>
  <c r="AD45" i="6"/>
  <c r="X45" i="6"/>
  <c r="R45" i="6"/>
  <c r="L45" i="6"/>
  <c r="AJ45" i="6"/>
  <c r="V45" i="6"/>
  <c r="P45" i="6"/>
  <c r="J45" i="6"/>
  <c r="L48" i="7"/>
  <c r="T48" i="7"/>
  <c r="AL48" i="7"/>
  <c r="V48" i="7"/>
  <c r="N48" i="7"/>
  <c r="J48" i="7"/>
  <c r="AB48" i="7"/>
  <c r="Z48" i="7"/>
  <c r="X48" i="7"/>
  <c r="R48" i="7"/>
  <c r="P48" i="7"/>
  <c r="AH48" i="7"/>
  <c r="AF48" i="7"/>
  <c r="AD48" i="7"/>
  <c r="AD45" i="7"/>
  <c r="T47" i="7"/>
  <c r="AH47" i="7"/>
  <c r="AB47" i="7"/>
  <c r="AF47" i="7"/>
  <c r="Z47" i="7"/>
  <c r="AL47" i="7"/>
  <c r="X47" i="7"/>
  <c r="R47" i="7"/>
  <c r="L47" i="7"/>
  <c r="AJ47" i="7"/>
  <c r="V47" i="7"/>
  <c r="P47" i="7"/>
  <c r="J47" i="7"/>
  <c r="AL45" i="7"/>
  <c r="X45" i="7"/>
  <c r="R45" i="7"/>
  <c r="L45" i="7"/>
  <c r="J45" i="7"/>
  <c r="AH45" i="7"/>
  <c r="AB45" i="7"/>
  <c r="AF45" i="7"/>
  <c r="Z45" i="7"/>
  <c r="AJ45" i="7"/>
  <c r="V45" i="7"/>
  <c r="P45" i="7"/>
  <c r="N47" i="7"/>
  <c r="N45" i="7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G33" i="5"/>
  <c r="I33" i="5"/>
  <c r="M33" i="5"/>
  <c r="P33" i="5"/>
  <c r="V33" i="5"/>
  <c r="I34" i="5"/>
  <c r="I35" i="5"/>
  <c r="I36" i="5"/>
  <c r="I37" i="5"/>
  <c r="I38" i="5"/>
  <c r="I39" i="5"/>
  <c r="J33" i="5" l="1"/>
  <c r="AC40" i="7" l="1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K81" i="36" l="1"/>
  <c r="J81" i="36"/>
  <c r="I81" i="36"/>
  <c r="K61" i="34"/>
  <c r="J61" i="34"/>
  <c r="I61" i="34"/>
  <c r="K101" i="34"/>
  <c r="M101" i="34" s="1"/>
  <c r="J101" i="34"/>
  <c r="I101" i="34"/>
  <c r="K81" i="34"/>
  <c r="M81" i="34" s="1"/>
  <c r="J81" i="34"/>
  <c r="I81" i="34"/>
  <c r="K80" i="34"/>
  <c r="M80" i="34" s="1"/>
  <c r="J80" i="34"/>
  <c r="I80" i="34"/>
  <c r="I81" i="31" l="1"/>
  <c r="J81" i="31"/>
  <c r="K81" i="31"/>
  <c r="M81" i="31" s="1"/>
  <c r="AZ61" i="37" l="1"/>
  <c r="AZ60" i="37"/>
  <c r="AZ59" i="37"/>
  <c r="AZ58" i="37"/>
  <c r="AZ57" i="37"/>
  <c r="AZ56" i="37"/>
  <c r="AZ55" i="37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AZ57" i="36"/>
  <c r="AZ51" i="36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M14" i="7" l="1"/>
  <c r="K40" i="35" l="1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40" i="34"/>
  <c r="M40" i="34" s="1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J57" i="37"/>
  <c r="I57" i="37"/>
  <c r="K56" i="37"/>
  <c r="J56" i="37"/>
  <c r="I56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M78" i="36" s="1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M98" i="36" s="1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100" i="37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M88" i="37" s="1"/>
  <c r="J88" i="37"/>
  <c r="I88" i="37"/>
  <c r="K87" i="37"/>
  <c r="J87" i="37"/>
  <c r="I87" i="37"/>
  <c r="H87" i="37"/>
  <c r="K100" i="34"/>
  <c r="M100" i="34" s="1"/>
  <c r="J100" i="34"/>
  <c r="I100" i="34"/>
  <c r="K99" i="34"/>
  <c r="M99" i="34" s="1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M89" i="34" s="1"/>
  <c r="J89" i="34"/>
  <c r="I89" i="34"/>
  <c r="K88" i="34"/>
  <c r="J88" i="34"/>
  <c r="I88" i="34"/>
  <c r="K87" i="34"/>
  <c r="J87" i="34"/>
  <c r="I87" i="34"/>
  <c r="H87" i="34"/>
  <c r="K20" i="35"/>
  <c r="M20" i="35" s="1"/>
  <c r="J20" i="35"/>
  <c r="I20" i="35"/>
  <c r="K19" i="35"/>
  <c r="M19" i="35" s="1"/>
  <c r="J19" i="35"/>
  <c r="I19" i="35"/>
  <c r="K18" i="35"/>
  <c r="M18" i="35" s="1"/>
  <c r="J18" i="35"/>
  <c r="I18" i="35"/>
  <c r="K17" i="35"/>
  <c r="M17" i="35" s="1"/>
  <c r="J17" i="35"/>
  <c r="I17" i="35"/>
  <c r="K16" i="35"/>
  <c r="M16" i="35" s="1"/>
  <c r="J16" i="35"/>
  <c r="I16" i="35"/>
  <c r="K15" i="35"/>
  <c r="M15" i="35" s="1"/>
  <c r="J15" i="35"/>
  <c r="I15" i="35"/>
  <c r="K14" i="35"/>
  <c r="M14" i="35" s="1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H7" i="35"/>
  <c r="K20" i="36"/>
  <c r="M20" i="36" s="1"/>
  <c r="J20" i="36"/>
  <c r="I20" i="36"/>
  <c r="K19" i="36"/>
  <c r="M19" i="36" s="1"/>
  <c r="J19" i="36"/>
  <c r="I19" i="36"/>
  <c r="K18" i="36"/>
  <c r="M18" i="36" s="1"/>
  <c r="J18" i="36"/>
  <c r="I18" i="36"/>
  <c r="K17" i="36"/>
  <c r="J17" i="36"/>
  <c r="I17" i="36"/>
  <c r="K16" i="36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J8" i="36"/>
  <c r="I8" i="36"/>
  <c r="K7" i="36"/>
  <c r="J7" i="36"/>
  <c r="I7" i="36"/>
  <c r="H7" i="36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J7" i="37"/>
  <c r="I7" i="37"/>
  <c r="H7" i="37"/>
  <c r="K20" i="34"/>
  <c r="M20" i="34" s="1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H7" i="34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K27" i="30"/>
  <c r="J27" i="30"/>
  <c r="I27" i="30"/>
  <c r="H27" i="30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M77" i="32" s="1"/>
  <c r="J77" i="32"/>
  <c r="I77" i="32"/>
  <c r="K76" i="32"/>
  <c r="M76" i="32" s="1"/>
  <c r="J76" i="32"/>
  <c r="I76" i="32"/>
  <c r="K75" i="32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K67" i="31"/>
  <c r="J67" i="31"/>
  <c r="I67" i="31"/>
  <c r="H67" i="31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M95" i="32" s="1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M90" i="30" s="1"/>
  <c r="J90" i="30"/>
  <c r="I90" i="30"/>
  <c r="K89" i="30"/>
  <c r="J89" i="30"/>
  <c r="I89" i="30"/>
  <c r="K88" i="30"/>
  <c r="J88" i="30"/>
  <c r="I88" i="30"/>
  <c r="K87" i="30"/>
  <c r="M87" i="30" s="1"/>
  <c r="J87" i="30"/>
  <c r="I87" i="30"/>
  <c r="H87" i="30"/>
  <c r="K20" i="32"/>
  <c r="M20" i="32" s="1"/>
  <c r="J20" i="32"/>
  <c r="I20" i="32"/>
  <c r="K19" i="32"/>
  <c r="M19" i="32" s="1"/>
  <c r="J19" i="32"/>
  <c r="I19" i="32"/>
  <c r="K18" i="32"/>
  <c r="M18" i="32" s="1"/>
  <c r="J18" i="32"/>
  <c r="I18" i="32"/>
  <c r="K17" i="32"/>
  <c r="M17" i="32" s="1"/>
  <c r="J17" i="32"/>
  <c r="I17" i="32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K7" i="32"/>
  <c r="J7" i="32"/>
  <c r="H7" i="32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J9" i="31"/>
  <c r="I9" i="31"/>
  <c r="K8" i="31"/>
  <c r="J8" i="31"/>
  <c r="I8" i="31"/>
  <c r="K7" i="31"/>
  <c r="J7" i="31"/>
  <c r="H7" i="31"/>
  <c r="K21" i="30"/>
  <c r="M21" i="30" s="1"/>
  <c r="J21" i="30"/>
  <c r="I21" i="30"/>
  <c r="K20" i="30"/>
  <c r="M20" i="30" s="1"/>
  <c r="J20" i="30"/>
  <c r="I20" i="30"/>
  <c r="K19" i="30"/>
  <c r="M19" i="30" s="1"/>
  <c r="J19" i="30"/>
  <c r="I19" i="30"/>
  <c r="K18" i="30"/>
  <c r="M18" i="30" s="1"/>
  <c r="J18" i="30"/>
  <c r="I18" i="30"/>
  <c r="K17" i="30"/>
  <c r="M17" i="30" s="1"/>
  <c r="J17" i="30"/>
  <c r="I17" i="30"/>
  <c r="K16" i="30"/>
  <c r="M16" i="30" s="1"/>
  <c r="J16" i="30"/>
  <c r="I16" i="30"/>
  <c r="K15" i="30"/>
  <c r="M15" i="30" s="1"/>
  <c r="J15" i="30"/>
  <c r="I15" i="30"/>
  <c r="K14" i="30"/>
  <c r="M14" i="30" s="1"/>
  <c r="J14" i="30"/>
  <c r="I14" i="30"/>
  <c r="K13" i="30"/>
  <c r="M13" i="30" s="1"/>
  <c r="J13" i="30"/>
  <c r="I13" i="30"/>
  <c r="K12" i="30"/>
  <c r="M12" i="30" s="1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H7" i="30"/>
  <c r="V12" i="5"/>
  <c r="V26" i="5"/>
  <c r="I11" i="39" s="1"/>
  <c r="V6" i="5"/>
  <c r="P26" i="5"/>
  <c r="I9" i="39" s="1"/>
  <c r="P12" i="5"/>
  <c r="M12" i="5"/>
  <c r="M26" i="5"/>
  <c r="I8" i="39" s="1"/>
  <c r="G12" i="5"/>
  <c r="G26" i="5"/>
  <c r="I6" i="39" s="1"/>
  <c r="G6" i="5"/>
  <c r="S33" i="3"/>
  <c r="S26" i="3"/>
  <c r="B10" i="39" s="1"/>
  <c r="S19" i="3"/>
  <c r="S12" i="3"/>
  <c r="S6" i="3"/>
  <c r="M33" i="3"/>
  <c r="M26" i="3"/>
  <c r="B8" i="39" s="1"/>
  <c r="M19" i="3"/>
  <c r="M12" i="3"/>
  <c r="M6" i="3"/>
  <c r="J12" i="3"/>
  <c r="J19" i="3"/>
  <c r="J26" i="3"/>
  <c r="B7" i="39" s="1"/>
  <c r="J33" i="3"/>
  <c r="J6" i="3"/>
  <c r="G19" i="3"/>
  <c r="G26" i="3"/>
  <c r="B6" i="39" s="1"/>
  <c r="G33" i="3"/>
  <c r="G12" i="3"/>
  <c r="G6" i="3"/>
  <c r="M75" i="32" l="1"/>
  <c r="M70" i="30"/>
  <c r="M58" i="36"/>
  <c r="M38" i="36"/>
  <c r="M37" i="36"/>
  <c r="M17" i="36"/>
  <c r="M17" i="37"/>
  <c r="M16" i="36"/>
  <c r="M88" i="30"/>
  <c r="M87" i="34"/>
  <c r="M91" i="34"/>
  <c r="M95" i="34"/>
  <c r="M90" i="37"/>
  <c r="M94" i="37"/>
  <c r="M90" i="34"/>
  <c r="M94" i="34"/>
  <c r="M98" i="34"/>
  <c r="M89" i="37"/>
  <c r="M93" i="37"/>
  <c r="M97" i="37"/>
  <c r="M93" i="34"/>
  <c r="M97" i="34"/>
  <c r="M92" i="37"/>
  <c r="M96" i="37"/>
  <c r="M89" i="30"/>
  <c r="M88" i="34"/>
  <c r="M92" i="34"/>
  <c r="M96" i="34"/>
  <c r="M87" i="37"/>
  <c r="M101" i="37"/>
  <c r="M91" i="37"/>
  <c r="M95" i="37"/>
  <c r="M97" i="36"/>
  <c r="M88" i="36"/>
  <c r="M96" i="36"/>
  <c r="M77" i="37"/>
  <c r="M76" i="37"/>
  <c r="M74" i="36"/>
  <c r="M76" i="36"/>
  <c r="M77" i="36"/>
  <c r="M75" i="36"/>
  <c r="M73" i="35"/>
  <c r="M68" i="34"/>
  <c r="M57" i="32"/>
  <c r="M60" i="32"/>
  <c r="M13" i="36"/>
  <c r="M59" i="32"/>
  <c r="M58" i="32"/>
  <c r="L47" i="32"/>
  <c r="M57" i="37"/>
  <c r="M50" i="37"/>
  <c r="M56" i="37"/>
  <c r="M56" i="36"/>
  <c r="M55" i="36"/>
  <c r="M54" i="36"/>
  <c r="M57" i="36"/>
  <c r="M53" i="35"/>
  <c r="M56" i="32"/>
  <c r="M55" i="32"/>
  <c r="L7" i="37"/>
  <c r="M36" i="37"/>
  <c r="M37" i="37"/>
  <c r="M35" i="37"/>
  <c r="M34" i="37"/>
  <c r="M36" i="36"/>
  <c r="M35" i="36"/>
  <c r="M34" i="36"/>
  <c r="M33" i="35"/>
  <c r="M39" i="34"/>
  <c r="M14" i="37"/>
  <c r="M16" i="37"/>
  <c r="M15" i="36"/>
  <c r="M7" i="34"/>
  <c r="M19" i="34"/>
  <c r="M15" i="37"/>
  <c r="M14" i="36"/>
  <c r="M13" i="35"/>
  <c r="M68" i="30"/>
  <c r="M88" i="32"/>
  <c r="M92" i="32"/>
  <c r="M67" i="30"/>
  <c r="M49" i="32"/>
  <c r="M89" i="36"/>
  <c r="M93" i="36"/>
  <c r="M88" i="35"/>
  <c r="M92" i="35"/>
  <c r="M71" i="34"/>
  <c r="M75" i="34"/>
  <c r="M79" i="34"/>
  <c r="M67" i="37"/>
  <c r="I7" i="32"/>
  <c r="M101" i="32"/>
  <c r="M87" i="32"/>
  <c r="M91" i="32"/>
  <c r="M11" i="35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V33" i="3"/>
  <c r="M21" i="31"/>
  <c r="M9" i="32"/>
  <c r="M13" i="32"/>
  <c r="L87" i="3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67" i="31"/>
  <c r="M47" i="32"/>
  <c r="M61" i="32"/>
  <c r="M51" i="32"/>
  <c r="M11" i="37"/>
  <c r="M10" i="36"/>
  <c r="M9" i="35"/>
  <c r="M47" i="34"/>
  <c r="M61" i="34"/>
  <c r="M51" i="34"/>
  <c r="M55" i="34"/>
  <c r="M59" i="34"/>
  <c r="M61" i="36"/>
  <c r="M47" i="36"/>
  <c r="M51" i="36"/>
  <c r="M50" i="35"/>
  <c r="M28" i="34"/>
  <c r="M28" i="36"/>
  <c r="P12" i="3"/>
  <c r="V26" i="3"/>
  <c r="B11" i="39" s="1"/>
  <c r="M8" i="30"/>
  <c r="M9" i="31"/>
  <c r="M7" i="32"/>
  <c r="M11" i="32"/>
  <c r="M15" i="32"/>
  <c r="M73" i="32"/>
  <c r="M61" i="31"/>
  <c r="M47" i="31"/>
  <c r="M50" i="32"/>
  <c r="M54" i="32"/>
  <c r="M29" i="32"/>
  <c r="M8" i="35"/>
  <c r="M70" i="36"/>
  <c r="M71" i="35"/>
  <c r="M50" i="34"/>
  <c r="M54" i="34"/>
  <c r="M58" i="34"/>
  <c r="M49" i="37"/>
  <c r="M53" i="37"/>
  <c r="M50" i="36"/>
  <c r="M49" i="35"/>
  <c r="M7" i="30"/>
  <c r="M11" i="30"/>
  <c r="M53" i="32"/>
  <c r="M9" i="34"/>
  <c r="M13" i="34"/>
  <c r="M17" i="34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B30" i="39" s="1"/>
  <c r="M72" i="32"/>
  <c r="P26" i="3"/>
  <c r="B9" i="39" s="1"/>
  <c r="M51" i="30"/>
  <c r="M53" i="30"/>
  <c r="M47" i="30"/>
  <c r="M50" i="30"/>
  <c r="M49" i="30"/>
  <c r="M48" i="30"/>
  <c r="M54" i="30"/>
  <c r="M52" i="30"/>
  <c r="V19" i="3"/>
  <c r="P19" i="3"/>
  <c r="V12" i="3"/>
  <c r="M30" i="30"/>
  <c r="M33" i="32"/>
  <c r="M9" i="30"/>
  <c r="M21" i="32"/>
  <c r="M11" i="34"/>
  <c r="M15" i="34"/>
  <c r="L87" i="36"/>
  <c r="L67" i="34"/>
  <c r="B33" i="39" s="1"/>
  <c r="L47" i="35"/>
  <c r="M7" i="37"/>
  <c r="M21" i="34"/>
  <c r="M9" i="36"/>
  <c r="M8" i="31"/>
  <c r="M8" i="32"/>
  <c r="M12" i="32"/>
  <c r="L87" i="32"/>
  <c r="L47" i="30"/>
  <c r="M10" i="34"/>
  <c r="M14" i="34"/>
  <c r="M18" i="34"/>
  <c r="M10" i="37"/>
  <c r="M12" i="35"/>
  <c r="L87" i="34"/>
  <c r="L67" i="37"/>
  <c r="B36" i="39" s="1"/>
  <c r="M81" i="36"/>
  <c r="M32" i="34"/>
  <c r="M36" i="34"/>
  <c r="M27" i="37"/>
  <c r="M41" i="37"/>
  <c r="M30" i="37"/>
  <c r="M32" i="36"/>
  <c r="M27" i="35"/>
  <c r="M41" i="35"/>
  <c r="M30" i="35"/>
  <c r="M10" i="30"/>
  <c r="M7" i="31"/>
  <c r="L7" i="32"/>
  <c r="I7" i="31"/>
  <c r="L67" i="30"/>
  <c r="B29" i="39" s="1"/>
  <c r="M28" i="30"/>
  <c r="M29" i="31"/>
  <c r="M31" i="32"/>
  <c r="M35" i="32"/>
  <c r="M9" i="37"/>
  <c r="M13" i="37"/>
  <c r="M8" i="36"/>
  <c r="M12" i="36"/>
  <c r="M21" i="35"/>
  <c r="M7" i="35"/>
  <c r="L7" i="35"/>
  <c r="M10" i="32"/>
  <c r="M14" i="32"/>
  <c r="M101" i="31"/>
  <c r="M67" i="32"/>
  <c r="M8" i="34"/>
  <c r="M12" i="34"/>
  <c r="M16" i="34"/>
  <c r="M21" i="37"/>
  <c r="M8" i="37"/>
  <c r="M12" i="37"/>
  <c r="M7" i="36"/>
  <c r="M11" i="36"/>
  <c r="M10" i="35"/>
  <c r="M21" i="36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B35" i="39" s="1"/>
  <c r="L47" i="34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M67" i="36"/>
  <c r="L47" i="37"/>
  <c r="M29" i="34"/>
  <c r="M33" i="34"/>
  <c r="M37" i="34"/>
  <c r="M31" i="37"/>
  <c r="M29" i="36"/>
  <c r="M33" i="36"/>
  <c r="M31" i="35"/>
  <c r="L27" i="37"/>
  <c r="L27" i="35"/>
  <c r="L27" i="32"/>
  <c r="L27" i="30"/>
  <c r="L27" i="34"/>
  <c r="L27" i="36"/>
  <c r="M81" i="37"/>
  <c r="L47" i="36"/>
  <c r="M81" i="35"/>
  <c r="M69" i="37"/>
  <c r="L67" i="35"/>
  <c r="B34" i="39" s="1"/>
  <c r="L87" i="35"/>
  <c r="L7" i="34"/>
  <c r="L7" i="36"/>
  <c r="L27" i="31"/>
  <c r="L47" i="31"/>
  <c r="M81" i="32"/>
  <c r="L67" i="31"/>
  <c r="B31" i="39" s="1"/>
  <c r="L87" i="30"/>
  <c r="L7" i="30"/>
  <c r="L7" i="31"/>
  <c r="AZ121" i="30" l="1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AZ53" i="30"/>
  <c r="AZ52" i="30"/>
  <c r="AZ51" i="30"/>
  <c r="AZ50" i="30"/>
  <c r="AZ49" i="30"/>
  <c r="AZ48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O40" i="3" l="1"/>
  <c r="U40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M120" i="31" s="1"/>
  <c r="J120" i="31"/>
  <c r="I120" i="31"/>
  <c r="K119" i="31"/>
  <c r="M119" i="31" s="1"/>
  <c r="J119" i="31"/>
  <c r="I119" i="31"/>
  <c r="K118" i="31"/>
  <c r="M118" i="31" s="1"/>
  <c r="J118" i="31"/>
  <c r="I118" i="31"/>
  <c r="K117" i="31"/>
  <c r="M117" i="31" s="1"/>
  <c r="J117" i="31"/>
  <c r="I117" i="31"/>
  <c r="K116" i="31"/>
  <c r="M116" i="31" s="1"/>
  <c r="J116" i="31"/>
  <c r="I116" i="31"/>
  <c r="K115" i="31"/>
  <c r="M115" i="31" s="1"/>
  <c r="J115" i="31"/>
  <c r="I115" i="31"/>
  <c r="K114" i="31"/>
  <c r="M114" i="31" s="1"/>
  <c r="J114" i="31"/>
  <c r="I114" i="31"/>
  <c r="K113" i="31"/>
  <c r="M113" i="31" s="1"/>
  <c r="J113" i="31"/>
  <c r="I113" i="31"/>
  <c r="K112" i="31"/>
  <c r="M112" i="31" s="1"/>
  <c r="J112" i="31"/>
  <c r="I112" i="31"/>
  <c r="K111" i="31"/>
  <c r="M111" i="31" s="1"/>
  <c r="J111" i="31"/>
  <c r="I111" i="31"/>
  <c r="K110" i="31"/>
  <c r="M110" i="31" s="1"/>
  <c r="J110" i="31"/>
  <c r="I110" i="31"/>
  <c r="K109" i="31"/>
  <c r="M109" i="31" s="1"/>
  <c r="J109" i="31"/>
  <c r="I109" i="31"/>
  <c r="K108" i="31"/>
  <c r="M108" i="31" s="1"/>
  <c r="J108" i="31"/>
  <c r="I108" i="31"/>
  <c r="K107" i="31"/>
  <c r="J107" i="31"/>
  <c r="I107" i="31"/>
  <c r="K120" i="32"/>
  <c r="M120" i="32" s="1"/>
  <c r="J120" i="32"/>
  <c r="I120" i="32"/>
  <c r="K119" i="32"/>
  <c r="M119" i="32" s="1"/>
  <c r="J119" i="32"/>
  <c r="I119" i="32"/>
  <c r="K118" i="32"/>
  <c r="M118" i="32" s="1"/>
  <c r="J118" i="32"/>
  <c r="I118" i="32"/>
  <c r="K117" i="32"/>
  <c r="M117" i="32" s="1"/>
  <c r="J117" i="32"/>
  <c r="I117" i="32"/>
  <c r="K116" i="32"/>
  <c r="M116" i="32" s="1"/>
  <c r="J116" i="32"/>
  <c r="I116" i="32"/>
  <c r="K115" i="32"/>
  <c r="M115" i="32" s="1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L107" i="37"/>
  <c r="U35" i="3"/>
  <c r="O35" i="3"/>
  <c r="M121" i="31" l="1"/>
  <c r="M107" i="31"/>
  <c r="M107" i="32"/>
  <c r="M121" i="32"/>
  <c r="L107" i="35"/>
  <c r="L107" i="32"/>
  <c r="L107" i="36"/>
  <c r="L42" i="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P37" i="8"/>
  <c r="U5" i="3" l="1"/>
  <c r="P6" i="3" l="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H107" i="37" l="1"/>
  <c r="H107" i="36"/>
  <c r="H107" i="35"/>
  <c r="H107" i="32"/>
  <c r="M113" i="30"/>
  <c r="M112" i="30"/>
  <c r="M111" i="30"/>
  <c r="M110" i="30"/>
  <c r="M109" i="30"/>
  <c r="M108" i="30"/>
  <c r="H107" i="30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K50" i="6" l="1"/>
  <c r="AI50" i="6"/>
  <c r="AG50" i="6"/>
  <c r="AE50" i="6"/>
  <c r="AA50" i="6"/>
  <c r="Y50" i="6"/>
  <c r="W50" i="6"/>
  <c r="U50" i="6"/>
  <c r="Q50" i="6"/>
  <c r="O50" i="6"/>
  <c r="K50" i="6"/>
  <c r="I50" i="6"/>
  <c r="F43" i="6" l="1"/>
  <c r="AK50" i="7"/>
  <c r="AI50" i="7"/>
  <c r="AG50" i="7"/>
  <c r="AE50" i="7"/>
  <c r="AA50" i="7"/>
  <c r="Y50" i="7"/>
  <c r="W50" i="7"/>
  <c r="U50" i="7"/>
  <c r="Q50" i="7"/>
  <c r="O50" i="7"/>
  <c r="K50" i="7"/>
  <c r="I50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AF43" i="6" l="1"/>
  <c r="Z43" i="6"/>
  <c r="AJ43" i="6"/>
  <c r="V43" i="6"/>
  <c r="P43" i="6"/>
  <c r="J43" i="6"/>
  <c r="AD43" i="6"/>
  <c r="T43" i="6"/>
  <c r="L43" i="6"/>
  <c r="AL43" i="6"/>
  <c r="AB43" i="6"/>
  <c r="R43" i="6"/>
  <c r="AH43" i="6"/>
  <c r="X43" i="6"/>
  <c r="N43" i="6"/>
  <c r="F7" i="7"/>
  <c r="F7" i="6"/>
  <c r="AJ7" i="6" l="1"/>
  <c r="V7" i="6"/>
  <c r="P7" i="6"/>
  <c r="J7" i="6"/>
  <c r="AH7" i="6"/>
  <c r="AB7" i="6"/>
  <c r="T7" i="6"/>
  <c r="N7" i="6"/>
  <c r="AF7" i="6"/>
  <c r="Z7" i="6"/>
  <c r="AL7" i="6"/>
  <c r="AD7" i="6"/>
  <c r="X7" i="6"/>
  <c r="R7" i="6"/>
  <c r="L7" i="6"/>
  <c r="AJ7" i="7"/>
  <c r="V7" i="7"/>
  <c r="P7" i="7"/>
  <c r="J7" i="7"/>
  <c r="AH7" i="7"/>
  <c r="AB7" i="7"/>
  <c r="T7" i="7"/>
  <c r="N7" i="7"/>
  <c r="AF7" i="7"/>
  <c r="Z7" i="7"/>
  <c r="AL7" i="7"/>
  <c r="AD7" i="7"/>
  <c r="X7" i="7"/>
  <c r="R7" i="7"/>
  <c r="L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E9" i="39" l="1"/>
  <c r="B9" i="13"/>
  <c r="E11" i="39"/>
  <c r="B11" i="13"/>
  <c r="I40" i="5" l="1"/>
  <c r="J40" i="5" s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M182" i="33"/>
  <c r="H182" i="33"/>
  <c r="H128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P107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51" i="6"/>
  <c r="AI51" i="6"/>
  <c r="AG51" i="6"/>
  <c r="H20" i="13"/>
  <c r="W51" i="6"/>
  <c r="U51" i="6"/>
  <c r="AC49" i="6"/>
  <c r="S49" i="6"/>
  <c r="M49" i="6"/>
  <c r="F14" i="6"/>
  <c r="F13" i="6"/>
  <c r="F12" i="6"/>
  <c r="F11" i="6"/>
  <c r="F10" i="6"/>
  <c r="F9" i="6"/>
  <c r="F8" i="6"/>
  <c r="AK51" i="7"/>
  <c r="AI51" i="7"/>
  <c r="AG51" i="7"/>
  <c r="AE51" i="7"/>
  <c r="W51" i="7"/>
  <c r="U51" i="7"/>
  <c r="AC49" i="7"/>
  <c r="S49" i="7"/>
  <c r="M49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8" i="7"/>
  <c r="M38" i="7"/>
  <c r="S37" i="7"/>
  <c r="M37" i="7"/>
  <c r="S36" i="7"/>
  <c r="M36" i="7"/>
  <c r="S35" i="7"/>
  <c r="M35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S16" i="7"/>
  <c r="M16" i="7"/>
  <c r="S15" i="7"/>
  <c r="M15" i="7"/>
  <c r="F13" i="7"/>
  <c r="F11" i="7"/>
  <c r="F9" i="7"/>
  <c r="I27" i="5"/>
  <c r="I26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K10" i="5" l="1"/>
  <c r="K7" i="39" s="1"/>
  <c r="AJ11" i="6"/>
  <c r="V11" i="6"/>
  <c r="P11" i="6"/>
  <c r="J11" i="6"/>
  <c r="AH11" i="6"/>
  <c r="AB11" i="6"/>
  <c r="T11" i="6"/>
  <c r="N11" i="6"/>
  <c r="AF11" i="6"/>
  <c r="Z11" i="6"/>
  <c r="AL11" i="6"/>
  <c r="AD11" i="6"/>
  <c r="X11" i="6"/>
  <c r="R11" i="6"/>
  <c r="L11" i="6"/>
  <c r="AF8" i="6"/>
  <c r="Z8" i="6"/>
  <c r="AL8" i="6"/>
  <c r="AD8" i="6"/>
  <c r="X8" i="6"/>
  <c r="R8" i="6"/>
  <c r="L8" i="6"/>
  <c r="AJ8" i="6"/>
  <c r="V8" i="6"/>
  <c r="P8" i="6"/>
  <c r="J8" i="6"/>
  <c r="AH8" i="6"/>
  <c r="AB8" i="6"/>
  <c r="T8" i="6"/>
  <c r="N8" i="6"/>
  <c r="AF12" i="6"/>
  <c r="Z12" i="6"/>
  <c r="AL12" i="6"/>
  <c r="AD12" i="6"/>
  <c r="X12" i="6"/>
  <c r="R12" i="6"/>
  <c r="L12" i="6"/>
  <c r="AJ12" i="6"/>
  <c r="V12" i="6"/>
  <c r="P12" i="6"/>
  <c r="J12" i="6"/>
  <c r="AH12" i="6"/>
  <c r="AB12" i="6"/>
  <c r="T12" i="6"/>
  <c r="N12" i="6"/>
  <c r="AJ9" i="6"/>
  <c r="V9" i="6"/>
  <c r="P9" i="6"/>
  <c r="J9" i="6"/>
  <c r="AH9" i="6"/>
  <c r="AB9" i="6"/>
  <c r="T9" i="6"/>
  <c r="N9" i="6"/>
  <c r="AF9" i="6"/>
  <c r="Z9" i="6"/>
  <c r="AL9" i="6"/>
  <c r="AD9" i="6"/>
  <c r="X9" i="6"/>
  <c r="R9" i="6"/>
  <c r="L9" i="6"/>
  <c r="AJ13" i="6"/>
  <c r="V13" i="6"/>
  <c r="P13" i="6"/>
  <c r="J13" i="6"/>
  <c r="AH13" i="6"/>
  <c r="AB13" i="6"/>
  <c r="T13" i="6"/>
  <c r="N13" i="6"/>
  <c r="AF13" i="6"/>
  <c r="Z13" i="6"/>
  <c r="AL13" i="6"/>
  <c r="AD13" i="6"/>
  <c r="X13" i="6"/>
  <c r="R13" i="6"/>
  <c r="L13" i="6"/>
  <c r="AF10" i="6"/>
  <c r="Z10" i="6"/>
  <c r="AL10" i="6"/>
  <c r="AD10" i="6"/>
  <c r="X10" i="6"/>
  <c r="R10" i="6"/>
  <c r="L10" i="6"/>
  <c r="AJ10" i="6"/>
  <c r="V10" i="6"/>
  <c r="P10" i="6"/>
  <c r="J10" i="6"/>
  <c r="AH10" i="6"/>
  <c r="AB10" i="6"/>
  <c r="T10" i="6"/>
  <c r="N10" i="6"/>
  <c r="AJ13" i="7"/>
  <c r="V13" i="7"/>
  <c r="P13" i="7"/>
  <c r="J13" i="7"/>
  <c r="AH13" i="7"/>
  <c r="AB13" i="7"/>
  <c r="T13" i="7"/>
  <c r="N13" i="7"/>
  <c r="AF13" i="7"/>
  <c r="Z13" i="7"/>
  <c r="AL13" i="7"/>
  <c r="AD13" i="7"/>
  <c r="X13" i="7"/>
  <c r="R13" i="7"/>
  <c r="L13" i="7"/>
  <c r="AJ9" i="7"/>
  <c r="V9" i="7"/>
  <c r="P9" i="7"/>
  <c r="J9" i="7"/>
  <c r="AH9" i="7"/>
  <c r="AB9" i="7"/>
  <c r="T9" i="7"/>
  <c r="N9" i="7"/>
  <c r="AF9" i="7"/>
  <c r="Z9" i="7"/>
  <c r="AL9" i="7"/>
  <c r="AD9" i="7"/>
  <c r="X9" i="7"/>
  <c r="R9" i="7"/>
  <c r="L9" i="7"/>
  <c r="AJ11" i="7"/>
  <c r="V11" i="7"/>
  <c r="P11" i="7"/>
  <c r="J11" i="7"/>
  <c r="AH11" i="7"/>
  <c r="AB11" i="7"/>
  <c r="T11" i="7"/>
  <c r="N11" i="7"/>
  <c r="AF11" i="7"/>
  <c r="Z11" i="7"/>
  <c r="AL11" i="7"/>
  <c r="AD11" i="7"/>
  <c r="X11" i="7"/>
  <c r="R11" i="7"/>
  <c r="L11" i="7"/>
  <c r="U107" i="33"/>
  <c r="Z107" i="33" s="1"/>
  <c r="AE107" i="33" s="1"/>
  <c r="AJ107" i="33" s="1"/>
  <c r="AO107" i="33" s="1"/>
  <c r="AT107" i="33" s="1"/>
  <c r="G8" i="6"/>
  <c r="J12" i="5"/>
  <c r="J6" i="5"/>
  <c r="J26" i="5"/>
  <c r="I7" i="39" s="1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E9" i="1"/>
  <c r="U72" i="33"/>
  <c r="Z72" i="33" s="1"/>
  <c r="AE72" i="33" s="1"/>
  <c r="AJ72" i="33" s="1"/>
  <c r="AO72" i="33" s="1"/>
  <c r="AT72" i="33" s="1"/>
  <c r="E11" i="1"/>
  <c r="X48" i="1"/>
  <c r="V48" i="1" s="1"/>
  <c r="X34" i="1"/>
  <c r="V34" i="1" s="1"/>
  <c r="X42" i="1"/>
  <c r="V42" i="1" s="1"/>
  <c r="M121" i="37"/>
  <c r="D9" i="39"/>
  <c r="AC50" i="6"/>
  <c r="AC51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F23" i="6"/>
  <c r="S50" i="6"/>
  <c r="S51" i="6" s="1"/>
  <c r="H16" i="13" s="1"/>
  <c r="M50" i="6"/>
  <c r="M51" i="6" s="1"/>
  <c r="F26" i="6"/>
  <c r="F20" i="6"/>
  <c r="AL14" i="6"/>
  <c r="F23" i="7"/>
  <c r="L23" i="7" s="1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L31" i="7" s="1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L25" i="7" s="1"/>
  <c r="F29" i="7"/>
  <c r="L29" i="7" s="1"/>
  <c r="D9" i="1"/>
  <c r="F33" i="7"/>
  <c r="L33" i="7" s="1"/>
  <c r="K128" i="32"/>
  <c r="K132" i="32"/>
  <c r="K222" i="33"/>
  <c r="K226" i="33"/>
  <c r="K230" i="33"/>
  <c r="K234" i="33"/>
  <c r="K238" i="33"/>
  <c r="I241" i="33"/>
  <c r="I137" i="32"/>
  <c r="J241" i="33"/>
  <c r="F19" i="7"/>
  <c r="L19" i="7" s="1"/>
  <c r="I131" i="32"/>
  <c r="F49" i="7"/>
  <c r="AH49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L17" i="7" s="1"/>
  <c r="F21" i="7"/>
  <c r="L21" i="7" s="1"/>
  <c r="F27" i="7"/>
  <c r="L27" i="7" s="1"/>
  <c r="F16" i="6"/>
  <c r="F19" i="6"/>
  <c r="B17" i="13"/>
  <c r="C17" i="13" s="1"/>
  <c r="E17" i="13" s="1"/>
  <c r="F15" i="7"/>
  <c r="L15" i="7" s="1"/>
  <c r="F10" i="7"/>
  <c r="F14" i="7"/>
  <c r="F8" i="7"/>
  <c r="F12" i="7"/>
  <c r="F16" i="7"/>
  <c r="L16" i="7" s="1"/>
  <c r="F20" i="7"/>
  <c r="L20" i="7" s="1"/>
  <c r="F24" i="7"/>
  <c r="L24" i="7" s="1"/>
  <c r="F28" i="7"/>
  <c r="L28" i="7" s="1"/>
  <c r="F32" i="7"/>
  <c r="L32" i="7" s="1"/>
  <c r="F36" i="7"/>
  <c r="F18" i="7"/>
  <c r="L18" i="7" s="1"/>
  <c r="F22" i="7"/>
  <c r="L22" i="7" s="1"/>
  <c r="F26" i="7"/>
  <c r="L26" i="7" s="1"/>
  <c r="F30" i="7"/>
  <c r="L30" i="7" s="1"/>
  <c r="F34" i="7"/>
  <c r="L34" i="7" s="1"/>
  <c r="AC50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N49" i="6"/>
  <c r="AH49" i="6"/>
  <c r="F34" i="6"/>
  <c r="F44" i="6"/>
  <c r="J49" i="6"/>
  <c r="P49" i="6"/>
  <c r="V49" i="6"/>
  <c r="AJ49" i="6"/>
  <c r="F29" i="6"/>
  <c r="F33" i="6"/>
  <c r="L49" i="6"/>
  <c r="X49" i="6"/>
  <c r="AD49" i="6"/>
  <c r="AL49" i="6"/>
  <c r="Z49" i="6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B28" i="39" s="1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50" i="7"/>
  <c r="S51" i="7" s="1"/>
  <c r="F39" i="7"/>
  <c r="F38" i="7"/>
  <c r="F42" i="7"/>
  <c r="N42" i="7" s="1"/>
  <c r="M50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51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B32" i="39" s="1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L14" i="7" l="1"/>
  <c r="H12" i="7"/>
  <c r="H12" i="6"/>
  <c r="AF50" i="6" s="1"/>
  <c r="AJ42" i="6"/>
  <c r="V42" i="6"/>
  <c r="P42" i="6"/>
  <c r="J42" i="6"/>
  <c r="AF42" i="6"/>
  <c r="Z42" i="6"/>
  <c r="AD42" i="6"/>
  <c r="T42" i="6"/>
  <c r="L42" i="6"/>
  <c r="AL42" i="6"/>
  <c r="AB42" i="6"/>
  <c r="R42" i="6"/>
  <c r="AH42" i="6"/>
  <c r="X42" i="6"/>
  <c r="N42" i="6"/>
  <c r="AF29" i="6"/>
  <c r="Z29" i="6"/>
  <c r="AJ29" i="6"/>
  <c r="V29" i="6"/>
  <c r="P29" i="6"/>
  <c r="J29" i="6"/>
  <c r="AD29" i="6"/>
  <c r="T29" i="6"/>
  <c r="L29" i="6"/>
  <c r="AL29" i="6"/>
  <c r="AB29" i="6"/>
  <c r="R29" i="6"/>
  <c r="AH29" i="6"/>
  <c r="X29" i="6"/>
  <c r="N29" i="6"/>
  <c r="AF25" i="6"/>
  <c r="Z25" i="6"/>
  <c r="AJ25" i="6"/>
  <c r="V25" i="6"/>
  <c r="P25" i="6"/>
  <c r="J25" i="6"/>
  <c r="AD25" i="6"/>
  <c r="T25" i="6"/>
  <c r="L25" i="6"/>
  <c r="AL25" i="6"/>
  <c r="AB25" i="6"/>
  <c r="R25" i="6"/>
  <c r="AH25" i="6"/>
  <c r="X25" i="6"/>
  <c r="N25" i="6"/>
  <c r="AH19" i="6"/>
  <c r="AB19" i="6"/>
  <c r="AF19" i="6"/>
  <c r="Z19" i="6"/>
  <c r="AL19" i="6"/>
  <c r="X19" i="6"/>
  <c r="R19" i="6"/>
  <c r="L19" i="6"/>
  <c r="AJ19" i="6"/>
  <c r="V19" i="6"/>
  <c r="J19" i="6"/>
  <c r="P19" i="6"/>
  <c r="AD19" i="6"/>
  <c r="N19" i="6"/>
  <c r="T19" i="6"/>
  <c r="AF37" i="6"/>
  <c r="Z37" i="6"/>
  <c r="AJ37" i="6"/>
  <c r="V37" i="6"/>
  <c r="P37" i="6"/>
  <c r="J37" i="6"/>
  <c r="AD37" i="6"/>
  <c r="T37" i="6"/>
  <c r="L37" i="6"/>
  <c r="AL37" i="6"/>
  <c r="AB37" i="6"/>
  <c r="R37" i="6"/>
  <c r="AH37" i="6"/>
  <c r="X37" i="6"/>
  <c r="N37" i="6"/>
  <c r="AJ38" i="6"/>
  <c r="V38" i="6"/>
  <c r="P38" i="6"/>
  <c r="J38" i="6"/>
  <c r="AF38" i="6"/>
  <c r="Z38" i="6"/>
  <c r="AD38" i="6"/>
  <c r="T38" i="6"/>
  <c r="L38" i="6"/>
  <c r="AL38" i="6"/>
  <c r="AB38" i="6"/>
  <c r="R38" i="6"/>
  <c r="AH38" i="6"/>
  <c r="X38" i="6"/>
  <c r="N38" i="6"/>
  <c r="AL44" i="6"/>
  <c r="AD44" i="6"/>
  <c r="X44" i="6"/>
  <c r="AJ44" i="6"/>
  <c r="V44" i="6"/>
  <c r="P44" i="6"/>
  <c r="J44" i="6"/>
  <c r="AH44" i="6"/>
  <c r="AB44" i="6"/>
  <c r="AF44" i="6"/>
  <c r="Z44" i="6"/>
  <c r="T44" i="6"/>
  <c r="L44" i="6"/>
  <c r="R44" i="6"/>
  <c r="N44" i="6"/>
  <c r="AH17" i="6"/>
  <c r="AB17" i="6"/>
  <c r="AF17" i="6"/>
  <c r="Z17" i="6"/>
  <c r="AL17" i="6"/>
  <c r="X17" i="6"/>
  <c r="R17" i="6"/>
  <c r="L17" i="6"/>
  <c r="P17" i="6"/>
  <c r="V17" i="6"/>
  <c r="J17" i="6"/>
  <c r="AJ17" i="6"/>
  <c r="N17" i="6"/>
  <c r="T17" i="6"/>
  <c r="AD17" i="6"/>
  <c r="AF21" i="6"/>
  <c r="Z21" i="6"/>
  <c r="AJ21" i="6"/>
  <c r="V21" i="6"/>
  <c r="P21" i="6"/>
  <c r="J21" i="6"/>
  <c r="AD21" i="6"/>
  <c r="T21" i="6"/>
  <c r="L21" i="6"/>
  <c r="AL21" i="6"/>
  <c r="AB21" i="6"/>
  <c r="R21" i="6"/>
  <c r="AH21" i="6"/>
  <c r="X21" i="6"/>
  <c r="N21" i="6"/>
  <c r="AL16" i="6"/>
  <c r="X16" i="6"/>
  <c r="R16" i="6"/>
  <c r="L16" i="6"/>
  <c r="AJ16" i="6"/>
  <c r="V16" i="6"/>
  <c r="P16" i="6"/>
  <c r="AH16" i="6"/>
  <c r="AB16" i="6"/>
  <c r="Z16" i="6"/>
  <c r="AF16" i="6"/>
  <c r="J16" i="6"/>
  <c r="N16" i="6"/>
  <c r="AD16" i="6"/>
  <c r="T16" i="6"/>
  <c r="AL18" i="6"/>
  <c r="X18" i="6"/>
  <c r="R18" i="6"/>
  <c r="L18" i="6"/>
  <c r="AJ18" i="6"/>
  <c r="V18" i="6"/>
  <c r="P18" i="6"/>
  <c r="J18" i="6"/>
  <c r="AH18" i="6"/>
  <c r="AB18" i="6"/>
  <c r="Z18" i="6"/>
  <c r="AF18" i="6"/>
  <c r="N18" i="6"/>
  <c r="T18" i="6"/>
  <c r="AD18" i="6"/>
  <c r="AF35" i="6"/>
  <c r="Z35" i="6"/>
  <c r="AJ35" i="6"/>
  <c r="V35" i="6"/>
  <c r="P35" i="6"/>
  <c r="J35" i="6"/>
  <c r="AD35" i="6"/>
  <c r="T35" i="6"/>
  <c r="L35" i="6"/>
  <c r="AL35" i="6"/>
  <c r="AB35" i="6"/>
  <c r="R35" i="6"/>
  <c r="AH35" i="6"/>
  <c r="X35" i="6"/>
  <c r="N35" i="6"/>
  <c r="AJ20" i="6"/>
  <c r="AF20" i="6"/>
  <c r="X20" i="6"/>
  <c r="R20" i="6"/>
  <c r="L20" i="6"/>
  <c r="V20" i="6"/>
  <c r="P20" i="6"/>
  <c r="J20" i="6"/>
  <c r="AL20" i="6"/>
  <c r="AB20" i="6"/>
  <c r="AH20" i="6"/>
  <c r="Z20" i="6"/>
  <c r="T20" i="6"/>
  <c r="AD20" i="6"/>
  <c r="N20" i="6"/>
  <c r="AF23" i="6"/>
  <c r="Z23" i="6"/>
  <c r="AJ23" i="6"/>
  <c r="V23" i="6"/>
  <c r="P23" i="6"/>
  <c r="J23" i="6"/>
  <c r="AD23" i="6"/>
  <c r="T23" i="6"/>
  <c r="L23" i="6"/>
  <c r="AL23" i="6"/>
  <c r="AB23" i="6"/>
  <c r="R23" i="6"/>
  <c r="AH23" i="6"/>
  <c r="X23" i="6"/>
  <c r="N23" i="6"/>
  <c r="AJ34" i="6"/>
  <c r="V34" i="6"/>
  <c r="P34" i="6"/>
  <c r="J34" i="6"/>
  <c r="AF34" i="6"/>
  <c r="Z34" i="6"/>
  <c r="AD34" i="6"/>
  <c r="T34" i="6"/>
  <c r="L34" i="6"/>
  <c r="AL34" i="6"/>
  <c r="AB34" i="6"/>
  <c r="R34" i="6"/>
  <c r="AH34" i="6"/>
  <c r="X34" i="6"/>
  <c r="N34" i="6"/>
  <c r="AF41" i="6"/>
  <c r="Z41" i="6"/>
  <c r="AJ41" i="6"/>
  <c r="V41" i="6"/>
  <c r="P41" i="6"/>
  <c r="J41" i="6"/>
  <c r="AD41" i="6"/>
  <c r="T41" i="6"/>
  <c r="L41" i="6"/>
  <c r="AL41" i="6"/>
  <c r="AB41" i="6"/>
  <c r="R41" i="6"/>
  <c r="AH41" i="6"/>
  <c r="X41" i="6"/>
  <c r="N41" i="6"/>
  <c r="AJ26" i="6"/>
  <c r="V26" i="6"/>
  <c r="P26" i="6"/>
  <c r="J26" i="6"/>
  <c r="AF26" i="6"/>
  <c r="Z26" i="6"/>
  <c r="AD26" i="6"/>
  <c r="T26" i="6"/>
  <c r="L26" i="6"/>
  <c r="AL26" i="6"/>
  <c r="AB26" i="6"/>
  <c r="R26" i="6"/>
  <c r="AH26" i="6"/>
  <c r="X26" i="6"/>
  <c r="N26" i="6"/>
  <c r="AF39" i="6"/>
  <c r="Z39" i="6"/>
  <c r="AJ39" i="6"/>
  <c r="V39" i="6"/>
  <c r="P39" i="6"/>
  <c r="J39" i="6"/>
  <c r="AD39" i="6"/>
  <c r="T39" i="6"/>
  <c r="L39" i="6"/>
  <c r="AL39" i="6"/>
  <c r="AB39" i="6"/>
  <c r="R39" i="6"/>
  <c r="AH39" i="6"/>
  <c r="X39" i="6"/>
  <c r="N39" i="6"/>
  <c r="AJ30" i="6"/>
  <c r="V30" i="6"/>
  <c r="P30" i="6"/>
  <c r="J30" i="6"/>
  <c r="AF30" i="6"/>
  <c r="Z30" i="6"/>
  <c r="AD30" i="6"/>
  <c r="T30" i="6"/>
  <c r="L30" i="6"/>
  <c r="AL30" i="6"/>
  <c r="AB30" i="6"/>
  <c r="R30" i="6"/>
  <c r="AH30" i="6"/>
  <c r="X30" i="6"/>
  <c r="N30" i="6"/>
  <c r="AJ32" i="6"/>
  <c r="V32" i="6"/>
  <c r="P32" i="6"/>
  <c r="J32" i="6"/>
  <c r="AF32" i="6"/>
  <c r="Z32" i="6"/>
  <c r="AD32" i="6"/>
  <c r="T32" i="6"/>
  <c r="L32" i="6"/>
  <c r="AL32" i="6"/>
  <c r="AB32" i="6"/>
  <c r="R32" i="6"/>
  <c r="AH32" i="6"/>
  <c r="X32" i="6"/>
  <c r="N32" i="6"/>
  <c r="AJ40" i="6"/>
  <c r="V40" i="6"/>
  <c r="P40" i="6"/>
  <c r="J40" i="6"/>
  <c r="AF40" i="6"/>
  <c r="Z40" i="6"/>
  <c r="AD40" i="6"/>
  <c r="T40" i="6"/>
  <c r="L40" i="6"/>
  <c r="AL40" i="6"/>
  <c r="AB40" i="6"/>
  <c r="R40" i="6"/>
  <c r="AH40" i="6"/>
  <c r="X40" i="6"/>
  <c r="N40" i="6"/>
  <c r="AF33" i="6"/>
  <c r="Z33" i="6"/>
  <c r="AJ33" i="6"/>
  <c r="V33" i="6"/>
  <c r="P33" i="6"/>
  <c r="J33" i="6"/>
  <c r="AD33" i="6"/>
  <c r="T33" i="6"/>
  <c r="L33" i="6"/>
  <c r="AL33" i="6"/>
  <c r="AB33" i="6"/>
  <c r="R33" i="6"/>
  <c r="AH33" i="6"/>
  <c r="X33" i="6"/>
  <c r="N33" i="6"/>
  <c r="AH15" i="6"/>
  <c r="AB15" i="6"/>
  <c r="AL15" i="6"/>
  <c r="X15" i="6"/>
  <c r="R15" i="6"/>
  <c r="L15" i="6"/>
  <c r="AJ15" i="6"/>
  <c r="V15" i="6"/>
  <c r="J15" i="6"/>
  <c r="P15" i="6"/>
  <c r="AF15" i="6"/>
  <c r="Z15" i="6"/>
  <c r="T15" i="6"/>
  <c r="AD15" i="6"/>
  <c r="N15" i="6"/>
  <c r="AJ22" i="6"/>
  <c r="V22" i="6"/>
  <c r="P22" i="6"/>
  <c r="J22" i="6"/>
  <c r="AF22" i="6"/>
  <c r="Z22" i="6"/>
  <c r="N22" i="6"/>
  <c r="AD22" i="6"/>
  <c r="T22" i="6"/>
  <c r="L22" i="6"/>
  <c r="AL22" i="6"/>
  <c r="AB22" i="6"/>
  <c r="R22" i="6"/>
  <c r="AH22" i="6"/>
  <c r="X22" i="6"/>
  <c r="AF27" i="6"/>
  <c r="Z27" i="6"/>
  <c r="AJ27" i="6"/>
  <c r="V27" i="6"/>
  <c r="P27" i="6"/>
  <c r="J27" i="6"/>
  <c r="AD27" i="6"/>
  <c r="T27" i="6"/>
  <c r="L27" i="6"/>
  <c r="AL27" i="6"/>
  <c r="AB27" i="6"/>
  <c r="R27" i="6"/>
  <c r="AH27" i="6"/>
  <c r="X27" i="6"/>
  <c r="N27" i="6"/>
  <c r="AJ36" i="6"/>
  <c r="V36" i="6"/>
  <c r="P36" i="6"/>
  <c r="J36" i="6"/>
  <c r="AF36" i="6"/>
  <c r="Z36" i="6"/>
  <c r="AD36" i="6"/>
  <c r="T36" i="6"/>
  <c r="L36" i="6"/>
  <c r="AL36" i="6"/>
  <c r="AB36" i="6"/>
  <c r="R36" i="6"/>
  <c r="AH36" i="6"/>
  <c r="X36" i="6"/>
  <c r="N36" i="6"/>
  <c r="AF31" i="6"/>
  <c r="Z31" i="6"/>
  <c r="AJ31" i="6"/>
  <c r="V31" i="6"/>
  <c r="P31" i="6"/>
  <c r="J31" i="6"/>
  <c r="AD31" i="6"/>
  <c r="T31" i="6"/>
  <c r="L31" i="6"/>
  <c r="AL31" i="6"/>
  <c r="AB31" i="6"/>
  <c r="R31" i="6"/>
  <c r="AH31" i="6"/>
  <c r="X31" i="6"/>
  <c r="N31" i="6"/>
  <c r="AJ24" i="6"/>
  <c r="V24" i="6"/>
  <c r="P24" i="6"/>
  <c r="J24" i="6"/>
  <c r="AF24" i="6"/>
  <c r="Z24" i="6"/>
  <c r="AD24" i="6"/>
  <c r="T24" i="6"/>
  <c r="L24" i="6"/>
  <c r="AL24" i="6"/>
  <c r="AB24" i="6"/>
  <c r="R24" i="6"/>
  <c r="AH24" i="6"/>
  <c r="X24" i="6"/>
  <c r="N24" i="6"/>
  <c r="AJ28" i="6"/>
  <c r="V28" i="6"/>
  <c r="P28" i="6"/>
  <c r="J28" i="6"/>
  <c r="AF28" i="6"/>
  <c r="Z28" i="6"/>
  <c r="AD28" i="6"/>
  <c r="T28" i="6"/>
  <c r="L28" i="6"/>
  <c r="AL28" i="6"/>
  <c r="AB28" i="6"/>
  <c r="R28" i="6"/>
  <c r="AH28" i="6"/>
  <c r="X28" i="6"/>
  <c r="N28" i="6"/>
  <c r="AF10" i="7"/>
  <c r="Z10" i="7"/>
  <c r="AL10" i="7"/>
  <c r="AD10" i="7"/>
  <c r="X10" i="7"/>
  <c r="R10" i="7"/>
  <c r="L10" i="7"/>
  <c r="AJ10" i="7"/>
  <c r="V10" i="7"/>
  <c r="P10" i="7"/>
  <c r="J10" i="7"/>
  <c r="AH10" i="7"/>
  <c r="AB10" i="7"/>
  <c r="T10" i="7"/>
  <c r="N10" i="7"/>
  <c r="AF12" i="7"/>
  <c r="Z12" i="7"/>
  <c r="AL12" i="7"/>
  <c r="AD12" i="7"/>
  <c r="X12" i="7"/>
  <c r="R12" i="7"/>
  <c r="L12" i="7"/>
  <c r="AJ12" i="7"/>
  <c r="V12" i="7"/>
  <c r="P12" i="7"/>
  <c r="J12" i="7"/>
  <c r="AH12" i="7"/>
  <c r="AB12" i="7"/>
  <c r="T12" i="7"/>
  <c r="N12" i="7"/>
  <c r="AF8" i="7"/>
  <c r="Z8" i="7"/>
  <c r="AL8" i="7"/>
  <c r="AD8" i="7"/>
  <c r="X8" i="7"/>
  <c r="R8" i="7"/>
  <c r="L8" i="7"/>
  <c r="AJ8" i="7"/>
  <c r="V8" i="7"/>
  <c r="P8" i="7"/>
  <c r="J8" i="7"/>
  <c r="AH8" i="7"/>
  <c r="AB8" i="7"/>
  <c r="T8" i="7"/>
  <c r="N8" i="7"/>
  <c r="G21" i="6"/>
  <c r="G28" i="6"/>
  <c r="G35" i="6"/>
  <c r="G14" i="6"/>
  <c r="V34" i="7"/>
  <c r="P34" i="7"/>
  <c r="V18" i="7"/>
  <c r="P18" i="7"/>
  <c r="V24" i="7"/>
  <c r="P24" i="7"/>
  <c r="V21" i="7"/>
  <c r="P21" i="7"/>
  <c r="V33" i="7"/>
  <c r="P33" i="7"/>
  <c r="V30" i="7"/>
  <c r="P30" i="7"/>
  <c r="V20" i="7"/>
  <c r="P20" i="7"/>
  <c r="V14" i="7"/>
  <c r="P14" i="7"/>
  <c r="V17" i="7"/>
  <c r="P17" i="7"/>
  <c r="V19" i="7"/>
  <c r="P19" i="7"/>
  <c r="V23" i="7"/>
  <c r="P23" i="7"/>
  <c r="V26" i="7"/>
  <c r="P26" i="7"/>
  <c r="V32" i="7"/>
  <c r="P32" i="7"/>
  <c r="V16" i="7"/>
  <c r="P16" i="7"/>
  <c r="V29" i="7"/>
  <c r="P29" i="7"/>
  <c r="V22" i="7"/>
  <c r="P22" i="7"/>
  <c r="V28" i="7"/>
  <c r="P28" i="7"/>
  <c r="V15" i="7"/>
  <c r="P15" i="7"/>
  <c r="V27" i="7"/>
  <c r="P27" i="7"/>
  <c r="V25" i="7"/>
  <c r="P25" i="7"/>
  <c r="V31" i="7"/>
  <c r="P31" i="7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H35" i="7"/>
  <c r="Z35" i="7"/>
  <c r="AJ35" i="7"/>
  <c r="AB35" i="7"/>
  <c r="AF35" i="7"/>
  <c r="AD35" i="7"/>
  <c r="AJ30" i="7"/>
  <c r="Z30" i="7"/>
  <c r="AD30" i="7"/>
  <c r="AH30" i="7"/>
  <c r="AB30" i="7"/>
  <c r="AF30" i="7"/>
  <c r="AF36" i="7"/>
  <c r="Z36" i="7"/>
  <c r="AJ36" i="7"/>
  <c r="AB36" i="7"/>
  <c r="AH36" i="7"/>
  <c r="AD36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H29" i="7"/>
  <c r="AB29" i="7"/>
  <c r="AF29" i="7"/>
  <c r="Z29" i="7"/>
  <c r="AJ29" i="7"/>
  <c r="AD29" i="7"/>
  <c r="AH37" i="7"/>
  <c r="AB37" i="7"/>
  <c r="AF37" i="7"/>
  <c r="Z37" i="7"/>
  <c r="AJ37" i="7"/>
  <c r="AD37" i="7"/>
  <c r="N38" i="7"/>
  <c r="AJ38" i="7"/>
  <c r="Z38" i="7"/>
  <c r="AD38" i="7"/>
  <c r="AH38" i="7"/>
  <c r="AB38" i="7"/>
  <c r="AF38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J14" i="7"/>
  <c r="N14" i="7"/>
  <c r="G14" i="7"/>
  <c r="N39" i="7"/>
  <c r="T36" i="7"/>
  <c r="N36" i="7"/>
  <c r="N35" i="7"/>
  <c r="N32" i="7"/>
  <c r="AL37" i="7"/>
  <c r="N37" i="7"/>
  <c r="N20" i="7"/>
  <c r="AF49" i="6"/>
  <c r="AB49" i="6"/>
  <c r="R49" i="6"/>
  <c r="C1" i="30"/>
  <c r="D11" i="39"/>
  <c r="T49" i="6"/>
  <c r="J23" i="7"/>
  <c r="N23" i="7"/>
  <c r="AL23" i="7"/>
  <c r="R23" i="7"/>
  <c r="X23" i="7"/>
  <c r="AL19" i="7"/>
  <c r="T19" i="7"/>
  <c r="R35" i="7"/>
  <c r="J19" i="7"/>
  <c r="T23" i="7"/>
  <c r="N19" i="7"/>
  <c r="R19" i="7"/>
  <c r="N31" i="7"/>
  <c r="X19" i="7"/>
  <c r="J35" i="7"/>
  <c r="AL14" i="7"/>
  <c r="X14" i="7"/>
  <c r="R14" i="7"/>
  <c r="T14" i="7"/>
  <c r="AL35" i="7"/>
  <c r="J31" i="7"/>
  <c r="X31" i="7"/>
  <c r="V35" i="7"/>
  <c r="AL31" i="7"/>
  <c r="X29" i="7"/>
  <c r="R31" i="7"/>
  <c r="L35" i="7"/>
  <c r="P35" i="7"/>
  <c r="X35" i="7"/>
  <c r="N29" i="7"/>
  <c r="T35" i="7"/>
  <c r="T29" i="7"/>
  <c r="R33" i="7"/>
  <c r="T31" i="7"/>
  <c r="AL29" i="7"/>
  <c r="R29" i="7"/>
  <c r="T33" i="7"/>
  <c r="J29" i="7"/>
  <c r="J33" i="7"/>
  <c r="X33" i="7"/>
  <c r="AD43" i="7"/>
  <c r="R49" i="7"/>
  <c r="L49" i="7"/>
  <c r="Z49" i="7"/>
  <c r="V49" i="7"/>
  <c r="T32" i="7"/>
  <c r="AB49" i="7"/>
  <c r="C1" i="37"/>
  <c r="B36" i="13" s="1"/>
  <c r="L128" i="30"/>
  <c r="X27" i="7"/>
  <c r="T25" i="7"/>
  <c r="X25" i="7"/>
  <c r="N25" i="7"/>
  <c r="J27" i="7"/>
  <c r="R25" i="7"/>
  <c r="AL25" i="7"/>
  <c r="J25" i="7"/>
  <c r="AD44" i="7"/>
  <c r="AJ49" i="7"/>
  <c r="T27" i="7"/>
  <c r="N43" i="7"/>
  <c r="M140" i="30"/>
  <c r="M133" i="30"/>
  <c r="AL33" i="7"/>
  <c r="AB43" i="7"/>
  <c r="M134" i="30"/>
  <c r="T39" i="7"/>
  <c r="M138" i="30"/>
  <c r="M131" i="30"/>
  <c r="X49" i="7"/>
  <c r="M141" i="30"/>
  <c r="M142" i="30"/>
  <c r="M129" i="30"/>
  <c r="AL49" i="7"/>
  <c r="N49" i="7"/>
  <c r="X39" i="7"/>
  <c r="M128" i="30"/>
  <c r="M135" i="30"/>
  <c r="AF49" i="7"/>
  <c r="M139" i="30"/>
  <c r="M137" i="30"/>
  <c r="M130" i="30"/>
  <c r="J49" i="7"/>
  <c r="AD49" i="7"/>
  <c r="C1" i="34"/>
  <c r="P49" i="7"/>
  <c r="T49" i="7"/>
  <c r="K15" i="39"/>
  <c r="I24" i="39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J21" i="7"/>
  <c r="AC51" i="7"/>
  <c r="N15" i="7"/>
  <c r="J15" i="7"/>
  <c r="R21" i="7"/>
  <c r="AL15" i="7"/>
  <c r="X15" i="7"/>
  <c r="N21" i="7"/>
  <c r="AL21" i="7"/>
  <c r="T15" i="7"/>
  <c r="R15" i="7"/>
  <c r="B16" i="13"/>
  <c r="C16" i="13" s="1"/>
  <c r="E16" i="13" s="1"/>
  <c r="R17" i="7"/>
  <c r="N17" i="7"/>
  <c r="T17" i="7"/>
  <c r="J17" i="7"/>
  <c r="AL27" i="7"/>
  <c r="R27" i="7"/>
  <c r="T24" i="7"/>
  <c r="N27" i="7"/>
  <c r="H15" i="13"/>
  <c r="I7" i="13"/>
  <c r="K7" i="13" s="1"/>
  <c r="T28" i="7"/>
  <c r="N16" i="7"/>
  <c r="T20" i="7"/>
  <c r="M51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J24" i="7"/>
  <c r="N18" i="7"/>
  <c r="AL34" i="7"/>
  <c r="X34" i="7"/>
  <c r="R34" i="7"/>
  <c r="J34" i="7"/>
  <c r="AL30" i="7"/>
  <c r="X30" i="7"/>
  <c r="R30" i="7"/>
  <c r="J30" i="7"/>
  <c r="AL26" i="7"/>
  <c r="X26" i="7"/>
  <c r="R26" i="7"/>
  <c r="J26" i="7"/>
  <c r="AL22" i="7"/>
  <c r="X22" i="7"/>
  <c r="R22" i="7"/>
  <c r="J22" i="7"/>
  <c r="AL36" i="7"/>
  <c r="X36" i="7"/>
  <c r="R36" i="7"/>
  <c r="L36" i="7"/>
  <c r="V36" i="7"/>
  <c r="J36" i="7"/>
  <c r="P36" i="7"/>
  <c r="T34" i="7"/>
  <c r="N30" i="7"/>
  <c r="N26" i="7"/>
  <c r="N22" i="7"/>
  <c r="AL28" i="7"/>
  <c r="X28" i="7"/>
  <c r="R28" i="7"/>
  <c r="J28" i="7"/>
  <c r="T26" i="7"/>
  <c r="AL20" i="7"/>
  <c r="X20" i="7"/>
  <c r="R20" i="7"/>
  <c r="J20" i="7"/>
  <c r="AL16" i="7"/>
  <c r="X16" i="7"/>
  <c r="R16" i="7"/>
  <c r="J16" i="7"/>
  <c r="T16" i="7"/>
  <c r="AL18" i="7"/>
  <c r="X18" i="7"/>
  <c r="R18" i="7"/>
  <c r="J18" i="7"/>
  <c r="AL32" i="7"/>
  <c r="X32" i="7"/>
  <c r="R32" i="7"/>
  <c r="J32" i="7"/>
  <c r="T30" i="7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L38" i="7"/>
  <c r="X38" i="7"/>
  <c r="R38" i="7"/>
  <c r="L38" i="7"/>
  <c r="V38" i="7"/>
  <c r="P38" i="7"/>
  <c r="J38" i="7"/>
  <c r="T38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J37" i="7"/>
  <c r="R37" i="7"/>
  <c r="V37" i="7"/>
  <c r="L37" i="7"/>
  <c r="P37" i="7"/>
  <c r="T37" i="7"/>
  <c r="X37" i="7"/>
  <c r="E15" i="13"/>
  <c r="D8" i="13"/>
  <c r="E8" i="13"/>
  <c r="P107" i="8"/>
  <c r="P142" i="8" s="1"/>
  <c r="U142" i="8" s="1"/>
  <c r="Z142" i="8" s="1"/>
  <c r="AE142" i="8" s="1"/>
  <c r="AJ142" i="8" s="1"/>
  <c r="AO142" i="8" s="1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H50" i="7" l="1"/>
  <c r="AD50" i="6"/>
  <c r="T50" i="6"/>
  <c r="N50" i="6"/>
  <c r="AH50" i="6"/>
  <c r="P50" i="6"/>
  <c r="V50" i="6"/>
  <c r="L50" i="6"/>
  <c r="Z50" i="6"/>
  <c r="AB50" i="6"/>
  <c r="AJ50" i="6"/>
  <c r="R50" i="6"/>
  <c r="AL50" i="6"/>
  <c r="X50" i="6"/>
  <c r="J50" i="6"/>
  <c r="R50" i="7"/>
  <c r="AJ50" i="7"/>
  <c r="L50" i="7"/>
  <c r="P50" i="7"/>
  <c r="V50" i="7"/>
  <c r="X50" i="7"/>
  <c r="AF50" i="7"/>
  <c r="AB50" i="7"/>
  <c r="J50" i="7"/>
  <c r="Z50" i="7"/>
  <c r="AL50" i="7"/>
  <c r="C24" i="13"/>
  <c r="E36" i="39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50" i="7"/>
  <c r="AD50" i="7"/>
  <c r="T50" i="7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N34" i="13" l="1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AT142" i="8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<sst xmlns="http://schemas.openxmlformats.org/spreadsheetml/2006/main" count="11900" uniqueCount="804">
  <si>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</si>
  <si>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</si>
  <si>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</si>
  <si>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</si>
  <si>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</si>
  <si>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</si>
  <si>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</si>
  <si>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</si>
  <si>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</si>
  <si>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</si>
  <si>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</si>
  <si>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</si>
  <si>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</si>
  <si>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</si>
  <si>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</si>
  <si>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</si>
  <si>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</si>
  <si>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</si>
  <si>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</si>
  <si>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</si>
  <si>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</si>
  <si>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</si>
  <si>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</si>
  <si>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</si>
  <si>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</si>
  <si>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</si>
  <si>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</si>
  <si>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</si>
  <si>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</si>
  <si>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</si>
  <si>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</si>
  <si>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</si>
  <si>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</si>
  <si>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</si>
  <si>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</si>
  <si>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</si>
  <si>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</si>
  <si>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</si>
  <si>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</si>
  <si>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</si>
  <si>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</si>
  <si>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</si>
  <si>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</si>
  <si>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</si>
  <si>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</si>
  <si>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</si>
  <si>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</si>
  <si>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</si>
  <si>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</si>
  <si>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</si>
  <si>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</si>
  <si>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</si>
  <si>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</si>
  <si>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</si>
  <si>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</si>
  <si>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</si>
  <si>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</si>
  <si>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</si>
  <si>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</si>
  <si>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</si>
  <si>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</si>
  <si>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</si>
  <si>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</si>
  <si>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</si>
  <si>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</si>
  <si>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</si>
  <si>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</si>
  <si>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</si>
  <si>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</si>
  <si>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</si>
  <si>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</si>
  <si>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</si>
  <si>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</si>
  <si>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</si>
  <si>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</si>
  <si>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</si>
  <si>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</si>
  <si>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</si>
  <si>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</si>
  <si>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</si>
  <si>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</si>
  <si>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</si>
  <si>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</si>
  <si>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</si>
  <si>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</si>
  <si>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</si>
  <si>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</si>
  <si>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</si>
  <si>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</si>
  <si>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</si>
  <si>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</si>
  <si>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</si>
  <si>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</si>
  <si>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</si>
  <si>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</si>
  <si>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</si>
  <si>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</si>
  <si>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</si>
  <si>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</si>
  <si>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</si>
  <si>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</si>
  <si>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</si>
  <si>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</si>
  <si>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</si>
  <si>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</si>
  <si>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</si>
  <si>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</si>
  <si>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</si>
  <si>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</si>
  <si>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</si>
  <si>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</si>
  <si>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</si>
  <si>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</si>
  <si>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</si>
  <si>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</si>
  <si>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日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</si>
  <si>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</si>
  <si>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</si>
  <si>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</si>
  <si>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</si>
  <si>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</si>
  <si>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</si>
  <si>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</si>
  <si>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</si>
  <si>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</si>
  <si>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</si>
  <si>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</si>
  <si>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</si>
  <si>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</si>
  <si>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</si>
  <si>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</si>
  <si>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</si>
  <si>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</si>
  <si>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</si>
  <si>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</si>
  <si>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</si>
  <si>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</si>
  <si>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</si>
  <si>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</si>
  <si>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</si>
  <si>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</si>
  <si>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</si>
  <si>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</si>
  <si>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</si>
  <si>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</si>
  <si>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</si>
  <si>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</si>
  <si>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</si>
  <si>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</si>
  <si>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</si>
  <si>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18℃-飯糰</t>
  </si>
  <si>
    <t>18℃-壽司手卷</t>
  </si>
  <si>
    <t>4℃-飯糰</t>
  </si>
  <si>
    <t>4℃-壽司手卷</t>
  </si>
  <si>
    <t>品群</t>
    <phoneticPr fontId="13" type="noConversion"/>
  </si>
  <si>
    <t>日期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</si>
  <si>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</si>
  <si>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</si>
  <si>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</si>
  <si>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四</t>
    <phoneticPr fontId="13" type="noConversion"/>
  </si>
  <si>
    <t>六</t>
    <phoneticPr fontId="13" type="noConversion"/>
  </si>
  <si>
    <t>一</t>
    <phoneticPr fontId="13" type="noConversion"/>
  </si>
  <si>
    <t>產線配置圖－每週更新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</si>
  <si>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</si>
  <si>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</si>
  <si>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</si>
  <si>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</si>
  <si>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品群</t>
    <phoneticPr fontId="10"/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</si>
  <si>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</si>
  <si>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</si>
  <si>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</si>
  <si>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</si>
  <si>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</si>
  <si>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</si>
  <si>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</si>
  <si>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</si>
  <si>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</si>
  <si>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</si>
  <si>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</si>
  <si>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</si>
  <si>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</si>
  <si>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</si>
  <si>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</si>
  <si>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</si>
  <si>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</si>
  <si>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</si>
  <si>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3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</si>
  <si>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</si>
  <si>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</si>
  <si>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</si>
  <si>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</si>
  <si>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</si>
  <si>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</si>
  <si>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</si>
  <si>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</si>
  <si>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</si>
  <si>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</si>
  <si>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</si>
  <si>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</si>
  <si>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</si>
  <si>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</si>
  <si>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</si>
  <si>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</si>
  <si>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</si>
  <si>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</si>
  <si>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</si>
  <si>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</si>
  <si>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</si>
  <si>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</si>
  <si>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</si>
  <si>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</si>
  <si>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</si>
  <si>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</si>
  <si>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</si>
  <si>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</si>
  <si>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</si>
  <si>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</si>
  <si>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</si>
  <si>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</si>
  <si>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</si>
  <si>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</si>
  <si>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</si>
  <si>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</si>
  <si>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</si>
  <si>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</si>
  <si>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</si>
  <si>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</si>
  <si>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</si>
  <si>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</si>
  <si>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</si>
  <si>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</si>
  <si>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</si>
  <si>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</si>
  <si>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</si>
  <si>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</si>
  <si>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</si>
  <si>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</si>
  <si>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</si>
  <si>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</si>
  <si>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</si>
  <si>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</si>
  <si>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</si>
  <si>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</si>
  <si>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</si>
  <si>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</si>
  <si>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</si>
  <si>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</si>
  <si>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</si>
  <si>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</si>
  <si>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</si>
  <si>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</si>
  <si>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</si>
  <si>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</si>
  <si>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</si>
  <si>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</si>
  <si>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</si>
  <si>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</si>
  <si>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</si>
  <si>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</si>
  <si>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</si>
  <si>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</si>
  <si>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</si>
  <si>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</si>
  <si>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</si>
  <si>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</si>
  <si>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</si>
  <si>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</si>
  <si>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</si>
  <si>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</si>
  <si>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</si>
  <si>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</si>
  <si>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</si>
  <si>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</si>
  <si>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</si>
  <si>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</si>
  <si>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</si>
  <si>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</si>
  <si>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</si>
  <si>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</si>
  <si>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</si>
  <si>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</si>
  <si>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</si>
  <si>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</si>
  <si>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</si>
  <si>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</si>
  <si>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</si>
  <si>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</si>
  <si>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</si>
  <si>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</si>
  <si>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</si>
  <si>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</si>
  <si>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</si>
  <si>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</si>
  <si>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</si>
  <si>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</si>
  <si>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</si>
  <si>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</si>
  <si>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</si>
  <si>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</si>
  <si>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</si>
  <si>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</si>
  <si>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</si>
  <si>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0"/>
  </si>
  <si>
    <t>展開量高於１０5％</t>
    <phoneticPr fontId="10"/>
  </si>
  <si>
    <t>展開量高於１０5％</t>
    <phoneticPr fontId="10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</si>
  <si>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</si>
  <si>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</si>
  <si>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</si>
  <si>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</si>
  <si>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</si>
  <si>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</si>
  <si>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</si>
  <si>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</si>
  <si>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月平均人時性</t>
  </si>
  <si>
    <t>月平均人時性</t>
    <phoneticPr fontId="13" type="noConversion"/>
  </si>
  <si>
    <t>KPI</t>
    <phoneticPr fontId="13" type="noConversion"/>
  </si>
  <si>
    <t>18℃-飯糰(061,063)</t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</si>
  <si>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</si>
  <si>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</si>
  <si>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</si>
  <si>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</si>
  <si>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</si>
  <si>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</si>
  <si>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</si>
  <si>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</si>
  <si>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t>生產課</t>
  </si>
  <si>
    <t>其他</t>
  </si>
  <si>
    <t>二配金咖哩果香甘口咖哩飯</t>
  </si>
  <si>
    <t>北海道秋鮭親子飯糰</t>
  </si>
  <si>
    <t>香辣醬粉絲煲</t>
  </si>
  <si>
    <t>調配課</t>
  </si>
  <si>
    <t>共用類</t>
  </si>
  <si>
    <t>切-炙燒炭火燒肉片</t>
  </si>
  <si>
    <t>二配港式香滑嫩蛋牛肉燴飯</t>
  </si>
  <si>
    <t>營業額(元)</t>
    <phoneticPr fontId="13" type="noConversion"/>
  </si>
  <si>
    <t>營業額</t>
    <phoneticPr fontId="13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</si>
  <si>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</si>
  <si>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</si>
  <si>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</si>
  <si>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</si>
  <si>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</si>
  <si>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</si>
  <si>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</si>
  <si>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優質池上飯</t>
  </si>
  <si>
    <t>二配哞哞培根奶香海陸焗飯</t>
  </si>
  <si>
    <t>鐵板滑蛋炸豬排丼</t>
  </si>
  <si>
    <t>二配川味麻婆燒豆腐燴飯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</si>
  <si>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</si>
  <si>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</si>
  <si>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</si>
  <si>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</si>
  <si>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</si>
  <si>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</si>
  <si>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</si>
  <si>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</si>
  <si>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</si>
  <si>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</si>
  <si>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</si>
  <si>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</si>
  <si>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</si>
  <si>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</si>
  <si>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</si>
  <si>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大口蒜味香腸燒肉雙拼飯糰</t>
  </si>
  <si>
    <t>大口義式香草雞腿排飯糰</t>
  </si>
  <si>
    <t>晉欣廠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</si>
  <si>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</si>
  <si>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累計</t>
    <phoneticPr fontId="13" type="noConversion"/>
  </si>
  <si>
    <t>製程不穩</t>
  </si>
  <si>
    <t>切烤雞胸肉</t>
  </si>
  <si>
    <t>平均人時性</t>
    <phoneticPr fontId="13" type="noConversion"/>
  </si>
  <si>
    <t>排名</t>
    <phoneticPr fontId="13" type="noConversion"/>
  </si>
  <si>
    <t>實際</t>
    <phoneticPr fontId="13" type="noConversion"/>
  </si>
  <si>
    <t>品群</t>
    <phoneticPr fontId="13" type="noConversion"/>
  </si>
  <si>
    <t>計畫</t>
    <phoneticPr fontId="13" type="noConversion"/>
  </si>
  <si>
    <t>實績</t>
    <phoneticPr fontId="13" type="noConversion"/>
  </si>
  <si>
    <t>日報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</si>
  <si>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</si>
  <si>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</si>
  <si>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</si>
  <si>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</si>
  <si>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</si>
  <si>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</si>
  <si>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商品名稱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</si>
  <si>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</si>
  <si>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熱食義麵</t>
    <phoneticPr fontId="13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</si>
  <si>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</si>
  <si>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</si>
  <si>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</si>
  <si>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排名</t>
    <phoneticPr fontId="10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</si>
  <si>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</si>
  <si>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</si>
  <si>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燻之味-糖燻雞胗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</si>
  <si>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</si>
  <si>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</si>
  <si>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</si>
  <si>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</si>
  <si>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</si>
  <si>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</si>
  <si>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</si>
  <si>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</si>
  <si>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</si>
  <si>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</si>
  <si>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</si>
  <si>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</si>
  <si>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</si>
  <si>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</si>
  <si>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</si>
  <si>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</si>
  <si>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</si>
  <si>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熱食義麵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</si>
  <si>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</si>
  <si>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</si>
  <si>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</si>
  <si>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</si>
  <si>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</si>
  <si>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</si>
  <si>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</si>
  <si>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</si>
  <si>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</si>
  <si>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</si>
  <si>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</si>
  <si>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</si>
  <si>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</si>
  <si>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主食</t>
    <phoneticPr fontId="13" type="noConversion"/>
  </si>
  <si>
    <t>微波小吃</t>
    <phoneticPr fontId="13" type="noConversion"/>
  </si>
  <si>
    <t>季節調理麵</t>
    <phoneticPr fontId="13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</si>
  <si>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</si>
  <si>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</si>
  <si>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</si>
  <si>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</si>
  <si>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</si>
  <si>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</si>
  <si>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</si>
  <si>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</si>
  <si>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</si>
  <si>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日報</t>
    <phoneticPr fontId="13" type="noConversion"/>
  </si>
  <si>
    <t>實際</t>
    <phoneticPr fontId="13" type="noConversion"/>
  </si>
  <si>
    <t>平均人時性</t>
    <phoneticPr fontId="13" type="noConversion"/>
  </si>
  <si>
    <t>生產實績</t>
    <phoneticPr fontId="13" type="noConversion"/>
  </si>
  <si>
    <t>人時性</t>
    <phoneticPr fontId="13" type="noConversion"/>
  </si>
  <si>
    <t>產能／時</t>
    <phoneticPr fontId="13" type="noConversion"/>
  </si>
  <si>
    <t>排名</t>
    <phoneticPr fontId="13" type="noConversion"/>
  </si>
  <si>
    <t>人數</t>
    <phoneticPr fontId="13" type="noConversion"/>
  </si>
  <si>
    <t>季節調理麵</t>
    <phoneticPr fontId="13" type="noConversion"/>
  </si>
  <si>
    <t>品群</t>
    <phoneticPr fontId="13" type="noConversion"/>
  </si>
  <si>
    <t>微波小吃</t>
    <phoneticPr fontId="13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</si>
  <si>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</si>
  <si>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</si>
  <si>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</si>
  <si>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</si>
  <si>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</si>
  <si>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</si>
  <si>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</si>
  <si>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</si>
  <si>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</si>
  <si>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</si>
  <si>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</si>
  <si>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</si>
  <si>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</si>
  <si>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</si>
  <si>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</si>
  <si>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</si>
  <si>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</si>
  <si>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</si>
  <si>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</si>
  <si>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</si>
  <si>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</si>
  <si>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</si>
  <si>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</si>
  <si>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</si>
  <si>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</si>
  <si>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</si>
  <si>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</si>
  <si>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</si>
  <si>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</si>
  <si>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</si>
  <si>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</si>
  <si>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</si>
  <si>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</si>
  <si>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</si>
  <si>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</si>
  <si>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</si>
  <si>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產線配置圖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</si>
  <si>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</si>
  <si>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</si>
  <si>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</si>
  <si>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</si>
  <si>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</si>
  <si>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</si>
  <si>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</si>
  <si>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主食</t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</si>
  <si>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</si>
  <si>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</si>
  <si>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</si>
  <si>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海陸雙拼肉肉餐盒</t>
  </si>
  <si>
    <t>取樣不穩</t>
  </si>
  <si>
    <t>蔬活腿排補力餐盒</t>
  </si>
  <si>
    <t>類型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</si>
  <si>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</si>
  <si>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（８）超用原因別前幾名品項</t>
    <phoneticPr fontId="13" type="noConversion"/>
  </si>
  <si>
    <t>展開量高於１０5％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</si>
  <si>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</si>
  <si>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</si>
  <si>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</si>
  <si>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</si>
  <si>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</si>
  <si>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</si>
  <si>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</si>
  <si>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原物料大小、厚薄差異</t>
  </si>
  <si>
    <t>其他原因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</si>
  <si>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</si>
  <si>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t>兩粒飯糰(鮪魚.焦糖鮭魚)</t>
  </si>
  <si>
    <t>二配泰式綠咖哩雞</t>
  </si>
  <si>
    <t>香腸腿排雙拼便當</t>
  </si>
  <si>
    <t>日式蕎麥沾麵</t>
  </si>
  <si>
    <t>二配金咖哩濃厚辛口咖哩飯</t>
  </si>
  <si>
    <t>二配起司控培根白醬焗烤飯</t>
  </si>
  <si>
    <t>確認備料量是否正確，調整出料率</t>
  </si>
  <si>
    <t>回饋研發，後續開發列入考量，設定放料量範圍。</t>
  </si>
  <si>
    <t>增加線上抽秤頻率，維持人員放料手感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</si>
  <si>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</si>
  <si>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</si>
  <si>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</si>
  <si>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</si>
  <si>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</si>
  <si>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</si>
  <si>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</si>
  <si>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</si>
  <si>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</si>
  <si>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</si>
  <si>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</si>
  <si>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</si>
  <si>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</si>
  <si>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</si>
  <si>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</si>
  <si>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</si>
  <si>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</si>
  <si>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</si>
  <si>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</si>
  <si>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</si>
  <si>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</si>
  <si>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</si>
  <si>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</si>
  <si>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</si>
  <si>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</si>
  <si>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</si>
  <si>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10"/>
  </si>
  <si>
    <t>排名</t>
    <phoneticPr fontId="10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</si>
  <si>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</si>
  <si>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</si>
  <si>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品群</t>
    <phoneticPr fontId="13" type="noConversion"/>
  </si>
  <si>
    <t>平均人時性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</si>
  <si>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</si>
  <si>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壹號醬雞豚雙拼</t>
  </si>
  <si>
    <t>烤飯糰1</t>
    <phoneticPr fontId="13" type="noConversion"/>
  </si>
  <si>
    <t>烤飯糰2</t>
    <phoneticPr fontId="13" type="noConversion"/>
  </si>
  <si>
    <t>二配川燙醃嫩化淨零碳排牛肉片</t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</si>
  <si>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</si>
  <si>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</si>
  <si>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</si>
  <si>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</si>
  <si>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</si>
  <si>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</si>
  <si>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</si>
  <si>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</si>
  <si>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排名</t>
    <phoneticPr fontId="13" type="noConversion"/>
  </si>
  <si>
    <t>好吃雞肉便當</t>
  </si>
  <si>
    <t>媽媽煮藝-鹹酥雞</t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</si>
  <si>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</si>
  <si>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</si>
  <si>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</si>
  <si>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</si>
  <si>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</si>
  <si>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</si>
  <si>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</si>
  <si>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煙燻培根飯糰(區)</t>
  </si>
  <si>
    <t>長野稻荷壽司</t>
  </si>
  <si>
    <t>大口歐風焙煎咖哩漢堡排飯糰</t>
  </si>
  <si>
    <t>二配香辣醬蒜味香腸蛋炒飯</t>
  </si>
  <si>
    <t>二配里肌豬排可可咖哩歐姆蛋飯</t>
  </si>
  <si>
    <t>二配黃金雞排蘑菇白醬歐姆蛋飯</t>
  </si>
  <si>
    <t>二配鐵板豆腐燴蛋蓋飯</t>
  </si>
  <si>
    <t>賣相要求</t>
  </si>
  <si>
    <t>媽媽煮藝-香滷牛肚絲</t>
  </si>
  <si>
    <t>壹號醬壽喜燒牛丼</t>
  </si>
  <si>
    <t>炒壽喜燒牛五花</t>
  </si>
  <si>
    <t>原物料的大小長短、油花分布不同導致相同賣相的需求下用量不一樣。</t>
  </si>
  <si>
    <t>韓式泡菜豬肉豆腐丼飯</t>
  </si>
  <si>
    <t>二配溏心蛋五目飯糰</t>
  </si>
  <si>
    <t>香檸奶油魚排蔬滿盒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</si>
  <si>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</si>
  <si>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</si>
  <si>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</si>
  <si>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</si>
  <si>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二配鹽水G絲飯糰</t>
  </si>
  <si>
    <t>炸醬炒泡麵</t>
  </si>
  <si>
    <t>鐵道滷排便當</t>
  </si>
  <si>
    <t>單價高</t>
  </si>
  <si>
    <t>柚檸海灣貝飯糰</t>
  </si>
  <si>
    <t>鮭鮪海饌雙手卷</t>
  </si>
  <si>
    <t>經典人氣雙手卷</t>
  </si>
  <si>
    <t>和風涓絲冷麵</t>
  </si>
  <si>
    <t>山葵章魚飯糰</t>
  </si>
  <si>
    <t>滿滿高麗菜豆芽鐵板麵</t>
  </si>
  <si>
    <t>二配兩粒飯糰(鮪魚.焦糖鮭魚)</t>
  </si>
  <si>
    <t>鰹魚烏龍冷麵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</si>
  <si>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</si>
  <si>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%</t>
  </si>
  <si>
    <t>元</t>
  </si>
  <si>
    <t>展開量高於需求量</t>
  </si>
  <si>
    <t>百分比</t>
  </si>
  <si>
    <t>晉欣廠半成品管理日別總表</t>
    <phoneticPr fontId="13" type="noConversion"/>
  </si>
  <si>
    <t>日式炙烤親子丼</t>
  </si>
  <si>
    <t>黑胡椒洋蔥豬飯糰</t>
  </si>
  <si>
    <t>二配香烤魚排青醬燉飯</t>
  </si>
  <si>
    <t>懷舊滷雙拼便當</t>
  </si>
  <si>
    <t>黑胡椒毛豆</t>
  </si>
  <si>
    <t>毛豆三兄弟</t>
  </si>
  <si>
    <t>椒鹽檸檬鯖魚飯糰</t>
  </si>
  <si>
    <t>皮蛋辣拌麵</t>
  </si>
  <si>
    <t>日式胡麻雞絲冷麵</t>
  </si>
  <si>
    <t>蒸手撕雞</t>
  </si>
  <si>
    <t>二配打拋風味豬肉飯</t>
  </si>
  <si>
    <t>生產前先行撥散半成品，便於人員放樣</t>
  </si>
  <si>
    <t>蒸-醬香雞肉絲CL(全)</t>
  </si>
  <si>
    <t>明太子生鮭飯糰(區)</t>
  </si>
  <si>
    <t>二配厚香料優格咖哩雞排飯</t>
  </si>
  <si>
    <t>慢燉滷肉油蔥粄條</t>
  </si>
  <si>
    <t>嘉義崇文白醋涼麵</t>
  </si>
  <si>
    <t>雞汁油蔥手工麵線</t>
  </si>
  <si>
    <t>二配藤椒雞丁炒飯</t>
  </si>
  <si>
    <t>二配烤藤椒雞丁</t>
  </si>
  <si>
    <t>招牌雞絲胡麻涼麵</t>
  </si>
  <si>
    <t>菜梗、葉差異及分布不均，影響人員放料手感</t>
  </si>
  <si>
    <t>燻之味-糖燻雞腿</t>
  </si>
  <si>
    <t>香辣醬雞肉炒飯飯糰</t>
  </si>
  <si>
    <t>韓式黑嚕嚕炸醬麵</t>
  </si>
  <si>
    <t>半成品有結塊的狀況，影響人員放料手感</t>
  </si>
  <si>
    <t>川味花椒口水雞涼麵</t>
  </si>
  <si>
    <t>炙烤醬香燒豚飯</t>
  </si>
  <si>
    <t>確認備料量</t>
  </si>
  <si>
    <t>二配酸酸辣辣椒麻雞飯</t>
  </si>
  <si>
    <t>二配西班牙風味海鮮燉飯</t>
  </si>
  <si>
    <t>原物料的大小、長短、厚薄分布差異導致取樣易有不穩定的狀況</t>
  </si>
  <si>
    <t>二配大飯糰泡菜鮪魚</t>
  </si>
  <si>
    <t>二配油煮蛤蜊-肉</t>
  </si>
  <si>
    <t>二配西班牙烤雞腿丁(115年)</t>
  </si>
  <si>
    <t>二配鮭魚毛豆炊飯飯糰</t>
  </si>
  <si>
    <t>二配柚香雞胸五穀飯糰</t>
  </si>
  <si>
    <t>類型</t>
  </si>
  <si>
    <t>半成品名</t>
  </si>
  <si>
    <t>單價</t>
  </si>
  <si>
    <t>報廢率</t>
  </si>
  <si>
    <t>數量</t>
  </si>
  <si>
    <t>地中海布格麥烤魚餐盒</t>
  </si>
  <si>
    <t>前幾名合計比例</t>
  </si>
  <si>
    <t>前幾名合計金額</t>
  </si>
  <si>
    <t>增加放料抽秤頻率</t>
  </si>
  <si>
    <t>超用率</t>
  </si>
  <si>
    <t>調理多產</t>
  </si>
  <si>
    <t>賣相設定</t>
  </si>
  <si>
    <t>回饋研發，後續開發列入考量。</t>
  </si>
  <si>
    <t>炒泡麵豬肉片</t>
  </si>
  <si>
    <t>報廢前二十名紀錄表</t>
  </si>
  <si>
    <t>月別</t>
  </si>
  <si>
    <t>排序</t>
  </si>
  <si>
    <t>半成品名稱</t>
  </si>
  <si>
    <t>報廢金額
(元)</t>
  </si>
  <si>
    <t>半成品單價
(元/kg)</t>
  </si>
  <si>
    <t>訂單需求
(kg/個)</t>
  </si>
  <si>
    <t>生管展開</t>
  </si>
  <si>
    <t>生產實際產出</t>
  </si>
  <si>
    <t>生產補單</t>
  </si>
  <si>
    <t>總產出</t>
  </si>
  <si>
    <t>報廢</t>
  </si>
  <si>
    <t>超用A(多展)</t>
  </si>
  <si>
    <t>超用B(多展-報廢)</t>
  </si>
  <si>
    <t>分析原因</t>
  </si>
  <si>
    <t>原因說明</t>
  </si>
  <si>
    <t>後續對策</t>
  </si>
  <si>
    <t>次數</t>
  </si>
  <si>
    <t>分析原因（件）</t>
  </si>
  <si>
    <t>kg/個</t>
  </si>
  <si>
    <t>原因分析</t>
  </si>
  <si>
    <t>總件數</t>
  </si>
  <si>
    <t>準備課</t>
  </si>
  <si>
    <r>
      <rPr>
        <b/>
        <sz val="16"/>
        <color rgb="FF000000"/>
        <rFont val="Microsoft JhengHei"/>
        <family val="2"/>
      </rPr>
      <t>報廢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</si>
  <si>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超用前二十名紀錄表</t>
  </si>
  <si>
    <t>超用金額
(元)</t>
  </si>
  <si>
    <r>
      <rPr>
        <b/>
        <sz val="16"/>
        <color rgb="FF000000"/>
        <rFont val="Microsoft JhengHei"/>
        <family val="2"/>
      </rPr>
      <t>超用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</si>
  <si>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7月總報廢合計</t>
    <phoneticPr fontId="13" type="noConversion"/>
  </si>
  <si>
    <t>7月總報廢率</t>
    <phoneticPr fontId="13" type="noConversion"/>
  </si>
  <si>
    <r>
      <t>7月總超用A合計金額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</si>
  <si>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r>
      <t>7月總超用率A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</si>
  <si>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t>7月總超用B合計金額
(多展-報廢)</t>
    <phoneticPr fontId="13" type="noConversion"/>
  </si>
  <si>
    <t>7月總超用率B
(多展-報廢)</t>
    <phoneticPr fontId="13" type="noConversion"/>
  </si>
  <si>
    <t>廢棄週合計</t>
    <phoneticPr fontId="13" type="noConversion"/>
  </si>
  <si>
    <t>超用週合計</t>
    <phoneticPr fontId="13" type="noConversion"/>
  </si>
  <si>
    <t>日期</t>
    <phoneticPr fontId="81" type="noConversion"/>
  </si>
  <si>
    <t>報廢額</t>
    <phoneticPr fontId="81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</si>
  <si>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</si>
  <si>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81" type="noConversion"/>
  </si>
  <si>
    <t>超用率A</t>
    <phoneticPr fontId="13" type="noConversion"/>
  </si>
  <si>
    <t>超用額B</t>
    <phoneticPr fontId="81" type="noConversion"/>
  </si>
  <si>
    <t>超用率B</t>
    <phoneticPr fontId="13" type="noConversion"/>
  </si>
  <si>
    <t>營業額合計</t>
    <phoneticPr fontId="81" type="noConversion"/>
  </si>
  <si>
    <t>二配鮭魚毛豆炊飯飯糰</t>
    <phoneticPr fontId="13" type="noConversion"/>
  </si>
  <si>
    <t>大口法式蕈菇起司雞排飯糰</t>
  </si>
  <si>
    <t>銀鮭美乃滋脆卷</t>
  </si>
  <si>
    <t>比例</t>
  </si>
  <si>
    <t>前20名原因分析</t>
  </si>
  <si>
    <t>項目</t>
  </si>
  <si>
    <t>超用</t>
  </si>
  <si>
    <t>金門高粱酒雞絲涼麵</t>
  </si>
  <si>
    <t>二配玉米濃湯焗烤飯</t>
  </si>
  <si>
    <t>二配炒奶香玉米</t>
  </si>
  <si>
    <t>金門高粱腿排蒜香白肉便當</t>
  </si>
  <si>
    <t>切-烤醃漬五花肉片</t>
  </si>
  <si>
    <t>川燙枸杞</t>
  </si>
  <si>
    <t>二配美味蟹煲</t>
  </si>
  <si>
    <t>二配蒸紅雪蟹肉</t>
  </si>
  <si>
    <t>煮皮蛋拌麵醬</t>
  </si>
  <si>
    <t>韓式辣醬起司熱狗飯卷</t>
  </si>
  <si>
    <t>業績金額</t>
  </si>
  <si>
    <t>炒紅K碎蛋</t>
  </si>
  <si>
    <t>西西里風烤飯糰</t>
  </si>
  <si>
    <t>二配泰式椰香綠咖哩醬</t>
  </si>
  <si>
    <t>煮黑嚕嚕炸醬</t>
  </si>
  <si>
    <t>清洗青蔥絲</t>
  </si>
  <si>
    <t>炙烤雞腿丁(113年)</t>
  </si>
  <si>
    <t>二配炒綠咖哩腿肉片</t>
  </si>
  <si>
    <t>川燙青花菜</t>
  </si>
  <si>
    <t>二配蒸果香甘口咖哩腿丁</t>
  </si>
  <si>
    <t>二配烤鹹蛋黃碎</t>
  </si>
  <si>
    <t>蒸-全熟雞肉絲CL(升)</t>
  </si>
  <si>
    <t>二配濃辛辣咖哩醬(114年)</t>
  </si>
  <si>
    <t>加熱時間長短影響最終出料</t>
  </si>
  <si>
    <t>穩定加熱時間</t>
  </si>
  <si>
    <t>炒泡麵炒蛋</t>
  </si>
  <si>
    <t>切皮蛋丁</t>
  </si>
  <si>
    <t>放料時半成品會有沾黏的狀況，影響到放料</t>
  </si>
  <si>
    <t>增加線上抽稱的狀況</t>
  </si>
  <si>
    <t>筋子銀鮭飯糰</t>
  </si>
  <si>
    <t>二配泰式檸檬魚飯</t>
  </si>
  <si>
    <t>W4</t>
    <phoneticPr fontId="13" type="noConversion"/>
  </si>
  <si>
    <t>7/21-7/27</t>
  </si>
  <si>
    <t>焙炒芝麻肉鬆</t>
  </si>
  <si>
    <t>煮茄汁豆腐</t>
  </si>
  <si>
    <t>二配奶香起司醬</t>
  </si>
  <si>
    <t>二配炒解凍11N培根片</t>
  </si>
  <si>
    <t>日式焙煎咖哩醬</t>
  </si>
  <si>
    <t>二配鼎泰豐-麻婆豆腐燴汁(113年)</t>
  </si>
  <si>
    <t>二配蒸蛤蜊-肉</t>
  </si>
  <si>
    <t>二配鼎泰豐-煮麻婆豆腐(113年)</t>
  </si>
  <si>
    <t>小黃瓜絲</t>
  </si>
  <si>
    <t>炒鼎泰豐香辣醬</t>
  </si>
  <si>
    <t>自製蔥油-料(粄條)</t>
  </si>
  <si>
    <t>炒醬香豆瓣肉燥</t>
  </si>
  <si>
    <t>二配歐姆蛋(111年版)</t>
  </si>
  <si>
    <t>蒜炒紅K高麗菜(111年)</t>
  </si>
  <si>
    <t>蒸箱飯袋覆蓋不足，加熱過程中水氣跑入飯袋內，導致產出有多</t>
  </si>
  <si>
    <t>增加人員教育訓練，確認覆蓋手法</t>
  </si>
  <si>
    <t>煮慢燉滷肉</t>
  </si>
  <si>
    <t>備料異常</t>
  </si>
  <si>
    <t>反映調配課級確認現場作業狀況</t>
  </si>
  <si>
    <t>二配炒打拋肉醬</t>
  </si>
  <si>
    <t>半成品會沾黏人員手部，影響放料手感，導致放料不穩</t>
  </si>
  <si>
    <t>固定頻率清潔手部，增加抽秤品率，穩定放料</t>
  </si>
  <si>
    <t>炒混蔬</t>
  </si>
  <si>
    <t>煮洋蔥豬肉</t>
  </si>
  <si>
    <t>炒泡麵高麗菜</t>
  </si>
  <si>
    <t>炒韓式燒肉(115年)</t>
  </si>
  <si>
    <t>二配蒸燻腸片</t>
  </si>
  <si>
    <t>青木瓜雞絲泰泰雙手卷</t>
  </si>
  <si>
    <t>打拋風味豬肉拌麵</t>
  </si>
  <si>
    <t>月見烏龍冷麵</t>
  </si>
  <si>
    <t>－</t>
    <phoneticPr fontId="13" type="noConversion"/>
  </si>
  <si>
    <t>飯糰排名前段品項，皆是使用GKK生產的單餡飯糰，產能及人時生產性相近，對比上週差異小。</t>
    <phoneticPr fontId="13" type="noConversion"/>
  </si>
  <si>
    <t>▲</t>
    <phoneticPr fontId="13" type="noConversion"/>
  </si>
  <si>
    <t>▼</t>
    <phoneticPr fontId="13" type="noConversion"/>
  </si>
  <si>
    <t>▼1</t>
    <phoneticPr fontId="10"/>
  </si>
  <si>
    <t>▼2</t>
    <phoneticPr fontId="10"/>
  </si>
  <si>
    <t>▼3</t>
    <phoneticPr fontId="10"/>
  </si>
  <si>
    <t>▼4</t>
    <phoneticPr fontId="10"/>
  </si>
  <si>
    <t>▼5</t>
    <phoneticPr fontId="10"/>
  </si>
  <si>
    <t>品群</t>
    <phoneticPr fontId="10"/>
  </si>
  <si>
    <t>排名</t>
    <phoneticPr fontId="10"/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</si>
  <si>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</si>
  <si>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</si>
  <si>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</si>
  <si>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</si>
  <si>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</si>
  <si>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對比上週差異小</t>
    <phoneticPr fontId="13" type="noConversion"/>
  </si>
  <si>
    <r>
      <t>7/21</t>
    </r>
    <r>
      <rPr>
        <sz val="10"/>
        <color theme="1"/>
        <rFont val="細明體"/>
        <family val="3"/>
        <charset val="136"/>
      </rPr>
      <t>新品，與另外兩支雙手捲性質相同，人時生產性對比另外兩隻雙手捲差異小。</t>
    </r>
    <phoneticPr fontId="13" type="noConversion"/>
  </si>
  <si>
    <t>兩支烤飯糰商品皆為單一半成品，直接入膜包裝，產能及人時生產性差異小。</t>
    <phoneticPr fontId="13" type="noConversion"/>
  </si>
  <si>
    <t>兩支品項皆為僅有單一半成品，並使用機台包裝，產能及人時生產性接近。對比上週差異小。</t>
    <phoneticPr fontId="13" type="noConversion"/>
  </si>
  <si>
    <t>對比上週差異小。</t>
    <phoneticPr fontId="13" type="noConversion"/>
  </si>
  <si>
    <t>人員熟悉度提升，產能及人時生產性對比上週成長</t>
    <phoneticPr fontId="13" type="noConversion"/>
  </si>
  <si>
    <r>
      <t>餐盒類商品半成品數多，且有賣相需求，人時生</t>
    </r>
    <r>
      <rPr>
        <sz val="8"/>
        <color theme="1"/>
        <rFont val="細明體"/>
        <family val="3"/>
        <charset val="136"/>
      </rPr>
      <t>產</t>
    </r>
    <r>
      <rPr>
        <sz val="8"/>
        <color theme="1"/>
        <rFont val="Meiryo UI"/>
        <family val="2"/>
      </rPr>
      <t>性較低。對比上週差異小。</t>
    </r>
    <phoneticPr fontId="13" type="noConversion"/>
  </si>
  <si>
    <t>打拋風味豬肉拌麵</t>
    <phoneticPr fontId="13" type="noConversion"/>
  </si>
  <si>
    <r>
      <t>7/21</t>
    </r>
    <r>
      <rPr>
        <sz val="11"/>
        <color theme="1"/>
        <rFont val="細明體"/>
        <family val="3"/>
        <charset val="136"/>
      </rPr>
      <t>新品，半成品數少，使用人數少，人時生產性較高。</t>
    </r>
    <phoneticPr fontId="13" type="noConversion"/>
  </si>
  <si>
    <t>當週訓練新進人員，使用人數對比上週多一人，人時生產性對比上週下降</t>
    <phoneticPr fontId="13" type="noConversion"/>
  </si>
  <si>
    <t>皆為單一半成品，且皆為八爪機包裝，產能平均，產能及人時生產性差異小。</t>
    <phoneticPr fontId="13" type="noConversion"/>
  </si>
  <si>
    <t>該品項僅需擦拭、打印、貼標，性質相同，產能及人時生產性差異小，對比上週差異小。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</si>
</sst>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2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1"/>
      <color theme="1"/>
      <name val="Microsoft JhengHei"/>
      <family val="3"/>
    </font>
    <font>
      <sz val="12"/>
      <color theme="1"/>
      <name val="細明體"/>
      <family val="2"/>
      <charset val="136"/>
    </font>
    <font>
      <sz val="9"/>
      <color rgb="FFFF0000"/>
      <name val="Meiryo UI"/>
      <family val="2"/>
    </font>
    <font>
      <sz val="6"/>
      <name val="Meiryo UI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6"/>
      <color theme="1"/>
      <name val="細明體"/>
      <family val="3"/>
      <charset val="136"/>
    </font>
    <font>
      <b/>
      <sz val="16"/>
      <color rgb="FF000000"/>
      <name val="Microsoft JhengHei"/>
      <family val="2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6"/>
      <color theme="1"/>
      <name val="細明體"/>
      <family val="2"/>
      <charset val="136"/>
    </font>
    <font>
      <sz val="11"/>
      <color theme="1"/>
      <name val="Microsoft JhengHei"/>
      <family val="2"/>
    </font>
    <font>
      <sz val="6"/>
      <color theme="1"/>
      <name val="Meiryo UI"/>
      <family val="2"/>
    </font>
    <font>
      <sz val="8"/>
      <color theme="1"/>
      <name val="Meiryo UI"/>
      <family val="2"/>
    </font>
    <font>
      <sz val="8"/>
      <color theme="1"/>
      <name val="細明體"/>
      <family val="3"/>
      <charset val="136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double">
        <color rgb="FF000000"/>
      </left>
      <right/>
      <top style="thin">
        <color indexed="64"/>
      </top>
      <bottom style="thin">
        <color indexed="64"/>
      </bottom>
      <diagonal/>
    </border>
  </borders>
  <cellStyleXfs count="584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83" fillId="0" borderId="0"/>
    <xf numFmtId="9" fontId="83" fillId="0" borderId="0" applyFont="0" applyFill="0" applyBorder="0" applyAlignment="0" applyProtection="0"/>
    <xf numFmtId="0" fontId="84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9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196" fontId="85" fillId="0" borderId="0"/>
    <xf numFmtId="0" fontId="9" fillId="0" borderId="0"/>
    <xf numFmtId="0" fontId="83" fillId="0" borderId="0">
      <alignment vertical="center"/>
    </xf>
    <xf numFmtId="0" fontId="86" fillId="0" borderId="0"/>
    <xf numFmtId="42" fontId="84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>
      <alignment vertical="top"/>
    </xf>
    <xf numFmtId="0" fontId="9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9" fillId="0" borderId="0"/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83" fillId="0" borderId="0"/>
    <xf numFmtId="0" fontId="83" fillId="0" borderId="0"/>
    <xf numFmtId="0" fontId="89" fillId="0" borderId="0"/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/>
    <xf numFmtId="0" fontId="83" fillId="0" borderId="0"/>
    <xf numFmtId="0" fontId="3" fillId="0" borderId="0">
      <alignment vertical="center"/>
    </xf>
    <xf numFmtId="0" fontId="86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3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6" fillId="0" borderId="0" applyFont="0" applyFill="0" applyBorder="0" applyAlignment="0" applyProtection="0">
      <alignment vertical="center"/>
    </xf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44" fontId="89" fillId="0" borderId="0" applyFont="0" applyFill="0" applyBorder="0" applyAlignment="0" applyProtection="0">
      <alignment vertical="center"/>
    </xf>
    <xf numFmtId="0" fontId="93" fillId="0" borderId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5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5" fillId="1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32">
    <xf numFmtId="0" fontId="0" fillId="0" borderId="0" xfId="0" applyFont="1" applyAlignment="1"/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 applyAlignment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 applyAlignment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 applyAlignment="1"/>
    <xf numFmtId="0" fontId="14" fillId="0" borderId="0" xfId="0" applyFont="1" applyAlignment="1"/>
    <xf numFmtId="0" fontId="18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6" fillId="0" borderId="0" xfId="0" applyFont="1" applyAlignme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horizontal="center"/>
    </xf>
    <xf numFmtId="176" fontId="27" fillId="0" borderId="0" xfId="0" applyNumberFormat="1" applyFont="1" applyFill="1" applyAlignment="1">
      <alignment horizontal="center" vertical="center"/>
    </xf>
    <xf numFmtId="176" fontId="26" fillId="0" borderId="0" xfId="0" applyNumberFormat="1" applyFont="1" applyFill="1" applyAlignment="1"/>
    <xf numFmtId="177" fontId="26" fillId="0" borderId="0" xfId="0" applyNumberFormat="1" applyFont="1" applyFill="1" applyAlignment="1"/>
    <xf numFmtId="178" fontId="26" fillId="0" borderId="0" xfId="0" applyNumberFormat="1" applyFont="1" applyFill="1" applyAlignment="1"/>
    <xf numFmtId="10" fontId="26" fillId="0" borderId="0" xfId="0" applyNumberFormat="1" applyFont="1" applyFill="1" applyAlignment="1"/>
    <xf numFmtId="176" fontId="27" fillId="6" borderId="0" xfId="0" applyNumberFormat="1" applyFont="1" applyFill="1" applyAlignment="1">
      <alignment horizontal="center" vertical="center"/>
    </xf>
    <xf numFmtId="176" fontId="27" fillId="7" borderId="0" xfId="0" applyNumberFormat="1" applyFont="1" applyFill="1" applyAlignment="1">
      <alignment horizontal="center" vertical="center"/>
    </xf>
    <xf numFmtId="180" fontId="26" fillId="0" borderId="0" xfId="0" applyNumberFormat="1" applyFont="1" applyFill="1" applyAlignment="1"/>
    <xf numFmtId="180" fontId="14" fillId="0" borderId="0" xfId="0" applyNumberFormat="1" applyFont="1" applyAlignment="1"/>
    <xf numFmtId="176" fontId="17" fillId="0" borderId="0" xfId="0" applyNumberFormat="1" applyFont="1" applyFill="1" applyAlignment="1">
      <alignment horizontal="center" vertical="center"/>
    </xf>
    <xf numFmtId="180" fontId="17" fillId="0" borderId="0" xfId="0" applyNumberFormat="1" applyFont="1" applyFill="1" applyAlignment="1">
      <alignment horizontal="center" vertical="center"/>
    </xf>
    <xf numFmtId="182" fontId="26" fillId="0" borderId="0" xfId="0" applyNumberFormat="1" applyFont="1" applyFill="1" applyAlignment="1"/>
    <xf numFmtId="0" fontId="26" fillId="0" borderId="0" xfId="0" applyFont="1" applyFill="1" applyAlignment="1">
      <alignment vertical="center"/>
    </xf>
    <xf numFmtId="182" fontId="27" fillId="0" borderId="22" xfId="0" applyNumberFormat="1" applyFont="1" applyFill="1" applyBorder="1" applyAlignment="1">
      <alignment horizontal="center" vertical="center"/>
    </xf>
    <xf numFmtId="10" fontId="27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/>
    <xf numFmtId="182" fontId="26" fillId="0" borderId="0" xfId="0" applyNumberFormat="1" applyFont="1" applyFill="1" applyAlignment="1">
      <alignment horizontal="center"/>
    </xf>
    <xf numFmtId="0" fontId="29" fillId="0" borderId="0" xfId="0" applyFont="1" applyFill="1" applyAlignment="1"/>
    <xf numFmtId="177" fontId="26" fillId="0" borderId="0" xfId="0" applyNumberFormat="1" applyFont="1" applyFill="1" applyAlignment="1">
      <alignment horizontal="center"/>
    </xf>
    <xf numFmtId="177" fontId="17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7" fillId="0" borderId="3" xfId="0" applyFont="1" applyBorder="1" applyAlignment="1">
      <alignment vertical="center" shrinkToFit="1"/>
    </xf>
    <xf numFmtId="0" fontId="7" fillId="0" borderId="8" xfId="0" applyFont="1" applyBorder="1" applyAlignment="1">
      <alignment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11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6" fillId="0" borderId="22" xfId="0" applyFont="1" applyFill="1" applyBorder="1" applyAlignment="1">
      <alignment shrinkToFit="1"/>
    </xf>
    <xf numFmtId="0" fontId="26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6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6" fillId="0" borderId="0" xfId="0" applyFont="1" applyFill="1" applyBorder="1" applyAlignment="1">
      <alignment horizontal="center" shrinkToFit="1"/>
    </xf>
    <xf numFmtId="0" fontId="26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8" fillId="0" borderId="22" xfId="0" applyNumberFormat="1" applyFont="1" applyFill="1" applyBorder="1" applyAlignment="1">
      <alignment shrinkToFit="1"/>
    </xf>
    <xf numFmtId="10" fontId="28" fillId="0" borderId="22" xfId="0" applyNumberFormat="1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7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right" shrinkToFit="1"/>
    </xf>
    <xf numFmtId="0" fontId="11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26" fillId="0" borderId="0" xfId="0" applyFont="1" applyBorder="1" applyAlignment="1">
      <alignment shrinkToFit="1"/>
    </xf>
    <xf numFmtId="0" fontId="26" fillId="4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4" borderId="0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8" fillId="4" borderId="22" xfId="0" applyFont="1" applyFill="1" applyBorder="1" applyAlignment="1">
      <alignment horizont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8" fillId="5" borderId="22" xfId="0" applyFont="1" applyFill="1" applyBorder="1" applyAlignment="1">
      <alignment horizontal="center" vertical="center" shrinkToFit="1"/>
    </xf>
    <xf numFmtId="0" fontId="28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6" fillId="5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0" borderId="22" xfId="0" applyNumberFormat="1" applyFont="1" applyBorder="1" applyAlignment="1">
      <alignment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26" fillId="0" borderId="0" xfId="11" applyFont="1" applyBorder="1" applyAlignment="1">
      <alignment shrinkToFit="1"/>
    </xf>
    <xf numFmtId="0" fontId="26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8" fillId="0" borderId="22" xfId="11" applyNumberFormat="1" applyFont="1" applyFill="1" applyBorder="1" applyAlignment="1">
      <alignment shrinkToFit="1"/>
    </xf>
    <xf numFmtId="10" fontId="28" fillId="0" borderId="22" xfId="11" applyNumberFormat="1" applyFont="1" applyFill="1" applyBorder="1" applyAlignment="1">
      <alignment shrinkToFit="1"/>
    </xf>
    <xf numFmtId="0" fontId="26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34" xfId="0" applyFont="1" applyFill="1" applyBorder="1" applyAlignment="1">
      <alignment horizontal="left" vertical="center"/>
    </xf>
    <xf numFmtId="0" fontId="35" fillId="0" borderId="26" xfId="0" applyFont="1" applyFill="1" applyBorder="1" applyAlignment="1">
      <alignment horizontal="left" vertical="center"/>
    </xf>
    <xf numFmtId="0" fontId="35" fillId="0" borderId="36" xfId="0" applyFont="1" applyFill="1" applyBorder="1" applyAlignment="1">
      <alignment horizontal="left" vertical="center"/>
    </xf>
    <xf numFmtId="0" fontId="35" fillId="0" borderId="32" xfId="0" applyFont="1" applyFill="1" applyBorder="1" applyAlignment="1">
      <alignment horizontal="left" vertical="center"/>
    </xf>
    <xf numFmtId="0" fontId="35" fillId="0" borderId="37" xfId="0" applyFont="1" applyFill="1" applyBorder="1" applyAlignment="1">
      <alignment horizontal="left" vertical="center"/>
    </xf>
    <xf numFmtId="0" fontId="7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6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68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9" fillId="5" borderId="23" xfId="11" applyFont="1" applyFill="1" applyBorder="1" applyAlignment="1">
      <alignment horizontal="center" vertical="center"/>
    </xf>
    <xf numFmtId="3" fontId="28" fillId="5" borderId="22" xfId="0" applyNumberFormat="1" applyFont="1" applyFill="1" applyBorder="1" applyAlignment="1">
      <alignment shrinkToFit="1"/>
    </xf>
    <xf numFmtId="10" fontId="28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0" fillId="0" borderId="22" xfId="0" applyNumberFormat="1" applyFont="1" applyFill="1" applyBorder="1" applyAlignment="1"/>
    <xf numFmtId="186" fontId="26" fillId="0" borderId="0" xfId="0" applyNumberFormat="1" applyFont="1" applyFill="1" applyAlignment="1"/>
    <xf numFmtId="180" fontId="26" fillId="9" borderId="0" xfId="0" applyNumberFormat="1" applyFont="1" applyFill="1" applyAlignment="1"/>
    <xf numFmtId="187" fontId="26" fillId="9" borderId="0" xfId="0" applyNumberFormat="1" applyFont="1" applyFill="1" applyAlignment="1"/>
    <xf numFmtId="177" fontId="26" fillId="9" borderId="0" xfId="0" applyNumberFormat="1" applyFont="1" applyFill="1" applyAlignment="1"/>
    <xf numFmtId="186" fontId="26" fillId="9" borderId="0" xfId="0" applyNumberFormat="1" applyFont="1" applyFill="1" applyAlignment="1"/>
    <xf numFmtId="185" fontId="26" fillId="9" borderId="0" xfId="0" applyNumberFormat="1" applyFont="1" applyFill="1" applyAlignment="1"/>
    <xf numFmtId="186" fontId="70" fillId="9" borderId="22" xfId="0" applyNumberFormat="1" applyFont="1" applyFill="1" applyBorder="1" applyAlignment="1"/>
    <xf numFmtId="177" fontId="26" fillId="9" borderId="22" xfId="0" applyNumberFormat="1" applyFont="1" applyFill="1" applyBorder="1" applyAlignment="1"/>
    <xf numFmtId="188" fontId="28" fillId="0" borderId="22" xfId="14" applyNumberFormat="1" applyFont="1" applyFill="1" applyBorder="1" applyAlignment="1">
      <alignment shrinkToFit="1"/>
    </xf>
    <xf numFmtId="189" fontId="28" fillId="5" borderId="22" xfId="0" applyNumberFormat="1" applyFont="1" applyFill="1" applyBorder="1" applyAlignment="1">
      <alignment shrinkToFit="1"/>
    </xf>
    <xf numFmtId="3" fontId="28" fillId="5" borderId="22" xfId="0" applyNumberFormat="1" applyFont="1" applyFill="1" applyBorder="1" applyAlignment="1">
      <alignment horizontal="right" shrinkToFit="1"/>
    </xf>
    <xf numFmtId="188" fontId="28" fillId="5" borderId="22" xfId="14" applyNumberFormat="1" applyFont="1" applyFill="1" applyBorder="1" applyAlignment="1">
      <alignment shrinkToFit="1"/>
    </xf>
    <xf numFmtId="0" fontId="73" fillId="0" borderId="22" xfId="0" applyFont="1" applyBorder="1" applyAlignment="1">
      <alignment horizontal="center" vertical="center" shrinkToFit="1"/>
    </xf>
    <xf numFmtId="0" fontId="74" fillId="0" borderId="22" xfId="0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190" fontId="28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shrinkToFit="1"/>
    </xf>
    <xf numFmtId="10" fontId="28" fillId="3" borderId="22" xfId="0" applyNumberFormat="1" applyFont="1" applyFill="1" applyBorder="1" applyAlignment="1">
      <alignment horizontal="center" shrinkToFit="1"/>
    </xf>
    <xf numFmtId="0" fontId="11" fillId="2" borderId="22" xfId="0" applyFont="1" applyFill="1" applyBorder="1" applyAlignment="1">
      <alignment horizontal="center" shrinkToFit="1"/>
    </xf>
    <xf numFmtId="189" fontId="26" fillId="9" borderId="0" xfId="0" applyNumberFormat="1" applyFont="1" applyFill="1" applyAlignment="1"/>
    <xf numFmtId="189" fontId="28" fillId="0" borderId="22" xfId="0" applyNumberFormat="1" applyFont="1" applyFill="1" applyBorder="1" applyAlignment="1">
      <alignment shrinkToFit="1"/>
    </xf>
    <xf numFmtId="185" fontId="28" fillId="5" borderId="22" xfId="0" applyNumberFormat="1" applyFont="1" applyFill="1" applyBorder="1" applyAlignment="1">
      <alignment shrinkToFit="1"/>
    </xf>
    <xf numFmtId="185" fontId="28" fillId="0" borderId="22" xfId="0" applyNumberFormat="1" applyFont="1" applyFill="1" applyBorder="1" applyAlignment="1">
      <alignment shrinkToFit="1"/>
    </xf>
    <xf numFmtId="183" fontId="26" fillId="0" borderId="0" xfId="0" applyNumberFormat="1" applyFont="1" applyAlignment="1">
      <alignment shrinkToFit="1"/>
    </xf>
    <xf numFmtId="9" fontId="28" fillId="5" borderId="22" xfId="0" applyNumberFormat="1" applyFont="1" applyFill="1" applyBorder="1" applyAlignment="1">
      <alignment shrinkToFit="1"/>
    </xf>
    <xf numFmtId="9" fontId="28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8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44" fillId="0" borderId="44" xfId="11" applyFont="1" applyFill="1" applyBorder="1" applyAlignment="1">
      <alignment horizontal="center" shrinkToFit="1"/>
    </xf>
    <xf numFmtId="3" fontId="36" fillId="7" borderId="6" xfId="11" applyNumberFormat="1" applyFont="1" applyFill="1" applyBorder="1" applyAlignment="1">
      <alignment shrinkToFit="1"/>
    </xf>
    <xf numFmtId="3" fontId="28" fillId="7" borderId="22" xfId="11" applyNumberFormat="1" applyFont="1" applyFill="1" applyBorder="1" applyAlignment="1">
      <alignment shrinkToFit="1"/>
    </xf>
    <xf numFmtId="10" fontId="28" fillId="0" borderId="43" xfId="11" applyNumberFormat="1" applyFont="1" applyFill="1" applyBorder="1" applyAlignment="1">
      <alignment shrinkToFit="1"/>
    </xf>
    <xf numFmtId="10" fontId="28" fillId="0" borderId="46" xfId="11" applyNumberFormat="1" applyFont="1" applyFill="1" applyBorder="1" applyAlignment="1">
      <alignment shrinkToFit="1"/>
    </xf>
    <xf numFmtId="10" fontId="28" fillId="0" borderId="47" xfId="11" applyNumberFormat="1" applyFont="1" applyFill="1" applyBorder="1" applyAlignment="1">
      <alignment shrinkToFit="1"/>
    </xf>
    <xf numFmtId="10" fontId="26" fillId="11" borderId="22" xfId="0" applyNumberFormat="1" applyFont="1" applyFill="1" applyBorder="1" applyAlignment="1"/>
    <xf numFmtId="177" fontId="71" fillId="11" borderId="0" xfId="0" applyNumberFormat="1" applyFont="1" applyFill="1" applyAlignment="1"/>
    <xf numFmtId="177" fontId="71" fillId="0" borderId="0" xfId="0" applyNumberFormat="1" applyFont="1" applyFill="1" applyAlignment="1"/>
    <xf numFmtId="10" fontId="76" fillId="11" borderId="22" xfId="0" applyNumberFormat="1" applyFont="1" applyFill="1" applyBorder="1" applyAlignment="1"/>
    <xf numFmtId="177" fontId="76" fillId="0" borderId="0" xfId="0" applyNumberFormat="1" applyFont="1" applyFill="1" applyAlignment="1"/>
    <xf numFmtId="10" fontId="76" fillId="0" borderId="0" xfId="0" applyNumberFormat="1" applyFont="1" applyFill="1" applyAlignment="1"/>
    <xf numFmtId="3" fontId="76" fillId="0" borderId="0" xfId="0" applyNumberFormat="1" applyFont="1" applyFill="1" applyAlignment="1"/>
    <xf numFmtId="186" fontId="70" fillId="11" borderId="22" xfId="0" applyNumberFormat="1" applyFont="1" applyFill="1" applyBorder="1" applyAlignment="1"/>
    <xf numFmtId="3" fontId="28" fillId="12" borderId="22" xfId="0" applyNumberFormat="1" applyFont="1" applyFill="1" applyBorder="1" applyAlignment="1">
      <alignment shrinkToFit="1"/>
    </xf>
    <xf numFmtId="10" fontId="28" fillId="12" borderId="22" xfId="0" applyNumberFormat="1" applyFont="1" applyFill="1" applyBorder="1" applyAlignment="1">
      <alignment shrinkToFit="1"/>
    </xf>
    <xf numFmtId="183" fontId="28" fillId="0" borderId="22" xfId="0" applyNumberFormat="1" applyFont="1" applyFill="1" applyBorder="1" applyAlignment="1">
      <alignment shrinkToFit="1"/>
    </xf>
    <xf numFmtId="3" fontId="28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4" fontId="28" fillId="12" borderId="22" xfId="0" applyNumberFormat="1" applyFont="1" applyFill="1" applyBorder="1" applyAlignment="1">
      <alignment horizontal="right" shrinkToFit="1"/>
    </xf>
    <xf numFmtId="189" fontId="28" fillId="12" borderId="22" xfId="0" applyNumberFormat="1" applyFont="1" applyFill="1" applyBorder="1" applyAlignment="1">
      <alignment shrinkToFit="1"/>
    </xf>
    <xf numFmtId="185" fontId="28" fillId="12" borderId="22" xfId="0" applyNumberFormat="1" applyFont="1" applyFill="1" applyBorder="1" applyAlignment="1">
      <alignment shrinkToFit="1"/>
    </xf>
    <xf numFmtId="183" fontId="7" fillId="0" borderId="0" xfId="0" applyNumberFormat="1" applyFont="1" applyBorder="1" applyAlignment="1">
      <alignment horizontal="right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6" fillId="0" borderId="0" xfId="0" applyNumberFormat="1" applyFont="1" applyFill="1" applyAlignment="1">
      <alignment shrinkToFit="1"/>
    </xf>
    <xf numFmtId="187" fontId="26" fillId="0" borderId="0" xfId="0" applyNumberFormat="1" applyFont="1" applyFill="1" applyAlignment="1"/>
    <xf numFmtId="189" fontId="26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77" fontId="26" fillId="0" borderId="0" xfId="0" applyNumberFormat="1" applyFont="1" applyFill="1" applyAlignment="1">
      <alignment horizontal="right"/>
    </xf>
    <xf numFmtId="183" fontId="28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13" borderId="37" xfId="0" applyFont="1" applyFill="1" applyBorder="1" applyAlignment="1">
      <alignment horizontal="left" vertical="center"/>
    </xf>
    <xf numFmtId="0" fontId="35" fillId="13" borderId="32" xfId="0" applyFont="1" applyFill="1" applyBorder="1" applyAlignment="1">
      <alignment horizontal="left" vertical="center"/>
    </xf>
    <xf numFmtId="0" fontId="35" fillId="13" borderId="26" xfId="0" applyFont="1" applyFill="1" applyBorder="1" applyAlignment="1">
      <alignment horizontal="left" vertical="center"/>
    </xf>
    <xf numFmtId="0" fontId="35" fillId="13" borderId="3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6" fillId="0" borderId="0" xfId="0" applyNumberFormat="1" applyFont="1" applyFill="1" applyBorder="1" applyAlignment="1"/>
    <xf numFmtId="10" fontId="26" fillId="0" borderId="0" xfId="0" applyNumberFormat="1" applyFont="1" applyFill="1" applyAlignment="1">
      <alignment vertical="center"/>
    </xf>
    <xf numFmtId="187" fontId="26" fillId="0" borderId="0" xfId="0" applyNumberFormat="1" applyFont="1" applyFill="1" applyAlignment="1">
      <alignment vertical="center"/>
    </xf>
    <xf numFmtId="177" fontId="26" fillId="0" borderId="0" xfId="0" applyNumberFormat="1" applyFont="1" applyFill="1" applyAlignment="1">
      <alignment vertical="center"/>
    </xf>
    <xf numFmtId="0" fontId="28" fillId="2" borderId="22" xfId="0" applyFont="1" applyFill="1" applyBorder="1" applyAlignment="1">
      <alignment horizontal="center" shrinkToFit="1"/>
    </xf>
    <xf numFmtId="0" fontId="62" fillId="2" borderId="1" xfId="0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9" fillId="0" borderId="0" xfId="11" applyFont="1"/>
    <xf numFmtId="0" fontId="29" fillId="0" borderId="0" xfId="11" applyFont="1" applyAlignment="1">
      <alignment vertical="center"/>
    </xf>
    <xf numFmtId="0" fontId="29" fillId="0" borderId="22" xfId="11" applyFont="1" applyBorder="1" applyAlignment="1">
      <alignment horizontal="center" vertical="center"/>
    </xf>
    <xf numFmtId="192" fontId="36" fillId="8" borderId="22" xfId="11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29" fillId="0" borderId="41" xfId="11" applyFont="1" applyBorder="1" applyAlignment="1">
      <alignment horizontal="center" vertical="center"/>
    </xf>
    <xf numFmtId="0" fontId="29" fillId="0" borderId="0" xfId="11" applyFont="1" applyAlignment="1">
      <alignment horizontal="left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0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37" xfId="0" applyFont="1" applyFill="1" applyBorder="1" applyAlignment="1">
      <alignment vertical="center"/>
    </xf>
    <xf numFmtId="177" fontId="26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8" fillId="0" borderId="22" xfId="0" applyNumberFormat="1" applyFont="1" applyBorder="1" applyAlignment="1">
      <alignment shrinkToFit="1"/>
    </xf>
    <xf numFmtId="0" fontId="33" fillId="0" borderId="27" xfId="0" applyFont="1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0" borderId="27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7" fillId="0" borderId="22" xfId="0" applyFont="1" applyBorder="1" applyAlignment="1">
      <alignment horizontal="center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45" fillId="0" borderId="51" xfId="11" applyFont="1" applyBorder="1" applyAlignment="1">
      <alignment shrinkToFit="1"/>
    </xf>
    <xf numFmtId="184" fontId="63" fillId="14" borderId="52" xfId="11" applyNumberFormat="1" applyFont="1" applyFill="1" applyBorder="1" applyAlignment="1">
      <alignment shrinkToFit="1"/>
    </xf>
    <xf numFmtId="0" fontId="26" fillId="0" borderId="53" xfId="11" applyFont="1" applyBorder="1" applyAlignment="1">
      <alignment shrinkToFit="1"/>
    </xf>
    <xf numFmtId="0" fontId="28" fillId="0" borderId="42" xfId="11" applyFont="1" applyFill="1" applyBorder="1" applyAlignment="1">
      <alignment horizontal="center" vertical="center" shrinkToFit="1"/>
    </xf>
    <xf numFmtId="0" fontId="28" fillId="0" borderId="25" xfId="11" applyFont="1" applyFill="1" applyBorder="1" applyAlignment="1">
      <alignment horizontal="center" vertical="center" shrinkToFit="1"/>
    </xf>
    <xf numFmtId="0" fontId="28" fillId="0" borderId="27" xfId="11" applyFont="1" applyFill="1" applyBorder="1" applyAlignment="1">
      <alignment horizontal="center" vertical="center" shrinkToFit="1"/>
    </xf>
    <xf numFmtId="10" fontId="36" fillId="0" borderId="60" xfId="11" applyNumberFormat="1" applyFont="1" applyFill="1" applyBorder="1" applyAlignment="1">
      <alignment shrinkToFit="1"/>
    </xf>
    <xf numFmtId="0" fontId="44" fillId="0" borderId="61" xfId="11" applyFont="1" applyFill="1" applyBorder="1" applyAlignment="1">
      <alignment horizontal="center" shrinkToFit="1"/>
    </xf>
    <xf numFmtId="3" fontId="28" fillId="7" borderId="42" xfId="11" applyNumberFormat="1" applyFont="1" applyFill="1" applyBorder="1" applyAlignment="1">
      <alignment shrinkToFit="1"/>
    </xf>
    <xf numFmtId="3" fontId="28" fillId="7" borderId="25" xfId="11" applyNumberFormat="1" applyFont="1" applyFill="1" applyBorder="1" applyAlignment="1">
      <alignment shrinkToFit="1"/>
    </xf>
    <xf numFmtId="10" fontId="28" fillId="0" borderId="27" xfId="11" applyNumberFormat="1" applyFont="1" applyFill="1" applyBorder="1" applyAlignment="1">
      <alignment shrinkToFit="1"/>
    </xf>
    <xf numFmtId="0" fontId="44" fillId="0" borderId="62" xfId="11" applyFont="1" applyFill="1" applyBorder="1" applyAlignment="1">
      <alignment horizontal="center" shrinkToFit="1"/>
    </xf>
    <xf numFmtId="3" fontId="36" fillId="7" borderId="45" xfId="11" applyNumberFormat="1" applyFont="1" applyFill="1" applyBorder="1" applyAlignment="1">
      <alignment shrinkToFit="1"/>
    </xf>
    <xf numFmtId="10" fontId="36" fillId="0" borderId="63" xfId="11" applyNumberFormat="1" applyFont="1" applyFill="1" applyBorder="1" applyAlignment="1">
      <alignment shrinkToFit="1"/>
    </xf>
    <xf numFmtId="0" fontId="44" fillId="0" borderId="64" xfId="11" applyFont="1" applyFill="1" applyBorder="1" applyAlignment="1">
      <alignment horizontal="center" shrinkToFit="1"/>
    </xf>
    <xf numFmtId="3" fontId="28" fillId="7" borderId="65" xfId="11" applyNumberFormat="1" applyFont="1" applyFill="1" applyBorder="1" applyAlignment="1">
      <alignment shrinkToFit="1"/>
    </xf>
    <xf numFmtId="10" fontId="28" fillId="0" borderId="66" xfId="11" applyNumberFormat="1" applyFont="1" applyFill="1" applyBorder="1" applyAlignment="1">
      <alignment shrinkToFit="1"/>
    </xf>
    <xf numFmtId="1" fontId="7" fillId="3" borderId="1" xfId="0" applyNumberFormat="1" applyFont="1" applyFill="1" applyBorder="1" applyAlignment="1">
      <alignment shrinkToFit="1"/>
    </xf>
    <xf numFmtId="1" fontId="28" fillId="3" borderId="18" xfId="0" applyNumberFormat="1" applyFont="1" applyFill="1" applyBorder="1" applyAlignment="1">
      <alignment shrinkToFit="1"/>
    </xf>
    <xf numFmtId="0" fontId="29" fillId="8" borderId="22" xfId="11" applyFont="1" applyFill="1" applyBorder="1" applyAlignment="1">
      <alignment horizontal="left" vertical="center"/>
    </xf>
    <xf numFmtId="197" fontId="36" fillId="4" borderId="22" xfId="11" applyNumberFormat="1" applyFont="1" applyFill="1" applyBorder="1" applyAlignment="1">
      <alignment horizontal="center" vertical="center"/>
    </xf>
    <xf numFmtId="198" fontId="36" fillId="8" borderId="22" xfId="11" applyNumberFormat="1" applyFont="1" applyFill="1" applyBorder="1" applyAlignment="1">
      <alignment horizontal="center" vertical="center"/>
    </xf>
    <xf numFmtId="198" fontId="36" fillId="8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0" fontId="0" fillId="0" borderId="0" xfId="0"/>
    <xf numFmtId="1" fontId="29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9" fillId="0" borderId="22" xfId="11" applyNumberFormat="1" applyFont="1" applyBorder="1" applyAlignment="1">
      <alignment horizontal="center" vertical="center"/>
    </xf>
    <xf numFmtId="1" fontId="65" fillId="0" borderId="68" xfId="11" applyNumberFormat="1" applyFont="1" applyBorder="1" applyAlignment="1">
      <alignment horizontal="center" vertical="center"/>
    </xf>
    <xf numFmtId="9" fontId="29" fillId="0" borderId="68" xfId="13" applyFont="1" applyBorder="1" applyAlignment="1">
      <alignment horizontal="center" vertical="center"/>
    </xf>
    <xf numFmtId="197" fontId="36" fillId="0" borderId="22" xfId="11" applyNumberFormat="1" applyFont="1" applyBorder="1" applyAlignment="1">
      <alignment horizontal="center" vertical="center"/>
    </xf>
    <xf numFmtId="197" fontId="36" fillId="0" borderId="22" xfId="13" applyNumberFormat="1" applyFont="1" applyFill="1" applyBorder="1" applyAlignment="1">
      <alignment horizontal="center" vertical="center"/>
    </xf>
    <xf numFmtId="0" fontId="26" fillId="0" borderId="69" xfId="11" applyFont="1" applyBorder="1" applyAlignment="1">
      <alignment shrinkToFit="1"/>
    </xf>
    <xf numFmtId="0" fontId="26" fillId="0" borderId="69" xfId="11" applyFont="1" applyFill="1" applyBorder="1" applyAlignment="1">
      <alignment shrinkToFit="1"/>
    </xf>
    <xf numFmtId="0" fontId="26" fillId="0" borderId="0" xfId="1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27" fillId="0" borderId="22" xfId="0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103" fillId="0" borderId="22" xfId="11" applyFont="1" applyBorder="1" applyAlignment="1">
      <alignment horizontal="center" vertical="center"/>
    </xf>
    <xf numFmtId="0" fontId="63" fillId="0" borderId="0" xfId="0" applyFont="1" applyFill="1" applyAlignment="1">
      <alignment vertical="center"/>
    </xf>
    <xf numFmtId="187" fontId="63" fillId="9" borderId="0" xfId="0" applyNumberFormat="1" applyFont="1" applyFill="1" applyAlignment="1"/>
    <xf numFmtId="187" fontId="63" fillId="0" borderId="0" xfId="0" applyNumberFormat="1" applyFont="1" applyFill="1" applyAlignment="1"/>
    <xf numFmtId="187" fontId="63" fillId="0" borderId="0" xfId="0" applyNumberFormat="1" applyFont="1" applyFill="1" applyAlignment="1">
      <alignment vertical="center"/>
    </xf>
    <xf numFmtId="177" fontId="63" fillId="9" borderId="0" xfId="0" applyNumberFormat="1" applyFont="1" applyFill="1" applyAlignment="1"/>
    <xf numFmtId="10" fontId="63" fillId="0" borderId="0" xfId="0" applyNumberFormat="1" applyFont="1" applyFill="1" applyAlignment="1">
      <alignment vertical="center"/>
    </xf>
    <xf numFmtId="0" fontId="63" fillId="0" borderId="0" xfId="0" applyFont="1" applyFill="1" applyAlignment="1"/>
    <xf numFmtId="176" fontId="63" fillId="0" borderId="0" xfId="0" applyNumberFormat="1" applyFont="1" applyFill="1" applyAlignment="1"/>
    <xf numFmtId="187" fontId="55" fillId="9" borderId="0" xfId="0" applyNumberFormat="1" applyFont="1" applyFill="1" applyAlignment="1"/>
    <xf numFmtId="187" fontId="55" fillId="0" borderId="0" xfId="0" applyNumberFormat="1" applyFont="1" applyFill="1" applyAlignment="1"/>
    <xf numFmtId="187" fontId="55" fillId="0" borderId="0" xfId="0" applyNumberFormat="1" applyFont="1" applyFill="1" applyAlignment="1">
      <alignment vertical="center"/>
    </xf>
    <xf numFmtId="177" fontId="55" fillId="9" borderId="0" xfId="0" applyNumberFormat="1" applyFont="1" applyFill="1" applyAlignment="1"/>
    <xf numFmtId="177" fontId="55" fillId="0" borderId="0" xfId="0" applyNumberFormat="1" applyFont="1" applyFill="1" applyAlignment="1">
      <alignment vertical="center"/>
    </xf>
    <xf numFmtId="10" fontId="55" fillId="0" borderId="0" xfId="0" applyNumberFormat="1" applyFont="1" applyFill="1" applyAlignment="1"/>
    <xf numFmtId="10" fontId="55" fillId="0" borderId="0" xfId="0" applyNumberFormat="1" applyFont="1" applyFill="1" applyAlignment="1">
      <alignment vertical="center"/>
    </xf>
    <xf numFmtId="176" fontId="55" fillId="0" borderId="0" xfId="0" applyNumberFormat="1" applyFont="1" applyFill="1" applyAlignment="1"/>
    <xf numFmtId="180" fontId="55" fillId="9" borderId="0" xfId="0" applyNumberFormat="1" applyFont="1" applyFill="1" applyAlignment="1"/>
    <xf numFmtId="180" fontId="55" fillId="0" borderId="0" xfId="0" applyNumberFormat="1" applyFont="1" applyFill="1" applyAlignment="1"/>
    <xf numFmtId="185" fontId="55" fillId="0" borderId="0" xfId="0" applyNumberFormat="1" applyFont="1" applyFill="1" applyAlignment="1"/>
    <xf numFmtId="189" fontId="55" fillId="9" borderId="0" xfId="0" applyNumberFormat="1" applyFont="1" applyFill="1" applyAlignment="1"/>
    <xf numFmtId="189" fontId="55" fillId="0" borderId="0" xfId="0" applyNumberFormat="1" applyFont="1" applyFill="1" applyAlignment="1"/>
    <xf numFmtId="185" fontId="55" fillId="9" borderId="0" xfId="0" applyNumberFormat="1" applyFont="1" applyFill="1" applyAlignment="1"/>
    <xf numFmtId="180" fontId="55" fillId="0" borderId="0" xfId="0" applyNumberFormat="1" applyFont="1" applyAlignment="1"/>
    <xf numFmtId="10" fontId="55" fillId="0" borderId="0" xfId="0" applyNumberFormat="1" applyFont="1" applyAlignment="1"/>
    <xf numFmtId="0" fontId="96" fillId="0" borderId="0" xfId="0" applyFont="1" applyFill="1" applyAlignment="1">
      <alignment vertical="center"/>
    </xf>
    <xf numFmtId="185" fontId="63" fillId="0" borderId="0" xfId="0" applyNumberFormat="1" applyFont="1" applyFill="1" applyAlignment="1"/>
    <xf numFmtId="189" fontId="63" fillId="0" borderId="0" xfId="0" applyNumberFormat="1" applyFont="1" applyFill="1" applyAlignment="1"/>
    <xf numFmtId="0" fontId="63" fillId="0" borderId="0" xfId="0" applyFont="1" applyAlignment="1"/>
    <xf numFmtId="186" fontId="63" fillId="0" borderId="0" xfId="0" applyNumberFormat="1" applyFont="1" applyFill="1" applyAlignment="1"/>
    <xf numFmtId="186" fontId="104" fillId="0" borderId="34" xfId="0" applyNumberFormat="1" applyFont="1" applyFill="1" applyBorder="1" applyAlignment="1">
      <alignment vertical="center"/>
    </xf>
    <xf numFmtId="182" fontId="63" fillId="0" borderId="0" xfId="0" applyNumberFormat="1" applyFont="1" applyFill="1" applyAlignment="1"/>
    <xf numFmtId="186" fontId="105" fillId="9" borderId="22" xfId="0" applyNumberFormat="1" applyFont="1" applyFill="1" applyBorder="1" applyAlignment="1"/>
    <xf numFmtId="186" fontId="105" fillId="0" borderId="22" xfId="0" applyNumberFormat="1" applyFont="1" applyFill="1" applyBorder="1" applyAlignment="1"/>
    <xf numFmtId="177" fontId="55" fillId="0" borderId="34" xfId="0" applyNumberFormat="1" applyFont="1" applyFill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183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107" fillId="0" borderId="27" xfId="0" applyFont="1" applyBorder="1" applyAlignment="1">
      <alignment horizontal="left" vertical="center"/>
    </xf>
    <xf numFmtId="0" fontId="106" fillId="0" borderId="27" xfId="0" applyFont="1" applyBorder="1" applyAlignment="1">
      <alignment vertical="center"/>
    </xf>
    <xf numFmtId="0" fontId="106" fillId="0" borderId="27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198" fontId="65" fillId="0" borderId="22" xfId="11" applyNumberFormat="1" applyFont="1" applyBorder="1" applyAlignment="1">
      <alignment horizontal="center" vertical="center"/>
    </xf>
    <xf numFmtId="185" fontId="65" fillId="0" borderId="22" xfId="13" applyNumberFormat="1" applyFont="1" applyFill="1" applyBorder="1" applyAlignment="1">
      <alignment horizontal="center" vertical="center"/>
    </xf>
    <xf numFmtId="197" fontId="65" fillId="0" borderId="22" xfId="13" applyNumberFormat="1" applyFont="1" applyFill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32" fillId="0" borderId="0" xfId="11" applyFont="1"/>
    <xf numFmtId="9" fontId="29" fillId="0" borderId="68" xfId="13" applyFont="1" applyBorder="1" applyAlignment="1">
      <alignment horizontal="center"/>
    </xf>
    <xf numFmtId="0" fontId="110" fillId="0" borderId="0" xfId="581" applyFont="1">
      <alignment vertical="center"/>
    </xf>
    <xf numFmtId="0" fontId="37" fillId="0" borderId="0" xfId="581" applyFont="1">
      <alignment vertical="center"/>
    </xf>
    <xf numFmtId="0" fontId="99" fillId="0" borderId="27" xfId="581" applyFont="1" applyBorder="1" applyAlignment="1">
      <alignment horizontal="center" vertical="center" wrapText="1"/>
    </xf>
    <xf numFmtId="0" fontId="99" fillId="0" borderId="25" xfId="581" applyFont="1" applyBorder="1" applyAlignment="1">
      <alignment horizontal="center" vertical="center" wrapText="1"/>
    </xf>
    <xf numFmtId="0" fontId="111" fillId="0" borderId="23" xfId="581" applyFont="1" applyBorder="1" applyAlignment="1">
      <alignment horizontal="center" vertical="center" wrapText="1"/>
    </xf>
    <xf numFmtId="0" fontId="111" fillId="0" borderId="25" xfId="581" applyFont="1" applyBorder="1" applyAlignment="1">
      <alignment horizontal="center" vertical="center" wrapText="1"/>
    </xf>
    <xf numFmtId="0" fontId="99" fillId="0" borderId="0" xfId="581" applyFont="1">
      <alignment vertical="center"/>
    </xf>
    <xf numFmtId="194" fontId="99" fillId="0" borderId="23" xfId="581" applyNumberFormat="1" applyFont="1" applyBorder="1" applyAlignment="1">
      <alignment horizontal="center" vertical="center"/>
    </xf>
    <xf numFmtId="10" fontId="99" fillId="0" borderId="23" xfId="581" applyNumberFormat="1" applyFont="1" applyBorder="1" applyAlignment="1">
      <alignment horizontal="center" vertical="center"/>
    </xf>
    <xf numFmtId="194" fontId="111" fillId="0" borderId="23" xfId="581" applyNumberFormat="1" applyFont="1" applyBorder="1" applyAlignment="1">
      <alignment horizontal="center" vertical="center"/>
    </xf>
    <xf numFmtId="10" fontId="111" fillId="0" borderId="23" xfId="581" applyNumberFormat="1" applyFont="1" applyBorder="1" applyAlignment="1">
      <alignment horizontal="center" vertical="center"/>
    </xf>
    <xf numFmtId="0" fontId="99" fillId="0" borderId="0" xfId="581" applyFont="1" applyAlignment="1">
      <alignment horizontal="center" vertical="center"/>
    </xf>
    <xf numFmtId="10" fontId="99" fillId="0" borderId="0" xfId="3" applyNumberFormat="1" applyFont="1" applyFill="1" applyBorder="1" applyAlignment="1">
      <alignment horizontal="center" vertical="center"/>
    </xf>
    <xf numFmtId="0" fontId="100" fillId="0" borderId="23" xfId="581" applyFont="1" applyBorder="1" applyAlignment="1">
      <alignment horizontal="center" vertical="center" wrapText="1"/>
    </xf>
    <xf numFmtId="0" fontId="112" fillId="0" borderId="23" xfId="581" applyFont="1" applyBorder="1" applyAlignment="1">
      <alignment horizontal="center" vertical="center" wrapText="1"/>
    </xf>
    <xf numFmtId="194" fontId="99" fillId="0" borderId="0" xfId="581" applyNumberFormat="1" applyFont="1">
      <alignment vertical="center"/>
    </xf>
    <xf numFmtId="194" fontId="113" fillId="0" borderId="0" xfId="581" applyNumberFormat="1" applyFont="1">
      <alignment vertical="center"/>
    </xf>
    <xf numFmtId="195" fontId="110" fillId="0" borderId="0" xfId="581" applyNumberFormat="1" applyFont="1">
      <alignment vertical="center"/>
    </xf>
    <xf numFmtId="195" fontId="37" fillId="0" borderId="0" xfId="581" applyNumberFormat="1" applyFont="1">
      <alignment vertical="center"/>
    </xf>
    <xf numFmtId="193" fontId="82" fillId="5" borderId="22" xfId="5" applyNumberFormat="1" applyFont="1" applyFill="1" applyBorder="1" applyAlignment="1">
      <alignment horizontal="center" vertical="center"/>
    </xf>
    <xf numFmtId="194" fontId="110" fillId="8" borderId="22" xfId="581" applyNumberFormat="1" applyFont="1" applyFill="1" applyBorder="1" applyAlignment="1">
      <alignment horizontal="center" vertical="center"/>
    </xf>
    <xf numFmtId="194" fontId="110" fillId="8" borderId="22" xfId="582" applyNumberFormat="1" applyFont="1" applyFill="1" applyBorder="1" applyAlignment="1">
      <alignment horizontal="center" vertical="center"/>
    </xf>
    <xf numFmtId="189" fontId="110" fillId="0" borderId="22" xfId="581" applyNumberFormat="1" applyFont="1" applyBorder="1" applyAlignment="1">
      <alignment horizontal="center" vertical="center"/>
    </xf>
    <xf numFmtId="10" fontId="110" fillId="0" borderId="22" xfId="3" applyNumberFormat="1" applyFont="1" applyBorder="1" applyAlignment="1">
      <alignment horizontal="center" vertical="center"/>
    </xf>
    <xf numFmtId="194" fontId="114" fillId="8" borderId="22" xfId="582" applyNumberFormat="1" applyFont="1" applyFill="1" applyBorder="1" applyAlignment="1">
      <alignment horizontal="center" vertical="center"/>
    </xf>
    <xf numFmtId="10" fontId="114" fillId="0" borderId="22" xfId="3" applyNumberFormat="1" applyFont="1" applyBorder="1" applyAlignment="1">
      <alignment horizontal="center" vertical="center"/>
    </xf>
    <xf numFmtId="193" fontId="82" fillId="15" borderId="22" xfId="5" applyNumberFormat="1" applyFont="1" applyFill="1" applyBorder="1" applyAlignment="1">
      <alignment horizontal="center" vertical="center"/>
    </xf>
    <xf numFmtId="193" fontId="82" fillId="0" borderId="22" xfId="5" applyNumberFormat="1" applyFont="1" applyBorder="1" applyAlignment="1">
      <alignment horizontal="center" vertical="center"/>
    </xf>
    <xf numFmtId="194" fontId="110" fillId="8" borderId="22" xfId="583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4" borderId="22" xfId="0" applyFont="1" applyFill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2" xfId="58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0" xfId="0" applyFont="1" applyAlignment="1">
      <alignment shrinkToFit="1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43" xfId="11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7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27" fillId="7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shrinkToFit="1"/>
    </xf>
    <xf numFmtId="178" fontId="27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81" fontId="15" fillId="0" borderId="0" xfId="0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 shrinkToFit="1"/>
    </xf>
    <xf numFmtId="182" fontId="28" fillId="0" borderId="22" xfId="0" applyNumberFormat="1" applyFont="1" applyFill="1" applyBorder="1" applyAlignment="1">
      <alignment horizontal="center" vertical="center" shrinkToFit="1"/>
    </xf>
    <xf numFmtId="0" fontId="18" fillId="0" borderId="22" xfId="0" applyFont="1" applyFill="1" applyBorder="1" applyAlignment="1">
      <alignment horizontal="center" vertical="center"/>
    </xf>
    <xf numFmtId="177" fontId="30" fillId="0" borderId="22" xfId="0" applyNumberFormat="1" applyFont="1" applyFill="1" applyBorder="1" applyAlignment="1">
      <alignment horizontal="center" vertical="center"/>
    </xf>
    <xf numFmtId="177" fontId="23" fillId="0" borderId="22" xfId="0" applyNumberFormat="1" applyFont="1" applyFill="1" applyBorder="1" applyAlignment="1">
      <alignment horizontal="center" vertical="center"/>
    </xf>
    <xf numFmtId="177" fontId="27" fillId="0" borderId="22" xfId="0" applyNumberFormat="1" applyFont="1" applyFill="1" applyBorder="1" applyAlignment="1">
      <alignment horizontal="center" vertical="center"/>
    </xf>
    <xf numFmtId="177" fontId="18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>
      <alignment horizontal="center" vertical="center" shrinkToFit="1"/>
    </xf>
    <xf numFmtId="177" fontId="28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31" xfId="0" applyFont="1" applyFill="1" applyBorder="1" applyAlignment="1">
      <alignment horizontal="center" vertical="center"/>
    </xf>
    <xf numFmtId="0" fontId="33" fillId="0" borderId="33" xfId="0" applyFont="1" applyFill="1" applyBorder="1" applyAlignment="1">
      <alignment horizontal="center" vertical="center"/>
    </xf>
    <xf numFmtId="0" fontId="33" fillId="0" borderId="35" xfId="0" applyFont="1" applyFill="1" applyBorder="1" applyAlignment="1">
      <alignment horizontal="center" vertical="center"/>
    </xf>
    <xf numFmtId="0" fontId="33" fillId="0" borderId="27" xfId="0" applyFont="1" applyFill="1" applyBorder="1" applyAlignment="1">
      <alignment horizontal="center" vertical="center"/>
    </xf>
    <xf numFmtId="0" fontId="33" fillId="0" borderId="28" xfId="0" applyFont="1" applyFill="1" applyBorder="1" applyAlignment="1">
      <alignment horizontal="center" vertical="center"/>
    </xf>
    <xf numFmtId="0" fontId="33" fillId="0" borderId="25" xfId="0" applyFont="1" applyFill="1" applyBorder="1" applyAlignment="1">
      <alignment horizontal="center" vertical="center"/>
    </xf>
    <xf numFmtId="0" fontId="33" fillId="0" borderId="23" xfId="0" applyFont="1" applyFill="1" applyBorder="1" applyAlignment="1">
      <alignment horizontal="center" vertical="center"/>
    </xf>
    <xf numFmtId="0" fontId="33" fillId="0" borderId="29" xfId="0" applyFont="1" applyFill="1" applyBorder="1" applyAlignment="1">
      <alignment horizontal="center" vertical="center"/>
    </xf>
    <xf numFmtId="0" fontId="33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7" xfId="0" applyNumberFormat="1" applyFont="1" applyBorder="1" applyAlignment="1">
      <alignment horizontal="center" vertical="center"/>
    </xf>
    <xf numFmtId="179" fontId="33" fillId="0" borderId="28" xfId="0" applyNumberFormat="1" applyFont="1" applyBorder="1" applyAlignment="1">
      <alignment horizontal="center" vertical="center"/>
    </xf>
    <xf numFmtId="179" fontId="33" fillId="0" borderId="25" xfId="0" applyNumberFormat="1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32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33" fillId="4" borderId="25" xfId="0" applyFont="1" applyFill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24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0" fontId="34" fillId="13" borderId="0" xfId="0" applyFont="1" applyFill="1" applyAlignment="1">
      <alignment horizontal="left" vertical="center"/>
    </xf>
    <xf numFmtId="0" fontId="35" fillId="13" borderId="0" xfId="0" applyFont="1" applyFill="1" applyAlignment="1">
      <alignment horizontal="left" vertical="center"/>
    </xf>
    <xf numFmtId="0" fontId="35" fillId="13" borderId="0" xfId="0" applyFont="1" applyFill="1" applyBorder="1" applyAlignment="1">
      <alignment horizontal="left" vertical="center"/>
    </xf>
    <xf numFmtId="0" fontId="35" fillId="13" borderId="2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0" fontId="34" fillId="0" borderId="26" xfId="0" applyFont="1" applyBorder="1" applyAlignment="1">
      <alignment horizontal="left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3" fillId="0" borderId="31" xfId="0" applyNumberFormat="1" applyFont="1" applyFill="1" applyBorder="1" applyAlignment="1">
      <alignment horizontal="center" vertical="center"/>
    </xf>
    <xf numFmtId="1" fontId="33" fillId="0" borderId="33" xfId="0" applyNumberFormat="1" applyFont="1" applyFill="1" applyBorder="1" applyAlignment="1">
      <alignment horizontal="center" vertical="center"/>
    </xf>
    <xf numFmtId="1" fontId="33" fillId="0" borderId="35" xfId="0" applyNumberFormat="1" applyFont="1" applyFill="1" applyBorder="1" applyAlignment="1">
      <alignment horizontal="center" vertical="center"/>
    </xf>
    <xf numFmtId="1" fontId="33" fillId="0" borderId="23" xfId="0" applyNumberFormat="1" applyFont="1" applyFill="1" applyBorder="1" applyAlignment="1">
      <alignment horizontal="center" vertical="center"/>
    </xf>
    <xf numFmtId="1" fontId="33" fillId="0" borderId="29" xfId="0" applyNumberFormat="1" applyFont="1" applyFill="1" applyBorder="1" applyAlignment="1">
      <alignment horizontal="center" vertical="center"/>
    </xf>
    <xf numFmtId="1" fontId="33" fillId="0" borderId="30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33" fillId="0" borderId="28" xfId="0" applyNumberFormat="1" applyFont="1" applyBorder="1" applyAlignment="1">
      <alignment horizontal="center" vertical="center"/>
    </xf>
    <xf numFmtId="183" fontId="33" fillId="0" borderId="25" xfId="0" applyNumberFormat="1" applyFont="1" applyBorder="1" applyAlignment="1">
      <alignment horizontal="center" vertical="center"/>
    </xf>
    <xf numFmtId="14" fontId="33" fillId="0" borderId="22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22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8" fillId="0" borderId="22" xfId="0" applyFont="1" applyBorder="1" applyAlignment="1">
      <alignment horizontal="center" shrinkToFit="1"/>
    </xf>
    <xf numFmtId="0" fontId="22" fillId="0" borderId="31" xfId="0" applyFont="1" applyBorder="1" applyAlignment="1">
      <alignment horizontal="center" vertical="center" shrinkToFit="1"/>
    </xf>
    <xf numFmtId="0" fontId="28" fillId="0" borderId="32" xfId="0" applyFont="1" applyBorder="1" applyAlignment="1">
      <alignment horizontal="center" vertical="center" shrinkToFit="1"/>
    </xf>
    <xf numFmtId="0" fontId="28" fillId="0" borderId="35" xfId="0" applyFont="1" applyBorder="1" applyAlignment="1">
      <alignment horizontal="center" vertical="center" shrinkToFit="1"/>
    </xf>
    <xf numFmtId="0" fontId="28" fillId="0" borderId="36" xfId="0" applyFont="1" applyBorder="1" applyAlignment="1">
      <alignment horizontal="center" vertical="center" shrinkToFit="1"/>
    </xf>
    <xf numFmtId="0" fontId="22" fillId="0" borderId="22" xfId="0" applyFont="1" applyBorder="1" applyAlignment="1">
      <alignment shrinkToFit="1"/>
    </xf>
    <xf numFmtId="0" fontId="67" fillId="0" borderId="22" xfId="0" applyFont="1" applyBorder="1" applyAlignment="1">
      <alignment shrinkToFit="1"/>
    </xf>
    <xf numFmtId="0" fontId="115" fillId="0" borderId="22" xfId="0" applyFont="1" applyBorder="1" applyAlignment="1">
      <alignment horizontal="center" wrapText="1" shrinkToFit="1"/>
    </xf>
    <xf numFmtId="0" fontId="105" fillId="0" borderId="22" xfId="0" applyFont="1" applyBorder="1" applyAlignment="1">
      <alignment horizontal="center" wrapText="1" shrinkToFit="1"/>
    </xf>
    <xf numFmtId="0" fontId="108" fillId="0" borderId="31" xfId="0" applyFont="1" applyBorder="1" applyAlignment="1">
      <alignment horizontal="center" vertical="center" wrapText="1" shrinkToFit="1"/>
    </xf>
    <xf numFmtId="0" fontId="117" fillId="0" borderId="32" xfId="0" applyFont="1" applyBorder="1" applyAlignment="1">
      <alignment horizontal="center" vertical="center" wrapText="1" shrinkToFit="1"/>
    </xf>
    <xf numFmtId="0" fontId="117" fillId="0" borderId="35" xfId="0" applyFont="1" applyBorder="1" applyAlignment="1">
      <alignment horizontal="center" vertical="center" wrapText="1" shrinkToFit="1"/>
    </xf>
    <xf numFmtId="0" fontId="117" fillId="0" borderId="36" xfId="0" applyFont="1" applyBorder="1" applyAlignment="1">
      <alignment horizontal="center" vertical="center" wrapText="1" shrinkToFit="1"/>
    </xf>
    <xf numFmtId="0" fontId="44" fillId="0" borderId="22" xfId="0" applyFont="1" applyBorder="1" applyAlignment="1">
      <alignment horizontal="center" vertical="center" shrinkToFit="1"/>
    </xf>
    <xf numFmtId="0" fontId="118" fillId="0" borderId="31" xfId="0" applyFont="1" applyBorder="1" applyAlignment="1">
      <alignment horizontal="center" vertical="center" wrapText="1" shrinkToFit="1"/>
    </xf>
    <xf numFmtId="0" fontId="118" fillId="0" borderId="32" xfId="0" applyFont="1" applyBorder="1" applyAlignment="1">
      <alignment horizontal="center" vertical="center" wrapText="1" shrinkToFit="1"/>
    </xf>
    <xf numFmtId="0" fontId="118" fillId="0" borderId="35" xfId="0" applyFont="1" applyBorder="1" applyAlignment="1">
      <alignment horizontal="center" vertical="center" wrapText="1" shrinkToFit="1"/>
    </xf>
    <xf numFmtId="0" fontId="118" fillId="0" borderId="36" xfId="0" applyFont="1" applyBorder="1" applyAlignment="1">
      <alignment horizontal="center" vertical="center" wrapText="1" shrinkToFit="1"/>
    </xf>
    <xf numFmtId="0" fontId="52" fillId="0" borderId="22" xfId="0" applyFont="1" applyBorder="1" applyAlignment="1">
      <alignment horizontal="center" vertical="center" shrinkToFit="1"/>
    </xf>
    <xf numFmtId="0" fontId="108" fillId="0" borderId="32" xfId="0" applyFont="1" applyBorder="1" applyAlignment="1">
      <alignment horizontal="center" vertical="center" wrapText="1" shrinkToFit="1"/>
    </xf>
    <xf numFmtId="0" fontId="108" fillId="0" borderId="35" xfId="0" applyFont="1" applyBorder="1" applyAlignment="1">
      <alignment horizontal="center" vertical="center" wrapText="1" shrinkToFit="1"/>
    </xf>
    <xf numFmtId="0" fontId="108" fillId="0" borderId="36" xfId="0" applyFont="1" applyBorder="1" applyAlignment="1">
      <alignment horizontal="center" vertical="center" wrapText="1" shrinkToFit="1"/>
    </xf>
    <xf numFmtId="0" fontId="28" fillId="0" borderId="27" xfId="0" applyFont="1" applyBorder="1" applyAlignment="1">
      <alignment horizontal="center" vertical="center" shrinkToFit="1"/>
    </xf>
    <xf numFmtId="0" fontId="28" fillId="0" borderId="25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35" xfId="0" applyFont="1" applyBorder="1" applyAlignment="1">
      <alignment horizontal="center" vertical="center" shrinkToFit="1"/>
    </xf>
    <xf numFmtId="0" fontId="22" fillId="0" borderId="36" xfId="0" applyFont="1" applyBorder="1" applyAlignment="1">
      <alignment horizontal="center" vertical="center" shrinkToFit="1"/>
    </xf>
    <xf numFmtId="0" fontId="116" fillId="0" borderId="31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22" fillId="0" borderId="27" xfId="0" applyFont="1" applyBorder="1" applyAlignment="1">
      <alignment vertical="center" shrinkToFit="1"/>
    </xf>
    <xf numFmtId="0" fontId="28" fillId="0" borderId="25" xfId="0" applyFont="1" applyBorder="1" applyAlignment="1">
      <alignment vertical="center" shrinkToFit="1"/>
    </xf>
    <xf numFmtId="0" fontId="22" fillId="0" borderId="27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2" fillId="0" borderId="27" xfId="0" applyFont="1" applyBorder="1" applyAlignment="1">
      <alignment horizontal="center" vertical="center" wrapText="1" shrinkToFit="1"/>
    </xf>
    <xf numFmtId="0" fontId="22" fillId="0" borderId="25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wrapText="1" shrinkToFit="1"/>
    </xf>
    <xf numFmtId="0" fontId="22" fillId="0" borderId="31" xfId="0" applyFont="1" applyBorder="1" applyAlignment="1">
      <alignment horizontal="center" vertical="center" wrapText="1" shrinkToFit="1"/>
    </xf>
    <xf numFmtId="0" fontId="22" fillId="0" borderId="32" xfId="0" applyFont="1" applyBorder="1" applyAlignment="1">
      <alignment horizontal="center" vertical="center" wrapText="1" shrinkToFit="1"/>
    </xf>
    <xf numFmtId="0" fontId="22" fillId="0" borderId="33" xfId="0" applyFont="1" applyBorder="1" applyAlignment="1">
      <alignment horizontal="center" vertical="center" wrapText="1" shrinkToFit="1"/>
    </xf>
    <xf numFmtId="0" fontId="22" fillId="0" borderId="34" xfId="0" applyFont="1" applyBorder="1" applyAlignment="1">
      <alignment horizontal="center" vertical="center" wrapText="1" shrinkToFit="1"/>
    </xf>
    <xf numFmtId="0" fontId="22" fillId="0" borderId="35" xfId="0" applyFont="1" applyBorder="1" applyAlignment="1">
      <alignment horizontal="center" vertical="center" wrapText="1" shrinkToFit="1"/>
    </xf>
    <xf numFmtId="0" fontId="22" fillId="0" borderId="36" xfId="0" applyFont="1" applyBorder="1" applyAlignment="1">
      <alignment horizontal="center" vertical="center" wrapText="1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8" fillId="0" borderId="27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37" xfId="11" applyFont="1" applyFill="1" applyBorder="1" applyAlignment="1">
      <alignment horizontal="center" vertical="center" shrinkToFit="1"/>
    </xf>
    <xf numFmtId="0" fontId="28" fillId="0" borderId="0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50" xfId="11" applyFont="1" applyFill="1" applyBorder="1" applyAlignment="1">
      <alignment horizontal="center" vertical="center" shrinkToFit="1"/>
    </xf>
    <xf numFmtId="0" fontId="14" fillId="18" borderId="54" xfId="11" applyFont="1" applyFill="1" applyBorder="1" applyAlignment="1">
      <alignment horizontal="center" vertical="center" shrinkToFit="1"/>
    </xf>
    <xf numFmtId="0" fontId="14" fillId="18" borderId="55" xfId="11" applyFont="1" applyFill="1" applyBorder="1" applyAlignment="1">
      <alignment horizontal="center" vertical="center" shrinkToFit="1"/>
    </xf>
    <xf numFmtId="0" fontId="14" fillId="18" borderId="56" xfId="11" applyFont="1" applyFill="1" applyBorder="1" applyAlignment="1">
      <alignment horizontal="center" vertical="center" shrinkToFit="1"/>
    </xf>
    <xf numFmtId="0" fontId="45" fillId="0" borderId="42" xfId="11" applyFont="1" applyFill="1" applyBorder="1" applyAlignment="1">
      <alignment horizontal="center" vertical="center"/>
    </xf>
    <xf numFmtId="0" fontId="28" fillId="0" borderId="43" xfId="11" applyFont="1" applyFill="1" applyBorder="1" applyAlignment="1">
      <alignment horizontal="center" vertical="center" shrinkToFit="1"/>
    </xf>
    <xf numFmtId="0" fontId="45" fillId="0" borderId="70" xfId="11" applyFont="1" applyFill="1" applyBorder="1" applyAlignment="1">
      <alignment horizontal="center" vertical="center"/>
    </xf>
    <xf numFmtId="0" fontId="45" fillId="0" borderId="59" xfId="11" applyFont="1" applyFill="1" applyBorder="1" applyAlignment="1">
      <alignment horizontal="center" vertical="center"/>
    </xf>
    <xf numFmtId="0" fontId="26" fillId="0" borderId="57" xfId="11" applyFont="1" applyFill="1" applyBorder="1" applyAlignment="1">
      <alignment horizontal="center" vertical="center" shrinkToFit="1"/>
    </xf>
    <xf numFmtId="0" fontId="26" fillId="0" borderId="71" xfId="11" applyFont="1" applyFill="1" applyBorder="1" applyAlignment="1">
      <alignment horizontal="center" vertical="center" shrinkToFit="1"/>
    </xf>
    <xf numFmtId="0" fontId="26" fillId="0" borderId="36" xfId="11" applyFont="1" applyFill="1" applyBorder="1" applyAlignment="1">
      <alignment horizontal="center" vertical="center" shrinkToFit="1"/>
    </xf>
    <xf numFmtId="0" fontId="26" fillId="0" borderId="30" xfId="11" applyFont="1" applyFill="1" applyBorder="1" applyAlignment="1">
      <alignment horizontal="center" vertical="center" shrinkToFit="1"/>
    </xf>
    <xf numFmtId="0" fontId="26" fillId="0" borderId="35" xfId="11" applyFont="1" applyFill="1" applyBorder="1" applyAlignment="1">
      <alignment horizontal="center" vertical="center" shrinkToFit="1"/>
    </xf>
    <xf numFmtId="0" fontId="26" fillId="0" borderId="70" xfId="11" applyFont="1" applyFill="1" applyBorder="1" applyAlignment="1">
      <alignment horizontal="center" vertical="center" shrinkToFit="1"/>
    </xf>
    <xf numFmtId="0" fontId="26" fillId="0" borderId="58" xfId="11" applyFont="1" applyFill="1" applyBorder="1" applyAlignment="1">
      <alignment horizontal="center" vertical="center" shrinkToFit="1"/>
    </xf>
    <xf numFmtId="0" fontId="26" fillId="0" borderId="26" xfId="11" applyFont="1" applyFill="1" applyBorder="1" applyAlignment="1">
      <alignment horizontal="center" vertical="center" shrinkToFit="1"/>
    </xf>
    <xf numFmtId="0" fontId="60" fillId="0" borderId="42" xfId="11" applyFont="1" applyFill="1" applyBorder="1" applyAlignment="1">
      <alignment horizontal="center" vertical="center" shrinkToFit="1"/>
    </xf>
    <xf numFmtId="0" fontId="60" fillId="0" borderId="43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60" fillId="0" borderId="59" xfId="11" applyFont="1" applyFill="1" applyBorder="1" applyAlignment="1">
      <alignment horizontal="center" vertical="center" shrinkToFit="1"/>
    </xf>
    <xf numFmtId="0" fontId="60" fillId="0" borderId="28" xfId="11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vertical="center" shrinkToFit="1"/>
    </xf>
    <xf numFmtId="0" fontId="28" fillId="2" borderId="28" xfId="0" applyFont="1" applyFill="1" applyBorder="1" applyAlignment="1">
      <alignment horizontal="center" vertical="center" shrinkToFit="1"/>
    </xf>
    <xf numFmtId="0" fontId="28" fillId="2" borderId="25" xfId="0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shrinkToFit="1"/>
    </xf>
    <xf numFmtId="0" fontId="28" fillId="2" borderId="28" xfId="0" applyFont="1" applyFill="1" applyBorder="1" applyAlignment="1">
      <alignment horizontal="center" shrinkToFit="1"/>
    </xf>
    <xf numFmtId="0" fontId="28" fillId="2" borderId="25" xfId="0" applyFont="1" applyFill="1" applyBorder="1" applyAlignment="1">
      <alignment horizontal="center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9" xfId="0" applyFont="1" applyBorder="1" applyAlignment="1">
      <alignment horizontal="center" vertical="center" wrapText="1" shrinkToFit="1"/>
    </xf>
    <xf numFmtId="0" fontId="26" fillId="0" borderId="30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28" fillId="2" borderId="35" xfId="0" applyFont="1" applyFill="1" applyBorder="1" applyAlignment="1">
      <alignment horizontal="center" vertical="center" shrinkToFit="1"/>
    </xf>
    <xf numFmtId="0" fontId="28" fillId="2" borderId="26" xfId="0" applyFont="1" applyFill="1" applyBorder="1" applyAlignment="1">
      <alignment horizontal="center" vertical="center" shrinkToFit="1"/>
    </xf>
    <xf numFmtId="0" fontId="28" fillId="2" borderId="36" xfId="0" applyFont="1" applyFill="1" applyBorder="1" applyAlignment="1">
      <alignment horizontal="center" vertical="center" shrinkToFit="1"/>
    </xf>
    <xf numFmtId="0" fontId="28" fillId="2" borderId="74" xfId="0" applyFont="1" applyFill="1" applyBorder="1" applyAlignment="1">
      <alignment horizontal="center" shrinkToFit="1"/>
    </xf>
    <xf numFmtId="0" fontId="11" fillId="0" borderId="4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11" fillId="0" borderId="48" xfId="0" applyFont="1" applyBorder="1" applyAlignment="1">
      <alignment horizontal="center" shrinkToFit="1"/>
    </xf>
    <xf numFmtId="0" fontId="11" fillId="0" borderId="49" xfId="0" applyFont="1" applyBorder="1" applyAlignment="1">
      <alignment horizont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7" fillId="0" borderId="48" xfId="0" applyFont="1" applyBorder="1" applyAlignment="1">
      <alignment shrinkToFit="1"/>
    </xf>
    <xf numFmtId="0" fontId="7" fillId="0" borderId="72" xfId="0" applyFont="1" applyBorder="1" applyAlignment="1">
      <alignment shrinkToFit="1"/>
    </xf>
    <xf numFmtId="0" fontId="7" fillId="0" borderId="49" xfId="0" applyFont="1" applyBorder="1" applyAlignment="1">
      <alignment shrinkToFit="1"/>
    </xf>
    <xf numFmtId="0" fontId="26" fillId="0" borderId="22" xfId="0" applyFont="1" applyFill="1" applyBorder="1" applyAlignment="1">
      <alignment horizontal="center" vertical="center" shrinkToFit="1"/>
    </xf>
    <xf numFmtId="0" fontId="28" fillId="2" borderId="73" xfId="0" applyFont="1" applyFill="1" applyBorder="1" applyAlignment="1">
      <alignment horizontal="center" shrinkToFit="1"/>
    </xf>
    <xf numFmtId="0" fontId="28" fillId="2" borderId="26" xfId="0" applyFont="1" applyFill="1" applyBorder="1" applyAlignment="1">
      <alignment horizontal="center" shrinkToFit="1"/>
    </xf>
    <xf numFmtId="0" fontId="28" fillId="2" borderId="36" xfId="0" applyFont="1" applyFill="1" applyBorder="1" applyAlignment="1">
      <alignment horizont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8" fillId="8" borderId="22" xfId="0" applyFont="1" applyFill="1" applyBorder="1" applyAlignment="1">
      <alignment horizontal="center" vertical="center" shrinkToFit="1"/>
    </xf>
    <xf numFmtId="0" fontId="102" fillId="0" borderId="4" xfId="0" applyFont="1" applyBorder="1" applyAlignment="1">
      <alignment horizontal="center" shrinkToFit="1"/>
    </xf>
    <xf numFmtId="0" fontId="102" fillId="0" borderId="3" xfId="0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 shrinkToFit="1"/>
    </xf>
    <xf numFmtId="0" fontId="7" fillId="2" borderId="39" xfId="0" applyFont="1" applyFill="1" applyBorder="1" applyAlignment="1">
      <alignment horizontal="center" shrinkToFit="1"/>
    </xf>
    <xf numFmtId="0" fontId="7" fillId="2" borderId="2" xfId="0" applyFont="1" applyFill="1" applyBorder="1" applyAlignment="1">
      <alignment horizontal="center" shrinkToFit="1"/>
    </xf>
    <xf numFmtId="0" fontId="7" fillId="2" borderId="3" xfId="0" applyFont="1" applyFill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7" fillId="2" borderId="22" xfId="0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28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center" shrinkToFit="1"/>
    </xf>
    <xf numFmtId="0" fontId="28" fillId="0" borderId="38" xfId="0" applyFont="1" applyFill="1" applyBorder="1" applyAlignment="1">
      <alignment horizont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29" fillId="0" borderId="31" xfId="11" applyFont="1" applyBorder="1" applyAlignment="1">
      <alignment horizontal="center" vertical="center"/>
    </xf>
    <xf numFmtId="0" fontId="29" fillId="0" borderId="32" xfId="11" applyFont="1" applyBorder="1" applyAlignment="1">
      <alignment horizontal="center" vertical="center"/>
    </xf>
    <xf numFmtId="0" fontId="29" fillId="0" borderId="33" xfId="11" applyFont="1" applyBorder="1" applyAlignment="1">
      <alignment horizontal="center" vertical="center"/>
    </xf>
    <xf numFmtId="0" fontId="29" fillId="0" borderId="34" xfId="11" applyFont="1" applyBorder="1" applyAlignment="1">
      <alignment horizontal="center" vertical="center"/>
    </xf>
    <xf numFmtId="0" fontId="29" fillId="0" borderId="35" xfId="11" applyFont="1" applyBorder="1" applyAlignment="1">
      <alignment horizontal="center" vertical="center"/>
    </xf>
    <xf numFmtId="0" fontId="29" fillId="0" borderId="36" xfId="11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/>
    </xf>
    <xf numFmtId="0" fontId="38" fillId="5" borderId="25" xfId="580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 wrapText="1"/>
    </xf>
    <xf numFmtId="0" fontId="38" fillId="5" borderId="25" xfId="580" applyFont="1" applyFill="1" applyBorder="1" applyAlignment="1">
      <alignment horizontal="center" vertical="center" wrapText="1"/>
    </xf>
    <xf numFmtId="0" fontId="36" fillId="5" borderId="22" xfId="580" applyFont="1" applyFill="1" applyBorder="1" applyAlignment="1">
      <alignment horizontal="center" vertical="center" wrapText="1"/>
    </xf>
    <xf numFmtId="0" fontId="36" fillId="5" borderId="23" xfId="580" applyFont="1" applyFill="1" applyBorder="1" applyAlignment="1">
      <alignment horizontal="center" vertical="center" wrapText="1"/>
    </xf>
    <xf numFmtId="0" fontId="36" fillId="5" borderId="30" xfId="580" applyFont="1" applyFill="1" applyBorder="1" applyAlignment="1">
      <alignment horizontal="center" vertical="center" wrapText="1"/>
    </xf>
    <xf numFmtId="0" fontId="80" fillId="5" borderId="23" xfId="580" applyFont="1" applyFill="1" applyBorder="1" applyAlignment="1">
      <alignment horizontal="center" vertical="center" wrapText="1"/>
    </xf>
    <xf numFmtId="0" fontId="29" fillId="5" borderId="33" xfId="11" applyFont="1" applyFill="1" applyBorder="1" applyAlignment="1">
      <alignment horizontal="center" vertical="center"/>
    </xf>
    <xf numFmtId="0" fontId="29" fillId="5" borderId="34" xfId="11" applyFont="1" applyFill="1" applyBorder="1" applyAlignment="1">
      <alignment horizontal="center" vertical="center"/>
    </xf>
    <xf numFmtId="0" fontId="29" fillId="5" borderId="35" xfId="11" applyFont="1" applyFill="1" applyBorder="1" applyAlignment="1">
      <alignment horizontal="center" vertical="center"/>
    </xf>
    <xf numFmtId="0" fontId="29" fillId="5" borderId="36" xfId="11" applyFont="1" applyFill="1" applyBorder="1" applyAlignment="1">
      <alignment horizontal="center" vertical="center"/>
    </xf>
    <xf numFmtId="0" fontId="36" fillId="5" borderId="22" xfId="580" applyFont="1" applyFill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65" fillId="5" borderId="31" xfId="580" applyFont="1" applyFill="1" applyBorder="1" applyAlignment="1">
      <alignment horizontal="center" vertical="center" wrapText="1"/>
    </xf>
    <xf numFmtId="0" fontId="65" fillId="5" borderId="37" xfId="580" applyFont="1" applyFill="1" applyBorder="1" applyAlignment="1">
      <alignment horizontal="center" vertical="center" wrapText="1"/>
    </xf>
    <xf numFmtId="0" fontId="65" fillId="5" borderId="32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 wrapText="1"/>
    </xf>
    <xf numFmtId="195" fontId="110" fillId="5" borderId="22" xfId="581" applyNumberFormat="1" applyFont="1" applyFill="1" applyBorder="1" applyAlignment="1">
      <alignment horizontal="center" vertical="center"/>
    </xf>
    <xf numFmtId="195" fontId="110" fillId="15" borderId="22" xfId="581" applyNumberFormat="1" applyFont="1" applyFill="1" applyBorder="1" applyAlignment="1">
      <alignment horizontal="center" vertical="center"/>
    </xf>
    <xf numFmtId="0" fontId="98" fillId="19" borderId="22" xfId="581" applyFont="1" applyFill="1" applyBorder="1" applyAlignment="1">
      <alignment horizontal="center" vertical="center"/>
    </xf>
    <xf numFmtId="0" fontId="99" fillId="0" borderId="23" xfId="581" applyFont="1" applyBorder="1" applyAlignment="1">
      <alignment horizontal="center" vertical="center"/>
    </xf>
    <xf numFmtId="0" fontId="99" fillId="0" borderId="30" xfId="581" applyFont="1" applyBorder="1" applyAlignment="1">
      <alignment horizontal="center" vertical="center"/>
    </xf>
    <xf numFmtId="194" fontId="99" fillId="0" borderId="23" xfId="581" applyNumberFormat="1" applyFont="1" applyBorder="1" applyAlignment="1">
      <alignment horizontal="center" vertical="center"/>
    </xf>
    <xf numFmtId="194" fontId="99" fillId="0" borderId="30" xfId="581" applyNumberFormat="1" applyFont="1" applyBorder="1" applyAlignment="1">
      <alignment horizontal="center" vertical="center"/>
    </xf>
    <xf numFmtId="189" fontId="99" fillId="0" borderId="23" xfId="581" applyNumberFormat="1" applyFont="1" applyBorder="1" applyAlignment="1">
      <alignment horizontal="center" vertical="center"/>
    </xf>
    <xf numFmtId="189" fontId="99" fillId="0" borderId="30" xfId="581" applyNumberFormat="1" applyFont="1" applyBorder="1" applyAlignment="1">
      <alignment horizontal="center" vertical="center"/>
    </xf>
    <xf numFmtId="0" fontId="101" fillId="0" borderId="23" xfId="11" applyFont="1" applyBorder="1" applyAlignment="1">
      <alignment horizontal="center" vertical="center"/>
    </xf>
    <xf numFmtId="0" fontId="101" fillId="0" borderId="29" xfId="11" applyFont="1" applyBorder="1" applyAlignment="1">
      <alignment horizontal="center" vertical="center"/>
    </xf>
    <xf numFmtId="0" fontId="101" fillId="0" borderId="30" xfId="11" applyFont="1" applyBorder="1" applyAlignment="1">
      <alignment horizontal="center" vertical="center"/>
    </xf>
    <xf numFmtId="0" fontId="37" fillId="5" borderId="22" xfId="5" applyFont="1" applyFill="1" applyBorder="1" applyAlignment="1">
      <alignment horizontal="center"/>
    </xf>
    <xf numFmtId="43" fontId="7" fillId="0" borderId="0" xfId="0" applyNumberFormat="1" applyFont="1" applyBorder="1" applyAlignment="1">
      <alignment horizontal="center" vertical="center" shrinkToFit="1"/>
    </xf>
  </cellXfs>
  <cellStyles count="584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2 2 2" xfId="577"/>
    <cellStyle name="一般 2 2 30 2 2 30 2 2 2 2 2 2" xfId="580"/>
    <cellStyle name="一般 2 2 30 2 2 30 2 2 2 4" xfId="583"/>
    <cellStyle name="一般 2 2 30 2 2 30 2 2 3" xfId="16"/>
    <cellStyle name="一般 2 2 30 2 2 30 2 2 4" xfId="17"/>
    <cellStyle name="一般 2 2 30 2 2 30 2 3 2" xfId="578"/>
    <cellStyle name="一般 2 2 30 2 2 30 2 3 3" xfId="581"/>
    <cellStyle name="一般 2 2 30 2 3 2" xfId="6"/>
    <cellStyle name="一般 2 2 30 2 3 2 2 2" xfId="18"/>
    <cellStyle name="一般 2 2 30 2 3 2 3" xfId="579"/>
    <cellStyle name="一般 2 2 30 2 3 2 4" xfId="582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86" t="s">
        <v>12</v>
      </c>
      <c r="D21" s="569"/>
      <c r="E21" s="562"/>
      <c r="F21" s="50" t="s">
        <v>46</v>
      </c>
      <c r="G21" s="50" t="s">
        <v>48</v>
      </c>
      <c r="H21" s="50" t="s">
        <v>49</v>
      </c>
      <c r="I21" s="8" t="s">
        <v>13</v>
      </c>
      <c r="J21" s="578" t="s">
        <v>51</v>
      </c>
      <c r="K21" s="562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61" t="s">
        <v>14</v>
      </c>
      <c r="D22" s="569"/>
      <c r="E22" s="562"/>
      <c r="F22" s="4">
        <v>3</v>
      </c>
      <c r="G22" s="4">
        <v>3000</v>
      </c>
      <c r="H22" s="4">
        <v>1000</v>
      </c>
      <c r="I22" s="4">
        <v>10</v>
      </c>
      <c r="J22" s="568" t="s">
        <v>76</v>
      </c>
      <c r="K22" s="562"/>
      <c r="M22" s="53" t="s">
        <v>26</v>
      </c>
      <c r="N22" s="58" t="s">
        <v>47</v>
      </c>
      <c r="O22" s="574" t="s">
        <v>12</v>
      </c>
      <c r="P22" s="569"/>
      <c r="Q22" s="562"/>
      <c r="R22" s="580" t="s">
        <v>53</v>
      </c>
      <c r="S22" s="569"/>
      <c r="T22" s="562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78" t="s">
        <v>51</v>
      </c>
      <c r="AA22" s="562"/>
    </row>
    <row r="23" spans="1:27" ht="15.75" customHeight="1">
      <c r="A23" s="23"/>
      <c r="B23" s="6">
        <v>2</v>
      </c>
      <c r="C23" s="583"/>
      <c r="D23" s="569"/>
      <c r="E23" s="562"/>
      <c r="F23" s="4"/>
      <c r="G23" s="4"/>
      <c r="H23" s="4"/>
      <c r="I23" s="4"/>
      <c r="J23" s="583"/>
      <c r="K23" s="562"/>
      <c r="M23" s="57" t="s">
        <v>42</v>
      </c>
      <c r="N23" s="24">
        <v>1</v>
      </c>
      <c r="O23" s="568" t="s">
        <v>82</v>
      </c>
      <c r="P23" s="569"/>
      <c r="Q23" s="562"/>
      <c r="R23" s="568" t="s">
        <v>85</v>
      </c>
      <c r="S23" s="569"/>
      <c r="T23" s="56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68" t="s">
        <v>86</v>
      </c>
      <c r="AA23" s="562"/>
    </row>
    <row r="24" spans="1:27" ht="15.75" customHeight="1">
      <c r="A24" s="23"/>
      <c r="B24" s="6">
        <v>3</v>
      </c>
      <c r="C24" s="583"/>
      <c r="D24" s="569"/>
      <c r="E24" s="562"/>
      <c r="F24" s="4"/>
      <c r="G24" s="4"/>
      <c r="H24" s="4"/>
      <c r="I24" s="4"/>
      <c r="J24" s="583"/>
      <c r="K24" s="562"/>
      <c r="M24" s="25"/>
      <c r="N24" s="24">
        <v>2</v>
      </c>
      <c r="O24" s="561"/>
      <c r="P24" s="569"/>
      <c r="Q24" s="562"/>
      <c r="R24" s="561"/>
      <c r="S24" s="569"/>
      <c r="T24" s="562"/>
      <c r="U24" s="4"/>
      <c r="V24" s="14"/>
      <c r="W24" s="4"/>
      <c r="X24" s="16">
        <f>W24*U24</f>
        <v>0</v>
      </c>
      <c r="Y24" s="4"/>
      <c r="Z24" s="561"/>
      <c r="AA24" s="562"/>
    </row>
    <row r="25" spans="1:27" ht="15.75" customHeight="1">
      <c r="A25" s="23"/>
      <c r="B25" s="6">
        <v>4</v>
      </c>
      <c r="C25" s="583"/>
      <c r="D25" s="569"/>
      <c r="E25" s="562"/>
      <c r="F25" s="4"/>
      <c r="G25" s="4"/>
      <c r="H25" s="4"/>
      <c r="I25" s="4"/>
      <c r="J25" s="583"/>
      <c r="K25" s="562"/>
      <c r="M25" s="25"/>
      <c r="N25" s="24">
        <v>3</v>
      </c>
      <c r="O25" s="561"/>
      <c r="P25" s="569"/>
      <c r="Q25" s="562"/>
      <c r="R25" s="561"/>
      <c r="S25" s="569"/>
      <c r="T25" s="562"/>
      <c r="U25" s="4"/>
      <c r="V25" s="14"/>
      <c r="W25" s="4"/>
      <c r="X25" s="16">
        <f>W25*U25</f>
        <v>0</v>
      </c>
      <c r="Y25" s="4"/>
      <c r="Z25" s="561"/>
      <c r="AA25" s="562"/>
    </row>
    <row r="26" spans="1:27" ht="15.75" customHeight="1">
      <c r="A26" s="23"/>
      <c r="B26" s="26">
        <v>5</v>
      </c>
      <c r="C26" s="587"/>
      <c r="D26" s="570"/>
      <c r="E26" s="564"/>
      <c r="F26" s="27"/>
      <c r="G26" s="27"/>
      <c r="H26" s="27"/>
      <c r="I26" s="27"/>
      <c r="J26" s="587"/>
      <c r="K26" s="564"/>
      <c r="M26" s="25"/>
      <c r="N26" s="24">
        <v>4</v>
      </c>
      <c r="O26" s="561"/>
      <c r="P26" s="569"/>
      <c r="Q26" s="562"/>
      <c r="R26" s="561"/>
      <c r="S26" s="569"/>
      <c r="T26" s="562"/>
      <c r="U26" s="4"/>
      <c r="V26" s="14"/>
      <c r="W26" s="4"/>
      <c r="X26" s="16">
        <f>W26*U26</f>
        <v>0</v>
      </c>
      <c r="Y26" s="4"/>
      <c r="Z26" s="561"/>
      <c r="AA26" s="562"/>
    </row>
    <row r="27" spans="1:27" ht="15.75" customHeight="1">
      <c r="A27" s="23"/>
      <c r="B27" s="70" t="s">
        <v>101</v>
      </c>
      <c r="C27" s="571" t="s">
        <v>75</v>
      </c>
      <c r="D27" s="572"/>
      <c r="E27" s="573"/>
      <c r="F27" s="28">
        <v>4</v>
      </c>
      <c r="G27" s="28">
        <v>2800</v>
      </c>
      <c r="H27" s="28">
        <v>700</v>
      </c>
      <c r="I27" s="28" t="s">
        <v>15</v>
      </c>
      <c r="J27" s="571" t="s">
        <v>77</v>
      </c>
      <c r="K27" s="573"/>
      <c r="M27" s="25"/>
      <c r="N27" s="29">
        <v>5</v>
      </c>
      <c r="O27" s="563"/>
      <c r="P27" s="570"/>
      <c r="Q27" s="564"/>
      <c r="R27" s="563"/>
      <c r="S27" s="570"/>
      <c r="T27" s="564"/>
      <c r="U27" s="27"/>
      <c r="V27" s="30"/>
      <c r="W27" s="27"/>
      <c r="X27" s="31">
        <f>W27*U27</f>
        <v>0</v>
      </c>
      <c r="Y27" s="4"/>
      <c r="Z27" s="563"/>
      <c r="AA27" s="564"/>
    </row>
    <row r="28" spans="1:27" ht="15.75" customHeight="1">
      <c r="A28" s="23"/>
      <c r="B28" s="71" t="s">
        <v>102</v>
      </c>
      <c r="C28" s="583"/>
      <c r="D28" s="569"/>
      <c r="E28" s="562"/>
      <c r="F28" s="4"/>
      <c r="G28" s="4"/>
      <c r="H28" s="4"/>
      <c r="I28" s="4"/>
      <c r="J28" s="583"/>
      <c r="K28" s="562"/>
      <c r="M28" s="32"/>
      <c r="N28" s="56"/>
      <c r="O28" s="565"/>
      <c r="P28" s="569"/>
      <c r="Q28" s="569"/>
      <c r="R28" s="565"/>
      <c r="S28" s="569"/>
      <c r="T28" s="569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65"/>
      <c r="AA28" s="562"/>
    </row>
    <row r="29" spans="1:27" ht="15.75" customHeight="1">
      <c r="A29" s="23"/>
      <c r="B29" s="71" t="s">
        <v>100</v>
      </c>
      <c r="C29" s="583"/>
      <c r="D29" s="569"/>
      <c r="E29" s="562"/>
      <c r="F29" s="4"/>
      <c r="G29" s="4"/>
      <c r="H29" s="4"/>
      <c r="I29" s="4"/>
      <c r="J29" s="583"/>
      <c r="K29" s="562"/>
      <c r="M29" s="57" t="s">
        <v>43</v>
      </c>
      <c r="N29" s="24">
        <v>1</v>
      </c>
      <c r="O29" s="584" t="s">
        <v>16</v>
      </c>
      <c r="P29" s="585"/>
      <c r="Q29" s="567"/>
      <c r="R29" s="566" t="s">
        <v>87</v>
      </c>
      <c r="S29" s="585"/>
      <c r="T29" s="567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66" t="s">
        <v>88</v>
      </c>
      <c r="AA29" s="567"/>
    </row>
    <row r="30" spans="1:27" ht="15.75" customHeight="1">
      <c r="A30" s="23"/>
      <c r="B30" s="71" t="s">
        <v>99</v>
      </c>
      <c r="C30" s="583"/>
      <c r="D30" s="569"/>
      <c r="E30" s="562"/>
      <c r="F30" s="4"/>
      <c r="G30" s="4"/>
      <c r="H30" s="4"/>
      <c r="I30" s="4"/>
      <c r="J30" s="583"/>
      <c r="K30" s="562"/>
      <c r="M30" s="25"/>
      <c r="N30" s="24">
        <v>2</v>
      </c>
      <c r="O30" s="561"/>
      <c r="P30" s="569"/>
      <c r="Q30" s="562"/>
      <c r="R30" s="561"/>
      <c r="S30" s="569"/>
      <c r="T30" s="562"/>
      <c r="U30" s="4"/>
      <c r="V30" s="14"/>
      <c r="W30" s="4"/>
      <c r="X30" s="16">
        <f>W30*U30</f>
        <v>0</v>
      </c>
      <c r="Y30" s="4"/>
      <c r="Z30" s="561"/>
      <c r="AA30" s="562"/>
    </row>
    <row r="31" spans="1:27" ht="15.75" customHeight="1">
      <c r="A31" s="20"/>
      <c r="B31" s="71" t="s">
        <v>103</v>
      </c>
      <c r="C31" s="583"/>
      <c r="D31" s="569"/>
      <c r="E31" s="562"/>
      <c r="F31" s="4"/>
      <c r="G31" s="4"/>
      <c r="H31" s="4"/>
      <c r="I31" s="4"/>
      <c r="J31" s="583"/>
      <c r="K31" s="562"/>
      <c r="M31" s="25"/>
      <c r="N31" s="24">
        <v>3</v>
      </c>
      <c r="O31" s="561"/>
      <c r="P31" s="569"/>
      <c r="Q31" s="562"/>
      <c r="R31" s="561"/>
      <c r="S31" s="569"/>
      <c r="T31" s="562"/>
      <c r="U31" s="4"/>
      <c r="V31" s="14"/>
      <c r="W31" s="4"/>
      <c r="X31" s="16">
        <f>W31*U31</f>
        <v>0</v>
      </c>
      <c r="Y31" s="4"/>
      <c r="Z31" s="561"/>
      <c r="AA31" s="562"/>
    </row>
    <row r="32" spans="1:27" ht="15.75" customHeight="1">
      <c r="A32" s="68"/>
      <c r="M32" s="25"/>
      <c r="N32" s="24">
        <v>4</v>
      </c>
      <c r="O32" s="561"/>
      <c r="P32" s="569"/>
      <c r="Q32" s="562"/>
      <c r="R32" s="561"/>
      <c r="S32" s="569"/>
      <c r="T32" s="562"/>
      <c r="U32" s="4"/>
      <c r="V32" s="14"/>
      <c r="W32" s="4"/>
      <c r="X32" s="16">
        <f>W32*U32</f>
        <v>0</v>
      </c>
      <c r="Y32" s="4"/>
      <c r="Z32" s="561"/>
      <c r="AA32" s="562"/>
    </row>
    <row r="33" spans="1:27" ht="15.75" customHeight="1">
      <c r="A33" s="18"/>
      <c r="B33" s="50" t="s">
        <v>47</v>
      </c>
      <c r="C33" s="586" t="s">
        <v>12</v>
      </c>
      <c r="D33" s="569"/>
      <c r="E33" s="562"/>
      <c r="F33" s="50" t="s">
        <v>46</v>
      </c>
      <c r="G33" s="50" t="s">
        <v>48</v>
      </c>
      <c r="H33" s="50" t="s">
        <v>49</v>
      </c>
      <c r="I33" s="8" t="s">
        <v>13</v>
      </c>
      <c r="J33" s="578" t="s">
        <v>51</v>
      </c>
      <c r="K33" s="562"/>
      <c r="M33" s="25"/>
      <c r="N33" s="29">
        <v>5</v>
      </c>
      <c r="O33" s="561"/>
      <c r="P33" s="569"/>
      <c r="Q33" s="562"/>
      <c r="R33" s="561"/>
      <c r="S33" s="569"/>
      <c r="T33" s="562"/>
      <c r="U33" s="27"/>
      <c r="V33" s="30"/>
      <c r="W33" s="27"/>
      <c r="X33" s="31">
        <f>W33*U33</f>
        <v>0</v>
      </c>
      <c r="Y33" s="4"/>
      <c r="Z33" s="561"/>
      <c r="AA33" s="562"/>
    </row>
    <row r="34" spans="1:27" ht="15.75" customHeight="1">
      <c r="A34" s="53" t="s">
        <v>35</v>
      </c>
      <c r="B34" s="6">
        <v>1</v>
      </c>
      <c r="C34" s="568" t="s">
        <v>79</v>
      </c>
      <c r="D34" s="569"/>
      <c r="E34" s="562"/>
      <c r="F34" s="4">
        <v>3</v>
      </c>
      <c r="G34" s="4">
        <v>2500</v>
      </c>
      <c r="H34" s="4">
        <v>833.33</v>
      </c>
      <c r="I34" s="4">
        <v>20</v>
      </c>
      <c r="J34" s="568" t="s">
        <v>78</v>
      </c>
      <c r="K34" s="562"/>
      <c r="M34" s="69"/>
      <c r="N34" s="45"/>
      <c r="O34" s="565"/>
      <c r="P34" s="569"/>
      <c r="Q34" s="569"/>
      <c r="R34" s="565"/>
      <c r="S34" s="569"/>
      <c r="T34" s="569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65"/>
      <c r="AA34" s="562"/>
    </row>
    <row r="35" spans="1:27" ht="15.75" customHeight="1">
      <c r="A35" s="23"/>
      <c r="B35" s="6">
        <v>2</v>
      </c>
      <c r="C35" s="561"/>
      <c r="D35" s="569"/>
      <c r="E35" s="562"/>
      <c r="F35" s="4"/>
      <c r="G35" s="4"/>
      <c r="H35" s="4"/>
      <c r="I35" s="4"/>
      <c r="J35" s="561"/>
      <c r="K35" s="562"/>
      <c r="M35" s="1"/>
      <c r="N35" s="1"/>
      <c r="O35" s="576"/>
      <c r="P35" s="577"/>
      <c r="Q35" s="577"/>
      <c r="R35" s="576"/>
      <c r="S35" s="577"/>
      <c r="T35" s="577"/>
      <c r="U35" s="1"/>
      <c r="V35" s="38"/>
      <c r="W35" s="1"/>
      <c r="X35" s="1"/>
      <c r="Y35" s="576"/>
      <c r="Z35" s="577"/>
      <c r="AA35" s="577"/>
    </row>
    <row r="36" spans="1:27" ht="15.75" customHeight="1">
      <c r="A36" s="23"/>
      <c r="B36" s="6">
        <v>3</v>
      </c>
      <c r="C36" s="561"/>
      <c r="D36" s="569"/>
      <c r="E36" s="562"/>
      <c r="F36" s="4"/>
      <c r="G36" s="4"/>
      <c r="H36" s="4"/>
      <c r="I36" s="4"/>
      <c r="J36" s="561"/>
      <c r="K36" s="562"/>
      <c r="M36" s="53" t="s">
        <v>27</v>
      </c>
      <c r="N36" s="58" t="s">
        <v>47</v>
      </c>
      <c r="O36" s="574" t="s">
        <v>12</v>
      </c>
      <c r="P36" s="565"/>
      <c r="Q36" s="575"/>
      <c r="R36" s="580" t="s">
        <v>53</v>
      </c>
      <c r="S36" s="581"/>
      <c r="T36" s="582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78" t="s">
        <v>51</v>
      </c>
      <c r="AA36" s="579"/>
    </row>
    <row r="37" spans="1:27" ht="15.75" customHeight="1">
      <c r="A37" s="23"/>
      <c r="B37" s="6">
        <v>4</v>
      </c>
      <c r="C37" s="561"/>
      <c r="D37" s="569"/>
      <c r="E37" s="562"/>
      <c r="F37" s="4"/>
      <c r="G37" s="4"/>
      <c r="H37" s="4"/>
      <c r="I37" s="4"/>
      <c r="J37" s="561"/>
      <c r="K37" s="562"/>
      <c r="M37" s="57" t="s">
        <v>42</v>
      </c>
      <c r="N37" s="24">
        <v>1</v>
      </c>
      <c r="O37" s="568" t="s">
        <v>89</v>
      </c>
      <c r="P37" s="569"/>
      <c r="Q37" s="562"/>
      <c r="R37" s="568" t="s">
        <v>90</v>
      </c>
      <c r="S37" s="569"/>
      <c r="T37" s="56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68" t="s">
        <v>91</v>
      </c>
      <c r="AA37" s="562"/>
    </row>
    <row r="38" spans="1:27" ht="15.75" customHeight="1">
      <c r="A38" s="23"/>
      <c r="B38" s="26">
        <v>5</v>
      </c>
      <c r="C38" s="563"/>
      <c r="D38" s="570"/>
      <c r="E38" s="564"/>
      <c r="F38" s="27"/>
      <c r="G38" s="27"/>
      <c r="H38" s="27"/>
      <c r="I38" s="27"/>
      <c r="J38" s="563"/>
      <c r="K38" s="564"/>
      <c r="M38" s="25"/>
      <c r="N38" s="24">
        <v>2</v>
      </c>
      <c r="O38" s="561"/>
      <c r="P38" s="569"/>
      <c r="Q38" s="562"/>
      <c r="R38" s="561"/>
      <c r="S38" s="569"/>
      <c r="T38" s="562"/>
      <c r="U38" s="4"/>
      <c r="V38" s="14"/>
      <c r="W38" s="4"/>
      <c r="X38" s="16">
        <f>W38*U38</f>
        <v>0</v>
      </c>
      <c r="Y38" s="4"/>
      <c r="Z38" s="561"/>
      <c r="AA38" s="562"/>
    </row>
    <row r="39" spans="1:27" ht="14.25">
      <c r="A39" s="23"/>
      <c r="B39" s="70" t="s">
        <v>101</v>
      </c>
      <c r="C39" s="571" t="s">
        <v>80</v>
      </c>
      <c r="D39" s="572"/>
      <c r="E39" s="573"/>
      <c r="F39" s="28">
        <v>7</v>
      </c>
      <c r="G39" s="28">
        <v>2200</v>
      </c>
      <c r="H39" s="28">
        <v>314.29000000000002</v>
      </c>
      <c r="I39" s="28">
        <v>-15</v>
      </c>
      <c r="J39" s="571" t="s">
        <v>81</v>
      </c>
      <c r="K39" s="573"/>
      <c r="M39" s="25"/>
      <c r="N39" s="24">
        <v>3</v>
      </c>
      <c r="O39" s="561"/>
      <c r="P39" s="569"/>
      <c r="Q39" s="562"/>
      <c r="R39" s="561"/>
      <c r="S39" s="569"/>
      <c r="T39" s="562"/>
      <c r="U39" s="4"/>
      <c r="V39" s="14"/>
      <c r="W39" s="4"/>
      <c r="X39" s="16">
        <f>W39*U39</f>
        <v>0</v>
      </c>
      <c r="Y39" s="4"/>
      <c r="Z39" s="561"/>
      <c r="AA39" s="562"/>
    </row>
    <row r="40" spans="1:27" ht="14.25">
      <c r="A40" s="23"/>
      <c r="B40" s="71" t="s">
        <v>102</v>
      </c>
      <c r="C40" s="561"/>
      <c r="D40" s="569"/>
      <c r="E40" s="562"/>
      <c r="F40" s="4"/>
      <c r="G40" s="4"/>
      <c r="H40" s="4"/>
      <c r="I40" s="4"/>
      <c r="J40" s="561"/>
      <c r="K40" s="562"/>
      <c r="M40" s="25"/>
      <c r="N40" s="24">
        <v>4</v>
      </c>
      <c r="O40" s="561"/>
      <c r="P40" s="569"/>
      <c r="Q40" s="562"/>
      <c r="R40" s="561"/>
      <c r="S40" s="569"/>
      <c r="T40" s="562"/>
      <c r="U40" s="4"/>
      <c r="V40" s="14"/>
      <c r="W40" s="4"/>
      <c r="X40" s="16">
        <f>W40*U40</f>
        <v>0</v>
      </c>
      <c r="Y40" s="4"/>
      <c r="Z40" s="561"/>
      <c r="AA40" s="562"/>
    </row>
    <row r="41" spans="1:27" ht="14.25">
      <c r="A41" s="23"/>
      <c r="B41" s="71" t="s">
        <v>100</v>
      </c>
      <c r="C41" s="561"/>
      <c r="D41" s="569"/>
      <c r="E41" s="562"/>
      <c r="F41" s="4"/>
      <c r="G41" s="4"/>
      <c r="H41" s="4"/>
      <c r="I41" s="4"/>
      <c r="J41" s="561"/>
      <c r="K41" s="562"/>
      <c r="M41" s="25"/>
      <c r="N41" s="29">
        <v>5</v>
      </c>
      <c r="O41" s="563"/>
      <c r="P41" s="570"/>
      <c r="Q41" s="564"/>
      <c r="R41" s="563"/>
      <c r="S41" s="570"/>
      <c r="T41" s="564"/>
      <c r="U41" s="27"/>
      <c r="V41" s="30"/>
      <c r="W41" s="27"/>
      <c r="X41" s="31">
        <f>W41*U41</f>
        <v>0</v>
      </c>
      <c r="Y41" s="4"/>
      <c r="Z41" s="561"/>
      <c r="AA41" s="562"/>
    </row>
    <row r="42" spans="1:27" ht="14.25">
      <c r="A42" s="23"/>
      <c r="B42" s="71" t="s">
        <v>99</v>
      </c>
      <c r="C42" s="561"/>
      <c r="D42" s="569"/>
      <c r="E42" s="562"/>
      <c r="F42" s="4"/>
      <c r="G42" s="4"/>
      <c r="H42" s="4"/>
      <c r="I42" s="4"/>
      <c r="J42" s="561"/>
      <c r="K42" s="562"/>
      <c r="M42" s="32"/>
      <c r="N42" s="55"/>
      <c r="O42" s="565"/>
      <c r="P42" s="569"/>
      <c r="Q42" s="569"/>
      <c r="R42" s="565"/>
      <c r="S42" s="569"/>
      <c r="T42" s="569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65"/>
      <c r="AA42" s="562"/>
    </row>
    <row r="43" spans="1:27" ht="14.25">
      <c r="A43" s="20"/>
      <c r="B43" s="71" t="s">
        <v>103</v>
      </c>
      <c r="C43" s="561"/>
      <c r="D43" s="569"/>
      <c r="E43" s="562"/>
      <c r="F43" s="4"/>
      <c r="G43" s="4"/>
      <c r="H43" s="4"/>
      <c r="I43" s="4"/>
      <c r="J43" s="561"/>
      <c r="K43" s="562"/>
      <c r="M43" s="57" t="s">
        <v>43</v>
      </c>
      <c r="N43" s="24">
        <v>1</v>
      </c>
      <c r="O43" s="568" t="s">
        <v>89</v>
      </c>
      <c r="P43" s="569"/>
      <c r="Q43" s="562"/>
      <c r="R43" s="566" t="s">
        <v>93</v>
      </c>
      <c r="S43" s="585"/>
      <c r="T43" s="567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68" t="s">
        <v>92</v>
      </c>
      <c r="AA43" s="562"/>
    </row>
    <row r="44" spans="1:27" ht="14.25">
      <c r="A44" s="68"/>
      <c r="M44" s="25"/>
      <c r="N44" s="24">
        <v>2</v>
      </c>
      <c r="O44" s="561"/>
      <c r="P44" s="569"/>
      <c r="Q44" s="562"/>
      <c r="R44" s="561"/>
      <c r="S44" s="569"/>
      <c r="T44" s="562"/>
      <c r="U44" s="4"/>
      <c r="V44" s="14"/>
      <c r="W44" s="4"/>
      <c r="X44" s="37">
        <f>W44*U44</f>
        <v>0</v>
      </c>
      <c r="Y44" s="4"/>
      <c r="Z44" s="561"/>
      <c r="AA44" s="562"/>
    </row>
    <row r="45" spans="1:27" ht="14.25">
      <c r="A45" s="18"/>
      <c r="B45" s="50" t="s">
        <v>47</v>
      </c>
      <c r="C45" s="586" t="s">
        <v>12</v>
      </c>
      <c r="D45" s="569"/>
      <c r="E45" s="562"/>
      <c r="F45" s="50" t="s">
        <v>46</v>
      </c>
      <c r="G45" s="50" t="s">
        <v>48</v>
      </c>
      <c r="H45" s="50" t="s">
        <v>49</v>
      </c>
      <c r="I45" s="8" t="s">
        <v>13</v>
      </c>
      <c r="J45" s="578" t="s">
        <v>51</v>
      </c>
      <c r="K45" s="562"/>
      <c r="M45" s="25"/>
      <c r="N45" s="24">
        <v>3</v>
      </c>
      <c r="O45" s="561"/>
      <c r="P45" s="569"/>
      <c r="Q45" s="562"/>
      <c r="R45" s="561"/>
      <c r="S45" s="569"/>
      <c r="T45" s="562"/>
      <c r="U45" s="4"/>
      <c r="V45" s="14"/>
      <c r="W45" s="4"/>
      <c r="X45" s="37">
        <f>W45*U45</f>
        <v>0</v>
      </c>
      <c r="Y45" s="4"/>
      <c r="Z45" s="561"/>
      <c r="AA45" s="562"/>
    </row>
    <row r="46" spans="1:27" ht="14.25">
      <c r="A46" s="53" t="s">
        <v>36</v>
      </c>
      <c r="B46" s="6">
        <v>1</v>
      </c>
      <c r="C46" s="568" t="s">
        <v>82</v>
      </c>
      <c r="D46" s="569"/>
      <c r="E46" s="562"/>
      <c r="F46" s="4">
        <v>15</v>
      </c>
      <c r="G46" s="4">
        <v>1200</v>
      </c>
      <c r="H46" s="4">
        <v>80</v>
      </c>
      <c r="I46" s="4">
        <v>5</v>
      </c>
      <c r="J46" s="568" t="s">
        <v>83</v>
      </c>
      <c r="K46" s="562"/>
      <c r="M46" s="25"/>
      <c r="N46" s="24">
        <v>4</v>
      </c>
      <c r="O46" s="561"/>
      <c r="P46" s="569"/>
      <c r="Q46" s="562"/>
      <c r="R46" s="561"/>
      <c r="S46" s="569"/>
      <c r="T46" s="562"/>
      <c r="U46" s="4"/>
      <c r="V46" s="14"/>
      <c r="W46" s="4"/>
      <c r="X46" s="37">
        <f>W46*U46</f>
        <v>0</v>
      </c>
      <c r="Y46" s="4"/>
      <c r="Z46" s="561"/>
      <c r="AA46" s="562"/>
    </row>
    <row r="47" spans="1:27" ht="14.25">
      <c r="A47" s="23"/>
      <c r="B47" s="6">
        <v>2</v>
      </c>
      <c r="C47" s="561"/>
      <c r="D47" s="569"/>
      <c r="E47" s="562"/>
      <c r="F47" s="4"/>
      <c r="G47" s="4"/>
      <c r="H47" s="4"/>
      <c r="I47" s="4"/>
      <c r="J47" s="561"/>
      <c r="K47" s="562"/>
      <c r="M47" s="25"/>
      <c r="N47" s="29">
        <v>5</v>
      </c>
      <c r="O47" s="561"/>
      <c r="P47" s="569"/>
      <c r="Q47" s="562"/>
      <c r="R47" s="561"/>
      <c r="S47" s="569"/>
      <c r="T47" s="562"/>
      <c r="U47" s="27"/>
      <c r="V47" s="30"/>
      <c r="W47" s="27"/>
      <c r="X47" s="40">
        <f>W47*U47</f>
        <v>0</v>
      </c>
      <c r="Y47" s="4"/>
      <c r="Z47" s="561"/>
      <c r="AA47" s="562"/>
    </row>
    <row r="48" spans="1:27" ht="14.25">
      <c r="A48" s="23"/>
      <c r="B48" s="6">
        <v>3</v>
      </c>
      <c r="C48" s="561"/>
      <c r="D48" s="569"/>
      <c r="E48" s="562"/>
      <c r="F48" s="4"/>
      <c r="G48" s="4"/>
      <c r="H48" s="4"/>
      <c r="I48" s="4"/>
      <c r="J48" s="561"/>
      <c r="K48" s="562"/>
      <c r="M48" s="69"/>
      <c r="N48" s="45"/>
      <c r="O48" s="565"/>
      <c r="P48" s="569"/>
      <c r="Q48" s="569"/>
      <c r="R48" s="565"/>
      <c r="S48" s="569"/>
      <c r="T48" s="569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65"/>
      <c r="AA48" s="562"/>
    </row>
    <row r="49" spans="1:27" ht="14.25">
      <c r="A49" s="23"/>
      <c r="B49" s="6">
        <v>4</v>
      </c>
      <c r="C49" s="561"/>
      <c r="D49" s="569"/>
      <c r="E49" s="562"/>
      <c r="F49" s="4"/>
      <c r="G49" s="4"/>
      <c r="H49" s="4"/>
      <c r="I49" s="4"/>
      <c r="J49" s="561"/>
      <c r="K49" s="56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63"/>
      <c r="D50" s="570"/>
      <c r="E50" s="564"/>
      <c r="F50" s="27"/>
      <c r="G50" s="27"/>
      <c r="H50" s="27"/>
      <c r="I50" s="27"/>
      <c r="J50" s="563"/>
      <c r="K50" s="564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71" t="s">
        <v>89</v>
      </c>
      <c r="D51" s="572"/>
      <c r="E51" s="573"/>
      <c r="F51" s="28">
        <v>18</v>
      </c>
      <c r="G51" s="28">
        <v>800</v>
      </c>
      <c r="H51" s="28">
        <v>44.44</v>
      </c>
      <c r="I51" s="28">
        <v>-15</v>
      </c>
      <c r="J51" s="571" t="s">
        <v>84</v>
      </c>
      <c r="K51" s="573"/>
      <c r="M51" s="8"/>
      <c r="N51" s="8" t="s">
        <v>18</v>
      </c>
      <c r="O51" s="574" t="s">
        <v>12</v>
      </c>
      <c r="P51" s="565"/>
      <c r="Q51" s="575"/>
      <c r="R51" s="580" t="s">
        <v>53</v>
      </c>
      <c r="S51" s="581"/>
      <c r="T51" s="582"/>
      <c r="U51" s="58" t="s">
        <v>54</v>
      </c>
      <c r="V51" s="39" t="s">
        <v>19</v>
      </c>
      <c r="W51" s="58" t="s">
        <v>57</v>
      </c>
      <c r="X51" s="8" t="s">
        <v>2</v>
      </c>
      <c r="Y51" s="574" t="s">
        <v>50</v>
      </c>
      <c r="Z51" s="565"/>
      <c r="AA51" s="575"/>
    </row>
    <row r="52" spans="1:27" ht="14.25">
      <c r="A52" s="23"/>
      <c r="B52" s="71" t="s">
        <v>102</v>
      </c>
      <c r="C52" s="561"/>
      <c r="D52" s="569"/>
      <c r="E52" s="562"/>
      <c r="F52" s="4"/>
      <c r="G52" s="4"/>
      <c r="H52" s="4"/>
      <c r="I52" s="4"/>
      <c r="J52" s="561"/>
      <c r="K52" s="562"/>
      <c r="M52" s="57" t="s">
        <v>42</v>
      </c>
      <c r="N52" s="24">
        <v>1</v>
      </c>
      <c r="O52" s="568" t="s">
        <v>89</v>
      </c>
      <c r="P52" s="569"/>
      <c r="Q52" s="562"/>
      <c r="R52" s="566" t="s">
        <v>93</v>
      </c>
      <c r="S52" s="585"/>
      <c r="T52" s="567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68" t="s">
        <v>97</v>
      </c>
      <c r="Z52" s="569"/>
      <c r="AA52" s="562"/>
    </row>
    <row r="53" spans="1:27" ht="14.25">
      <c r="A53" s="23"/>
      <c r="B53" s="71" t="s">
        <v>100</v>
      </c>
      <c r="C53" s="561"/>
      <c r="D53" s="569"/>
      <c r="E53" s="562"/>
      <c r="F53" s="4"/>
      <c r="G53" s="4"/>
      <c r="H53" s="4"/>
      <c r="I53" s="4"/>
      <c r="J53" s="561"/>
      <c r="K53" s="562"/>
      <c r="M53" s="25"/>
      <c r="N53" s="29">
        <v>2</v>
      </c>
      <c r="O53" s="563"/>
      <c r="P53" s="570"/>
      <c r="Q53" s="564"/>
      <c r="R53" s="563"/>
      <c r="S53" s="570"/>
      <c r="T53" s="564"/>
      <c r="U53" s="27"/>
      <c r="V53" s="30"/>
      <c r="W53" s="30"/>
      <c r="X53" s="41">
        <f>W53-V53</f>
        <v>0</v>
      </c>
      <c r="Y53" s="563"/>
      <c r="Z53" s="570"/>
      <c r="AA53" s="564"/>
    </row>
    <row r="54" spans="1:27" ht="14.25">
      <c r="A54" s="23"/>
      <c r="B54" s="71" t="s">
        <v>99</v>
      </c>
      <c r="C54" s="561"/>
      <c r="D54" s="569"/>
      <c r="E54" s="562"/>
      <c r="F54" s="4"/>
      <c r="G54" s="4"/>
      <c r="H54" s="4"/>
      <c r="I54" s="4"/>
      <c r="J54" s="561"/>
      <c r="K54" s="562"/>
      <c r="M54" s="57" t="s">
        <v>43</v>
      </c>
      <c r="N54" s="42">
        <v>1</v>
      </c>
      <c r="O54" s="571" t="s">
        <v>94</v>
      </c>
      <c r="P54" s="572"/>
      <c r="Q54" s="573"/>
      <c r="R54" s="571" t="s">
        <v>95</v>
      </c>
      <c r="S54" s="572"/>
      <c r="T54" s="573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71" t="s">
        <v>96</v>
      </c>
      <c r="Z54" s="572"/>
      <c r="AA54" s="573"/>
    </row>
    <row r="55" spans="1:27" ht="14.25">
      <c r="A55" s="20"/>
      <c r="B55" s="71" t="s">
        <v>103</v>
      </c>
      <c r="C55" s="561"/>
      <c r="D55" s="569"/>
      <c r="E55" s="562"/>
      <c r="F55" s="4"/>
      <c r="G55" s="4"/>
      <c r="H55" s="4"/>
      <c r="I55" s="4"/>
      <c r="J55" s="561"/>
      <c r="K55" s="562"/>
      <c r="M55" s="22"/>
      <c r="N55" s="24">
        <v>2</v>
      </c>
      <c r="O55" s="561"/>
      <c r="P55" s="569"/>
      <c r="Q55" s="562"/>
      <c r="R55" s="561"/>
      <c r="S55" s="569"/>
      <c r="T55" s="562"/>
      <c r="U55" s="4"/>
      <c r="V55" s="14"/>
      <c r="W55" s="14"/>
      <c r="X55" s="13">
        <f>W55-V55</f>
        <v>0</v>
      </c>
      <c r="Y55" s="561"/>
      <c r="Z55" s="569"/>
      <c r="AA55" s="562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2" ht="15.75" customHeight="1">
      <c r="A1" s="588" t="s">
        <v>365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119"/>
    </row>
    <row r="2" spans="1:12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</row>
    <row r="3" spans="1:12" ht="21.6" customHeight="1">
      <c r="A3" s="139" t="s">
        <v>306</v>
      </c>
      <c r="B3" s="140">
        <v>10</v>
      </c>
      <c r="C3" s="139" t="s">
        <v>20</v>
      </c>
      <c r="D3" s="589" t="s">
        <v>364</v>
      </c>
      <c r="E3" s="589"/>
      <c r="F3" s="130"/>
      <c r="G3" s="131"/>
      <c r="H3" s="130"/>
      <c r="I3" s="130"/>
      <c r="J3" s="130"/>
      <c r="K3" s="130"/>
    </row>
    <row r="4" spans="1:12" s="121" customFormat="1" ht="15.75" customHeight="1">
      <c r="A4" s="132" t="s">
        <v>176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2" s="125" customFormat="1" ht="15.75" customHeight="1">
      <c r="A5" s="146" t="s">
        <v>178</v>
      </c>
      <c r="B5" s="141" t="s">
        <v>22</v>
      </c>
      <c r="C5" s="141" t="s">
        <v>1</v>
      </c>
      <c r="D5" s="141" t="s">
        <v>2</v>
      </c>
      <c r="E5" s="141" t="s">
        <v>3</v>
      </c>
      <c r="F5" s="135"/>
      <c r="G5" s="146" t="s">
        <v>178</v>
      </c>
      <c r="H5" s="141" t="s">
        <v>69</v>
      </c>
      <c r="I5" s="141" t="s">
        <v>22</v>
      </c>
      <c r="J5" s="141" t="s">
        <v>67</v>
      </c>
      <c r="K5" s="141" t="s">
        <v>3</v>
      </c>
      <c r="L5" s="126" t="s">
        <v>60</v>
      </c>
    </row>
    <row r="6" spans="1:12" s="121" customFormat="1" ht="18" customHeight="1">
      <c r="A6" s="128" t="s">
        <v>24</v>
      </c>
      <c r="B6" s="142">
        <f>'（１）收支狀況'!H10/1000</f>
        <v>231728.76199999999</v>
      </c>
      <c r="C6" s="275">
        <v>224463.48699999999</v>
      </c>
      <c r="D6" s="142">
        <f t="shared" ref="D6:D11" si="0">B6-C6</f>
        <v>7265.2749999999942</v>
      </c>
      <c r="E6" s="142">
        <f t="shared" ref="E6:E11" si="1">B6</f>
        <v>231728.76199999999</v>
      </c>
      <c r="F6" s="133"/>
      <c r="G6" s="128" t="s">
        <v>179</v>
      </c>
      <c r="H6" s="278">
        <v>266</v>
      </c>
      <c r="I6" s="144">
        <f>'（２）ＫＰＩ達成進度'!H6</f>
        <v>0</v>
      </c>
      <c r="J6" s="290">
        <v>330.21457859125206</v>
      </c>
      <c r="K6" s="144">
        <f t="shared" ref="K6:K11" si="2">I6</f>
        <v>0</v>
      </c>
      <c r="L6" s="122" t="s">
        <v>175</v>
      </c>
    </row>
    <row r="7" spans="1:12" s="121" customFormat="1" ht="18" customHeight="1">
      <c r="A7" s="128" t="s">
        <v>25</v>
      </c>
      <c r="B7" s="142">
        <f>'（１）收支狀況'!K10</f>
        <v>6824541</v>
      </c>
      <c r="C7" s="275">
        <v>6964636</v>
      </c>
      <c r="D7" s="142">
        <f t="shared" si="0"/>
        <v>-140095</v>
      </c>
      <c r="E7" s="142">
        <f t="shared" si="1"/>
        <v>6824541</v>
      </c>
      <c r="F7" s="133"/>
      <c r="G7" s="128" t="s">
        <v>180</v>
      </c>
      <c r="H7" s="252">
        <v>0.8</v>
      </c>
      <c r="I7" s="143">
        <f>'（２）ＫＰＩ達成進度'!K6</f>
        <v>0</v>
      </c>
      <c r="J7" s="276">
        <v>0.90222562456626254</v>
      </c>
      <c r="K7" s="143">
        <f t="shared" si="2"/>
        <v>0</v>
      </c>
      <c r="L7" s="122" t="s">
        <v>4</v>
      </c>
    </row>
    <row r="8" spans="1:12" s="121" customFormat="1" ht="18" customHeight="1">
      <c r="A8" s="128" t="s">
        <v>5</v>
      </c>
      <c r="B8" s="142">
        <f>'（１）收支狀況'!N10/1000</f>
        <v>155179.66800000001</v>
      </c>
      <c r="C8" s="275">
        <v>150244.29199999999</v>
      </c>
      <c r="D8" s="142">
        <f>B8-C8</f>
        <v>4935.3760000000184</v>
      </c>
      <c r="E8" s="142">
        <f t="shared" si="1"/>
        <v>155179.66800000001</v>
      </c>
      <c r="F8" s="133"/>
      <c r="G8" s="128" t="s">
        <v>181</v>
      </c>
      <c r="H8" s="247">
        <v>2.5000000000000001E-3</v>
      </c>
      <c r="I8" s="247">
        <f>'（２）ＫＰＩ達成進度'!N6</f>
        <v>0</v>
      </c>
      <c r="J8" s="291">
        <v>2.4646256819628254E-3</v>
      </c>
      <c r="K8" s="247">
        <f t="shared" si="2"/>
        <v>0</v>
      </c>
      <c r="L8" s="122" t="s">
        <v>55</v>
      </c>
    </row>
    <row r="9" spans="1:12" s="121" customFormat="1" ht="18" customHeight="1">
      <c r="A9" s="128" t="s">
        <v>6</v>
      </c>
      <c r="B9" s="143">
        <f>'（１）收支狀況'!Q10</f>
        <v>0.66966079937888767</v>
      </c>
      <c r="C9" s="276">
        <v>0.66934847180735457</v>
      </c>
      <c r="D9" s="143">
        <f t="shared" si="0"/>
        <v>3.1232757153309976E-4</v>
      </c>
      <c r="E9" s="143">
        <f t="shared" si="1"/>
        <v>0.66966079937888767</v>
      </c>
      <c r="F9" s="133"/>
      <c r="G9" s="128" t="s">
        <v>182</v>
      </c>
      <c r="H9" s="247">
        <v>2.5999999999999999E-3</v>
      </c>
      <c r="I9" s="247">
        <f>'（２）ＫＰＩ達成進度'!Q6</f>
        <v>0</v>
      </c>
      <c r="J9" s="291">
        <v>2.3405370745029669E-3</v>
      </c>
      <c r="K9" s="247">
        <f t="shared" si="2"/>
        <v>0</v>
      </c>
      <c r="L9" s="122" t="s">
        <v>98</v>
      </c>
    </row>
    <row r="10" spans="1:12" s="121" customFormat="1" ht="18" customHeight="1">
      <c r="A10" s="128" t="s">
        <v>64</v>
      </c>
      <c r="B10" s="142">
        <f>'（１）收支狀況'!T10/1000</f>
        <v>27598.788802664771</v>
      </c>
      <c r="C10" s="275">
        <v>32105.786706827967</v>
      </c>
      <c r="D10" s="142">
        <f t="shared" si="0"/>
        <v>-4506.9979041631959</v>
      </c>
      <c r="E10" s="142">
        <f t="shared" si="1"/>
        <v>27598.788802664771</v>
      </c>
      <c r="F10" s="133"/>
      <c r="G10" s="128" t="s">
        <v>183</v>
      </c>
      <c r="H10" s="249">
        <v>0.8</v>
      </c>
      <c r="I10" s="249">
        <f>'（２）ＫＰＩ達成進度'!T6</f>
        <v>0</v>
      </c>
      <c r="J10" s="292">
        <v>0.91666666666666707</v>
      </c>
      <c r="K10" s="249">
        <f t="shared" si="2"/>
        <v>0</v>
      </c>
      <c r="L10" s="122" t="s">
        <v>7</v>
      </c>
    </row>
    <row r="11" spans="1:12" s="121" customFormat="1" ht="18" customHeight="1">
      <c r="A11" s="128" t="s">
        <v>65</v>
      </c>
      <c r="B11" s="143">
        <f>'（１）收支狀況'!W10</f>
        <v>0.11909953932548421</v>
      </c>
      <c r="C11" s="276">
        <v>0.14303344894053066</v>
      </c>
      <c r="D11" s="143">
        <f t="shared" si="0"/>
        <v>-2.3933909615046448E-2</v>
      </c>
      <c r="E11" s="143">
        <f t="shared" si="1"/>
        <v>0.11909953932548421</v>
      </c>
      <c r="F11" s="133"/>
      <c r="G11" s="128" t="s">
        <v>184</v>
      </c>
      <c r="H11" s="249">
        <v>1</v>
      </c>
      <c r="I11" s="143">
        <f>'（２）ＫＰＩ達成進度'!W6</f>
        <v>0</v>
      </c>
      <c r="J11" s="276">
        <v>0.84941935483870945</v>
      </c>
      <c r="K11" s="143">
        <f t="shared" si="2"/>
        <v>0</v>
      </c>
      <c r="L11" s="122" t="s">
        <v>62</v>
      </c>
    </row>
    <row r="12" spans="1:12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2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2" s="127" customFormat="1" ht="14.25">
      <c r="A14" s="145"/>
      <c r="B14" s="145" t="s">
        <v>22</v>
      </c>
      <c r="C14" s="145" t="s">
        <v>66</v>
      </c>
      <c r="D14" s="145" t="s">
        <v>67</v>
      </c>
      <c r="E14" s="145" t="s">
        <v>68</v>
      </c>
      <c r="F14" s="136"/>
      <c r="G14" s="145"/>
      <c r="H14" s="145" t="s">
        <v>22</v>
      </c>
      <c r="I14" s="145" t="s">
        <v>66</v>
      </c>
      <c r="J14" s="145" t="s">
        <v>67</v>
      </c>
      <c r="K14" s="145" t="s">
        <v>68</v>
      </c>
    </row>
    <row r="15" spans="1:12" s="121" customFormat="1" ht="18" customHeight="1">
      <c r="A15" s="128" t="s">
        <v>208</v>
      </c>
      <c r="B15" s="142">
        <f>'（３）業績構成比'!M50/1000</f>
        <v>35971.575986871001</v>
      </c>
      <c r="C15" s="143">
        <f>IFERROR(B15/$B$6,"")</f>
        <v>0.15523138205377804</v>
      </c>
      <c r="D15" s="276">
        <v>0.19061185820038584</v>
      </c>
      <c r="E15" s="143">
        <f>IFERROR(C15-D15,"")</f>
        <v>-3.5380476146607803E-2</v>
      </c>
      <c r="F15" s="133"/>
      <c r="G15" s="128" t="s">
        <v>213</v>
      </c>
      <c r="H15" s="142">
        <f>'（４）訂單數量構成比'!M50</f>
        <v>1967309</v>
      </c>
      <c r="I15" s="143">
        <f t="shared" ref="I15:I23" si="3">IFERROR(H15/$B$7,"")</f>
        <v>0.28826978986572138</v>
      </c>
      <c r="J15" s="276">
        <v>0.33067557299476957</v>
      </c>
      <c r="K15" s="143">
        <f t="shared" ref="K15:K23" si="4">IFERROR(I15-J15,"")</f>
        <v>-4.2405783129048191E-2</v>
      </c>
    </row>
    <row r="16" spans="1:12" s="121" customFormat="1" ht="18" customHeight="1">
      <c r="A16" s="128" t="s">
        <v>203</v>
      </c>
      <c r="B16" s="142">
        <f>'（３）業績構成比'!S50/1000</f>
        <v>4225.6487510132774</v>
      </c>
      <c r="C16" s="143">
        <f t="shared" ref="C16:C23" si="5">IFERROR(B16/$B$6,"")</f>
        <v>1.8235322687363588E-2</v>
      </c>
      <c r="D16" s="276">
        <v>4.2789233591899609E-2</v>
      </c>
      <c r="E16" s="143">
        <f t="shared" ref="E16:E23" si="6">IFERROR(C16-D16,"")</f>
        <v>-2.4553910904536021E-2</v>
      </c>
      <c r="F16" s="133"/>
      <c r="G16" s="128" t="s">
        <v>232</v>
      </c>
      <c r="H16" s="142">
        <f>'（４）訂單數量構成比'!S51</f>
        <v>150379</v>
      </c>
      <c r="I16" s="143">
        <f t="shared" si="3"/>
        <v>2.2035035030194706E-2</v>
      </c>
      <c r="J16" s="276">
        <v>6.1681041191528174E-2</v>
      </c>
      <c r="K16" s="143">
        <f t="shared" si="4"/>
        <v>-3.9646006161333472E-2</v>
      </c>
    </row>
    <row r="17" spans="1:18" s="121" customFormat="1" ht="18" customHeight="1">
      <c r="A17" s="128" t="s">
        <v>199</v>
      </c>
      <c r="B17" s="142">
        <f>'（３）業績構成比'!U50/1000</f>
        <v>25595.773740999233</v>
      </c>
      <c r="C17" s="143">
        <f t="shared" si="5"/>
        <v>0.1104557480050717</v>
      </c>
      <c r="D17" s="276">
        <v>8.6938303169141445E-2</v>
      </c>
      <c r="E17" s="143">
        <f t="shared" si="6"/>
        <v>2.3517444835930254E-2</v>
      </c>
      <c r="F17" s="133"/>
      <c r="G17" s="128" t="s">
        <v>214</v>
      </c>
      <c r="H17" s="142">
        <f>'（４）訂單數量構成比'!U50</f>
        <v>779294</v>
      </c>
      <c r="I17" s="143">
        <f t="shared" si="3"/>
        <v>0.11418995065016094</v>
      </c>
      <c r="J17" s="276">
        <v>8.2530228428305513E-2</v>
      </c>
      <c r="K17" s="143">
        <f t="shared" si="4"/>
        <v>3.1659722221855424E-2</v>
      </c>
    </row>
    <row r="18" spans="1:18" s="121" customFormat="1" ht="18" customHeight="1">
      <c r="A18" s="128" t="s">
        <v>201</v>
      </c>
      <c r="B18" s="142">
        <f>'（３）業績構成比'!W50/1000</f>
        <v>3802.5458214990822</v>
      </c>
      <c r="C18" s="143">
        <f t="shared" si="5"/>
        <v>1.6409468503953265E-2</v>
      </c>
      <c r="D18" s="276">
        <v>1.4659145993880142E-2</v>
      </c>
      <c r="E18" s="143">
        <f t="shared" si="6"/>
        <v>1.750322510073123E-3</v>
      </c>
      <c r="F18" s="133"/>
      <c r="G18" s="128" t="s">
        <v>200</v>
      </c>
      <c r="H18" s="142">
        <f>'（４）訂單數量構成比'!W50</f>
        <v>139282</v>
      </c>
      <c r="I18" s="143">
        <f t="shared" si="3"/>
        <v>2.040899160837337E-2</v>
      </c>
      <c r="J18" s="276">
        <v>1.6773740939224964E-2</v>
      </c>
      <c r="K18" s="143">
        <f t="shared" si="4"/>
        <v>3.6352506691484064E-3</v>
      </c>
    </row>
    <row r="19" spans="1:18" s="121" customFormat="1" ht="18" customHeight="1">
      <c r="A19" s="128" t="s">
        <v>205</v>
      </c>
      <c r="B19" s="142">
        <f>'（３）業績構成比'!AC50/1000</f>
        <v>49478.770025819649</v>
      </c>
      <c r="C19" s="143">
        <f t="shared" si="5"/>
        <v>0.21352019317230742</v>
      </c>
      <c r="D19" s="276">
        <v>0.24409177848792188</v>
      </c>
      <c r="E19" s="143">
        <f t="shared" si="6"/>
        <v>-3.0571585315614463E-2</v>
      </c>
      <c r="F19" s="133"/>
      <c r="G19" s="128" t="s">
        <v>204</v>
      </c>
      <c r="H19" s="142">
        <f>'（４）訂單數量構成比'!AC50</f>
        <v>1297011</v>
      </c>
      <c r="I19" s="143">
        <f t="shared" si="3"/>
        <v>0.19005102321167094</v>
      </c>
      <c r="J19" s="276">
        <v>0.19673059726308739</v>
      </c>
      <c r="K19" s="143">
        <f t="shared" si="4"/>
        <v>-6.6795740514164481E-3</v>
      </c>
    </row>
    <row r="20" spans="1:18" s="121" customFormat="1" ht="18" customHeight="1">
      <c r="A20" s="128" t="s">
        <v>207</v>
      </c>
      <c r="B20" s="142">
        <f>'（３）業績構成比'!AE50/1000</f>
        <v>39654.569369539575</v>
      </c>
      <c r="C20" s="143">
        <f t="shared" si="5"/>
        <v>0.17112493514956756</v>
      </c>
      <c r="D20" s="276">
        <v>0.1397972381723295</v>
      </c>
      <c r="E20" s="143">
        <f t="shared" si="6"/>
        <v>3.1327696977238056E-2</v>
      </c>
      <c r="F20" s="133"/>
      <c r="G20" s="128" t="s">
        <v>206</v>
      </c>
      <c r="H20" s="142">
        <f>'（４）訂單數量構成比'!AE50</f>
        <v>676362</v>
      </c>
      <c r="I20" s="143">
        <f t="shared" si="3"/>
        <v>9.9107324580510248E-2</v>
      </c>
      <c r="J20" s="276">
        <v>7.9797709456746913E-2</v>
      </c>
      <c r="K20" s="143">
        <f t="shared" si="4"/>
        <v>1.9309615123763335E-2</v>
      </c>
    </row>
    <row r="21" spans="1:18" s="121" customFormat="1" ht="18" customHeight="1">
      <c r="A21" s="128" t="s">
        <v>209</v>
      </c>
      <c r="B21" s="142">
        <f>'（３）業績構成比'!AG50/1000</f>
        <v>20063.984899124112</v>
      </c>
      <c r="C21" s="143">
        <f>IFERROR(B21/$B$6,"")</f>
        <v>8.6583921330939978E-2</v>
      </c>
      <c r="D21" s="276">
        <v>0.13619626613806221</v>
      </c>
      <c r="E21" s="143">
        <f>IFERROR(C21-D21,"")</f>
        <v>-4.9612344807122233E-2</v>
      </c>
      <c r="F21" s="133"/>
      <c r="G21" s="128" t="s">
        <v>215</v>
      </c>
      <c r="H21" s="142">
        <f>'（４）訂單數量構成比'!AG50</f>
        <v>405315</v>
      </c>
      <c r="I21" s="143">
        <f>IFERROR(H21/$B$7,"")</f>
        <v>5.9390807381771167E-2</v>
      </c>
      <c r="J21" s="276">
        <v>9.0009011239065476E-2</v>
      </c>
      <c r="K21" s="143">
        <f>IFERROR(I21-J21,"")</f>
        <v>-3.0618203857294309E-2</v>
      </c>
    </row>
    <row r="22" spans="1:18" s="121" customFormat="1" ht="18" customHeight="1">
      <c r="A22" s="128" t="s">
        <v>210</v>
      </c>
      <c r="B22" s="142">
        <f>'（３）業績構成比'!AI50/1000</f>
        <v>38519.999964414928</v>
      </c>
      <c r="C22" s="143">
        <f t="shared" si="5"/>
        <v>0.16622882559746696</v>
      </c>
      <c r="D22" s="276">
        <v>6.8175373790099608E-2</v>
      </c>
      <c r="E22" s="143">
        <f t="shared" si="6"/>
        <v>9.8053451807367353E-2</v>
      </c>
      <c r="F22" s="133"/>
      <c r="G22" s="128" t="s">
        <v>216</v>
      </c>
      <c r="H22" s="142">
        <f>'（４）訂單數量構成比'!AI50</f>
        <v>1005562</v>
      </c>
      <c r="I22" s="143">
        <f t="shared" si="3"/>
        <v>0.14734500093119815</v>
      </c>
      <c r="J22" s="276">
        <v>5.972113976954431E-2</v>
      </c>
      <c r="K22" s="143">
        <f t="shared" si="4"/>
        <v>8.762386116165384E-2</v>
      </c>
    </row>
    <row r="23" spans="1:18" s="121" customFormat="1" ht="18" customHeight="1">
      <c r="A23" s="128" t="s">
        <v>212</v>
      </c>
      <c r="B23" s="142">
        <f>'（３）業績構成比'!AK50/1000</f>
        <v>20209.37143014144</v>
      </c>
      <c r="C23" s="143">
        <f t="shared" si="5"/>
        <v>8.7211320924164962E-2</v>
      </c>
      <c r="D23" s="276">
        <v>7.674080245627983E-2</v>
      </c>
      <c r="E23" s="143">
        <f t="shared" si="6"/>
        <v>1.0470518467885132E-2</v>
      </c>
      <c r="F23" s="133"/>
      <c r="G23" s="128" t="s">
        <v>211</v>
      </c>
      <c r="H23" s="142">
        <f>'（４）訂單數量構成比'!AK50</f>
        <v>681238</v>
      </c>
      <c r="I23" s="143">
        <f t="shared" si="3"/>
        <v>9.9821804865704522E-2</v>
      </c>
      <c r="J23" s="276">
        <v>8.2080958717727678E-2</v>
      </c>
      <c r="K23" s="143">
        <f t="shared" si="4"/>
        <v>1.7740846147976844E-2</v>
      </c>
    </row>
    <row r="24" spans="1:18" s="121" customFormat="1" ht="15.75" customHeight="1">
      <c r="A24" s="133"/>
      <c r="B24" s="133"/>
      <c r="C24" s="137">
        <f>SUM(C15:C23)</f>
        <v>1.0250011174246134</v>
      </c>
      <c r="D24" s="137">
        <f>SUM(D15:D23)</f>
        <v>1.0000000000000002</v>
      </c>
      <c r="E24" s="133"/>
      <c r="F24" s="133"/>
      <c r="G24" s="133"/>
      <c r="H24" s="133"/>
      <c r="I24" s="137">
        <f>SUM(I15:I23)</f>
        <v>1.0406197281253056</v>
      </c>
      <c r="J24" s="137">
        <f>SUM(J15:J23)</f>
        <v>1</v>
      </c>
      <c r="K24" s="133"/>
    </row>
    <row r="25" spans="1:18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8" s="121" customFormat="1" ht="15.75" customHeight="1">
      <c r="A26" s="132" t="s">
        <v>177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</row>
    <row r="27" spans="1:18" s="121" customFormat="1" ht="15.75" customHeight="1">
      <c r="A27" s="128" t="s">
        <v>167</v>
      </c>
      <c r="B27" s="128" t="s">
        <v>22</v>
      </c>
      <c r="C27" s="128" t="s">
        <v>1</v>
      </c>
      <c r="D27" s="128" t="s">
        <v>2</v>
      </c>
      <c r="E27" s="128" t="s">
        <v>3</v>
      </c>
      <c r="F27" s="133"/>
      <c r="G27" s="133"/>
      <c r="H27" s="133"/>
      <c r="I27" s="133"/>
      <c r="M27" s="135" t="s">
        <v>426</v>
      </c>
      <c r="N27" s="135" t="s">
        <v>427</v>
      </c>
      <c r="O27" s="135" t="s">
        <v>428</v>
      </c>
      <c r="P27" s="135" t="s">
        <v>429</v>
      </c>
      <c r="Q27" s="135" t="s">
        <v>430</v>
      </c>
      <c r="R27" s="133"/>
    </row>
    <row r="28" spans="1:18" s="121" customFormat="1" ht="18" customHeight="1">
      <c r="A28" s="128" t="s">
        <v>213</v>
      </c>
      <c r="B28" s="277">
        <f>'（５-1）品群別人時生產性（18℃-飯糰）'!$C$1</f>
        <v>785.43838729337938</v>
      </c>
      <c r="C28" s="306">
        <v>756.20246993670457</v>
      </c>
      <c r="D28" s="243">
        <f t="shared" ref="D28:D36" si="7">B28-C28</f>
        <v>29.235917356674804</v>
      </c>
      <c r="E28" s="277">
        <f>R28</f>
        <v>751.48296111066952</v>
      </c>
      <c r="F28" s="133"/>
      <c r="G28" s="147"/>
      <c r="H28" s="147"/>
      <c r="I28" s="147"/>
      <c r="M28" s="277">
        <v>717.52753492795955</v>
      </c>
      <c r="N28" s="277">
        <f>B28</f>
        <v>785.43838729337938</v>
      </c>
      <c r="O28" s="277"/>
      <c r="P28" s="277"/>
      <c r="Q28" s="277"/>
      <c r="R28" s="293">
        <f>AVERAGE(M28:Q28)</f>
        <v>751.48296111066952</v>
      </c>
    </row>
    <row r="29" spans="1:18" s="121" customFormat="1" ht="18" customHeight="1">
      <c r="A29" s="128" t="s">
        <v>202</v>
      </c>
      <c r="B29" s="277">
        <f>'（５-2）品群別人時生產性（18-壽司手卷)'!$C$1</f>
        <v>147.19975574341348</v>
      </c>
      <c r="C29" s="306">
        <v>198.82982221081653</v>
      </c>
      <c r="D29" s="243">
        <f t="shared" si="7"/>
        <v>-51.630066467403054</v>
      </c>
      <c r="E29" s="277">
        <f t="shared" ref="E29:E36" si="8">R29</f>
        <v>172.41623631486078</v>
      </c>
      <c r="F29" s="133"/>
      <c r="G29" s="148"/>
      <c r="H29" s="148"/>
      <c r="I29" s="148"/>
      <c r="M29" s="277">
        <v>197.63271688630809</v>
      </c>
      <c r="N29" s="277">
        <f t="shared" ref="N29:N36" si="9">B29</f>
        <v>147.19975574341348</v>
      </c>
      <c r="O29" s="277"/>
      <c r="P29" s="277"/>
      <c r="Q29" s="277"/>
      <c r="R29" s="293">
        <f t="shared" ref="R29:R36" si="10">AVERAGE(M29:Q29)</f>
        <v>172.41623631486078</v>
      </c>
    </row>
    <row r="30" spans="1:18" s="121" customFormat="1" ht="18" customHeight="1">
      <c r="A30" s="128" t="s">
        <v>214</v>
      </c>
      <c r="B30" s="277">
        <f>'（５-3）品群別人時生產性（4℃-飯糰)'!$C$1</f>
        <v>223.8781959206018</v>
      </c>
      <c r="C30" s="306">
        <v>253.36933201602551</v>
      </c>
      <c r="D30" s="243">
        <f t="shared" si="7"/>
        <v>-29.491136095423713</v>
      </c>
      <c r="E30" s="277">
        <f t="shared" si="8"/>
        <v>232.16838364945252</v>
      </c>
      <c r="F30" s="133"/>
      <c r="G30" s="133"/>
      <c r="H30" s="133"/>
      <c r="I30" s="133"/>
      <c r="M30" s="277">
        <v>240.45857137830325</v>
      </c>
      <c r="N30" s="277">
        <f t="shared" si="9"/>
        <v>223.8781959206018</v>
      </c>
      <c r="O30" s="277"/>
      <c r="P30" s="277"/>
      <c r="Q30" s="277"/>
      <c r="R30" s="293">
        <f t="shared" si="10"/>
        <v>232.16838364945252</v>
      </c>
    </row>
    <row r="31" spans="1:18" s="121" customFormat="1" ht="18" customHeight="1">
      <c r="A31" s="128" t="s">
        <v>200</v>
      </c>
      <c r="B31" s="277">
        <f>'（５-4）品群別人時生產性（4℃-壽司手卷)'!$C$1</f>
        <v>152.66231598723107</v>
      </c>
      <c r="C31" s="306">
        <v>112.99131142028241</v>
      </c>
      <c r="D31" s="243">
        <f t="shared" si="7"/>
        <v>39.671004566948653</v>
      </c>
      <c r="E31" s="277">
        <f t="shared" si="8"/>
        <v>129.76371944768434</v>
      </c>
      <c r="F31" s="133"/>
      <c r="G31" s="133"/>
      <c r="H31" s="133"/>
      <c r="I31" s="133"/>
      <c r="M31" s="277">
        <v>106.86512290813759</v>
      </c>
      <c r="N31" s="277">
        <f t="shared" si="9"/>
        <v>152.66231598723107</v>
      </c>
      <c r="O31" s="277"/>
      <c r="P31" s="277"/>
      <c r="Q31" s="277"/>
      <c r="R31" s="293">
        <f t="shared" si="10"/>
        <v>129.76371944768434</v>
      </c>
    </row>
    <row r="32" spans="1:18" s="121" customFormat="1" ht="18" customHeight="1">
      <c r="A32" s="128" t="s">
        <v>204</v>
      </c>
      <c r="B32" s="277">
        <f>'（５-5）品群別人時生產性(主食) '!$C$1</f>
        <v>90.207678646771058</v>
      </c>
      <c r="C32" s="306">
        <v>85.495684450909806</v>
      </c>
      <c r="D32" s="243">
        <f t="shared" si="7"/>
        <v>4.7119941958612515</v>
      </c>
      <c r="E32" s="277">
        <f t="shared" si="8"/>
        <v>89.759053525752165</v>
      </c>
      <c r="F32" s="133"/>
      <c r="G32" s="133"/>
      <c r="H32" s="133"/>
      <c r="I32" s="133"/>
      <c r="M32" s="277">
        <v>89.310428404733287</v>
      </c>
      <c r="N32" s="277">
        <f t="shared" si="9"/>
        <v>90.207678646771058</v>
      </c>
      <c r="O32" s="277"/>
      <c r="P32" s="277"/>
      <c r="Q32" s="277"/>
      <c r="R32" s="293">
        <f t="shared" si="10"/>
        <v>89.759053525752165</v>
      </c>
    </row>
    <row r="33" spans="1:18" s="121" customFormat="1" ht="18" customHeight="1">
      <c r="A33" s="128" t="s">
        <v>206</v>
      </c>
      <c r="B33" s="277">
        <f>'（５-6）品群別人時生產性(便當)'!$C$1</f>
        <v>71.542705273267316</v>
      </c>
      <c r="C33" s="306">
        <v>66.943613625537381</v>
      </c>
      <c r="D33" s="243">
        <f t="shared" si="7"/>
        <v>4.5990916477299351</v>
      </c>
      <c r="E33" s="277">
        <f t="shared" si="8"/>
        <v>68.607723866273545</v>
      </c>
      <c r="F33" s="133"/>
      <c r="G33" s="133"/>
      <c r="H33" s="133"/>
      <c r="I33" s="133"/>
      <c r="M33" s="277">
        <v>65.67274245927976</v>
      </c>
      <c r="N33" s="277">
        <f t="shared" si="9"/>
        <v>71.542705273267316</v>
      </c>
      <c r="O33" s="277"/>
      <c r="P33" s="277"/>
      <c r="Q33" s="277"/>
      <c r="R33" s="293">
        <f t="shared" si="10"/>
        <v>68.607723866273545</v>
      </c>
    </row>
    <row r="34" spans="1:18" s="121" customFormat="1" ht="18" customHeight="1">
      <c r="A34" s="128" t="s">
        <v>215</v>
      </c>
      <c r="B34" s="277">
        <f>'（５-7）品群別人時生產性(熱食義麵) '!$C$1</f>
        <v>78.25450920334788</v>
      </c>
      <c r="C34" s="306">
        <v>80.555861357885718</v>
      </c>
      <c r="D34" s="243">
        <f t="shared" si="7"/>
        <v>-2.3013521545378381</v>
      </c>
      <c r="E34" s="277">
        <f t="shared" si="8"/>
        <v>76.866539112650329</v>
      </c>
      <c r="F34" s="133"/>
      <c r="G34" s="133"/>
      <c r="H34" s="133"/>
      <c r="I34" s="133"/>
      <c r="M34" s="277">
        <v>75.478569021952779</v>
      </c>
      <c r="N34" s="277">
        <f t="shared" si="9"/>
        <v>78.25450920334788</v>
      </c>
      <c r="O34" s="277"/>
      <c r="P34" s="277"/>
      <c r="Q34" s="277"/>
      <c r="R34" s="293">
        <f t="shared" si="10"/>
        <v>76.866539112650329</v>
      </c>
    </row>
    <row r="35" spans="1:18" s="121" customFormat="1" ht="18" customHeight="1">
      <c r="A35" s="128" t="s">
        <v>216</v>
      </c>
      <c r="B35" s="277">
        <f>'（５-8）品群別人時生產性(季節調理麵) '!$C$1</f>
        <v>121.75135219613767</v>
      </c>
      <c r="C35" s="306">
        <v>121.13262609451999</v>
      </c>
      <c r="D35" s="243">
        <f t="shared" si="7"/>
        <v>0.61872610161768193</v>
      </c>
      <c r="E35" s="277">
        <f t="shared" si="8"/>
        <v>118.12846211137034</v>
      </c>
      <c r="F35" s="133"/>
      <c r="G35" s="133"/>
      <c r="H35" s="133"/>
      <c r="I35" s="133"/>
      <c r="M35" s="277">
        <v>114.50557202660302</v>
      </c>
      <c r="N35" s="277">
        <f t="shared" si="9"/>
        <v>121.75135219613767</v>
      </c>
      <c r="O35" s="277"/>
      <c r="P35" s="277"/>
      <c r="Q35" s="277"/>
      <c r="R35" s="293">
        <f t="shared" si="10"/>
        <v>118.12846211137034</v>
      </c>
    </row>
    <row r="36" spans="1:18" s="121" customFormat="1" ht="18" customHeight="1">
      <c r="A36" s="124" t="s">
        <v>211</v>
      </c>
      <c r="B36" s="277">
        <f>'（５-9）品群別人時生產性(微波小吃)'!$C$1</f>
        <v>152.50525687685735</v>
      </c>
      <c r="C36" s="306">
        <v>115.3662253913358</v>
      </c>
      <c r="D36" s="243">
        <f t="shared" si="7"/>
        <v>37.139031485521542</v>
      </c>
      <c r="E36" s="277">
        <f t="shared" si="8"/>
        <v>126.07679945936154</v>
      </c>
      <c r="F36" s="133"/>
      <c r="G36" s="133"/>
      <c r="H36" s="133"/>
      <c r="I36" s="133"/>
      <c r="M36" s="277">
        <v>99.648342041865732</v>
      </c>
      <c r="N36" s="277">
        <f t="shared" si="9"/>
        <v>152.50525687685735</v>
      </c>
      <c r="O36" s="277"/>
      <c r="P36" s="277"/>
      <c r="Q36" s="277"/>
      <c r="R36" s="293">
        <f t="shared" si="10"/>
        <v>126.07679945936154</v>
      </c>
    </row>
    <row r="37" spans="1:18" s="121" customFormat="1" ht="15.75" customHeight="1"/>
    <row r="38" spans="1:18" s="121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H31" sqref="H31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8" ht="15.75" customHeight="1">
      <c r="A1" s="588" t="s">
        <v>365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119"/>
    </row>
    <row r="2" spans="1:18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</row>
    <row r="3" spans="1:18" ht="21.6" customHeight="1">
      <c r="A3" s="139" t="s">
        <v>306</v>
      </c>
      <c r="B3" s="214">
        <v>7</v>
      </c>
      <c r="C3" s="216" t="s">
        <v>307</v>
      </c>
      <c r="D3" s="214" t="s">
        <v>744</v>
      </c>
      <c r="E3" s="139" t="s">
        <v>20</v>
      </c>
      <c r="F3" s="589" t="s">
        <v>364</v>
      </c>
      <c r="G3" s="589"/>
      <c r="H3" s="130"/>
      <c r="I3" s="131"/>
      <c r="J3" s="130"/>
      <c r="K3" s="130"/>
      <c r="L3" s="130"/>
      <c r="M3" s="130"/>
      <c r="N3" s="120"/>
    </row>
    <row r="4" spans="1:18" s="121" customFormat="1" ht="15.75" customHeight="1">
      <c r="A4" s="132" t="s">
        <v>176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8" s="125" customFormat="1" ht="15.75" customHeight="1">
      <c r="A5" s="146" t="s">
        <v>178</v>
      </c>
      <c r="B5" s="146" t="s">
        <v>309</v>
      </c>
      <c r="C5" s="146" t="s">
        <v>311</v>
      </c>
      <c r="D5" s="141" t="s">
        <v>2</v>
      </c>
      <c r="E5" s="141" t="s">
        <v>3</v>
      </c>
      <c r="F5" s="135"/>
      <c r="G5" s="146" t="s">
        <v>178</v>
      </c>
      <c r="H5" s="141" t="s">
        <v>69</v>
      </c>
      <c r="I5" s="141" t="s">
        <v>308</v>
      </c>
      <c r="J5" s="141" t="s">
        <v>310</v>
      </c>
      <c r="K5" s="141" t="s">
        <v>3</v>
      </c>
      <c r="L5" s="126" t="s">
        <v>60</v>
      </c>
    </row>
    <row r="6" spans="1:18" s="121" customFormat="1" ht="18" customHeight="1">
      <c r="A6" s="128" t="s">
        <v>24</v>
      </c>
      <c r="B6" s="223">
        <f>'（１）收支狀況'!G26/1000</f>
        <v>59579.430999999997</v>
      </c>
      <c r="C6" s="253">
        <v>57494.64</v>
      </c>
      <c r="D6" s="142">
        <f t="shared" ref="D6:D11" si="0">B6-C6</f>
        <v>2084.7909999999974</v>
      </c>
      <c r="E6" s="235">
        <f>'（１）收支狀況'!H10/1000</f>
        <v>231728.76199999999</v>
      </c>
      <c r="F6" s="133"/>
      <c r="G6" s="128" t="s">
        <v>179</v>
      </c>
      <c r="H6" s="278">
        <v>366</v>
      </c>
      <c r="I6" s="237">
        <f>'（２）ＫＰＩ達成進度'!G26</f>
        <v>333.52911314195188</v>
      </c>
      <c r="J6" s="258">
        <v>334.07954424796509</v>
      </c>
      <c r="K6" s="259">
        <f>'（２）ＫＰＩ達成進度'!H10</f>
        <v>337.64268734376998</v>
      </c>
      <c r="L6" s="122" t="s">
        <v>175</v>
      </c>
    </row>
    <row r="7" spans="1:18" s="121" customFormat="1" ht="18" customHeight="1">
      <c r="A7" s="128" t="s">
        <v>25</v>
      </c>
      <c r="B7" s="223">
        <f>'（１）收支狀況'!J26</f>
        <v>1734556</v>
      </c>
      <c r="C7" s="253">
        <v>1693144</v>
      </c>
      <c r="D7" s="142">
        <f t="shared" si="0"/>
        <v>41412</v>
      </c>
      <c r="E7" s="235">
        <f>'（１）收支狀況'!K10</f>
        <v>6824541</v>
      </c>
      <c r="F7" s="133"/>
      <c r="G7" s="128" t="s">
        <v>180</v>
      </c>
      <c r="H7" s="252">
        <v>0.8</v>
      </c>
      <c r="I7" s="251">
        <f>'（２）ＫＰＩ達成進度'!J26</f>
        <v>0.91128172989604328</v>
      </c>
      <c r="J7" s="256">
        <v>0.91278564002176243</v>
      </c>
      <c r="K7" s="252">
        <f>'（２）ＫＰＩ達成進度'!K10</f>
        <v>0.80348603545582498</v>
      </c>
      <c r="L7" s="122" t="s">
        <v>4</v>
      </c>
    </row>
    <row r="8" spans="1:18" s="121" customFormat="1" ht="18" customHeight="1">
      <c r="A8" s="128" t="s">
        <v>5</v>
      </c>
      <c r="B8" s="223">
        <f>'（１）收支狀況'!M26/1000</f>
        <v>39738.415999999997</v>
      </c>
      <c r="C8" s="253">
        <v>38758.114000000001</v>
      </c>
      <c r="D8" s="142">
        <f>B8-C8</f>
        <v>980.30199999999604</v>
      </c>
      <c r="E8" s="235">
        <f>'（１）收支狀況'!N10/1000</f>
        <v>155179.66800000001</v>
      </c>
      <c r="F8" s="133"/>
      <c r="G8" s="128" t="s">
        <v>181</v>
      </c>
      <c r="H8" s="247">
        <v>2.5000000000000001E-3</v>
      </c>
      <c r="I8" s="236">
        <f>'（２）ＫＰＩ達成進度'!M26</f>
        <v>2.4219781345745845E-3</v>
      </c>
      <c r="J8" s="255">
        <v>2.4130553989692052E-3</v>
      </c>
      <c r="K8" s="247">
        <f>'（２）ＫＰＩ達成進度'!N10</f>
        <v>2.4194090653322478E-3</v>
      </c>
      <c r="L8" s="122" t="s">
        <v>55</v>
      </c>
    </row>
    <row r="9" spans="1:18" s="121" customFormat="1" ht="18" customHeight="1">
      <c r="A9" s="128" t="s">
        <v>6</v>
      </c>
      <c r="B9" s="224">
        <f>'（１）收支狀況'!P26</f>
        <v>0.66698213348160373</v>
      </c>
      <c r="C9" s="254">
        <v>0.67411699594953545</v>
      </c>
      <c r="D9" s="143">
        <f t="shared" si="0"/>
        <v>-7.134862467931713E-3</v>
      </c>
      <c r="E9" s="143">
        <f>'（１）收支狀況'!Q10</f>
        <v>0.66966079937888767</v>
      </c>
      <c r="F9" s="133"/>
      <c r="G9" s="128" t="s">
        <v>182</v>
      </c>
      <c r="H9" s="247">
        <v>2.5999999999999999E-3</v>
      </c>
      <c r="I9" s="236">
        <f>'（２）ＫＰＩ達成進度'!P26</f>
        <v>4.0087535880234193E-3</v>
      </c>
      <c r="J9" s="255">
        <v>4.1085884940481954E-3</v>
      </c>
      <c r="K9" s="247">
        <f>'（２）ＫＰＩ達成進度'!Q10</f>
        <v>4.0107112101133531E-3</v>
      </c>
      <c r="L9" s="122" t="s">
        <v>98</v>
      </c>
    </row>
    <row r="10" spans="1:18" s="121" customFormat="1" ht="18" customHeight="1">
      <c r="A10" s="128" t="s">
        <v>64</v>
      </c>
      <c r="B10" s="223">
        <f>'（１）收支狀況'!S26/1000</f>
        <v>7148.5056730847609</v>
      </c>
      <c r="C10" s="253">
        <v>7024.8951297758922</v>
      </c>
      <c r="D10" s="142">
        <f t="shared" si="0"/>
        <v>123.61054330886873</v>
      </c>
      <c r="E10" s="235">
        <f>'（１）收支狀況'!T10/1000</f>
        <v>27598.788802664771</v>
      </c>
      <c r="F10" s="133"/>
      <c r="G10" s="128" t="s">
        <v>183</v>
      </c>
      <c r="H10" s="249">
        <v>0.8</v>
      </c>
      <c r="I10" s="248">
        <v>0.91400000000000003</v>
      </c>
      <c r="J10" s="256">
        <v>0.91400000000000003</v>
      </c>
      <c r="K10" s="249">
        <v>0.91700000000000004</v>
      </c>
      <c r="L10" s="122" t="s">
        <v>7</v>
      </c>
    </row>
    <row r="11" spans="1:18" s="121" customFormat="1" ht="18" customHeight="1">
      <c r="A11" s="128" t="s">
        <v>65</v>
      </c>
      <c r="B11" s="224">
        <f>'（１）收支狀況'!V26</f>
        <v>0.11998277850429222</v>
      </c>
      <c r="C11" s="254">
        <v>0.1221834788386516</v>
      </c>
      <c r="D11" s="143">
        <f t="shared" si="0"/>
        <v>-2.2007003343593873E-3</v>
      </c>
      <c r="E11" s="143">
        <f>'（１）收支狀況'!W10</f>
        <v>0.11909953932548421</v>
      </c>
      <c r="F11" s="133"/>
      <c r="G11" s="128" t="s">
        <v>184</v>
      </c>
      <c r="H11" s="249">
        <v>1</v>
      </c>
      <c r="I11" s="248">
        <f>'（２）ＫＰＩ達成進度'!V26</f>
        <v>0.62485714285714278</v>
      </c>
      <c r="J11" s="256">
        <v>0.59771428571428575</v>
      </c>
      <c r="K11" s="249">
        <f>'（２）ＫＰＩ達成進度'!W10</f>
        <v>0.57992592592592596</v>
      </c>
      <c r="L11" s="122" t="s">
        <v>62</v>
      </c>
    </row>
    <row r="12" spans="1:18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8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8" s="127" customFormat="1" ht="14.25">
      <c r="A14" s="145"/>
      <c r="B14" s="217" t="s">
        <v>309</v>
      </c>
      <c r="C14" s="145" t="s">
        <v>66</v>
      </c>
      <c r="D14" s="217" t="s">
        <v>312</v>
      </c>
      <c r="E14" s="145" t="s">
        <v>68</v>
      </c>
      <c r="F14" s="136"/>
      <c r="G14" s="145"/>
      <c r="H14" s="217" t="s">
        <v>309</v>
      </c>
      <c r="I14" s="145" t="s">
        <v>66</v>
      </c>
      <c r="J14" s="217" t="s">
        <v>312</v>
      </c>
      <c r="K14" s="145" t="s">
        <v>68</v>
      </c>
      <c r="M14" s="121"/>
      <c r="N14" s="121"/>
      <c r="O14" s="121"/>
      <c r="P14" s="121"/>
      <c r="Q14" s="121"/>
      <c r="R14" s="121"/>
    </row>
    <row r="15" spans="1:18" s="121" customFormat="1" ht="18" customHeight="1">
      <c r="A15" s="128" t="s">
        <v>316</v>
      </c>
      <c r="B15" s="238">
        <f>SUM('（３）業績構成比'!I28:I49,'（３）業績構成比'!K28:K49)/1000</f>
        <v>9331.6603862536231</v>
      </c>
      <c r="C15" s="143">
        <f>IFERROR(B15/$B$6,"")</f>
        <v>0.15662553719678229</v>
      </c>
      <c r="D15" s="254">
        <v>0.15708414025001119</v>
      </c>
      <c r="E15" s="143">
        <f>IFERROR(C15-D15,"")</f>
        <v>-4.5860305322889539E-4</v>
      </c>
      <c r="F15" s="133"/>
      <c r="G15" s="128" t="s">
        <v>316</v>
      </c>
      <c r="H15" s="238">
        <f>SUM(,'（４）訂單數量構成比'!I28:I49,'（４）訂單數量構成比'!K28:K49)</f>
        <v>477619</v>
      </c>
      <c r="I15" s="143">
        <f t="shared" ref="I15:I23" si="1">IFERROR(H15/$B$7,"")</f>
        <v>0.27535519176088868</v>
      </c>
      <c r="J15" s="254">
        <v>0.27570484258869887</v>
      </c>
      <c r="K15" s="143">
        <f t="shared" ref="K15:K23" si="2">IFERROR(I15-J15,"")</f>
        <v>-3.4965082781018841E-4</v>
      </c>
    </row>
    <row r="16" spans="1:18" s="121" customFormat="1" ht="18" customHeight="1">
      <c r="A16" s="128" t="s">
        <v>203</v>
      </c>
      <c r="B16" s="238">
        <f>SUM('（３）業績構成比'!O28:O49,'（３）業績構成比'!Q28:Q49)/1000</f>
        <v>1473.7673153153205</v>
      </c>
      <c r="C16" s="143">
        <f t="shared" ref="C16:C23" si="3">IFERROR(B16/$B$6,"")</f>
        <v>2.4736176404828718E-2</v>
      </c>
      <c r="D16" s="254">
        <v>1.6183311180508031E-2</v>
      </c>
      <c r="E16" s="143">
        <f t="shared" ref="E16:E23" si="4">IFERROR(C16-D16,"")</f>
        <v>8.5528652243206868E-3</v>
      </c>
      <c r="F16" s="133"/>
      <c r="G16" s="128" t="s">
        <v>232</v>
      </c>
      <c r="H16" s="238">
        <f>SUM('（４）訂單數量構成比'!O28:O49,'（４）訂單數量構成比'!Q28:Q49)</f>
        <v>50322</v>
      </c>
      <c r="I16" s="143">
        <f t="shared" si="1"/>
        <v>2.9011458840187344E-2</v>
      </c>
      <c r="J16" s="254">
        <v>1.9016693205067024E-2</v>
      </c>
      <c r="K16" s="143">
        <f t="shared" si="2"/>
        <v>9.9947656351203201E-3</v>
      </c>
    </row>
    <row r="17" spans="1:11" s="121" customFormat="1" ht="18" customHeight="1">
      <c r="A17" s="128" t="s">
        <v>199</v>
      </c>
      <c r="B17" s="238">
        <f>SUM('（３）業績構成比'!U28:U49)/1000</f>
        <v>6032.102353352072</v>
      </c>
      <c r="C17" s="143">
        <f t="shared" si="3"/>
        <v>0.10124471234631416</v>
      </c>
      <c r="D17" s="254">
        <v>0.10673667594567633</v>
      </c>
      <c r="E17" s="143">
        <f t="shared" si="4"/>
        <v>-5.4919635993621735E-3</v>
      </c>
      <c r="F17" s="133"/>
      <c r="G17" s="128" t="s">
        <v>214</v>
      </c>
      <c r="H17" s="238">
        <f>SUM('（４）訂單數量構成比'!U28:U49)</f>
        <v>183377</v>
      </c>
      <c r="I17" s="143">
        <f t="shared" si="1"/>
        <v>0.10571984992124786</v>
      </c>
      <c r="J17" s="254">
        <v>0.11320478352697703</v>
      </c>
      <c r="K17" s="143">
        <f t="shared" si="2"/>
        <v>-7.4849336057291743E-3</v>
      </c>
    </row>
    <row r="18" spans="1:11" s="121" customFormat="1" ht="18" customHeight="1">
      <c r="A18" s="128" t="s">
        <v>201</v>
      </c>
      <c r="B18" s="238">
        <f>SUM('（３）業績構成比'!W28:W49)/1000</f>
        <v>755.73024281949017</v>
      </c>
      <c r="C18" s="143">
        <f t="shared" si="3"/>
        <v>1.2684415244239076E-2</v>
      </c>
      <c r="D18" s="254">
        <v>1.5949487746905872E-2</v>
      </c>
      <c r="E18" s="143">
        <f t="shared" si="4"/>
        <v>-3.2650725026667961E-3</v>
      </c>
      <c r="F18" s="133"/>
      <c r="G18" s="128" t="s">
        <v>200</v>
      </c>
      <c r="H18" s="238">
        <f>SUM('（４）訂單數量構成比'!W28:W49)</f>
        <v>25373</v>
      </c>
      <c r="I18" s="143">
        <f t="shared" si="1"/>
        <v>1.4627950899250298E-2</v>
      </c>
      <c r="J18" s="254">
        <v>1.8187466630127148E-2</v>
      </c>
      <c r="K18" s="143">
        <f t="shared" si="2"/>
        <v>-3.5595157308768496E-3</v>
      </c>
    </row>
    <row r="19" spans="1:11" s="121" customFormat="1" ht="18" customHeight="1">
      <c r="A19" s="128" t="s">
        <v>205</v>
      </c>
      <c r="B19" s="238">
        <f>SUM('（３）業績構成比'!Y28:Y49,'（３）業績構成比'!AA28:AA49)/1000</f>
        <v>13098.487432061696</v>
      </c>
      <c r="C19" s="143">
        <f t="shared" si="3"/>
        <v>0.21984915284037704</v>
      </c>
      <c r="D19" s="254">
        <v>0.22328021291546513</v>
      </c>
      <c r="E19" s="143">
        <f t="shared" si="4"/>
        <v>-3.4310600750880882E-3</v>
      </c>
      <c r="F19" s="133"/>
      <c r="G19" s="128" t="s">
        <v>204</v>
      </c>
      <c r="H19" s="238">
        <f>SUM('（４）訂單數量構成比'!Y28:Y49,'（４）訂單數量構成比'!AA28:AA49)</f>
        <v>328999</v>
      </c>
      <c r="I19" s="143">
        <f t="shared" si="1"/>
        <v>0.18967332274080514</v>
      </c>
      <c r="J19" s="254">
        <v>0.19340115193982318</v>
      </c>
      <c r="K19" s="143">
        <f t="shared" si="2"/>
        <v>-3.7278291990180401E-3</v>
      </c>
    </row>
    <row r="20" spans="1:11" s="121" customFormat="1" ht="18" customHeight="1">
      <c r="A20" s="128" t="s">
        <v>207</v>
      </c>
      <c r="B20" s="238">
        <f>SUM('（３）業績構成比'!AE28:AE49)/1000</f>
        <v>9186.1338805524883</v>
      </c>
      <c r="C20" s="143">
        <f t="shared" si="3"/>
        <v>0.15418297433140118</v>
      </c>
      <c r="D20" s="254">
        <v>0.1719892899157176</v>
      </c>
      <c r="E20" s="143">
        <f t="shared" si="4"/>
        <v>-1.7806315584316418E-2</v>
      </c>
      <c r="F20" s="133"/>
      <c r="G20" s="128" t="s">
        <v>206</v>
      </c>
      <c r="H20" s="238">
        <f>SUM('（４）訂單數量構成比'!AE28:AE49)</f>
        <v>157342</v>
      </c>
      <c r="I20" s="143">
        <f t="shared" si="1"/>
        <v>9.0710245157838668E-2</v>
      </c>
      <c r="J20" s="254">
        <v>9.9870418582235179E-2</v>
      </c>
      <c r="K20" s="143">
        <f t="shared" si="2"/>
        <v>-9.1601734243965116E-3</v>
      </c>
    </row>
    <row r="21" spans="1:11" s="121" customFormat="1" ht="18" customHeight="1">
      <c r="A21" s="128" t="s">
        <v>209</v>
      </c>
      <c r="B21" s="238">
        <f>SUM('（３）業績構成比'!AG28:AG49)/1000</f>
        <v>6091.9328335348737</v>
      </c>
      <c r="C21" s="143">
        <f t="shared" si="3"/>
        <v>0.10224892603514246</v>
      </c>
      <c r="D21" s="254">
        <v>7.5869448382545182E-2</v>
      </c>
      <c r="E21" s="143">
        <f t="shared" si="4"/>
        <v>2.637947765259728E-2</v>
      </c>
      <c r="F21" s="133"/>
      <c r="G21" s="128" t="s">
        <v>215</v>
      </c>
      <c r="H21" s="238">
        <f>SUM('（４）訂單數量構成比'!AG28:AG49)</f>
        <v>120862</v>
      </c>
      <c r="I21" s="143">
        <f t="shared" si="1"/>
        <v>6.9678926480321188E-2</v>
      </c>
      <c r="J21" s="254">
        <v>5.2558435667610079E-2</v>
      </c>
      <c r="K21" s="143">
        <f t="shared" si="2"/>
        <v>1.7120490812711109E-2</v>
      </c>
    </row>
    <row r="22" spans="1:11" s="121" customFormat="1" ht="18" customHeight="1">
      <c r="A22" s="128" t="s">
        <v>210</v>
      </c>
      <c r="B22" s="238">
        <f>SUM('（３）業績構成比'!AI28:AI49)/1000</f>
        <v>8528.3825765927995</v>
      </c>
      <c r="C22" s="143">
        <f t="shared" si="3"/>
        <v>0.14314306856325634</v>
      </c>
      <c r="D22" s="254">
        <v>0.15125087455563507</v>
      </c>
      <c r="E22" s="143">
        <f t="shared" si="4"/>
        <v>-8.1078059923787305E-3</v>
      </c>
      <c r="F22" s="133"/>
      <c r="G22" s="128" t="s">
        <v>216</v>
      </c>
      <c r="H22" s="238">
        <f>SUM('（４）訂單數量構成比'!AI28:AI49)</f>
        <v>219567</v>
      </c>
      <c r="I22" s="143">
        <f t="shared" si="1"/>
        <v>0.12658397883954164</v>
      </c>
      <c r="J22" s="254">
        <v>0.13482491743171285</v>
      </c>
      <c r="K22" s="143">
        <f t="shared" si="2"/>
        <v>-8.2409385921712042E-3</v>
      </c>
    </row>
    <row r="23" spans="1:11" s="121" customFormat="1" ht="18" customHeight="1">
      <c r="A23" s="128" t="s">
        <v>212</v>
      </c>
      <c r="B23" s="238">
        <f>SUM('（３）業績構成比'!AK28:AK49)/1000</f>
        <v>5081.2339795176358</v>
      </c>
      <c r="C23" s="143">
        <f t="shared" si="3"/>
        <v>8.5285037037658787E-2</v>
      </c>
      <c r="D23" s="254">
        <v>8.1656559107535526E-2</v>
      </c>
      <c r="E23" s="143">
        <f t="shared" si="4"/>
        <v>3.6284779301232611E-3</v>
      </c>
      <c r="F23" s="133"/>
      <c r="G23" s="128" t="s">
        <v>211</v>
      </c>
      <c r="H23" s="238">
        <f>SUM('（４）訂單數量構成比'!AK28:AK49)</f>
        <v>171095</v>
      </c>
      <c r="I23" s="143">
        <f t="shared" si="1"/>
        <v>9.8639075359919198E-2</v>
      </c>
      <c r="J23" s="254">
        <v>9.3231290427748609E-2</v>
      </c>
      <c r="K23" s="143">
        <f t="shared" si="2"/>
        <v>5.4077849321705895E-3</v>
      </c>
    </row>
    <row r="24" spans="1:11" s="121" customFormat="1" ht="15.75" customHeight="1">
      <c r="A24" s="133"/>
      <c r="B24" s="133"/>
      <c r="C24" s="137">
        <f>SUM(C15:C23)</f>
        <v>1</v>
      </c>
      <c r="D24" s="137">
        <f>SUM(D15:D23)</f>
        <v>1</v>
      </c>
      <c r="E24" s="133"/>
      <c r="F24" s="133"/>
      <c r="G24" s="133"/>
      <c r="H24" s="133"/>
      <c r="I24" s="137">
        <f>SUM(I15:I23)</f>
        <v>1</v>
      </c>
      <c r="J24" s="137">
        <f>SUM(J15:J23)</f>
        <v>1.0000000000000002</v>
      </c>
      <c r="K24" s="133"/>
    </row>
    <row r="25" spans="1:11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1" s="121" customFormat="1" ht="15.75" customHeight="1">
      <c r="A26" s="132" t="s">
        <v>447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</row>
    <row r="27" spans="1:11" s="121" customFormat="1" ht="15.75" customHeight="1">
      <c r="A27" s="128" t="s">
        <v>167</v>
      </c>
      <c r="B27" s="218" t="s">
        <v>309</v>
      </c>
      <c r="C27" s="218" t="s">
        <v>311</v>
      </c>
      <c r="D27" s="128" t="s">
        <v>2</v>
      </c>
      <c r="E27" s="128" t="s">
        <v>366</v>
      </c>
      <c r="G27" s="133"/>
      <c r="H27" s="133"/>
      <c r="I27" s="133"/>
      <c r="J27" s="133"/>
      <c r="K27" s="133"/>
    </row>
    <row r="28" spans="1:11" s="121" customFormat="1" ht="18" customHeight="1">
      <c r="A28" s="128" t="s">
        <v>316</v>
      </c>
      <c r="B28" s="242">
        <f>'（５-1）品群別人時生產性（18℃-飯糰）'!L112</f>
        <v>803.20570792975252</v>
      </c>
      <c r="C28" s="257">
        <v>777.47147059917438</v>
      </c>
      <c r="D28" s="243">
        <f t="shared" ref="D28:D36" si="5">B28-C28</f>
        <v>25.734237330578139</v>
      </c>
      <c r="E28" s="129">
        <f>'（５-1）品群別人時生產性（18℃-飯糰）'!C1</f>
        <v>785.43838729337938</v>
      </c>
      <c r="G28" s="147"/>
      <c r="H28" s="931"/>
      <c r="I28" s="147"/>
      <c r="J28" s="147"/>
      <c r="K28" s="133"/>
    </row>
    <row r="29" spans="1:11" s="121" customFormat="1" ht="18" customHeight="1">
      <c r="A29" s="128" t="s">
        <v>202</v>
      </c>
      <c r="B29" s="242">
        <f>'（５-2）品群別人時生產性（18-壽司手卷)'!L67</f>
        <v>148.28257070109544</v>
      </c>
      <c r="C29" s="257">
        <v>148.14827126475475</v>
      </c>
      <c r="D29" s="243">
        <f t="shared" si="5"/>
        <v>0.13429943634068309</v>
      </c>
      <c r="E29" s="129">
        <f>'（５-2）品群別人時生產性（18-壽司手卷)'!C1</f>
        <v>147.19975574341348</v>
      </c>
      <c r="G29" s="148"/>
      <c r="H29" s="931"/>
      <c r="I29" s="149"/>
      <c r="J29" s="150"/>
      <c r="K29" s="133"/>
    </row>
    <row r="30" spans="1:11" s="121" customFormat="1" ht="18" customHeight="1">
      <c r="A30" s="128" t="s">
        <v>214</v>
      </c>
      <c r="B30" s="242">
        <f>'（５-3）品群別人時生產性（4℃-飯糰)'!L67</f>
        <v>235.50291909632642</v>
      </c>
      <c r="C30" s="257">
        <v>238.50197937589826</v>
      </c>
      <c r="D30" s="243">
        <f t="shared" si="5"/>
        <v>-2.999060279571836</v>
      </c>
      <c r="E30" s="129">
        <f>'（５-3）品群別人時生產性（4℃-飯糰)'!C1</f>
        <v>223.8781959206018</v>
      </c>
      <c r="G30" s="133"/>
      <c r="H30" s="931"/>
      <c r="I30" s="133"/>
      <c r="J30" s="133"/>
      <c r="K30" s="133"/>
    </row>
    <row r="31" spans="1:11" s="121" customFormat="1" ht="18" customHeight="1">
      <c r="A31" s="128" t="s">
        <v>200</v>
      </c>
      <c r="B31" s="242">
        <f>'（５-4）品群別人時生產性（4℃-壽司手卷)'!L67</f>
        <v>162.91260134823159</v>
      </c>
      <c r="C31" s="257">
        <v>167.4566121203726</v>
      </c>
      <c r="D31" s="243">
        <f t="shared" si="5"/>
        <v>-4.5440107721410072</v>
      </c>
      <c r="E31" s="129">
        <f>'（５-4）品群別人時生產性（4℃-壽司手卷)'!C1</f>
        <v>152.66231598723107</v>
      </c>
      <c r="G31" s="133"/>
      <c r="H31" s="931"/>
      <c r="I31" s="133"/>
      <c r="J31" s="133"/>
      <c r="K31" s="133"/>
    </row>
    <row r="32" spans="1:11" s="121" customFormat="1" ht="18" customHeight="1">
      <c r="A32" s="128" t="s">
        <v>204</v>
      </c>
      <c r="B32" s="242">
        <f>'（５-5）品群別人時生產性(主食) '!L112</f>
        <v>89.660550318931215</v>
      </c>
      <c r="C32" s="257">
        <v>90.130488875607</v>
      </c>
      <c r="D32" s="243">
        <f t="shared" si="5"/>
        <v>-0.46993855667578543</v>
      </c>
      <c r="E32" s="129">
        <f>'（５-5）品群別人時生產性(主食) '!C1</f>
        <v>90.207678646771058</v>
      </c>
      <c r="G32" s="133"/>
      <c r="H32" s="931"/>
      <c r="I32" s="133"/>
      <c r="J32" s="133"/>
      <c r="K32" s="133"/>
    </row>
    <row r="33" spans="1:11" s="121" customFormat="1" ht="18" customHeight="1">
      <c r="A33" s="128" t="s">
        <v>206</v>
      </c>
      <c r="B33" s="242">
        <f>'（５-6）品群別人時生產性(便當)'!L67</f>
        <v>71.59935383635441</v>
      </c>
      <c r="C33" s="257">
        <v>71.112092657491672</v>
      </c>
      <c r="D33" s="243">
        <f t="shared" si="5"/>
        <v>0.48726117886273812</v>
      </c>
      <c r="E33" s="129">
        <f>'（５-6）品群別人時生產性(便當)'!C1</f>
        <v>71.542705273267316</v>
      </c>
      <c r="G33" s="133"/>
      <c r="H33" s="931"/>
      <c r="I33" s="133"/>
      <c r="J33" s="133"/>
      <c r="K33" s="133"/>
    </row>
    <row r="34" spans="1:11" s="121" customFormat="1" ht="18" customHeight="1">
      <c r="A34" s="128" t="s">
        <v>215</v>
      </c>
      <c r="B34" s="242">
        <f>'（５-7）品群別人時生產性(熱食義麵) '!L67</f>
        <v>77.412658067827877</v>
      </c>
      <c r="C34" s="257">
        <v>78.585181821482081</v>
      </c>
      <c r="D34" s="243">
        <f t="shared" si="5"/>
        <v>-1.1725237536542039</v>
      </c>
      <c r="E34" s="129">
        <f>'（５-7）品群別人時生產性(熱食義麵) '!C1</f>
        <v>78.25450920334788</v>
      </c>
      <c r="G34" s="133"/>
      <c r="H34" s="931"/>
      <c r="I34" s="133"/>
      <c r="J34" s="133"/>
      <c r="K34" s="133"/>
    </row>
    <row r="35" spans="1:11" s="121" customFormat="1" ht="18" customHeight="1">
      <c r="A35" s="128" t="s">
        <v>216</v>
      </c>
      <c r="B35" s="242">
        <f>'（５-8）品群別人時生產性(季節調理麵) '!L67</f>
        <v>120.58443641187579</v>
      </c>
      <c r="C35" s="257">
        <v>121.35124203714356</v>
      </c>
      <c r="D35" s="243">
        <f t="shared" si="5"/>
        <v>-0.76680562526777862</v>
      </c>
      <c r="E35" s="129">
        <f>'（５-8）品群別人時生產性(季節調理麵) '!C1</f>
        <v>121.75135219613767</v>
      </c>
      <c r="G35" s="133"/>
      <c r="H35" s="931"/>
      <c r="I35" s="133"/>
      <c r="J35" s="133"/>
      <c r="K35" s="133"/>
    </row>
    <row r="36" spans="1:11" s="121" customFormat="1" ht="18" customHeight="1">
      <c r="A36" s="124" t="s">
        <v>211</v>
      </c>
      <c r="B36" s="242">
        <f>'（５-9）品群別人時生產性(微波小吃)'!L67</f>
        <v>156.17246300143455</v>
      </c>
      <c r="C36" s="257">
        <v>157.07549185780513</v>
      </c>
      <c r="D36" s="243">
        <f t="shared" si="5"/>
        <v>-0.90302885637058239</v>
      </c>
      <c r="E36" s="129">
        <f>'（５-9）品群別人時生產性(微波小吃)'!C1</f>
        <v>152.50525687685735</v>
      </c>
      <c r="G36" s="133"/>
      <c r="H36" s="931"/>
      <c r="I36" s="133"/>
      <c r="J36" s="133"/>
      <c r="K36" s="133"/>
    </row>
    <row r="37" spans="1:11" s="121" customFormat="1" ht="15.75" customHeight="1">
      <c r="D37" s="300"/>
    </row>
    <row r="38" spans="1:11" s="121" customFormat="1" ht="15.75" customHeight="1"/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P47" sqref="P47"/>
    </sheetView>
  </sheetViews>
  <sheetFormatPr defaultColWidth="8.85546875" defaultRowHeight="14.25"/>
  <cols>
    <col min="1" max="1" width="10.42578125" style="83" bestFit="1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83" customWidth="1"/>
    <col min="24" max="16384" width="8.85546875" style="83"/>
  </cols>
  <sheetData>
    <row r="2" spans="1:23" ht="38.1" customHeight="1">
      <c r="B2" s="591" t="s">
        <v>121</v>
      </c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</row>
    <row r="3" spans="1:23" s="84" customFormat="1" ht="23.45" customHeight="1">
      <c r="B3" s="97"/>
      <c r="C3" s="595" t="s">
        <v>116</v>
      </c>
      <c r="D3" s="596" t="s">
        <v>105</v>
      </c>
      <c r="E3" s="596"/>
      <c r="F3" s="594" t="s">
        <v>334</v>
      </c>
      <c r="G3" s="594"/>
      <c r="H3" s="594"/>
      <c r="I3" s="592" t="s">
        <v>119</v>
      </c>
      <c r="J3" s="592"/>
      <c r="K3" s="592"/>
      <c r="L3" s="593" t="s">
        <v>120</v>
      </c>
      <c r="M3" s="593"/>
      <c r="N3" s="593"/>
      <c r="O3" s="590" t="s">
        <v>122</v>
      </c>
      <c r="P3" s="590"/>
      <c r="Q3" s="590"/>
      <c r="R3" s="597" t="s">
        <v>123</v>
      </c>
      <c r="S3" s="597"/>
      <c r="T3" s="597"/>
      <c r="U3" s="590" t="s">
        <v>124</v>
      </c>
      <c r="V3" s="590"/>
      <c r="W3" s="590"/>
    </row>
    <row r="4" spans="1:23" s="84" customFormat="1" ht="23.45" customHeight="1">
      <c r="A4" s="97"/>
      <c r="B4" s="97"/>
      <c r="C4" s="595"/>
      <c r="D4" s="596"/>
      <c r="E4" s="596"/>
      <c r="F4" s="78" t="s">
        <v>115</v>
      </c>
      <c r="G4" s="78" t="s">
        <v>117</v>
      </c>
      <c r="H4" s="78" t="s">
        <v>118</v>
      </c>
      <c r="I4" s="91" t="s">
        <v>115</v>
      </c>
      <c r="J4" s="91" t="s">
        <v>117</v>
      </c>
      <c r="K4" s="91" t="s">
        <v>118</v>
      </c>
      <c r="L4" s="90" t="s">
        <v>115</v>
      </c>
      <c r="M4" s="90" t="s">
        <v>117</v>
      </c>
      <c r="N4" s="90" t="s">
        <v>118</v>
      </c>
      <c r="O4" s="85" t="s">
        <v>115</v>
      </c>
      <c r="P4" s="85" t="s">
        <v>117</v>
      </c>
      <c r="Q4" s="304" t="s">
        <v>455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04" t="s">
        <v>455</v>
      </c>
    </row>
    <row r="5" spans="1:23">
      <c r="A5" s="97"/>
      <c r="B5" s="97"/>
      <c r="C5" s="97"/>
      <c r="D5" s="303">
        <v>46203</v>
      </c>
      <c r="E5" s="303" t="s">
        <v>449</v>
      </c>
      <c r="F5" s="443">
        <v>9354163</v>
      </c>
      <c r="H5" s="320"/>
      <c r="I5" s="446">
        <v>280973</v>
      </c>
      <c r="K5" s="321"/>
      <c r="L5" s="443">
        <v>5908749</v>
      </c>
      <c r="M5" s="301"/>
      <c r="N5" s="320"/>
      <c r="O5" s="89">
        <f t="shared" ref="O5:O39" si="0">L5/F5</f>
        <v>0.63167051931851093</v>
      </c>
      <c r="P5" s="302"/>
      <c r="Q5" s="319"/>
      <c r="R5" s="443">
        <v>1078146.783509532</v>
      </c>
      <c r="S5" s="301"/>
      <c r="T5" s="320"/>
      <c r="U5" s="89">
        <f t="shared" ref="U5:U40" si="1">R5/F5</f>
        <v>0.11525849865023007</v>
      </c>
      <c r="V5" s="302"/>
      <c r="W5" s="319"/>
    </row>
    <row r="6" spans="1:23">
      <c r="A6" s="97"/>
      <c r="B6" s="97"/>
      <c r="C6" s="97"/>
      <c r="D6" s="303">
        <f t="shared" ref="D6" si="2">D5+1</f>
        <v>46204</v>
      </c>
      <c r="E6" s="303" t="s">
        <v>450</v>
      </c>
      <c r="F6" s="443">
        <v>8773103</v>
      </c>
      <c r="G6" s="301">
        <f>SUM(F5:F11)</f>
        <v>60441305</v>
      </c>
      <c r="H6" s="320"/>
      <c r="I6" s="446">
        <v>266041</v>
      </c>
      <c r="J6" s="87">
        <f>SUM(I5:I11)</f>
        <v>1820583</v>
      </c>
      <c r="K6" s="321"/>
      <c r="L6" s="443">
        <v>6515931</v>
      </c>
      <c r="M6" s="301">
        <f>SUM(L5:L11)</f>
        <v>40787221</v>
      </c>
      <c r="N6" s="320"/>
      <c r="O6" s="89">
        <f t="shared" si="0"/>
        <v>0.74271680156952447</v>
      </c>
      <c r="P6" s="89">
        <f>M6/G6</f>
        <v>0.67482363261349176</v>
      </c>
      <c r="Q6" s="319"/>
      <c r="R6" s="443">
        <v>1037983.435074535</v>
      </c>
      <c r="S6" s="301">
        <f>SUM(R5:R11)</f>
        <v>7260141.3648456316</v>
      </c>
      <c r="T6" s="320"/>
      <c r="U6" s="89">
        <f t="shared" si="1"/>
        <v>0.11831428800899009</v>
      </c>
      <c r="V6" s="89">
        <f>S6/G6</f>
        <v>0.12011887176899359</v>
      </c>
      <c r="W6" s="319"/>
    </row>
    <row r="7" spans="1:23" ht="16.5" customHeight="1">
      <c r="A7" s="97"/>
      <c r="B7" s="97"/>
      <c r="C7" s="97"/>
      <c r="D7" s="303">
        <f>D6+1</f>
        <v>46205</v>
      </c>
      <c r="E7" s="303" t="s">
        <v>451</v>
      </c>
      <c r="F7" s="443">
        <v>8177093</v>
      </c>
      <c r="I7" s="446">
        <v>250642</v>
      </c>
      <c r="L7" s="443">
        <v>5799580</v>
      </c>
      <c r="M7" s="86"/>
      <c r="N7" s="86"/>
      <c r="O7" s="89">
        <f t="shared" si="0"/>
        <v>0.70924716155240008</v>
      </c>
      <c r="R7" s="443">
        <v>1007943.3424946743</v>
      </c>
      <c r="S7" s="86"/>
      <c r="T7" s="86"/>
      <c r="U7" s="89">
        <f t="shared" si="1"/>
        <v>0.1232642630449078</v>
      </c>
      <c r="V7" s="89"/>
    </row>
    <row r="8" spans="1:23" ht="16.5" customHeight="1">
      <c r="A8" s="97"/>
      <c r="B8" s="97"/>
      <c r="C8" s="97"/>
      <c r="D8" s="303">
        <f t="shared" ref="D8:D11" si="3">D7+1</f>
        <v>46206</v>
      </c>
      <c r="E8" s="303" t="s">
        <v>452</v>
      </c>
      <c r="F8" s="443">
        <v>7340175</v>
      </c>
      <c r="G8" s="301"/>
      <c r="H8" s="320"/>
      <c r="I8" s="446">
        <v>225060</v>
      </c>
      <c r="K8" s="321"/>
      <c r="L8" s="443">
        <v>4729815</v>
      </c>
      <c r="M8" s="301"/>
      <c r="N8" s="320"/>
      <c r="O8" s="89">
        <f t="shared" si="0"/>
        <v>0.64437360144683198</v>
      </c>
      <c r="P8" s="302"/>
      <c r="Q8" s="319"/>
      <c r="R8" s="443">
        <v>1012657.2803106462</v>
      </c>
      <c r="S8" s="301"/>
      <c r="T8" s="320"/>
      <c r="U8" s="89">
        <f t="shared" si="1"/>
        <v>0.13796091786785003</v>
      </c>
      <c r="V8" s="302"/>
      <c r="W8" s="319"/>
    </row>
    <row r="9" spans="1:23" ht="16.5" customHeight="1">
      <c r="A9" s="97"/>
      <c r="B9" s="97"/>
      <c r="C9" s="97"/>
      <c r="D9" s="303">
        <f t="shared" si="3"/>
        <v>46207</v>
      </c>
      <c r="E9" s="303" t="s">
        <v>453</v>
      </c>
      <c r="F9" s="443">
        <v>8235605</v>
      </c>
      <c r="G9" s="301"/>
      <c r="H9" s="320"/>
      <c r="I9" s="446">
        <v>244678</v>
      </c>
      <c r="K9" s="321"/>
      <c r="L9" s="443">
        <v>5624264</v>
      </c>
      <c r="M9" s="301"/>
      <c r="N9" s="320"/>
      <c r="O9" s="89">
        <f t="shared" si="0"/>
        <v>0.6829205626059045</v>
      </c>
      <c r="P9" s="302"/>
      <c r="Q9" s="319"/>
      <c r="R9" s="443">
        <v>1023634.1316370353</v>
      </c>
      <c r="S9" s="301"/>
      <c r="T9" s="320"/>
      <c r="U9" s="89">
        <f t="shared" si="1"/>
        <v>0.12429373818159507</v>
      </c>
      <c r="V9" s="302"/>
      <c r="W9" s="319"/>
    </row>
    <row r="10" spans="1:23" ht="16.5" customHeight="1">
      <c r="A10" s="97"/>
      <c r="B10" s="97"/>
      <c r="C10" s="97"/>
      <c r="D10" s="303">
        <f t="shared" si="3"/>
        <v>46208</v>
      </c>
      <c r="E10" s="303" t="s">
        <v>454</v>
      </c>
      <c r="F10" s="443">
        <v>9197911</v>
      </c>
      <c r="H10" s="320">
        <f>SUM(F6:F36)</f>
        <v>231728762</v>
      </c>
      <c r="I10" s="446">
        <v>275484</v>
      </c>
      <c r="K10" s="321">
        <f>SUM(I6:I36)</f>
        <v>6824541</v>
      </c>
      <c r="L10" s="443">
        <v>6056247</v>
      </c>
      <c r="M10" s="86"/>
      <c r="N10" s="320">
        <f>SUM(L6:L36)</f>
        <v>155179668</v>
      </c>
      <c r="O10" s="89">
        <f t="shared" si="0"/>
        <v>0.65843722558306994</v>
      </c>
      <c r="P10" s="302"/>
      <c r="Q10" s="319">
        <f>N10/H10</f>
        <v>0.66966079937888767</v>
      </c>
      <c r="R10" s="443">
        <v>1056786.7199495353</v>
      </c>
      <c r="S10" s="86"/>
      <c r="T10" s="320">
        <f>SUM(R6:R36)</f>
        <v>27598788.802664772</v>
      </c>
      <c r="U10" s="89">
        <f t="shared" si="1"/>
        <v>0.11489421021246404</v>
      </c>
      <c r="V10" s="302"/>
      <c r="W10" s="319">
        <f>T10/H10</f>
        <v>0.11909953932548421</v>
      </c>
    </row>
    <row r="11" spans="1:23" ht="16.5" customHeight="1">
      <c r="A11" s="97"/>
      <c r="B11" s="97"/>
      <c r="C11" s="97"/>
      <c r="D11" s="303">
        <f t="shared" si="3"/>
        <v>46209</v>
      </c>
      <c r="E11" s="303" t="s">
        <v>448</v>
      </c>
      <c r="F11" s="443">
        <v>9363255</v>
      </c>
      <c r="G11" s="301"/>
      <c r="H11" s="320"/>
      <c r="I11" s="446">
        <v>277705</v>
      </c>
      <c r="K11" s="321"/>
      <c r="L11" s="443">
        <v>6152635</v>
      </c>
      <c r="M11" s="301"/>
      <c r="N11" s="320"/>
      <c r="O11" s="89">
        <f t="shared" si="0"/>
        <v>0.6571042869173167</v>
      </c>
      <c r="Q11" s="319"/>
      <c r="R11" s="443">
        <v>1042989.6718696741</v>
      </c>
      <c r="S11" s="301"/>
      <c r="T11" s="320"/>
      <c r="U11" s="89">
        <f t="shared" si="1"/>
        <v>0.11139178329220704</v>
      </c>
      <c r="V11" s="89"/>
      <c r="W11" s="319"/>
    </row>
    <row r="12" spans="1:23" ht="16.5" customHeight="1">
      <c r="A12" s="97"/>
      <c r="B12" s="97"/>
      <c r="C12" s="97"/>
      <c r="D12" s="359">
        <f t="shared" ref="D12:D34" si="4">D11+1</f>
        <v>46210</v>
      </c>
      <c r="E12" s="359" t="s">
        <v>449</v>
      </c>
      <c r="F12" s="229">
        <v>10402844</v>
      </c>
      <c r="G12" s="301">
        <f>SUM(F12:F18)</f>
        <v>63567549</v>
      </c>
      <c r="H12" s="320"/>
      <c r="I12" s="230">
        <v>299940</v>
      </c>
      <c r="J12" s="87">
        <f>SUM(I12:I18)</f>
        <v>1857231</v>
      </c>
      <c r="K12" s="321"/>
      <c r="L12" s="229">
        <v>6697860</v>
      </c>
      <c r="M12" s="301">
        <f>SUM(L12:L18)</f>
        <v>41804666</v>
      </c>
      <c r="N12" s="320"/>
      <c r="O12" s="89">
        <f t="shared" si="0"/>
        <v>0.64384893208049643</v>
      </c>
      <c r="P12" s="89">
        <f>M12/G12</f>
        <v>0.65764162151351779</v>
      </c>
      <c r="Q12" s="319"/>
      <c r="R12" s="231">
        <v>1056838.1552672565</v>
      </c>
      <c r="S12" s="301">
        <f>SUM(R12:R18)</f>
        <v>7243393.4184680171</v>
      </c>
      <c r="T12" s="320"/>
      <c r="U12" s="89">
        <f t="shared" si="1"/>
        <v>0.10159127208552358</v>
      </c>
      <c r="V12" s="89">
        <f>S12/G12</f>
        <v>0.11394797396495525</v>
      </c>
      <c r="W12" s="319"/>
    </row>
    <row r="13" spans="1:23" ht="16.5" customHeight="1">
      <c r="A13" s="97"/>
      <c r="B13" s="97"/>
      <c r="C13" s="97"/>
      <c r="D13" s="359">
        <f t="shared" si="4"/>
        <v>46211</v>
      </c>
      <c r="E13" s="359" t="s">
        <v>450</v>
      </c>
      <c r="F13" s="229">
        <v>9579033</v>
      </c>
      <c r="H13" s="320"/>
      <c r="I13" s="230">
        <v>281251</v>
      </c>
      <c r="K13" s="321"/>
      <c r="L13" s="229">
        <v>6357837</v>
      </c>
      <c r="M13" s="86"/>
      <c r="N13" s="320"/>
      <c r="O13" s="89">
        <f t="shared" si="0"/>
        <v>0.66372430286021566</v>
      </c>
      <c r="P13" s="302"/>
      <c r="Q13" s="319"/>
      <c r="R13" s="229">
        <v>1049236.3360554508</v>
      </c>
      <c r="S13" s="86"/>
      <c r="T13" s="320"/>
      <c r="U13" s="89">
        <f t="shared" si="1"/>
        <v>0.10953468226442595</v>
      </c>
      <c r="V13" s="302"/>
      <c r="W13" s="319"/>
    </row>
    <row r="14" spans="1:23" ht="16.5" customHeight="1">
      <c r="A14" s="97"/>
      <c r="B14" s="97"/>
      <c r="C14" s="97"/>
      <c r="D14" s="359">
        <f t="shared" si="4"/>
        <v>46212</v>
      </c>
      <c r="E14" s="359" t="s">
        <v>451</v>
      </c>
      <c r="F14" s="229">
        <v>9159433</v>
      </c>
      <c r="G14" s="301"/>
      <c r="H14" s="320"/>
      <c r="I14" s="230">
        <v>269872</v>
      </c>
      <c r="K14" s="321"/>
      <c r="L14" s="229">
        <v>6156440</v>
      </c>
      <c r="M14" s="301"/>
      <c r="N14" s="320"/>
      <c r="O14" s="89">
        <f t="shared" si="0"/>
        <v>0.67214204198010952</v>
      </c>
      <c r="P14" s="302"/>
      <c r="Q14" s="319"/>
      <c r="R14" s="229">
        <v>1048394.8405450343</v>
      </c>
      <c r="S14" s="301"/>
      <c r="T14" s="320"/>
      <c r="U14" s="89">
        <f t="shared" si="1"/>
        <v>0.11446067027784736</v>
      </c>
      <c r="V14" s="302"/>
      <c r="W14" s="319"/>
    </row>
    <row r="15" spans="1:23" ht="16.5" customHeight="1">
      <c r="A15" s="97"/>
      <c r="B15" s="97"/>
      <c r="C15" s="97"/>
      <c r="D15" s="359">
        <f t="shared" si="4"/>
        <v>46213</v>
      </c>
      <c r="E15" s="359" t="s">
        <v>452</v>
      </c>
      <c r="F15" s="229">
        <v>7382110</v>
      </c>
      <c r="G15" s="301"/>
      <c r="H15" s="320"/>
      <c r="I15" s="230">
        <v>221106</v>
      </c>
      <c r="K15" s="321"/>
      <c r="L15" s="229">
        <v>4942186</v>
      </c>
      <c r="M15" s="301"/>
      <c r="N15" s="320"/>
      <c r="O15" s="89">
        <f t="shared" si="0"/>
        <v>0.66948148970958166</v>
      </c>
      <c r="Q15" s="319"/>
      <c r="R15" s="229">
        <v>996977.16284017311</v>
      </c>
      <c r="S15" s="301"/>
      <c r="T15" s="320"/>
      <c r="U15" s="89">
        <f t="shared" si="1"/>
        <v>0.13505314372722341</v>
      </c>
      <c r="V15" s="89"/>
      <c r="W15" s="319"/>
    </row>
    <row r="16" spans="1:23" ht="16.5" customHeight="1">
      <c r="A16" s="97"/>
      <c r="B16" s="97"/>
      <c r="C16" s="97"/>
      <c r="D16" s="359">
        <f t="shared" si="4"/>
        <v>46214</v>
      </c>
      <c r="E16" s="359" t="s">
        <v>453</v>
      </c>
      <c r="F16" s="229">
        <v>7919116</v>
      </c>
      <c r="G16" s="301"/>
      <c r="H16" s="320"/>
      <c r="I16" s="230">
        <v>233330</v>
      </c>
      <c r="K16" s="321"/>
      <c r="L16" s="229">
        <v>5240629</v>
      </c>
      <c r="M16" s="301"/>
      <c r="N16" s="320"/>
      <c r="O16" s="89">
        <f t="shared" si="0"/>
        <v>0.66176944497340362</v>
      </c>
      <c r="P16" s="302"/>
      <c r="Q16" s="319"/>
      <c r="R16" s="229">
        <v>1005335.1471735064</v>
      </c>
      <c r="S16" s="301"/>
      <c r="T16" s="320"/>
      <c r="U16" s="89">
        <f t="shared" si="1"/>
        <v>0.12695042567548026</v>
      </c>
      <c r="V16" s="302"/>
      <c r="W16" s="319"/>
    </row>
    <row r="17" spans="1:23" ht="16.5" customHeight="1">
      <c r="A17" s="97"/>
      <c r="B17" s="97"/>
      <c r="C17" s="97"/>
      <c r="D17" s="359">
        <f t="shared" si="4"/>
        <v>46215</v>
      </c>
      <c r="E17" s="359" t="s">
        <v>454</v>
      </c>
      <c r="F17" s="229">
        <v>9570480</v>
      </c>
      <c r="H17" s="320"/>
      <c r="I17" s="230">
        <v>277272</v>
      </c>
      <c r="K17" s="321"/>
      <c r="L17" s="229">
        <v>6150897</v>
      </c>
      <c r="M17" s="86"/>
      <c r="N17" s="320"/>
      <c r="O17" s="89">
        <f t="shared" si="0"/>
        <v>0.64269472377560999</v>
      </c>
      <c r="P17" s="302"/>
      <c r="Q17" s="319"/>
      <c r="R17" s="229">
        <v>1048548.6436075342</v>
      </c>
      <c r="S17" s="86"/>
      <c r="T17" s="320"/>
      <c r="U17" s="89">
        <f t="shared" si="1"/>
        <v>0.10956071624490457</v>
      </c>
      <c r="V17" s="302"/>
      <c r="W17" s="319"/>
    </row>
    <row r="18" spans="1:23" ht="16.5" customHeight="1">
      <c r="A18" s="97"/>
      <c r="B18" s="97"/>
      <c r="C18" s="97"/>
      <c r="D18" s="359">
        <f t="shared" si="4"/>
        <v>46216</v>
      </c>
      <c r="E18" s="359" t="s">
        <v>448</v>
      </c>
      <c r="F18" s="229">
        <v>9554533</v>
      </c>
      <c r="G18" s="301"/>
      <c r="H18" s="320"/>
      <c r="I18" s="230">
        <v>274460</v>
      </c>
      <c r="K18" s="321"/>
      <c r="L18" s="229">
        <v>6258817</v>
      </c>
      <c r="M18" s="301"/>
      <c r="N18" s="320"/>
      <c r="O18" s="89">
        <f t="shared" si="0"/>
        <v>0.65506257605683083</v>
      </c>
      <c r="P18" s="302"/>
      <c r="Q18" s="319"/>
      <c r="R18" s="229">
        <v>1038063.1329790619</v>
      </c>
      <c r="S18" s="301"/>
      <c r="T18" s="320"/>
      <c r="U18" s="89">
        <f t="shared" si="1"/>
        <v>0.10864614031675457</v>
      </c>
      <c r="V18" s="302"/>
      <c r="W18" s="319"/>
    </row>
    <row r="19" spans="1:23" ht="16.5" customHeight="1">
      <c r="A19" s="97"/>
      <c r="B19" s="97"/>
      <c r="C19" s="97"/>
      <c r="D19" s="303">
        <f t="shared" si="4"/>
        <v>46217</v>
      </c>
      <c r="E19" s="303" t="s">
        <v>449</v>
      </c>
      <c r="F19" s="229">
        <v>9083724</v>
      </c>
      <c r="G19" s="301">
        <f>SUM(F19:F25)</f>
        <v>57494640</v>
      </c>
      <c r="H19" s="320"/>
      <c r="I19" s="230">
        <v>267652</v>
      </c>
      <c r="J19" s="87">
        <f>SUM(I19:I25)</f>
        <v>1693144</v>
      </c>
      <c r="K19" s="321"/>
      <c r="L19" s="229">
        <v>6328082</v>
      </c>
      <c r="M19" s="301">
        <f>SUM(L19:L25)</f>
        <v>38758114</v>
      </c>
      <c r="N19" s="320"/>
      <c r="O19" s="89">
        <f t="shared" si="0"/>
        <v>0.69663961608697045</v>
      </c>
      <c r="P19" s="89">
        <f>M19/G19</f>
        <v>0.67411699594953545</v>
      </c>
      <c r="Q19" s="319"/>
      <c r="R19" s="229">
        <v>1022476.3928132229</v>
      </c>
      <c r="S19" s="301">
        <f>SUM(R19:R25)</f>
        <v>7024895.129775892</v>
      </c>
      <c r="T19" s="320"/>
      <c r="U19" s="89">
        <f t="shared" si="1"/>
        <v>0.11256136721164392</v>
      </c>
      <c r="V19" s="89">
        <f>S19/G19</f>
        <v>0.1221834788386516</v>
      </c>
      <c r="W19" s="319"/>
    </row>
    <row r="20" spans="1:23" ht="16.5" customHeight="1">
      <c r="A20" s="97"/>
      <c r="B20" s="97"/>
      <c r="C20" s="97"/>
      <c r="D20" s="303">
        <f t="shared" si="4"/>
        <v>46218</v>
      </c>
      <c r="E20" s="303" t="s">
        <v>450</v>
      </c>
      <c r="F20" s="229">
        <v>8161181</v>
      </c>
      <c r="G20" s="301"/>
      <c r="H20" s="320"/>
      <c r="I20" s="230">
        <v>240825</v>
      </c>
      <c r="K20" s="321"/>
      <c r="L20" s="229">
        <v>5805420</v>
      </c>
      <c r="M20" s="301"/>
      <c r="N20" s="320"/>
      <c r="O20" s="89">
        <f t="shared" si="0"/>
        <v>0.71134557608757853</v>
      </c>
      <c r="P20" s="302"/>
      <c r="Q20" s="319"/>
      <c r="R20" s="229">
        <v>1031004.5430771115</v>
      </c>
      <c r="S20" s="301"/>
      <c r="T20" s="320"/>
      <c r="U20" s="89">
        <f t="shared" si="1"/>
        <v>0.12633031212971646</v>
      </c>
      <c r="V20" s="302"/>
      <c r="W20" s="319"/>
    </row>
    <row r="21" spans="1:23" ht="16.5" customHeight="1">
      <c r="A21" s="97"/>
      <c r="B21" s="97"/>
      <c r="C21" s="97"/>
      <c r="D21" s="303">
        <f t="shared" si="4"/>
        <v>46219</v>
      </c>
      <c r="E21" s="303" t="s">
        <v>451</v>
      </c>
      <c r="F21" s="229">
        <v>7874647</v>
      </c>
      <c r="H21" s="320"/>
      <c r="I21" s="230">
        <v>234974</v>
      </c>
      <c r="K21" s="321"/>
      <c r="L21" s="229">
        <v>5270700</v>
      </c>
      <c r="M21" s="86"/>
      <c r="N21" s="320"/>
      <c r="O21" s="89">
        <f t="shared" si="0"/>
        <v>0.66932524086476508</v>
      </c>
      <c r="P21" s="302"/>
      <c r="Q21" s="319"/>
      <c r="R21" s="229">
        <v>985306.94765697257</v>
      </c>
      <c r="S21" s="86"/>
      <c r="T21" s="320"/>
      <c r="U21" s="89">
        <f t="shared" si="1"/>
        <v>0.12512395129038451</v>
      </c>
      <c r="V21" s="302"/>
      <c r="W21" s="319"/>
    </row>
    <row r="22" spans="1:23" ht="16.5" customHeight="1">
      <c r="A22" s="97"/>
      <c r="B22" s="97"/>
      <c r="C22" s="97"/>
      <c r="D22" s="303">
        <f t="shared" si="4"/>
        <v>46220</v>
      </c>
      <c r="E22" s="303" t="s">
        <v>452</v>
      </c>
      <c r="F22" s="229">
        <v>7204022</v>
      </c>
      <c r="G22" s="301"/>
      <c r="H22" s="320"/>
      <c r="I22" s="230">
        <v>212382</v>
      </c>
      <c r="K22" s="321"/>
      <c r="L22" s="229">
        <v>4953634</v>
      </c>
      <c r="M22" s="301"/>
      <c r="N22" s="320"/>
      <c r="O22" s="89">
        <f t="shared" si="0"/>
        <v>0.68762060970940952</v>
      </c>
      <c r="Q22" s="319"/>
      <c r="R22" s="229">
        <v>969904.95061877789</v>
      </c>
      <c r="S22" s="301"/>
      <c r="T22" s="320"/>
      <c r="U22" s="89">
        <f t="shared" si="1"/>
        <v>0.13463381297541538</v>
      </c>
      <c r="V22" s="89"/>
      <c r="W22" s="319"/>
    </row>
    <row r="23" spans="1:23" ht="16.5" customHeight="1">
      <c r="A23" s="97"/>
      <c r="B23" s="97"/>
      <c r="C23" s="97"/>
      <c r="D23" s="303">
        <f t="shared" si="4"/>
        <v>46221</v>
      </c>
      <c r="E23" s="303" t="s">
        <v>453</v>
      </c>
      <c r="F23" s="229">
        <v>7376905</v>
      </c>
      <c r="G23" s="301"/>
      <c r="H23" s="320"/>
      <c r="I23" s="230">
        <v>218843</v>
      </c>
      <c r="K23" s="321"/>
      <c r="L23" s="229">
        <v>5161505</v>
      </c>
      <c r="M23" s="301"/>
      <c r="N23" s="320"/>
      <c r="O23" s="89">
        <f t="shared" si="0"/>
        <v>0.69968435271973817</v>
      </c>
      <c r="P23" s="302"/>
      <c r="Q23" s="319"/>
      <c r="R23" s="229">
        <v>987650.50066044484</v>
      </c>
      <c r="S23" s="301"/>
      <c r="T23" s="320"/>
      <c r="U23" s="89">
        <f t="shared" si="1"/>
        <v>0.13388412900267047</v>
      </c>
      <c r="V23" s="302"/>
      <c r="W23" s="319"/>
    </row>
    <row r="24" spans="1:23" ht="16.5" customHeight="1">
      <c r="A24" s="97"/>
      <c r="B24" s="97"/>
      <c r="C24" s="97"/>
      <c r="D24" s="303">
        <f t="shared" si="4"/>
        <v>46222</v>
      </c>
      <c r="E24" s="303" t="s">
        <v>454</v>
      </c>
      <c r="F24" s="229">
        <v>8954762</v>
      </c>
      <c r="G24" s="301"/>
      <c r="H24" s="320"/>
      <c r="I24" s="230">
        <v>262074</v>
      </c>
      <c r="K24" s="321"/>
      <c r="L24" s="229">
        <v>5728443</v>
      </c>
      <c r="M24" s="301"/>
      <c r="N24" s="320"/>
      <c r="O24" s="89">
        <f t="shared" si="0"/>
        <v>0.63970912906451338</v>
      </c>
      <c r="P24" s="302"/>
      <c r="Q24" s="319"/>
      <c r="R24" s="229">
        <v>1009789.0347229447</v>
      </c>
      <c r="S24" s="301"/>
      <c r="T24" s="320"/>
      <c r="U24" s="89">
        <f t="shared" si="1"/>
        <v>0.11276559161739248</v>
      </c>
      <c r="V24" s="302"/>
      <c r="W24" s="319"/>
    </row>
    <row r="25" spans="1:23" ht="16.5" customHeight="1">
      <c r="A25" s="97"/>
      <c r="B25" s="97"/>
      <c r="C25" s="97"/>
      <c r="D25" s="303">
        <f t="shared" si="4"/>
        <v>46223</v>
      </c>
      <c r="E25" s="303" t="s">
        <v>448</v>
      </c>
      <c r="F25" s="229">
        <v>8839399</v>
      </c>
      <c r="H25" s="320"/>
      <c r="I25" s="230">
        <v>256394</v>
      </c>
      <c r="K25" s="321"/>
      <c r="L25" s="229">
        <v>5510330</v>
      </c>
      <c r="M25" s="86"/>
      <c r="N25" s="320"/>
      <c r="O25" s="89">
        <f t="shared" si="0"/>
        <v>0.62338287931113867</v>
      </c>
      <c r="P25" s="302"/>
      <c r="Q25" s="319"/>
      <c r="R25" s="229">
        <v>1018762.7602264171</v>
      </c>
      <c r="S25" s="86"/>
      <c r="T25" s="320"/>
      <c r="U25" s="89">
        <f t="shared" si="1"/>
        <v>0.11525249173913488</v>
      </c>
      <c r="V25" s="302"/>
      <c r="W25" s="319"/>
    </row>
    <row r="26" spans="1:23" ht="16.5" customHeight="1">
      <c r="A26" s="97"/>
      <c r="B26" s="97"/>
      <c r="C26" s="97"/>
      <c r="D26" s="359">
        <f t="shared" si="4"/>
        <v>46224</v>
      </c>
      <c r="E26" s="359" t="s">
        <v>449</v>
      </c>
      <c r="F26" s="229">
        <v>9279114</v>
      </c>
      <c r="G26" s="301">
        <f>SUM(F26:F32)</f>
        <v>59579431</v>
      </c>
      <c r="H26" s="320"/>
      <c r="I26" s="230">
        <v>265548</v>
      </c>
      <c r="J26" s="87">
        <f>SUM(I26:I32)</f>
        <v>1734556</v>
      </c>
      <c r="K26" s="321"/>
      <c r="L26" s="229">
        <v>6216346</v>
      </c>
      <c r="M26" s="301">
        <f>SUM(L26:L32)</f>
        <v>39738416</v>
      </c>
      <c r="N26" s="320"/>
      <c r="O26" s="89">
        <f t="shared" si="0"/>
        <v>0.66992883156732419</v>
      </c>
      <c r="P26" s="89">
        <f>M26/G26</f>
        <v>0.66698213348160373</v>
      </c>
      <c r="Q26" s="319"/>
      <c r="R26" s="229">
        <v>1038107.9348228803</v>
      </c>
      <c r="S26" s="301">
        <f>SUM(R26:R32)</f>
        <v>7148505.673084761</v>
      </c>
      <c r="T26" s="320"/>
      <c r="U26" s="89">
        <f t="shared" si="1"/>
        <v>0.11187576042528202</v>
      </c>
      <c r="V26" s="89">
        <f>S26/G26</f>
        <v>0.11998277850429222</v>
      </c>
      <c r="W26" s="319"/>
    </row>
    <row r="27" spans="1:23">
      <c r="A27" s="97"/>
      <c r="B27" s="97"/>
      <c r="C27" s="97"/>
      <c r="D27" s="359">
        <f t="shared" si="4"/>
        <v>46225</v>
      </c>
      <c r="E27" s="359" t="s">
        <v>450</v>
      </c>
      <c r="F27" s="229">
        <v>8679383</v>
      </c>
      <c r="G27" s="301"/>
      <c r="H27" s="320"/>
      <c r="I27" s="230">
        <v>252084</v>
      </c>
      <c r="K27" s="321"/>
      <c r="L27" s="229">
        <v>5815781</v>
      </c>
      <c r="M27" s="301"/>
      <c r="N27" s="320"/>
      <c r="O27" s="89">
        <f t="shared" si="0"/>
        <v>0.67006848297857113</v>
      </c>
      <c r="P27" s="302"/>
      <c r="Q27" s="319"/>
      <c r="R27" s="229">
        <v>1011026.194386229</v>
      </c>
      <c r="S27" s="301"/>
      <c r="T27" s="320"/>
      <c r="U27" s="89">
        <f t="shared" si="1"/>
        <v>0.11648595232935671</v>
      </c>
      <c r="V27" s="302"/>
      <c r="W27" s="319"/>
    </row>
    <row r="28" spans="1:23">
      <c r="A28" s="97"/>
      <c r="B28" s="97"/>
      <c r="C28" s="97"/>
      <c r="D28" s="359">
        <f t="shared" si="4"/>
        <v>46226</v>
      </c>
      <c r="E28" s="359" t="s">
        <v>451</v>
      </c>
      <c r="F28" s="229">
        <v>8118844</v>
      </c>
      <c r="H28" s="320"/>
      <c r="I28" s="230">
        <v>237368</v>
      </c>
      <c r="K28" s="321"/>
      <c r="L28" s="229">
        <v>5317008</v>
      </c>
      <c r="M28" s="86"/>
      <c r="N28" s="320"/>
      <c r="O28" s="89">
        <f t="shared" si="0"/>
        <v>0.65489717501654177</v>
      </c>
      <c r="P28" s="302"/>
      <c r="Q28" s="319"/>
      <c r="R28" s="229">
        <v>1006760.0993295389</v>
      </c>
      <c r="S28" s="86"/>
      <c r="T28" s="320"/>
      <c r="U28" s="89">
        <f t="shared" si="1"/>
        <v>0.12400288752062964</v>
      </c>
      <c r="V28" s="302"/>
      <c r="W28" s="319"/>
    </row>
    <row r="29" spans="1:23">
      <c r="A29" s="97"/>
      <c r="B29" s="97"/>
      <c r="C29" s="97"/>
      <c r="D29" s="359">
        <f t="shared" si="4"/>
        <v>46227</v>
      </c>
      <c r="E29" s="359" t="s">
        <v>452</v>
      </c>
      <c r="F29" s="229">
        <v>7260099</v>
      </c>
      <c r="G29" s="301"/>
      <c r="H29" s="320"/>
      <c r="I29" s="230">
        <v>213646</v>
      </c>
      <c r="K29" s="321"/>
      <c r="L29" s="229">
        <v>4929648</v>
      </c>
      <c r="M29" s="301"/>
      <c r="N29" s="320"/>
      <c r="O29" s="89">
        <f t="shared" si="0"/>
        <v>0.67900561686555516</v>
      </c>
      <c r="Q29" s="319"/>
      <c r="R29" s="229">
        <v>987157.77532560751</v>
      </c>
      <c r="S29" s="301"/>
      <c r="T29" s="320"/>
      <c r="U29" s="89">
        <f t="shared" si="1"/>
        <v>0.1359702912213191</v>
      </c>
      <c r="V29" s="89"/>
      <c r="W29" s="319"/>
    </row>
    <row r="30" spans="1:23">
      <c r="A30" s="97"/>
      <c r="B30" s="97"/>
      <c r="C30" s="97"/>
      <c r="D30" s="359">
        <f t="shared" si="4"/>
        <v>46228</v>
      </c>
      <c r="E30" s="359" t="s">
        <v>453</v>
      </c>
      <c r="F30" s="229">
        <v>7568928</v>
      </c>
      <c r="G30" s="301"/>
      <c r="H30" s="320"/>
      <c r="I30" s="230">
        <v>220865</v>
      </c>
      <c r="K30" s="321"/>
      <c r="L30" s="229">
        <v>5237518</v>
      </c>
      <c r="M30" s="301"/>
      <c r="N30" s="320"/>
      <c r="O30" s="89">
        <f t="shared" si="0"/>
        <v>0.69197619530797494</v>
      </c>
      <c r="P30" s="302"/>
      <c r="Q30" s="319"/>
      <c r="R30" s="229">
        <v>984806.99155818194</v>
      </c>
      <c r="S30" s="301"/>
      <c r="T30" s="320"/>
      <c r="U30" s="89">
        <f t="shared" si="1"/>
        <v>0.13011181921114615</v>
      </c>
      <c r="V30" s="302"/>
      <c r="W30" s="319"/>
    </row>
    <row r="31" spans="1:23">
      <c r="A31" s="97"/>
      <c r="B31" s="97"/>
      <c r="C31" s="97"/>
      <c r="D31" s="359">
        <f t="shared" si="4"/>
        <v>46229</v>
      </c>
      <c r="E31" s="359" t="s">
        <v>454</v>
      </c>
      <c r="F31" s="229">
        <v>9434578</v>
      </c>
      <c r="G31" s="301"/>
      <c r="H31" s="320"/>
      <c r="I31" s="230">
        <v>274740</v>
      </c>
      <c r="K31" s="321"/>
      <c r="L31" s="229">
        <v>5950064</v>
      </c>
      <c r="M31" s="301"/>
      <c r="N31" s="320"/>
      <c r="O31" s="89">
        <f t="shared" si="0"/>
        <v>0.63066562171620177</v>
      </c>
      <c r="P31" s="302"/>
      <c r="Q31" s="319"/>
      <c r="R31" s="229">
        <v>1081625.5399648272</v>
      </c>
      <c r="S31" s="301"/>
      <c r="T31" s="320"/>
      <c r="U31" s="89">
        <f t="shared" si="1"/>
        <v>0.11464482459785984</v>
      </c>
      <c r="V31" s="302"/>
      <c r="W31" s="319"/>
    </row>
    <row r="32" spans="1:23">
      <c r="A32" s="97"/>
      <c r="B32" s="97"/>
      <c r="C32" s="97"/>
      <c r="D32" s="359">
        <f t="shared" si="4"/>
        <v>46230</v>
      </c>
      <c r="E32" s="359" t="s">
        <v>448</v>
      </c>
      <c r="F32" s="229">
        <v>9238485</v>
      </c>
      <c r="H32" s="320"/>
      <c r="I32" s="230">
        <v>270305</v>
      </c>
      <c r="K32" s="321"/>
      <c r="L32" s="229">
        <v>6272051</v>
      </c>
      <c r="M32" s="86"/>
      <c r="N32" s="320"/>
      <c r="O32" s="89">
        <f t="shared" si="0"/>
        <v>0.67890471219036452</v>
      </c>
      <c r="P32" s="302"/>
      <c r="Q32" s="319"/>
      <c r="R32" s="229">
        <v>1039021.1376974966</v>
      </c>
      <c r="S32" s="86"/>
      <c r="T32" s="320"/>
      <c r="U32" s="89">
        <f t="shared" si="1"/>
        <v>0.11246661521856631</v>
      </c>
      <c r="V32" s="302"/>
      <c r="W32" s="319"/>
    </row>
    <row r="33" spans="1:23" s="448" customFormat="1">
      <c r="A33" s="442"/>
      <c r="B33" s="442"/>
      <c r="C33" s="442"/>
      <c r="D33" s="303">
        <f t="shared" si="4"/>
        <v>46231</v>
      </c>
      <c r="E33" s="303" t="s">
        <v>449</v>
      </c>
      <c r="F33" s="450"/>
      <c r="G33" s="451">
        <f>SUM(F33:F39)</f>
        <v>0</v>
      </c>
      <c r="H33" s="452"/>
      <c r="I33" s="453"/>
      <c r="J33" s="340">
        <f>SUM(I33:I39)</f>
        <v>0</v>
      </c>
      <c r="K33" s="454"/>
      <c r="L33" s="450"/>
      <c r="M33" s="451">
        <f>SUM(L33:L39)</f>
        <v>0</v>
      </c>
      <c r="N33" s="452"/>
      <c r="O33" s="455" t="e">
        <f t="shared" si="0"/>
        <v>#DIV/0!</v>
      </c>
      <c r="P33" s="455" t="e">
        <f>M33/G33</f>
        <v>#DIV/0!</v>
      </c>
      <c r="Q33" s="456"/>
      <c r="R33" s="450"/>
      <c r="S33" s="451">
        <f>SUM(R33:R39)</f>
        <v>0</v>
      </c>
      <c r="T33" s="452"/>
      <c r="U33" s="455" t="e">
        <f t="shared" si="1"/>
        <v>#DIV/0!</v>
      </c>
      <c r="V33" s="455" t="e">
        <f>S33/G33</f>
        <v>#DIV/0!</v>
      </c>
      <c r="W33" s="447"/>
    </row>
    <row r="34" spans="1:23" s="448" customFormat="1">
      <c r="A34" s="442"/>
      <c r="B34" s="442"/>
      <c r="C34" s="442"/>
      <c r="D34" s="303">
        <f t="shared" si="4"/>
        <v>46232</v>
      </c>
      <c r="E34" s="303" t="s">
        <v>450</v>
      </c>
      <c r="F34" s="450"/>
      <c r="G34" s="457"/>
      <c r="H34" s="452"/>
      <c r="I34" s="453"/>
      <c r="J34" s="340"/>
      <c r="K34" s="454"/>
      <c r="L34" s="450"/>
      <c r="M34" s="451"/>
      <c r="N34" s="452"/>
      <c r="O34" s="455" t="e">
        <f t="shared" si="0"/>
        <v>#DIV/0!</v>
      </c>
      <c r="P34" s="455"/>
      <c r="Q34" s="456"/>
      <c r="R34" s="450"/>
      <c r="S34" s="451"/>
      <c r="T34" s="452"/>
      <c r="U34" s="455" t="e">
        <f t="shared" si="1"/>
        <v>#DIV/0!</v>
      </c>
      <c r="V34" s="455"/>
      <c r="W34" s="447"/>
    </row>
    <row r="35" spans="1:23" s="448" customFormat="1">
      <c r="A35" s="442"/>
      <c r="B35" s="442"/>
      <c r="D35" s="303">
        <f>D34+1</f>
        <v>46233</v>
      </c>
      <c r="E35" s="303" t="s">
        <v>451</v>
      </c>
      <c r="F35" s="450"/>
      <c r="G35" s="451"/>
      <c r="H35" s="457"/>
      <c r="I35" s="453"/>
      <c r="J35" s="340"/>
      <c r="K35" s="340"/>
      <c r="L35" s="450"/>
      <c r="M35" s="451"/>
      <c r="N35" s="457"/>
      <c r="O35" s="455" t="e">
        <f t="shared" si="0"/>
        <v>#DIV/0!</v>
      </c>
      <c r="P35" s="455"/>
      <c r="Q35" s="457"/>
      <c r="R35" s="450"/>
      <c r="S35" s="451"/>
      <c r="T35" s="457"/>
      <c r="U35" s="455" t="e">
        <f t="shared" si="1"/>
        <v>#DIV/0!</v>
      </c>
      <c r="V35" s="455"/>
      <c r="W35" s="449"/>
    </row>
    <row r="36" spans="1:23" s="448" customFormat="1">
      <c r="A36" s="442"/>
      <c r="B36" s="442"/>
      <c r="C36" s="442"/>
      <c r="D36" s="303">
        <f t="shared" ref="D36:D39" si="5">D35+1</f>
        <v>46234</v>
      </c>
      <c r="E36" s="303" t="s">
        <v>452</v>
      </c>
      <c r="F36" s="450"/>
      <c r="G36" s="451"/>
      <c r="H36" s="452"/>
      <c r="I36" s="453"/>
      <c r="J36" s="340"/>
      <c r="K36" s="454"/>
      <c r="L36" s="450"/>
      <c r="M36" s="451"/>
      <c r="N36" s="452"/>
      <c r="O36" s="455" t="e">
        <f t="shared" si="0"/>
        <v>#DIV/0!</v>
      </c>
      <c r="P36" s="455"/>
      <c r="Q36" s="456"/>
      <c r="R36" s="450"/>
      <c r="S36" s="451"/>
      <c r="T36" s="452"/>
      <c r="U36" s="455" t="e">
        <f t="shared" si="1"/>
        <v>#DIV/0!</v>
      </c>
      <c r="V36" s="455"/>
      <c r="W36" s="447"/>
    </row>
    <row r="37" spans="1:23" s="448" customFormat="1">
      <c r="A37" s="442"/>
      <c r="B37" s="442"/>
      <c r="D37" s="303">
        <f t="shared" si="5"/>
        <v>46235</v>
      </c>
      <c r="E37" s="303" t="s">
        <v>453</v>
      </c>
      <c r="F37" s="450"/>
      <c r="G37" s="451"/>
      <c r="H37" s="457"/>
      <c r="I37" s="453"/>
      <c r="J37" s="340"/>
      <c r="K37" s="340"/>
      <c r="L37" s="450"/>
      <c r="M37" s="451"/>
      <c r="N37" s="457"/>
      <c r="O37" s="455" t="e">
        <f t="shared" si="0"/>
        <v>#DIV/0!</v>
      </c>
      <c r="P37" s="455"/>
      <c r="Q37" s="457"/>
      <c r="R37" s="450"/>
      <c r="S37" s="451"/>
      <c r="T37" s="457"/>
      <c r="U37" s="455" t="e">
        <f t="shared" si="1"/>
        <v>#DIV/0!</v>
      </c>
      <c r="V37" s="455"/>
      <c r="W37" s="449"/>
    </row>
    <row r="38" spans="1:23" s="448" customFormat="1">
      <c r="A38" s="442"/>
      <c r="B38" s="442"/>
      <c r="D38" s="303">
        <f t="shared" si="5"/>
        <v>46236</v>
      </c>
      <c r="E38" s="303" t="s">
        <v>454</v>
      </c>
      <c r="F38" s="450"/>
      <c r="G38" s="451"/>
      <c r="H38" s="457"/>
      <c r="I38" s="453"/>
      <c r="J38" s="340"/>
      <c r="K38" s="340"/>
      <c r="L38" s="450"/>
      <c r="M38" s="451"/>
      <c r="N38" s="457"/>
      <c r="O38" s="455" t="e">
        <f t="shared" si="0"/>
        <v>#DIV/0!</v>
      </c>
      <c r="P38" s="455"/>
      <c r="Q38" s="457"/>
      <c r="R38" s="450"/>
      <c r="S38" s="451"/>
      <c r="T38" s="457"/>
      <c r="U38" s="455" t="e">
        <f t="shared" si="1"/>
        <v>#DIV/0!</v>
      </c>
      <c r="V38" s="455"/>
      <c r="W38" s="449"/>
    </row>
    <row r="39" spans="1:23" s="448" customFormat="1">
      <c r="A39" s="442"/>
      <c r="B39" s="442"/>
      <c r="D39" s="303">
        <f t="shared" si="5"/>
        <v>46237</v>
      </c>
      <c r="E39" s="303" t="s">
        <v>448</v>
      </c>
      <c r="F39" s="450"/>
      <c r="G39" s="451"/>
      <c r="H39" s="457"/>
      <c r="I39" s="453"/>
      <c r="J39" s="340"/>
      <c r="K39" s="340"/>
      <c r="L39" s="450"/>
      <c r="M39" s="451"/>
      <c r="N39" s="457"/>
      <c r="O39" s="455" t="e">
        <f t="shared" si="0"/>
        <v>#DIV/0!</v>
      </c>
      <c r="P39" s="455"/>
      <c r="Q39" s="457"/>
      <c r="R39" s="450"/>
      <c r="S39" s="451"/>
      <c r="T39" s="457"/>
      <c r="U39" s="455" t="e">
        <f t="shared" si="1"/>
        <v>#DIV/0!</v>
      </c>
      <c r="V39" s="455"/>
      <c r="W39" s="449"/>
    </row>
    <row r="40" spans="1:23">
      <c r="A40" s="97"/>
      <c r="B40" s="97"/>
      <c r="D40" s="359"/>
      <c r="E40" s="359"/>
      <c r="F40" s="229"/>
      <c r="G40" s="451">
        <f>SUM(F40:F46)</f>
        <v>0</v>
      </c>
      <c r="I40" s="230"/>
      <c r="J40" s="340">
        <f>SUM(I40:I46)</f>
        <v>0</v>
      </c>
      <c r="L40" s="229"/>
      <c r="M40" s="451">
        <f>SUM(L40:L46)</f>
        <v>0</v>
      </c>
      <c r="N40" s="86"/>
      <c r="O40" s="89" t="e">
        <f>L40/F40</f>
        <v>#DIV/0!</v>
      </c>
      <c r="P40" s="455" t="e">
        <f>M40/G40</f>
        <v>#DIV/0!</v>
      </c>
      <c r="Q40" s="86"/>
      <c r="R40" s="229"/>
      <c r="S40" s="451">
        <f>SUM(R40:R46)</f>
        <v>0</v>
      </c>
      <c r="T40" s="86"/>
      <c r="U40" s="89" t="e">
        <f t="shared" si="1"/>
        <v>#DIV/0!</v>
      </c>
      <c r="V40" s="455" t="e">
        <f>S40/G40</f>
        <v>#DIV/0!</v>
      </c>
      <c r="W40" s="86"/>
    </row>
    <row r="41" spans="1:23">
      <c r="A41" s="97"/>
      <c r="B41" s="97"/>
      <c r="D41" s="359"/>
      <c r="E41" s="359"/>
      <c r="F41" s="229"/>
      <c r="G41" s="301"/>
      <c r="I41" s="230"/>
      <c r="L41" s="229"/>
      <c r="M41" s="301"/>
      <c r="N41" s="86"/>
      <c r="O41" s="89" t="e">
        <f t="shared" ref="O41:O46" si="6">L41/F41</f>
        <v>#DIV/0!</v>
      </c>
      <c r="Q41" s="86"/>
      <c r="R41" s="229"/>
      <c r="S41" s="301"/>
      <c r="T41" s="86"/>
      <c r="U41" s="89" t="e">
        <f t="shared" ref="U41:U46" si="7">R41/F41</f>
        <v>#DIV/0!</v>
      </c>
      <c r="V41" s="89"/>
      <c r="W41" s="86"/>
    </row>
    <row r="42" spans="1:23">
      <c r="A42" s="97"/>
      <c r="B42" s="97"/>
      <c r="D42" s="359"/>
      <c r="E42" s="359"/>
      <c r="F42" s="229"/>
      <c r="G42" s="301"/>
      <c r="I42" s="230"/>
      <c r="L42" s="229"/>
      <c r="M42" s="301"/>
      <c r="N42" s="86"/>
      <c r="O42" s="89" t="e">
        <f t="shared" si="6"/>
        <v>#DIV/0!</v>
      </c>
      <c r="Q42" s="86"/>
      <c r="R42" s="229"/>
      <c r="S42" s="301"/>
      <c r="T42" s="86"/>
      <c r="U42" s="89" t="e">
        <f t="shared" si="7"/>
        <v>#DIV/0!</v>
      </c>
      <c r="V42" s="89"/>
      <c r="W42" s="86"/>
    </row>
    <row r="43" spans="1:23">
      <c r="A43" s="97"/>
      <c r="B43" s="97"/>
      <c r="D43" s="359"/>
      <c r="E43" s="359"/>
      <c r="F43" s="229"/>
      <c r="G43" s="301"/>
      <c r="I43" s="230"/>
      <c r="L43" s="229"/>
      <c r="M43" s="301"/>
      <c r="N43" s="86"/>
      <c r="O43" s="89" t="e">
        <f t="shared" si="6"/>
        <v>#DIV/0!</v>
      </c>
      <c r="Q43" s="86"/>
      <c r="R43" s="229"/>
      <c r="S43" s="301"/>
      <c r="T43" s="86"/>
      <c r="U43" s="89" t="e">
        <f t="shared" si="7"/>
        <v>#DIV/0!</v>
      </c>
      <c r="V43" s="89"/>
      <c r="W43" s="86"/>
    </row>
    <row r="44" spans="1:23">
      <c r="A44" s="97"/>
      <c r="B44" s="97"/>
      <c r="D44" s="359"/>
      <c r="E44" s="359"/>
      <c r="F44" s="229"/>
      <c r="G44" s="301"/>
      <c r="I44" s="230"/>
      <c r="L44" s="229"/>
      <c r="M44" s="301"/>
      <c r="N44" s="86"/>
      <c r="O44" s="89" t="e">
        <f t="shared" si="6"/>
        <v>#DIV/0!</v>
      </c>
      <c r="Q44" s="86"/>
      <c r="R44" s="229"/>
      <c r="S44" s="301"/>
      <c r="T44" s="86"/>
      <c r="U44" s="89" t="e">
        <f t="shared" si="7"/>
        <v>#DIV/0!</v>
      </c>
      <c r="V44" s="89"/>
      <c r="W44" s="86"/>
    </row>
    <row r="45" spans="1:23">
      <c r="A45" s="97"/>
      <c r="B45" s="97"/>
      <c r="D45" s="359"/>
      <c r="E45" s="359"/>
      <c r="F45" s="229"/>
      <c r="G45" s="301"/>
      <c r="I45" s="230"/>
      <c r="L45" s="229"/>
      <c r="M45" s="301"/>
      <c r="N45" s="86"/>
      <c r="O45" s="89" t="e">
        <f t="shared" si="6"/>
        <v>#DIV/0!</v>
      </c>
      <c r="Q45" s="86"/>
      <c r="R45" s="229"/>
      <c r="S45" s="301"/>
      <c r="T45" s="86"/>
      <c r="U45" s="89" t="e">
        <f t="shared" si="7"/>
        <v>#DIV/0!</v>
      </c>
      <c r="V45" s="89"/>
      <c r="W45" s="86"/>
    </row>
    <row r="46" spans="1:23">
      <c r="A46" s="97"/>
      <c r="B46" s="97"/>
      <c r="D46" s="359"/>
      <c r="E46" s="359"/>
      <c r="F46" s="229"/>
      <c r="G46" s="301"/>
      <c r="I46" s="230"/>
      <c r="L46" s="229"/>
      <c r="M46" s="301"/>
      <c r="N46" s="86"/>
      <c r="O46" s="89" t="e">
        <f t="shared" si="6"/>
        <v>#DIV/0!</v>
      </c>
      <c r="Q46" s="86"/>
      <c r="R46" s="229"/>
      <c r="S46" s="301"/>
      <c r="T46" s="86"/>
      <c r="U46" s="89" t="e">
        <f t="shared" si="7"/>
        <v>#DIV/0!</v>
      </c>
      <c r="V46" s="89"/>
      <c r="W46" s="86"/>
    </row>
    <row r="47" spans="1:23">
      <c r="A47" s="97"/>
      <c r="B47" s="97"/>
      <c r="M47" s="86"/>
    </row>
    <row r="48" spans="1:23">
      <c r="A48" s="97"/>
      <c r="B48" s="97"/>
      <c r="M48" s="86"/>
    </row>
    <row r="49" spans="1:13">
      <c r="A49" s="97"/>
      <c r="B49" s="97"/>
      <c r="M49" s="86"/>
    </row>
    <row r="50" spans="1:13">
      <c r="B50" s="97"/>
      <c r="M50" s="86"/>
    </row>
    <row r="51" spans="1:13">
      <c r="M51" s="86"/>
    </row>
    <row r="52" spans="1:13">
      <c r="M52" s="86"/>
    </row>
    <row r="53" spans="1:13">
      <c r="M53" s="86"/>
    </row>
    <row r="54" spans="1:13">
      <c r="M54" s="86"/>
    </row>
    <row r="55" spans="1:13">
      <c r="M55" s="86"/>
    </row>
    <row r="56" spans="1:13">
      <c r="M56" s="86"/>
    </row>
    <row r="57" spans="1:13">
      <c r="M57" s="86"/>
    </row>
    <row r="58" spans="1:13">
      <c r="M58" s="86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Q46" sqref="Q46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3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315</v>
      </c>
      <c r="C1" s="83">
        <v>366</v>
      </c>
    </row>
    <row r="2" spans="2:23" ht="38.1" customHeight="1">
      <c r="B2" s="591" t="s">
        <v>126</v>
      </c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  <c r="R2" s="598"/>
      <c r="S2" s="598"/>
      <c r="T2" s="598"/>
      <c r="U2" s="598"/>
    </row>
    <row r="3" spans="2:23" s="72" customFormat="1" ht="23.45" customHeight="1">
      <c r="B3" s="97"/>
      <c r="C3" s="595" t="s">
        <v>116</v>
      </c>
      <c r="D3" s="596" t="s">
        <v>105</v>
      </c>
      <c r="E3" s="596"/>
      <c r="F3" s="599" t="s">
        <v>107</v>
      </c>
      <c r="G3" s="599"/>
      <c r="H3" s="599"/>
      <c r="I3" s="601" t="s">
        <v>108</v>
      </c>
      <c r="J3" s="601"/>
      <c r="K3" s="601"/>
      <c r="L3" s="600" t="s">
        <v>305</v>
      </c>
      <c r="M3" s="600"/>
      <c r="N3" s="600"/>
      <c r="O3" s="600" t="s">
        <v>106</v>
      </c>
      <c r="P3" s="600"/>
      <c r="Q3" s="600"/>
      <c r="R3" s="600" t="s">
        <v>109</v>
      </c>
      <c r="S3" s="600"/>
      <c r="T3" s="600"/>
      <c r="U3" s="600" t="s">
        <v>110</v>
      </c>
      <c r="V3" s="600"/>
      <c r="W3" s="600"/>
    </row>
    <row r="4" spans="2:23" ht="15.75">
      <c r="B4" s="97"/>
      <c r="C4" s="595"/>
      <c r="D4" s="596"/>
      <c r="E4" s="596"/>
      <c r="F4" s="85" t="s">
        <v>115</v>
      </c>
      <c r="G4" s="95" t="s">
        <v>127</v>
      </c>
      <c r="H4" s="95" t="s">
        <v>128</v>
      </c>
      <c r="I4" s="85" t="s">
        <v>115</v>
      </c>
      <c r="J4" s="94" t="s">
        <v>127</v>
      </c>
      <c r="K4" s="94" t="s">
        <v>128</v>
      </c>
      <c r="L4" s="85" t="s">
        <v>115</v>
      </c>
      <c r="M4" s="94" t="s">
        <v>127</v>
      </c>
      <c r="N4" s="94" t="s">
        <v>128</v>
      </c>
      <c r="O4" s="85" t="s">
        <v>115</v>
      </c>
      <c r="P4" s="94" t="s">
        <v>127</v>
      </c>
      <c r="Q4" s="94" t="s">
        <v>128</v>
      </c>
      <c r="R4" s="85" t="s">
        <v>115</v>
      </c>
      <c r="S4" s="94" t="s">
        <v>127</v>
      </c>
      <c r="T4" s="94" t="s">
        <v>128</v>
      </c>
      <c r="U4" s="85" t="s">
        <v>115</v>
      </c>
      <c r="V4" s="94" t="s">
        <v>127</v>
      </c>
      <c r="W4" s="94" t="s">
        <v>128</v>
      </c>
    </row>
    <row r="5" spans="2:23" ht="14.45" customHeight="1">
      <c r="B5" s="97"/>
      <c r="C5" s="97"/>
      <c r="D5" s="303">
        <v>46203</v>
      </c>
      <c r="E5" s="303" t="s">
        <v>449</v>
      </c>
      <c r="F5" s="228">
        <v>362.8</v>
      </c>
      <c r="G5" s="92"/>
      <c r="H5" s="92"/>
      <c r="I5" s="89">
        <f>F5/$C$1</f>
        <v>0.99125683060109293</v>
      </c>
      <c r="J5" s="213"/>
      <c r="K5" s="213"/>
      <c r="L5" s="246">
        <v>2.2818902129458298E-3</v>
      </c>
      <c r="M5" s="302"/>
      <c r="N5" s="302"/>
      <c r="O5" s="246">
        <v>3.9270295969229384E-3</v>
      </c>
      <c r="P5" s="302"/>
      <c r="Q5" s="302"/>
      <c r="R5" s="232">
        <v>0.91700000000000004</v>
      </c>
      <c r="S5" s="213"/>
      <c r="T5" s="302"/>
      <c r="U5" s="232">
        <v>0.53200000000000003</v>
      </c>
      <c r="V5" s="213"/>
      <c r="W5" s="302"/>
    </row>
    <row r="6" spans="2:23" ht="14.45" customHeight="1">
      <c r="B6" s="97"/>
      <c r="C6" s="97"/>
      <c r="D6" s="303">
        <f t="shared" ref="D6" si="0">D5+1</f>
        <v>46204</v>
      </c>
      <c r="E6" s="303" t="s">
        <v>450</v>
      </c>
      <c r="F6" s="228">
        <v>364.8</v>
      </c>
      <c r="G6" s="93">
        <f>AVERAGE(F5:F11)</f>
        <v>363.48571428571421</v>
      </c>
      <c r="H6" s="92"/>
      <c r="I6" s="89">
        <f>F6/$C$1</f>
        <v>0.99672131147540988</v>
      </c>
      <c r="J6" s="213">
        <f>AVERAGE(I5:I11)</f>
        <v>0.99313036690085865</v>
      </c>
      <c r="K6" s="213"/>
      <c r="L6" s="246">
        <v>2.4330243244607983E-3</v>
      </c>
      <c r="M6" s="302">
        <f>AVERAGE(L5:L11)</f>
        <v>2.40236357023724E-3</v>
      </c>
      <c r="N6" s="302"/>
      <c r="O6" s="246">
        <v>4.1871245505086929E-3</v>
      </c>
      <c r="P6" s="302">
        <f>AVERAGE(O5:O11)</f>
        <v>4.0158439819858709E-3</v>
      </c>
      <c r="Q6" s="302"/>
      <c r="R6" s="232">
        <v>0.91700000000000004</v>
      </c>
      <c r="S6" s="213">
        <f>AVERAGE(R5:R11)</f>
        <v>0.91699999999999993</v>
      </c>
      <c r="T6" s="302"/>
      <c r="U6" s="232">
        <v>0.53400000000000003</v>
      </c>
      <c r="V6" s="213">
        <f>AVERAGE(U5:U11)</f>
        <v>0.53742857142857148</v>
      </c>
      <c r="W6" s="302"/>
    </row>
    <row r="7" spans="2:23" ht="14.45" customHeight="1">
      <c r="B7" s="97"/>
      <c r="C7" s="97"/>
      <c r="D7" s="303">
        <f>D6+1</f>
        <v>46205</v>
      </c>
      <c r="E7" s="303" t="s">
        <v>451</v>
      </c>
      <c r="F7" s="228">
        <v>362.7</v>
      </c>
      <c r="I7" s="89">
        <f t="shared" ref="I7:I40" si="1">F7/$C$1</f>
        <v>0.99098360655737705</v>
      </c>
      <c r="J7" s="213"/>
      <c r="L7" s="246">
        <v>2.4023279422161399E-3</v>
      </c>
      <c r="M7" s="302"/>
      <c r="O7" s="246">
        <v>3.9076528453328924E-3</v>
      </c>
      <c r="P7" s="302"/>
      <c r="R7" s="232">
        <v>0.91700000000000004</v>
      </c>
      <c r="S7" s="213"/>
      <c r="U7" s="232">
        <v>0.53600000000000003</v>
      </c>
      <c r="V7" s="213"/>
    </row>
    <row r="8" spans="2:23" ht="14.45" customHeight="1">
      <c r="B8" s="97"/>
      <c r="C8" s="97"/>
      <c r="D8" s="303">
        <f t="shared" ref="D8:D34" si="2">D7+1</f>
        <v>46206</v>
      </c>
      <c r="E8" s="303" t="s">
        <v>452</v>
      </c>
      <c r="F8" s="228">
        <v>365.8</v>
      </c>
      <c r="G8" s="92"/>
      <c r="H8" s="92"/>
      <c r="I8" s="89">
        <f t="shared" si="1"/>
        <v>0.99945355191256835</v>
      </c>
      <c r="J8" s="213"/>
      <c r="K8" s="213"/>
      <c r="L8" s="246">
        <v>2.4222663628591977E-3</v>
      </c>
      <c r="M8" s="302"/>
      <c r="N8" s="302"/>
      <c r="O8" s="246">
        <v>4.1228686353332279E-3</v>
      </c>
      <c r="P8" s="302"/>
      <c r="Q8" s="302"/>
      <c r="R8" s="232">
        <v>0.91700000000000004</v>
      </c>
      <c r="S8" s="213"/>
      <c r="T8" s="302"/>
      <c r="U8" s="232">
        <v>0.53800000000000003</v>
      </c>
      <c r="V8" s="213"/>
      <c r="W8" s="302"/>
    </row>
    <row r="9" spans="2:23" ht="14.45" customHeight="1">
      <c r="B9" s="97"/>
      <c r="C9" s="97"/>
      <c r="D9" s="303">
        <f t="shared" si="2"/>
        <v>46207</v>
      </c>
      <c r="E9" s="303" t="s">
        <v>453</v>
      </c>
      <c r="F9" s="228">
        <v>362.8</v>
      </c>
      <c r="G9" s="92"/>
      <c r="H9" s="92"/>
      <c r="I9" s="89">
        <f t="shared" si="1"/>
        <v>0.99125683060109293</v>
      </c>
      <c r="J9" s="213"/>
      <c r="K9" s="213"/>
      <c r="L9" s="246">
        <v>2.4292960869298609E-3</v>
      </c>
      <c r="M9" s="302"/>
      <c r="N9" s="302"/>
      <c r="O9" s="246">
        <v>4.0008175362303659E-3</v>
      </c>
      <c r="P9" s="302"/>
      <c r="Q9" s="302"/>
      <c r="R9" s="232">
        <v>0.91700000000000004</v>
      </c>
      <c r="S9" s="213"/>
      <c r="T9" s="302"/>
      <c r="U9" s="232">
        <v>0.54</v>
      </c>
      <c r="V9" s="213"/>
      <c r="W9" s="302"/>
    </row>
    <row r="10" spans="2:23" ht="14.45" customHeight="1">
      <c r="B10" s="97"/>
      <c r="C10" s="97"/>
      <c r="D10" s="303">
        <f t="shared" si="2"/>
        <v>46208</v>
      </c>
      <c r="E10" s="303" t="s">
        <v>454</v>
      </c>
      <c r="F10" s="228">
        <v>368.3</v>
      </c>
      <c r="G10" s="92"/>
      <c r="H10" s="92">
        <f>AVERAGE(F6:F36)</f>
        <v>337.64268734376998</v>
      </c>
      <c r="I10" s="89">
        <f t="shared" si="1"/>
        <v>1.0062841530054645</v>
      </c>
      <c r="J10" s="213"/>
      <c r="K10" s="213">
        <f>AVERAGE(I6:I36)</f>
        <v>0.80348603545582498</v>
      </c>
      <c r="L10" s="246">
        <v>2.4165580641082522E-3</v>
      </c>
      <c r="M10" s="302"/>
      <c r="N10" s="302">
        <f>AVERAGE(L6:L36)</f>
        <v>2.4194090653322478E-3</v>
      </c>
      <c r="O10" s="246">
        <v>4.1168915818508298E-3</v>
      </c>
      <c r="P10" s="302"/>
      <c r="Q10" s="302">
        <f>AVERAGE(O6:O36)</f>
        <v>4.0107112101133531E-3</v>
      </c>
      <c r="R10" s="232">
        <v>0.91700000000000004</v>
      </c>
      <c r="S10" s="213"/>
      <c r="T10" s="213">
        <f>AVERAGE(R6:R36)</f>
        <v>0.91700000000000059</v>
      </c>
      <c r="U10" s="232">
        <v>0.54</v>
      </c>
      <c r="V10" s="213"/>
      <c r="W10" s="213">
        <f>AVERAGE(U6:U36)</f>
        <v>0.57992592592592596</v>
      </c>
    </row>
    <row r="11" spans="2:23" ht="14.45" customHeight="1">
      <c r="B11" s="97"/>
      <c r="C11" s="97"/>
      <c r="D11" s="303">
        <f t="shared" si="2"/>
        <v>46209</v>
      </c>
      <c r="E11" s="303" t="s">
        <v>448</v>
      </c>
      <c r="F11" s="228">
        <v>357.2</v>
      </c>
      <c r="G11" s="92"/>
      <c r="H11" s="92"/>
      <c r="I11" s="89">
        <f t="shared" si="1"/>
        <v>0.97595628415300539</v>
      </c>
      <c r="J11" s="213"/>
      <c r="K11" s="213"/>
      <c r="L11" s="246">
        <v>2.4311819981406037E-3</v>
      </c>
      <c r="M11" s="302"/>
      <c r="N11" s="302"/>
      <c r="O11" s="246">
        <v>3.848523127722151E-3</v>
      </c>
      <c r="P11" s="302"/>
      <c r="Q11" s="302"/>
      <c r="R11" s="232">
        <v>0.91700000000000004</v>
      </c>
      <c r="S11" s="213"/>
      <c r="T11" s="302"/>
      <c r="U11" s="232">
        <v>0.54200000000000004</v>
      </c>
      <c r="V11" s="213"/>
      <c r="W11" s="213"/>
    </row>
    <row r="12" spans="2:23" ht="14.45" customHeight="1">
      <c r="B12" s="97"/>
      <c r="C12" s="97"/>
      <c r="D12" s="359">
        <f t="shared" si="2"/>
        <v>46210</v>
      </c>
      <c r="E12" s="359" t="s">
        <v>449</v>
      </c>
      <c r="F12" s="228">
        <v>322.3503608320778</v>
      </c>
      <c r="G12" s="92">
        <f>AVERAGE(F12:F18)</f>
        <v>323.07027950748159</v>
      </c>
      <c r="H12" s="92"/>
      <c r="I12" s="89">
        <f t="shared" si="1"/>
        <v>0.8807386907980268</v>
      </c>
      <c r="J12" s="213">
        <f>AVERAGE(I12:I18)</f>
        <v>0.88270568171443042</v>
      </c>
      <c r="K12" s="213"/>
      <c r="L12" s="246">
        <v>2.4040165804658808E-3</v>
      </c>
      <c r="M12" s="302">
        <f>AVERAGE(L12:L18)</f>
        <v>2.4205936072070429E-3</v>
      </c>
      <c r="N12" s="302"/>
      <c r="O12" s="246">
        <v>3.8556381156872213E-3</v>
      </c>
      <c r="P12" s="302">
        <f>AVERAGE(O12:O18)</f>
        <v>3.8977042602258683E-3</v>
      </c>
      <c r="Q12" s="302"/>
      <c r="R12" s="232">
        <v>0.91700000000000004</v>
      </c>
      <c r="S12" s="213">
        <f>AVERAGE(R12:R18)</f>
        <v>0.91699999999999993</v>
      </c>
      <c r="T12" s="302"/>
      <c r="U12" s="232">
        <v>0.54200000000000004</v>
      </c>
      <c r="V12" s="213">
        <f>AVERAGE(U12:U18)</f>
        <v>0.55285714285714282</v>
      </c>
      <c r="W12" s="302"/>
    </row>
    <row r="13" spans="2:23" ht="14.45" customHeight="1">
      <c r="B13" s="97"/>
      <c r="C13" s="97"/>
      <c r="D13" s="359">
        <f t="shared" si="2"/>
        <v>46211</v>
      </c>
      <c r="E13" s="359" t="s">
        <v>450</v>
      </c>
      <c r="F13" s="228">
        <v>320.02861545361668</v>
      </c>
      <c r="G13" s="92"/>
      <c r="H13" s="92"/>
      <c r="I13" s="89">
        <f t="shared" si="1"/>
        <v>0.87439512419020948</v>
      </c>
      <c r="J13" s="213"/>
      <c r="K13" s="213"/>
      <c r="L13" s="246">
        <v>2.4062558297899181E-3</v>
      </c>
      <c r="M13" s="302"/>
      <c r="N13" s="302"/>
      <c r="O13" s="246">
        <v>3.7563089982108801E-3</v>
      </c>
      <c r="P13" s="302"/>
      <c r="Q13" s="302"/>
      <c r="R13" s="232">
        <v>0.91700000000000004</v>
      </c>
      <c r="S13" s="213"/>
      <c r="T13" s="302"/>
      <c r="U13" s="232">
        <v>0.54400000000000004</v>
      </c>
      <c r="V13" s="213"/>
      <c r="W13" s="302"/>
    </row>
    <row r="14" spans="2:23" ht="14.45" customHeight="1">
      <c r="B14" s="97"/>
      <c r="C14" s="97"/>
      <c r="D14" s="359">
        <f t="shared" si="2"/>
        <v>46212</v>
      </c>
      <c r="E14" s="359" t="s">
        <v>451</v>
      </c>
      <c r="F14" s="228">
        <v>320.90240492738479</v>
      </c>
      <c r="H14" s="92"/>
      <c r="I14" s="89">
        <f t="shared" si="1"/>
        <v>0.87678252712400218</v>
      </c>
      <c r="J14" s="213"/>
      <c r="K14" s="213"/>
      <c r="L14" s="246">
        <v>2.4082651185941303E-3</v>
      </c>
      <c r="M14" s="302"/>
      <c r="N14" s="302"/>
      <c r="O14" s="246">
        <v>3.8738159695569496E-3</v>
      </c>
      <c r="P14" s="302"/>
      <c r="Q14" s="302"/>
      <c r="R14" s="232">
        <v>0.91700000000000004</v>
      </c>
      <c r="S14" s="213"/>
      <c r="T14" s="302"/>
      <c r="U14" s="232">
        <v>0.54800000000000004</v>
      </c>
      <c r="V14" s="213"/>
      <c r="W14" s="302"/>
    </row>
    <row r="15" spans="2:23" ht="14.45" customHeight="1">
      <c r="B15" s="97"/>
      <c r="C15" s="97"/>
      <c r="D15" s="359">
        <f t="shared" si="2"/>
        <v>46213</v>
      </c>
      <c r="E15" s="359" t="s">
        <v>452</v>
      </c>
      <c r="F15" s="228">
        <v>321.88914429383982</v>
      </c>
      <c r="G15" s="92"/>
      <c r="H15" s="92"/>
      <c r="I15" s="89">
        <f t="shared" si="1"/>
        <v>0.87947853632196671</v>
      </c>
      <c r="J15" s="213"/>
      <c r="K15" s="213"/>
      <c r="L15" s="246">
        <v>2.4428604558859169E-3</v>
      </c>
      <c r="M15" s="302"/>
      <c r="N15" s="302"/>
      <c r="O15" s="246">
        <v>4.0445004623045613E-3</v>
      </c>
      <c r="P15" s="302"/>
      <c r="Q15" s="302"/>
      <c r="R15" s="232">
        <v>0.91700000000000004</v>
      </c>
      <c r="S15" s="213"/>
      <c r="T15" s="302"/>
      <c r="U15" s="232">
        <v>0.55000000000000004</v>
      </c>
      <c r="V15" s="213"/>
      <c r="W15" s="302"/>
    </row>
    <row r="16" spans="2:23" ht="14.45" customHeight="1">
      <c r="B16" s="97"/>
      <c r="C16" s="97"/>
      <c r="D16" s="359">
        <f t="shared" si="2"/>
        <v>46214</v>
      </c>
      <c r="E16" s="359" t="s">
        <v>453</v>
      </c>
      <c r="F16" s="228">
        <v>327.04084703887497</v>
      </c>
      <c r="G16" s="92"/>
      <c r="H16" s="92"/>
      <c r="I16" s="89">
        <f t="shared" si="1"/>
        <v>0.89355422688217201</v>
      </c>
      <c r="J16" s="213"/>
      <c r="K16" s="213"/>
      <c r="L16" s="246">
        <v>2.4336636816533553E-3</v>
      </c>
      <c r="M16" s="302"/>
      <c r="N16" s="302"/>
      <c r="O16" s="246">
        <v>4.0593259337160714E-3</v>
      </c>
      <c r="P16" s="302"/>
      <c r="Q16" s="302"/>
      <c r="R16" s="232">
        <v>0.91700000000000004</v>
      </c>
      <c r="S16" s="213"/>
      <c r="T16" s="302"/>
      <c r="U16" s="232">
        <v>0.56000000000000005</v>
      </c>
      <c r="V16" s="213"/>
      <c r="W16" s="302"/>
    </row>
    <row r="17" spans="2:23" ht="14.45" customHeight="1">
      <c r="B17" s="97"/>
      <c r="C17" s="97"/>
      <c r="D17" s="359">
        <f t="shared" si="2"/>
        <v>46215</v>
      </c>
      <c r="E17" s="359" t="s">
        <v>454</v>
      </c>
      <c r="F17" s="228">
        <v>326.16636747971563</v>
      </c>
      <c r="G17" s="92"/>
      <c r="H17" s="92"/>
      <c r="I17" s="89">
        <f t="shared" si="1"/>
        <v>0.89116493846916844</v>
      </c>
      <c r="J17" s="213"/>
      <c r="K17" s="213"/>
      <c r="L17" s="246">
        <v>2.4191679142235947E-3</v>
      </c>
      <c r="M17" s="302"/>
      <c r="N17" s="302"/>
      <c r="O17" s="246">
        <v>3.8031416505624033E-3</v>
      </c>
      <c r="P17" s="302"/>
      <c r="Q17" s="302"/>
      <c r="R17" s="232">
        <v>0.91700000000000004</v>
      </c>
      <c r="S17" s="213"/>
      <c r="T17" s="302"/>
      <c r="U17" s="232">
        <v>0.56200000000000006</v>
      </c>
      <c r="V17" s="213"/>
      <c r="W17" s="302"/>
    </row>
    <row r="18" spans="2:23" ht="14.45" customHeight="1">
      <c r="B18" s="97"/>
      <c r="C18" s="97"/>
      <c r="D18" s="359">
        <f t="shared" si="2"/>
        <v>46216</v>
      </c>
      <c r="E18" s="359" t="s">
        <v>448</v>
      </c>
      <c r="F18" s="228">
        <v>323.11421652686118</v>
      </c>
      <c r="G18" s="92"/>
      <c r="H18" s="92"/>
      <c r="I18" s="89">
        <f t="shared" si="1"/>
        <v>0.88282572821546768</v>
      </c>
      <c r="J18" s="213"/>
      <c r="K18" s="213"/>
      <c r="L18" s="246">
        <v>2.4299256698365047E-3</v>
      </c>
      <c r="M18" s="302"/>
      <c r="N18" s="302"/>
      <c r="O18" s="246">
        <v>3.8911986915429902E-3</v>
      </c>
      <c r="P18" s="302"/>
      <c r="Q18" s="302"/>
      <c r="R18" s="232">
        <v>0.91700000000000004</v>
      </c>
      <c r="S18" s="213"/>
      <c r="T18" s="302"/>
      <c r="U18" s="232">
        <v>0.56399999999999995</v>
      </c>
      <c r="V18" s="213"/>
      <c r="W18" s="302"/>
    </row>
    <row r="19" spans="2:23" ht="14.45" customHeight="1">
      <c r="B19" s="97"/>
      <c r="C19" s="97"/>
      <c r="D19" s="303">
        <f t="shared" si="2"/>
        <v>46217</v>
      </c>
      <c r="E19" s="303" t="s">
        <v>449</v>
      </c>
      <c r="F19" s="228">
        <v>337.83979810187856</v>
      </c>
      <c r="G19" s="92">
        <f>AVERAGE(F19:F25)</f>
        <v>334.07954424796509</v>
      </c>
      <c r="H19" s="92"/>
      <c r="I19" s="89">
        <f t="shared" si="1"/>
        <v>0.92305955765540593</v>
      </c>
      <c r="J19" s="213">
        <f>AVERAGE(I19:I25)</f>
        <v>0.91278564002176243</v>
      </c>
      <c r="K19" s="213"/>
      <c r="L19" s="246">
        <v>2.4106228899072688E-3</v>
      </c>
      <c r="M19" s="302">
        <f>AVERAGE(L19:L25)</f>
        <v>2.4130553989692052E-3</v>
      </c>
      <c r="N19" s="302"/>
      <c r="O19" s="246">
        <v>4.0680275927014609E-3</v>
      </c>
      <c r="P19" s="302">
        <f>AVERAGE(O19:O25)</f>
        <v>4.1085884940481954E-3</v>
      </c>
      <c r="Q19" s="302"/>
      <c r="R19" s="232">
        <v>0.91700000000000004</v>
      </c>
      <c r="S19" s="213">
        <f>AVERAGE(R19:R25)</f>
        <v>0.91699999999999993</v>
      </c>
      <c r="T19" s="302"/>
      <c r="U19" s="232">
        <v>0.57999999999999996</v>
      </c>
      <c r="V19" s="213">
        <f>AVERAGE(U19:U25)</f>
        <v>0.59771428571428575</v>
      </c>
      <c r="W19" s="302"/>
    </row>
    <row r="20" spans="2:23" ht="14.45" customHeight="1">
      <c r="B20" s="97"/>
      <c r="C20" s="97"/>
      <c r="D20" s="303">
        <f t="shared" si="2"/>
        <v>46218</v>
      </c>
      <c r="E20" s="303" t="s">
        <v>450</v>
      </c>
      <c r="F20" s="228">
        <v>333.76441001592372</v>
      </c>
      <c r="G20" s="92"/>
      <c r="H20" s="92"/>
      <c r="I20" s="89">
        <f t="shared" si="1"/>
        <v>0.91192461752984622</v>
      </c>
      <c r="J20" s="213"/>
      <c r="K20" s="213"/>
      <c r="L20" s="246">
        <v>2.4293025727526447E-3</v>
      </c>
      <c r="M20" s="302"/>
      <c r="N20" s="302"/>
      <c r="O20" s="246">
        <v>4.0980949580949897E-3</v>
      </c>
      <c r="P20" s="302"/>
      <c r="Q20" s="302"/>
      <c r="R20" s="232">
        <v>0.91700000000000004</v>
      </c>
      <c r="S20" s="213"/>
      <c r="T20" s="302"/>
      <c r="U20" s="232">
        <v>0.58399999999999996</v>
      </c>
      <c r="V20" s="213"/>
      <c r="W20" s="302"/>
    </row>
    <row r="21" spans="2:23" ht="14.45" customHeight="1">
      <c r="B21" s="97"/>
      <c r="C21" s="97"/>
      <c r="D21" s="303">
        <f t="shared" si="2"/>
        <v>46219</v>
      </c>
      <c r="E21" s="303" t="s">
        <v>451</v>
      </c>
      <c r="F21" s="228">
        <v>339.99868303703249</v>
      </c>
      <c r="G21" s="92"/>
      <c r="H21" s="92"/>
      <c r="I21" s="89">
        <f t="shared" si="1"/>
        <v>0.92895815037440577</v>
      </c>
      <c r="J21" s="213"/>
      <c r="K21" s="213"/>
      <c r="L21" s="246">
        <v>2.429003230240034E-3</v>
      </c>
      <c r="M21" s="302"/>
      <c r="N21" s="302"/>
      <c r="O21" s="246">
        <v>4.3717486138925366E-3</v>
      </c>
      <c r="P21" s="302"/>
      <c r="Q21" s="302"/>
      <c r="R21" s="232">
        <v>0.91700000000000004</v>
      </c>
      <c r="S21" s="213"/>
      <c r="T21" s="302"/>
      <c r="U21" s="232">
        <v>0.59</v>
      </c>
      <c r="V21" s="213"/>
      <c r="W21" s="302"/>
    </row>
    <row r="22" spans="2:23" ht="14.45" customHeight="1">
      <c r="B22" s="97"/>
      <c r="C22" s="97"/>
      <c r="D22" s="303">
        <f t="shared" si="2"/>
        <v>46220</v>
      </c>
      <c r="E22" s="303" t="s">
        <v>452</v>
      </c>
      <c r="F22" s="228">
        <v>328.6</v>
      </c>
      <c r="G22" s="92"/>
      <c r="H22" s="92"/>
      <c r="I22" s="89">
        <f t="shared" si="1"/>
        <v>0.89781420765027331</v>
      </c>
      <c r="J22" s="213"/>
      <c r="K22" s="213"/>
      <c r="L22" s="246">
        <v>2.401274718483646E-3</v>
      </c>
      <c r="M22" s="302"/>
      <c r="N22" s="302"/>
      <c r="O22" s="246">
        <v>4.349417828157961E-3</v>
      </c>
      <c r="P22" s="302"/>
      <c r="Q22" s="302"/>
      <c r="R22" s="232">
        <v>0.91700000000000004</v>
      </c>
      <c r="S22" s="213"/>
      <c r="T22" s="302"/>
      <c r="U22" s="232">
        <v>0.6</v>
      </c>
      <c r="V22" s="213"/>
      <c r="W22" s="302"/>
    </row>
    <row r="23" spans="2:23" ht="14.45" customHeight="1">
      <c r="B23" s="97"/>
      <c r="C23" s="97"/>
      <c r="D23" s="303">
        <f t="shared" si="2"/>
        <v>46221</v>
      </c>
      <c r="E23" s="303" t="s">
        <v>453</v>
      </c>
      <c r="F23" s="228">
        <v>329.76302450850426</v>
      </c>
      <c r="G23" s="92"/>
      <c r="H23" s="92"/>
      <c r="I23" s="89">
        <f t="shared" si="1"/>
        <v>0.90099187024181493</v>
      </c>
      <c r="J23" s="213"/>
      <c r="K23" s="213"/>
      <c r="L23" s="246">
        <v>2.4171425550417128E-3</v>
      </c>
      <c r="M23" s="302"/>
      <c r="N23" s="302"/>
      <c r="O23" s="246">
        <v>3.909077581173025E-3</v>
      </c>
      <c r="P23" s="302"/>
      <c r="Q23" s="302"/>
      <c r="R23" s="232">
        <v>0.91700000000000004</v>
      </c>
      <c r="S23" s="213"/>
      <c r="T23" s="302"/>
      <c r="U23" s="232">
        <v>0.60199999999999998</v>
      </c>
      <c r="V23" s="213"/>
      <c r="W23" s="302"/>
    </row>
    <row r="24" spans="2:23" ht="14.45" customHeight="1">
      <c r="B24" s="97"/>
      <c r="C24" s="97"/>
      <c r="D24" s="303">
        <f t="shared" si="2"/>
        <v>46222</v>
      </c>
      <c r="E24" s="303" t="s">
        <v>454</v>
      </c>
      <c r="F24" s="228">
        <v>330.41729574543558</v>
      </c>
      <c r="G24" s="92"/>
      <c r="H24" s="92"/>
      <c r="I24" s="89">
        <f t="shared" si="1"/>
        <v>0.90277949657222833</v>
      </c>
      <c r="J24" s="213"/>
      <c r="K24" s="213"/>
      <c r="L24" s="246">
        <v>2.4013928566723854E-3</v>
      </c>
      <c r="M24" s="302"/>
      <c r="N24" s="302"/>
      <c r="O24" s="246">
        <v>3.966342652652808E-3</v>
      </c>
      <c r="P24" s="302"/>
      <c r="Q24" s="302"/>
      <c r="R24" s="232">
        <v>0.91700000000000004</v>
      </c>
      <c r="S24" s="213"/>
      <c r="T24" s="302"/>
      <c r="U24" s="232">
        <v>0.60799999999999998</v>
      </c>
      <c r="V24" s="213"/>
      <c r="W24" s="302"/>
    </row>
    <row r="25" spans="2:23" ht="14.45" customHeight="1">
      <c r="B25" s="97"/>
      <c r="C25" s="97"/>
      <c r="D25" s="303">
        <f t="shared" si="2"/>
        <v>46223</v>
      </c>
      <c r="E25" s="303" t="s">
        <v>448</v>
      </c>
      <c r="F25" s="228">
        <v>338.17359832698082</v>
      </c>
      <c r="G25" s="92"/>
      <c r="H25" s="92"/>
      <c r="I25" s="89">
        <f t="shared" si="1"/>
        <v>0.92397158012836289</v>
      </c>
      <c r="J25" s="213"/>
      <c r="K25" s="213"/>
      <c r="L25" s="246">
        <v>2.4026489696867426E-3</v>
      </c>
      <c r="M25" s="302"/>
      <c r="N25" s="302"/>
      <c r="O25" s="246">
        <v>3.9974102316645832E-3</v>
      </c>
      <c r="P25" s="302"/>
      <c r="Q25" s="302"/>
      <c r="R25" s="232">
        <v>0.91700000000000004</v>
      </c>
      <c r="S25" s="213"/>
      <c r="T25" s="302"/>
      <c r="U25" s="232">
        <v>0.62</v>
      </c>
      <c r="V25" s="213"/>
      <c r="W25" s="302"/>
    </row>
    <row r="26" spans="2:23" ht="14.45" customHeight="1">
      <c r="B26" s="97"/>
      <c r="C26" s="97"/>
      <c r="D26" s="359">
        <f t="shared" si="2"/>
        <v>46224</v>
      </c>
      <c r="E26" s="359" t="s">
        <v>449</v>
      </c>
      <c r="F26" s="228">
        <v>333.36261171645572</v>
      </c>
      <c r="G26" s="92">
        <f>AVERAGE(F26:F32)</f>
        <v>333.52911314195188</v>
      </c>
      <c r="H26" s="92"/>
      <c r="I26" s="89">
        <f t="shared" si="1"/>
        <v>0.91082680796845827</v>
      </c>
      <c r="J26" s="213">
        <f>AVERAGE(I26:I32)</f>
        <v>0.91128172989604328</v>
      </c>
      <c r="K26" s="213"/>
      <c r="L26" s="246">
        <v>2.4292571467491382E-3</v>
      </c>
      <c r="M26" s="302">
        <f>AVERAGE(L26:L32)</f>
        <v>2.4219781345745845E-3</v>
      </c>
      <c r="N26" s="302"/>
      <c r="O26" s="246">
        <v>4.0315229591182805E-3</v>
      </c>
      <c r="P26" s="302">
        <f>AVERAGE(O26:O32)</f>
        <v>4.0087535880234193E-3</v>
      </c>
      <c r="Q26" s="302"/>
      <c r="R26" s="232">
        <v>0.91700000000000004</v>
      </c>
      <c r="S26" s="213">
        <f>AVERAGE(R26:R32)</f>
        <v>0.91699999999999993</v>
      </c>
      <c r="T26" s="302"/>
      <c r="U26" s="232">
        <v>0.62</v>
      </c>
      <c r="V26" s="213">
        <f>AVERAGE(U26:U32)</f>
        <v>0.62485714285714278</v>
      </c>
      <c r="W26" s="302"/>
    </row>
    <row r="27" spans="2:23" ht="14.45" customHeight="1">
      <c r="B27" s="97"/>
      <c r="C27" s="97"/>
      <c r="D27" s="359">
        <f t="shared" si="2"/>
        <v>46225</v>
      </c>
      <c r="E27" s="359" t="s">
        <v>450</v>
      </c>
      <c r="F27" s="228">
        <v>330.20491082394881</v>
      </c>
      <c r="G27" s="92"/>
      <c r="H27" s="92"/>
      <c r="I27" s="89">
        <f t="shared" si="1"/>
        <v>0.90219920990149949</v>
      </c>
      <c r="J27" s="213"/>
      <c r="K27" s="213"/>
      <c r="L27" s="246">
        <v>2.4404733608368238E-3</v>
      </c>
      <c r="M27" s="302"/>
      <c r="N27" s="302"/>
      <c r="O27" s="246">
        <v>4.0158513355375396E-3</v>
      </c>
      <c r="P27" s="302"/>
      <c r="Q27" s="302"/>
      <c r="R27" s="232">
        <v>0.91700000000000004</v>
      </c>
      <c r="S27" s="213"/>
      <c r="T27" s="302"/>
      <c r="U27" s="232">
        <v>0.624</v>
      </c>
      <c r="V27" s="213"/>
      <c r="W27" s="302"/>
    </row>
    <row r="28" spans="2:23" ht="14.45" customHeight="1">
      <c r="B28" s="97"/>
      <c r="C28" s="97"/>
      <c r="D28" s="359">
        <f t="shared" si="2"/>
        <v>46226</v>
      </c>
      <c r="E28" s="359" t="s">
        <v>451</v>
      </c>
      <c r="F28" s="228">
        <v>344.68771854971885</v>
      </c>
      <c r="G28" s="92"/>
      <c r="H28" s="92"/>
      <c r="I28" s="89">
        <f t="shared" si="1"/>
        <v>0.94176972281343951</v>
      </c>
      <c r="J28" s="213"/>
      <c r="K28" s="213"/>
      <c r="L28" s="246">
        <v>2.4300777302778561E-3</v>
      </c>
      <c r="M28" s="302"/>
      <c r="N28" s="302"/>
      <c r="O28" s="246">
        <v>3.9689113762748623E-3</v>
      </c>
      <c r="P28" s="302"/>
      <c r="Q28" s="302"/>
      <c r="R28" s="232">
        <v>0.91700000000000004</v>
      </c>
      <c r="S28" s="213"/>
      <c r="T28" s="302"/>
      <c r="U28" s="232">
        <v>0.624</v>
      </c>
      <c r="V28" s="213"/>
      <c r="W28" s="302"/>
    </row>
    <row r="29" spans="2:23" ht="14.45" customHeight="1">
      <c r="B29" s="97"/>
      <c r="C29" s="97"/>
      <c r="D29" s="359">
        <f t="shared" si="2"/>
        <v>46227</v>
      </c>
      <c r="E29" s="359" t="s">
        <v>452</v>
      </c>
      <c r="F29" s="228">
        <v>331.98519726315817</v>
      </c>
      <c r="G29" s="92"/>
      <c r="H29" s="92"/>
      <c r="I29" s="89">
        <f t="shared" si="1"/>
        <v>0.90706338050043211</v>
      </c>
      <c r="J29" s="213"/>
      <c r="K29" s="213"/>
      <c r="L29" s="246">
        <v>2.4092029599045409E-3</v>
      </c>
      <c r="M29" s="302"/>
      <c r="N29" s="302"/>
      <c r="O29" s="246">
        <v>4.0633316059379056E-3</v>
      </c>
      <c r="P29" s="302"/>
      <c r="Q29" s="302"/>
      <c r="R29" s="232">
        <v>0.91700000000000004</v>
      </c>
      <c r="S29" s="213"/>
      <c r="T29" s="302"/>
      <c r="U29" s="232">
        <v>0.624</v>
      </c>
      <c r="V29" s="213"/>
      <c r="W29" s="302"/>
    </row>
    <row r="30" spans="2:23" ht="14.45" customHeight="1">
      <c r="B30" s="97"/>
      <c r="C30" s="97"/>
      <c r="D30" s="359">
        <f t="shared" si="2"/>
        <v>46228</v>
      </c>
      <c r="E30" s="359" t="s">
        <v>453</v>
      </c>
      <c r="F30" s="228">
        <v>329.96702753462233</v>
      </c>
      <c r="G30" s="92"/>
      <c r="H30" s="92"/>
      <c r="I30" s="89">
        <f t="shared" si="1"/>
        <v>0.90154925555907739</v>
      </c>
      <c r="J30" s="213"/>
      <c r="K30" s="213"/>
      <c r="L30" s="246">
        <v>2.4028562565266845E-3</v>
      </c>
      <c r="M30" s="302"/>
      <c r="N30" s="302"/>
      <c r="O30" s="246">
        <v>4.0382498685585695E-3</v>
      </c>
      <c r="P30" s="302"/>
      <c r="Q30" s="302"/>
      <c r="R30" s="232">
        <v>0.91700000000000004</v>
      </c>
      <c r="S30" s="213"/>
      <c r="T30" s="302"/>
      <c r="U30" s="232">
        <v>0.626</v>
      </c>
      <c r="V30" s="213"/>
      <c r="W30" s="302"/>
    </row>
    <row r="31" spans="2:23" ht="14.45" customHeight="1">
      <c r="B31" s="97"/>
      <c r="C31" s="97"/>
      <c r="D31" s="359">
        <f t="shared" si="2"/>
        <v>46229</v>
      </c>
      <c r="E31" s="359" t="s">
        <v>454</v>
      </c>
      <c r="F31" s="228">
        <v>337.15783755883115</v>
      </c>
      <c r="G31" s="92"/>
      <c r="H31" s="92"/>
      <c r="I31" s="89">
        <f t="shared" si="1"/>
        <v>0.92119627748314525</v>
      </c>
      <c r="J31" s="213"/>
      <c r="K31" s="213"/>
      <c r="L31" s="246">
        <v>2.4281291648656673E-3</v>
      </c>
      <c r="M31" s="302"/>
      <c r="N31" s="302"/>
      <c r="O31" s="246">
        <v>3.93842522704046E-3</v>
      </c>
      <c r="P31" s="302"/>
      <c r="Q31" s="302"/>
      <c r="R31" s="232">
        <v>0.91700000000000004</v>
      </c>
      <c r="S31" s="213"/>
      <c r="T31" s="302"/>
      <c r="U31" s="232">
        <v>0.628</v>
      </c>
      <c r="V31" s="213"/>
      <c r="W31" s="302"/>
    </row>
    <row r="32" spans="2:23" ht="14.45" customHeight="1">
      <c r="B32" s="97"/>
      <c r="C32" s="97"/>
      <c r="D32" s="359">
        <f t="shared" si="2"/>
        <v>46230</v>
      </c>
      <c r="E32" s="359" t="s">
        <v>448</v>
      </c>
      <c r="F32" s="228">
        <v>327.33848854692803</v>
      </c>
      <c r="G32" s="92"/>
      <c r="H32" s="92"/>
      <c r="I32" s="89">
        <f t="shared" si="1"/>
        <v>0.89436745504625148</v>
      </c>
      <c r="J32" s="213"/>
      <c r="K32" s="213"/>
      <c r="L32" s="246">
        <v>2.4138503228613791E-3</v>
      </c>
      <c r="M32" s="302"/>
      <c r="N32" s="302"/>
      <c r="O32" s="246">
        <v>4.0049827436963127E-3</v>
      </c>
      <c r="P32" s="302"/>
      <c r="Q32" s="302"/>
      <c r="R32" s="232">
        <v>0.91700000000000004</v>
      </c>
      <c r="S32" s="213"/>
      <c r="T32" s="302"/>
      <c r="U32" s="232">
        <v>0.628</v>
      </c>
      <c r="V32" s="213"/>
      <c r="W32" s="302"/>
    </row>
    <row r="33" spans="2:23" s="469" customFormat="1" ht="14.45" customHeight="1">
      <c r="B33" s="466"/>
      <c r="C33" s="466"/>
      <c r="D33" s="303">
        <f t="shared" si="2"/>
        <v>46231</v>
      </c>
      <c r="E33" s="303" t="s">
        <v>449</v>
      </c>
      <c r="F33" s="458"/>
      <c r="G33" s="459" t="e">
        <f>AVERAGE(F33:F39)</f>
        <v>#DIV/0!</v>
      </c>
      <c r="H33" s="459"/>
      <c r="I33" s="455">
        <f t="shared" si="1"/>
        <v>0</v>
      </c>
      <c r="J33" s="460">
        <f>AVERAGE(I33:I39)</f>
        <v>0</v>
      </c>
      <c r="K33" s="460"/>
      <c r="L33" s="461"/>
      <c r="M33" s="462" t="e">
        <f>AVERAGE(L33:L39)</f>
        <v>#DIV/0!</v>
      </c>
      <c r="N33" s="462"/>
      <c r="O33" s="461"/>
      <c r="P33" s="462" t="e">
        <f>AVERAGE(O33:O39)</f>
        <v>#DIV/0!</v>
      </c>
      <c r="Q33" s="462"/>
      <c r="R33" s="232"/>
      <c r="S33" s="213" t="e">
        <f>AVERAGE(R33:R39)</f>
        <v>#DIV/0!</v>
      </c>
      <c r="T33" s="462"/>
      <c r="U33" s="463"/>
      <c r="V33" s="460" t="e">
        <f>AVERAGE(U33:U39)</f>
        <v>#DIV/0!</v>
      </c>
      <c r="W33" s="468"/>
    </row>
    <row r="34" spans="2:23" s="469" customFormat="1" ht="14.45" customHeight="1">
      <c r="B34" s="466"/>
      <c r="C34" s="466"/>
      <c r="D34" s="303">
        <f t="shared" si="2"/>
        <v>46232</v>
      </c>
      <c r="E34" s="303" t="s">
        <v>450</v>
      </c>
      <c r="F34" s="458"/>
      <c r="G34" s="459"/>
      <c r="H34" s="459"/>
      <c r="I34" s="455">
        <f t="shared" si="1"/>
        <v>0</v>
      </c>
      <c r="J34" s="460"/>
      <c r="K34" s="460"/>
      <c r="L34" s="461"/>
      <c r="M34" s="462"/>
      <c r="N34" s="462"/>
      <c r="O34" s="461"/>
      <c r="P34" s="462"/>
      <c r="Q34" s="462"/>
      <c r="R34" s="232"/>
      <c r="S34" s="460"/>
      <c r="T34" s="462"/>
      <c r="U34" s="463"/>
      <c r="V34" s="460"/>
      <c r="W34" s="468"/>
    </row>
    <row r="35" spans="2:23" s="469" customFormat="1">
      <c r="B35" s="466"/>
      <c r="C35" s="448"/>
      <c r="D35" s="303">
        <f>D34+1</f>
        <v>46233</v>
      </c>
      <c r="E35" s="303" t="s">
        <v>451</v>
      </c>
      <c r="F35" s="458"/>
      <c r="G35" s="459"/>
      <c r="H35" s="464"/>
      <c r="I35" s="455">
        <f t="shared" si="1"/>
        <v>0</v>
      </c>
      <c r="J35" s="460"/>
      <c r="K35" s="465"/>
      <c r="L35" s="461"/>
      <c r="M35" s="462"/>
      <c r="N35" s="465"/>
      <c r="O35" s="461"/>
      <c r="P35" s="462"/>
      <c r="Q35" s="465"/>
      <c r="R35" s="232"/>
      <c r="S35" s="460"/>
      <c r="T35" s="465"/>
      <c r="U35" s="463"/>
      <c r="V35" s="460"/>
    </row>
    <row r="36" spans="2:23" s="469" customFormat="1">
      <c r="B36" s="466"/>
      <c r="C36" s="466"/>
      <c r="D36" s="303">
        <f t="shared" ref="D36:D39" si="3">D35+1</f>
        <v>46234</v>
      </c>
      <c r="E36" s="303" t="s">
        <v>452</v>
      </c>
      <c r="F36" s="458"/>
      <c r="G36" s="459"/>
      <c r="H36" s="459"/>
      <c r="I36" s="455">
        <f t="shared" si="1"/>
        <v>0</v>
      </c>
      <c r="J36" s="460"/>
      <c r="K36" s="460"/>
      <c r="L36" s="461"/>
      <c r="M36" s="460"/>
      <c r="N36" s="462"/>
      <c r="O36" s="461"/>
      <c r="P36" s="460"/>
      <c r="Q36" s="462"/>
      <c r="R36" s="232"/>
      <c r="S36" s="460"/>
      <c r="T36" s="460"/>
      <c r="U36" s="463"/>
      <c r="V36" s="460"/>
      <c r="W36" s="467"/>
    </row>
    <row r="37" spans="2:23" s="469" customFormat="1">
      <c r="B37" s="466"/>
      <c r="C37" s="448"/>
      <c r="D37" s="303">
        <f t="shared" si="3"/>
        <v>46235</v>
      </c>
      <c r="E37" s="303" t="s">
        <v>453</v>
      </c>
      <c r="F37" s="458"/>
      <c r="G37" s="459"/>
      <c r="H37" s="459"/>
      <c r="I37" s="455">
        <f t="shared" si="1"/>
        <v>0</v>
      </c>
      <c r="J37" s="460"/>
      <c r="K37" s="457"/>
      <c r="L37" s="461"/>
      <c r="M37" s="460"/>
      <c r="N37" s="455"/>
      <c r="O37" s="461"/>
      <c r="P37" s="460"/>
      <c r="Q37" s="455"/>
      <c r="R37" s="232"/>
      <c r="S37" s="460"/>
      <c r="T37" s="460"/>
      <c r="U37" s="463"/>
      <c r="V37" s="460"/>
      <c r="W37" s="467"/>
    </row>
    <row r="38" spans="2:23" s="469" customFormat="1">
      <c r="B38" s="466"/>
      <c r="C38" s="448"/>
      <c r="D38" s="303">
        <f t="shared" si="3"/>
        <v>46236</v>
      </c>
      <c r="E38" s="303" t="s">
        <v>454</v>
      </c>
      <c r="F38" s="458"/>
      <c r="G38" s="459"/>
      <c r="H38" s="459"/>
      <c r="I38" s="455">
        <f t="shared" si="1"/>
        <v>0</v>
      </c>
      <c r="J38" s="460"/>
      <c r="K38" s="457"/>
      <c r="L38" s="461"/>
      <c r="M38" s="460"/>
      <c r="N38" s="455"/>
      <c r="O38" s="461"/>
      <c r="P38" s="460"/>
      <c r="Q38" s="455"/>
      <c r="R38" s="232"/>
      <c r="S38" s="460"/>
      <c r="T38" s="460"/>
      <c r="U38" s="463"/>
      <c r="V38" s="460"/>
      <c r="W38" s="467"/>
    </row>
    <row r="39" spans="2:23" s="469" customFormat="1">
      <c r="B39" s="466"/>
      <c r="C39" s="448"/>
      <c r="D39" s="303">
        <f t="shared" si="3"/>
        <v>46237</v>
      </c>
      <c r="E39" s="303" t="s">
        <v>448</v>
      </c>
      <c r="F39" s="458"/>
      <c r="G39" s="459"/>
      <c r="H39" s="459"/>
      <c r="I39" s="455">
        <f t="shared" si="1"/>
        <v>0</v>
      </c>
      <c r="J39" s="460"/>
      <c r="K39" s="457"/>
      <c r="L39" s="461"/>
      <c r="M39" s="460"/>
      <c r="N39" s="455"/>
      <c r="O39" s="461"/>
      <c r="P39" s="460"/>
      <c r="Q39" s="455"/>
      <c r="R39" s="232"/>
      <c r="S39" s="460"/>
      <c r="T39" s="460"/>
      <c r="U39" s="463"/>
      <c r="V39" s="460"/>
      <c r="W39" s="467"/>
    </row>
    <row r="40" spans="2:23">
      <c r="B40" s="97"/>
      <c r="D40" s="359"/>
      <c r="E40" s="359"/>
      <c r="F40" s="228"/>
      <c r="G40" s="459" t="e">
        <f>AVERAGE(F40:F46)</f>
        <v>#DIV/0!</v>
      </c>
      <c r="H40" s="92"/>
      <c r="I40" s="89">
        <f t="shared" si="1"/>
        <v>0</v>
      </c>
      <c r="J40" s="460">
        <f>AVERAGE(I40:I46)</f>
        <v>0</v>
      </c>
      <c r="K40" s="86"/>
      <c r="L40" s="246"/>
      <c r="M40" s="462" t="e">
        <f>AVERAGE(L40:L46)</f>
        <v>#DIV/0!</v>
      </c>
      <c r="N40" s="89"/>
      <c r="O40" s="246"/>
      <c r="P40" s="462" t="e">
        <f>AVERAGE(O40:O46)</f>
        <v>#DIV/0!</v>
      </c>
      <c r="Q40" s="89"/>
      <c r="R40" s="232"/>
      <c r="S40" s="213" t="e">
        <f>AVERAGE(R40:R46)</f>
        <v>#DIV/0!</v>
      </c>
      <c r="T40" s="213"/>
      <c r="U40" s="232"/>
      <c r="V40" s="460" t="e">
        <f>AVERAGE(U40:U46)</f>
        <v>#DIV/0!</v>
      </c>
      <c r="W40" s="213"/>
    </row>
    <row r="41" spans="2:23">
      <c r="B41" s="97"/>
      <c r="D41" s="359"/>
      <c r="E41" s="359"/>
      <c r="F41" s="228"/>
      <c r="G41" s="92"/>
      <c r="H41" s="92"/>
      <c r="I41" s="89">
        <f t="shared" ref="I41:I45" si="4">F41/$C$1</f>
        <v>0</v>
      </c>
      <c r="J41" s="213"/>
      <c r="K41" s="86"/>
      <c r="L41" s="246"/>
      <c r="M41" s="213"/>
      <c r="N41" s="89"/>
      <c r="O41" s="246"/>
      <c r="P41" s="213"/>
      <c r="Q41" s="89"/>
      <c r="R41" s="232"/>
      <c r="S41" s="213"/>
      <c r="T41" s="213"/>
      <c r="U41" s="232"/>
      <c r="V41" s="213"/>
      <c r="W41" s="213"/>
    </row>
    <row r="42" spans="2:23">
      <c r="B42" s="97"/>
      <c r="D42" s="359"/>
      <c r="E42" s="359"/>
      <c r="F42" s="228"/>
      <c r="G42" s="92"/>
      <c r="H42" s="92"/>
      <c r="I42" s="89">
        <f t="shared" si="4"/>
        <v>0</v>
      </c>
      <c r="J42" s="213"/>
      <c r="K42" s="86"/>
      <c r="L42" s="246"/>
      <c r="M42" s="213"/>
      <c r="N42" s="89"/>
      <c r="O42" s="246"/>
      <c r="P42" s="213"/>
      <c r="Q42" s="89"/>
      <c r="R42" s="232"/>
      <c r="S42" s="213"/>
      <c r="T42" s="213"/>
      <c r="U42" s="232"/>
      <c r="V42" s="213"/>
      <c r="W42" s="213"/>
    </row>
    <row r="43" spans="2:23">
      <c r="B43" s="97"/>
      <c r="D43" s="359"/>
      <c r="E43" s="359"/>
      <c r="F43" s="228"/>
      <c r="G43" s="92"/>
      <c r="H43" s="92"/>
      <c r="I43" s="89">
        <f t="shared" si="4"/>
        <v>0</v>
      </c>
      <c r="J43" s="213"/>
      <c r="K43" s="86"/>
      <c r="L43" s="246"/>
      <c r="M43" s="213"/>
      <c r="N43" s="89"/>
      <c r="O43" s="246"/>
      <c r="P43" s="213"/>
      <c r="Q43" s="89"/>
      <c r="R43" s="232"/>
      <c r="S43" s="213"/>
      <c r="T43" s="213"/>
      <c r="U43" s="232"/>
      <c r="V43" s="213"/>
      <c r="W43" s="213"/>
    </row>
    <row r="44" spans="2:23">
      <c r="B44" s="97"/>
      <c r="D44" s="359"/>
      <c r="E44" s="359"/>
      <c r="F44" s="228"/>
      <c r="G44" s="92"/>
      <c r="H44" s="92"/>
      <c r="I44" s="89">
        <f t="shared" si="4"/>
        <v>0</v>
      </c>
      <c r="J44" s="213"/>
      <c r="K44" s="86"/>
      <c r="L44" s="246"/>
      <c r="M44" s="213"/>
      <c r="N44" s="89"/>
      <c r="O44" s="246"/>
      <c r="P44" s="213"/>
      <c r="Q44" s="89"/>
      <c r="R44" s="232"/>
      <c r="S44" s="213"/>
      <c r="T44" s="213"/>
      <c r="U44" s="232"/>
      <c r="V44" s="213"/>
      <c r="W44" s="213"/>
    </row>
    <row r="45" spans="2:23">
      <c r="B45" s="97"/>
      <c r="D45" s="359"/>
      <c r="E45" s="359"/>
      <c r="F45" s="228"/>
      <c r="G45" s="92"/>
      <c r="H45" s="92"/>
      <c r="I45" s="89">
        <f t="shared" si="4"/>
        <v>0</v>
      </c>
      <c r="J45" s="213"/>
      <c r="K45" s="86"/>
      <c r="L45" s="246"/>
      <c r="M45" s="213"/>
      <c r="N45" s="89"/>
      <c r="O45" s="246"/>
      <c r="P45" s="213"/>
      <c r="Q45" s="89"/>
      <c r="R45" s="232"/>
      <c r="S45" s="213"/>
      <c r="T45" s="213"/>
      <c r="U45" s="232"/>
      <c r="V45" s="213"/>
      <c r="W45" s="213"/>
    </row>
    <row r="46" spans="2:23">
      <c r="B46" s="97"/>
      <c r="D46" s="359"/>
      <c r="E46" s="359"/>
      <c r="F46" s="228"/>
      <c r="G46" s="92"/>
      <c r="H46" s="92"/>
      <c r="I46" s="89">
        <f t="shared" ref="I46" si="5">F46/$C$1</f>
        <v>0</v>
      </c>
      <c r="J46" s="213"/>
      <c r="K46" s="86"/>
      <c r="L46" s="246"/>
      <c r="M46" s="213"/>
      <c r="N46" s="89"/>
      <c r="O46" s="246"/>
      <c r="P46" s="213"/>
      <c r="Q46" s="89"/>
      <c r="R46" s="232"/>
      <c r="S46" s="213"/>
      <c r="T46" s="213"/>
      <c r="U46" s="232"/>
      <c r="V46" s="213"/>
      <c r="W46" s="213"/>
    </row>
    <row r="47" spans="2:23">
      <c r="B47" s="97"/>
    </row>
    <row r="48" spans="2:23">
      <c r="B48" s="97"/>
    </row>
    <row r="49" spans="2:2">
      <c r="B49" s="97"/>
    </row>
    <row r="50" spans="2:2">
      <c r="B50" s="97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6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O34" sqref="O34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1" style="102" bestFit="1" customWidth="1"/>
    <col min="5" max="5" width="8.5703125" style="84" customWidth="1"/>
    <col min="6" max="8" width="17.42578125" style="101" customWidth="1"/>
    <col min="9" max="9" width="10.5703125" style="96" customWidth="1"/>
    <col min="10" max="10" width="10.5703125" style="89" customWidth="1"/>
    <col min="11" max="11" width="10.5703125" style="96" customWidth="1"/>
    <col min="12" max="14" width="10.5703125" style="89" customWidth="1"/>
    <col min="15" max="15" width="10.5703125" style="96" customWidth="1"/>
    <col min="16" max="16" width="10.5703125" style="89" customWidth="1"/>
    <col min="17" max="17" width="10.5703125" style="96" customWidth="1"/>
    <col min="18" max="18" width="10.5703125" style="89" customWidth="1"/>
    <col min="19" max="19" width="10.5703125" style="96" customWidth="1"/>
    <col min="20" max="20" width="10.5703125" style="89" customWidth="1"/>
    <col min="21" max="21" width="10.5703125" style="96" customWidth="1"/>
    <col min="22" max="22" width="10.5703125" style="89" customWidth="1"/>
    <col min="23" max="23" width="10.5703125" style="96" customWidth="1"/>
    <col min="24" max="24" width="10.5703125" style="89" customWidth="1"/>
    <col min="25" max="25" width="10.5703125" style="96" customWidth="1"/>
    <col min="26" max="26" width="10.5703125" style="89" customWidth="1"/>
    <col min="27" max="27" width="10.5703125" style="96" customWidth="1"/>
    <col min="28" max="28" width="10.5703125" style="89" customWidth="1"/>
    <col min="29" max="29" width="10.5703125" style="96" customWidth="1"/>
    <col min="30" max="30" width="10.5703125" style="89" customWidth="1"/>
    <col min="31" max="31" width="10.5703125" style="96" customWidth="1"/>
    <col min="32" max="32" width="10.5703125" style="89" customWidth="1"/>
    <col min="33" max="33" width="10.42578125" style="96" customWidth="1"/>
    <col min="34" max="34" width="10.42578125" style="89" customWidth="1"/>
    <col min="35" max="35" width="10.42578125" style="96" customWidth="1"/>
    <col min="36" max="36" width="10.42578125" style="89" customWidth="1"/>
    <col min="37" max="37" width="10.42578125" style="96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05" t="s">
        <v>300</v>
      </c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5"/>
      <c r="AA2" s="605"/>
      <c r="AB2" s="605"/>
      <c r="AC2" s="605"/>
      <c r="AD2" s="605"/>
      <c r="AE2" s="605"/>
      <c r="AF2" s="605"/>
      <c r="AG2" s="605"/>
      <c r="AH2" s="605"/>
      <c r="AI2" s="605"/>
      <c r="AJ2" s="605"/>
      <c r="AK2" s="605"/>
      <c r="AL2" s="605"/>
    </row>
    <row r="3" spans="1:38" ht="25.35" customHeight="1">
      <c r="B3" s="97"/>
      <c r="C3" s="606" t="s">
        <v>139</v>
      </c>
      <c r="D3" s="607" t="s">
        <v>105</v>
      </c>
      <c r="E3" s="607"/>
      <c r="F3" s="608" t="s">
        <v>335</v>
      </c>
      <c r="G3" s="608"/>
      <c r="H3" s="608"/>
      <c r="I3" s="609" t="s">
        <v>111</v>
      </c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</row>
    <row r="4" spans="1:38" ht="25.35" customHeight="1">
      <c r="B4" s="97"/>
      <c r="C4" s="606"/>
      <c r="D4" s="607"/>
      <c r="E4" s="607"/>
      <c r="F4" s="608"/>
      <c r="G4" s="608"/>
      <c r="H4" s="608"/>
      <c r="I4" s="603" t="s">
        <v>140</v>
      </c>
      <c r="J4" s="603"/>
      <c r="K4" s="603"/>
      <c r="L4" s="603"/>
      <c r="M4" s="603"/>
      <c r="N4" s="603"/>
      <c r="O4" s="603" t="s">
        <v>141</v>
      </c>
      <c r="P4" s="603"/>
      <c r="Q4" s="603"/>
      <c r="R4" s="603"/>
      <c r="S4" s="603"/>
      <c r="T4" s="603"/>
      <c r="U4" s="603" t="s">
        <v>324</v>
      </c>
      <c r="V4" s="603"/>
      <c r="W4" s="603" t="s">
        <v>143</v>
      </c>
      <c r="X4" s="603"/>
      <c r="Y4" s="603" t="s">
        <v>134</v>
      </c>
      <c r="Z4" s="603"/>
      <c r="AA4" s="603"/>
      <c r="AB4" s="603"/>
      <c r="AC4" s="603"/>
      <c r="AD4" s="603"/>
      <c r="AE4" s="603" t="s">
        <v>132</v>
      </c>
      <c r="AF4" s="603"/>
      <c r="AG4" s="603" t="s">
        <v>144</v>
      </c>
      <c r="AH4" s="603"/>
      <c r="AI4" s="603" t="s">
        <v>145</v>
      </c>
      <c r="AJ4" s="603"/>
      <c r="AK4" s="603" t="s">
        <v>138</v>
      </c>
      <c r="AL4" s="603"/>
    </row>
    <row r="5" spans="1:38" ht="25.35" customHeight="1">
      <c r="B5" s="97"/>
      <c r="C5" s="606"/>
      <c r="D5" s="607"/>
      <c r="E5" s="607"/>
      <c r="F5" s="602" t="s">
        <v>115</v>
      </c>
      <c r="G5" s="602" t="s">
        <v>117</v>
      </c>
      <c r="H5" s="602" t="s">
        <v>118</v>
      </c>
      <c r="I5" s="603" t="s">
        <v>129</v>
      </c>
      <c r="J5" s="603"/>
      <c r="K5" s="603" t="s">
        <v>130</v>
      </c>
      <c r="L5" s="603"/>
      <c r="M5" s="604" t="s">
        <v>146</v>
      </c>
      <c r="N5" s="603"/>
      <c r="O5" s="603" t="s">
        <v>129</v>
      </c>
      <c r="P5" s="603"/>
      <c r="Q5" s="603" t="s">
        <v>130</v>
      </c>
      <c r="R5" s="603"/>
      <c r="S5" s="604" t="s">
        <v>146</v>
      </c>
      <c r="T5" s="603"/>
      <c r="U5" s="603" t="s">
        <v>129</v>
      </c>
      <c r="V5" s="603"/>
      <c r="W5" s="603" t="s">
        <v>129</v>
      </c>
      <c r="X5" s="603"/>
      <c r="Y5" s="603" t="s">
        <v>129</v>
      </c>
      <c r="Z5" s="603"/>
      <c r="AA5" s="603" t="s">
        <v>130</v>
      </c>
      <c r="AB5" s="603"/>
      <c r="AC5" s="604" t="s">
        <v>146</v>
      </c>
      <c r="AD5" s="603"/>
      <c r="AE5" s="603" t="s">
        <v>129</v>
      </c>
      <c r="AF5" s="603"/>
      <c r="AG5" s="603" t="s">
        <v>129</v>
      </c>
      <c r="AH5" s="603"/>
      <c r="AI5" s="603" t="s">
        <v>129</v>
      </c>
      <c r="AJ5" s="603"/>
      <c r="AK5" s="603" t="s">
        <v>129</v>
      </c>
      <c r="AL5" s="603"/>
    </row>
    <row r="6" spans="1:38" s="80" customFormat="1" ht="23.45" customHeight="1">
      <c r="B6" s="97"/>
      <c r="C6" s="606"/>
      <c r="D6" s="607"/>
      <c r="E6" s="607"/>
      <c r="F6" s="602"/>
      <c r="G6" s="602"/>
      <c r="H6" s="602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  <c r="O6" s="98" t="s">
        <v>112</v>
      </c>
      <c r="P6" s="99" t="s">
        <v>113</v>
      </c>
      <c r="Q6" s="98" t="s">
        <v>112</v>
      </c>
      <c r="R6" s="99" t="s">
        <v>113</v>
      </c>
      <c r="S6" s="98" t="s">
        <v>112</v>
      </c>
      <c r="T6" s="99" t="s">
        <v>113</v>
      </c>
      <c r="U6" s="98" t="s">
        <v>112</v>
      </c>
      <c r="V6" s="99" t="s">
        <v>113</v>
      </c>
      <c r="W6" s="98" t="s">
        <v>112</v>
      </c>
      <c r="X6" s="99" t="s">
        <v>113</v>
      </c>
      <c r="Y6" s="98" t="s">
        <v>112</v>
      </c>
      <c r="Z6" s="99" t="s">
        <v>113</v>
      </c>
      <c r="AA6" s="98" t="s">
        <v>112</v>
      </c>
      <c r="AB6" s="99" t="s">
        <v>113</v>
      </c>
      <c r="AC6" s="98" t="s">
        <v>112</v>
      </c>
      <c r="AD6" s="99" t="s">
        <v>113</v>
      </c>
      <c r="AE6" s="98" t="s">
        <v>112</v>
      </c>
      <c r="AF6" s="99" t="s">
        <v>113</v>
      </c>
      <c r="AG6" s="98" t="s">
        <v>112</v>
      </c>
      <c r="AH6" s="99" t="s">
        <v>113</v>
      </c>
      <c r="AI6" s="98" t="s">
        <v>112</v>
      </c>
      <c r="AJ6" s="99" t="s">
        <v>113</v>
      </c>
      <c r="AK6" s="98" t="s">
        <v>112</v>
      </c>
      <c r="AL6" s="99" t="s">
        <v>113</v>
      </c>
    </row>
    <row r="7" spans="1:38" ht="14.25">
      <c r="B7" s="97"/>
      <c r="C7" s="83"/>
      <c r="D7" s="303">
        <v>46203</v>
      </c>
      <c r="E7" s="303" t="s">
        <v>449</v>
      </c>
      <c r="F7" s="227">
        <f t="shared" ref="F7" si="0">SUM(M7,S7,U7,W7,AC7,AE7,AG7,AI7,AK7)</f>
        <v>9354163</v>
      </c>
      <c r="G7" s="301"/>
      <c r="I7" s="233">
        <v>594332.19324885076</v>
      </c>
      <c r="J7" s="100">
        <f>I7/F7</f>
        <v>6.3536651355001056E-2</v>
      </c>
      <c r="K7" s="233">
        <v>939012.60994221747</v>
      </c>
      <c r="L7" s="100">
        <f>K7/F7</f>
        <v>0.10038446090176294</v>
      </c>
      <c r="M7" s="226">
        <f>SUM(I7+K7)</f>
        <v>1533344.8031910681</v>
      </c>
      <c r="N7" s="100">
        <f>M7/F7</f>
        <v>0.16392111225676398</v>
      </c>
      <c r="O7" s="233">
        <v>146453.51061722822</v>
      </c>
      <c r="P7" s="100">
        <f>O7/F7</f>
        <v>1.5656506158512336E-2</v>
      </c>
      <c r="Q7" s="233"/>
      <c r="R7" s="100">
        <f t="shared" ref="R7:R13" si="1">Q7/$F7</f>
        <v>0</v>
      </c>
      <c r="S7" s="226">
        <f t="shared" ref="S7:S13" si="2">SUM(O7+Q7)</f>
        <v>146453.51061722822</v>
      </c>
      <c r="T7" s="100">
        <f>S7/F7</f>
        <v>1.5656506158512336E-2</v>
      </c>
      <c r="U7" s="233">
        <v>1101534.6802039235</v>
      </c>
      <c r="V7" s="100">
        <f>U7/F7</f>
        <v>0.11775876475574816</v>
      </c>
      <c r="W7" s="233">
        <v>165930.70710714182</v>
      </c>
      <c r="X7" s="100">
        <f>W7/F7</f>
        <v>1.7738701699675515E-2</v>
      </c>
      <c r="Y7" s="233">
        <v>709825.82300563459</v>
      </c>
      <c r="Z7" s="100">
        <f>Y7/F7</f>
        <v>7.5883413941539676E-2</v>
      </c>
      <c r="AA7" s="233">
        <v>1171060.8737637675</v>
      </c>
      <c r="AB7" s="100">
        <f t="shared" ref="AB7:AB13" si="3">AA7/$F7</f>
        <v>0.12519141196959765</v>
      </c>
      <c r="AC7" s="226">
        <f>SUM(Y7+AA7)</f>
        <v>1880886.6967694021</v>
      </c>
      <c r="AD7" s="100">
        <f>AC7/F7</f>
        <v>0.20107482591113734</v>
      </c>
      <c r="AE7" s="233">
        <v>1565638.1587737917</v>
      </c>
      <c r="AF7" s="100">
        <f>AE7/F7</f>
        <v>0.16737340997519412</v>
      </c>
      <c r="AG7" s="233">
        <v>825448.0138871643</v>
      </c>
      <c r="AH7" s="100">
        <f>AG7/F7</f>
        <v>8.8243920261723507E-2</v>
      </c>
      <c r="AI7" s="233">
        <v>1325608.4857422551</v>
      </c>
      <c r="AJ7" s="100">
        <f>AI7/F7</f>
        <v>0.14171321215401689</v>
      </c>
      <c r="AK7" s="233">
        <v>809317.9437080255</v>
      </c>
      <c r="AL7" s="100">
        <f>AK7/F7</f>
        <v>8.6519546827228205E-2</v>
      </c>
    </row>
    <row r="8" spans="1:38" ht="14.25">
      <c r="B8" s="97"/>
      <c r="C8" s="344"/>
      <c r="D8" s="303">
        <f t="shared" ref="D8" si="4">D7+1</f>
        <v>46204</v>
      </c>
      <c r="E8" s="303" t="s">
        <v>450</v>
      </c>
      <c r="F8" s="227">
        <f>SUM(M8,S8,U8,W8,AC8,AE8,AG8,AI8,AK8)</f>
        <v>8773103</v>
      </c>
      <c r="G8" s="301">
        <f>SUM(F7:F13)</f>
        <v>60441305</v>
      </c>
      <c r="H8" s="320"/>
      <c r="I8" s="233">
        <v>585584.42961589678</v>
      </c>
      <c r="J8" s="100">
        <f>I8/F8</f>
        <v>6.6747698005585568E-2</v>
      </c>
      <c r="K8" s="233">
        <v>926345.84587430244</v>
      </c>
      <c r="L8" s="100">
        <f>K8/F8</f>
        <v>0.10558930470488063</v>
      </c>
      <c r="M8" s="226">
        <f>SUM(I8+K8)</f>
        <v>1511930.2754901992</v>
      </c>
      <c r="N8" s="100">
        <f>M8/F8</f>
        <v>0.1723370027104662</v>
      </c>
      <c r="O8" s="233">
        <v>146097.43900613018</v>
      </c>
      <c r="P8" s="100">
        <f>O8/F8</f>
        <v>1.6652880857107248E-2</v>
      </c>
      <c r="Q8" s="233"/>
      <c r="R8" s="100">
        <f t="shared" si="1"/>
        <v>0</v>
      </c>
      <c r="S8" s="226">
        <f t="shared" si="2"/>
        <v>146097.43900613018</v>
      </c>
      <c r="T8" s="100">
        <f>S8/F8</f>
        <v>1.6652880857107248E-2</v>
      </c>
      <c r="U8" s="233">
        <v>1025972.1162522637</v>
      </c>
      <c r="V8" s="100">
        <f>U8/F8</f>
        <v>0.11694518077039147</v>
      </c>
      <c r="W8" s="233">
        <v>96911.017481915012</v>
      </c>
      <c r="X8" s="100">
        <f>W8/F8</f>
        <v>1.1046378628167822E-2</v>
      </c>
      <c r="Y8" s="233">
        <v>663881.69098234957</v>
      </c>
      <c r="Z8" s="100">
        <f>Y8/F8</f>
        <v>7.5672392194910912E-2</v>
      </c>
      <c r="AA8" s="233">
        <v>1059308.1669625016</v>
      </c>
      <c r="AB8" s="100">
        <f t="shared" si="3"/>
        <v>0.12074498235829462</v>
      </c>
      <c r="AC8" s="226">
        <f>SUM(Y8+AA8)</f>
        <v>1723189.8579448513</v>
      </c>
      <c r="AD8" s="100">
        <f>AC8/F8</f>
        <v>0.19641737455320554</v>
      </c>
      <c r="AE8" s="233">
        <v>1371712.5923829239</v>
      </c>
      <c r="AF8" s="100">
        <f>AE8/F8</f>
        <v>0.15635432439160055</v>
      </c>
      <c r="AG8" s="233">
        <v>751307.60078356043</v>
      </c>
      <c r="AH8" s="100">
        <f>AG8/F8</f>
        <v>8.5637613143668828E-2</v>
      </c>
      <c r="AI8" s="233">
        <v>1390227.5683277622</v>
      </c>
      <c r="AJ8" s="100">
        <f>AI8/F8</f>
        <v>0.15846474939685107</v>
      </c>
      <c r="AK8" s="233">
        <v>755754.53233039426</v>
      </c>
      <c r="AL8" s="100">
        <f>AK8/F8</f>
        <v>8.6144495548541297E-2</v>
      </c>
    </row>
    <row r="9" spans="1:38" ht="14.25">
      <c r="B9" s="97"/>
      <c r="C9" s="97"/>
      <c r="D9" s="303">
        <f>D8+1</f>
        <v>46205</v>
      </c>
      <c r="E9" s="303" t="s">
        <v>451</v>
      </c>
      <c r="F9" s="227">
        <f t="shared" ref="F9:F49" si="5">SUM(M9,S9,U9,W9,AC9,AE9,AG9,AI9,AK9)</f>
        <v>8177093</v>
      </c>
      <c r="G9" s="86"/>
      <c r="H9" s="86"/>
      <c r="I9" s="233">
        <v>583516.75459393545</v>
      </c>
      <c r="J9" s="100">
        <f>I9/F9</f>
        <v>7.1359926393638362E-2</v>
      </c>
      <c r="K9" s="233">
        <v>753965.17891774396</v>
      </c>
      <c r="L9" s="100">
        <f>K9/F9</f>
        <v>9.2204549822014245E-2</v>
      </c>
      <c r="M9" s="226">
        <f>SUM(I9+K9)</f>
        <v>1337481.9335116795</v>
      </c>
      <c r="N9" s="100">
        <f>M9/F9</f>
        <v>0.16356447621565262</v>
      </c>
      <c r="O9" s="233">
        <v>151658.2651073616</v>
      </c>
      <c r="P9" s="100">
        <f>O9/F9</f>
        <v>1.8546721323502324E-2</v>
      </c>
      <c r="Q9" s="233"/>
      <c r="R9" s="100">
        <f t="shared" si="1"/>
        <v>0</v>
      </c>
      <c r="S9" s="226">
        <f t="shared" si="2"/>
        <v>151658.2651073616</v>
      </c>
      <c r="T9" s="100">
        <f>S9/F9</f>
        <v>1.8546721323502324E-2</v>
      </c>
      <c r="U9" s="233">
        <v>939242.68194284022</v>
      </c>
      <c r="V9" s="100">
        <f>U9/F9</f>
        <v>0.11486266353370815</v>
      </c>
      <c r="W9" s="233">
        <v>87787.734649286795</v>
      </c>
      <c r="X9" s="100">
        <f>W9/F9</f>
        <v>1.073581218279978E-2</v>
      </c>
      <c r="Y9" s="233">
        <v>629532.42747705569</v>
      </c>
      <c r="Z9" s="100">
        <f>Y9/F9</f>
        <v>7.6987314131936088E-2</v>
      </c>
      <c r="AA9" s="233">
        <v>891808.923214018</v>
      </c>
      <c r="AB9" s="100">
        <f t="shared" si="3"/>
        <v>0.10906185403712762</v>
      </c>
      <c r="AC9" s="226">
        <f>SUM(Y9+AA9)</f>
        <v>1521341.3506910736</v>
      </c>
      <c r="AD9" s="100">
        <f>AC9/F9</f>
        <v>0.18604916816906369</v>
      </c>
      <c r="AE9" s="233">
        <v>1289935.9949700984</v>
      </c>
      <c r="AF9" s="100">
        <f>AE9/F9</f>
        <v>0.15774994793016275</v>
      </c>
      <c r="AG9" s="233">
        <v>693757.87188452191</v>
      </c>
      <c r="AH9" s="100">
        <f>AG9/F9</f>
        <v>8.4841626710680906E-2</v>
      </c>
      <c r="AI9" s="233">
        <v>1418420.3842572195</v>
      </c>
      <c r="AJ9" s="100">
        <f>AI9/F9</f>
        <v>0.17346266995584123</v>
      </c>
      <c r="AK9" s="233">
        <v>737466.78298591834</v>
      </c>
      <c r="AL9" s="100">
        <f>AK9/F9</f>
        <v>9.0186913978588523E-2</v>
      </c>
    </row>
    <row r="10" spans="1:38" ht="14.25">
      <c r="B10" s="97"/>
      <c r="C10" s="97"/>
      <c r="D10" s="303">
        <f t="shared" ref="D10:D36" si="6">D9+1</f>
        <v>46206</v>
      </c>
      <c r="E10" s="303" t="s">
        <v>452</v>
      </c>
      <c r="F10" s="227">
        <f t="shared" si="5"/>
        <v>7340175.0000000019</v>
      </c>
      <c r="G10" s="301"/>
      <c r="H10" s="320"/>
      <c r="I10" s="233">
        <v>508960.73699671897</v>
      </c>
      <c r="J10" s="100">
        <f t="shared" ref="J10:J13" si="7">I10/F10</f>
        <v>6.9339046684407227E-2</v>
      </c>
      <c r="K10" s="233">
        <v>706144.43400594871</v>
      </c>
      <c r="L10" s="100">
        <f t="shared" ref="L10:L13" si="8">K10/F10</f>
        <v>9.6202670100637724E-2</v>
      </c>
      <c r="M10" s="226">
        <f t="shared" ref="M10:M13" si="9">SUM(I10+K10)</f>
        <v>1215105.1710026676</v>
      </c>
      <c r="N10" s="100">
        <f t="shared" ref="N10:N13" si="10">M10/F10</f>
        <v>0.16554171678504495</v>
      </c>
      <c r="O10" s="233">
        <v>127743.41012945845</v>
      </c>
      <c r="P10" s="100">
        <f t="shared" ref="P10:P13" si="11">O10/F10</f>
        <v>1.7403319420784713E-2</v>
      </c>
      <c r="Q10" s="233"/>
      <c r="R10" s="100">
        <f t="shared" si="1"/>
        <v>0</v>
      </c>
      <c r="S10" s="226">
        <f t="shared" si="2"/>
        <v>127743.41012945845</v>
      </c>
      <c r="T10" s="100">
        <f t="shared" ref="T10:T13" si="12">S10/F10</f>
        <v>1.7403319420784713E-2</v>
      </c>
      <c r="U10" s="233">
        <v>826297.13565416052</v>
      </c>
      <c r="V10" s="100">
        <f t="shared" ref="V10:V13" si="13">U10/F10</f>
        <v>0.11257185770831898</v>
      </c>
      <c r="W10" s="233">
        <v>70361.647362464588</v>
      </c>
      <c r="X10" s="100">
        <f t="shared" ref="X10:X13" si="14">W10/F10</f>
        <v>9.5858269540528077E-3</v>
      </c>
      <c r="Y10" s="233">
        <v>578329.2813537406</v>
      </c>
      <c r="Z10" s="100">
        <f t="shared" ref="Z10:Z13" si="15">Y10/F10</f>
        <v>7.8789576727222504E-2</v>
      </c>
      <c r="AA10" s="233">
        <v>1001879.8533767179</v>
      </c>
      <c r="AB10" s="100">
        <f t="shared" si="3"/>
        <v>0.1364926385783333</v>
      </c>
      <c r="AC10" s="226">
        <f t="shared" ref="AC10:AC13" si="16">SUM(Y10+AA10)</f>
        <v>1580209.1347304585</v>
      </c>
      <c r="AD10" s="100">
        <f t="shared" ref="AD10:AD13" si="17">AC10/F10</f>
        <v>0.2152822153055558</v>
      </c>
      <c r="AE10" s="233">
        <v>1036921.4689768384</v>
      </c>
      <c r="AF10" s="100">
        <f t="shared" ref="AF10:AF13" si="18">AE10/F10</f>
        <v>0.14126658682890234</v>
      </c>
      <c r="AG10" s="233">
        <v>494238.05408866884</v>
      </c>
      <c r="AH10" s="100">
        <f t="shared" ref="AH10:AH13" si="19">AG10/F10</f>
        <v>6.7333279395745835E-2</v>
      </c>
      <c r="AI10" s="233">
        <v>1369552.5337390371</v>
      </c>
      <c r="AJ10" s="100">
        <f t="shared" ref="AJ10:AJ13" si="20">AI10/F10</f>
        <v>0.18658309014962679</v>
      </c>
      <c r="AK10" s="233">
        <v>619746.44431624736</v>
      </c>
      <c r="AL10" s="100">
        <f t="shared" ref="AL10:AL13" si="21">AK10/F10</f>
        <v>8.4432107451967719E-2</v>
      </c>
    </row>
    <row r="11" spans="1:38" ht="14.25">
      <c r="B11" s="97"/>
      <c r="C11" s="97"/>
      <c r="D11" s="303">
        <f t="shared" si="6"/>
        <v>46207</v>
      </c>
      <c r="E11" s="303" t="s">
        <v>453</v>
      </c>
      <c r="F11" s="227">
        <f t="shared" si="5"/>
        <v>8235605.0000000009</v>
      </c>
      <c r="G11" s="301"/>
      <c r="H11" s="320"/>
      <c r="I11" s="233">
        <v>491709.37629274616</v>
      </c>
      <c r="J11" s="100">
        <f t="shared" si="7"/>
        <v>5.9705313245687001E-2</v>
      </c>
      <c r="K11" s="233">
        <v>769355.95308378921</v>
      </c>
      <c r="L11" s="100">
        <f t="shared" si="8"/>
        <v>9.3418267763423463E-2</v>
      </c>
      <c r="M11" s="226">
        <f t="shared" si="9"/>
        <v>1261065.3293765355</v>
      </c>
      <c r="N11" s="100">
        <f t="shared" si="10"/>
        <v>0.15312358100911047</v>
      </c>
      <c r="O11" s="233">
        <v>120690.00821420539</v>
      </c>
      <c r="P11" s="100">
        <f t="shared" si="11"/>
        <v>1.465466206966038E-2</v>
      </c>
      <c r="Q11" s="233"/>
      <c r="R11" s="100">
        <f t="shared" si="1"/>
        <v>0</v>
      </c>
      <c r="S11" s="226">
        <f t="shared" si="2"/>
        <v>120690.00821420539</v>
      </c>
      <c r="T11" s="100">
        <f t="shared" si="12"/>
        <v>1.465466206966038E-2</v>
      </c>
      <c r="U11" s="233">
        <v>958663.41789055907</v>
      </c>
      <c r="V11" s="100">
        <f t="shared" si="13"/>
        <v>0.11640473503653453</v>
      </c>
      <c r="W11" s="233">
        <v>83652.631142877683</v>
      </c>
      <c r="X11" s="100">
        <f t="shared" si="14"/>
        <v>1.015743605270987E-2</v>
      </c>
      <c r="Y11" s="233">
        <v>622852.91404661397</v>
      </c>
      <c r="Z11" s="100">
        <f t="shared" si="15"/>
        <v>7.5629284557311077E-2</v>
      </c>
      <c r="AA11" s="233">
        <v>1112946.2092717658</v>
      </c>
      <c r="AB11" s="100">
        <f t="shared" si="3"/>
        <v>0.13513836679536786</v>
      </c>
      <c r="AC11" s="226">
        <f t="shared" si="16"/>
        <v>1735799.1233183797</v>
      </c>
      <c r="AD11" s="100">
        <f t="shared" si="17"/>
        <v>0.21076765135267894</v>
      </c>
      <c r="AE11" s="233">
        <v>1251259.8619690391</v>
      </c>
      <c r="AF11" s="100">
        <f t="shared" si="18"/>
        <v>0.15193296205549428</v>
      </c>
      <c r="AG11" s="233">
        <v>612357.97741454386</v>
      </c>
      <c r="AH11" s="100">
        <f t="shared" si="19"/>
        <v>7.4354947501069288E-2</v>
      </c>
      <c r="AI11" s="233">
        <v>1498514.6877517467</v>
      </c>
      <c r="AJ11" s="100">
        <f t="shared" si="20"/>
        <v>0.18195562897343262</v>
      </c>
      <c r="AK11" s="233">
        <v>713601.96292211383</v>
      </c>
      <c r="AL11" s="100">
        <f t="shared" si="21"/>
        <v>8.6648395949309578E-2</v>
      </c>
    </row>
    <row r="12" spans="1:38" ht="14.25">
      <c r="B12" s="97"/>
      <c r="C12" s="97"/>
      <c r="D12" s="303">
        <f t="shared" si="6"/>
        <v>46208</v>
      </c>
      <c r="E12" s="303" t="s">
        <v>454</v>
      </c>
      <c r="F12" s="227">
        <f t="shared" si="5"/>
        <v>9197910.9999999981</v>
      </c>
      <c r="G12" s="86"/>
      <c r="H12" s="320">
        <f>SUM(F8:F38)</f>
        <v>231728762</v>
      </c>
      <c r="I12" s="233">
        <v>591935.94768714695</v>
      </c>
      <c r="J12" s="100">
        <f t="shared" si="7"/>
        <v>6.4355476769360681E-2</v>
      </c>
      <c r="K12" s="233">
        <v>837978.25855275511</v>
      </c>
      <c r="L12" s="100">
        <f t="shared" si="8"/>
        <v>9.1105280161196955E-2</v>
      </c>
      <c r="M12" s="226">
        <f t="shared" si="9"/>
        <v>1429914.2062399019</v>
      </c>
      <c r="N12" s="100">
        <f t="shared" si="10"/>
        <v>0.15546075693055764</v>
      </c>
      <c r="O12" s="233">
        <v>151296.47443472664</v>
      </c>
      <c r="P12" s="100">
        <f t="shared" si="11"/>
        <v>1.6449003956955734E-2</v>
      </c>
      <c r="Q12" s="233"/>
      <c r="R12" s="100">
        <f t="shared" si="1"/>
        <v>0</v>
      </c>
      <c r="S12" s="226">
        <f t="shared" si="2"/>
        <v>151296.47443472664</v>
      </c>
      <c r="T12" s="100">
        <f t="shared" si="12"/>
        <v>1.6449003956955734E-2</v>
      </c>
      <c r="U12" s="233">
        <v>1148487.6621608727</v>
      </c>
      <c r="V12" s="100">
        <f t="shared" si="13"/>
        <v>0.12486396771624263</v>
      </c>
      <c r="W12" s="233">
        <v>101793.53539343341</v>
      </c>
      <c r="X12" s="100">
        <f t="shared" si="14"/>
        <v>1.1067027653717615E-2</v>
      </c>
      <c r="Y12" s="233">
        <v>692994.87374021951</v>
      </c>
      <c r="Z12" s="100">
        <f t="shared" si="15"/>
        <v>7.5342637446722371E-2</v>
      </c>
      <c r="AA12" s="233">
        <v>1151325.314585139</v>
      </c>
      <c r="AB12" s="100">
        <f t="shared" si="3"/>
        <v>0.12517247824915237</v>
      </c>
      <c r="AC12" s="226">
        <f t="shared" si="16"/>
        <v>1844320.1883253586</v>
      </c>
      <c r="AD12" s="100">
        <f t="shared" si="17"/>
        <v>0.20051511569587474</v>
      </c>
      <c r="AE12" s="233">
        <v>1472859.1378432019</v>
      </c>
      <c r="AF12" s="100">
        <f t="shared" si="18"/>
        <v>0.160129744443407</v>
      </c>
      <c r="AG12" s="233">
        <v>753930.77863731177</v>
      </c>
      <c r="AH12" s="100">
        <f t="shared" si="19"/>
        <v>8.196760967107769E-2</v>
      </c>
      <c r="AI12" s="233">
        <v>1530383.6661354483</v>
      </c>
      <c r="AJ12" s="100">
        <f t="shared" si="20"/>
        <v>0.16638383064757298</v>
      </c>
      <c r="AK12" s="233">
        <v>764925.35082974331</v>
      </c>
      <c r="AL12" s="100">
        <f t="shared" si="21"/>
        <v>8.3162943284594018E-2</v>
      </c>
    </row>
    <row r="13" spans="1:38" ht="14.25">
      <c r="B13" s="97"/>
      <c r="C13" s="97"/>
      <c r="D13" s="303">
        <f t="shared" si="6"/>
        <v>46209</v>
      </c>
      <c r="E13" s="303" t="s">
        <v>448</v>
      </c>
      <c r="F13" s="227">
        <f t="shared" si="5"/>
        <v>9363255.0000000019</v>
      </c>
      <c r="G13" s="301"/>
      <c r="H13" s="320"/>
      <c r="I13" s="233">
        <v>582448.09302761115</v>
      </c>
      <c r="J13" s="100">
        <f t="shared" si="7"/>
        <v>6.2205727925556981E-2</v>
      </c>
      <c r="K13" s="233">
        <v>893437.27323763352</v>
      </c>
      <c r="L13" s="100">
        <f t="shared" si="8"/>
        <v>9.5419517383392133E-2</v>
      </c>
      <c r="M13" s="226">
        <f t="shared" si="9"/>
        <v>1475885.3662652448</v>
      </c>
      <c r="N13" s="100">
        <f t="shared" si="10"/>
        <v>0.15762524530894914</v>
      </c>
      <c r="O13" s="233">
        <v>148647.21910499199</v>
      </c>
      <c r="P13" s="100">
        <f t="shared" si="11"/>
        <v>1.5875592313249181E-2</v>
      </c>
      <c r="Q13" s="233"/>
      <c r="R13" s="100">
        <f t="shared" si="1"/>
        <v>0</v>
      </c>
      <c r="S13" s="226">
        <f t="shared" si="2"/>
        <v>148647.21910499199</v>
      </c>
      <c r="T13" s="100">
        <f t="shared" si="12"/>
        <v>1.5875592313249181E-2</v>
      </c>
      <c r="U13" s="233">
        <v>1140636.5179330294</v>
      </c>
      <c r="V13" s="100">
        <f t="shared" si="13"/>
        <v>0.12182051198360284</v>
      </c>
      <c r="W13" s="233">
        <v>73225.825749815558</v>
      </c>
      <c r="X13" s="100">
        <f t="shared" si="14"/>
        <v>7.8205523346117928E-3</v>
      </c>
      <c r="Y13" s="233">
        <v>712903.77454314241</v>
      </c>
      <c r="Z13" s="100">
        <f t="shared" si="15"/>
        <v>7.6138455541704494E-2</v>
      </c>
      <c r="AA13" s="233">
        <v>1373132.3787987232</v>
      </c>
      <c r="AB13" s="100">
        <f t="shared" si="3"/>
        <v>0.14665117833474822</v>
      </c>
      <c r="AC13" s="226">
        <f t="shared" si="16"/>
        <v>2086036.1533418656</v>
      </c>
      <c r="AD13" s="100">
        <f t="shared" si="17"/>
        <v>0.2227896338764527</v>
      </c>
      <c r="AE13" s="233">
        <v>1372438.1182091087</v>
      </c>
      <c r="AF13" s="100">
        <f t="shared" si="18"/>
        <v>0.14657703098005004</v>
      </c>
      <c r="AG13" s="233">
        <v>753905.54598887404</v>
      </c>
      <c r="AH13" s="100">
        <f t="shared" si="19"/>
        <v>8.0517463850858909E-2</v>
      </c>
      <c r="AI13" s="233">
        <v>1504926.4148673564</v>
      </c>
      <c r="AJ13" s="100">
        <f t="shared" si="20"/>
        <v>0.16072684284122948</v>
      </c>
      <c r="AK13" s="233">
        <v>807553.83853971539</v>
      </c>
      <c r="AL13" s="100">
        <f t="shared" si="21"/>
        <v>8.6247126510995933E-2</v>
      </c>
    </row>
    <row r="14" spans="1:38" ht="14.25">
      <c r="B14" s="97"/>
      <c r="C14" s="97"/>
      <c r="D14" s="359">
        <f t="shared" si="6"/>
        <v>46210</v>
      </c>
      <c r="E14" s="359" t="s">
        <v>449</v>
      </c>
      <c r="F14" s="227">
        <f t="shared" si="5"/>
        <v>10402844</v>
      </c>
      <c r="G14" s="301">
        <f>SUM(F14:F20)</f>
        <v>63567549</v>
      </c>
      <c r="H14" s="320"/>
      <c r="I14" s="233">
        <v>593435.70048782288</v>
      </c>
      <c r="J14" s="100">
        <f>I14/F14</f>
        <v>5.7045525289797949E-2</v>
      </c>
      <c r="K14" s="233">
        <v>890030.63788666192</v>
      </c>
      <c r="L14" s="100">
        <f>K14/F14</f>
        <v>8.5556472622934837E-2</v>
      </c>
      <c r="M14" s="226">
        <f>SUM(I14+K14)</f>
        <v>1483466.3383744848</v>
      </c>
      <c r="N14" s="100">
        <f>M14/F14</f>
        <v>0.14260199791273279</v>
      </c>
      <c r="O14" s="233">
        <v>149791.71293863017</v>
      </c>
      <c r="P14" s="100">
        <f>O14/F14</f>
        <v>1.4399111717779307E-2</v>
      </c>
      <c r="Q14" s="233"/>
      <c r="R14" s="100">
        <f t="shared" ref="R14" si="22">Q14/$F14</f>
        <v>0</v>
      </c>
      <c r="S14" s="226">
        <f t="shared" ref="S14" si="23">SUM(O14+Q14)</f>
        <v>149791.71293863017</v>
      </c>
      <c r="T14" s="100">
        <f>S14/F14</f>
        <v>1.4399111717779307E-2</v>
      </c>
      <c r="U14" s="233">
        <v>1092598.0643558234</v>
      </c>
      <c r="V14" s="100">
        <f>U14/F14</f>
        <v>0.10502878485497076</v>
      </c>
      <c r="W14" s="233">
        <v>361990.6171817038</v>
      </c>
      <c r="X14" s="100">
        <f>W14/F14</f>
        <v>3.4797274397434373E-2</v>
      </c>
      <c r="Y14" s="233">
        <v>683930.25773931446</v>
      </c>
      <c r="Z14" s="100">
        <f t="shared" ref="Z14:Z16" si="24">Y14/F14</f>
        <v>6.5744546177883126E-2</v>
      </c>
      <c r="AA14" s="233">
        <v>1289176.9729509109</v>
      </c>
      <c r="AB14" s="100">
        <f t="shared" ref="AB14:AB40" si="25">AA14/$F14</f>
        <v>0.12392543548196155</v>
      </c>
      <c r="AC14" s="226">
        <f t="shared" ref="AC14:AC16" si="26">SUM(Y14+AA14)</f>
        <v>1973107.2306902255</v>
      </c>
      <c r="AD14" s="100">
        <f t="shared" ref="AD14:AD16" si="27">AC14/F14</f>
        <v>0.18966998165984469</v>
      </c>
      <c r="AE14" s="233">
        <v>1889345.1261558936</v>
      </c>
      <c r="AF14" s="100">
        <f t="shared" ref="AF14:AF16" si="28">AE14/F14</f>
        <v>0.18161813501729848</v>
      </c>
      <c r="AG14" s="233">
        <v>696363.10899947793</v>
      </c>
      <c r="AH14" s="100">
        <f t="shared" ref="AH14:AH16" si="29">AG14/F14</f>
        <v>6.6939685820481196E-2</v>
      </c>
      <c r="AI14" s="233">
        <v>1944634.5695282936</v>
      </c>
      <c r="AJ14" s="100">
        <f t="shared" ref="AJ14:AJ16" si="30">AI14/F14</f>
        <v>0.1869329742451481</v>
      </c>
      <c r="AK14" s="233">
        <v>811547.23177546856</v>
      </c>
      <c r="AL14" s="100">
        <f>AK14/F14</f>
        <v>7.8012054374310386E-2</v>
      </c>
    </row>
    <row r="15" spans="1:38" ht="14.25">
      <c r="B15" s="97"/>
      <c r="C15" s="97"/>
      <c r="D15" s="359">
        <f t="shared" si="6"/>
        <v>46211</v>
      </c>
      <c r="E15" s="359" t="s">
        <v>450</v>
      </c>
      <c r="F15" s="227">
        <f t="shared" si="5"/>
        <v>9579033</v>
      </c>
      <c r="G15" s="86"/>
      <c r="H15" s="320"/>
      <c r="I15" s="233">
        <v>582733.77809664526</v>
      </c>
      <c r="J15" s="100">
        <f t="shared" ref="J15" si="31">I15/F15</f>
        <v>6.0834301134221509E-2</v>
      </c>
      <c r="K15" s="233">
        <v>864415.42938986351</v>
      </c>
      <c r="L15" s="100">
        <f t="shared" ref="L15" si="32">K15/F15</f>
        <v>9.0240364490848241E-2</v>
      </c>
      <c r="M15" s="226">
        <f t="shared" ref="M15" si="33">SUM(I15+K15)</f>
        <v>1447149.2074865089</v>
      </c>
      <c r="N15" s="100">
        <f t="shared" ref="N15" si="34">M15/F15</f>
        <v>0.15107466562506977</v>
      </c>
      <c r="O15" s="233">
        <v>149764.5778171019</v>
      </c>
      <c r="P15" s="100">
        <f t="shared" ref="P15" si="35">O15/F15</f>
        <v>1.563462385160401E-2</v>
      </c>
      <c r="Q15" s="233"/>
      <c r="R15" s="100">
        <f t="shared" ref="R15" si="36">Q15/$F15</f>
        <v>0</v>
      </c>
      <c r="S15" s="226">
        <f t="shared" ref="S15" si="37">SUM(O15+Q15)</f>
        <v>149764.5778171019</v>
      </c>
      <c r="T15" s="100">
        <f t="shared" ref="T15" si="38">S15/F15</f>
        <v>1.563462385160401E-2</v>
      </c>
      <c r="U15" s="233">
        <v>967320.14298209187</v>
      </c>
      <c r="V15" s="100">
        <f t="shared" ref="V15" si="39">U15/F15</f>
        <v>0.10098306822641616</v>
      </c>
      <c r="W15" s="233">
        <v>228848.56735720762</v>
      </c>
      <c r="X15" s="100">
        <f t="shared" ref="X15" si="40">W15/F15</f>
        <v>2.389057093312108E-2</v>
      </c>
      <c r="Y15" s="233">
        <v>662393.12244186283</v>
      </c>
      <c r="Z15" s="100">
        <f t="shared" si="24"/>
        <v>6.9150312191414612E-2</v>
      </c>
      <c r="AA15" s="233">
        <v>1264015.5589059058</v>
      </c>
      <c r="AB15" s="100">
        <f t="shared" si="25"/>
        <v>0.13195648860442447</v>
      </c>
      <c r="AC15" s="226">
        <f t="shared" si="26"/>
        <v>1926408.6813477688</v>
      </c>
      <c r="AD15" s="100">
        <f t="shared" si="27"/>
        <v>0.20110680079583906</v>
      </c>
      <c r="AE15" s="233">
        <v>1621356.8014223243</v>
      </c>
      <c r="AF15" s="100">
        <f t="shared" si="28"/>
        <v>0.16926101010637756</v>
      </c>
      <c r="AG15" s="233">
        <v>660044.55620983161</v>
      </c>
      <c r="AH15" s="100">
        <f t="shared" si="29"/>
        <v>6.8905134391940362E-2</v>
      </c>
      <c r="AI15" s="233">
        <v>1768129.0261812811</v>
      </c>
      <c r="AJ15" s="100">
        <f t="shared" si="30"/>
        <v>0.18458324824450245</v>
      </c>
      <c r="AK15" s="233">
        <v>810011.43919588416</v>
      </c>
      <c r="AL15" s="100">
        <f t="shared" ref="AL15" si="41">AK15/F15</f>
        <v>8.4560877825129541E-2</v>
      </c>
    </row>
    <row r="16" spans="1:38" ht="14.25">
      <c r="B16" s="97"/>
      <c r="C16" s="97"/>
      <c r="D16" s="359">
        <f t="shared" si="6"/>
        <v>46212</v>
      </c>
      <c r="E16" s="359" t="s">
        <v>451</v>
      </c>
      <c r="F16" s="227">
        <f t="shared" si="5"/>
        <v>9159432.9999999981</v>
      </c>
      <c r="G16" s="301"/>
      <c r="H16" s="320"/>
      <c r="I16" s="233">
        <v>550579.74823349749</v>
      </c>
      <c r="J16" s="100">
        <f t="shared" ref="J16:J41" si="42">I16/F16</f>
        <v>6.0110680238994879E-2</v>
      </c>
      <c r="K16" s="233">
        <v>785786.1821564947</v>
      </c>
      <c r="L16" s="100">
        <f t="shared" ref="L16:L41" si="43">K16/F16</f>
        <v>8.5789828055567938E-2</v>
      </c>
      <c r="M16" s="226">
        <f t="shared" ref="M16:M41" si="44">SUM(I16+K16)</f>
        <v>1336365.9303899922</v>
      </c>
      <c r="N16" s="100">
        <f t="shared" ref="N16:N41" si="45">M16/F16</f>
        <v>0.14590050829456283</v>
      </c>
      <c r="O16" s="233">
        <v>146784.7754105787</v>
      </c>
      <c r="P16" s="100">
        <f t="shared" ref="P16:P41" si="46">O16/F16</f>
        <v>1.6025530773638361E-2</v>
      </c>
      <c r="Q16" s="233"/>
      <c r="R16" s="100">
        <f t="shared" ref="R16:R49" si="47">Q16/$F16</f>
        <v>0</v>
      </c>
      <c r="S16" s="226">
        <f t="shared" ref="S16:S49" si="48">SUM(O16+Q16)</f>
        <v>146784.7754105787</v>
      </c>
      <c r="T16" s="100">
        <f t="shared" ref="T16:T41" si="49">S16/F16</f>
        <v>1.6025530773638361E-2</v>
      </c>
      <c r="U16" s="233">
        <v>861554.53067437897</v>
      </c>
      <c r="V16" s="100">
        <f t="shared" ref="V16:V41" si="50">U16/F16</f>
        <v>9.4061993867347371E-2</v>
      </c>
      <c r="W16" s="233">
        <v>217569.64678007667</v>
      </c>
      <c r="X16" s="100">
        <f t="shared" ref="X16:X41" si="51">W16/F16</f>
        <v>2.3753615183393636E-2</v>
      </c>
      <c r="Y16" s="233">
        <v>678881.24339512328</v>
      </c>
      <c r="Z16" s="100">
        <f t="shared" si="24"/>
        <v>7.4118260747703862E-2</v>
      </c>
      <c r="AA16" s="233">
        <v>1073459.6872806721</v>
      </c>
      <c r="AB16" s="100">
        <f t="shared" si="25"/>
        <v>0.11719717664626973</v>
      </c>
      <c r="AC16" s="226">
        <f t="shared" si="26"/>
        <v>1752340.9306757953</v>
      </c>
      <c r="AD16" s="100">
        <f t="shared" si="27"/>
        <v>0.19131543739397358</v>
      </c>
      <c r="AE16" s="233">
        <v>1585947.8064551698</v>
      </c>
      <c r="AF16" s="100">
        <f t="shared" si="28"/>
        <v>0.17314912467345633</v>
      </c>
      <c r="AG16" s="233">
        <v>741403.81812177482</v>
      </c>
      <c r="AH16" s="100">
        <f t="shared" si="29"/>
        <v>8.0944291870662183E-2</v>
      </c>
      <c r="AI16" s="233">
        <v>1652100.4833349623</v>
      </c>
      <c r="AJ16" s="100">
        <f t="shared" si="30"/>
        <v>0.18037147969038722</v>
      </c>
      <c r="AK16" s="233">
        <v>865365.07815726975</v>
      </c>
      <c r="AL16" s="100">
        <f t="shared" ref="AL16:AL41" si="52">AK16/F16</f>
        <v>9.4478018252578511E-2</v>
      </c>
    </row>
    <row r="17" spans="2:38" ht="14.25">
      <c r="B17" s="97"/>
      <c r="C17" s="97"/>
      <c r="D17" s="359">
        <f t="shared" si="6"/>
        <v>46213</v>
      </c>
      <c r="E17" s="359" t="s">
        <v>452</v>
      </c>
      <c r="F17" s="227">
        <f t="shared" si="5"/>
        <v>7382110.0000000009</v>
      </c>
      <c r="G17" s="301"/>
      <c r="H17" s="320"/>
      <c r="I17" s="233">
        <v>460120.37470327743</v>
      </c>
      <c r="J17" s="100">
        <f t="shared" si="42"/>
        <v>6.2329113858135055E-2</v>
      </c>
      <c r="K17" s="233">
        <v>709347.80375919805</v>
      </c>
      <c r="L17" s="100">
        <f t="shared" si="43"/>
        <v>9.6090115666008488E-2</v>
      </c>
      <c r="M17" s="226">
        <f t="shared" si="44"/>
        <v>1169468.1784624755</v>
      </c>
      <c r="N17" s="100">
        <f t="shared" si="45"/>
        <v>0.15841922952414356</v>
      </c>
      <c r="O17" s="233">
        <v>121775.96238517684</v>
      </c>
      <c r="P17" s="100">
        <f t="shared" si="46"/>
        <v>1.6496091549052617E-2</v>
      </c>
      <c r="Q17" s="233"/>
      <c r="R17" s="100">
        <f t="shared" si="47"/>
        <v>0</v>
      </c>
      <c r="S17" s="226">
        <f t="shared" si="48"/>
        <v>121775.96238517684</v>
      </c>
      <c r="T17" s="100">
        <f t="shared" si="49"/>
        <v>1.6496091549052617E-2</v>
      </c>
      <c r="U17" s="233">
        <v>741304.915089724</v>
      </c>
      <c r="V17" s="100">
        <f t="shared" si="50"/>
        <v>0.10041910986015162</v>
      </c>
      <c r="W17" s="233">
        <v>88855.565844303273</v>
      </c>
      <c r="X17" s="100">
        <f t="shared" si="51"/>
        <v>1.2036608211514494E-2</v>
      </c>
      <c r="Y17" s="233">
        <v>575865.51287561574</v>
      </c>
      <c r="Z17" s="100">
        <f>Y17/F17</f>
        <v>7.8008254127290927E-2</v>
      </c>
      <c r="AA17" s="233">
        <v>956824.02816447383</v>
      </c>
      <c r="AB17" s="100">
        <f t="shared" si="25"/>
        <v>0.12961389469467047</v>
      </c>
      <c r="AC17" s="226">
        <f>SUM(Y17+AA17)</f>
        <v>1532689.5410400894</v>
      </c>
      <c r="AD17" s="100">
        <f>AC17/F17</f>
        <v>0.20762214882196137</v>
      </c>
      <c r="AE17" s="233">
        <v>1241395.8867611194</v>
      </c>
      <c r="AF17" s="100">
        <f>AE17/F17</f>
        <v>0.16816274571377549</v>
      </c>
      <c r="AG17" s="233">
        <v>517502.5975592655</v>
      </c>
      <c r="AH17" s="100">
        <f>AG17/F17</f>
        <v>7.0102260405123393E-2</v>
      </c>
      <c r="AI17" s="233">
        <v>1355671.5642993473</v>
      </c>
      <c r="AJ17" s="100">
        <f>AI17/F17</f>
        <v>0.18364282898782966</v>
      </c>
      <c r="AK17" s="233">
        <v>613445.78855849872</v>
      </c>
      <c r="AL17" s="100">
        <f t="shared" si="52"/>
        <v>8.3098976926447674E-2</v>
      </c>
    </row>
    <row r="18" spans="2:38" ht="14.25">
      <c r="B18" s="97"/>
      <c r="C18" s="97"/>
      <c r="D18" s="359">
        <f t="shared" si="6"/>
        <v>46214</v>
      </c>
      <c r="E18" s="359" t="s">
        <v>453</v>
      </c>
      <c r="F18" s="227">
        <f t="shared" si="5"/>
        <v>7919115.9999999991</v>
      </c>
      <c r="G18" s="301"/>
      <c r="H18" s="320"/>
      <c r="I18" s="233">
        <v>433945.26943084964</v>
      </c>
      <c r="J18" s="100">
        <f t="shared" si="42"/>
        <v>5.4797185624108763E-2</v>
      </c>
      <c r="K18" s="233">
        <v>777548.25652039552</v>
      </c>
      <c r="L18" s="100">
        <f t="shared" si="43"/>
        <v>9.818624408587974E-2</v>
      </c>
      <c r="M18" s="226">
        <f t="shared" si="44"/>
        <v>1211493.5259512451</v>
      </c>
      <c r="N18" s="100">
        <f t="shared" si="45"/>
        <v>0.15298342970998849</v>
      </c>
      <c r="O18" s="233">
        <v>114353.47422782145</v>
      </c>
      <c r="P18" s="100">
        <f t="shared" si="46"/>
        <v>1.4440181735918689E-2</v>
      </c>
      <c r="Q18" s="233"/>
      <c r="R18" s="100">
        <f t="shared" si="47"/>
        <v>0</v>
      </c>
      <c r="S18" s="226">
        <f t="shared" si="48"/>
        <v>114353.47422782145</v>
      </c>
      <c r="T18" s="100">
        <f t="shared" si="49"/>
        <v>1.4440181735918689E-2</v>
      </c>
      <c r="U18" s="233">
        <v>737706.68274423678</v>
      </c>
      <c r="V18" s="100">
        <f t="shared" si="50"/>
        <v>9.3155180798492776E-2</v>
      </c>
      <c r="W18" s="233">
        <v>123313.17795524096</v>
      </c>
      <c r="X18" s="100">
        <f t="shared" si="51"/>
        <v>1.5571583741826862E-2</v>
      </c>
      <c r="Y18" s="233">
        <v>624159.75062784611</v>
      </c>
      <c r="Z18" s="100">
        <f t="shared" ref="Z18:Z40" si="53">Y18/F18</f>
        <v>7.881684655558098E-2</v>
      </c>
      <c r="AA18" s="233">
        <v>1033867.7100433664</v>
      </c>
      <c r="AB18" s="100">
        <f t="shared" si="25"/>
        <v>0.13055342415029234</v>
      </c>
      <c r="AC18" s="226">
        <f t="shared" ref="AC18:AC40" si="54">SUM(Y18+AA18)</f>
        <v>1658027.4606712125</v>
      </c>
      <c r="AD18" s="100">
        <f t="shared" ref="AD18:AD40" si="55">AC18/F18</f>
        <v>0.20937027070587333</v>
      </c>
      <c r="AE18" s="233">
        <v>1389337.108606677</v>
      </c>
      <c r="AF18" s="100">
        <f t="shared" ref="AF18:AF40" si="56">AE18/F18</f>
        <v>0.1754409341404618</v>
      </c>
      <c r="AG18" s="233">
        <v>592446.51708945131</v>
      </c>
      <c r="AH18" s="100">
        <f t="shared" ref="AH18:AH40" si="57">AG18/F18</f>
        <v>7.4812203418847686E-2</v>
      </c>
      <c r="AI18" s="233">
        <v>1475253.4684766049</v>
      </c>
      <c r="AJ18" s="100">
        <f t="shared" ref="AJ18:AJ40" si="58">AI18/F18</f>
        <v>0.18629017032666337</v>
      </c>
      <c r="AK18" s="233">
        <v>617184.58427750913</v>
      </c>
      <c r="AL18" s="100">
        <f t="shared" si="52"/>
        <v>7.7936045421927044E-2</v>
      </c>
    </row>
    <row r="19" spans="2:38" ht="14.25">
      <c r="B19" s="97"/>
      <c r="C19" s="97"/>
      <c r="D19" s="359">
        <f t="shared" si="6"/>
        <v>46215</v>
      </c>
      <c r="E19" s="359" t="s">
        <v>454</v>
      </c>
      <c r="F19" s="227">
        <f t="shared" si="5"/>
        <v>9570480.0000000019</v>
      </c>
      <c r="G19" s="86"/>
      <c r="H19" s="320"/>
      <c r="I19" s="233">
        <v>545372.16554682481</v>
      </c>
      <c r="J19" s="100">
        <f t="shared" si="42"/>
        <v>5.6984828926743974E-2</v>
      </c>
      <c r="K19" s="233">
        <v>839966.67570262647</v>
      </c>
      <c r="L19" s="100">
        <f t="shared" si="43"/>
        <v>8.7766410431099201E-2</v>
      </c>
      <c r="M19" s="226">
        <f t="shared" si="44"/>
        <v>1385338.8412494513</v>
      </c>
      <c r="N19" s="100">
        <f t="shared" si="45"/>
        <v>0.14475123935784318</v>
      </c>
      <c r="O19" s="233">
        <v>149015.16618424005</v>
      </c>
      <c r="P19" s="100">
        <f t="shared" si="46"/>
        <v>1.5570291791450379E-2</v>
      </c>
      <c r="Q19" s="233"/>
      <c r="R19" s="100">
        <f t="shared" si="47"/>
        <v>0</v>
      </c>
      <c r="S19" s="226">
        <f t="shared" si="48"/>
        <v>149015.16618424005</v>
      </c>
      <c r="T19" s="100">
        <f t="shared" si="49"/>
        <v>1.5570291791450379E-2</v>
      </c>
      <c r="U19" s="233">
        <v>922765.73598708352</v>
      </c>
      <c r="V19" s="100">
        <f t="shared" si="50"/>
        <v>9.641791592345246E-2</v>
      </c>
      <c r="W19" s="233">
        <v>230490.71066262186</v>
      </c>
      <c r="X19" s="100">
        <f t="shared" si="51"/>
        <v>2.4083505807715164E-2</v>
      </c>
      <c r="Y19" s="233">
        <v>730263.04857716442</v>
      </c>
      <c r="Z19" s="100">
        <f t="shared" si="53"/>
        <v>7.6303701442055602E-2</v>
      </c>
      <c r="AA19" s="233">
        <v>1217728.9692276546</v>
      </c>
      <c r="AB19" s="100">
        <f t="shared" si="25"/>
        <v>0.12723802455338232</v>
      </c>
      <c r="AC19" s="226">
        <f t="shared" si="54"/>
        <v>1947992.0178048192</v>
      </c>
      <c r="AD19" s="100">
        <f t="shared" si="55"/>
        <v>0.20354172599543793</v>
      </c>
      <c r="AE19" s="233">
        <v>1830222.0764042917</v>
      </c>
      <c r="AF19" s="100">
        <f t="shared" si="56"/>
        <v>0.19123618422527305</v>
      </c>
      <c r="AG19" s="233">
        <v>757703.59927125962</v>
      </c>
      <c r="AH19" s="100">
        <f t="shared" si="57"/>
        <v>7.9170908801988973E-2</v>
      </c>
      <c r="AI19" s="233">
        <v>1633188.0416451087</v>
      </c>
      <c r="AJ19" s="100">
        <f t="shared" si="58"/>
        <v>0.17064849847082994</v>
      </c>
      <c r="AK19" s="233">
        <v>713763.81079112482</v>
      </c>
      <c r="AL19" s="100">
        <f t="shared" si="52"/>
        <v>7.4579729626008798E-2</v>
      </c>
    </row>
    <row r="20" spans="2:38" ht="14.25">
      <c r="B20" s="97"/>
      <c r="C20" s="97"/>
      <c r="D20" s="359">
        <f t="shared" si="6"/>
        <v>46216</v>
      </c>
      <c r="E20" s="359" t="s">
        <v>448</v>
      </c>
      <c r="F20" s="227">
        <f t="shared" si="5"/>
        <v>9554532.9999999981</v>
      </c>
      <c r="G20" s="301"/>
      <c r="H20" s="320"/>
      <c r="I20" s="233">
        <v>529486.82853469776</v>
      </c>
      <c r="J20" s="100">
        <f t="shared" si="42"/>
        <v>5.5417342588559571E-2</v>
      </c>
      <c r="K20" s="233">
        <v>814268.37489838747</v>
      </c>
      <c r="L20" s="100">
        <f t="shared" si="43"/>
        <v>8.5223252135754587E-2</v>
      </c>
      <c r="M20" s="226">
        <f t="shared" si="44"/>
        <v>1343755.2034330852</v>
      </c>
      <c r="N20" s="100">
        <f t="shared" si="45"/>
        <v>0.14064059472431414</v>
      </c>
      <c r="O20" s="233">
        <v>143809.30040624976</v>
      </c>
      <c r="P20" s="100">
        <f t="shared" si="46"/>
        <v>1.5051421184714081E-2</v>
      </c>
      <c r="Q20" s="233"/>
      <c r="R20" s="100">
        <f t="shared" si="47"/>
        <v>0</v>
      </c>
      <c r="S20" s="226">
        <f t="shared" si="48"/>
        <v>143809.30040624976</v>
      </c>
      <c r="T20" s="100">
        <f t="shared" si="49"/>
        <v>1.5051421184714081E-2</v>
      </c>
      <c r="U20" s="233">
        <v>962800.34548285371</v>
      </c>
      <c r="V20" s="100">
        <f t="shared" si="50"/>
        <v>0.10076895914042622</v>
      </c>
      <c r="W20" s="233">
        <v>199074.13781873908</v>
      </c>
      <c r="X20" s="100">
        <f t="shared" si="51"/>
        <v>2.0835569652513538E-2</v>
      </c>
      <c r="Y20" s="233">
        <v>763056.30103227613</v>
      </c>
      <c r="Z20" s="100">
        <f t="shared" si="53"/>
        <v>7.9863275476915116E-2</v>
      </c>
      <c r="AA20" s="233">
        <v>1498349.1614457651</v>
      </c>
      <c r="AB20" s="100">
        <f t="shared" si="25"/>
        <v>0.1568207636569747</v>
      </c>
      <c r="AC20" s="226">
        <f t="shared" si="54"/>
        <v>2261405.4624780412</v>
      </c>
      <c r="AD20" s="100">
        <f t="shared" si="55"/>
        <v>0.2366840391338898</v>
      </c>
      <c r="AE20" s="233">
        <v>1661603.042496783</v>
      </c>
      <c r="AF20" s="100">
        <f t="shared" si="56"/>
        <v>0.17390730059719123</v>
      </c>
      <c r="AG20" s="233">
        <v>759555.40390051366</v>
      </c>
      <c r="AH20" s="100">
        <f t="shared" si="57"/>
        <v>7.9496863310903193E-2</v>
      </c>
      <c r="AI20" s="233">
        <v>1428891.9112743149</v>
      </c>
      <c r="AJ20" s="100">
        <f t="shared" si="58"/>
        <v>0.14955120373484659</v>
      </c>
      <c r="AK20" s="233">
        <v>793638.19270941883</v>
      </c>
      <c r="AL20" s="100">
        <f t="shared" si="52"/>
        <v>8.3064048521201292E-2</v>
      </c>
    </row>
    <row r="21" spans="2:38" ht="14.25">
      <c r="B21" s="97"/>
      <c r="C21" s="97"/>
      <c r="D21" s="303">
        <f t="shared" si="6"/>
        <v>46217</v>
      </c>
      <c r="E21" s="303" t="s">
        <v>449</v>
      </c>
      <c r="F21" s="227">
        <f t="shared" si="5"/>
        <v>9083724</v>
      </c>
      <c r="G21" s="301">
        <f>SUM(F21:F27)</f>
        <v>57494640</v>
      </c>
      <c r="H21" s="320"/>
      <c r="I21" s="233">
        <v>628164.52484462806</v>
      </c>
      <c r="J21" s="100">
        <f t="shared" si="42"/>
        <v>6.9152753303009656E-2</v>
      </c>
      <c r="K21" s="233">
        <v>792676.28181261639</v>
      </c>
      <c r="L21" s="100">
        <f t="shared" si="43"/>
        <v>8.7263360468968057E-2</v>
      </c>
      <c r="M21" s="226">
        <f t="shared" si="44"/>
        <v>1420840.8066572445</v>
      </c>
      <c r="N21" s="100">
        <f t="shared" si="45"/>
        <v>0.1564161137719777</v>
      </c>
      <c r="O21" s="233">
        <v>141169.63502981563</v>
      </c>
      <c r="P21" s="100">
        <f t="shared" si="46"/>
        <v>1.5540942792825457E-2</v>
      </c>
      <c r="Q21" s="233"/>
      <c r="R21" s="100">
        <f t="shared" si="47"/>
        <v>0</v>
      </c>
      <c r="S21" s="226">
        <f t="shared" si="48"/>
        <v>141169.63502981563</v>
      </c>
      <c r="T21" s="100">
        <f t="shared" si="49"/>
        <v>1.5540942792825457E-2</v>
      </c>
      <c r="U21" s="233">
        <v>1127360.2801727802</v>
      </c>
      <c r="V21" s="100">
        <f t="shared" si="50"/>
        <v>0.12410772059705691</v>
      </c>
      <c r="W21" s="233">
        <v>140989.69284660928</v>
      </c>
      <c r="X21" s="100">
        <f t="shared" si="51"/>
        <v>1.5521133496197074E-2</v>
      </c>
      <c r="Y21" s="233">
        <v>708626.64667570253</v>
      </c>
      <c r="Z21" s="100">
        <f t="shared" si="53"/>
        <v>7.8010587582328844E-2</v>
      </c>
      <c r="AA21" s="233">
        <v>1287277.1921116835</v>
      </c>
      <c r="AB21" s="100">
        <f t="shared" si="25"/>
        <v>0.14171249501984909</v>
      </c>
      <c r="AC21" s="226">
        <f t="shared" si="54"/>
        <v>1995903.8387873862</v>
      </c>
      <c r="AD21" s="100">
        <f t="shared" si="55"/>
        <v>0.21972308260217793</v>
      </c>
      <c r="AE21" s="233">
        <v>1587275.3889546499</v>
      </c>
      <c r="AF21" s="100">
        <f t="shared" si="56"/>
        <v>0.17473839902606572</v>
      </c>
      <c r="AG21" s="233">
        <v>709114.66685637203</v>
      </c>
      <c r="AH21" s="100">
        <f t="shared" si="57"/>
        <v>7.8064312264041938E-2</v>
      </c>
      <c r="AI21" s="233">
        <v>1231651.351528293</v>
      </c>
      <c r="AJ21" s="100">
        <f t="shared" si="58"/>
        <v>0.13558881264207201</v>
      </c>
      <c r="AK21" s="233">
        <v>729418.33916685067</v>
      </c>
      <c r="AL21" s="100">
        <f t="shared" si="52"/>
        <v>8.0299482807585379E-2</v>
      </c>
    </row>
    <row r="22" spans="2:38" ht="14.25">
      <c r="B22" s="97"/>
      <c r="C22" s="97"/>
      <c r="D22" s="303">
        <f t="shared" si="6"/>
        <v>46218</v>
      </c>
      <c r="E22" s="303" t="s">
        <v>450</v>
      </c>
      <c r="F22" s="227">
        <f t="shared" si="5"/>
        <v>8161181</v>
      </c>
      <c r="G22" s="301"/>
      <c r="H22" s="320"/>
      <c r="I22" s="233">
        <v>566521.88687828847</v>
      </c>
      <c r="J22" s="100">
        <f t="shared" si="42"/>
        <v>6.9416655123601415E-2</v>
      </c>
      <c r="K22" s="233">
        <v>759650.4676870557</v>
      </c>
      <c r="L22" s="100">
        <f t="shared" si="43"/>
        <v>9.3080948417521403E-2</v>
      </c>
      <c r="M22" s="226">
        <f t="shared" si="44"/>
        <v>1326172.3545653443</v>
      </c>
      <c r="N22" s="100">
        <f t="shared" si="45"/>
        <v>0.16249760354112283</v>
      </c>
      <c r="O22" s="233">
        <v>138323.17956618624</v>
      </c>
      <c r="P22" s="100">
        <f t="shared" si="46"/>
        <v>1.6948917021468612E-2</v>
      </c>
      <c r="Q22" s="233"/>
      <c r="R22" s="100">
        <f t="shared" si="47"/>
        <v>0</v>
      </c>
      <c r="S22" s="226">
        <f t="shared" si="48"/>
        <v>138323.17956618624</v>
      </c>
      <c r="T22" s="100">
        <f t="shared" si="49"/>
        <v>1.6948917021468612E-2</v>
      </c>
      <c r="U22" s="233">
        <v>632210.10446423758</v>
      </c>
      <c r="V22" s="100">
        <f t="shared" si="50"/>
        <v>7.7465516873628654E-2</v>
      </c>
      <c r="W22" s="233">
        <v>98271.591564669099</v>
      </c>
      <c r="X22" s="100">
        <f t="shared" si="51"/>
        <v>1.20413444530478E-2</v>
      </c>
      <c r="Y22" s="233">
        <v>733218.72816939489</v>
      </c>
      <c r="Z22" s="100">
        <f t="shared" si="53"/>
        <v>8.9842233393597676E-2</v>
      </c>
      <c r="AA22" s="233">
        <v>1191883.8408115041</v>
      </c>
      <c r="AB22" s="100">
        <f t="shared" si="25"/>
        <v>0.14604305930863487</v>
      </c>
      <c r="AC22" s="226">
        <f t="shared" si="54"/>
        <v>1925102.5689808989</v>
      </c>
      <c r="AD22" s="100">
        <f t="shared" si="55"/>
        <v>0.23588529270223255</v>
      </c>
      <c r="AE22" s="233">
        <v>1440557.2103594309</v>
      </c>
      <c r="AF22" s="100">
        <f t="shared" si="56"/>
        <v>0.17651332697552363</v>
      </c>
      <c r="AG22" s="233">
        <v>674427.47643276351</v>
      </c>
      <c r="AH22" s="100">
        <f t="shared" si="57"/>
        <v>8.2638465735873703E-2</v>
      </c>
      <c r="AI22" s="233">
        <v>1229367.9899502476</v>
      </c>
      <c r="AJ22" s="100">
        <f t="shared" si="58"/>
        <v>0.15063604029248312</v>
      </c>
      <c r="AK22" s="233">
        <v>696748.52411622158</v>
      </c>
      <c r="AL22" s="100">
        <f t="shared" si="52"/>
        <v>8.5373492404619084E-2</v>
      </c>
    </row>
    <row r="23" spans="2:38" ht="14.25">
      <c r="B23" s="97"/>
      <c r="C23" s="97"/>
      <c r="D23" s="303">
        <f t="shared" si="6"/>
        <v>46219</v>
      </c>
      <c r="E23" s="303" t="s">
        <v>451</v>
      </c>
      <c r="F23" s="227">
        <f t="shared" si="5"/>
        <v>7874647.0000000009</v>
      </c>
      <c r="G23" s="86"/>
      <c r="H23" s="320"/>
      <c r="I23" s="233">
        <v>539796.44291628071</v>
      </c>
      <c r="J23" s="100">
        <f t="shared" si="42"/>
        <v>6.8548652773423452E-2</v>
      </c>
      <c r="K23" s="233">
        <v>692982.74723967491</v>
      </c>
      <c r="L23" s="100">
        <f t="shared" si="43"/>
        <v>8.8001753886831346E-2</v>
      </c>
      <c r="M23" s="226">
        <f t="shared" si="44"/>
        <v>1232779.1901559555</v>
      </c>
      <c r="N23" s="100">
        <f t="shared" si="45"/>
        <v>0.15655040666025477</v>
      </c>
      <c r="O23" s="233">
        <v>138514.86413560034</v>
      </c>
      <c r="P23" s="100">
        <f t="shared" si="46"/>
        <v>1.7589977574309086E-2</v>
      </c>
      <c r="Q23" s="233"/>
      <c r="R23" s="100">
        <f t="shared" si="47"/>
        <v>0</v>
      </c>
      <c r="S23" s="226">
        <f t="shared" si="48"/>
        <v>138514.86413560034</v>
      </c>
      <c r="T23" s="100">
        <f t="shared" si="49"/>
        <v>1.7589977574309086E-2</v>
      </c>
      <c r="U23" s="233">
        <v>900569.53915415821</v>
      </c>
      <c r="V23" s="100">
        <f t="shared" si="50"/>
        <v>0.11436316309215615</v>
      </c>
      <c r="W23" s="233">
        <v>133271.33520494899</v>
      </c>
      <c r="X23" s="100">
        <f t="shared" si="51"/>
        <v>1.6924102782632539E-2</v>
      </c>
      <c r="Y23" s="233">
        <v>681542.12018478976</v>
      </c>
      <c r="Z23" s="100">
        <f t="shared" si="53"/>
        <v>8.6548910723844463E-2</v>
      </c>
      <c r="AA23" s="233">
        <v>961778.78526850196</v>
      </c>
      <c r="AB23" s="100">
        <f t="shared" si="25"/>
        <v>0.12213611419896052</v>
      </c>
      <c r="AC23" s="226">
        <f t="shared" si="54"/>
        <v>1643320.9054532917</v>
      </c>
      <c r="AD23" s="100">
        <f t="shared" si="55"/>
        <v>0.208685024922805</v>
      </c>
      <c r="AE23" s="233">
        <v>1335795.2165572923</v>
      </c>
      <c r="AF23" s="100">
        <f t="shared" si="56"/>
        <v>0.16963239324344218</v>
      </c>
      <c r="AG23" s="233">
        <v>627611.63903972751</v>
      </c>
      <c r="AH23" s="100">
        <f t="shared" si="57"/>
        <v>7.9700288665603358E-2</v>
      </c>
      <c r="AI23" s="233">
        <v>1191830.1419933662</v>
      </c>
      <c r="AJ23" s="100">
        <f t="shared" si="58"/>
        <v>0.15135029443140322</v>
      </c>
      <c r="AK23" s="233">
        <v>670954.16830565978</v>
      </c>
      <c r="AL23" s="100">
        <f t="shared" si="52"/>
        <v>8.5204348627393678E-2</v>
      </c>
    </row>
    <row r="24" spans="2:38" ht="14.25">
      <c r="B24" s="97"/>
      <c r="C24" s="97"/>
      <c r="D24" s="303">
        <f t="shared" si="6"/>
        <v>46220</v>
      </c>
      <c r="E24" s="303" t="s">
        <v>452</v>
      </c>
      <c r="F24" s="227">
        <f t="shared" si="5"/>
        <v>7204022</v>
      </c>
      <c r="G24" s="301"/>
      <c r="H24" s="320"/>
      <c r="I24" s="233">
        <v>497079.54427637823</v>
      </c>
      <c r="J24" s="100">
        <f t="shared" si="42"/>
        <v>6.9000281270154118E-2</v>
      </c>
      <c r="K24" s="233">
        <v>660921.64311433968</v>
      </c>
      <c r="L24" s="100">
        <f t="shared" si="43"/>
        <v>9.1743423758886306E-2</v>
      </c>
      <c r="M24" s="226">
        <f t="shared" si="44"/>
        <v>1158001.1873907179</v>
      </c>
      <c r="N24" s="100">
        <f t="shared" si="45"/>
        <v>0.16074370502904042</v>
      </c>
      <c r="O24" s="233">
        <v>119921.06161320586</v>
      </c>
      <c r="P24" s="100">
        <f t="shared" si="46"/>
        <v>1.6646404135523998E-2</v>
      </c>
      <c r="Q24" s="233"/>
      <c r="R24" s="100">
        <f t="shared" si="47"/>
        <v>0</v>
      </c>
      <c r="S24" s="226">
        <f t="shared" si="48"/>
        <v>119921.06161320586</v>
      </c>
      <c r="T24" s="100">
        <f t="shared" si="49"/>
        <v>1.6646404135523998E-2</v>
      </c>
      <c r="U24" s="233">
        <v>696225.26291655481</v>
      </c>
      <c r="V24" s="100">
        <f t="shared" si="50"/>
        <v>9.6643966789184549E-2</v>
      </c>
      <c r="W24" s="233">
        <v>140632.54790078549</v>
      </c>
      <c r="X24" s="100">
        <f t="shared" si="51"/>
        <v>1.9521393452266732E-2</v>
      </c>
      <c r="Y24" s="233">
        <v>543257.97297493077</v>
      </c>
      <c r="Z24" s="100">
        <f t="shared" si="53"/>
        <v>7.5410371175286636E-2</v>
      </c>
      <c r="AA24" s="233">
        <v>1007343.995205997</v>
      </c>
      <c r="AB24" s="100">
        <f t="shared" si="25"/>
        <v>0.13983077719723747</v>
      </c>
      <c r="AC24" s="226">
        <f t="shared" si="54"/>
        <v>1550601.9681809279</v>
      </c>
      <c r="AD24" s="100">
        <f t="shared" si="55"/>
        <v>0.21524114837252412</v>
      </c>
      <c r="AE24" s="233">
        <v>1201185.9135447759</v>
      </c>
      <c r="AF24" s="100">
        <f t="shared" si="56"/>
        <v>0.16673823505047264</v>
      </c>
      <c r="AG24" s="233">
        <v>459782.61566564761</v>
      </c>
      <c r="AH24" s="100">
        <f t="shared" si="57"/>
        <v>6.3823044358505235E-2</v>
      </c>
      <c r="AI24" s="233">
        <v>1326888.8235659418</v>
      </c>
      <c r="AJ24" s="100">
        <f t="shared" si="58"/>
        <v>0.18418722535355136</v>
      </c>
      <c r="AK24" s="233">
        <v>550782.61922144284</v>
      </c>
      <c r="AL24" s="100">
        <f t="shared" si="52"/>
        <v>7.6454877458930981E-2</v>
      </c>
    </row>
    <row r="25" spans="2:38" ht="14.25">
      <c r="B25" s="97"/>
      <c r="C25" s="97"/>
      <c r="D25" s="303">
        <f t="shared" si="6"/>
        <v>46221</v>
      </c>
      <c r="E25" s="303" t="s">
        <v>453</v>
      </c>
      <c r="F25" s="227">
        <f t="shared" si="5"/>
        <v>7376905.0000000009</v>
      </c>
      <c r="G25" s="301"/>
      <c r="H25" s="320"/>
      <c r="I25" s="233">
        <v>473601.16854442615</v>
      </c>
      <c r="J25" s="100">
        <f t="shared" si="42"/>
        <v>6.4200524277380031E-2</v>
      </c>
      <c r="K25" s="233">
        <v>716046.04392860946</v>
      </c>
      <c r="L25" s="100">
        <f t="shared" si="43"/>
        <v>9.7065916387510665E-2</v>
      </c>
      <c r="M25" s="226">
        <f t="shared" si="44"/>
        <v>1189647.2124730356</v>
      </c>
      <c r="N25" s="100">
        <f t="shared" si="45"/>
        <v>0.16126644066489068</v>
      </c>
      <c r="O25" s="233">
        <v>112871.28591212354</v>
      </c>
      <c r="P25" s="100">
        <f t="shared" si="46"/>
        <v>1.530062891037956E-2</v>
      </c>
      <c r="Q25" s="233"/>
      <c r="R25" s="100">
        <f t="shared" si="47"/>
        <v>0</v>
      </c>
      <c r="S25" s="226">
        <f t="shared" si="48"/>
        <v>112871.28591212354</v>
      </c>
      <c r="T25" s="100">
        <f t="shared" si="49"/>
        <v>1.530062891037956E-2</v>
      </c>
      <c r="U25" s="233">
        <v>795842.02437346207</v>
      </c>
      <c r="V25" s="100">
        <f t="shared" si="50"/>
        <v>0.10788291626006598</v>
      </c>
      <c r="W25" s="233">
        <v>119070.9569300623</v>
      </c>
      <c r="X25" s="100">
        <f t="shared" si="51"/>
        <v>1.6141045184947113E-2</v>
      </c>
      <c r="Y25" s="233">
        <v>592737.63460481772</v>
      </c>
      <c r="Z25" s="100">
        <f t="shared" si="53"/>
        <v>8.0350449762443418E-2</v>
      </c>
      <c r="AA25" s="233">
        <v>1084447.8202123856</v>
      </c>
      <c r="AB25" s="100">
        <f t="shared" si="25"/>
        <v>0.14700579988659004</v>
      </c>
      <c r="AC25" s="226">
        <f t="shared" si="54"/>
        <v>1677185.4548172033</v>
      </c>
      <c r="AD25" s="100">
        <f t="shared" si="55"/>
        <v>0.22735624964903345</v>
      </c>
      <c r="AE25" s="233">
        <v>1211698.0850626826</v>
      </c>
      <c r="AF25" s="100">
        <f t="shared" si="56"/>
        <v>0.16425561737106315</v>
      </c>
      <c r="AG25" s="233">
        <v>501828.85601001774</v>
      </c>
      <c r="AH25" s="100">
        <f t="shared" si="57"/>
        <v>6.8027018920538848E-2</v>
      </c>
      <c r="AI25" s="233">
        <v>1219072.8408482589</v>
      </c>
      <c r="AJ25" s="100">
        <f t="shared" si="58"/>
        <v>0.16525532602741377</v>
      </c>
      <c r="AK25" s="233">
        <v>549688.28357315424</v>
      </c>
      <c r="AL25" s="100">
        <f t="shared" si="52"/>
        <v>7.4514757011667376E-2</v>
      </c>
    </row>
    <row r="26" spans="2:38" ht="14.25">
      <c r="B26" s="97"/>
      <c r="C26" s="97"/>
      <c r="D26" s="303">
        <f t="shared" si="6"/>
        <v>46222</v>
      </c>
      <c r="E26" s="303" t="s">
        <v>454</v>
      </c>
      <c r="F26" s="227">
        <f t="shared" si="5"/>
        <v>8954762</v>
      </c>
      <c r="G26" s="301"/>
      <c r="H26" s="320"/>
      <c r="I26" s="233">
        <v>585604.83042410284</v>
      </c>
      <c r="J26" s="100">
        <f t="shared" si="42"/>
        <v>6.5395912300528242E-2</v>
      </c>
      <c r="K26" s="233">
        <v>778716.01937041117</v>
      </c>
      <c r="L26" s="100">
        <f t="shared" si="43"/>
        <v>8.6961107327074821E-2</v>
      </c>
      <c r="M26" s="226">
        <f t="shared" si="44"/>
        <v>1364320.849794514</v>
      </c>
      <c r="N26" s="100">
        <f t="shared" si="45"/>
        <v>0.15235701962760306</v>
      </c>
      <c r="O26" s="233">
        <v>139781.28061167905</v>
      </c>
      <c r="P26" s="100">
        <f t="shared" si="46"/>
        <v>1.5609714765359375E-2</v>
      </c>
      <c r="Q26" s="233"/>
      <c r="R26" s="100">
        <f t="shared" si="47"/>
        <v>0</v>
      </c>
      <c r="S26" s="226">
        <f t="shared" si="48"/>
        <v>139781.28061167905</v>
      </c>
      <c r="T26" s="100">
        <f t="shared" si="49"/>
        <v>1.5609714765359375E-2</v>
      </c>
      <c r="U26" s="233">
        <v>1046471.8079764254</v>
      </c>
      <c r="V26" s="100">
        <f t="shared" si="50"/>
        <v>0.1168620459121555</v>
      </c>
      <c r="W26" s="233">
        <v>138769.63644049034</v>
      </c>
      <c r="X26" s="100">
        <f t="shared" si="51"/>
        <v>1.5496742006151625E-2</v>
      </c>
      <c r="Y26" s="233">
        <v>782696.69070775004</v>
      </c>
      <c r="Z26" s="100">
        <f t="shared" si="53"/>
        <v>8.7405638553849904E-2</v>
      </c>
      <c r="AA26" s="233">
        <v>1169509.0684006191</v>
      </c>
      <c r="AB26" s="100">
        <f t="shared" si="25"/>
        <v>0.13060191531618809</v>
      </c>
      <c r="AC26" s="226">
        <f t="shared" si="54"/>
        <v>1952205.7591083692</v>
      </c>
      <c r="AD26" s="100">
        <f t="shared" si="55"/>
        <v>0.21800755387003801</v>
      </c>
      <c r="AE26" s="233">
        <v>1627671.6501840712</v>
      </c>
      <c r="AF26" s="100">
        <f t="shared" si="56"/>
        <v>0.18176604249047279</v>
      </c>
      <c r="AG26" s="233">
        <v>698103.87937949656</v>
      </c>
      <c r="AH26" s="100">
        <f t="shared" si="57"/>
        <v>7.7958954060364363E-2</v>
      </c>
      <c r="AI26" s="233">
        <v>1274020.2404319558</v>
      </c>
      <c r="AJ26" s="100">
        <f t="shared" si="58"/>
        <v>0.14227293147846429</v>
      </c>
      <c r="AK26" s="233">
        <v>713416.89607299783</v>
      </c>
      <c r="AL26" s="100">
        <f t="shared" si="52"/>
        <v>7.966899578939092E-2</v>
      </c>
    </row>
    <row r="27" spans="2:38" ht="14.25">
      <c r="B27" s="97"/>
      <c r="C27" s="97"/>
      <c r="D27" s="303">
        <f t="shared" si="6"/>
        <v>46223</v>
      </c>
      <c r="E27" s="303" t="s">
        <v>448</v>
      </c>
      <c r="F27" s="227">
        <f t="shared" si="5"/>
        <v>8839398.9999999981</v>
      </c>
      <c r="G27" s="86"/>
      <c r="H27" s="320"/>
      <c r="I27" s="233">
        <v>565509.17292570369</v>
      </c>
      <c r="J27" s="100">
        <f t="shared" si="42"/>
        <v>6.3975975394447493E-2</v>
      </c>
      <c r="K27" s="233">
        <v>774225.31942138891</v>
      </c>
      <c r="L27" s="100">
        <f t="shared" si="43"/>
        <v>8.7588004503630745E-2</v>
      </c>
      <c r="M27" s="226">
        <f t="shared" si="44"/>
        <v>1339734.4923470926</v>
      </c>
      <c r="N27" s="100">
        <f t="shared" si="45"/>
        <v>0.15156397989807824</v>
      </c>
      <c r="O27" s="233">
        <v>139872.34346267348</v>
      </c>
      <c r="P27" s="100">
        <f t="shared" si="46"/>
        <v>1.5823739087088784E-2</v>
      </c>
      <c r="Q27" s="233"/>
      <c r="R27" s="100">
        <f t="shared" si="47"/>
        <v>0</v>
      </c>
      <c r="S27" s="226">
        <f t="shared" si="48"/>
        <v>139872.34346267348</v>
      </c>
      <c r="T27" s="100">
        <f t="shared" si="49"/>
        <v>1.5823739087088784E-2</v>
      </c>
      <c r="U27" s="233">
        <v>938107.73923570255</v>
      </c>
      <c r="V27" s="100">
        <f t="shared" si="50"/>
        <v>0.10612800024477939</v>
      </c>
      <c r="W27" s="233">
        <v>146004.29530519873</v>
      </c>
      <c r="X27" s="100">
        <f t="shared" si="51"/>
        <v>1.6517445960432236E-2</v>
      </c>
      <c r="Y27" s="233">
        <v>720505.34779966343</v>
      </c>
      <c r="Z27" s="100">
        <f t="shared" si="53"/>
        <v>8.1510671460770526E-2</v>
      </c>
      <c r="AA27" s="233">
        <v>1372589.6175702778</v>
      </c>
      <c r="AB27" s="100">
        <f t="shared" si="25"/>
        <v>0.15528087572133331</v>
      </c>
      <c r="AC27" s="226">
        <f t="shared" si="54"/>
        <v>2093094.9653699412</v>
      </c>
      <c r="AD27" s="100">
        <f t="shared" si="55"/>
        <v>0.23679154718210385</v>
      </c>
      <c r="AE27" s="233">
        <v>1484278.8428969129</v>
      </c>
      <c r="AF27" s="100">
        <f t="shared" si="56"/>
        <v>0.16791626250799555</v>
      </c>
      <c r="AG27" s="233">
        <v>691217.48836899223</v>
      </c>
      <c r="AH27" s="100">
        <f t="shared" si="57"/>
        <v>7.8197339928765791E-2</v>
      </c>
      <c r="AI27" s="233">
        <v>1223283.1939433347</v>
      </c>
      <c r="AJ27" s="100">
        <f t="shared" si="58"/>
        <v>0.13838986043545889</v>
      </c>
      <c r="AK27" s="233">
        <v>783805.63907014939</v>
      </c>
      <c r="AL27" s="100">
        <f t="shared" si="52"/>
        <v>8.8671824755297224E-2</v>
      </c>
    </row>
    <row r="28" spans="2:38" ht="14.25">
      <c r="B28" s="97"/>
      <c r="C28" s="97"/>
      <c r="D28" s="359">
        <f t="shared" si="6"/>
        <v>46224</v>
      </c>
      <c r="E28" s="359" t="s">
        <v>449</v>
      </c>
      <c r="F28" s="227">
        <f t="shared" si="5"/>
        <v>9279113.9999999981</v>
      </c>
      <c r="G28" s="301">
        <f>SUM(F28:F34)</f>
        <v>59579431</v>
      </c>
      <c r="H28" s="320"/>
      <c r="I28" s="233">
        <v>671835.52764707664</v>
      </c>
      <c r="J28" s="100">
        <f t="shared" si="42"/>
        <v>7.2402982401884142E-2</v>
      </c>
      <c r="K28" s="233">
        <v>765918.47780980368</v>
      </c>
      <c r="L28" s="100">
        <f t="shared" si="43"/>
        <v>8.2542199374832967E-2</v>
      </c>
      <c r="M28" s="226">
        <f t="shared" si="44"/>
        <v>1437754.0054568802</v>
      </c>
      <c r="N28" s="100">
        <f t="shared" si="45"/>
        <v>0.15494518177671709</v>
      </c>
      <c r="O28" s="233">
        <v>244054.65973890401</v>
      </c>
      <c r="P28" s="100">
        <f t="shared" si="46"/>
        <v>2.6301504619827287E-2</v>
      </c>
      <c r="Q28" s="233"/>
      <c r="R28" s="100">
        <f t="shared" si="47"/>
        <v>0</v>
      </c>
      <c r="S28" s="226">
        <f t="shared" si="48"/>
        <v>244054.65973890401</v>
      </c>
      <c r="T28" s="100">
        <f t="shared" si="49"/>
        <v>2.6301504619827287E-2</v>
      </c>
      <c r="U28" s="233">
        <v>842377.56852263783</v>
      </c>
      <c r="V28" s="100">
        <f t="shared" si="50"/>
        <v>9.0782112227809464E-2</v>
      </c>
      <c r="W28" s="233">
        <v>117718.15990650654</v>
      </c>
      <c r="X28" s="100">
        <f t="shared" si="51"/>
        <v>1.2686357760720104E-2</v>
      </c>
      <c r="Y28" s="233">
        <v>760422.40361946844</v>
      </c>
      <c r="Z28" s="100">
        <f t="shared" si="53"/>
        <v>8.194989345097696E-2</v>
      </c>
      <c r="AA28" s="233">
        <v>1332146.5588095405</v>
      </c>
      <c r="AB28" s="100">
        <f t="shared" si="25"/>
        <v>0.14356398238124252</v>
      </c>
      <c r="AC28" s="226">
        <f t="shared" si="54"/>
        <v>2092568.9624290089</v>
      </c>
      <c r="AD28" s="100">
        <f t="shared" si="55"/>
        <v>0.22551387583221946</v>
      </c>
      <c r="AE28" s="233">
        <v>1427783.709349832</v>
      </c>
      <c r="AF28" s="100">
        <f t="shared" si="56"/>
        <v>0.15387069383454416</v>
      </c>
      <c r="AG28" s="233">
        <v>1126434.3902805904</v>
      </c>
      <c r="AH28" s="100">
        <f t="shared" si="57"/>
        <v>0.12139460623940934</v>
      </c>
      <c r="AI28" s="233">
        <v>1256686.9692860327</v>
      </c>
      <c r="AJ28" s="100">
        <f t="shared" si="58"/>
        <v>0.13543178468181694</v>
      </c>
      <c r="AK28" s="233">
        <v>733735.57502960681</v>
      </c>
      <c r="AL28" s="100">
        <f t="shared" si="52"/>
        <v>7.9073883026936298E-2</v>
      </c>
    </row>
    <row r="29" spans="2:38" ht="14.25">
      <c r="B29" s="97"/>
      <c r="C29" s="97"/>
      <c r="D29" s="359">
        <f t="shared" si="6"/>
        <v>46225</v>
      </c>
      <c r="E29" s="359" t="s">
        <v>450</v>
      </c>
      <c r="F29" s="227">
        <f t="shared" si="5"/>
        <v>8679383</v>
      </c>
      <c r="G29" s="301"/>
      <c r="H29" s="320"/>
      <c r="I29" s="233">
        <v>628484.68351565616</v>
      </c>
      <c r="J29" s="100">
        <f t="shared" si="42"/>
        <v>7.2411216732301845E-2</v>
      </c>
      <c r="K29" s="233">
        <v>746983.41918131604</v>
      </c>
      <c r="L29" s="100">
        <f t="shared" si="43"/>
        <v>8.6064115292678753E-2</v>
      </c>
      <c r="M29" s="226">
        <f t="shared" si="44"/>
        <v>1375468.1026969722</v>
      </c>
      <c r="N29" s="100">
        <f t="shared" si="45"/>
        <v>0.1584753320249806</v>
      </c>
      <c r="O29" s="233">
        <v>199018.16884476267</v>
      </c>
      <c r="P29" s="100">
        <f t="shared" si="46"/>
        <v>2.2929990397331547E-2</v>
      </c>
      <c r="Q29" s="233"/>
      <c r="R29" s="100">
        <f t="shared" si="47"/>
        <v>0</v>
      </c>
      <c r="S29" s="226">
        <f t="shared" si="48"/>
        <v>199018.16884476267</v>
      </c>
      <c r="T29" s="100">
        <f t="shared" si="49"/>
        <v>2.2929990397331547E-2</v>
      </c>
      <c r="U29" s="233">
        <v>814994.78186024434</v>
      </c>
      <c r="V29" s="100">
        <f t="shared" si="50"/>
        <v>9.3900082743236968E-2</v>
      </c>
      <c r="W29" s="233">
        <v>132454.12511346495</v>
      </c>
      <c r="X29" s="100">
        <f t="shared" si="51"/>
        <v>1.5260776614358987E-2</v>
      </c>
      <c r="Y29" s="233">
        <v>703748.94680344942</v>
      </c>
      <c r="Z29" s="100">
        <f t="shared" si="53"/>
        <v>8.1082831210864806E-2</v>
      </c>
      <c r="AA29" s="233">
        <v>1254659.3447006824</v>
      </c>
      <c r="AB29" s="100">
        <f t="shared" si="25"/>
        <v>0.14455628294092823</v>
      </c>
      <c r="AC29" s="226">
        <f t="shared" si="54"/>
        <v>1958408.2915041319</v>
      </c>
      <c r="AD29" s="100">
        <f t="shared" si="55"/>
        <v>0.22563911415179302</v>
      </c>
      <c r="AE29" s="233">
        <v>1378266.0883943087</v>
      </c>
      <c r="AF29" s="100">
        <f t="shared" si="56"/>
        <v>0.15879770352273989</v>
      </c>
      <c r="AG29" s="233">
        <v>892666.54453435622</v>
      </c>
      <c r="AH29" s="100">
        <f t="shared" si="57"/>
        <v>0.10284907861933922</v>
      </c>
      <c r="AI29" s="233">
        <v>1196749.1266129196</v>
      </c>
      <c r="AJ29" s="100">
        <f t="shared" si="58"/>
        <v>0.13788412455273832</v>
      </c>
      <c r="AK29" s="233">
        <v>731357.77043883945</v>
      </c>
      <c r="AL29" s="100">
        <f t="shared" si="52"/>
        <v>8.4263797373481442E-2</v>
      </c>
    </row>
    <row r="30" spans="2:38" ht="14.25">
      <c r="B30" s="97"/>
      <c r="C30" s="97"/>
      <c r="D30" s="359">
        <f t="shared" si="6"/>
        <v>46226</v>
      </c>
      <c r="E30" s="359" t="s">
        <v>451</v>
      </c>
      <c r="F30" s="227">
        <f t="shared" si="5"/>
        <v>8118844.0000000009</v>
      </c>
      <c r="G30" s="86"/>
      <c r="H30" s="320"/>
      <c r="I30" s="233">
        <v>605858.58658534382</v>
      </c>
      <c r="J30" s="100">
        <f t="shared" si="42"/>
        <v>7.4623750202041539E-2</v>
      </c>
      <c r="K30" s="233">
        <v>693106.51137080335</v>
      </c>
      <c r="L30" s="100">
        <f t="shared" si="43"/>
        <v>8.5370098424209562E-2</v>
      </c>
      <c r="M30" s="226">
        <f t="shared" si="44"/>
        <v>1298965.097956147</v>
      </c>
      <c r="N30" s="100">
        <f t="shared" si="45"/>
        <v>0.1599938486262511</v>
      </c>
      <c r="O30" s="233">
        <v>195267.07507720072</v>
      </c>
      <c r="P30" s="100">
        <f t="shared" si="46"/>
        <v>2.4051093367134617E-2</v>
      </c>
      <c r="Q30" s="233"/>
      <c r="R30" s="100">
        <f t="shared" si="47"/>
        <v>0</v>
      </c>
      <c r="S30" s="226">
        <f t="shared" si="48"/>
        <v>195267.07507720072</v>
      </c>
      <c r="T30" s="100">
        <f t="shared" si="49"/>
        <v>2.4051093367134617E-2</v>
      </c>
      <c r="U30" s="233">
        <v>756528.35176608211</v>
      </c>
      <c r="V30" s="100">
        <f t="shared" si="50"/>
        <v>9.3181782008138356E-2</v>
      </c>
      <c r="W30" s="233">
        <v>118927.52428626828</v>
      </c>
      <c r="X30" s="100">
        <f t="shared" si="51"/>
        <v>1.4648332236247952E-2</v>
      </c>
      <c r="Y30" s="233">
        <v>577605.81408258481</v>
      </c>
      <c r="Z30" s="100">
        <f t="shared" si="53"/>
        <v>7.1143849306943785E-2</v>
      </c>
      <c r="AA30" s="233">
        <v>1120222.852564987</v>
      </c>
      <c r="AB30" s="100">
        <f t="shared" si="25"/>
        <v>0.13797812257077324</v>
      </c>
      <c r="AC30" s="226">
        <f t="shared" si="54"/>
        <v>1697828.6666475718</v>
      </c>
      <c r="AD30" s="100">
        <f t="shared" si="55"/>
        <v>0.20912197187771703</v>
      </c>
      <c r="AE30" s="233">
        <v>1252533.1482314307</v>
      </c>
      <c r="AF30" s="100">
        <f t="shared" si="56"/>
        <v>0.15427481402911924</v>
      </c>
      <c r="AG30" s="233">
        <v>806621.00867360819</v>
      </c>
      <c r="AH30" s="100">
        <f t="shared" si="57"/>
        <v>9.9351706803777501E-2</v>
      </c>
      <c r="AI30" s="233">
        <v>1270298.0252458137</v>
      </c>
      <c r="AJ30" s="100">
        <f t="shared" si="58"/>
        <v>0.15646291827331743</v>
      </c>
      <c r="AK30" s="233">
        <v>721875.10211587767</v>
      </c>
      <c r="AL30" s="100">
        <f t="shared" si="52"/>
        <v>8.8913532778296708E-2</v>
      </c>
    </row>
    <row r="31" spans="2:38" ht="14.25">
      <c r="B31" s="97"/>
      <c r="C31" s="97"/>
      <c r="D31" s="359">
        <f t="shared" si="6"/>
        <v>46227</v>
      </c>
      <c r="E31" s="359" t="s">
        <v>452</v>
      </c>
      <c r="F31" s="227">
        <f t="shared" si="5"/>
        <v>7260099.0000000019</v>
      </c>
      <c r="G31" s="301"/>
      <c r="H31" s="320"/>
      <c r="I31" s="233">
        <v>550291.32706668298</v>
      </c>
      <c r="J31" s="100">
        <f t="shared" si="42"/>
        <v>7.5796669861758481E-2</v>
      </c>
      <c r="K31" s="233">
        <v>644729.44227702811</v>
      </c>
      <c r="L31" s="100">
        <f t="shared" si="43"/>
        <v>8.8804497332202761E-2</v>
      </c>
      <c r="M31" s="226">
        <f t="shared" si="44"/>
        <v>1195020.769343711</v>
      </c>
      <c r="N31" s="100">
        <f t="shared" si="45"/>
        <v>0.16460116719396123</v>
      </c>
      <c r="O31" s="233">
        <v>197437.77138933912</v>
      </c>
      <c r="P31" s="100">
        <f t="shared" si="46"/>
        <v>2.7194914475593111E-2</v>
      </c>
      <c r="Q31" s="233"/>
      <c r="R31" s="100">
        <f t="shared" si="47"/>
        <v>0</v>
      </c>
      <c r="S31" s="226">
        <f t="shared" si="48"/>
        <v>197437.77138933912</v>
      </c>
      <c r="T31" s="100">
        <f t="shared" si="49"/>
        <v>2.7194914475593111E-2</v>
      </c>
      <c r="U31" s="233">
        <v>681933.2152589726</v>
      </c>
      <c r="V31" s="100">
        <f t="shared" si="50"/>
        <v>9.3928914090423893E-2</v>
      </c>
      <c r="W31" s="233">
        <v>89318.306479448322</v>
      </c>
      <c r="X31" s="100">
        <f t="shared" si="51"/>
        <v>1.2302629272610235E-2</v>
      </c>
      <c r="Y31" s="233">
        <v>545605.05805565452</v>
      </c>
      <c r="Z31" s="100">
        <f t="shared" si="53"/>
        <v>7.5151187064481401E-2</v>
      </c>
      <c r="AA31" s="233">
        <v>992660.79038495256</v>
      </c>
      <c r="AB31" s="100">
        <f t="shared" si="25"/>
        <v>0.13672827194022455</v>
      </c>
      <c r="AC31" s="226">
        <f t="shared" si="54"/>
        <v>1538265.8484406071</v>
      </c>
      <c r="AD31" s="100">
        <f t="shared" si="55"/>
        <v>0.21187945900470595</v>
      </c>
      <c r="AE31" s="233">
        <v>1129262.5137013888</v>
      </c>
      <c r="AF31" s="100">
        <f t="shared" si="56"/>
        <v>0.15554367973513702</v>
      </c>
      <c r="AG31" s="233">
        <v>680798.38839558477</v>
      </c>
      <c r="AH31" s="100">
        <f t="shared" si="57"/>
        <v>9.3772603981789313E-2</v>
      </c>
      <c r="AI31" s="233">
        <v>1155676.9117198491</v>
      </c>
      <c r="AJ31" s="100">
        <f t="shared" si="58"/>
        <v>0.15918197695649175</v>
      </c>
      <c r="AK31" s="233">
        <v>592385.27527109999</v>
      </c>
      <c r="AL31" s="100">
        <f t="shared" si="52"/>
        <v>8.159465528928736E-2</v>
      </c>
    </row>
    <row r="32" spans="2:38" ht="14.25">
      <c r="B32" s="97"/>
      <c r="C32" s="97"/>
      <c r="D32" s="359">
        <f t="shared" si="6"/>
        <v>46228</v>
      </c>
      <c r="E32" s="359" t="s">
        <v>453</v>
      </c>
      <c r="F32" s="227">
        <f t="shared" si="5"/>
        <v>7568927.9999999981</v>
      </c>
      <c r="G32" s="301"/>
      <c r="H32" s="320"/>
      <c r="I32" s="233">
        <v>513845.56985573604</v>
      </c>
      <c r="J32" s="100">
        <f t="shared" si="42"/>
        <v>6.7888817261273479E-2</v>
      </c>
      <c r="K32" s="233">
        <v>714146.52763445501</v>
      </c>
      <c r="L32" s="100">
        <f t="shared" si="43"/>
        <v>9.4352400714401721E-2</v>
      </c>
      <c r="M32" s="226">
        <f t="shared" si="44"/>
        <v>1227992.097490191</v>
      </c>
      <c r="N32" s="100">
        <f t="shared" si="45"/>
        <v>0.1622412179756752</v>
      </c>
      <c r="O32" s="233">
        <v>189469.04654424184</v>
      </c>
      <c r="P32" s="100">
        <f t="shared" si="46"/>
        <v>2.5032481025614443E-2</v>
      </c>
      <c r="Q32" s="233"/>
      <c r="R32" s="100">
        <f t="shared" si="47"/>
        <v>0</v>
      </c>
      <c r="S32" s="226">
        <f t="shared" si="48"/>
        <v>189469.04654424184</v>
      </c>
      <c r="T32" s="100">
        <f t="shared" si="49"/>
        <v>2.5032481025614443E-2</v>
      </c>
      <c r="U32" s="233">
        <v>743969.31738289585</v>
      </c>
      <c r="V32" s="100">
        <f t="shared" si="50"/>
        <v>9.8292561031482401E-2</v>
      </c>
      <c r="W32" s="233">
        <v>77783.098784753252</v>
      </c>
      <c r="X32" s="100">
        <f t="shared" si="51"/>
        <v>1.0276633465763352E-2</v>
      </c>
      <c r="Y32" s="233">
        <v>545688.0277002505</v>
      </c>
      <c r="Z32" s="100">
        <f t="shared" si="53"/>
        <v>7.2095814321427101E-2</v>
      </c>
      <c r="AA32" s="233">
        <v>1231804.3295266663</v>
      </c>
      <c r="AB32" s="100">
        <f t="shared" si="25"/>
        <v>0.16274488666382697</v>
      </c>
      <c r="AC32" s="226">
        <f t="shared" si="54"/>
        <v>1777492.3572269168</v>
      </c>
      <c r="AD32" s="100">
        <f t="shared" si="55"/>
        <v>0.23484070098525409</v>
      </c>
      <c r="AE32" s="233">
        <v>1094295.1500640337</v>
      </c>
      <c r="AF32" s="100">
        <f t="shared" si="56"/>
        <v>0.14457729681984477</v>
      </c>
      <c r="AG32" s="233">
        <v>717949.62971304939</v>
      </c>
      <c r="AH32" s="100">
        <f t="shared" si="57"/>
        <v>9.4854863160681355E-2</v>
      </c>
      <c r="AI32" s="233">
        <v>1189603.4249826083</v>
      </c>
      <c r="AJ32" s="100">
        <f t="shared" si="58"/>
        <v>0.15716934088719151</v>
      </c>
      <c r="AK32" s="233">
        <v>550373.87781130918</v>
      </c>
      <c r="AL32" s="100">
        <f t="shared" si="52"/>
        <v>7.2714904648493062E-2</v>
      </c>
    </row>
    <row r="33" spans="2:38" ht="14.25">
      <c r="B33" s="97"/>
      <c r="C33" s="97"/>
      <c r="D33" s="359">
        <f t="shared" si="6"/>
        <v>46229</v>
      </c>
      <c r="E33" s="359" t="s">
        <v>454</v>
      </c>
      <c r="F33" s="227">
        <f t="shared" si="5"/>
        <v>9434578.0000000019</v>
      </c>
      <c r="G33" s="301"/>
      <c r="H33" s="320"/>
      <c r="I33" s="233">
        <v>634596.12456156383</v>
      </c>
      <c r="J33" s="100">
        <f t="shared" si="42"/>
        <v>6.726279909515441E-2</v>
      </c>
      <c r="K33" s="233">
        <v>780310.52186166635</v>
      </c>
      <c r="L33" s="100">
        <f t="shared" si="43"/>
        <v>8.2707517163106412E-2</v>
      </c>
      <c r="M33" s="226">
        <f t="shared" si="44"/>
        <v>1414906.6464232302</v>
      </c>
      <c r="N33" s="100">
        <f t="shared" si="45"/>
        <v>0.14997031625826082</v>
      </c>
      <c r="O33" s="233">
        <v>235470.09993779197</v>
      </c>
      <c r="P33" s="100">
        <f t="shared" si="46"/>
        <v>2.4958201621502512E-2</v>
      </c>
      <c r="Q33" s="233"/>
      <c r="R33" s="100">
        <f t="shared" si="47"/>
        <v>0</v>
      </c>
      <c r="S33" s="226">
        <f t="shared" si="48"/>
        <v>235470.09993779197</v>
      </c>
      <c r="T33" s="100">
        <f t="shared" si="49"/>
        <v>2.4958201621502512E-2</v>
      </c>
      <c r="U33" s="233">
        <v>1069701.1881368994</v>
      </c>
      <c r="V33" s="100">
        <f t="shared" si="50"/>
        <v>0.11338092579624644</v>
      </c>
      <c r="W33" s="233">
        <v>102226.09698349037</v>
      </c>
      <c r="X33" s="100">
        <f t="shared" si="51"/>
        <v>1.0835259084560046E-2</v>
      </c>
      <c r="Y33" s="233">
        <v>692914.17501107499</v>
      </c>
      <c r="Z33" s="100">
        <f t="shared" si="53"/>
        <v>7.3444109001067653E-2</v>
      </c>
      <c r="AA33" s="233">
        <v>1358633.3880896794</v>
      </c>
      <c r="AB33" s="100">
        <f t="shared" si="25"/>
        <v>0.14400574017085652</v>
      </c>
      <c r="AC33" s="226">
        <f t="shared" si="54"/>
        <v>2051547.5631007543</v>
      </c>
      <c r="AD33" s="100">
        <f t="shared" si="55"/>
        <v>0.21744984917192417</v>
      </c>
      <c r="AE33" s="233">
        <v>1464145.3341191236</v>
      </c>
      <c r="AF33" s="100">
        <f t="shared" si="56"/>
        <v>0.15518927652292697</v>
      </c>
      <c r="AG33" s="233">
        <v>991333.05968716706</v>
      </c>
      <c r="AH33" s="100">
        <f t="shared" si="57"/>
        <v>0.10507444632787676</v>
      </c>
      <c r="AI33" s="233">
        <v>1261884.9883732968</v>
      </c>
      <c r="AJ33" s="100">
        <f t="shared" si="58"/>
        <v>0.1337510791021386</v>
      </c>
      <c r="AK33" s="233">
        <v>843363.02323824714</v>
      </c>
      <c r="AL33" s="100">
        <f t="shared" si="52"/>
        <v>8.9390646114563571E-2</v>
      </c>
    </row>
    <row r="34" spans="2:38" ht="14.25">
      <c r="B34" s="97"/>
      <c r="C34" s="97"/>
      <c r="D34" s="359">
        <f t="shared" si="6"/>
        <v>46230</v>
      </c>
      <c r="E34" s="359" t="s">
        <v>448</v>
      </c>
      <c r="F34" s="227">
        <f t="shared" si="5"/>
        <v>9238485</v>
      </c>
      <c r="G34" s="86"/>
      <c r="H34" s="320"/>
      <c r="I34" s="233">
        <v>612555.66484006704</v>
      </c>
      <c r="J34" s="100">
        <f t="shared" si="42"/>
        <v>6.6304774520937901E-2</v>
      </c>
      <c r="K34" s="233">
        <v>768998.00204642501</v>
      </c>
      <c r="L34" s="100">
        <f t="shared" si="43"/>
        <v>8.3238539873845663E-2</v>
      </c>
      <c r="M34" s="226">
        <f t="shared" si="44"/>
        <v>1381553.6668864922</v>
      </c>
      <c r="N34" s="100">
        <f t="shared" si="45"/>
        <v>0.14954331439478358</v>
      </c>
      <c r="O34" s="233">
        <v>213050.49378307993</v>
      </c>
      <c r="P34" s="100">
        <f t="shared" si="46"/>
        <v>2.306119388439554E-2</v>
      </c>
      <c r="Q34" s="233"/>
      <c r="R34" s="100">
        <f t="shared" si="47"/>
        <v>0</v>
      </c>
      <c r="S34" s="226">
        <f t="shared" si="48"/>
        <v>213050.49378307993</v>
      </c>
      <c r="T34" s="100">
        <f t="shared" si="49"/>
        <v>2.306119388439554E-2</v>
      </c>
      <c r="U34" s="233">
        <v>1122597.9304243405</v>
      </c>
      <c r="V34" s="100">
        <f t="shared" si="50"/>
        <v>0.12151320594495099</v>
      </c>
      <c r="W34" s="233">
        <v>117302.93126555835</v>
      </c>
      <c r="X34" s="100">
        <f t="shared" si="51"/>
        <v>1.2697204278142828E-2</v>
      </c>
      <c r="Y34" s="233">
        <v>719817.87733897392</v>
      </c>
      <c r="Z34" s="100">
        <f t="shared" si="53"/>
        <v>7.7915142725130143E-2</v>
      </c>
      <c r="AA34" s="233">
        <v>1262557.8653737332</v>
      </c>
      <c r="AB34" s="100">
        <f t="shared" si="25"/>
        <v>0.13666286900652361</v>
      </c>
      <c r="AC34" s="226">
        <f t="shared" si="54"/>
        <v>1982375.7427127073</v>
      </c>
      <c r="AD34" s="100">
        <f t="shared" si="55"/>
        <v>0.21457801173165375</v>
      </c>
      <c r="AE34" s="233">
        <v>1439847.9366923694</v>
      </c>
      <c r="AF34" s="100">
        <f t="shared" si="56"/>
        <v>0.15585325263745836</v>
      </c>
      <c r="AG34" s="233">
        <v>876129.81225051743</v>
      </c>
      <c r="AH34" s="100">
        <f t="shared" si="57"/>
        <v>9.4834792961239575E-2</v>
      </c>
      <c r="AI34" s="233">
        <v>1197483.1303722786</v>
      </c>
      <c r="AJ34" s="100">
        <f t="shared" si="58"/>
        <v>0.12961899384718151</v>
      </c>
      <c r="AK34" s="233">
        <v>908143.35561265645</v>
      </c>
      <c r="AL34" s="100">
        <f t="shared" si="52"/>
        <v>9.8300030320193896E-2</v>
      </c>
    </row>
    <row r="35" spans="2:38" s="469" customFormat="1" ht="14.25">
      <c r="B35" s="442"/>
      <c r="C35" s="442"/>
      <c r="D35" s="303">
        <f t="shared" si="6"/>
        <v>46231</v>
      </c>
      <c r="E35" s="303" t="s">
        <v>449</v>
      </c>
      <c r="F35" s="470">
        <f t="shared" si="5"/>
        <v>0</v>
      </c>
      <c r="G35" s="444">
        <f>SUM(F35:F41)</f>
        <v>0</v>
      </c>
      <c r="H35" s="445"/>
      <c r="I35" s="473"/>
      <c r="J35" s="342" t="e">
        <f t="shared" si="42"/>
        <v>#DIV/0!</v>
      </c>
      <c r="K35" s="473"/>
      <c r="L35" s="342" t="e">
        <f t="shared" si="43"/>
        <v>#DIV/0!</v>
      </c>
      <c r="M35" s="474">
        <f t="shared" si="44"/>
        <v>0</v>
      </c>
      <c r="N35" s="342" t="e">
        <f t="shared" si="45"/>
        <v>#DIV/0!</v>
      </c>
      <c r="O35" s="473"/>
      <c r="P35" s="342" t="e">
        <f t="shared" si="46"/>
        <v>#DIV/0!</v>
      </c>
      <c r="Q35" s="473"/>
      <c r="R35" s="342" t="e">
        <f t="shared" si="47"/>
        <v>#DIV/0!</v>
      </c>
      <c r="S35" s="474">
        <f t="shared" si="48"/>
        <v>0</v>
      </c>
      <c r="T35" s="342" t="e">
        <f t="shared" si="49"/>
        <v>#DIV/0!</v>
      </c>
      <c r="U35" s="473"/>
      <c r="V35" s="342" t="e">
        <f t="shared" si="50"/>
        <v>#DIV/0!</v>
      </c>
      <c r="W35" s="473"/>
      <c r="X35" s="342" t="e">
        <f t="shared" si="51"/>
        <v>#DIV/0!</v>
      </c>
      <c r="Y35" s="473"/>
      <c r="Z35" s="342" t="e">
        <f t="shared" si="53"/>
        <v>#DIV/0!</v>
      </c>
      <c r="AA35" s="473"/>
      <c r="AB35" s="342" t="e">
        <f t="shared" si="25"/>
        <v>#DIV/0!</v>
      </c>
      <c r="AC35" s="474">
        <f t="shared" si="54"/>
        <v>0</v>
      </c>
      <c r="AD35" s="342" t="e">
        <f t="shared" si="55"/>
        <v>#DIV/0!</v>
      </c>
      <c r="AE35" s="473"/>
      <c r="AF35" s="342" t="e">
        <f t="shared" si="56"/>
        <v>#DIV/0!</v>
      </c>
      <c r="AG35" s="473"/>
      <c r="AH35" s="342" t="e">
        <f t="shared" si="57"/>
        <v>#DIV/0!</v>
      </c>
      <c r="AI35" s="473"/>
      <c r="AJ35" s="342" t="e">
        <f t="shared" si="58"/>
        <v>#DIV/0!</v>
      </c>
      <c r="AK35" s="473"/>
      <c r="AL35" s="342" t="e">
        <f t="shared" si="52"/>
        <v>#DIV/0!</v>
      </c>
    </row>
    <row r="36" spans="2:38" s="469" customFormat="1" ht="14.25">
      <c r="B36" s="442"/>
      <c r="C36" s="442"/>
      <c r="D36" s="303">
        <f t="shared" si="6"/>
        <v>46232</v>
      </c>
      <c r="E36" s="303" t="s">
        <v>450</v>
      </c>
      <c r="F36" s="470">
        <f t="shared" si="5"/>
        <v>0</v>
      </c>
      <c r="G36" s="444"/>
      <c r="H36" s="471"/>
      <c r="I36" s="473"/>
      <c r="J36" s="342" t="e">
        <f t="shared" si="42"/>
        <v>#DIV/0!</v>
      </c>
      <c r="K36" s="473"/>
      <c r="L36" s="342" t="e">
        <f t="shared" si="43"/>
        <v>#DIV/0!</v>
      </c>
      <c r="M36" s="474">
        <f t="shared" si="44"/>
        <v>0</v>
      </c>
      <c r="N36" s="342" t="e">
        <f t="shared" si="45"/>
        <v>#DIV/0!</v>
      </c>
      <c r="O36" s="473"/>
      <c r="P36" s="342" t="e">
        <f t="shared" si="46"/>
        <v>#DIV/0!</v>
      </c>
      <c r="Q36" s="473"/>
      <c r="R36" s="342" t="e">
        <f t="shared" si="47"/>
        <v>#DIV/0!</v>
      </c>
      <c r="S36" s="474">
        <f t="shared" si="48"/>
        <v>0</v>
      </c>
      <c r="T36" s="342" t="e">
        <f t="shared" si="49"/>
        <v>#DIV/0!</v>
      </c>
      <c r="U36" s="473"/>
      <c r="V36" s="342" t="e">
        <f t="shared" si="50"/>
        <v>#DIV/0!</v>
      </c>
      <c r="W36" s="473"/>
      <c r="X36" s="342" t="e">
        <f t="shared" si="51"/>
        <v>#DIV/0!</v>
      </c>
      <c r="Y36" s="473"/>
      <c r="Z36" s="342" t="e">
        <f t="shared" si="53"/>
        <v>#DIV/0!</v>
      </c>
      <c r="AA36" s="473"/>
      <c r="AB36" s="342" t="e">
        <f t="shared" si="25"/>
        <v>#DIV/0!</v>
      </c>
      <c r="AC36" s="474">
        <f t="shared" si="54"/>
        <v>0</v>
      </c>
      <c r="AD36" s="342" t="e">
        <f t="shared" si="55"/>
        <v>#DIV/0!</v>
      </c>
      <c r="AE36" s="473"/>
      <c r="AF36" s="342" t="e">
        <f t="shared" si="56"/>
        <v>#DIV/0!</v>
      </c>
      <c r="AG36" s="473"/>
      <c r="AH36" s="342" t="e">
        <f t="shared" si="57"/>
        <v>#DIV/0!</v>
      </c>
      <c r="AI36" s="473"/>
      <c r="AJ36" s="342" t="e">
        <f t="shared" si="58"/>
        <v>#DIV/0!</v>
      </c>
      <c r="AK36" s="473"/>
      <c r="AL36" s="342" t="e">
        <f t="shared" si="52"/>
        <v>#DIV/0!</v>
      </c>
    </row>
    <row r="37" spans="2:38" s="469" customFormat="1" ht="14.25">
      <c r="B37" s="442"/>
      <c r="C37" s="442"/>
      <c r="D37" s="303">
        <f>D36+1</f>
        <v>46233</v>
      </c>
      <c r="E37" s="303" t="s">
        <v>451</v>
      </c>
      <c r="F37" s="470">
        <f t="shared" si="5"/>
        <v>0</v>
      </c>
      <c r="G37" s="444"/>
      <c r="H37" s="471"/>
      <c r="I37" s="473"/>
      <c r="J37" s="342" t="e">
        <f t="shared" si="42"/>
        <v>#DIV/0!</v>
      </c>
      <c r="K37" s="473"/>
      <c r="L37" s="342" t="e">
        <f t="shared" si="43"/>
        <v>#DIV/0!</v>
      </c>
      <c r="M37" s="474">
        <f t="shared" si="44"/>
        <v>0</v>
      </c>
      <c r="N37" s="342" t="e">
        <f t="shared" si="45"/>
        <v>#DIV/0!</v>
      </c>
      <c r="O37" s="473"/>
      <c r="P37" s="342" t="e">
        <f t="shared" si="46"/>
        <v>#DIV/0!</v>
      </c>
      <c r="Q37" s="473"/>
      <c r="R37" s="342" t="e">
        <f t="shared" si="47"/>
        <v>#DIV/0!</v>
      </c>
      <c r="S37" s="474">
        <f t="shared" si="48"/>
        <v>0</v>
      </c>
      <c r="T37" s="342" t="e">
        <f t="shared" si="49"/>
        <v>#DIV/0!</v>
      </c>
      <c r="U37" s="473"/>
      <c r="V37" s="342" t="e">
        <f t="shared" si="50"/>
        <v>#DIV/0!</v>
      </c>
      <c r="W37" s="473"/>
      <c r="X37" s="342" t="e">
        <f t="shared" si="51"/>
        <v>#DIV/0!</v>
      </c>
      <c r="Y37" s="473"/>
      <c r="Z37" s="342" t="e">
        <f t="shared" si="53"/>
        <v>#DIV/0!</v>
      </c>
      <c r="AA37" s="473"/>
      <c r="AB37" s="342" t="e">
        <f t="shared" si="25"/>
        <v>#DIV/0!</v>
      </c>
      <c r="AC37" s="474">
        <f t="shared" si="54"/>
        <v>0</v>
      </c>
      <c r="AD37" s="342" t="e">
        <f t="shared" si="55"/>
        <v>#DIV/0!</v>
      </c>
      <c r="AE37" s="473"/>
      <c r="AF37" s="342" t="e">
        <f t="shared" si="56"/>
        <v>#DIV/0!</v>
      </c>
      <c r="AG37" s="473"/>
      <c r="AH37" s="342" t="e">
        <f t="shared" si="57"/>
        <v>#DIV/0!</v>
      </c>
      <c r="AI37" s="473"/>
      <c r="AJ37" s="342" t="e">
        <f t="shared" si="58"/>
        <v>#DIV/0!</v>
      </c>
      <c r="AK37" s="473"/>
      <c r="AL37" s="342" t="e">
        <f t="shared" si="52"/>
        <v>#DIV/0!</v>
      </c>
    </row>
    <row r="38" spans="2:38" s="469" customFormat="1" ht="14.25">
      <c r="B38" s="442"/>
      <c r="C38" s="442"/>
      <c r="D38" s="303">
        <f t="shared" ref="D38:D41" si="59">D37+1</f>
        <v>46234</v>
      </c>
      <c r="E38" s="303" t="s">
        <v>452</v>
      </c>
      <c r="F38" s="470">
        <f t="shared" si="5"/>
        <v>0</v>
      </c>
      <c r="G38" s="444"/>
      <c r="H38" s="471"/>
      <c r="I38" s="473"/>
      <c r="J38" s="342" t="e">
        <f t="shared" si="42"/>
        <v>#DIV/0!</v>
      </c>
      <c r="K38" s="473"/>
      <c r="L38" s="342" t="e">
        <f t="shared" si="43"/>
        <v>#DIV/0!</v>
      </c>
      <c r="M38" s="474">
        <f t="shared" si="44"/>
        <v>0</v>
      </c>
      <c r="N38" s="342" t="e">
        <f t="shared" si="45"/>
        <v>#DIV/0!</v>
      </c>
      <c r="O38" s="473"/>
      <c r="P38" s="342" t="e">
        <f t="shared" si="46"/>
        <v>#DIV/0!</v>
      </c>
      <c r="Q38" s="473"/>
      <c r="R38" s="342" t="e">
        <f t="shared" si="47"/>
        <v>#DIV/0!</v>
      </c>
      <c r="S38" s="474">
        <f t="shared" si="48"/>
        <v>0</v>
      </c>
      <c r="T38" s="342" t="e">
        <f t="shared" si="49"/>
        <v>#DIV/0!</v>
      </c>
      <c r="U38" s="473"/>
      <c r="V38" s="342" t="e">
        <f t="shared" si="50"/>
        <v>#DIV/0!</v>
      </c>
      <c r="W38" s="473"/>
      <c r="X38" s="342" t="e">
        <f t="shared" si="51"/>
        <v>#DIV/0!</v>
      </c>
      <c r="Y38" s="473"/>
      <c r="Z38" s="342" t="e">
        <f t="shared" si="53"/>
        <v>#DIV/0!</v>
      </c>
      <c r="AA38" s="473"/>
      <c r="AB38" s="342" t="e">
        <f t="shared" si="25"/>
        <v>#DIV/0!</v>
      </c>
      <c r="AC38" s="474">
        <f t="shared" si="54"/>
        <v>0</v>
      </c>
      <c r="AD38" s="342" t="e">
        <f t="shared" si="55"/>
        <v>#DIV/0!</v>
      </c>
      <c r="AE38" s="473"/>
      <c r="AF38" s="342" t="e">
        <f t="shared" si="56"/>
        <v>#DIV/0!</v>
      </c>
      <c r="AG38" s="473"/>
      <c r="AH38" s="342" t="e">
        <f t="shared" si="57"/>
        <v>#DIV/0!</v>
      </c>
      <c r="AI38" s="473"/>
      <c r="AJ38" s="342" t="e">
        <f t="shared" si="58"/>
        <v>#DIV/0!</v>
      </c>
      <c r="AK38" s="473"/>
      <c r="AL38" s="342" t="e">
        <f t="shared" si="52"/>
        <v>#DIV/0!</v>
      </c>
    </row>
    <row r="39" spans="2:38" s="469" customFormat="1" ht="14.25">
      <c r="B39" s="442"/>
      <c r="C39" s="448"/>
      <c r="D39" s="303">
        <f t="shared" si="59"/>
        <v>46235</v>
      </c>
      <c r="E39" s="303" t="s">
        <v>453</v>
      </c>
      <c r="F39" s="470">
        <f t="shared" si="5"/>
        <v>0</v>
      </c>
      <c r="G39" s="444"/>
      <c r="H39" s="472"/>
      <c r="I39" s="473"/>
      <c r="J39" s="342" t="e">
        <f t="shared" si="42"/>
        <v>#DIV/0!</v>
      </c>
      <c r="K39" s="473"/>
      <c r="L39" s="342" t="e">
        <f t="shared" si="43"/>
        <v>#DIV/0!</v>
      </c>
      <c r="M39" s="474">
        <f t="shared" si="44"/>
        <v>0</v>
      </c>
      <c r="N39" s="342" t="e">
        <f t="shared" si="45"/>
        <v>#DIV/0!</v>
      </c>
      <c r="O39" s="473"/>
      <c r="P39" s="342" t="e">
        <f t="shared" si="46"/>
        <v>#DIV/0!</v>
      </c>
      <c r="Q39" s="473"/>
      <c r="R39" s="342" t="e">
        <f t="shared" si="47"/>
        <v>#DIV/0!</v>
      </c>
      <c r="S39" s="474">
        <f t="shared" si="48"/>
        <v>0</v>
      </c>
      <c r="T39" s="342" t="e">
        <f t="shared" si="49"/>
        <v>#DIV/0!</v>
      </c>
      <c r="U39" s="473"/>
      <c r="V39" s="342" t="e">
        <f t="shared" si="50"/>
        <v>#DIV/0!</v>
      </c>
      <c r="W39" s="473"/>
      <c r="X39" s="342" t="e">
        <f t="shared" si="51"/>
        <v>#DIV/0!</v>
      </c>
      <c r="Y39" s="473"/>
      <c r="Z39" s="342" t="e">
        <f t="shared" si="53"/>
        <v>#DIV/0!</v>
      </c>
      <c r="AA39" s="473"/>
      <c r="AB39" s="342" t="e">
        <f t="shared" si="25"/>
        <v>#DIV/0!</v>
      </c>
      <c r="AC39" s="474">
        <f t="shared" si="54"/>
        <v>0</v>
      </c>
      <c r="AD39" s="342" t="e">
        <f t="shared" si="55"/>
        <v>#DIV/0!</v>
      </c>
      <c r="AE39" s="473"/>
      <c r="AF39" s="342" t="e">
        <f t="shared" si="56"/>
        <v>#DIV/0!</v>
      </c>
      <c r="AG39" s="473"/>
      <c r="AH39" s="342" t="e">
        <f t="shared" si="57"/>
        <v>#DIV/0!</v>
      </c>
      <c r="AI39" s="473"/>
      <c r="AJ39" s="342" t="e">
        <f t="shared" si="58"/>
        <v>#DIV/0!</v>
      </c>
      <c r="AK39" s="473"/>
      <c r="AL39" s="342" t="e">
        <f t="shared" si="52"/>
        <v>#DIV/0!</v>
      </c>
    </row>
    <row r="40" spans="2:38" s="469" customFormat="1" ht="14.25">
      <c r="B40" s="442"/>
      <c r="C40" s="448"/>
      <c r="D40" s="303">
        <f t="shared" si="59"/>
        <v>46236</v>
      </c>
      <c r="E40" s="303" t="s">
        <v>454</v>
      </c>
      <c r="F40" s="470">
        <f t="shared" si="5"/>
        <v>0</v>
      </c>
      <c r="G40" s="444"/>
      <c r="H40" s="472"/>
      <c r="I40" s="473"/>
      <c r="J40" s="342" t="e">
        <f t="shared" si="42"/>
        <v>#DIV/0!</v>
      </c>
      <c r="K40" s="473"/>
      <c r="L40" s="342" t="e">
        <f t="shared" si="43"/>
        <v>#DIV/0!</v>
      </c>
      <c r="M40" s="474">
        <f t="shared" si="44"/>
        <v>0</v>
      </c>
      <c r="N40" s="342" t="e">
        <f t="shared" si="45"/>
        <v>#DIV/0!</v>
      </c>
      <c r="O40" s="473"/>
      <c r="P40" s="342" t="e">
        <f t="shared" si="46"/>
        <v>#DIV/0!</v>
      </c>
      <c r="Q40" s="473"/>
      <c r="R40" s="342" t="e">
        <f t="shared" si="47"/>
        <v>#DIV/0!</v>
      </c>
      <c r="S40" s="474">
        <f t="shared" si="48"/>
        <v>0</v>
      </c>
      <c r="T40" s="342" t="e">
        <f t="shared" si="49"/>
        <v>#DIV/0!</v>
      </c>
      <c r="U40" s="473"/>
      <c r="V40" s="342" t="e">
        <f t="shared" si="50"/>
        <v>#DIV/0!</v>
      </c>
      <c r="W40" s="473"/>
      <c r="X40" s="342" t="e">
        <f t="shared" si="51"/>
        <v>#DIV/0!</v>
      </c>
      <c r="Y40" s="473"/>
      <c r="Z40" s="342" t="e">
        <f t="shared" si="53"/>
        <v>#DIV/0!</v>
      </c>
      <c r="AA40" s="473"/>
      <c r="AB40" s="342" t="e">
        <f t="shared" si="25"/>
        <v>#DIV/0!</v>
      </c>
      <c r="AC40" s="474">
        <f t="shared" si="54"/>
        <v>0</v>
      </c>
      <c r="AD40" s="342" t="e">
        <f t="shared" si="55"/>
        <v>#DIV/0!</v>
      </c>
      <c r="AE40" s="473"/>
      <c r="AF40" s="342" t="e">
        <f t="shared" si="56"/>
        <v>#DIV/0!</v>
      </c>
      <c r="AG40" s="473"/>
      <c r="AH40" s="342" t="e">
        <f t="shared" si="57"/>
        <v>#DIV/0!</v>
      </c>
      <c r="AI40" s="473"/>
      <c r="AJ40" s="342" t="e">
        <f t="shared" si="58"/>
        <v>#DIV/0!</v>
      </c>
      <c r="AK40" s="473"/>
      <c r="AL40" s="342" t="e">
        <f t="shared" si="52"/>
        <v>#DIV/0!</v>
      </c>
    </row>
    <row r="41" spans="2:38" s="469" customFormat="1" ht="14.25">
      <c r="B41" s="442"/>
      <c r="C41" s="448"/>
      <c r="D41" s="303">
        <f t="shared" si="59"/>
        <v>46237</v>
      </c>
      <c r="E41" s="303" t="s">
        <v>448</v>
      </c>
      <c r="F41" s="470">
        <f t="shared" si="5"/>
        <v>0</v>
      </c>
      <c r="G41" s="444"/>
      <c r="H41" s="472"/>
      <c r="I41" s="473"/>
      <c r="J41" s="342" t="e">
        <f t="shared" si="42"/>
        <v>#DIV/0!</v>
      </c>
      <c r="K41" s="473"/>
      <c r="L41" s="342" t="e">
        <f t="shared" si="43"/>
        <v>#DIV/0!</v>
      </c>
      <c r="M41" s="474">
        <f t="shared" si="44"/>
        <v>0</v>
      </c>
      <c r="N41" s="342" t="e">
        <f t="shared" si="45"/>
        <v>#DIV/0!</v>
      </c>
      <c r="O41" s="473"/>
      <c r="P41" s="342" t="e">
        <f t="shared" si="46"/>
        <v>#DIV/0!</v>
      </c>
      <c r="Q41" s="473"/>
      <c r="R41" s="342" t="e">
        <f t="shared" si="47"/>
        <v>#DIV/0!</v>
      </c>
      <c r="S41" s="474">
        <f t="shared" si="48"/>
        <v>0</v>
      </c>
      <c r="T41" s="342" t="e">
        <f t="shared" si="49"/>
        <v>#DIV/0!</v>
      </c>
      <c r="U41" s="473"/>
      <c r="V41" s="342" t="e">
        <f t="shared" si="50"/>
        <v>#DIV/0!</v>
      </c>
      <c r="W41" s="473"/>
      <c r="X41" s="342" t="e">
        <f t="shared" si="51"/>
        <v>#DIV/0!</v>
      </c>
      <c r="Y41" s="473"/>
      <c r="Z41" s="342" t="e">
        <f t="shared" ref="Z41" si="60">Y41/F41</f>
        <v>#DIV/0!</v>
      </c>
      <c r="AA41" s="473"/>
      <c r="AB41" s="342" t="e">
        <f t="shared" ref="AB41:AB49" si="61">AA41/$F41</f>
        <v>#DIV/0!</v>
      </c>
      <c r="AC41" s="474">
        <f t="shared" ref="AC41" si="62">SUM(Y41+AA41)</f>
        <v>0</v>
      </c>
      <c r="AD41" s="342" t="e">
        <f t="shared" ref="AD41" si="63">AC41/F41</f>
        <v>#DIV/0!</v>
      </c>
      <c r="AE41" s="473"/>
      <c r="AF41" s="342" t="e">
        <f t="shared" ref="AF41" si="64">AE41/F41</f>
        <v>#DIV/0!</v>
      </c>
      <c r="AG41" s="473"/>
      <c r="AH41" s="342" t="e">
        <f t="shared" ref="AH41" si="65">AG41/F41</f>
        <v>#DIV/0!</v>
      </c>
      <c r="AI41" s="473"/>
      <c r="AJ41" s="342" t="e">
        <f t="shared" ref="AJ41" si="66">AI41/F41</f>
        <v>#DIV/0!</v>
      </c>
      <c r="AK41" s="473"/>
      <c r="AL41" s="342" t="e">
        <f t="shared" si="52"/>
        <v>#DIV/0!</v>
      </c>
    </row>
    <row r="42" spans="2:38" ht="14.25">
      <c r="B42" s="97"/>
      <c r="C42" s="83"/>
      <c r="D42" s="359"/>
      <c r="E42" s="359"/>
      <c r="F42" s="227">
        <f t="shared" si="5"/>
        <v>0</v>
      </c>
      <c r="G42" s="301"/>
      <c r="H42" s="96"/>
      <c r="I42" s="233"/>
      <c r="J42" s="100" t="e">
        <f>I42/F42</f>
        <v>#DIV/0!</v>
      </c>
      <c r="K42" s="233"/>
      <c r="L42" s="100" t="e">
        <f>K42/F42</f>
        <v>#DIV/0!</v>
      </c>
      <c r="M42" s="226">
        <f>SUM(I42+K42)</f>
        <v>0</v>
      </c>
      <c r="N42" s="100" t="e">
        <f>M42/F42</f>
        <v>#DIV/0!</v>
      </c>
      <c r="O42" s="233"/>
      <c r="P42" s="100" t="e">
        <f>O42/F42</f>
        <v>#DIV/0!</v>
      </c>
      <c r="Q42" s="233"/>
      <c r="R42" s="100" t="e">
        <f t="shared" si="47"/>
        <v>#DIV/0!</v>
      </c>
      <c r="S42" s="226">
        <f t="shared" si="48"/>
        <v>0</v>
      </c>
      <c r="T42" s="100" t="e">
        <f>S42/F42</f>
        <v>#DIV/0!</v>
      </c>
      <c r="U42" s="233"/>
      <c r="V42" s="100" t="e">
        <f>U42/F42</f>
        <v>#DIV/0!</v>
      </c>
      <c r="W42" s="233"/>
      <c r="X42" s="100" t="e">
        <f>W42/F42</f>
        <v>#DIV/0!</v>
      </c>
      <c r="Y42" s="233"/>
      <c r="Z42" s="100" t="e">
        <f>Y42/F42</f>
        <v>#DIV/0!</v>
      </c>
      <c r="AA42" s="233"/>
      <c r="AB42" s="100" t="e">
        <f t="shared" si="61"/>
        <v>#DIV/0!</v>
      </c>
      <c r="AC42" s="226">
        <f>SUM(Y42+AA42)</f>
        <v>0</v>
      </c>
      <c r="AD42" s="100" t="e">
        <f>AC42/F42</f>
        <v>#DIV/0!</v>
      </c>
      <c r="AE42" s="233"/>
      <c r="AF42" s="100" t="e">
        <f>AE42/F42</f>
        <v>#DIV/0!</v>
      </c>
      <c r="AG42" s="233"/>
      <c r="AH42" s="100" t="e">
        <f>AG42/F42</f>
        <v>#DIV/0!</v>
      </c>
      <c r="AI42" s="233"/>
      <c r="AJ42" s="100" t="e">
        <f>AI42/F42</f>
        <v>#DIV/0!</v>
      </c>
      <c r="AK42" s="233"/>
      <c r="AL42" s="100" t="e">
        <f>AK42/F42</f>
        <v>#DIV/0!</v>
      </c>
    </row>
    <row r="43" spans="2:38" ht="14.25">
      <c r="B43" s="97"/>
      <c r="C43" s="83"/>
      <c r="D43" s="359"/>
      <c r="E43" s="359"/>
      <c r="F43" s="227">
        <f t="shared" si="5"/>
        <v>0</v>
      </c>
      <c r="G43" s="301"/>
      <c r="H43" s="96"/>
      <c r="I43" s="233"/>
      <c r="J43" s="100" t="e">
        <f>I43/F43</f>
        <v>#DIV/0!</v>
      </c>
      <c r="K43" s="233"/>
      <c r="L43" s="100" t="e">
        <f>K43/F43</f>
        <v>#DIV/0!</v>
      </c>
      <c r="M43" s="226">
        <f>SUM(I43+K43)</f>
        <v>0</v>
      </c>
      <c r="N43" s="100" t="e">
        <f>M43/F43</f>
        <v>#DIV/0!</v>
      </c>
      <c r="O43" s="233"/>
      <c r="P43" s="100" t="e">
        <f>O43/F43</f>
        <v>#DIV/0!</v>
      </c>
      <c r="Q43" s="233"/>
      <c r="R43" s="100" t="e">
        <f t="shared" si="47"/>
        <v>#DIV/0!</v>
      </c>
      <c r="S43" s="226">
        <f t="shared" si="48"/>
        <v>0</v>
      </c>
      <c r="T43" s="100" t="e">
        <f>S43/F43</f>
        <v>#DIV/0!</v>
      </c>
      <c r="U43" s="233"/>
      <c r="V43" s="100" t="e">
        <f>U43/F43</f>
        <v>#DIV/0!</v>
      </c>
      <c r="W43" s="233"/>
      <c r="X43" s="100" t="e">
        <f>W43/F43</f>
        <v>#DIV/0!</v>
      </c>
      <c r="Y43" s="233"/>
      <c r="Z43" s="100" t="e">
        <f>Y43/F43</f>
        <v>#DIV/0!</v>
      </c>
      <c r="AA43" s="233"/>
      <c r="AB43" s="100" t="e">
        <f t="shared" si="61"/>
        <v>#DIV/0!</v>
      </c>
      <c r="AC43" s="226">
        <f>SUM(Y43+AA43)</f>
        <v>0</v>
      </c>
      <c r="AD43" s="100" t="e">
        <f>AC43/F43</f>
        <v>#DIV/0!</v>
      </c>
      <c r="AE43" s="233"/>
      <c r="AF43" s="100" t="e">
        <f>AE43/F43</f>
        <v>#DIV/0!</v>
      </c>
      <c r="AG43" s="233"/>
      <c r="AH43" s="100" t="e">
        <f>AG43/F43</f>
        <v>#DIV/0!</v>
      </c>
      <c r="AI43" s="233"/>
      <c r="AJ43" s="100" t="e">
        <f>AI43/F43</f>
        <v>#DIV/0!</v>
      </c>
      <c r="AK43" s="233"/>
      <c r="AL43" s="100" t="e">
        <f>AK43/F43</f>
        <v>#DIV/0!</v>
      </c>
    </row>
    <row r="44" spans="2:38" ht="14.25">
      <c r="B44" s="97"/>
      <c r="C44" s="83"/>
      <c r="D44" s="359"/>
      <c r="E44" s="359"/>
      <c r="F44" s="227">
        <f t="shared" si="5"/>
        <v>0</v>
      </c>
      <c r="G44" s="227"/>
      <c r="H44" s="96"/>
      <c r="I44" s="233"/>
      <c r="J44" s="100" t="e">
        <f>I44/F44</f>
        <v>#DIV/0!</v>
      </c>
      <c r="K44" s="233"/>
      <c r="L44" s="100" t="e">
        <f>K44/F44</f>
        <v>#DIV/0!</v>
      </c>
      <c r="M44" s="226">
        <f>SUM(I44+K44)</f>
        <v>0</v>
      </c>
      <c r="N44" s="100" t="e">
        <f>M44/F44</f>
        <v>#DIV/0!</v>
      </c>
      <c r="O44" s="233"/>
      <c r="P44" s="100" t="e">
        <f>O44/F44</f>
        <v>#DIV/0!</v>
      </c>
      <c r="Q44" s="233"/>
      <c r="R44" s="100" t="e">
        <f t="shared" si="47"/>
        <v>#DIV/0!</v>
      </c>
      <c r="S44" s="226">
        <f t="shared" si="48"/>
        <v>0</v>
      </c>
      <c r="T44" s="100" t="e">
        <f>S44/F44</f>
        <v>#DIV/0!</v>
      </c>
      <c r="U44" s="233"/>
      <c r="V44" s="100" t="e">
        <f>U44/F44</f>
        <v>#DIV/0!</v>
      </c>
      <c r="W44" s="233"/>
      <c r="X44" s="100" t="e">
        <f>W44/F44</f>
        <v>#DIV/0!</v>
      </c>
      <c r="Y44" s="233"/>
      <c r="Z44" s="100" t="e">
        <f>Y44/F44</f>
        <v>#DIV/0!</v>
      </c>
      <c r="AA44" s="233"/>
      <c r="AB44" s="100" t="e">
        <f t="shared" si="61"/>
        <v>#DIV/0!</v>
      </c>
      <c r="AC44" s="226">
        <f>SUM(Y44+AA44)</f>
        <v>0</v>
      </c>
      <c r="AD44" s="100" t="e">
        <f>AC44/F44</f>
        <v>#DIV/0!</v>
      </c>
      <c r="AE44" s="233"/>
      <c r="AF44" s="100" t="e">
        <f>AE44/F44</f>
        <v>#DIV/0!</v>
      </c>
      <c r="AG44" s="233"/>
      <c r="AH44" s="100" t="e">
        <f>AG44/F44</f>
        <v>#DIV/0!</v>
      </c>
      <c r="AI44" s="233"/>
      <c r="AJ44" s="100" t="e">
        <f>AI44/F44</f>
        <v>#DIV/0!</v>
      </c>
      <c r="AK44" s="233"/>
      <c r="AL44" s="100" t="e">
        <f>AK44/F44</f>
        <v>#DIV/0!</v>
      </c>
    </row>
    <row r="45" spans="2:38" ht="14.25">
      <c r="B45" s="97"/>
      <c r="C45" s="83"/>
      <c r="D45" s="359"/>
      <c r="E45" s="359"/>
      <c r="F45" s="227">
        <f t="shared" ref="F45:F48" si="67">SUM(M45,S45,U45,W45,AC45,AE45,AG45,AI45,AK45)</f>
        <v>0</v>
      </c>
      <c r="G45" s="227"/>
      <c r="H45" s="96"/>
      <c r="I45" s="233"/>
      <c r="J45" s="100" t="e">
        <f t="shared" ref="J45:J48" si="68">I45/F45</f>
        <v>#DIV/0!</v>
      </c>
      <c r="K45" s="233"/>
      <c r="L45" s="100" t="e">
        <f t="shared" ref="L45:L48" si="69">K45/F45</f>
        <v>#DIV/0!</v>
      </c>
      <c r="M45" s="226">
        <f t="shared" ref="M45:M48" si="70">SUM(I45+K45)</f>
        <v>0</v>
      </c>
      <c r="N45" s="100" t="e">
        <f t="shared" ref="N45:N48" si="71">M45/F45</f>
        <v>#DIV/0!</v>
      </c>
      <c r="O45" s="233"/>
      <c r="P45" s="100" t="e">
        <f t="shared" ref="P45:P48" si="72">O45/F45</f>
        <v>#DIV/0!</v>
      </c>
      <c r="Q45" s="233"/>
      <c r="R45" s="100" t="e">
        <f t="shared" ref="R45:R48" si="73">Q45/$F45</f>
        <v>#DIV/0!</v>
      </c>
      <c r="S45" s="226">
        <f t="shared" ref="S45:S48" si="74">SUM(O45+Q45)</f>
        <v>0</v>
      </c>
      <c r="T45" s="100" t="e">
        <f t="shared" ref="T45:T48" si="75">S45/F45</f>
        <v>#DIV/0!</v>
      </c>
      <c r="U45" s="233"/>
      <c r="V45" s="100" t="e">
        <f t="shared" ref="V45:V48" si="76">U45/F45</f>
        <v>#DIV/0!</v>
      </c>
      <c r="W45" s="233"/>
      <c r="X45" s="100" t="e">
        <f t="shared" ref="X45:X48" si="77">W45/F45</f>
        <v>#DIV/0!</v>
      </c>
      <c r="Y45" s="233"/>
      <c r="Z45" s="100" t="e">
        <f t="shared" ref="Z45:Z48" si="78">Y45/F45</f>
        <v>#DIV/0!</v>
      </c>
      <c r="AA45" s="233"/>
      <c r="AB45" s="100" t="e">
        <f t="shared" ref="AB45:AB48" si="79">AA45/$F45</f>
        <v>#DIV/0!</v>
      </c>
      <c r="AC45" s="226">
        <f t="shared" ref="AC45:AC48" si="80">SUM(Y45+AA45)</f>
        <v>0</v>
      </c>
      <c r="AD45" s="100" t="e">
        <f t="shared" ref="AD45:AD48" si="81">AC45/F45</f>
        <v>#DIV/0!</v>
      </c>
      <c r="AE45" s="233"/>
      <c r="AF45" s="100" t="e">
        <f t="shared" ref="AF45:AF48" si="82">AE45/F45</f>
        <v>#DIV/0!</v>
      </c>
      <c r="AG45" s="233"/>
      <c r="AH45" s="100" t="e">
        <f t="shared" ref="AH45:AH48" si="83">AG45/F45</f>
        <v>#DIV/0!</v>
      </c>
      <c r="AI45" s="233"/>
      <c r="AJ45" s="100" t="e">
        <f t="shared" ref="AJ45:AJ48" si="84">AI45/F45</f>
        <v>#DIV/0!</v>
      </c>
      <c r="AK45" s="233"/>
      <c r="AL45" s="100" t="e">
        <f t="shared" ref="AL45:AL48" si="85">AK45/F45</f>
        <v>#DIV/0!</v>
      </c>
    </row>
    <row r="46" spans="2:38" ht="14.25">
      <c r="B46" s="97"/>
      <c r="C46" s="83"/>
      <c r="D46" s="359"/>
      <c r="E46" s="359"/>
      <c r="F46" s="227">
        <f t="shared" si="67"/>
        <v>0</v>
      </c>
      <c r="G46" s="227"/>
      <c r="H46" s="96"/>
      <c r="I46" s="233"/>
      <c r="J46" s="100" t="e">
        <f t="shared" si="68"/>
        <v>#DIV/0!</v>
      </c>
      <c r="K46" s="233"/>
      <c r="L46" s="100" t="e">
        <f t="shared" si="69"/>
        <v>#DIV/0!</v>
      </c>
      <c r="M46" s="226">
        <f t="shared" si="70"/>
        <v>0</v>
      </c>
      <c r="N46" s="100" t="e">
        <f t="shared" si="71"/>
        <v>#DIV/0!</v>
      </c>
      <c r="O46" s="233"/>
      <c r="P46" s="100" t="e">
        <f t="shared" si="72"/>
        <v>#DIV/0!</v>
      </c>
      <c r="Q46" s="233"/>
      <c r="R46" s="100" t="e">
        <f t="shared" si="73"/>
        <v>#DIV/0!</v>
      </c>
      <c r="S46" s="226">
        <f t="shared" si="74"/>
        <v>0</v>
      </c>
      <c r="T46" s="100" t="e">
        <f t="shared" si="75"/>
        <v>#DIV/0!</v>
      </c>
      <c r="U46" s="233"/>
      <c r="V46" s="100" t="e">
        <f t="shared" si="76"/>
        <v>#DIV/0!</v>
      </c>
      <c r="W46" s="233"/>
      <c r="X46" s="100" t="e">
        <f t="shared" si="77"/>
        <v>#DIV/0!</v>
      </c>
      <c r="Y46" s="233"/>
      <c r="Z46" s="100" t="e">
        <f t="shared" si="78"/>
        <v>#DIV/0!</v>
      </c>
      <c r="AA46" s="233"/>
      <c r="AB46" s="100" t="e">
        <f t="shared" si="79"/>
        <v>#DIV/0!</v>
      </c>
      <c r="AC46" s="226">
        <f t="shared" si="80"/>
        <v>0</v>
      </c>
      <c r="AD46" s="100" t="e">
        <f t="shared" si="81"/>
        <v>#DIV/0!</v>
      </c>
      <c r="AE46" s="233"/>
      <c r="AF46" s="100" t="e">
        <f t="shared" si="82"/>
        <v>#DIV/0!</v>
      </c>
      <c r="AG46" s="233"/>
      <c r="AH46" s="100" t="e">
        <f t="shared" si="83"/>
        <v>#DIV/0!</v>
      </c>
      <c r="AI46" s="233"/>
      <c r="AJ46" s="100" t="e">
        <f t="shared" si="84"/>
        <v>#DIV/0!</v>
      </c>
      <c r="AK46" s="233"/>
      <c r="AL46" s="100" t="e">
        <f t="shared" si="85"/>
        <v>#DIV/0!</v>
      </c>
    </row>
    <row r="47" spans="2:38" ht="14.25">
      <c r="B47" s="97"/>
      <c r="C47" s="83"/>
      <c r="D47" s="359"/>
      <c r="E47" s="359"/>
      <c r="F47" s="227">
        <f t="shared" si="67"/>
        <v>0</v>
      </c>
      <c r="G47" s="227"/>
      <c r="H47" s="96"/>
      <c r="I47" s="233"/>
      <c r="J47" s="100" t="e">
        <f t="shared" si="68"/>
        <v>#DIV/0!</v>
      </c>
      <c r="K47" s="233"/>
      <c r="L47" s="100" t="e">
        <f t="shared" si="69"/>
        <v>#DIV/0!</v>
      </c>
      <c r="M47" s="226">
        <f t="shared" si="70"/>
        <v>0</v>
      </c>
      <c r="N47" s="100" t="e">
        <f t="shared" si="71"/>
        <v>#DIV/0!</v>
      </c>
      <c r="O47" s="233"/>
      <c r="P47" s="100" t="e">
        <f t="shared" si="72"/>
        <v>#DIV/0!</v>
      </c>
      <c r="Q47" s="233"/>
      <c r="R47" s="100" t="e">
        <f t="shared" si="73"/>
        <v>#DIV/0!</v>
      </c>
      <c r="S47" s="226">
        <f t="shared" si="74"/>
        <v>0</v>
      </c>
      <c r="T47" s="100" t="e">
        <f t="shared" si="75"/>
        <v>#DIV/0!</v>
      </c>
      <c r="U47" s="233"/>
      <c r="V47" s="100" t="e">
        <f t="shared" si="76"/>
        <v>#DIV/0!</v>
      </c>
      <c r="W47" s="233"/>
      <c r="X47" s="100" t="e">
        <f t="shared" si="77"/>
        <v>#DIV/0!</v>
      </c>
      <c r="Y47" s="233"/>
      <c r="Z47" s="100" t="e">
        <f t="shared" si="78"/>
        <v>#DIV/0!</v>
      </c>
      <c r="AA47" s="233"/>
      <c r="AB47" s="100" t="e">
        <f t="shared" si="79"/>
        <v>#DIV/0!</v>
      </c>
      <c r="AC47" s="226">
        <f t="shared" si="80"/>
        <v>0</v>
      </c>
      <c r="AD47" s="100" t="e">
        <f t="shared" si="81"/>
        <v>#DIV/0!</v>
      </c>
      <c r="AE47" s="233"/>
      <c r="AF47" s="100" t="e">
        <f t="shared" si="82"/>
        <v>#DIV/0!</v>
      </c>
      <c r="AG47" s="233"/>
      <c r="AH47" s="100" t="e">
        <f t="shared" si="83"/>
        <v>#DIV/0!</v>
      </c>
      <c r="AI47" s="233"/>
      <c r="AJ47" s="100" t="e">
        <f t="shared" si="84"/>
        <v>#DIV/0!</v>
      </c>
      <c r="AK47" s="233"/>
      <c r="AL47" s="100" t="e">
        <f t="shared" si="85"/>
        <v>#DIV/0!</v>
      </c>
    </row>
    <row r="48" spans="2:38" ht="14.25">
      <c r="B48" s="97"/>
      <c r="C48" s="83"/>
      <c r="D48" s="359"/>
      <c r="E48" s="359"/>
      <c r="F48" s="227">
        <f t="shared" si="67"/>
        <v>0</v>
      </c>
      <c r="G48" s="227"/>
      <c r="H48" s="96"/>
      <c r="I48" s="233"/>
      <c r="J48" s="100" t="e">
        <f t="shared" si="68"/>
        <v>#DIV/0!</v>
      </c>
      <c r="K48" s="233"/>
      <c r="L48" s="100" t="e">
        <f t="shared" si="69"/>
        <v>#DIV/0!</v>
      </c>
      <c r="M48" s="226">
        <f t="shared" si="70"/>
        <v>0</v>
      </c>
      <c r="N48" s="100" t="e">
        <f t="shared" si="71"/>
        <v>#DIV/0!</v>
      </c>
      <c r="O48" s="233"/>
      <c r="P48" s="100" t="e">
        <f t="shared" si="72"/>
        <v>#DIV/0!</v>
      </c>
      <c r="Q48" s="233"/>
      <c r="R48" s="100" t="e">
        <f t="shared" si="73"/>
        <v>#DIV/0!</v>
      </c>
      <c r="S48" s="226">
        <f t="shared" si="74"/>
        <v>0</v>
      </c>
      <c r="T48" s="100" t="e">
        <f t="shared" si="75"/>
        <v>#DIV/0!</v>
      </c>
      <c r="U48" s="233"/>
      <c r="V48" s="100" t="e">
        <f t="shared" si="76"/>
        <v>#DIV/0!</v>
      </c>
      <c r="W48" s="233"/>
      <c r="X48" s="100" t="e">
        <f t="shared" si="77"/>
        <v>#DIV/0!</v>
      </c>
      <c r="Y48" s="233"/>
      <c r="Z48" s="100" t="e">
        <f t="shared" si="78"/>
        <v>#DIV/0!</v>
      </c>
      <c r="AA48" s="233"/>
      <c r="AB48" s="100" t="e">
        <f t="shared" si="79"/>
        <v>#DIV/0!</v>
      </c>
      <c r="AC48" s="226">
        <f t="shared" si="80"/>
        <v>0</v>
      </c>
      <c r="AD48" s="100" t="e">
        <f t="shared" si="81"/>
        <v>#DIV/0!</v>
      </c>
      <c r="AE48" s="233"/>
      <c r="AF48" s="100" t="e">
        <f t="shared" si="82"/>
        <v>#DIV/0!</v>
      </c>
      <c r="AG48" s="233"/>
      <c r="AH48" s="100" t="e">
        <f t="shared" si="83"/>
        <v>#DIV/0!</v>
      </c>
      <c r="AI48" s="233"/>
      <c r="AJ48" s="100" t="e">
        <f t="shared" si="84"/>
        <v>#DIV/0!</v>
      </c>
      <c r="AK48" s="233"/>
      <c r="AL48" s="100" t="e">
        <f t="shared" si="85"/>
        <v>#DIV/0!</v>
      </c>
    </row>
    <row r="49" spans="1:46" ht="14.25">
      <c r="B49" s="97"/>
      <c r="C49" s="83"/>
      <c r="D49" s="359"/>
      <c r="E49" s="359"/>
      <c r="F49" s="227">
        <f t="shared" si="5"/>
        <v>0</v>
      </c>
      <c r="G49" s="227"/>
      <c r="H49" s="96"/>
      <c r="I49" s="233"/>
      <c r="J49" s="100" t="e">
        <f>I49/F49</f>
        <v>#DIV/0!</v>
      </c>
      <c r="K49" s="233"/>
      <c r="L49" s="100" t="e">
        <f>K49/F49</f>
        <v>#DIV/0!</v>
      </c>
      <c r="M49" s="226">
        <f>SUM(I49+K49)</f>
        <v>0</v>
      </c>
      <c r="N49" s="100" t="e">
        <f>M49/F49</f>
        <v>#DIV/0!</v>
      </c>
      <c r="O49" s="233"/>
      <c r="P49" s="100" t="e">
        <f>O49/F49</f>
        <v>#DIV/0!</v>
      </c>
      <c r="Q49" s="233"/>
      <c r="R49" s="100" t="e">
        <f t="shared" si="47"/>
        <v>#DIV/0!</v>
      </c>
      <c r="S49" s="226">
        <f t="shared" si="48"/>
        <v>0</v>
      </c>
      <c r="T49" s="100" t="e">
        <f>S49/F49</f>
        <v>#DIV/0!</v>
      </c>
      <c r="U49" s="233"/>
      <c r="V49" s="100" t="e">
        <f>U49/F49</f>
        <v>#DIV/0!</v>
      </c>
      <c r="W49" s="233"/>
      <c r="X49" s="100" t="e">
        <f>W49/F49</f>
        <v>#DIV/0!</v>
      </c>
      <c r="Y49" s="233"/>
      <c r="Z49" s="100" t="e">
        <f>Y49/F49</f>
        <v>#DIV/0!</v>
      </c>
      <c r="AA49" s="233"/>
      <c r="AB49" s="100" t="e">
        <f t="shared" si="61"/>
        <v>#DIV/0!</v>
      </c>
      <c r="AC49" s="226">
        <f>SUM(Y49+AA49)</f>
        <v>0</v>
      </c>
      <c r="AD49" s="100" t="e">
        <f>AC49/F49</f>
        <v>#DIV/0!</v>
      </c>
      <c r="AE49" s="233"/>
      <c r="AF49" s="100" t="e">
        <f>AE49/F49</f>
        <v>#DIV/0!</v>
      </c>
      <c r="AG49" s="233"/>
      <c r="AH49" s="100" t="e">
        <f>AG49/F49</f>
        <v>#DIV/0!</v>
      </c>
      <c r="AI49" s="233"/>
      <c r="AJ49" s="100" t="e">
        <f>AI49/F49</f>
        <v>#DIV/0!</v>
      </c>
      <c r="AK49" s="233"/>
      <c r="AL49" s="100" t="e">
        <f>AK49/F49</f>
        <v>#DIV/0!</v>
      </c>
    </row>
    <row r="50" spans="1:46" ht="14.25">
      <c r="B50" s="97"/>
      <c r="C50" s="83"/>
      <c r="D50" s="359"/>
      <c r="E50" s="359"/>
      <c r="F50" s="96"/>
      <c r="G50" s="96"/>
      <c r="H50" s="96"/>
      <c r="I50" s="274">
        <f>SUM(I7:I49)</f>
        <v>15707906.451378457</v>
      </c>
      <c r="J50" s="270">
        <f>I50/$H$12</f>
        <v>6.7785743624602185E-2</v>
      </c>
      <c r="K50" s="274">
        <f>SUM(K7:K49)</f>
        <v>21797014.338683613</v>
      </c>
      <c r="L50" s="270">
        <f>K50/$H$12</f>
        <v>9.4062619376888632E-2</v>
      </c>
      <c r="M50" s="274">
        <f>SUM(M8:M49)</f>
        <v>35971575.986871004</v>
      </c>
      <c r="N50" s="270" t="e">
        <f>M50/$H$8</f>
        <v>#DIV/0!</v>
      </c>
      <c r="O50" s="274">
        <f>SUM(O7:O49)</f>
        <v>4372102.2616305053</v>
      </c>
      <c r="P50" s="270">
        <f>O50/$H$12</f>
        <v>1.8867326713765922E-2</v>
      </c>
      <c r="Q50" s="274">
        <f>SUM(Q7:Q49)</f>
        <v>0</v>
      </c>
      <c r="R50" s="270">
        <f>Q50/$H$12</f>
        <v>0</v>
      </c>
      <c r="S50" s="274">
        <f>SUM(S8:S49)</f>
        <v>4225648.7510132771</v>
      </c>
      <c r="T50" s="270" t="e">
        <f>S50/$H$8</f>
        <v>#DIV/0!</v>
      </c>
      <c r="U50" s="274">
        <f>SUM(U7:U49)</f>
        <v>25595773.740999233</v>
      </c>
      <c r="V50" s="270">
        <f>U50/$H$12</f>
        <v>0.11045574800507169</v>
      </c>
      <c r="W50" s="274">
        <f>SUM(W7:W49)</f>
        <v>3802545.8214990823</v>
      </c>
      <c r="X50" s="270">
        <f>W50/$H$12</f>
        <v>1.6409468503953265E-2</v>
      </c>
      <c r="Y50" s="274">
        <f>SUM(Y7:Y49)</f>
        <v>18637257.465566467</v>
      </c>
      <c r="Z50" s="270">
        <f>Y50/$H$12</f>
        <v>8.0427035922137569E-2</v>
      </c>
      <c r="AA50" s="274">
        <f>SUM(AA7:AA49)</f>
        <v>32722399.257022593</v>
      </c>
      <c r="AB50" s="270">
        <f>AA50/$H$12</f>
        <v>0.14120991703663696</v>
      </c>
      <c r="AC50" s="274">
        <f>SUM(AC8:AC49)</f>
        <v>49478770.025819652</v>
      </c>
      <c r="AD50" s="270" t="e">
        <f>AC50/$H$8</f>
        <v>#DIV/0!</v>
      </c>
      <c r="AE50" s="274">
        <f>SUM(AE7:AE49)</f>
        <v>39654569.369539574</v>
      </c>
      <c r="AF50" s="270">
        <f>AE50/$H$12</f>
        <v>0.17112493514956756</v>
      </c>
      <c r="AG50" s="274">
        <f>SUM(AG7:AG49)</f>
        <v>20063984.899124112</v>
      </c>
      <c r="AH50" s="270">
        <f>AG50/$H$12</f>
        <v>8.6583921330939978E-2</v>
      </c>
      <c r="AI50" s="274">
        <f>SUM(AI7:AI49)</f>
        <v>38519999.964414932</v>
      </c>
      <c r="AJ50" s="270">
        <f>AI50/$H$12</f>
        <v>0.16622882559746696</v>
      </c>
      <c r="AK50" s="274">
        <f>SUM(AK7:AK49)</f>
        <v>20209371.430141442</v>
      </c>
      <c r="AL50" s="270">
        <f>AK50/$H$12</f>
        <v>8.7211320924164962E-2</v>
      </c>
    </row>
    <row r="51" spans="1:46" ht="14.25">
      <c r="B51" s="97"/>
      <c r="C51" s="83"/>
      <c r="D51" s="359"/>
      <c r="E51" s="359"/>
      <c r="F51" s="96"/>
      <c r="G51" s="96"/>
      <c r="H51" s="96"/>
      <c r="I51" s="271"/>
      <c r="J51" s="272"/>
      <c r="K51" s="271"/>
      <c r="L51" s="272"/>
      <c r="M51" s="273">
        <f>M50</f>
        <v>35971575.986871004</v>
      </c>
      <c r="N51" s="272"/>
      <c r="O51" s="271"/>
      <c r="P51" s="272"/>
      <c r="Q51" s="271"/>
      <c r="R51" s="272"/>
      <c r="S51" s="273">
        <f>S50</f>
        <v>4225648.7510132771</v>
      </c>
      <c r="T51" s="272"/>
      <c r="U51" s="273">
        <f>U50</f>
        <v>25595773.740999233</v>
      </c>
      <c r="V51" s="272"/>
      <c r="W51" s="273">
        <f>W50</f>
        <v>3802545.8214990823</v>
      </c>
      <c r="X51" s="272"/>
      <c r="Y51" s="271"/>
      <c r="Z51" s="272"/>
      <c r="AA51" s="271"/>
      <c r="AB51" s="272"/>
      <c r="AC51" s="273">
        <f>AC50</f>
        <v>49478770.025819652</v>
      </c>
      <c r="AD51" s="272"/>
      <c r="AE51" s="273">
        <f>AE50</f>
        <v>39654569.369539574</v>
      </c>
      <c r="AF51" s="272"/>
      <c r="AG51" s="273">
        <f>AG50</f>
        <v>20063984.899124112</v>
      </c>
      <c r="AH51" s="272"/>
      <c r="AI51" s="273">
        <f>AI50</f>
        <v>38519999.964414932</v>
      </c>
      <c r="AJ51" s="272"/>
      <c r="AK51" s="273">
        <f>AK50</f>
        <v>20209371.430141442</v>
      </c>
      <c r="AL51" s="272"/>
    </row>
    <row r="52" spans="1:46" ht="14.25">
      <c r="B52" s="97"/>
      <c r="C52" s="83"/>
      <c r="D52" s="359"/>
      <c r="E52" s="359"/>
      <c r="F52" s="96"/>
      <c r="G52" s="96"/>
      <c r="H52" s="96"/>
    </row>
    <row r="53" spans="1:46" ht="14.25">
      <c r="B53" s="97"/>
      <c r="C53" s="83"/>
      <c r="D53" s="84"/>
      <c r="F53" s="96"/>
      <c r="G53" s="96"/>
      <c r="H53" s="96"/>
    </row>
    <row r="54" spans="1:46" s="84" customFormat="1" ht="14.25">
      <c r="A54" s="77"/>
      <c r="B54" s="97"/>
      <c r="C54" s="83"/>
      <c r="F54" s="101"/>
      <c r="G54" s="101"/>
      <c r="H54" s="101"/>
      <c r="I54" s="96"/>
      <c r="J54" s="89"/>
      <c r="K54" s="96"/>
      <c r="L54" s="89"/>
      <c r="M54" s="89"/>
      <c r="N54" s="89"/>
      <c r="O54" s="96"/>
      <c r="P54" s="89"/>
      <c r="Q54" s="96"/>
      <c r="R54" s="89"/>
      <c r="S54" s="96"/>
      <c r="T54" s="89"/>
      <c r="U54" s="96"/>
      <c r="V54" s="89"/>
      <c r="W54" s="96"/>
      <c r="X54" s="89"/>
      <c r="Y54" s="96"/>
      <c r="Z54" s="89"/>
      <c r="AA54" s="96"/>
      <c r="AB54" s="89"/>
      <c r="AC54" s="96"/>
      <c r="AD54" s="89"/>
      <c r="AE54" s="96"/>
      <c r="AF54" s="89"/>
      <c r="AG54" s="96"/>
      <c r="AH54" s="89"/>
      <c r="AI54" s="96"/>
      <c r="AJ54" s="89"/>
      <c r="AK54" s="96"/>
      <c r="AL54" s="89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7"/>
      <c r="C55" s="83"/>
      <c r="F55" s="101"/>
      <c r="G55" s="101"/>
      <c r="H55" s="101"/>
      <c r="I55" s="96"/>
      <c r="J55" s="89"/>
      <c r="K55" s="96"/>
      <c r="L55" s="89"/>
      <c r="M55" s="89"/>
      <c r="N55" s="89"/>
      <c r="O55" s="96"/>
      <c r="P55" s="89"/>
      <c r="Q55" s="96"/>
      <c r="R55" s="89"/>
      <c r="S55" s="96"/>
      <c r="T55" s="89"/>
      <c r="U55" s="96"/>
      <c r="V55" s="89"/>
      <c r="W55" s="96"/>
      <c r="X55" s="89"/>
      <c r="Y55" s="96"/>
      <c r="Z55" s="89"/>
      <c r="AA55" s="96"/>
      <c r="AB55" s="89"/>
      <c r="AC55" s="96"/>
      <c r="AD55" s="89"/>
      <c r="AE55" s="96"/>
      <c r="AF55" s="89"/>
      <c r="AG55" s="96"/>
      <c r="AH55" s="89"/>
      <c r="AI55" s="96"/>
      <c r="AJ55" s="89"/>
      <c r="AK55" s="96"/>
      <c r="AL55" s="89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7"/>
      <c r="C56" s="83"/>
      <c r="F56" s="101"/>
      <c r="G56" s="101"/>
      <c r="H56" s="101"/>
      <c r="I56" s="96"/>
      <c r="J56" s="89"/>
      <c r="K56" s="96"/>
      <c r="L56" s="89"/>
      <c r="M56" s="89"/>
      <c r="N56" s="89"/>
      <c r="O56" s="96"/>
      <c r="P56" s="89"/>
      <c r="Q56" s="96"/>
      <c r="R56" s="89"/>
      <c r="S56" s="96"/>
      <c r="T56" s="89"/>
      <c r="U56" s="96"/>
      <c r="V56" s="89"/>
      <c r="W56" s="96"/>
      <c r="X56" s="89"/>
      <c r="Y56" s="96"/>
      <c r="Z56" s="89"/>
      <c r="AA56" s="96"/>
      <c r="AB56" s="89"/>
      <c r="AC56" s="96"/>
      <c r="AD56" s="89"/>
      <c r="AE56" s="96"/>
      <c r="AF56" s="89"/>
      <c r="AG56" s="96"/>
      <c r="AH56" s="89"/>
      <c r="AI56" s="96"/>
      <c r="AJ56" s="89"/>
      <c r="AK56" s="96"/>
      <c r="AL56" s="89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7"/>
      <c r="C57" s="83"/>
      <c r="F57" s="101"/>
      <c r="G57" s="101"/>
      <c r="H57" s="101"/>
      <c r="I57" s="96"/>
      <c r="J57" s="89"/>
      <c r="K57" s="96"/>
      <c r="L57" s="89"/>
      <c r="M57" s="89"/>
      <c r="N57" s="89"/>
      <c r="O57" s="96"/>
      <c r="P57" s="89"/>
      <c r="Q57" s="96"/>
      <c r="R57" s="89"/>
      <c r="S57" s="96"/>
      <c r="T57" s="89"/>
      <c r="U57" s="96"/>
      <c r="V57" s="89"/>
      <c r="W57" s="96"/>
      <c r="X57" s="89"/>
      <c r="Y57" s="96"/>
      <c r="Z57" s="89"/>
      <c r="AA57" s="96"/>
      <c r="AB57" s="89"/>
      <c r="AC57" s="96"/>
      <c r="AD57" s="89"/>
      <c r="AE57" s="96"/>
      <c r="AF57" s="89"/>
      <c r="AG57" s="96"/>
      <c r="AH57" s="89"/>
      <c r="AI57" s="96"/>
      <c r="AJ57" s="89"/>
      <c r="AK57" s="96"/>
      <c r="AL57" s="89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7"/>
      <c r="C58" s="83"/>
      <c r="F58" s="101"/>
      <c r="G58" s="101"/>
      <c r="H58" s="101"/>
      <c r="I58" s="96"/>
      <c r="J58" s="89"/>
      <c r="K58" s="96"/>
      <c r="L58" s="89"/>
      <c r="M58" s="89"/>
      <c r="N58" s="89"/>
      <c r="O58" s="96"/>
      <c r="P58" s="89"/>
      <c r="Q58" s="96"/>
      <c r="R58" s="89"/>
      <c r="S58" s="96"/>
      <c r="T58" s="89"/>
      <c r="U58" s="96"/>
      <c r="V58" s="89"/>
      <c r="W58" s="96"/>
      <c r="X58" s="89"/>
      <c r="Y58" s="96"/>
      <c r="Z58" s="89"/>
      <c r="AA58" s="96"/>
      <c r="AB58" s="89"/>
      <c r="AC58" s="96"/>
      <c r="AD58" s="89"/>
      <c r="AE58" s="96"/>
      <c r="AF58" s="89"/>
      <c r="AG58" s="96"/>
      <c r="AH58" s="89"/>
      <c r="AI58" s="96"/>
      <c r="AJ58" s="89"/>
      <c r="AK58" s="96"/>
      <c r="AL58" s="89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7"/>
      <c r="C59" s="83"/>
      <c r="F59" s="101"/>
      <c r="G59" s="101"/>
      <c r="H59" s="101"/>
      <c r="I59" s="96"/>
      <c r="J59" s="89"/>
      <c r="K59" s="96"/>
      <c r="L59" s="89"/>
      <c r="M59" s="89"/>
      <c r="N59" s="89"/>
      <c r="O59" s="96"/>
      <c r="P59" s="89"/>
      <c r="Q59" s="96"/>
      <c r="R59" s="89"/>
      <c r="S59" s="96"/>
      <c r="T59" s="89"/>
      <c r="U59" s="96"/>
      <c r="V59" s="89"/>
      <c r="W59" s="96"/>
      <c r="X59" s="89"/>
      <c r="Y59" s="96"/>
      <c r="Z59" s="89"/>
      <c r="AA59" s="96"/>
      <c r="AB59" s="89"/>
      <c r="AC59" s="96"/>
      <c r="AD59" s="89"/>
      <c r="AE59" s="96"/>
      <c r="AF59" s="89"/>
      <c r="AG59" s="96"/>
      <c r="AH59" s="89"/>
      <c r="AI59" s="96"/>
      <c r="AJ59" s="89"/>
      <c r="AK59" s="96"/>
      <c r="AL59" s="89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7"/>
      <c r="C60" s="83"/>
      <c r="F60" s="101"/>
      <c r="G60" s="101"/>
      <c r="H60" s="101"/>
      <c r="I60" s="96"/>
      <c r="J60" s="89"/>
      <c r="K60" s="96"/>
      <c r="L60" s="89"/>
      <c r="M60" s="89"/>
      <c r="N60" s="89"/>
      <c r="O60" s="96"/>
      <c r="P60" s="89"/>
      <c r="Q60" s="96"/>
      <c r="R60" s="89"/>
      <c r="S60" s="96"/>
      <c r="T60" s="89"/>
      <c r="U60" s="96"/>
      <c r="V60" s="89"/>
      <c r="W60" s="96"/>
      <c r="X60" s="89"/>
      <c r="Y60" s="96"/>
      <c r="Z60" s="89"/>
      <c r="AA60" s="96"/>
      <c r="AB60" s="89"/>
      <c r="AC60" s="96"/>
      <c r="AD60" s="89"/>
      <c r="AE60" s="96"/>
      <c r="AF60" s="89"/>
      <c r="AG60" s="96"/>
      <c r="AH60" s="89"/>
      <c r="AI60" s="96"/>
      <c r="AJ60" s="89"/>
      <c r="AK60" s="96"/>
      <c r="AL60" s="89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7"/>
      <c r="C61" s="83"/>
      <c r="F61" s="101"/>
      <c r="G61" s="101"/>
      <c r="H61" s="101"/>
      <c r="I61" s="96"/>
      <c r="J61" s="89"/>
      <c r="K61" s="96"/>
      <c r="L61" s="89"/>
      <c r="M61" s="89"/>
      <c r="N61" s="89"/>
      <c r="O61" s="96"/>
      <c r="P61" s="89"/>
      <c r="Q61" s="96"/>
      <c r="R61" s="89"/>
      <c r="S61" s="96"/>
      <c r="T61" s="89"/>
      <c r="U61" s="96"/>
      <c r="V61" s="89"/>
      <c r="W61" s="96"/>
      <c r="X61" s="89"/>
      <c r="Y61" s="96"/>
      <c r="Z61" s="89"/>
      <c r="AA61" s="96"/>
      <c r="AB61" s="89"/>
      <c r="AC61" s="96"/>
      <c r="AD61" s="89"/>
      <c r="AE61" s="96"/>
      <c r="AF61" s="89"/>
      <c r="AG61" s="96"/>
      <c r="AH61" s="89"/>
      <c r="AI61" s="96"/>
      <c r="AJ61" s="89"/>
      <c r="AK61" s="96"/>
      <c r="AL61" s="89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7"/>
      <c r="C62" s="83"/>
      <c r="F62" s="101"/>
      <c r="G62" s="101"/>
      <c r="H62" s="101"/>
      <c r="I62" s="96"/>
      <c r="J62" s="89"/>
      <c r="K62" s="96"/>
      <c r="L62" s="89"/>
      <c r="M62" s="89"/>
      <c r="N62" s="89"/>
      <c r="O62" s="96"/>
      <c r="P62" s="89"/>
      <c r="Q62" s="96"/>
      <c r="R62" s="89"/>
      <c r="S62" s="96"/>
      <c r="T62" s="89"/>
      <c r="U62" s="96"/>
      <c r="V62" s="89"/>
      <c r="W62" s="96"/>
      <c r="X62" s="89"/>
      <c r="Y62" s="96"/>
      <c r="Z62" s="89"/>
      <c r="AA62" s="96"/>
      <c r="AB62" s="89"/>
      <c r="AC62" s="96"/>
      <c r="AD62" s="89"/>
      <c r="AE62" s="96"/>
      <c r="AF62" s="89"/>
      <c r="AG62" s="96"/>
      <c r="AH62" s="89"/>
      <c r="AI62" s="96"/>
      <c r="AJ62" s="89"/>
      <c r="AK62" s="96"/>
      <c r="AL62" s="89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7"/>
      <c r="C63" s="83"/>
      <c r="F63" s="101"/>
      <c r="G63" s="101"/>
      <c r="H63" s="101"/>
      <c r="I63" s="96"/>
      <c r="J63" s="89"/>
      <c r="K63" s="96"/>
      <c r="L63" s="89"/>
      <c r="M63" s="89"/>
      <c r="N63" s="89"/>
      <c r="O63" s="96"/>
      <c r="P63" s="89"/>
      <c r="Q63" s="96"/>
      <c r="R63" s="89"/>
      <c r="S63" s="96"/>
      <c r="T63" s="89"/>
      <c r="U63" s="96"/>
      <c r="V63" s="89"/>
      <c r="W63" s="96"/>
      <c r="X63" s="89"/>
      <c r="Y63" s="96"/>
      <c r="Z63" s="89"/>
      <c r="AA63" s="96"/>
      <c r="AB63" s="89"/>
      <c r="AC63" s="96"/>
      <c r="AD63" s="89"/>
      <c r="AE63" s="96"/>
      <c r="AF63" s="89"/>
      <c r="AG63" s="96"/>
      <c r="AH63" s="89"/>
      <c r="AI63" s="96"/>
      <c r="AJ63" s="89"/>
      <c r="AK63" s="96"/>
      <c r="AL63" s="89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7"/>
      <c r="C64" s="83"/>
      <c r="F64" s="101"/>
      <c r="G64" s="101"/>
      <c r="H64" s="101"/>
      <c r="I64" s="96"/>
      <c r="J64" s="89"/>
      <c r="K64" s="96"/>
      <c r="L64" s="89"/>
      <c r="M64" s="89"/>
      <c r="N64" s="89"/>
      <c r="O64" s="96"/>
      <c r="P64" s="89"/>
      <c r="Q64" s="96"/>
      <c r="R64" s="89"/>
      <c r="S64" s="96"/>
      <c r="T64" s="89"/>
      <c r="U64" s="96"/>
      <c r="V64" s="89"/>
      <c r="W64" s="96"/>
      <c r="X64" s="89"/>
      <c r="Y64" s="96"/>
      <c r="Z64" s="89"/>
      <c r="AA64" s="96"/>
      <c r="AB64" s="89"/>
      <c r="AC64" s="96"/>
      <c r="AD64" s="89"/>
      <c r="AE64" s="96"/>
      <c r="AF64" s="89"/>
      <c r="AG64" s="96"/>
      <c r="AH64" s="89"/>
      <c r="AI64" s="96"/>
      <c r="AJ64" s="89"/>
      <c r="AK64" s="96"/>
      <c r="AL64" s="89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7"/>
      <c r="C65" s="83"/>
      <c r="F65" s="101"/>
      <c r="G65" s="101"/>
      <c r="H65" s="101"/>
      <c r="I65" s="96"/>
      <c r="J65" s="89"/>
      <c r="K65" s="96"/>
      <c r="L65" s="89"/>
      <c r="M65" s="89"/>
      <c r="N65" s="89"/>
      <c r="O65" s="96"/>
      <c r="P65" s="89"/>
      <c r="Q65" s="96"/>
      <c r="R65" s="89"/>
      <c r="S65" s="96"/>
      <c r="T65" s="89"/>
      <c r="U65" s="96"/>
      <c r="V65" s="89"/>
      <c r="W65" s="96"/>
      <c r="X65" s="89"/>
      <c r="Y65" s="96"/>
      <c r="Z65" s="89"/>
      <c r="AA65" s="96"/>
      <c r="AB65" s="89"/>
      <c r="AC65" s="96"/>
      <c r="AD65" s="89"/>
      <c r="AE65" s="96"/>
      <c r="AF65" s="89"/>
      <c r="AG65" s="96"/>
      <c r="AH65" s="89"/>
      <c r="AI65" s="96"/>
      <c r="AJ65" s="89"/>
      <c r="AK65" s="96"/>
      <c r="AL65" s="89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7"/>
      <c r="C66" s="83"/>
      <c r="F66" s="101"/>
      <c r="G66" s="101"/>
      <c r="H66" s="101"/>
      <c r="I66" s="96"/>
      <c r="J66" s="89"/>
      <c r="K66" s="96"/>
      <c r="L66" s="89"/>
      <c r="M66" s="89"/>
      <c r="N66" s="89"/>
      <c r="O66" s="96"/>
      <c r="P66" s="89"/>
      <c r="Q66" s="96"/>
      <c r="R66" s="89"/>
      <c r="S66" s="96"/>
      <c r="T66" s="89"/>
      <c r="U66" s="96"/>
      <c r="V66" s="89"/>
      <c r="W66" s="96"/>
      <c r="X66" s="89"/>
      <c r="Y66" s="96"/>
      <c r="Z66" s="89"/>
      <c r="AA66" s="96"/>
      <c r="AB66" s="89"/>
      <c r="AC66" s="96"/>
      <c r="AD66" s="89"/>
      <c r="AE66" s="96"/>
      <c r="AF66" s="89"/>
      <c r="AG66" s="96"/>
      <c r="AH66" s="89"/>
      <c r="AI66" s="96"/>
      <c r="AJ66" s="89"/>
      <c r="AK66" s="96"/>
      <c r="AL66" s="89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7"/>
      <c r="C67" s="83"/>
      <c r="F67" s="101"/>
      <c r="G67" s="101"/>
      <c r="H67" s="101"/>
      <c r="I67" s="96"/>
      <c r="J67" s="89"/>
      <c r="K67" s="96"/>
      <c r="L67" s="89"/>
      <c r="M67" s="89"/>
      <c r="N67" s="89"/>
      <c r="O67" s="96"/>
      <c r="P67" s="89"/>
      <c r="Q67" s="96"/>
      <c r="R67" s="89"/>
      <c r="S67" s="96"/>
      <c r="T67" s="89"/>
      <c r="U67" s="96"/>
      <c r="V67" s="89"/>
      <c r="W67" s="96"/>
      <c r="X67" s="89"/>
      <c r="Y67" s="96"/>
      <c r="Z67" s="89"/>
      <c r="AA67" s="96"/>
      <c r="AB67" s="89"/>
      <c r="AC67" s="96"/>
      <c r="AD67" s="89"/>
      <c r="AE67" s="96"/>
      <c r="AF67" s="89"/>
      <c r="AG67" s="96"/>
      <c r="AH67" s="89"/>
      <c r="AI67" s="96"/>
      <c r="AJ67" s="89"/>
      <c r="AK67" s="96"/>
      <c r="AL67" s="89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7"/>
      <c r="C68" s="83"/>
      <c r="F68" s="101"/>
      <c r="G68" s="101"/>
      <c r="H68" s="101"/>
      <c r="I68" s="96"/>
      <c r="J68" s="89"/>
      <c r="K68" s="96"/>
      <c r="L68" s="89"/>
      <c r="M68" s="89"/>
      <c r="N68" s="89"/>
      <c r="O68" s="96"/>
      <c r="P68" s="89"/>
      <c r="Q68" s="96"/>
      <c r="R68" s="89"/>
      <c r="S68" s="96"/>
      <c r="T68" s="89"/>
      <c r="U68" s="96"/>
      <c r="V68" s="89"/>
      <c r="W68" s="96"/>
      <c r="X68" s="89"/>
      <c r="Y68" s="96"/>
      <c r="Z68" s="89"/>
      <c r="AA68" s="96"/>
      <c r="AB68" s="89"/>
      <c r="AC68" s="96"/>
      <c r="AD68" s="89"/>
      <c r="AE68" s="96"/>
      <c r="AF68" s="89"/>
      <c r="AG68" s="96"/>
      <c r="AH68" s="89"/>
      <c r="AI68" s="96"/>
      <c r="AJ68" s="89"/>
      <c r="AK68" s="96"/>
      <c r="AL68" s="89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7"/>
      <c r="C69" s="83"/>
      <c r="F69" s="101"/>
      <c r="G69" s="101"/>
      <c r="H69" s="101"/>
      <c r="I69" s="96"/>
      <c r="J69" s="89"/>
      <c r="K69" s="96"/>
      <c r="L69" s="89"/>
      <c r="M69" s="89"/>
      <c r="N69" s="89"/>
      <c r="O69" s="96"/>
      <c r="P69" s="89"/>
      <c r="Q69" s="96"/>
      <c r="R69" s="89"/>
      <c r="S69" s="96"/>
      <c r="T69" s="89"/>
      <c r="U69" s="96"/>
      <c r="V69" s="89"/>
      <c r="W69" s="96"/>
      <c r="X69" s="89"/>
      <c r="Y69" s="96"/>
      <c r="Z69" s="89"/>
      <c r="AA69" s="96"/>
      <c r="AB69" s="89"/>
      <c r="AC69" s="96"/>
      <c r="AD69" s="89"/>
      <c r="AE69" s="96"/>
      <c r="AF69" s="89"/>
      <c r="AG69" s="96"/>
      <c r="AH69" s="89"/>
      <c r="AI69" s="96"/>
      <c r="AJ69" s="89"/>
      <c r="AK69" s="96"/>
      <c r="AL69" s="89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7"/>
      <c r="C70" s="83"/>
      <c r="F70" s="101"/>
      <c r="G70" s="101"/>
      <c r="H70" s="101"/>
      <c r="I70" s="96"/>
      <c r="J70" s="89"/>
      <c r="K70" s="96"/>
      <c r="L70" s="89"/>
      <c r="M70" s="89"/>
      <c r="N70" s="89"/>
      <c r="O70" s="96"/>
      <c r="P70" s="89"/>
      <c r="Q70" s="96"/>
      <c r="R70" s="89"/>
      <c r="S70" s="96"/>
      <c r="T70" s="89"/>
      <c r="U70" s="96"/>
      <c r="V70" s="89"/>
      <c r="W70" s="96"/>
      <c r="X70" s="89"/>
      <c r="Y70" s="96"/>
      <c r="Z70" s="89"/>
      <c r="AA70" s="96"/>
      <c r="AB70" s="89"/>
      <c r="AC70" s="96"/>
      <c r="AD70" s="89"/>
      <c r="AE70" s="96"/>
      <c r="AF70" s="89"/>
      <c r="AG70" s="96"/>
      <c r="AH70" s="89"/>
      <c r="AI70" s="96"/>
      <c r="AJ70" s="89"/>
      <c r="AK70" s="96"/>
      <c r="AL70" s="89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7"/>
      <c r="C71" s="83"/>
      <c r="F71" s="101"/>
      <c r="G71" s="101"/>
      <c r="H71" s="101"/>
      <c r="I71" s="96"/>
      <c r="J71" s="89"/>
      <c r="K71" s="96"/>
      <c r="L71" s="89"/>
      <c r="M71" s="89"/>
      <c r="N71" s="89"/>
      <c r="O71" s="96"/>
      <c r="P71" s="89"/>
      <c r="Q71" s="96"/>
      <c r="R71" s="89"/>
      <c r="S71" s="96"/>
      <c r="T71" s="89"/>
      <c r="U71" s="96"/>
      <c r="V71" s="89"/>
      <c r="W71" s="96"/>
      <c r="X71" s="89"/>
      <c r="Y71" s="96"/>
      <c r="Z71" s="89"/>
      <c r="AA71" s="96"/>
      <c r="AB71" s="89"/>
      <c r="AC71" s="96"/>
      <c r="AD71" s="89"/>
      <c r="AE71" s="96"/>
      <c r="AF71" s="89"/>
      <c r="AG71" s="96"/>
      <c r="AH71" s="89"/>
      <c r="AI71" s="96"/>
      <c r="AJ71" s="89"/>
      <c r="AK71" s="96"/>
      <c r="AL71" s="89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7"/>
      <c r="C72" s="83"/>
      <c r="F72" s="101"/>
      <c r="G72" s="101"/>
      <c r="H72" s="101"/>
      <c r="I72" s="96"/>
      <c r="J72" s="89"/>
      <c r="K72" s="96"/>
      <c r="L72" s="89"/>
      <c r="M72" s="89"/>
      <c r="N72" s="89"/>
      <c r="O72" s="96"/>
      <c r="P72" s="89"/>
      <c r="Q72" s="96"/>
      <c r="R72" s="89"/>
      <c r="S72" s="96"/>
      <c r="T72" s="89"/>
      <c r="U72" s="96"/>
      <c r="V72" s="89"/>
      <c r="W72" s="96"/>
      <c r="X72" s="89"/>
      <c r="Y72" s="96"/>
      <c r="Z72" s="89"/>
      <c r="AA72" s="96"/>
      <c r="AB72" s="89"/>
      <c r="AC72" s="96"/>
      <c r="AD72" s="89"/>
      <c r="AE72" s="96"/>
      <c r="AF72" s="89"/>
      <c r="AG72" s="96"/>
      <c r="AH72" s="89"/>
      <c r="AI72" s="96"/>
      <c r="AJ72" s="89"/>
      <c r="AK72" s="96"/>
      <c r="AL72" s="89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7"/>
      <c r="C73" s="83"/>
      <c r="F73" s="101"/>
      <c r="G73" s="101"/>
      <c r="H73" s="101"/>
      <c r="I73" s="96"/>
      <c r="J73" s="89"/>
      <c r="K73" s="96"/>
      <c r="L73" s="89"/>
      <c r="M73" s="89"/>
      <c r="N73" s="89"/>
      <c r="O73" s="96"/>
      <c r="P73" s="89"/>
      <c r="Q73" s="96"/>
      <c r="R73" s="89"/>
      <c r="S73" s="96"/>
      <c r="T73" s="89"/>
      <c r="U73" s="96"/>
      <c r="V73" s="89"/>
      <c r="W73" s="96"/>
      <c r="X73" s="89"/>
      <c r="Y73" s="96"/>
      <c r="Z73" s="89"/>
      <c r="AA73" s="96"/>
      <c r="AB73" s="89"/>
      <c r="AC73" s="96"/>
      <c r="AD73" s="89"/>
      <c r="AE73" s="96"/>
      <c r="AF73" s="89"/>
      <c r="AG73" s="96"/>
      <c r="AH73" s="89"/>
      <c r="AI73" s="96"/>
      <c r="AJ73" s="89"/>
      <c r="AK73" s="96"/>
      <c r="AL73" s="89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7"/>
      <c r="C74" s="83"/>
      <c r="F74" s="101"/>
      <c r="G74" s="101"/>
      <c r="H74" s="101"/>
      <c r="I74" s="96"/>
      <c r="J74" s="89"/>
      <c r="K74" s="96"/>
      <c r="L74" s="89"/>
      <c r="M74" s="89"/>
      <c r="N74" s="89"/>
      <c r="O74" s="96"/>
      <c r="P74" s="89"/>
      <c r="Q74" s="96"/>
      <c r="R74" s="89"/>
      <c r="S74" s="96"/>
      <c r="T74" s="89"/>
      <c r="U74" s="96"/>
      <c r="V74" s="89"/>
      <c r="W74" s="96"/>
      <c r="X74" s="89"/>
      <c r="Y74" s="96"/>
      <c r="Z74" s="89"/>
      <c r="AA74" s="96"/>
      <c r="AB74" s="89"/>
      <c r="AC74" s="96"/>
      <c r="AD74" s="89"/>
      <c r="AE74" s="96"/>
      <c r="AF74" s="89"/>
      <c r="AG74" s="96"/>
      <c r="AH74" s="89"/>
      <c r="AI74" s="96"/>
      <c r="AJ74" s="89"/>
      <c r="AK74" s="96"/>
      <c r="AL74" s="89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7"/>
      <c r="C75" s="83"/>
      <c r="F75" s="101"/>
      <c r="G75" s="101"/>
      <c r="H75" s="101"/>
      <c r="I75" s="96"/>
      <c r="J75" s="89"/>
      <c r="K75" s="96"/>
      <c r="L75" s="89"/>
      <c r="M75" s="89"/>
      <c r="N75" s="89"/>
      <c r="O75" s="96"/>
      <c r="P75" s="89"/>
      <c r="Q75" s="96"/>
      <c r="R75" s="89"/>
      <c r="S75" s="96"/>
      <c r="T75" s="89"/>
      <c r="U75" s="96"/>
      <c r="V75" s="89"/>
      <c r="W75" s="96"/>
      <c r="X75" s="89"/>
      <c r="Y75" s="96"/>
      <c r="Z75" s="89"/>
      <c r="AA75" s="96"/>
      <c r="AB75" s="89"/>
      <c r="AC75" s="96"/>
      <c r="AD75" s="89"/>
      <c r="AE75" s="96"/>
      <c r="AF75" s="89"/>
      <c r="AG75" s="96"/>
      <c r="AH75" s="89"/>
      <c r="AI75" s="96"/>
      <c r="AJ75" s="89"/>
      <c r="AK75" s="96"/>
      <c r="AL75" s="89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7"/>
      <c r="C76" s="83"/>
      <c r="F76" s="101"/>
      <c r="G76" s="101"/>
      <c r="H76" s="101"/>
      <c r="I76" s="96"/>
      <c r="J76" s="89"/>
      <c r="K76" s="96"/>
      <c r="L76" s="89"/>
      <c r="M76" s="89"/>
      <c r="N76" s="89"/>
      <c r="O76" s="96"/>
      <c r="P76" s="89"/>
      <c r="Q76" s="96"/>
      <c r="R76" s="89"/>
      <c r="S76" s="96"/>
      <c r="T76" s="89"/>
      <c r="U76" s="96"/>
      <c r="V76" s="89"/>
      <c r="W76" s="96"/>
      <c r="X76" s="89"/>
      <c r="Y76" s="96"/>
      <c r="Z76" s="89"/>
      <c r="AA76" s="96"/>
      <c r="AB76" s="89"/>
      <c r="AC76" s="96"/>
      <c r="AD76" s="89"/>
      <c r="AE76" s="96"/>
      <c r="AF76" s="89"/>
      <c r="AG76" s="96"/>
      <c r="AH76" s="89"/>
      <c r="AI76" s="96"/>
      <c r="AJ76" s="89"/>
      <c r="AK76" s="96"/>
      <c r="AL76" s="89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7"/>
      <c r="C77" s="83"/>
      <c r="F77" s="101"/>
      <c r="G77" s="101"/>
      <c r="H77" s="101"/>
      <c r="I77" s="96"/>
      <c r="J77" s="89"/>
      <c r="K77" s="96"/>
      <c r="L77" s="89"/>
      <c r="M77" s="89"/>
      <c r="N77" s="89"/>
      <c r="O77" s="96"/>
      <c r="P77" s="89"/>
      <c r="Q77" s="96"/>
      <c r="R77" s="89"/>
      <c r="S77" s="96"/>
      <c r="T77" s="89"/>
      <c r="U77" s="96"/>
      <c r="V77" s="89"/>
      <c r="W77" s="96"/>
      <c r="X77" s="89"/>
      <c r="Y77" s="96"/>
      <c r="Z77" s="89"/>
      <c r="AA77" s="96"/>
      <c r="AB77" s="89"/>
      <c r="AC77" s="96"/>
      <c r="AD77" s="89"/>
      <c r="AE77" s="96"/>
      <c r="AF77" s="89"/>
      <c r="AG77" s="96"/>
      <c r="AH77" s="89"/>
      <c r="AI77" s="96"/>
      <c r="AJ77" s="89"/>
      <c r="AK77" s="96"/>
      <c r="AL77" s="89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7"/>
      <c r="C78" s="83"/>
      <c r="F78" s="101"/>
      <c r="G78" s="101"/>
      <c r="H78" s="101"/>
      <c r="I78" s="96"/>
      <c r="J78" s="89"/>
      <c r="K78" s="96"/>
      <c r="L78" s="89"/>
      <c r="M78" s="89"/>
      <c r="N78" s="89"/>
      <c r="O78" s="96"/>
      <c r="P78" s="89"/>
      <c r="Q78" s="96"/>
      <c r="R78" s="89"/>
      <c r="S78" s="96"/>
      <c r="T78" s="89"/>
      <c r="U78" s="96"/>
      <c r="V78" s="89"/>
      <c r="W78" s="96"/>
      <c r="X78" s="89"/>
      <c r="Y78" s="96"/>
      <c r="Z78" s="89"/>
      <c r="AA78" s="96"/>
      <c r="AB78" s="89"/>
      <c r="AC78" s="96"/>
      <c r="AD78" s="89"/>
      <c r="AE78" s="96"/>
      <c r="AF78" s="89"/>
      <c r="AG78" s="96"/>
      <c r="AH78" s="89"/>
      <c r="AI78" s="96"/>
      <c r="AJ78" s="89"/>
      <c r="AK78" s="96"/>
      <c r="AL78" s="89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7"/>
      <c r="C79" s="83"/>
      <c r="F79" s="101"/>
      <c r="G79" s="101"/>
      <c r="H79" s="101"/>
      <c r="I79" s="96"/>
      <c r="J79" s="89"/>
      <c r="K79" s="96"/>
      <c r="L79" s="89"/>
      <c r="M79" s="89"/>
      <c r="N79" s="89"/>
      <c r="O79" s="96"/>
      <c r="P79" s="89"/>
      <c r="Q79" s="96"/>
      <c r="R79" s="89"/>
      <c r="S79" s="96"/>
      <c r="T79" s="89"/>
      <c r="U79" s="96"/>
      <c r="V79" s="89"/>
      <c r="W79" s="96"/>
      <c r="X79" s="89"/>
      <c r="Y79" s="96"/>
      <c r="Z79" s="89"/>
      <c r="AA79" s="96"/>
      <c r="AB79" s="89"/>
      <c r="AC79" s="96"/>
      <c r="AD79" s="89"/>
      <c r="AE79" s="96"/>
      <c r="AF79" s="89"/>
      <c r="AG79" s="96"/>
      <c r="AH79" s="89"/>
      <c r="AI79" s="96"/>
      <c r="AJ79" s="89"/>
      <c r="AK79" s="96"/>
      <c r="AL79" s="89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7"/>
      <c r="C80" s="83"/>
      <c r="F80" s="101"/>
      <c r="G80" s="101"/>
      <c r="H80" s="101"/>
      <c r="I80" s="96"/>
      <c r="J80" s="89"/>
      <c r="K80" s="96"/>
      <c r="L80" s="89"/>
      <c r="M80" s="89"/>
      <c r="N80" s="89"/>
      <c r="O80" s="96"/>
      <c r="P80" s="89"/>
      <c r="Q80" s="96"/>
      <c r="R80" s="89"/>
      <c r="S80" s="96"/>
      <c r="T80" s="89"/>
      <c r="U80" s="96"/>
      <c r="V80" s="89"/>
      <c r="W80" s="96"/>
      <c r="X80" s="89"/>
      <c r="Y80" s="96"/>
      <c r="Z80" s="89"/>
      <c r="AA80" s="96"/>
      <c r="AB80" s="89"/>
      <c r="AC80" s="96"/>
      <c r="AD80" s="89"/>
      <c r="AE80" s="96"/>
      <c r="AF80" s="89"/>
      <c r="AG80" s="96"/>
      <c r="AH80" s="89"/>
      <c r="AI80" s="96"/>
      <c r="AJ80" s="89"/>
      <c r="AK80" s="96"/>
      <c r="AL80" s="89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7"/>
      <c r="C81" s="83"/>
      <c r="F81" s="101"/>
      <c r="G81" s="101"/>
      <c r="H81" s="101"/>
      <c r="I81" s="96"/>
      <c r="J81" s="89"/>
      <c r="K81" s="96"/>
      <c r="L81" s="89"/>
      <c r="M81" s="89"/>
      <c r="N81" s="89"/>
      <c r="O81" s="96"/>
      <c r="P81" s="89"/>
      <c r="Q81" s="96"/>
      <c r="R81" s="89"/>
      <c r="S81" s="96"/>
      <c r="T81" s="89"/>
      <c r="U81" s="96"/>
      <c r="V81" s="89"/>
      <c r="W81" s="96"/>
      <c r="X81" s="89"/>
      <c r="Y81" s="96"/>
      <c r="Z81" s="89"/>
      <c r="AA81" s="96"/>
      <c r="AB81" s="89"/>
      <c r="AC81" s="96"/>
      <c r="AD81" s="89"/>
      <c r="AE81" s="96"/>
      <c r="AF81" s="89"/>
      <c r="AG81" s="96"/>
      <c r="AH81" s="89"/>
      <c r="AI81" s="96"/>
      <c r="AJ81" s="89"/>
      <c r="AK81" s="96"/>
      <c r="AL81" s="89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7"/>
      <c r="C82" s="83"/>
      <c r="F82" s="101"/>
      <c r="G82" s="101"/>
      <c r="H82" s="101"/>
      <c r="I82" s="96"/>
      <c r="J82" s="89"/>
      <c r="K82" s="96"/>
      <c r="L82" s="89"/>
      <c r="M82" s="89"/>
      <c r="N82" s="89"/>
      <c r="O82" s="96"/>
      <c r="P82" s="89"/>
      <c r="Q82" s="96"/>
      <c r="R82" s="89"/>
      <c r="S82" s="96"/>
      <c r="T82" s="89"/>
      <c r="U82" s="96"/>
      <c r="V82" s="89"/>
      <c r="W82" s="96"/>
      <c r="X82" s="89"/>
      <c r="Y82" s="96"/>
      <c r="Z82" s="89"/>
      <c r="AA82" s="96"/>
      <c r="AB82" s="89"/>
      <c r="AC82" s="96"/>
      <c r="AD82" s="89"/>
      <c r="AE82" s="96"/>
      <c r="AF82" s="89"/>
      <c r="AG82" s="96"/>
      <c r="AH82" s="89"/>
      <c r="AI82" s="96"/>
      <c r="AJ82" s="89"/>
      <c r="AK82" s="96"/>
      <c r="AL82" s="89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7"/>
      <c r="C83" s="83"/>
      <c r="F83" s="101"/>
      <c r="G83" s="101"/>
      <c r="H83" s="101"/>
      <c r="I83" s="96"/>
      <c r="J83" s="89"/>
      <c r="K83" s="96"/>
      <c r="L83" s="89"/>
      <c r="M83" s="89"/>
      <c r="N83" s="89"/>
      <c r="O83" s="96"/>
      <c r="P83" s="89"/>
      <c r="Q83" s="96"/>
      <c r="R83" s="89"/>
      <c r="S83" s="96"/>
      <c r="T83" s="89"/>
      <c r="U83" s="96"/>
      <c r="V83" s="89"/>
      <c r="W83" s="96"/>
      <c r="X83" s="89"/>
      <c r="Y83" s="96"/>
      <c r="Z83" s="89"/>
      <c r="AA83" s="96"/>
      <c r="AB83" s="89"/>
      <c r="AC83" s="96"/>
      <c r="AD83" s="89"/>
      <c r="AE83" s="96"/>
      <c r="AF83" s="89"/>
      <c r="AG83" s="96"/>
      <c r="AH83" s="89"/>
      <c r="AI83" s="96"/>
      <c r="AJ83" s="89"/>
      <c r="AK83" s="96"/>
      <c r="AL83" s="89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7"/>
      <c r="C84" s="83"/>
      <c r="F84" s="101"/>
      <c r="G84" s="101"/>
      <c r="H84" s="101"/>
      <c r="I84" s="96"/>
      <c r="J84" s="89"/>
      <c r="K84" s="96"/>
      <c r="L84" s="89"/>
      <c r="M84" s="89"/>
      <c r="N84" s="89"/>
      <c r="O84" s="96"/>
      <c r="P84" s="89"/>
      <c r="Q84" s="96"/>
      <c r="R84" s="89"/>
      <c r="S84" s="96"/>
      <c r="T84" s="89"/>
      <c r="U84" s="96"/>
      <c r="V84" s="89"/>
      <c r="W84" s="96"/>
      <c r="X84" s="89"/>
      <c r="Y84" s="96"/>
      <c r="Z84" s="89"/>
      <c r="AA84" s="96"/>
      <c r="AB84" s="89"/>
      <c r="AC84" s="96"/>
      <c r="AD84" s="89"/>
      <c r="AE84" s="96"/>
      <c r="AF84" s="89"/>
      <c r="AG84" s="96"/>
      <c r="AH84" s="89"/>
      <c r="AI84" s="96"/>
      <c r="AJ84" s="89"/>
      <c r="AK84" s="96"/>
      <c r="AL84" s="89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7"/>
      <c r="C85" s="83"/>
      <c r="F85" s="101"/>
      <c r="G85" s="101"/>
      <c r="H85" s="101"/>
      <c r="I85" s="96"/>
      <c r="J85" s="89"/>
      <c r="K85" s="96"/>
      <c r="L85" s="89"/>
      <c r="M85" s="89"/>
      <c r="N85" s="89"/>
      <c r="O85" s="96"/>
      <c r="P85" s="89"/>
      <c r="Q85" s="96"/>
      <c r="R85" s="89"/>
      <c r="S85" s="96"/>
      <c r="T85" s="89"/>
      <c r="U85" s="96"/>
      <c r="V85" s="89"/>
      <c r="W85" s="96"/>
      <c r="X85" s="89"/>
      <c r="Y85" s="96"/>
      <c r="Z85" s="89"/>
      <c r="AA85" s="96"/>
      <c r="AB85" s="89"/>
      <c r="AC85" s="96"/>
      <c r="AD85" s="89"/>
      <c r="AE85" s="96"/>
      <c r="AF85" s="89"/>
      <c r="AG85" s="96"/>
      <c r="AH85" s="89"/>
      <c r="AI85" s="96"/>
      <c r="AJ85" s="89"/>
      <c r="AK85" s="96"/>
      <c r="AL85" s="89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7"/>
      <c r="C86" s="83"/>
      <c r="F86" s="101"/>
      <c r="G86" s="101"/>
      <c r="H86" s="101"/>
      <c r="I86" s="96"/>
      <c r="J86" s="89"/>
      <c r="K86" s="96"/>
      <c r="L86" s="89"/>
      <c r="M86" s="89"/>
      <c r="N86" s="89"/>
      <c r="O86" s="96"/>
      <c r="P86" s="89"/>
      <c r="Q86" s="96"/>
      <c r="R86" s="89"/>
      <c r="S86" s="96"/>
      <c r="T86" s="89"/>
      <c r="U86" s="96"/>
      <c r="V86" s="89"/>
      <c r="W86" s="96"/>
      <c r="X86" s="89"/>
      <c r="Y86" s="96"/>
      <c r="Z86" s="89"/>
      <c r="AA86" s="96"/>
      <c r="AB86" s="89"/>
      <c r="AC86" s="96"/>
      <c r="AD86" s="89"/>
      <c r="AE86" s="96"/>
      <c r="AF86" s="89"/>
      <c r="AG86" s="96"/>
      <c r="AH86" s="89"/>
      <c r="AI86" s="96"/>
      <c r="AJ86" s="89"/>
      <c r="AK86" s="96"/>
      <c r="AL86" s="89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7"/>
      <c r="C87" s="83"/>
      <c r="F87" s="101"/>
      <c r="G87" s="101"/>
      <c r="H87" s="101"/>
      <c r="I87" s="96"/>
      <c r="J87" s="89"/>
      <c r="K87" s="96"/>
      <c r="L87" s="89"/>
      <c r="M87" s="89"/>
      <c r="N87" s="89"/>
      <c r="O87" s="96"/>
      <c r="P87" s="89"/>
      <c r="Q87" s="96"/>
      <c r="R87" s="89"/>
      <c r="S87" s="96"/>
      <c r="T87" s="89"/>
      <c r="U87" s="96"/>
      <c r="V87" s="89"/>
      <c r="W87" s="96"/>
      <c r="X87" s="89"/>
      <c r="Y87" s="96"/>
      <c r="Z87" s="89"/>
      <c r="AA87" s="96"/>
      <c r="AB87" s="89"/>
      <c r="AC87" s="96"/>
      <c r="AD87" s="89"/>
      <c r="AE87" s="96"/>
      <c r="AF87" s="89"/>
      <c r="AG87" s="96"/>
      <c r="AH87" s="89"/>
      <c r="AI87" s="96"/>
      <c r="AJ87" s="89"/>
      <c r="AK87" s="96"/>
      <c r="AL87" s="89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7"/>
      <c r="C88" s="83"/>
      <c r="F88" s="101"/>
      <c r="G88" s="101"/>
      <c r="H88" s="101"/>
      <c r="I88" s="96"/>
      <c r="J88" s="89"/>
      <c r="K88" s="96"/>
      <c r="L88" s="89"/>
      <c r="M88" s="89"/>
      <c r="N88" s="89"/>
      <c r="O88" s="96"/>
      <c r="P88" s="89"/>
      <c r="Q88" s="96"/>
      <c r="R88" s="89"/>
      <c r="S88" s="96"/>
      <c r="T88" s="89"/>
      <c r="U88" s="96"/>
      <c r="V88" s="89"/>
      <c r="W88" s="96"/>
      <c r="X88" s="89"/>
      <c r="Y88" s="96"/>
      <c r="Z88" s="89"/>
      <c r="AA88" s="96"/>
      <c r="AB88" s="89"/>
      <c r="AC88" s="96"/>
      <c r="AD88" s="89"/>
      <c r="AE88" s="96"/>
      <c r="AF88" s="89"/>
      <c r="AG88" s="96"/>
      <c r="AH88" s="89"/>
      <c r="AI88" s="96"/>
      <c r="AJ88" s="89"/>
      <c r="AK88" s="96"/>
      <c r="AL88" s="89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7"/>
      <c r="C89" s="83"/>
      <c r="F89" s="101"/>
      <c r="G89" s="101"/>
      <c r="H89" s="101"/>
      <c r="I89" s="96"/>
      <c r="J89" s="89"/>
      <c r="K89" s="96"/>
      <c r="L89" s="89"/>
      <c r="M89" s="89"/>
      <c r="N89" s="89"/>
      <c r="O89" s="96"/>
      <c r="P89" s="89"/>
      <c r="Q89" s="96"/>
      <c r="R89" s="89"/>
      <c r="S89" s="96"/>
      <c r="T89" s="89"/>
      <c r="U89" s="96"/>
      <c r="V89" s="89"/>
      <c r="W89" s="96"/>
      <c r="X89" s="89"/>
      <c r="Y89" s="96"/>
      <c r="Z89" s="89"/>
      <c r="AA89" s="96"/>
      <c r="AB89" s="89"/>
      <c r="AC89" s="96"/>
      <c r="AD89" s="89"/>
      <c r="AE89" s="96"/>
      <c r="AF89" s="89"/>
      <c r="AG89" s="96"/>
      <c r="AH89" s="89"/>
      <c r="AI89" s="96"/>
      <c r="AJ89" s="89"/>
      <c r="AK89" s="96"/>
      <c r="AL89" s="89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7"/>
      <c r="C90" s="83"/>
      <c r="F90" s="101"/>
      <c r="G90" s="101"/>
      <c r="H90" s="101"/>
      <c r="I90" s="96"/>
      <c r="J90" s="89"/>
      <c r="K90" s="96"/>
      <c r="L90" s="89"/>
      <c r="M90" s="89"/>
      <c r="N90" s="89"/>
      <c r="O90" s="96"/>
      <c r="P90" s="89"/>
      <c r="Q90" s="96"/>
      <c r="R90" s="89"/>
      <c r="S90" s="96"/>
      <c r="T90" s="89"/>
      <c r="U90" s="96"/>
      <c r="V90" s="89"/>
      <c r="W90" s="96"/>
      <c r="X90" s="89"/>
      <c r="Y90" s="96"/>
      <c r="Z90" s="89"/>
      <c r="AA90" s="96"/>
      <c r="AB90" s="89"/>
      <c r="AC90" s="96"/>
      <c r="AD90" s="89"/>
      <c r="AE90" s="96"/>
      <c r="AF90" s="89"/>
      <c r="AG90" s="96"/>
      <c r="AH90" s="89"/>
      <c r="AI90" s="96"/>
      <c r="AJ90" s="89"/>
      <c r="AK90" s="96"/>
      <c r="AL90" s="89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7"/>
      <c r="C91" s="83"/>
      <c r="F91" s="101"/>
      <c r="G91" s="101"/>
      <c r="H91" s="101"/>
      <c r="I91" s="96"/>
      <c r="J91" s="89"/>
      <c r="K91" s="96"/>
      <c r="L91" s="89"/>
      <c r="M91" s="89"/>
      <c r="N91" s="89"/>
      <c r="O91" s="96"/>
      <c r="P91" s="89"/>
      <c r="Q91" s="96"/>
      <c r="R91" s="89"/>
      <c r="S91" s="96"/>
      <c r="T91" s="89"/>
      <c r="U91" s="96"/>
      <c r="V91" s="89"/>
      <c r="W91" s="96"/>
      <c r="X91" s="89"/>
      <c r="Y91" s="96"/>
      <c r="Z91" s="89"/>
      <c r="AA91" s="96"/>
      <c r="AB91" s="89"/>
      <c r="AC91" s="96"/>
      <c r="AD91" s="89"/>
      <c r="AE91" s="96"/>
      <c r="AF91" s="89"/>
      <c r="AG91" s="96"/>
      <c r="AH91" s="89"/>
      <c r="AI91" s="96"/>
      <c r="AJ91" s="89"/>
      <c r="AK91" s="96"/>
      <c r="AL91" s="89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7"/>
      <c r="C92" s="83"/>
      <c r="F92" s="101"/>
      <c r="G92" s="101"/>
      <c r="H92" s="101"/>
      <c r="I92" s="96"/>
      <c r="J92" s="89"/>
      <c r="K92" s="96"/>
      <c r="L92" s="89"/>
      <c r="M92" s="89"/>
      <c r="N92" s="89"/>
      <c r="O92" s="96"/>
      <c r="P92" s="89"/>
      <c r="Q92" s="96"/>
      <c r="R92" s="89"/>
      <c r="S92" s="96"/>
      <c r="T92" s="89"/>
      <c r="U92" s="96"/>
      <c r="V92" s="89"/>
      <c r="W92" s="96"/>
      <c r="X92" s="89"/>
      <c r="Y92" s="96"/>
      <c r="Z92" s="89"/>
      <c r="AA92" s="96"/>
      <c r="AB92" s="89"/>
      <c r="AC92" s="96"/>
      <c r="AD92" s="89"/>
      <c r="AE92" s="96"/>
      <c r="AF92" s="89"/>
      <c r="AG92" s="96"/>
      <c r="AH92" s="89"/>
      <c r="AI92" s="96"/>
      <c r="AJ92" s="89"/>
      <c r="AK92" s="96"/>
      <c r="AL92" s="89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7"/>
      <c r="C93" s="83"/>
      <c r="F93" s="101"/>
      <c r="G93" s="101"/>
      <c r="H93" s="101"/>
      <c r="I93" s="96"/>
      <c r="J93" s="89"/>
      <c r="K93" s="96"/>
      <c r="L93" s="89"/>
      <c r="M93" s="89"/>
      <c r="N93" s="89"/>
      <c r="O93" s="96"/>
      <c r="P93" s="89"/>
      <c r="Q93" s="96"/>
      <c r="R93" s="89"/>
      <c r="S93" s="96"/>
      <c r="T93" s="89"/>
      <c r="U93" s="96"/>
      <c r="V93" s="89"/>
      <c r="W93" s="96"/>
      <c r="X93" s="89"/>
      <c r="Y93" s="96"/>
      <c r="Z93" s="89"/>
      <c r="AA93" s="96"/>
      <c r="AB93" s="89"/>
      <c r="AC93" s="96"/>
      <c r="AD93" s="89"/>
      <c r="AE93" s="96"/>
      <c r="AF93" s="89"/>
      <c r="AG93" s="96"/>
      <c r="AH93" s="89"/>
      <c r="AI93" s="96"/>
      <c r="AJ93" s="89"/>
      <c r="AK93" s="96"/>
      <c r="AL93" s="89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7"/>
      <c r="C94" s="83"/>
      <c r="F94" s="101"/>
      <c r="G94" s="101"/>
      <c r="H94" s="101"/>
      <c r="I94" s="96"/>
      <c r="J94" s="89"/>
      <c r="K94" s="96"/>
      <c r="L94" s="89"/>
      <c r="M94" s="89"/>
      <c r="N94" s="89"/>
      <c r="O94" s="96"/>
      <c r="P94" s="89"/>
      <c r="Q94" s="96"/>
      <c r="R94" s="89"/>
      <c r="S94" s="96"/>
      <c r="T94" s="89"/>
      <c r="U94" s="96"/>
      <c r="V94" s="89"/>
      <c r="W94" s="96"/>
      <c r="X94" s="89"/>
      <c r="Y94" s="96"/>
      <c r="Z94" s="89"/>
      <c r="AA94" s="96"/>
      <c r="AB94" s="89"/>
      <c r="AC94" s="96"/>
      <c r="AD94" s="89"/>
      <c r="AE94" s="96"/>
      <c r="AF94" s="89"/>
      <c r="AG94" s="96"/>
      <c r="AH94" s="89"/>
      <c r="AI94" s="96"/>
      <c r="AJ94" s="89"/>
      <c r="AK94" s="96"/>
      <c r="AL94" s="89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7"/>
      <c r="C95" s="83"/>
      <c r="F95" s="101"/>
      <c r="G95" s="101"/>
      <c r="H95" s="101"/>
      <c r="I95" s="96"/>
      <c r="J95" s="89"/>
      <c r="K95" s="96"/>
      <c r="L95" s="89"/>
      <c r="M95" s="89"/>
      <c r="N95" s="89"/>
      <c r="O95" s="96"/>
      <c r="P95" s="89"/>
      <c r="Q95" s="96"/>
      <c r="R95" s="89"/>
      <c r="S95" s="96"/>
      <c r="T95" s="89"/>
      <c r="U95" s="96"/>
      <c r="V95" s="89"/>
      <c r="W95" s="96"/>
      <c r="X95" s="89"/>
      <c r="Y95" s="96"/>
      <c r="Z95" s="89"/>
      <c r="AA95" s="96"/>
      <c r="AB95" s="89"/>
      <c r="AC95" s="96"/>
      <c r="AD95" s="89"/>
      <c r="AE95" s="96"/>
      <c r="AF95" s="89"/>
      <c r="AG95" s="96"/>
      <c r="AH95" s="89"/>
      <c r="AI95" s="96"/>
      <c r="AJ95" s="89"/>
      <c r="AK95" s="96"/>
      <c r="AL95" s="89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7"/>
      <c r="C96" s="83"/>
      <c r="F96" s="101"/>
      <c r="G96" s="101"/>
      <c r="H96" s="101"/>
      <c r="I96" s="96"/>
      <c r="J96" s="89"/>
      <c r="K96" s="96"/>
      <c r="L96" s="89"/>
      <c r="M96" s="89"/>
      <c r="N96" s="89"/>
      <c r="O96" s="96"/>
      <c r="P96" s="89"/>
      <c r="Q96" s="96"/>
      <c r="R96" s="89"/>
      <c r="S96" s="96"/>
      <c r="T96" s="89"/>
      <c r="U96" s="96"/>
      <c r="V96" s="89"/>
      <c r="W96" s="96"/>
      <c r="X96" s="89"/>
      <c r="Y96" s="96"/>
      <c r="Z96" s="89"/>
      <c r="AA96" s="96"/>
      <c r="AB96" s="89"/>
      <c r="AC96" s="96"/>
      <c r="AD96" s="89"/>
      <c r="AE96" s="96"/>
      <c r="AF96" s="89"/>
      <c r="AG96" s="96"/>
      <c r="AH96" s="89"/>
      <c r="AI96" s="96"/>
      <c r="AJ96" s="89"/>
      <c r="AK96" s="96"/>
      <c r="AL96" s="89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7"/>
      <c r="C97" s="83"/>
      <c r="F97" s="101"/>
      <c r="G97" s="101"/>
      <c r="H97" s="101"/>
      <c r="I97" s="96"/>
      <c r="J97" s="89"/>
      <c r="K97" s="96"/>
      <c r="L97" s="89"/>
      <c r="M97" s="89"/>
      <c r="N97" s="89"/>
      <c r="O97" s="96"/>
      <c r="P97" s="89"/>
      <c r="Q97" s="96"/>
      <c r="R97" s="89"/>
      <c r="S97" s="96"/>
      <c r="T97" s="89"/>
      <c r="U97" s="96"/>
      <c r="V97" s="89"/>
      <c r="W97" s="96"/>
      <c r="X97" s="89"/>
      <c r="Y97" s="96"/>
      <c r="Z97" s="89"/>
      <c r="AA97" s="96"/>
      <c r="AB97" s="89"/>
      <c r="AC97" s="96"/>
      <c r="AD97" s="89"/>
      <c r="AE97" s="96"/>
      <c r="AF97" s="89"/>
      <c r="AG97" s="96"/>
      <c r="AH97" s="89"/>
      <c r="AI97" s="96"/>
      <c r="AJ97" s="89"/>
      <c r="AK97" s="96"/>
      <c r="AL97" s="89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7"/>
      <c r="C98" s="83"/>
      <c r="F98" s="101"/>
      <c r="G98" s="101"/>
      <c r="H98" s="101"/>
      <c r="I98" s="96"/>
      <c r="J98" s="89"/>
      <c r="K98" s="96"/>
      <c r="L98" s="89"/>
      <c r="M98" s="89"/>
      <c r="N98" s="89"/>
      <c r="O98" s="96"/>
      <c r="P98" s="89"/>
      <c r="Q98" s="96"/>
      <c r="R98" s="89"/>
      <c r="S98" s="96"/>
      <c r="T98" s="89"/>
      <c r="U98" s="96"/>
      <c r="V98" s="89"/>
      <c r="W98" s="96"/>
      <c r="X98" s="89"/>
      <c r="Y98" s="96"/>
      <c r="Z98" s="89"/>
      <c r="AA98" s="96"/>
      <c r="AB98" s="89"/>
      <c r="AC98" s="96"/>
      <c r="AD98" s="89"/>
      <c r="AE98" s="96"/>
      <c r="AF98" s="89"/>
      <c r="AG98" s="96"/>
      <c r="AH98" s="89"/>
      <c r="AI98" s="96"/>
      <c r="AJ98" s="89"/>
      <c r="AK98" s="96"/>
      <c r="AL98" s="89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7"/>
      <c r="C99" s="83"/>
      <c r="F99" s="101"/>
      <c r="G99" s="101"/>
      <c r="H99" s="101"/>
      <c r="I99" s="96"/>
      <c r="J99" s="89"/>
      <c r="K99" s="96"/>
      <c r="L99" s="89"/>
      <c r="M99" s="89"/>
      <c r="N99" s="89"/>
      <c r="O99" s="96"/>
      <c r="P99" s="89"/>
      <c r="Q99" s="96"/>
      <c r="R99" s="89"/>
      <c r="S99" s="96"/>
      <c r="T99" s="89"/>
      <c r="U99" s="96"/>
      <c r="V99" s="89"/>
      <c r="W99" s="96"/>
      <c r="X99" s="89"/>
      <c r="Y99" s="96"/>
      <c r="Z99" s="89"/>
      <c r="AA99" s="96"/>
      <c r="AB99" s="89"/>
      <c r="AC99" s="96"/>
      <c r="AD99" s="89"/>
      <c r="AE99" s="96"/>
      <c r="AF99" s="89"/>
      <c r="AG99" s="96"/>
      <c r="AH99" s="89"/>
      <c r="AI99" s="96"/>
      <c r="AJ99" s="89"/>
      <c r="AK99" s="96"/>
      <c r="AL99" s="89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7"/>
      <c r="C100" s="83"/>
      <c r="F100" s="101"/>
      <c r="G100" s="101"/>
      <c r="H100" s="101"/>
      <c r="I100" s="96"/>
      <c r="J100" s="89"/>
      <c r="K100" s="96"/>
      <c r="L100" s="89"/>
      <c r="M100" s="89"/>
      <c r="N100" s="89"/>
      <c r="O100" s="96"/>
      <c r="P100" s="89"/>
      <c r="Q100" s="96"/>
      <c r="R100" s="89"/>
      <c r="S100" s="96"/>
      <c r="T100" s="89"/>
      <c r="U100" s="96"/>
      <c r="V100" s="89"/>
      <c r="W100" s="96"/>
      <c r="X100" s="89"/>
      <c r="Y100" s="96"/>
      <c r="Z100" s="89"/>
      <c r="AA100" s="96"/>
      <c r="AB100" s="89"/>
      <c r="AC100" s="96"/>
      <c r="AD100" s="89"/>
      <c r="AE100" s="96"/>
      <c r="AF100" s="89"/>
      <c r="AG100" s="96"/>
      <c r="AH100" s="89"/>
      <c r="AI100" s="96"/>
      <c r="AJ100" s="89"/>
      <c r="AK100" s="96"/>
      <c r="AL100" s="89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7"/>
      <c r="C101" s="83"/>
      <c r="F101" s="101"/>
      <c r="G101" s="101"/>
      <c r="H101" s="101"/>
      <c r="I101" s="96"/>
      <c r="J101" s="89"/>
      <c r="K101" s="96"/>
      <c r="L101" s="89"/>
      <c r="M101" s="89"/>
      <c r="N101" s="89"/>
      <c r="O101" s="96"/>
      <c r="P101" s="89"/>
      <c r="Q101" s="96"/>
      <c r="R101" s="89"/>
      <c r="S101" s="96"/>
      <c r="T101" s="89"/>
      <c r="U101" s="96"/>
      <c r="V101" s="89"/>
      <c r="W101" s="96"/>
      <c r="X101" s="89"/>
      <c r="Y101" s="96"/>
      <c r="Z101" s="89"/>
      <c r="AA101" s="96"/>
      <c r="AB101" s="89"/>
      <c r="AC101" s="96"/>
      <c r="AD101" s="89"/>
      <c r="AE101" s="96"/>
      <c r="AF101" s="89"/>
      <c r="AG101" s="96"/>
      <c r="AH101" s="89"/>
      <c r="AI101" s="96"/>
      <c r="AJ101" s="89"/>
      <c r="AK101" s="96"/>
      <c r="AL101" s="89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7"/>
      <c r="C102" s="83"/>
      <c r="F102" s="101"/>
      <c r="G102" s="101"/>
      <c r="H102" s="101"/>
      <c r="I102" s="96"/>
      <c r="J102" s="89"/>
      <c r="K102" s="96"/>
      <c r="L102" s="89"/>
      <c r="M102" s="89"/>
      <c r="N102" s="89"/>
      <c r="O102" s="96"/>
      <c r="P102" s="89"/>
      <c r="Q102" s="96"/>
      <c r="R102" s="89"/>
      <c r="S102" s="96"/>
      <c r="T102" s="89"/>
      <c r="U102" s="96"/>
      <c r="V102" s="89"/>
      <c r="W102" s="96"/>
      <c r="X102" s="89"/>
      <c r="Y102" s="96"/>
      <c r="Z102" s="89"/>
      <c r="AA102" s="96"/>
      <c r="AB102" s="89"/>
      <c r="AC102" s="96"/>
      <c r="AD102" s="89"/>
      <c r="AE102" s="96"/>
      <c r="AF102" s="89"/>
      <c r="AG102" s="96"/>
      <c r="AH102" s="89"/>
      <c r="AI102" s="96"/>
      <c r="AJ102" s="89"/>
      <c r="AK102" s="96"/>
      <c r="AL102" s="89"/>
      <c r="AM102" s="77"/>
      <c r="AN102" s="77"/>
      <c r="AO102" s="77"/>
      <c r="AP102" s="77"/>
      <c r="AQ102" s="77"/>
      <c r="AR102" s="77"/>
      <c r="AS102" s="77"/>
      <c r="AT102" s="77"/>
    </row>
    <row r="103" spans="1:46" s="84" customFormat="1" ht="14.25">
      <c r="A103" s="77"/>
      <c r="B103" s="97"/>
      <c r="C103" s="83"/>
      <c r="F103" s="101"/>
      <c r="G103" s="101"/>
      <c r="H103" s="101"/>
      <c r="I103" s="96"/>
      <c r="J103" s="89"/>
      <c r="K103" s="96"/>
      <c r="L103" s="89"/>
      <c r="M103" s="89"/>
      <c r="N103" s="89"/>
      <c r="O103" s="96"/>
      <c r="P103" s="89"/>
      <c r="Q103" s="96"/>
      <c r="R103" s="89"/>
      <c r="S103" s="96"/>
      <c r="T103" s="89"/>
      <c r="U103" s="96"/>
      <c r="V103" s="89"/>
      <c r="W103" s="96"/>
      <c r="X103" s="89"/>
      <c r="Y103" s="96"/>
      <c r="Z103" s="89"/>
      <c r="AA103" s="96"/>
      <c r="AB103" s="89"/>
      <c r="AC103" s="96"/>
      <c r="AD103" s="89"/>
      <c r="AE103" s="96"/>
      <c r="AF103" s="89"/>
      <c r="AG103" s="96"/>
      <c r="AH103" s="89"/>
      <c r="AI103" s="96"/>
      <c r="AJ103" s="89"/>
      <c r="AK103" s="96"/>
      <c r="AL103" s="89"/>
      <c r="AM103" s="77"/>
      <c r="AN103" s="77"/>
      <c r="AO103" s="77"/>
      <c r="AP103" s="77"/>
      <c r="AQ103" s="77"/>
      <c r="AR103" s="77"/>
      <c r="AS103" s="77"/>
      <c r="AT103" s="77"/>
    </row>
    <row r="104" spans="1:46" s="84" customFormat="1" ht="14.25">
      <c r="A104" s="77"/>
      <c r="B104" s="97"/>
      <c r="C104" s="83"/>
      <c r="F104" s="101"/>
      <c r="G104" s="101"/>
      <c r="H104" s="101"/>
      <c r="I104" s="96"/>
      <c r="J104" s="89"/>
      <c r="K104" s="96"/>
      <c r="L104" s="89"/>
      <c r="M104" s="89"/>
      <c r="N104" s="89"/>
      <c r="O104" s="96"/>
      <c r="P104" s="89"/>
      <c r="Q104" s="96"/>
      <c r="R104" s="89"/>
      <c r="S104" s="96"/>
      <c r="T104" s="89"/>
      <c r="U104" s="96"/>
      <c r="V104" s="89"/>
      <c r="W104" s="96"/>
      <c r="X104" s="89"/>
      <c r="Y104" s="96"/>
      <c r="Z104" s="89"/>
      <c r="AA104" s="96"/>
      <c r="AB104" s="89"/>
      <c r="AC104" s="96"/>
      <c r="AD104" s="89"/>
      <c r="AE104" s="96"/>
      <c r="AF104" s="89"/>
      <c r="AG104" s="96"/>
      <c r="AH104" s="89"/>
      <c r="AI104" s="96"/>
      <c r="AJ104" s="89"/>
      <c r="AK104" s="96"/>
      <c r="AL104" s="89"/>
      <c r="AM104" s="77"/>
      <c r="AN104" s="77"/>
      <c r="AO104" s="77"/>
      <c r="AP104" s="77"/>
      <c r="AQ104" s="77"/>
      <c r="AR104" s="77"/>
      <c r="AS104" s="77"/>
      <c r="AT104" s="77"/>
    </row>
    <row r="105" spans="1:46" s="84" customFormat="1" ht="14.25">
      <c r="A105" s="77"/>
      <c r="B105" s="97"/>
      <c r="C105" s="83"/>
      <c r="F105" s="101"/>
      <c r="G105" s="101"/>
      <c r="H105" s="101"/>
      <c r="I105" s="96"/>
      <c r="J105" s="89"/>
      <c r="K105" s="96"/>
      <c r="L105" s="89"/>
      <c r="M105" s="89"/>
      <c r="N105" s="89"/>
      <c r="O105" s="96"/>
      <c r="P105" s="89"/>
      <c r="Q105" s="96"/>
      <c r="R105" s="89"/>
      <c r="S105" s="96"/>
      <c r="T105" s="89"/>
      <c r="U105" s="96"/>
      <c r="V105" s="89"/>
      <c r="W105" s="96"/>
      <c r="X105" s="89"/>
      <c r="Y105" s="96"/>
      <c r="Z105" s="89"/>
      <c r="AA105" s="96"/>
      <c r="AB105" s="89"/>
      <c r="AC105" s="96"/>
      <c r="AD105" s="89"/>
      <c r="AE105" s="96"/>
      <c r="AF105" s="89"/>
      <c r="AG105" s="96"/>
      <c r="AH105" s="89"/>
      <c r="AI105" s="96"/>
      <c r="AJ105" s="89"/>
      <c r="AK105" s="96"/>
      <c r="AL105" s="89"/>
      <c r="AM105" s="77"/>
      <c r="AN105" s="77"/>
      <c r="AO105" s="77"/>
      <c r="AP105" s="77"/>
      <c r="AQ105" s="77"/>
      <c r="AR105" s="77"/>
      <c r="AS105" s="77"/>
      <c r="AT105" s="77"/>
    </row>
    <row r="106" spans="1:46" s="84" customFormat="1" ht="14.25">
      <c r="A106" s="77"/>
      <c r="B106" s="97"/>
      <c r="C106" s="83"/>
      <c r="F106" s="101"/>
      <c r="G106" s="101"/>
      <c r="H106" s="101"/>
      <c r="I106" s="96"/>
      <c r="J106" s="89"/>
      <c r="K106" s="96"/>
      <c r="L106" s="89"/>
      <c r="M106" s="89"/>
      <c r="N106" s="89"/>
      <c r="O106" s="96"/>
      <c r="P106" s="89"/>
      <c r="Q106" s="96"/>
      <c r="R106" s="89"/>
      <c r="S106" s="96"/>
      <c r="T106" s="89"/>
      <c r="U106" s="96"/>
      <c r="V106" s="89"/>
      <c r="W106" s="96"/>
      <c r="X106" s="89"/>
      <c r="Y106" s="96"/>
      <c r="Z106" s="89"/>
      <c r="AA106" s="96"/>
      <c r="AB106" s="89"/>
      <c r="AC106" s="96"/>
      <c r="AD106" s="89"/>
      <c r="AE106" s="96"/>
      <c r="AF106" s="89"/>
      <c r="AG106" s="96"/>
      <c r="AH106" s="89"/>
      <c r="AI106" s="96"/>
      <c r="AJ106" s="89"/>
      <c r="AK106" s="96"/>
      <c r="AL106" s="89"/>
      <c r="AM106" s="77"/>
      <c r="AN106" s="77"/>
      <c r="AO106" s="77"/>
      <c r="AP106" s="77"/>
      <c r="AQ106" s="77"/>
      <c r="AR106" s="77"/>
      <c r="AS106" s="77"/>
      <c r="AT106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6"/>
  <sheetViews>
    <sheetView zoomScale="65" zoomScaleNormal="6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I34" sqref="I34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7" style="102" customWidth="1"/>
    <col min="5" max="5" width="8.5703125" style="84" customWidth="1"/>
    <col min="6" max="8" width="17.42578125" style="103" customWidth="1"/>
    <col min="9" max="9" width="10.5703125" style="87" customWidth="1"/>
    <col min="10" max="10" width="10.5703125" style="89" customWidth="1"/>
    <col min="11" max="11" width="10.5703125" style="87" customWidth="1"/>
    <col min="12" max="12" width="10.5703125" style="89" customWidth="1"/>
    <col min="13" max="13" width="10.5703125" style="87" customWidth="1"/>
    <col min="14" max="14" width="10.5703125" style="89" customWidth="1"/>
    <col min="15" max="15" width="10.5703125" style="87" customWidth="1"/>
    <col min="16" max="16" width="10.5703125" style="89" customWidth="1"/>
    <col min="17" max="17" width="10.5703125" style="87" customWidth="1"/>
    <col min="18" max="18" width="10.5703125" style="89" customWidth="1"/>
    <col min="19" max="19" width="10.5703125" style="87" customWidth="1"/>
    <col min="20" max="20" width="10.5703125" style="89" customWidth="1"/>
    <col min="21" max="21" width="10.5703125" style="87" customWidth="1"/>
    <col min="22" max="22" width="10.5703125" style="89" customWidth="1"/>
    <col min="23" max="23" width="10.5703125" style="87" customWidth="1"/>
    <col min="24" max="24" width="10.5703125" style="89" customWidth="1"/>
    <col min="25" max="25" width="10.5703125" style="87" customWidth="1"/>
    <col min="26" max="26" width="10.5703125" style="89" customWidth="1"/>
    <col min="27" max="27" width="10.5703125" style="87" customWidth="1"/>
    <col min="28" max="28" width="10.5703125" style="89" customWidth="1"/>
    <col min="29" max="29" width="10.5703125" style="87" customWidth="1"/>
    <col min="30" max="30" width="10.5703125" style="89" customWidth="1"/>
    <col min="31" max="31" width="10.5703125" style="87" customWidth="1"/>
    <col min="32" max="32" width="10.5703125" style="89" customWidth="1"/>
    <col min="33" max="33" width="10.42578125" style="87" customWidth="1"/>
    <col min="34" max="34" width="10.42578125" style="89" customWidth="1"/>
    <col min="35" max="35" width="10.42578125" style="87" customWidth="1"/>
    <col min="36" max="36" width="10.42578125" style="89" customWidth="1"/>
    <col min="37" max="37" width="10.42578125" style="87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05" t="s">
        <v>301</v>
      </c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5"/>
      <c r="AA2" s="605"/>
      <c r="AB2" s="605"/>
      <c r="AC2" s="605"/>
      <c r="AD2" s="605"/>
      <c r="AE2" s="605"/>
      <c r="AF2" s="605"/>
      <c r="AG2" s="605"/>
      <c r="AH2" s="605"/>
      <c r="AI2" s="605"/>
      <c r="AJ2" s="605"/>
      <c r="AK2" s="605"/>
      <c r="AL2" s="605"/>
    </row>
    <row r="3" spans="1:38" ht="25.35" customHeight="1">
      <c r="B3" s="97"/>
      <c r="C3" s="606" t="s">
        <v>139</v>
      </c>
      <c r="D3" s="607" t="s">
        <v>105</v>
      </c>
      <c r="E3" s="607"/>
      <c r="F3" s="614" t="s">
        <v>148</v>
      </c>
      <c r="G3" s="615"/>
      <c r="H3" s="615"/>
      <c r="I3" s="613" t="s">
        <v>299</v>
      </c>
      <c r="J3" s="613"/>
      <c r="K3" s="613"/>
      <c r="L3" s="613"/>
      <c r="M3" s="613"/>
      <c r="N3" s="613"/>
      <c r="O3" s="613"/>
      <c r="P3" s="613"/>
      <c r="Q3" s="613"/>
      <c r="R3" s="613"/>
      <c r="S3" s="613"/>
      <c r="T3" s="613"/>
      <c r="U3" s="613"/>
      <c r="V3" s="613"/>
      <c r="W3" s="613"/>
      <c r="X3" s="613"/>
      <c r="Y3" s="613"/>
      <c r="Z3" s="613"/>
      <c r="AA3" s="613"/>
      <c r="AB3" s="613"/>
      <c r="AC3" s="613"/>
      <c r="AD3" s="613"/>
      <c r="AE3" s="613"/>
      <c r="AF3" s="613"/>
      <c r="AG3" s="613"/>
      <c r="AH3" s="613"/>
      <c r="AI3" s="613"/>
      <c r="AJ3" s="613"/>
      <c r="AK3" s="613"/>
      <c r="AL3" s="613"/>
    </row>
    <row r="4" spans="1:38" ht="25.35" customHeight="1">
      <c r="B4" s="97"/>
      <c r="C4" s="606"/>
      <c r="D4" s="607"/>
      <c r="E4" s="607"/>
      <c r="F4" s="615"/>
      <c r="G4" s="615"/>
      <c r="H4" s="615"/>
      <c r="I4" s="610" t="s">
        <v>140</v>
      </c>
      <c r="J4" s="610"/>
      <c r="K4" s="610"/>
      <c r="L4" s="610"/>
      <c r="M4" s="610"/>
      <c r="N4" s="610"/>
      <c r="O4" s="610" t="s">
        <v>141</v>
      </c>
      <c r="P4" s="610"/>
      <c r="Q4" s="610"/>
      <c r="R4" s="610"/>
      <c r="S4" s="610"/>
      <c r="T4" s="610"/>
      <c r="U4" s="610" t="s">
        <v>142</v>
      </c>
      <c r="V4" s="610"/>
      <c r="W4" s="610" t="s">
        <v>143</v>
      </c>
      <c r="X4" s="610"/>
      <c r="Y4" s="610" t="s">
        <v>134</v>
      </c>
      <c r="Z4" s="610"/>
      <c r="AA4" s="610"/>
      <c r="AB4" s="610"/>
      <c r="AC4" s="610"/>
      <c r="AD4" s="610"/>
      <c r="AE4" s="610" t="s">
        <v>132</v>
      </c>
      <c r="AF4" s="610"/>
      <c r="AG4" s="610" t="s">
        <v>144</v>
      </c>
      <c r="AH4" s="610"/>
      <c r="AI4" s="610" t="s">
        <v>145</v>
      </c>
      <c r="AJ4" s="610"/>
      <c r="AK4" s="610" t="s">
        <v>138</v>
      </c>
      <c r="AL4" s="610"/>
    </row>
    <row r="5" spans="1:38" ht="25.35" customHeight="1">
      <c r="B5" s="97"/>
      <c r="C5" s="606"/>
      <c r="D5" s="607"/>
      <c r="E5" s="607"/>
      <c r="F5" s="612" t="s">
        <v>115</v>
      </c>
      <c r="G5" s="612" t="s">
        <v>117</v>
      </c>
      <c r="H5" s="612" t="s">
        <v>118</v>
      </c>
      <c r="I5" s="610" t="s">
        <v>129</v>
      </c>
      <c r="J5" s="610"/>
      <c r="K5" s="610" t="s">
        <v>130</v>
      </c>
      <c r="L5" s="610"/>
      <c r="M5" s="611" t="s">
        <v>146</v>
      </c>
      <c r="N5" s="610"/>
      <c r="O5" s="610" t="s">
        <v>129</v>
      </c>
      <c r="P5" s="610"/>
      <c r="Q5" s="610" t="s">
        <v>130</v>
      </c>
      <c r="R5" s="610"/>
      <c r="S5" s="611" t="s">
        <v>146</v>
      </c>
      <c r="T5" s="610"/>
      <c r="U5" s="610" t="s">
        <v>129</v>
      </c>
      <c r="V5" s="610"/>
      <c r="W5" s="610" t="s">
        <v>129</v>
      </c>
      <c r="X5" s="610"/>
      <c r="Y5" s="610" t="s">
        <v>129</v>
      </c>
      <c r="Z5" s="610"/>
      <c r="AA5" s="610" t="s">
        <v>130</v>
      </c>
      <c r="AB5" s="610"/>
      <c r="AC5" s="611" t="s">
        <v>146</v>
      </c>
      <c r="AD5" s="610"/>
      <c r="AE5" s="610" t="s">
        <v>129</v>
      </c>
      <c r="AF5" s="610"/>
      <c r="AG5" s="610" t="s">
        <v>129</v>
      </c>
      <c r="AH5" s="610"/>
      <c r="AI5" s="610" t="s">
        <v>129</v>
      </c>
      <c r="AJ5" s="610"/>
      <c r="AK5" s="610" t="s">
        <v>129</v>
      </c>
      <c r="AL5" s="610"/>
    </row>
    <row r="6" spans="1:38" s="80" customFormat="1" ht="23.45" customHeight="1">
      <c r="B6" s="97"/>
      <c r="C6" s="606"/>
      <c r="D6" s="607"/>
      <c r="E6" s="607"/>
      <c r="F6" s="612"/>
      <c r="G6" s="612"/>
      <c r="H6" s="612"/>
      <c r="I6" s="104" t="s">
        <v>149</v>
      </c>
      <c r="J6" s="99" t="s">
        <v>113</v>
      </c>
      <c r="K6" s="104" t="s">
        <v>149</v>
      </c>
      <c r="L6" s="99" t="s">
        <v>113</v>
      </c>
      <c r="M6" s="104" t="s">
        <v>149</v>
      </c>
      <c r="N6" s="99" t="s">
        <v>113</v>
      </c>
      <c r="O6" s="104" t="s">
        <v>149</v>
      </c>
      <c r="P6" s="99" t="s">
        <v>113</v>
      </c>
      <c r="Q6" s="104" t="s">
        <v>149</v>
      </c>
      <c r="R6" s="99" t="s">
        <v>113</v>
      </c>
      <c r="S6" s="104" t="s">
        <v>149</v>
      </c>
      <c r="T6" s="99" t="s">
        <v>113</v>
      </c>
      <c r="U6" s="104" t="s">
        <v>149</v>
      </c>
      <c r="V6" s="99" t="s">
        <v>113</v>
      </c>
      <c r="W6" s="104" t="s">
        <v>149</v>
      </c>
      <c r="X6" s="99" t="s">
        <v>113</v>
      </c>
      <c r="Y6" s="104" t="s">
        <v>149</v>
      </c>
      <c r="Z6" s="99" t="s">
        <v>113</v>
      </c>
      <c r="AA6" s="104" t="s">
        <v>149</v>
      </c>
      <c r="AB6" s="99" t="s">
        <v>113</v>
      </c>
      <c r="AC6" s="104" t="s">
        <v>149</v>
      </c>
      <c r="AD6" s="99" t="s">
        <v>113</v>
      </c>
      <c r="AE6" s="104" t="s">
        <v>149</v>
      </c>
      <c r="AF6" s="99" t="s">
        <v>113</v>
      </c>
      <c r="AG6" s="104" t="s">
        <v>149</v>
      </c>
      <c r="AH6" s="99" t="s">
        <v>113</v>
      </c>
      <c r="AI6" s="104" t="s">
        <v>149</v>
      </c>
      <c r="AJ6" s="99" t="s">
        <v>113</v>
      </c>
      <c r="AK6" s="104" t="s">
        <v>149</v>
      </c>
      <c r="AL6" s="99" t="s">
        <v>113</v>
      </c>
    </row>
    <row r="7" spans="1:38" ht="14.25">
      <c r="B7" s="97"/>
      <c r="C7" s="83"/>
      <c r="D7" s="303">
        <v>46203</v>
      </c>
      <c r="E7" s="303" t="s">
        <v>449</v>
      </c>
      <c r="F7" s="87">
        <f t="shared" ref="F7" si="0">SUM(M7,S7,U7,W7,AC7,AE7,AG7,AI7,AK7)</f>
        <v>280973</v>
      </c>
      <c r="G7" s="305"/>
      <c r="H7" s="87"/>
      <c r="I7" s="234">
        <v>31251</v>
      </c>
      <c r="J7" s="100">
        <f>I7/F7</f>
        <v>0.11122421015542419</v>
      </c>
      <c r="K7" s="234">
        <v>49105</v>
      </c>
      <c r="L7" s="100">
        <f>K7/F7</f>
        <v>0.17476768230399362</v>
      </c>
      <c r="M7" s="105">
        <f>SUM(I7+K7)</f>
        <v>80356</v>
      </c>
      <c r="N7" s="100">
        <f>M7/F7</f>
        <v>0.28599189245941781</v>
      </c>
      <c r="O7" s="234">
        <v>5063</v>
      </c>
      <c r="P7" s="100">
        <f>O7/F7</f>
        <v>1.8019525007740959E-2</v>
      </c>
      <c r="Q7" s="234"/>
      <c r="R7" s="100">
        <f t="shared" ref="R7:R13" si="1">Q7/F7</f>
        <v>0</v>
      </c>
      <c r="S7" s="105">
        <f t="shared" ref="S7:S13" si="2">SUM(O7+Q7)</f>
        <v>5063</v>
      </c>
      <c r="T7" s="100">
        <f>S7/F7</f>
        <v>1.8019525007740959E-2</v>
      </c>
      <c r="U7" s="234">
        <v>33410</v>
      </c>
      <c r="V7" s="100">
        <f>U7/F7</f>
        <v>0.11890822249824716</v>
      </c>
      <c r="W7" s="234">
        <v>8483</v>
      </c>
      <c r="X7" s="100">
        <f>W7/F7</f>
        <v>3.0191513063532793E-2</v>
      </c>
      <c r="Y7" s="234">
        <v>25469</v>
      </c>
      <c r="Z7" s="100">
        <f>Y7/F7</f>
        <v>9.0645720407298916E-2</v>
      </c>
      <c r="AA7" s="234">
        <v>22153</v>
      </c>
      <c r="AB7" s="100">
        <f t="shared" ref="AB7:AB13" si="3">AA7/F7</f>
        <v>7.8843874678349871E-2</v>
      </c>
      <c r="AC7" s="105">
        <f>SUM(Y7+AA7)</f>
        <v>47622</v>
      </c>
      <c r="AD7" s="100">
        <f>AC7/F7</f>
        <v>0.16948959508564879</v>
      </c>
      <c r="AE7" s="234">
        <v>26767</v>
      </c>
      <c r="AF7" s="100">
        <f>AE7/F7</f>
        <v>9.5265381371163776E-2</v>
      </c>
      <c r="AG7" s="234">
        <v>16689</v>
      </c>
      <c r="AH7" s="100">
        <f>AG7/F7</f>
        <v>5.939716627576315E-2</v>
      </c>
      <c r="AI7" s="234">
        <v>35116</v>
      </c>
      <c r="AJ7" s="100">
        <f>AI7/F7</f>
        <v>0.12497998028280298</v>
      </c>
      <c r="AK7" s="234">
        <v>27467</v>
      </c>
      <c r="AL7" s="100">
        <f>AK7/F7</f>
        <v>9.7756723955682578E-2</v>
      </c>
    </row>
    <row r="8" spans="1:38" ht="14.25">
      <c r="B8" s="97"/>
      <c r="C8" s="83"/>
      <c r="D8" s="303">
        <f t="shared" ref="D8" si="4">D7+1</f>
        <v>46204</v>
      </c>
      <c r="E8" s="303" t="s">
        <v>450</v>
      </c>
      <c r="F8" s="87">
        <f>SUM(M8,S8,U8,W8,AC8,AE8,AG8,AI8,AK8)</f>
        <v>266041</v>
      </c>
      <c r="G8" s="305">
        <f>SUM(F7:F13)</f>
        <v>1816821</v>
      </c>
      <c r="H8" s="318"/>
      <c r="I8" s="234">
        <v>30799</v>
      </c>
      <c r="J8" s="100">
        <f>I8/F8</f>
        <v>0.11576787036584586</v>
      </c>
      <c r="K8" s="234">
        <v>48363</v>
      </c>
      <c r="L8" s="100">
        <f>K8/F8</f>
        <v>0.1817877695543168</v>
      </c>
      <c r="M8" s="105">
        <f>SUM(I8+K8)</f>
        <v>79162</v>
      </c>
      <c r="N8" s="100">
        <f>M8/F8</f>
        <v>0.29755563992016271</v>
      </c>
      <c r="O8" s="234">
        <v>5051</v>
      </c>
      <c r="P8" s="100">
        <f>O8/F8</f>
        <v>1.8985795422510065E-2</v>
      </c>
      <c r="Q8" s="234"/>
      <c r="R8" s="100">
        <f t="shared" si="1"/>
        <v>0</v>
      </c>
      <c r="S8" s="105">
        <f t="shared" si="2"/>
        <v>5051</v>
      </c>
      <c r="T8" s="100">
        <f>S8/F8</f>
        <v>1.8985795422510065E-2</v>
      </c>
      <c r="U8" s="234">
        <v>31085</v>
      </c>
      <c r="V8" s="100">
        <f>U8/F8</f>
        <v>0.1168428926368492</v>
      </c>
      <c r="W8" s="234">
        <v>4955</v>
      </c>
      <c r="X8" s="100">
        <f>W8/F8</f>
        <v>1.8624948786089363E-2</v>
      </c>
      <c r="Y8" s="234">
        <v>24565</v>
      </c>
      <c r="Z8" s="100">
        <f>Y8/F8</f>
        <v>9.2335391913276527E-2</v>
      </c>
      <c r="AA8" s="234">
        <v>20001</v>
      </c>
      <c r="AB8" s="100">
        <f t="shared" si="3"/>
        <v>7.5180141406775647E-2</v>
      </c>
      <c r="AC8" s="105">
        <f>SUM(Y8+AA8)</f>
        <v>44566</v>
      </c>
      <c r="AD8" s="100">
        <f>AC8/F8</f>
        <v>0.16751553332005217</v>
      </c>
      <c r="AE8" s="234">
        <v>23645</v>
      </c>
      <c r="AF8" s="100">
        <f>AE8/F8</f>
        <v>8.8877278314244801E-2</v>
      </c>
      <c r="AG8" s="234">
        <v>15204</v>
      </c>
      <c r="AH8" s="100">
        <f>AG8/F8</f>
        <v>5.714908604312869E-2</v>
      </c>
      <c r="AI8" s="234">
        <v>36664</v>
      </c>
      <c r="AJ8" s="100">
        <f>AI8/F8</f>
        <v>0.13781334455967315</v>
      </c>
      <c r="AK8" s="234">
        <v>25709</v>
      </c>
      <c r="AL8" s="100">
        <f>AK8/F8</f>
        <v>9.6635480997289885E-2</v>
      </c>
    </row>
    <row r="9" spans="1:38" ht="14.25">
      <c r="B9" s="97"/>
      <c r="C9" s="83"/>
      <c r="D9" s="303">
        <f>D8+1</f>
        <v>46205</v>
      </c>
      <c r="E9" s="303" t="s">
        <v>451</v>
      </c>
      <c r="F9" s="87">
        <f t="shared" ref="F9:F44" si="5">SUM(M9,S9,U9,W9,AC9,AE9,AG9,AI9,AK9)</f>
        <v>250642</v>
      </c>
      <c r="G9" s="305"/>
      <c r="I9" s="234">
        <v>30282</v>
      </c>
      <c r="J9" s="100">
        <f>I9/F9</f>
        <v>0.12081774004356811</v>
      </c>
      <c r="K9" s="234">
        <v>45042</v>
      </c>
      <c r="L9" s="100">
        <f>K9/F9</f>
        <v>0.17970651367288804</v>
      </c>
      <c r="M9" s="105">
        <f>SUM(I9+K9)</f>
        <v>75324</v>
      </c>
      <c r="N9" s="100">
        <f>M9/F9</f>
        <v>0.30052425371645614</v>
      </c>
      <c r="O9" s="234">
        <v>5158</v>
      </c>
      <c r="P9" s="100">
        <f>O9/F9</f>
        <v>2.0579152735774531E-2</v>
      </c>
      <c r="Q9" s="234"/>
      <c r="R9" s="100">
        <f t="shared" si="1"/>
        <v>0</v>
      </c>
      <c r="S9" s="105">
        <f t="shared" si="2"/>
        <v>5158</v>
      </c>
      <c r="T9" s="100">
        <f>S9/F9</f>
        <v>2.0579152735774531E-2</v>
      </c>
      <c r="U9" s="234">
        <v>28211</v>
      </c>
      <c r="V9" s="100">
        <f>U9/F9</f>
        <v>0.11255495886563305</v>
      </c>
      <c r="W9" s="234">
        <v>4424</v>
      </c>
      <c r="X9" s="100">
        <f>W9/F9</f>
        <v>1.7650673071552252E-2</v>
      </c>
      <c r="Y9" s="234">
        <v>23481</v>
      </c>
      <c r="Z9" s="100">
        <f>Y9/F9</f>
        <v>9.3683420974936357E-2</v>
      </c>
      <c r="AA9" s="234">
        <v>16614</v>
      </c>
      <c r="AB9" s="100">
        <f t="shared" si="3"/>
        <v>6.6285778121783254E-2</v>
      </c>
      <c r="AC9" s="105">
        <f>SUM(Y9+AA9)</f>
        <v>40095</v>
      </c>
      <c r="AD9" s="100">
        <f>AC9/F9</f>
        <v>0.15996919909671961</v>
      </c>
      <c r="AE9" s="234">
        <v>21867</v>
      </c>
      <c r="AF9" s="100">
        <f>AE9/F9</f>
        <v>8.7243957517096099E-2</v>
      </c>
      <c r="AG9" s="234">
        <v>13965</v>
      </c>
      <c r="AH9" s="100">
        <f>AG9/F9</f>
        <v>5.5716918952130927E-2</v>
      </c>
      <c r="AI9" s="234">
        <v>36867</v>
      </c>
      <c r="AJ9" s="100">
        <f>AI9/F9</f>
        <v>0.14709027218103909</v>
      </c>
      <c r="AK9" s="234">
        <v>24731</v>
      </c>
      <c r="AL9" s="100">
        <f>AK9/F9</f>
        <v>9.867061386359828E-2</v>
      </c>
    </row>
    <row r="10" spans="1:38" ht="14.25">
      <c r="B10" s="97"/>
      <c r="C10" s="83"/>
      <c r="D10" s="303">
        <f t="shared" ref="D10:D36" si="6">D9+1</f>
        <v>46206</v>
      </c>
      <c r="E10" s="303" t="s">
        <v>452</v>
      </c>
      <c r="F10" s="87">
        <f t="shared" si="5"/>
        <v>225060</v>
      </c>
      <c r="G10" s="305"/>
      <c r="H10" s="345"/>
      <c r="I10" s="234">
        <v>26488</v>
      </c>
      <c r="J10" s="100">
        <f t="shared" ref="J10:J13" si="7">I10/F10</f>
        <v>0.1176930596285435</v>
      </c>
      <c r="K10" s="234">
        <v>41510</v>
      </c>
      <c r="L10" s="100">
        <f t="shared" ref="L10:L13" si="8">K10/F10</f>
        <v>0.18443970496756421</v>
      </c>
      <c r="M10" s="105">
        <f t="shared" ref="M10:M13" si="9">SUM(I10+K10)</f>
        <v>67998</v>
      </c>
      <c r="N10" s="100">
        <f t="shared" ref="N10:N13" si="10">M10/F10</f>
        <v>0.30213276459610772</v>
      </c>
      <c r="O10" s="234">
        <v>4366</v>
      </c>
      <c r="P10" s="100">
        <f t="shared" ref="P10:P13" si="11">O10/F10</f>
        <v>1.9399271305429663E-2</v>
      </c>
      <c r="Q10" s="234"/>
      <c r="R10" s="100">
        <f t="shared" si="1"/>
        <v>0</v>
      </c>
      <c r="S10" s="105">
        <f t="shared" si="2"/>
        <v>4366</v>
      </c>
      <c r="T10" s="100">
        <f t="shared" ref="T10:T13" si="12">S10/F10</f>
        <v>1.9399271305429663E-2</v>
      </c>
      <c r="U10" s="234">
        <v>24706</v>
      </c>
      <c r="V10" s="100">
        <f t="shared" ref="V10:V13" si="13">U10/F10</f>
        <v>0.10977517106549364</v>
      </c>
      <c r="W10" s="234">
        <v>3552</v>
      </c>
      <c r="X10" s="100">
        <f t="shared" ref="X10:X13" si="14">W10/F10</f>
        <v>1.5782458011197015E-2</v>
      </c>
      <c r="Y10" s="234">
        <v>21695</v>
      </c>
      <c r="Z10" s="100">
        <f t="shared" ref="Z10:Z13" si="15">Y10/F10</f>
        <v>9.6396516484493031E-2</v>
      </c>
      <c r="AA10" s="234">
        <v>18698</v>
      </c>
      <c r="AB10" s="100">
        <f t="shared" si="3"/>
        <v>8.3080067537545543E-2</v>
      </c>
      <c r="AC10" s="105">
        <f t="shared" ref="AC10:AC13" si="16">SUM(Y10+AA10)</f>
        <v>40393</v>
      </c>
      <c r="AD10" s="100">
        <f t="shared" ref="AD10:AD13" si="17">AC10/F10</f>
        <v>0.17947658402203856</v>
      </c>
      <c r="AE10" s="234">
        <v>17683</v>
      </c>
      <c r="AF10" s="100">
        <f t="shared" ref="AF10:AF13" si="18">AE10/F10</f>
        <v>7.8570159068692788E-2</v>
      </c>
      <c r="AG10" s="234">
        <v>10006</v>
      </c>
      <c r="AH10" s="100">
        <f t="shared" ref="AH10:AH13" si="19">AG10/F10</f>
        <v>4.4459255309695189E-2</v>
      </c>
      <c r="AI10" s="234">
        <v>35581</v>
      </c>
      <c r="AJ10" s="100">
        <f t="shared" ref="AJ10:AJ13" si="20">AI10/F10</f>
        <v>0.15809561894605884</v>
      </c>
      <c r="AK10" s="234">
        <v>20775</v>
      </c>
      <c r="AL10" s="100">
        <f t="shared" ref="AL10:AL13" si="21">AK10/F10</f>
        <v>9.2308717675286589E-2</v>
      </c>
    </row>
    <row r="11" spans="1:38" ht="14.25">
      <c r="B11" s="97"/>
      <c r="C11" s="83"/>
      <c r="D11" s="303">
        <f t="shared" si="6"/>
        <v>46207</v>
      </c>
      <c r="E11" s="303" t="s">
        <v>453</v>
      </c>
      <c r="F11" s="87">
        <f t="shared" si="5"/>
        <v>244678</v>
      </c>
      <c r="G11" s="305"/>
      <c r="H11" s="345"/>
      <c r="I11" s="234">
        <v>25810</v>
      </c>
      <c r="J11" s="100">
        <f t="shared" si="7"/>
        <v>0.10548557696237504</v>
      </c>
      <c r="K11" s="234">
        <v>43807</v>
      </c>
      <c r="L11" s="100">
        <f t="shared" si="8"/>
        <v>0.17903939054594201</v>
      </c>
      <c r="M11" s="105">
        <f t="shared" si="9"/>
        <v>69617</v>
      </c>
      <c r="N11" s="100">
        <f t="shared" si="10"/>
        <v>0.28452496750831707</v>
      </c>
      <c r="O11" s="234">
        <v>4139</v>
      </c>
      <c r="P11" s="100">
        <f t="shared" si="11"/>
        <v>1.6916110152935693E-2</v>
      </c>
      <c r="Q11" s="234"/>
      <c r="R11" s="100">
        <f t="shared" si="1"/>
        <v>0</v>
      </c>
      <c r="S11" s="105">
        <f t="shared" si="2"/>
        <v>4139</v>
      </c>
      <c r="T11" s="100">
        <f t="shared" si="12"/>
        <v>1.6916110152935693E-2</v>
      </c>
      <c r="U11" s="234">
        <v>28764</v>
      </c>
      <c r="V11" s="100">
        <f t="shared" si="13"/>
        <v>0.11755858720440743</v>
      </c>
      <c r="W11" s="234">
        <v>4242</v>
      </c>
      <c r="X11" s="100">
        <f t="shared" si="14"/>
        <v>1.7337071579790583E-2</v>
      </c>
      <c r="Y11" s="234">
        <v>20098</v>
      </c>
      <c r="Z11" s="100">
        <f t="shared" si="15"/>
        <v>8.2140609290577815E-2</v>
      </c>
      <c r="AA11" s="234">
        <v>20867</v>
      </c>
      <c r="AB11" s="100">
        <f t="shared" si="3"/>
        <v>8.5283515477484695E-2</v>
      </c>
      <c r="AC11" s="105">
        <f t="shared" si="16"/>
        <v>40965</v>
      </c>
      <c r="AD11" s="100">
        <f t="shared" si="17"/>
        <v>0.16742412476806251</v>
      </c>
      <c r="AE11" s="234">
        <v>21388</v>
      </c>
      <c r="AF11" s="100">
        <f t="shared" si="18"/>
        <v>8.7412844636624465E-2</v>
      </c>
      <c r="AG11" s="234">
        <v>12423</v>
      </c>
      <c r="AH11" s="100">
        <f t="shared" si="19"/>
        <v>5.0772852483672422E-2</v>
      </c>
      <c r="AI11" s="234">
        <v>39278</v>
      </c>
      <c r="AJ11" s="100">
        <f t="shared" si="20"/>
        <v>0.16052934877675967</v>
      </c>
      <c r="AK11" s="234">
        <v>23862</v>
      </c>
      <c r="AL11" s="100">
        <f t="shared" si="21"/>
        <v>9.7524092889430189E-2</v>
      </c>
    </row>
    <row r="12" spans="1:38" ht="14.25">
      <c r="B12" s="97"/>
      <c r="C12" s="83"/>
      <c r="D12" s="303">
        <f t="shared" si="6"/>
        <v>46208</v>
      </c>
      <c r="E12" s="303" t="s">
        <v>454</v>
      </c>
      <c r="F12" s="87">
        <f t="shared" si="5"/>
        <v>275484</v>
      </c>
      <c r="G12" s="305"/>
      <c r="H12" s="345">
        <f>SUM(F8:F38)</f>
        <v>6820779</v>
      </c>
      <c r="I12" s="234">
        <v>31053</v>
      </c>
      <c r="J12" s="100">
        <f t="shared" si="7"/>
        <v>0.11272160996645904</v>
      </c>
      <c r="K12" s="234">
        <v>47550</v>
      </c>
      <c r="L12" s="100">
        <f t="shared" si="8"/>
        <v>0.17260530557128545</v>
      </c>
      <c r="M12" s="105">
        <f t="shared" si="9"/>
        <v>78603</v>
      </c>
      <c r="N12" s="100">
        <f t="shared" si="10"/>
        <v>0.28532691553774447</v>
      </c>
      <c r="O12" s="234">
        <v>5189</v>
      </c>
      <c r="P12" s="100">
        <f t="shared" si="11"/>
        <v>1.8835939655297586E-2</v>
      </c>
      <c r="Q12" s="234"/>
      <c r="R12" s="100">
        <f t="shared" si="1"/>
        <v>0</v>
      </c>
      <c r="S12" s="105">
        <f t="shared" si="2"/>
        <v>5189</v>
      </c>
      <c r="T12" s="100">
        <f t="shared" si="12"/>
        <v>1.8835939655297586E-2</v>
      </c>
      <c r="U12" s="234">
        <v>34498</v>
      </c>
      <c r="V12" s="100">
        <f t="shared" si="13"/>
        <v>0.12522687343003586</v>
      </c>
      <c r="W12" s="234">
        <v>5164</v>
      </c>
      <c r="X12" s="100">
        <f t="shared" si="14"/>
        <v>1.8745190283283239E-2</v>
      </c>
      <c r="Y12" s="234">
        <v>23893</v>
      </c>
      <c r="Z12" s="100">
        <f t="shared" si="15"/>
        <v>8.6730989821550433E-2</v>
      </c>
      <c r="AA12" s="234">
        <v>21595</v>
      </c>
      <c r="AB12" s="100">
        <f t="shared" si="3"/>
        <v>7.8389307545991785E-2</v>
      </c>
      <c r="AC12" s="105">
        <f t="shared" si="16"/>
        <v>45488</v>
      </c>
      <c r="AD12" s="100">
        <f t="shared" si="17"/>
        <v>0.16512029736754222</v>
      </c>
      <c r="AE12" s="234">
        <v>25274</v>
      </c>
      <c r="AF12" s="100">
        <f t="shared" si="18"/>
        <v>9.1743985131622893E-2</v>
      </c>
      <c r="AG12" s="234">
        <v>15287</v>
      </c>
      <c r="AH12" s="100">
        <f t="shared" si="19"/>
        <v>5.5491425999332086E-2</v>
      </c>
      <c r="AI12" s="234">
        <v>40194</v>
      </c>
      <c r="AJ12" s="100">
        <f t="shared" si="20"/>
        <v>0.14590321034978437</v>
      </c>
      <c r="AK12" s="234">
        <v>25787</v>
      </c>
      <c r="AL12" s="100">
        <f t="shared" si="21"/>
        <v>9.3606162245357269E-2</v>
      </c>
    </row>
    <row r="13" spans="1:38" ht="14.25">
      <c r="B13" s="97"/>
      <c r="C13" s="83"/>
      <c r="D13" s="303">
        <f t="shared" si="6"/>
        <v>46209</v>
      </c>
      <c r="E13" s="303" t="s">
        <v>448</v>
      </c>
      <c r="F13" s="87">
        <f t="shared" si="5"/>
        <v>273943</v>
      </c>
      <c r="G13" s="305"/>
      <c r="H13" s="345"/>
      <c r="I13" s="234">
        <v>30810</v>
      </c>
      <c r="J13" s="100">
        <f t="shared" si="7"/>
        <v>0.11246865223787431</v>
      </c>
      <c r="K13" s="234">
        <v>46954</v>
      </c>
      <c r="L13" s="100">
        <f t="shared" si="8"/>
        <v>0.17140061983697338</v>
      </c>
      <c r="M13" s="105">
        <f t="shared" si="9"/>
        <v>77764</v>
      </c>
      <c r="N13" s="100">
        <f t="shared" si="10"/>
        <v>0.28386927207484769</v>
      </c>
      <c r="O13" s="234">
        <v>5140</v>
      </c>
      <c r="P13" s="100">
        <f t="shared" si="11"/>
        <v>1.8763027345104637E-2</v>
      </c>
      <c r="Q13" s="234"/>
      <c r="R13" s="100">
        <f t="shared" si="1"/>
        <v>0</v>
      </c>
      <c r="S13" s="105">
        <f t="shared" si="2"/>
        <v>5140</v>
      </c>
      <c r="T13" s="100">
        <f t="shared" si="12"/>
        <v>1.8763027345104637E-2</v>
      </c>
      <c r="U13" s="234">
        <v>34501</v>
      </c>
      <c r="V13" s="100">
        <f t="shared" si="13"/>
        <v>0.1259422580609835</v>
      </c>
      <c r="W13" s="234">
        <v>3744</v>
      </c>
      <c r="X13" s="100">
        <f t="shared" si="14"/>
        <v>1.3667076727640422E-2</v>
      </c>
      <c r="Y13" s="234">
        <v>24268</v>
      </c>
      <c r="Z13" s="100">
        <f t="shared" si="15"/>
        <v>8.8587771908754748E-2</v>
      </c>
      <c r="AA13" s="234">
        <v>22123</v>
      </c>
      <c r="AB13" s="100">
        <f t="shared" si="3"/>
        <v>8.0757675866877418E-2</v>
      </c>
      <c r="AC13" s="105">
        <f t="shared" si="16"/>
        <v>46391</v>
      </c>
      <c r="AD13" s="100">
        <f t="shared" si="17"/>
        <v>0.16934544777563215</v>
      </c>
      <c r="AE13" s="234">
        <v>23823</v>
      </c>
      <c r="AF13" s="100">
        <f t="shared" si="18"/>
        <v>8.6963346389577395E-2</v>
      </c>
      <c r="AG13" s="234">
        <v>15413</v>
      </c>
      <c r="AH13" s="100">
        <f t="shared" si="19"/>
        <v>5.6263529274338094E-2</v>
      </c>
      <c r="AI13" s="234">
        <v>39832</v>
      </c>
      <c r="AJ13" s="100">
        <f t="shared" si="20"/>
        <v>0.1454025107412856</v>
      </c>
      <c r="AK13" s="234">
        <v>27335</v>
      </c>
      <c r="AL13" s="100">
        <f t="shared" si="21"/>
        <v>9.9783531610590531E-2</v>
      </c>
    </row>
    <row r="14" spans="1:38" ht="14.25">
      <c r="B14" s="97"/>
      <c r="C14" s="83"/>
      <c r="D14" s="359">
        <f t="shared" si="6"/>
        <v>46210</v>
      </c>
      <c r="E14" s="359" t="s">
        <v>449</v>
      </c>
      <c r="F14" s="87">
        <f t="shared" si="5"/>
        <v>299940</v>
      </c>
      <c r="G14" s="305">
        <f>SUM(F14:F20)</f>
        <v>1857231</v>
      </c>
      <c r="H14" s="345"/>
      <c r="I14" s="234">
        <v>31385</v>
      </c>
      <c r="J14" s="100">
        <f>I14/F14</f>
        <v>0.10463759418550377</v>
      </c>
      <c r="K14" s="234">
        <v>46625</v>
      </c>
      <c r="L14" s="100">
        <f>K14/F14</f>
        <v>0.15544775621791024</v>
      </c>
      <c r="M14" s="105">
        <f>SUM(I14+K14)</f>
        <v>78010</v>
      </c>
      <c r="N14" s="100">
        <f>M14/F14</f>
        <v>0.26008535040341402</v>
      </c>
      <c r="O14" s="234">
        <v>5185</v>
      </c>
      <c r="P14" s="100">
        <f>O14/F14</f>
        <v>1.7286790691471626E-2</v>
      </c>
      <c r="Q14" s="234"/>
      <c r="R14" s="100">
        <f t="shared" ref="R14" si="22">Q14/F14</f>
        <v>0</v>
      </c>
      <c r="S14" s="105">
        <f t="shared" ref="S14" si="23">SUM(O14+Q14)</f>
        <v>5185</v>
      </c>
      <c r="T14" s="100">
        <f>S14/F14</f>
        <v>1.7286790691471626E-2</v>
      </c>
      <c r="U14" s="234">
        <v>33107</v>
      </c>
      <c r="V14" s="100">
        <f>U14/F14</f>
        <v>0.11037874241514969</v>
      </c>
      <c r="W14" s="234">
        <v>11009</v>
      </c>
      <c r="X14" s="100">
        <f>W14/F14</f>
        <v>3.6704007468160299E-2</v>
      </c>
      <c r="Y14" s="234">
        <v>24596</v>
      </c>
      <c r="Z14" s="100">
        <f>Y14/F14</f>
        <v>8.2003067280122688E-2</v>
      </c>
      <c r="AA14" s="234">
        <v>24316</v>
      </c>
      <c r="AB14" s="100">
        <f t="shared" ref="AB14" si="24">AA14/F14</f>
        <v>8.1069547242781884E-2</v>
      </c>
      <c r="AC14" s="105">
        <f>SUM(Y14+AA14)</f>
        <v>48912</v>
      </c>
      <c r="AD14" s="100">
        <f>AC14/F14</f>
        <v>0.16307261452290459</v>
      </c>
      <c r="AE14" s="234">
        <v>31543</v>
      </c>
      <c r="AF14" s="100">
        <f>AE14/F14</f>
        <v>0.10516436620657464</v>
      </c>
      <c r="AG14" s="234">
        <v>14226</v>
      </c>
      <c r="AH14" s="100">
        <f>AG14/F14</f>
        <v>4.7429485897179435E-2</v>
      </c>
      <c r="AI14" s="234">
        <v>50502</v>
      </c>
      <c r="AJ14" s="100">
        <f>AI14/F14</f>
        <v>0.16837367473494699</v>
      </c>
      <c r="AK14" s="234">
        <v>27446</v>
      </c>
      <c r="AL14" s="100">
        <f>AK14/F14</f>
        <v>9.1504967660198708E-2</v>
      </c>
    </row>
    <row r="15" spans="1:38" ht="14.25">
      <c r="B15" s="97"/>
      <c r="C15" s="83"/>
      <c r="D15" s="359">
        <f t="shared" si="6"/>
        <v>46211</v>
      </c>
      <c r="E15" s="359" t="s">
        <v>450</v>
      </c>
      <c r="F15" s="87">
        <f t="shared" si="5"/>
        <v>281251</v>
      </c>
      <c r="G15" s="305"/>
      <c r="H15" s="345"/>
      <c r="I15" s="234">
        <v>30846</v>
      </c>
      <c r="J15" s="100">
        <f t="shared" ref="J15:J48" si="25">I15/F15</f>
        <v>0.10967427671368279</v>
      </c>
      <c r="K15" s="234">
        <v>45332</v>
      </c>
      <c r="L15" s="100">
        <f t="shared" ref="L15:L48" si="26">K15/F15</f>
        <v>0.16117987136045739</v>
      </c>
      <c r="M15" s="105">
        <f t="shared" ref="M15:M48" si="27">SUM(I15+K15)</f>
        <v>76178</v>
      </c>
      <c r="N15" s="100">
        <f t="shared" ref="N15:N48" si="28">M15/F15</f>
        <v>0.27085414807414016</v>
      </c>
      <c r="O15" s="234">
        <v>5180</v>
      </c>
      <c r="P15" s="100">
        <f t="shared" ref="P15:P48" si="29">O15/F15</f>
        <v>1.8417712292578516E-2</v>
      </c>
      <c r="Q15" s="234"/>
      <c r="R15" s="100">
        <f t="shared" ref="R15:R48" si="30">Q15/F15</f>
        <v>0</v>
      </c>
      <c r="S15" s="105">
        <f t="shared" ref="S15:S48" si="31">SUM(O15+Q15)</f>
        <v>5180</v>
      </c>
      <c r="T15" s="100">
        <f t="shared" ref="T15:T48" si="32">S15/F15</f>
        <v>1.8417712292578516E-2</v>
      </c>
      <c r="U15" s="234">
        <v>29243</v>
      </c>
      <c r="V15" s="100">
        <f t="shared" ref="V15:V48" si="33">U15/F15</f>
        <v>0.1039747414231416</v>
      </c>
      <c r="W15" s="234">
        <v>7605</v>
      </c>
      <c r="X15" s="100">
        <f t="shared" ref="X15:X48" si="34">W15/F15</f>
        <v>2.7039903858119614E-2</v>
      </c>
      <c r="Y15" s="234">
        <v>24759</v>
      </c>
      <c r="Z15" s="100">
        <f t="shared" ref="Z15:Z48" si="35">Y15/F15</f>
        <v>8.8031686998446226E-2</v>
      </c>
      <c r="AA15" s="234">
        <v>23840</v>
      </c>
      <c r="AB15" s="100">
        <f t="shared" ref="AB15:AB48" si="36">AA15/F15</f>
        <v>8.4764143060824679E-2</v>
      </c>
      <c r="AC15" s="105">
        <f t="shared" ref="AC15:AC48" si="37">SUM(Y15+AA15)</f>
        <v>48599</v>
      </c>
      <c r="AD15" s="100">
        <f t="shared" ref="AD15:AD48" si="38">AC15/F15</f>
        <v>0.17279583005927091</v>
      </c>
      <c r="AE15" s="234">
        <v>27372</v>
      </c>
      <c r="AF15" s="100">
        <f t="shared" ref="AF15:AF48" si="39">AE15/F15</f>
        <v>9.7322320631748865E-2</v>
      </c>
      <c r="AG15" s="234">
        <v>13493</v>
      </c>
      <c r="AH15" s="100">
        <f t="shared" ref="AH15:AH48" si="40">AG15/F15</f>
        <v>4.7974940533544772E-2</v>
      </c>
      <c r="AI15" s="234">
        <v>46093</v>
      </c>
      <c r="AJ15" s="100">
        <f t="shared" ref="AJ15:AJ48" si="41">AI15/F15</f>
        <v>0.16388563951772617</v>
      </c>
      <c r="AK15" s="234">
        <v>27488</v>
      </c>
      <c r="AL15" s="100">
        <f t="shared" ref="AL15:AL48" si="42">AK15/F15</f>
        <v>9.7734763609729394E-2</v>
      </c>
    </row>
    <row r="16" spans="1:38" ht="14.25">
      <c r="B16" s="97"/>
      <c r="C16" s="83"/>
      <c r="D16" s="359">
        <f t="shared" si="6"/>
        <v>46212</v>
      </c>
      <c r="E16" s="359" t="s">
        <v>451</v>
      </c>
      <c r="F16" s="87">
        <f t="shared" si="5"/>
        <v>269872</v>
      </c>
      <c r="G16" s="305"/>
      <c r="H16" s="345"/>
      <c r="I16" s="234">
        <v>29074</v>
      </c>
      <c r="J16" s="100">
        <f t="shared" si="25"/>
        <v>0.107732554692595</v>
      </c>
      <c r="K16" s="234">
        <v>41191</v>
      </c>
      <c r="L16" s="100">
        <f t="shared" si="26"/>
        <v>0.15263161795221439</v>
      </c>
      <c r="M16" s="105">
        <f t="shared" si="27"/>
        <v>70265</v>
      </c>
      <c r="N16" s="100">
        <f t="shared" si="28"/>
        <v>0.26036417264480938</v>
      </c>
      <c r="O16" s="234">
        <v>5078</v>
      </c>
      <c r="P16" s="100">
        <f t="shared" si="29"/>
        <v>1.8816327740558487E-2</v>
      </c>
      <c r="Q16" s="234"/>
      <c r="R16" s="100">
        <f t="shared" si="30"/>
        <v>0</v>
      </c>
      <c r="S16" s="105">
        <f t="shared" si="31"/>
        <v>5078</v>
      </c>
      <c r="T16" s="100">
        <f t="shared" si="32"/>
        <v>1.8816327740558487E-2</v>
      </c>
      <c r="U16" s="234">
        <v>26242</v>
      </c>
      <c r="V16" s="100">
        <f t="shared" si="33"/>
        <v>9.7238690934961763E-2</v>
      </c>
      <c r="W16" s="234">
        <v>7555</v>
      </c>
      <c r="X16" s="100">
        <f t="shared" si="34"/>
        <v>2.7994753068121183E-2</v>
      </c>
      <c r="Y16" s="234">
        <v>26089</v>
      </c>
      <c r="Z16" s="100">
        <f t="shared" si="35"/>
        <v>9.6671755498903181E-2</v>
      </c>
      <c r="AA16" s="234">
        <v>20289</v>
      </c>
      <c r="AB16" s="100">
        <f t="shared" si="36"/>
        <v>7.518008537380684E-2</v>
      </c>
      <c r="AC16" s="105">
        <f t="shared" si="37"/>
        <v>46378</v>
      </c>
      <c r="AD16" s="100">
        <f t="shared" si="38"/>
        <v>0.17185184087271002</v>
      </c>
      <c r="AE16" s="234">
        <v>26647</v>
      </c>
      <c r="AF16" s="100">
        <f t="shared" si="39"/>
        <v>9.8739402383352104E-2</v>
      </c>
      <c r="AG16" s="234">
        <v>15152</v>
      </c>
      <c r="AH16" s="100">
        <f t="shared" si="40"/>
        <v>5.6145135471630997E-2</v>
      </c>
      <c r="AI16" s="234">
        <v>43111</v>
      </c>
      <c r="AJ16" s="100">
        <f t="shared" si="41"/>
        <v>0.15974610185569454</v>
      </c>
      <c r="AK16" s="234">
        <v>29444</v>
      </c>
      <c r="AL16" s="100">
        <f t="shared" si="42"/>
        <v>0.1091035750281615</v>
      </c>
    </row>
    <row r="17" spans="2:38" ht="14.25">
      <c r="B17" s="97"/>
      <c r="C17" s="83"/>
      <c r="D17" s="359">
        <f t="shared" si="6"/>
        <v>46213</v>
      </c>
      <c r="E17" s="359" t="s">
        <v>452</v>
      </c>
      <c r="F17" s="87">
        <f t="shared" si="5"/>
        <v>221106</v>
      </c>
      <c r="G17" s="305"/>
      <c r="H17" s="345"/>
      <c r="I17" s="234">
        <v>24363</v>
      </c>
      <c r="J17" s="100">
        <f t="shared" si="25"/>
        <v>0.11018696914602046</v>
      </c>
      <c r="K17" s="234">
        <v>37252</v>
      </c>
      <c r="L17" s="100">
        <f t="shared" si="26"/>
        <v>0.16848027642850036</v>
      </c>
      <c r="M17" s="105">
        <f t="shared" si="27"/>
        <v>61615</v>
      </c>
      <c r="N17" s="100">
        <f t="shared" si="28"/>
        <v>0.27866724557452083</v>
      </c>
      <c r="O17" s="234">
        <v>4218</v>
      </c>
      <c r="P17" s="100">
        <f t="shared" si="29"/>
        <v>1.9076822881332934E-2</v>
      </c>
      <c r="Q17" s="234"/>
      <c r="R17" s="100">
        <f t="shared" si="30"/>
        <v>0</v>
      </c>
      <c r="S17" s="105">
        <f t="shared" si="31"/>
        <v>4218</v>
      </c>
      <c r="T17" s="100">
        <f t="shared" si="32"/>
        <v>1.9076822881332934E-2</v>
      </c>
      <c r="U17" s="234">
        <v>22465</v>
      </c>
      <c r="V17" s="100">
        <f t="shared" si="33"/>
        <v>0.1016028511211817</v>
      </c>
      <c r="W17" s="234">
        <v>3234</v>
      </c>
      <c r="X17" s="100">
        <f t="shared" si="34"/>
        <v>1.4626468752544029E-2</v>
      </c>
      <c r="Y17" s="234">
        <v>23399</v>
      </c>
      <c r="Z17" s="100">
        <f t="shared" si="35"/>
        <v>0.10582706936944271</v>
      </c>
      <c r="AA17" s="234">
        <v>18132</v>
      </c>
      <c r="AB17" s="100">
        <f t="shared" si="36"/>
        <v>8.2005915714634614E-2</v>
      </c>
      <c r="AC17" s="105">
        <f t="shared" si="37"/>
        <v>41531</v>
      </c>
      <c r="AD17" s="100">
        <f t="shared" si="38"/>
        <v>0.18783298508407731</v>
      </c>
      <c r="AE17" s="234">
        <v>21121</v>
      </c>
      <c r="AF17" s="100">
        <f t="shared" si="39"/>
        <v>9.5524318652591964E-2</v>
      </c>
      <c r="AG17" s="234">
        <v>10563</v>
      </c>
      <c r="AH17" s="100">
        <f t="shared" si="40"/>
        <v>4.7773466120322378E-2</v>
      </c>
      <c r="AI17" s="234">
        <v>35531</v>
      </c>
      <c r="AJ17" s="100">
        <f t="shared" si="41"/>
        <v>0.16069667942073032</v>
      </c>
      <c r="AK17" s="234">
        <v>20828</v>
      </c>
      <c r="AL17" s="100">
        <f t="shared" si="42"/>
        <v>9.4199162392698529E-2</v>
      </c>
    </row>
    <row r="18" spans="2:38" ht="14.25">
      <c r="B18" s="97"/>
      <c r="C18" s="83"/>
      <c r="D18" s="359">
        <f t="shared" si="6"/>
        <v>46214</v>
      </c>
      <c r="E18" s="359" t="s">
        <v>453</v>
      </c>
      <c r="F18" s="87">
        <f t="shared" si="5"/>
        <v>233330</v>
      </c>
      <c r="G18" s="305"/>
      <c r="H18" s="345"/>
      <c r="I18" s="234">
        <v>23194</v>
      </c>
      <c r="J18" s="100">
        <f t="shared" si="25"/>
        <v>9.9404277203960056E-2</v>
      </c>
      <c r="K18" s="234">
        <v>40889</v>
      </c>
      <c r="L18" s="100">
        <f t="shared" si="26"/>
        <v>0.17524107487249818</v>
      </c>
      <c r="M18" s="105">
        <f t="shared" si="27"/>
        <v>64083</v>
      </c>
      <c r="N18" s="100">
        <f t="shared" si="28"/>
        <v>0.27464535207645824</v>
      </c>
      <c r="O18" s="234">
        <v>3957</v>
      </c>
      <c r="P18" s="100">
        <f t="shared" si="29"/>
        <v>1.6958813697338534E-2</v>
      </c>
      <c r="Q18" s="234"/>
      <c r="R18" s="100">
        <f t="shared" si="30"/>
        <v>0</v>
      </c>
      <c r="S18" s="105">
        <f t="shared" si="31"/>
        <v>3957</v>
      </c>
      <c r="T18" s="100">
        <f t="shared" si="32"/>
        <v>1.6958813697338534E-2</v>
      </c>
      <c r="U18" s="234">
        <v>21974</v>
      </c>
      <c r="V18" s="100">
        <f t="shared" si="33"/>
        <v>9.4175631080444008E-2</v>
      </c>
      <c r="W18" s="234">
        <v>4725</v>
      </c>
      <c r="X18" s="100">
        <f t="shared" si="34"/>
        <v>2.0250289289846998E-2</v>
      </c>
      <c r="Y18" s="234">
        <v>23874</v>
      </c>
      <c r="Z18" s="100">
        <f t="shared" si="35"/>
        <v>0.10231860455149359</v>
      </c>
      <c r="AA18" s="234">
        <v>19591</v>
      </c>
      <c r="AB18" s="100">
        <f t="shared" si="36"/>
        <v>8.3962628037543396E-2</v>
      </c>
      <c r="AC18" s="105">
        <f t="shared" si="37"/>
        <v>43465</v>
      </c>
      <c r="AD18" s="100">
        <f t="shared" si="38"/>
        <v>0.18628123258903698</v>
      </c>
      <c r="AE18" s="234">
        <v>23515</v>
      </c>
      <c r="AF18" s="100">
        <f t="shared" si="39"/>
        <v>0.10078001114301632</v>
      </c>
      <c r="AG18" s="234">
        <v>12094</v>
      </c>
      <c r="AH18" s="100">
        <f t="shared" si="40"/>
        <v>5.1832169030986155E-2</v>
      </c>
      <c r="AI18" s="234">
        <v>38679</v>
      </c>
      <c r="AJ18" s="100">
        <f t="shared" si="41"/>
        <v>0.16576951099301418</v>
      </c>
      <c r="AK18" s="234">
        <v>20838</v>
      </c>
      <c r="AL18" s="100">
        <f t="shared" si="42"/>
        <v>8.9306990099858569E-2</v>
      </c>
    </row>
    <row r="19" spans="2:38" ht="14.25">
      <c r="B19" s="97"/>
      <c r="C19" s="83"/>
      <c r="D19" s="359">
        <f t="shared" si="6"/>
        <v>46215</v>
      </c>
      <c r="E19" s="359" t="s">
        <v>454</v>
      </c>
      <c r="F19" s="87">
        <f t="shared" si="5"/>
        <v>277272</v>
      </c>
      <c r="G19" s="305"/>
      <c r="H19" s="345"/>
      <c r="I19" s="234">
        <v>29004</v>
      </c>
      <c r="J19" s="100">
        <f t="shared" si="25"/>
        <v>0.1046048645373496</v>
      </c>
      <c r="K19" s="234">
        <v>44094</v>
      </c>
      <c r="L19" s="100">
        <f t="shared" si="26"/>
        <v>0.15902795810611961</v>
      </c>
      <c r="M19" s="105">
        <f t="shared" si="27"/>
        <v>73098</v>
      </c>
      <c r="N19" s="100">
        <f t="shared" si="28"/>
        <v>0.26363282264346921</v>
      </c>
      <c r="O19" s="234">
        <v>5159</v>
      </c>
      <c r="P19" s="100">
        <f t="shared" si="29"/>
        <v>1.8606278311549668E-2</v>
      </c>
      <c r="Q19" s="234"/>
      <c r="R19" s="100">
        <f t="shared" si="30"/>
        <v>0</v>
      </c>
      <c r="S19" s="105">
        <f t="shared" si="31"/>
        <v>5159</v>
      </c>
      <c r="T19" s="100">
        <f t="shared" si="32"/>
        <v>1.8606278311549668E-2</v>
      </c>
      <c r="U19" s="234">
        <v>27419</v>
      </c>
      <c r="V19" s="100">
        <f t="shared" si="33"/>
        <v>9.8888456100868466E-2</v>
      </c>
      <c r="W19" s="234">
        <v>7599</v>
      </c>
      <c r="X19" s="100">
        <f t="shared" si="34"/>
        <v>2.7406301393577425E-2</v>
      </c>
      <c r="Y19" s="234">
        <v>27686</v>
      </c>
      <c r="Z19" s="100">
        <f t="shared" si="35"/>
        <v>9.9851409446319858E-2</v>
      </c>
      <c r="AA19" s="234">
        <v>23091</v>
      </c>
      <c r="AB19" s="100">
        <f t="shared" si="36"/>
        <v>8.3279234830779883E-2</v>
      </c>
      <c r="AC19" s="105">
        <f t="shared" si="37"/>
        <v>50777</v>
      </c>
      <c r="AD19" s="100">
        <f t="shared" si="38"/>
        <v>0.18313064427709974</v>
      </c>
      <c r="AE19" s="234">
        <v>31015</v>
      </c>
      <c r="AF19" s="100">
        <f t="shared" si="39"/>
        <v>0.11185767044634871</v>
      </c>
      <c r="AG19" s="234">
        <v>15442</v>
      </c>
      <c r="AH19" s="100">
        <f t="shared" si="40"/>
        <v>5.5692605095357624E-2</v>
      </c>
      <c r="AI19" s="234">
        <v>42764</v>
      </c>
      <c r="AJ19" s="100">
        <f t="shared" si="41"/>
        <v>0.15423122421304711</v>
      </c>
      <c r="AK19" s="234">
        <v>23999</v>
      </c>
      <c r="AL19" s="100">
        <f t="shared" si="42"/>
        <v>8.6553997518682022E-2</v>
      </c>
    </row>
    <row r="20" spans="2:38" ht="14.25">
      <c r="B20" s="97"/>
      <c r="C20" s="83"/>
      <c r="D20" s="359">
        <f t="shared" si="6"/>
        <v>46216</v>
      </c>
      <c r="E20" s="359" t="s">
        <v>448</v>
      </c>
      <c r="F20" s="87">
        <f t="shared" si="5"/>
        <v>274460</v>
      </c>
      <c r="G20" s="305"/>
      <c r="H20" s="345"/>
      <c r="I20" s="234">
        <v>28132</v>
      </c>
      <c r="J20" s="100">
        <f t="shared" si="25"/>
        <v>0.10249945347227282</v>
      </c>
      <c r="K20" s="234">
        <v>42677</v>
      </c>
      <c r="L20" s="100">
        <f t="shared" si="26"/>
        <v>0.15549442541718284</v>
      </c>
      <c r="M20" s="105">
        <f t="shared" si="27"/>
        <v>70809</v>
      </c>
      <c r="N20" s="100">
        <f t="shared" si="28"/>
        <v>0.25799387888945569</v>
      </c>
      <c r="O20" s="234">
        <v>4976</v>
      </c>
      <c r="P20" s="100">
        <f t="shared" si="29"/>
        <v>1.8130146469430883E-2</v>
      </c>
      <c r="Q20" s="234"/>
      <c r="R20" s="100">
        <f t="shared" si="30"/>
        <v>0</v>
      </c>
      <c r="S20" s="105">
        <f t="shared" si="31"/>
        <v>4976</v>
      </c>
      <c r="T20" s="100">
        <f t="shared" si="32"/>
        <v>1.8130146469430883E-2</v>
      </c>
      <c r="U20" s="234">
        <v>28620</v>
      </c>
      <c r="V20" s="100">
        <f t="shared" si="33"/>
        <v>0.10427749034467682</v>
      </c>
      <c r="W20" s="234">
        <v>6824</v>
      </c>
      <c r="X20" s="100">
        <f t="shared" si="34"/>
        <v>2.4863368068206659E-2</v>
      </c>
      <c r="Y20" s="234">
        <v>27054</v>
      </c>
      <c r="Z20" s="100">
        <f t="shared" si="35"/>
        <v>9.8571740872986952E-2</v>
      </c>
      <c r="AA20" s="234">
        <v>28320</v>
      </c>
      <c r="AB20" s="100">
        <f t="shared" si="36"/>
        <v>0.10318443489033011</v>
      </c>
      <c r="AC20" s="105">
        <f t="shared" si="37"/>
        <v>55374</v>
      </c>
      <c r="AD20" s="100">
        <f t="shared" si="38"/>
        <v>0.20175617576331706</v>
      </c>
      <c r="AE20" s="234">
        <v>28265</v>
      </c>
      <c r="AF20" s="100">
        <f t="shared" si="39"/>
        <v>0.10298404139036654</v>
      </c>
      <c r="AG20" s="234">
        <v>15507</v>
      </c>
      <c r="AH20" s="100">
        <f t="shared" si="40"/>
        <v>5.6500036435181811E-2</v>
      </c>
      <c r="AI20" s="234">
        <v>37505</v>
      </c>
      <c r="AJ20" s="100">
        <f t="shared" si="41"/>
        <v>0.13665014938424544</v>
      </c>
      <c r="AK20" s="234">
        <v>26580</v>
      </c>
      <c r="AL20" s="100">
        <f t="shared" si="42"/>
        <v>9.6844713255119147E-2</v>
      </c>
    </row>
    <row r="21" spans="2:38" ht="14.25">
      <c r="B21" s="97"/>
      <c r="C21" s="83"/>
      <c r="D21" s="303">
        <f t="shared" si="6"/>
        <v>46217</v>
      </c>
      <c r="E21" s="303" t="s">
        <v>449</v>
      </c>
      <c r="F21" s="87">
        <f t="shared" si="5"/>
        <v>267652</v>
      </c>
      <c r="G21" s="305">
        <f>SUM(F21:F27)</f>
        <v>1693144</v>
      </c>
      <c r="H21" s="345"/>
      <c r="I21" s="234">
        <v>31183</v>
      </c>
      <c r="J21" s="100">
        <f t="shared" si="25"/>
        <v>0.11650576121232048</v>
      </c>
      <c r="K21" s="234">
        <v>41526</v>
      </c>
      <c r="L21" s="100">
        <f t="shared" si="26"/>
        <v>0.15514922361872879</v>
      </c>
      <c r="M21" s="105">
        <f t="shared" si="27"/>
        <v>72709</v>
      </c>
      <c r="N21" s="100">
        <f t="shared" si="28"/>
        <v>0.27165498483104927</v>
      </c>
      <c r="O21" s="234">
        <v>4883</v>
      </c>
      <c r="P21" s="100">
        <f t="shared" si="29"/>
        <v>1.8243839014840165E-2</v>
      </c>
      <c r="Q21" s="234"/>
      <c r="R21" s="100">
        <f t="shared" si="30"/>
        <v>0</v>
      </c>
      <c r="S21" s="105">
        <f t="shared" si="31"/>
        <v>4883</v>
      </c>
      <c r="T21" s="100">
        <f t="shared" si="32"/>
        <v>1.8243839014840165E-2</v>
      </c>
      <c r="U21" s="234">
        <v>35856</v>
      </c>
      <c r="V21" s="100">
        <f t="shared" si="33"/>
        <v>0.13396499932748493</v>
      </c>
      <c r="W21" s="234">
        <v>4986</v>
      </c>
      <c r="X21" s="100">
        <f t="shared" si="34"/>
        <v>1.8628667075157295E-2</v>
      </c>
      <c r="Y21" s="234">
        <v>26499</v>
      </c>
      <c r="Z21" s="100">
        <f t="shared" si="35"/>
        <v>9.9005424954792046E-2</v>
      </c>
      <c r="AA21" s="234">
        <v>24316</v>
      </c>
      <c r="AB21" s="100">
        <f t="shared" si="36"/>
        <v>9.0849311792925144E-2</v>
      </c>
      <c r="AC21" s="105">
        <f t="shared" si="37"/>
        <v>50815</v>
      </c>
      <c r="AD21" s="100">
        <f t="shared" si="38"/>
        <v>0.18985473674771719</v>
      </c>
      <c r="AE21" s="234">
        <v>27135</v>
      </c>
      <c r="AF21" s="100">
        <f t="shared" si="39"/>
        <v>0.10138164482238129</v>
      </c>
      <c r="AG21" s="234">
        <v>14469</v>
      </c>
      <c r="AH21" s="100">
        <f t="shared" si="40"/>
        <v>5.4059001987655612E-2</v>
      </c>
      <c r="AI21" s="234">
        <v>32304</v>
      </c>
      <c r="AJ21" s="100">
        <f t="shared" si="41"/>
        <v>0.12069403553868456</v>
      </c>
      <c r="AK21" s="234">
        <v>24495</v>
      </c>
      <c r="AL21" s="100">
        <f t="shared" si="42"/>
        <v>9.1518090655029666E-2</v>
      </c>
    </row>
    <row r="22" spans="2:38" ht="14.25">
      <c r="B22" s="97"/>
      <c r="C22" s="83"/>
      <c r="D22" s="303">
        <f t="shared" si="6"/>
        <v>46218</v>
      </c>
      <c r="E22" s="303" t="s">
        <v>450</v>
      </c>
      <c r="F22" s="87">
        <f t="shared" si="5"/>
        <v>240825</v>
      </c>
      <c r="G22" s="305"/>
      <c r="H22" s="345"/>
      <c r="I22" s="234">
        <v>28818</v>
      </c>
      <c r="J22" s="100">
        <f t="shared" si="25"/>
        <v>0.1196636561818748</v>
      </c>
      <c r="K22" s="234">
        <v>39775</v>
      </c>
      <c r="L22" s="100">
        <f t="shared" si="26"/>
        <v>0.16516142427073602</v>
      </c>
      <c r="M22" s="105">
        <f t="shared" si="27"/>
        <v>68593</v>
      </c>
      <c r="N22" s="100">
        <f t="shared" si="28"/>
        <v>0.28482508045261079</v>
      </c>
      <c r="O22" s="234">
        <v>4787</v>
      </c>
      <c r="P22" s="100">
        <f t="shared" si="29"/>
        <v>1.9877504411917369E-2</v>
      </c>
      <c r="Q22" s="234"/>
      <c r="R22" s="100">
        <f t="shared" si="30"/>
        <v>0</v>
      </c>
      <c r="S22" s="105">
        <f t="shared" si="31"/>
        <v>4787</v>
      </c>
      <c r="T22" s="100">
        <f t="shared" si="32"/>
        <v>1.9877504411917369E-2</v>
      </c>
      <c r="U22" s="234">
        <v>20860</v>
      </c>
      <c r="V22" s="100">
        <f t="shared" si="33"/>
        <v>8.6618914149278525E-2</v>
      </c>
      <c r="W22" s="234">
        <v>3171</v>
      </c>
      <c r="X22" s="100">
        <f t="shared" si="34"/>
        <v>1.3167237620678916E-2</v>
      </c>
      <c r="Y22" s="234">
        <v>26849</v>
      </c>
      <c r="Z22" s="100">
        <f t="shared" si="35"/>
        <v>0.11148759472646112</v>
      </c>
      <c r="AA22" s="234">
        <v>22493</v>
      </c>
      <c r="AB22" s="100">
        <f t="shared" si="36"/>
        <v>9.3399771618395105E-2</v>
      </c>
      <c r="AC22" s="105">
        <f t="shared" si="37"/>
        <v>49342</v>
      </c>
      <c r="AD22" s="100">
        <f t="shared" si="38"/>
        <v>0.20488736634485621</v>
      </c>
      <c r="AE22" s="234">
        <v>24651</v>
      </c>
      <c r="AF22" s="100">
        <f t="shared" si="39"/>
        <v>0.1023606353161009</v>
      </c>
      <c r="AG22" s="234">
        <v>13750</v>
      </c>
      <c r="AH22" s="100">
        <f t="shared" si="40"/>
        <v>5.7095401224955884E-2</v>
      </c>
      <c r="AI22" s="234">
        <v>32207</v>
      </c>
      <c r="AJ22" s="100">
        <f t="shared" si="41"/>
        <v>0.13373611543652031</v>
      </c>
      <c r="AK22" s="234">
        <v>23464</v>
      </c>
      <c r="AL22" s="100">
        <f t="shared" si="42"/>
        <v>9.7431745043081081E-2</v>
      </c>
    </row>
    <row r="23" spans="2:38" ht="14.25">
      <c r="B23" s="97"/>
      <c r="C23" s="83"/>
      <c r="D23" s="303">
        <f t="shared" si="6"/>
        <v>46219</v>
      </c>
      <c r="E23" s="303" t="s">
        <v>451</v>
      </c>
      <c r="F23" s="87">
        <f t="shared" si="5"/>
        <v>234974</v>
      </c>
      <c r="G23" s="305"/>
      <c r="H23" s="345"/>
      <c r="I23" s="234">
        <v>27547</v>
      </c>
      <c r="J23" s="100">
        <f t="shared" si="25"/>
        <v>0.1172342471933065</v>
      </c>
      <c r="K23" s="234">
        <v>36434</v>
      </c>
      <c r="L23" s="100">
        <f t="shared" si="26"/>
        <v>0.15505545294372994</v>
      </c>
      <c r="M23" s="105">
        <f t="shared" si="27"/>
        <v>63981</v>
      </c>
      <c r="N23" s="100">
        <f t="shared" si="28"/>
        <v>0.27228970013703646</v>
      </c>
      <c r="O23" s="234">
        <v>4789</v>
      </c>
      <c r="P23" s="100">
        <f t="shared" si="29"/>
        <v>2.038097832100573E-2</v>
      </c>
      <c r="Q23" s="234"/>
      <c r="R23" s="100">
        <f t="shared" si="30"/>
        <v>0</v>
      </c>
      <c r="S23" s="105">
        <f t="shared" si="31"/>
        <v>4789</v>
      </c>
      <c r="T23" s="100">
        <f t="shared" si="32"/>
        <v>2.038097832100573E-2</v>
      </c>
      <c r="U23" s="234">
        <v>28285</v>
      </c>
      <c r="V23" s="100">
        <f t="shared" si="33"/>
        <v>0.12037502021500252</v>
      </c>
      <c r="W23" s="234">
        <v>4616</v>
      </c>
      <c r="X23" s="100">
        <f t="shared" si="34"/>
        <v>1.9644726650608152E-2</v>
      </c>
      <c r="Y23" s="234">
        <v>25588</v>
      </c>
      <c r="Z23" s="100">
        <f t="shared" si="35"/>
        <v>0.10889715457880446</v>
      </c>
      <c r="AA23" s="234">
        <v>18178</v>
      </c>
      <c r="AB23" s="100">
        <f t="shared" si="36"/>
        <v>7.736175066177535E-2</v>
      </c>
      <c r="AC23" s="105">
        <f t="shared" si="37"/>
        <v>43766</v>
      </c>
      <c r="AD23" s="100">
        <f t="shared" si="38"/>
        <v>0.18625890524057981</v>
      </c>
      <c r="AE23" s="234">
        <v>22732</v>
      </c>
      <c r="AF23" s="100">
        <f t="shared" si="39"/>
        <v>9.6742618332241015E-2</v>
      </c>
      <c r="AG23" s="234">
        <v>12798</v>
      </c>
      <c r="AH23" s="100">
        <f t="shared" si="40"/>
        <v>5.4465600449411428E-2</v>
      </c>
      <c r="AI23" s="234">
        <v>31318</v>
      </c>
      <c r="AJ23" s="100">
        <f t="shared" si="41"/>
        <v>0.13328283129197274</v>
      </c>
      <c r="AK23" s="234">
        <v>22689</v>
      </c>
      <c r="AL23" s="100">
        <f t="shared" si="42"/>
        <v>9.6559619362142191E-2</v>
      </c>
    </row>
    <row r="24" spans="2:38" ht="14.25">
      <c r="B24" s="97"/>
      <c r="C24" s="83"/>
      <c r="D24" s="303">
        <f t="shared" si="6"/>
        <v>46220</v>
      </c>
      <c r="E24" s="303" t="s">
        <v>452</v>
      </c>
      <c r="F24" s="87">
        <f t="shared" si="5"/>
        <v>212382</v>
      </c>
      <c r="G24" s="305"/>
      <c r="H24" s="345"/>
      <c r="I24" s="234">
        <v>25016</v>
      </c>
      <c r="J24" s="100">
        <f t="shared" si="25"/>
        <v>0.11778775979131942</v>
      </c>
      <c r="K24" s="234">
        <v>34812</v>
      </c>
      <c r="L24" s="100">
        <f t="shared" si="26"/>
        <v>0.16391219594880921</v>
      </c>
      <c r="M24" s="105">
        <f t="shared" si="27"/>
        <v>59828</v>
      </c>
      <c r="N24" s="100">
        <f t="shared" si="28"/>
        <v>0.28169995574012863</v>
      </c>
      <c r="O24" s="234">
        <v>4152</v>
      </c>
      <c r="P24" s="100">
        <f t="shared" si="29"/>
        <v>1.9549679351357461E-2</v>
      </c>
      <c r="Q24" s="234"/>
      <c r="R24" s="100">
        <f t="shared" si="30"/>
        <v>0</v>
      </c>
      <c r="S24" s="105">
        <f t="shared" si="31"/>
        <v>4152</v>
      </c>
      <c r="T24" s="100">
        <f t="shared" si="32"/>
        <v>1.9549679351357461E-2</v>
      </c>
      <c r="U24" s="234">
        <v>21402</v>
      </c>
      <c r="V24" s="100">
        <f t="shared" si="33"/>
        <v>0.10077125180100008</v>
      </c>
      <c r="W24" s="234">
        <v>4592</v>
      </c>
      <c r="X24" s="100">
        <f t="shared" si="34"/>
        <v>2.1621418010942545E-2</v>
      </c>
      <c r="Y24" s="234">
        <v>20133</v>
      </c>
      <c r="Z24" s="100">
        <f t="shared" si="35"/>
        <v>9.4796169166878552E-2</v>
      </c>
      <c r="AA24" s="234">
        <v>19042</v>
      </c>
      <c r="AB24" s="100">
        <f t="shared" si="36"/>
        <v>8.9659198990498248E-2</v>
      </c>
      <c r="AC24" s="105">
        <f t="shared" si="37"/>
        <v>39175</v>
      </c>
      <c r="AD24" s="100">
        <f t="shared" si="38"/>
        <v>0.18445536815737681</v>
      </c>
      <c r="AE24" s="234">
        <v>20471</v>
      </c>
      <c r="AF24" s="100">
        <f t="shared" si="39"/>
        <v>9.6387641137196181E-2</v>
      </c>
      <c r="AG24" s="234">
        <v>9386</v>
      </c>
      <c r="AH24" s="100">
        <f t="shared" si="40"/>
        <v>4.419395240651279E-2</v>
      </c>
      <c r="AI24" s="234">
        <v>34848</v>
      </c>
      <c r="AJ24" s="100">
        <f t="shared" si="41"/>
        <v>0.16408170183913892</v>
      </c>
      <c r="AK24" s="234">
        <v>18528</v>
      </c>
      <c r="AL24" s="100">
        <f t="shared" si="42"/>
        <v>8.7239031556346588E-2</v>
      </c>
    </row>
    <row r="25" spans="2:38" ht="14.25">
      <c r="B25" s="97"/>
      <c r="C25" s="83"/>
      <c r="D25" s="303">
        <f t="shared" si="6"/>
        <v>46221</v>
      </c>
      <c r="E25" s="303" t="s">
        <v>453</v>
      </c>
      <c r="F25" s="87">
        <f t="shared" si="5"/>
        <v>218843</v>
      </c>
      <c r="G25" s="305"/>
      <c r="H25" s="345"/>
      <c r="I25" s="234">
        <v>23950</v>
      </c>
      <c r="J25" s="100">
        <f t="shared" si="25"/>
        <v>0.10943918699707096</v>
      </c>
      <c r="K25" s="234">
        <v>37809</v>
      </c>
      <c r="L25" s="100">
        <f t="shared" si="26"/>
        <v>0.17276769190698354</v>
      </c>
      <c r="M25" s="105">
        <f t="shared" si="27"/>
        <v>61759</v>
      </c>
      <c r="N25" s="100">
        <f t="shared" si="28"/>
        <v>0.28220687890405449</v>
      </c>
      <c r="O25" s="234">
        <v>3909</v>
      </c>
      <c r="P25" s="100">
        <f t="shared" si="29"/>
        <v>1.786212033284135E-2</v>
      </c>
      <c r="Q25" s="234"/>
      <c r="R25" s="100">
        <f t="shared" si="30"/>
        <v>0</v>
      </c>
      <c r="S25" s="105">
        <f t="shared" si="31"/>
        <v>3909</v>
      </c>
      <c r="T25" s="100">
        <f t="shared" si="32"/>
        <v>1.786212033284135E-2</v>
      </c>
      <c r="U25" s="234">
        <v>24361</v>
      </c>
      <c r="V25" s="100">
        <f t="shared" si="33"/>
        <v>0.11131724569668666</v>
      </c>
      <c r="W25" s="234">
        <v>3839</v>
      </c>
      <c r="X25" s="100">
        <f t="shared" si="34"/>
        <v>1.7542256320741353E-2</v>
      </c>
      <c r="Y25" s="234">
        <v>22798</v>
      </c>
      <c r="Z25" s="100">
        <f t="shared" si="35"/>
        <v>0.10417513925508241</v>
      </c>
      <c r="AA25" s="234">
        <v>20502</v>
      </c>
      <c r="AB25" s="100">
        <f t="shared" si="36"/>
        <v>9.3683599658202457E-2</v>
      </c>
      <c r="AC25" s="105">
        <f t="shared" si="37"/>
        <v>43300</v>
      </c>
      <c r="AD25" s="100">
        <f t="shared" si="38"/>
        <v>0.19785873891328487</v>
      </c>
      <c r="AE25" s="234">
        <v>20853</v>
      </c>
      <c r="AF25" s="100">
        <f t="shared" si="39"/>
        <v>9.5287489204589598E-2</v>
      </c>
      <c r="AG25" s="234">
        <v>10232</v>
      </c>
      <c r="AH25" s="100">
        <f t="shared" si="40"/>
        <v>4.6754979597245512E-2</v>
      </c>
      <c r="AI25" s="234">
        <v>32141</v>
      </c>
      <c r="AJ25" s="100">
        <f t="shared" si="41"/>
        <v>0.14686784589865795</v>
      </c>
      <c r="AK25" s="234">
        <v>18449</v>
      </c>
      <c r="AL25" s="100">
        <f t="shared" si="42"/>
        <v>8.4302445131898204E-2</v>
      </c>
    </row>
    <row r="26" spans="2:38" ht="14.25">
      <c r="B26" s="97"/>
      <c r="C26" s="83"/>
      <c r="D26" s="303">
        <f t="shared" si="6"/>
        <v>46222</v>
      </c>
      <c r="E26" s="303" t="s">
        <v>454</v>
      </c>
      <c r="F26" s="87">
        <f t="shared" si="5"/>
        <v>262074</v>
      </c>
      <c r="G26" s="305"/>
      <c r="H26" s="345"/>
      <c r="I26" s="234">
        <v>29438</v>
      </c>
      <c r="J26" s="100">
        <f t="shared" si="25"/>
        <v>0.11232705266451461</v>
      </c>
      <c r="K26" s="234">
        <v>40995</v>
      </c>
      <c r="L26" s="100">
        <f t="shared" si="26"/>
        <v>0.15642528446164061</v>
      </c>
      <c r="M26" s="105">
        <f t="shared" si="27"/>
        <v>70433</v>
      </c>
      <c r="N26" s="100">
        <f t="shared" si="28"/>
        <v>0.26875233712615521</v>
      </c>
      <c r="O26" s="234">
        <v>4838</v>
      </c>
      <c r="P26" s="100">
        <f t="shared" si="29"/>
        <v>1.8460434839014935E-2</v>
      </c>
      <c r="Q26" s="234"/>
      <c r="R26" s="100">
        <f t="shared" si="30"/>
        <v>0</v>
      </c>
      <c r="S26" s="105">
        <f t="shared" si="31"/>
        <v>4838</v>
      </c>
      <c r="T26" s="100">
        <f t="shared" si="32"/>
        <v>1.8460434839014935E-2</v>
      </c>
      <c r="U26" s="234">
        <v>32484</v>
      </c>
      <c r="V26" s="100">
        <f t="shared" si="33"/>
        <v>0.12394972412372078</v>
      </c>
      <c r="W26" s="234">
        <v>4656</v>
      </c>
      <c r="X26" s="100">
        <f t="shared" si="34"/>
        <v>1.7765974495753109E-2</v>
      </c>
      <c r="Y26" s="234">
        <v>28013</v>
      </c>
      <c r="Z26" s="100">
        <f t="shared" si="35"/>
        <v>0.10688965711974481</v>
      </c>
      <c r="AA26" s="234">
        <v>22110</v>
      </c>
      <c r="AB26" s="100">
        <f t="shared" si="36"/>
        <v>8.4365484557796647E-2</v>
      </c>
      <c r="AC26" s="105">
        <f t="shared" si="37"/>
        <v>50123</v>
      </c>
      <c r="AD26" s="100">
        <f t="shared" si="38"/>
        <v>0.19125514167754146</v>
      </c>
      <c r="AE26" s="234">
        <v>27863</v>
      </c>
      <c r="AF26" s="100">
        <f t="shared" si="39"/>
        <v>0.10631729969397956</v>
      </c>
      <c r="AG26" s="234">
        <v>14233</v>
      </c>
      <c r="AH26" s="100">
        <f t="shared" si="40"/>
        <v>5.4309088272777917E-2</v>
      </c>
      <c r="AI26" s="234">
        <v>33524</v>
      </c>
      <c r="AJ26" s="100">
        <f t="shared" si="41"/>
        <v>0.1279180689423598</v>
      </c>
      <c r="AK26" s="234">
        <v>23920</v>
      </c>
      <c r="AL26" s="100">
        <f t="shared" si="42"/>
        <v>9.1271930828697237E-2</v>
      </c>
    </row>
    <row r="27" spans="2:38" ht="14.25">
      <c r="B27" s="97"/>
      <c r="C27" s="83"/>
      <c r="D27" s="303">
        <f t="shared" si="6"/>
        <v>46223</v>
      </c>
      <c r="E27" s="303" t="s">
        <v>448</v>
      </c>
      <c r="F27" s="87">
        <f t="shared" si="5"/>
        <v>256394</v>
      </c>
      <c r="G27" s="305"/>
      <c r="H27" s="345"/>
      <c r="I27" s="234">
        <v>28684</v>
      </c>
      <c r="J27" s="100">
        <f t="shared" si="25"/>
        <v>0.11187469285552704</v>
      </c>
      <c r="K27" s="234">
        <v>40821</v>
      </c>
      <c r="L27" s="100">
        <f t="shared" si="26"/>
        <v>0.15921199404042216</v>
      </c>
      <c r="M27" s="105">
        <f t="shared" si="27"/>
        <v>69505</v>
      </c>
      <c r="N27" s="100">
        <f t="shared" si="28"/>
        <v>0.27108668689594922</v>
      </c>
      <c r="O27" s="234">
        <v>4840</v>
      </c>
      <c r="P27" s="100">
        <f t="shared" si="29"/>
        <v>1.8877196814278026E-2</v>
      </c>
      <c r="Q27" s="234"/>
      <c r="R27" s="100">
        <f t="shared" si="30"/>
        <v>0</v>
      </c>
      <c r="S27" s="105">
        <f t="shared" si="31"/>
        <v>4840</v>
      </c>
      <c r="T27" s="100">
        <f t="shared" si="32"/>
        <v>1.8877196814278026E-2</v>
      </c>
      <c r="U27" s="234">
        <v>28424</v>
      </c>
      <c r="V27" s="100">
        <f t="shared" si="33"/>
        <v>0.11086062856385095</v>
      </c>
      <c r="W27" s="234">
        <v>4934</v>
      </c>
      <c r="X27" s="100">
        <f t="shared" si="34"/>
        <v>1.9243820058191689E-2</v>
      </c>
      <c r="Y27" s="234">
        <v>25271</v>
      </c>
      <c r="Z27" s="100">
        <f t="shared" si="35"/>
        <v>9.8563148903640485E-2</v>
      </c>
      <c r="AA27" s="234">
        <v>25664</v>
      </c>
      <c r="AB27" s="100">
        <f t="shared" si="36"/>
        <v>0.10009594608298165</v>
      </c>
      <c r="AC27" s="105">
        <f t="shared" si="37"/>
        <v>50935</v>
      </c>
      <c r="AD27" s="100">
        <f t="shared" si="38"/>
        <v>0.19865909498662215</v>
      </c>
      <c r="AE27" s="234">
        <v>25390</v>
      </c>
      <c r="AF27" s="100">
        <f t="shared" si="39"/>
        <v>9.9027278329446092E-2</v>
      </c>
      <c r="AG27" s="234">
        <v>14121</v>
      </c>
      <c r="AH27" s="100">
        <f t="shared" si="40"/>
        <v>5.5075391779838841E-2</v>
      </c>
      <c r="AI27" s="234">
        <v>31936</v>
      </c>
      <c r="AJ27" s="100">
        <f t="shared" si="41"/>
        <v>0.12455829699602955</v>
      </c>
      <c r="AK27" s="234">
        <v>26309</v>
      </c>
      <c r="AL27" s="100">
        <f t="shared" si="42"/>
        <v>0.1026116055757935</v>
      </c>
    </row>
    <row r="28" spans="2:38" ht="14.25">
      <c r="B28" s="97"/>
      <c r="C28" s="83"/>
      <c r="D28" s="359">
        <f t="shared" si="6"/>
        <v>46224</v>
      </c>
      <c r="E28" s="359" t="s">
        <v>449</v>
      </c>
      <c r="F28" s="87">
        <f t="shared" si="5"/>
        <v>265548</v>
      </c>
      <c r="G28" s="305">
        <f>SUM(F28:F34)</f>
        <v>1734556</v>
      </c>
      <c r="H28" s="345"/>
      <c r="I28" s="234">
        <v>32628</v>
      </c>
      <c r="J28" s="100">
        <f t="shared" si="25"/>
        <v>0.12287044150210132</v>
      </c>
      <c r="K28" s="234">
        <v>40293</v>
      </c>
      <c r="L28" s="100">
        <f t="shared" si="26"/>
        <v>0.15173527949749199</v>
      </c>
      <c r="M28" s="105">
        <f t="shared" si="27"/>
        <v>72921</v>
      </c>
      <c r="N28" s="100">
        <f t="shared" si="28"/>
        <v>0.27460572099959329</v>
      </c>
      <c r="O28" s="234">
        <v>8315</v>
      </c>
      <c r="P28" s="100">
        <f t="shared" si="29"/>
        <v>3.1312606383779959E-2</v>
      </c>
      <c r="Q28" s="234"/>
      <c r="R28" s="100">
        <f t="shared" si="30"/>
        <v>0</v>
      </c>
      <c r="S28" s="105">
        <f t="shared" si="31"/>
        <v>8315</v>
      </c>
      <c r="T28" s="100">
        <f t="shared" si="32"/>
        <v>3.1312606383779959E-2</v>
      </c>
      <c r="U28" s="234">
        <v>25343</v>
      </c>
      <c r="V28" s="100">
        <f t="shared" si="33"/>
        <v>9.5436606564538243E-2</v>
      </c>
      <c r="W28" s="234">
        <v>3956</v>
      </c>
      <c r="X28" s="100">
        <f t="shared" si="34"/>
        <v>1.4897494991489298E-2</v>
      </c>
      <c r="Y28" s="234">
        <v>26722</v>
      </c>
      <c r="Z28" s="100">
        <f t="shared" si="35"/>
        <v>0.10062964134544414</v>
      </c>
      <c r="AA28" s="234">
        <v>24938</v>
      </c>
      <c r="AB28" s="100">
        <f t="shared" si="36"/>
        <v>9.3911458568695677E-2</v>
      </c>
      <c r="AC28" s="105">
        <f t="shared" si="37"/>
        <v>51660</v>
      </c>
      <c r="AD28" s="100">
        <f t="shared" si="38"/>
        <v>0.19454109991413981</v>
      </c>
      <c r="AE28" s="234">
        <v>24546</v>
      </c>
      <c r="AF28" s="100">
        <f t="shared" si="39"/>
        <v>9.2435265940620903E-2</v>
      </c>
      <c r="AG28" s="234">
        <v>22185</v>
      </c>
      <c r="AH28" s="100">
        <f t="shared" si="40"/>
        <v>8.3544217994486872E-2</v>
      </c>
      <c r="AI28" s="234">
        <v>31917</v>
      </c>
      <c r="AJ28" s="100">
        <f t="shared" si="41"/>
        <v>0.12019295946495549</v>
      </c>
      <c r="AK28" s="234">
        <v>24705</v>
      </c>
      <c r="AL28" s="100">
        <f t="shared" si="42"/>
        <v>9.3034027746396131E-2</v>
      </c>
    </row>
    <row r="29" spans="2:38" ht="14.25">
      <c r="B29" s="97"/>
      <c r="C29" s="83"/>
      <c r="D29" s="359">
        <f t="shared" si="6"/>
        <v>46225</v>
      </c>
      <c r="E29" s="359" t="s">
        <v>450</v>
      </c>
      <c r="F29" s="87">
        <f t="shared" si="5"/>
        <v>252084</v>
      </c>
      <c r="G29" s="305"/>
      <c r="H29" s="345"/>
      <c r="I29" s="234">
        <v>30957</v>
      </c>
      <c r="J29" s="100">
        <f t="shared" si="25"/>
        <v>0.12280430332746227</v>
      </c>
      <c r="K29" s="234">
        <v>39254</v>
      </c>
      <c r="L29" s="100">
        <f t="shared" si="26"/>
        <v>0.15571793529141079</v>
      </c>
      <c r="M29" s="105">
        <f t="shared" si="27"/>
        <v>70211</v>
      </c>
      <c r="N29" s="100">
        <f t="shared" si="28"/>
        <v>0.2785222386188731</v>
      </c>
      <c r="O29" s="234">
        <v>6808</v>
      </c>
      <c r="P29" s="100">
        <f t="shared" si="29"/>
        <v>2.7006870725631137E-2</v>
      </c>
      <c r="Q29" s="234"/>
      <c r="R29" s="100">
        <f t="shared" si="30"/>
        <v>0</v>
      </c>
      <c r="S29" s="105">
        <f t="shared" si="31"/>
        <v>6808</v>
      </c>
      <c r="T29" s="100">
        <f t="shared" si="32"/>
        <v>2.7006870725631137E-2</v>
      </c>
      <c r="U29" s="234">
        <v>24560</v>
      </c>
      <c r="V29" s="100">
        <f t="shared" si="33"/>
        <v>9.7427841513146415E-2</v>
      </c>
      <c r="W29" s="234">
        <v>4365</v>
      </c>
      <c r="X29" s="100">
        <f t="shared" si="34"/>
        <v>1.7315656685866616E-2</v>
      </c>
      <c r="Y29" s="234">
        <v>26081</v>
      </c>
      <c r="Z29" s="100">
        <f t="shared" si="35"/>
        <v>0.10346154456451025</v>
      </c>
      <c r="AA29" s="234">
        <v>23505</v>
      </c>
      <c r="AB29" s="100">
        <f t="shared" si="36"/>
        <v>9.3242728614271436E-2</v>
      </c>
      <c r="AC29" s="105">
        <f t="shared" si="37"/>
        <v>49586</v>
      </c>
      <c r="AD29" s="100">
        <f t="shared" si="38"/>
        <v>0.19670427317878167</v>
      </c>
      <c r="AE29" s="234">
        <v>23590</v>
      </c>
      <c r="AF29" s="100">
        <f t="shared" si="39"/>
        <v>9.3579917805176049E-2</v>
      </c>
      <c r="AG29" s="234">
        <v>17713</v>
      </c>
      <c r="AH29" s="100">
        <f t="shared" si="40"/>
        <v>7.0266260452864923E-2</v>
      </c>
      <c r="AI29" s="234">
        <v>30670</v>
      </c>
      <c r="AJ29" s="100">
        <f t="shared" si="41"/>
        <v>0.12166579394170197</v>
      </c>
      <c r="AK29" s="234">
        <v>24581</v>
      </c>
      <c r="AL29" s="100">
        <f t="shared" si="42"/>
        <v>9.7511147077958146E-2</v>
      </c>
    </row>
    <row r="30" spans="2:38" ht="14.25">
      <c r="B30" s="97"/>
      <c r="C30" s="83"/>
      <c r="D30" s="359">
        <f t="shared" si="6"/>
        <v>46226</v>
      </c>
      <c r="E30" s="359" t="s">
        <v>451</v>
      </c>
      <c r="F30" s="87">
        <f t="shared" si="5"/>
        <v>237368</v>
      </c>
      <c r="G30" s="305"/>
      <c r="H30" s="345"/>
      <c r="I30" s="234">
        <v>30005</v>
      </c>
      <c r="J30" s="100">
        <f t="shared" si="25"/>
        <v>0.12640709783964141</v>
      </c>
      <c r="K30" s="234">
        <v>36501</v>
      </c>
      <c r="L30" s="100">
        <f t="shared" si="26"/>
        <v>0.15377388696033165</v>
      </c>
      <c r="M30" s="105">
        <f t="shared" si="27"/>
        <v>66506</v>
      </c>
      <c r="N30" s="100">
        <f t="shared" si="28"/>
        <v>0.28018098479997305</v>
      </c>
      <c r="O30" s="234">
        <v>6681</v>
      </c>
      <c r="P30" s="100">
        <f t="shared" si="29"/>
        <v>2.814616966061137E-2</v>
      </c>
      <c r="Q30" s="234"/>
      <c r="R30" s="100">
        <f t="shared" si="30"/>
        <v>0</v>
      </c>
      <c r="S30" s="105">
        <f t="shared" si="31"/>
        <v>6681</v>
      </c>
      <c r="T30" s="100">
        <f t="shared" si="32"/>
        <v>2.814616966061137E-2</v>
      </c>
      <c r="U30" s="234">
        <v>22957</v>
      </c>
      <c r="V30" s="100">
        <f t="shared" si="33"/>
        <v>9.6714805702537834E-2</v>
      </c>
      <c r="W30" s="234">
        <v>4002</v>
      </c>
      <c r="X30" s="100">
        <f t="shared" si="34"/>
        <v>1.6859896868996662E-2</v>
      </c>
      <c r="Y30" s="234">
        <v>21845</v>
      </c>
      <c r="Z30" s="100">
        <f t="shared" si="35"/>
        <v>9.2030096727444305E-2</v>
      </c>
      <c r="AA30" s="234">
        <v>21091</v>
      </c>
      <c r="AB30" s="100">
        <f t="shared" si="36"/>
        <v>8.8853594418792758E-2</v>
      </c>
      <c r="AC30" s="105">
        <f t="shared" si="37"/>
        <v>42936</v>
      </c>
      <c r="AD30" s="100">
        <f t="shared" si="38"/>
        <v>0.18088369114623706</v>
      </c>
      <c r="AE30" s="234">
        <v>21318</v>
      </c>
      <c r="AF30" s="100">
        <f t="shared" si="39"/>
        <v>8.9809915405614907E-2</v>
      </c>
      <c r="AG30" s="234">
        <v>16027</v>
      </c>
      <c r="AH30" s="100">
        <f t="shared" si="40"/>
        <v>6.7519631963870452E-2</v>
      </c>
      <c r="AI30" s="234">
        <v>32562</v>
      </c>
      <c r="AJ30" s="100">
        <f t="shared" si="41"/>
        <v>0.1371794007616865</v>
      </c>
      <c r="AK30" s="234">
        <v>24379</v>
      </c>
      <c r="AL30" s="100">
        <f t="shared" si="42"/>
        <v>0.10270550369047218</v>
      </c>
    </row>
    <row r="31" spans="2:38" ht="14.25">
      <c r="B31" s="97"/>
      <c r="C31" s="83"/>
      <c r="D31" s="359">
        <f t="shared" si="6"/>
        <v>46227</v>
      </c>
      <c r="E31" s="359" t="s">
        <v>452</v>
      </c>
      <c r="F31" s="87">
        <f t="shared" si="5"/>
        <v>213646</v>
      </c>
      <c r="G31" s="305"/>
      <c r="H31" s="345"/>
      <c r="I31" s="234">
        <v>26917</v>
      </c>
      <c r="J31" s="100">
        <f t="shared" si="25"/>
        <v>0.12598878518671072</v>
      </c>
      <c r="K31" s="234">
        <v>34076</v>
      </c>
      <c r="L31" s="100">
        <f t="shared" si="26"/>
        <v>0.15949748649635379</v>
      </c>
      <c r="M31" s="105">
        <f t="shared" si="27"/>
        <v>60993</v>
      </c>
      <c r="N31" s="100">
        <f t="shared" si="28"/>
        <v>0.28548627168306451</v>
      </c>
      <c r="O31" s="234">
        <v>6735</v>
      </c>
      <c r="P31" s="100">
        <f t="shared" si="29"/>
        <v>3.152410997631596E-2</v>
      </c>
      <c r="Q31" s="234"/>
      <c r="R31" s="100">
        <f t="shared" si="30"/>
        <v>0</v>
      </c>
      <c r="S31" s="105">
        <f t="shared" si="31"/>
        <v>6735</v>
      </c>
      <c r="T31" s="100">
        <f t="shared" si="32"/>
        <v>3.152410997631596E-2</v>
      </c>
      <c r="U31" s="234">
        <v>20664</v>
      </c>
      <c r="V31" s="100">
        <f t="shared" si="33"/>
        <v>9.6720743660073202E-2</v>
      </c>
      <c r="W31" s="234">
        <v>2983</v>
      </c>
      <c r="X31" s="100">
        <f t="shared" si="34"/>
        <v>1.396234893234603E-2</v>
      </c>
      <c r="Y31" s="234">
        <v>20979</v>
      </c>
      <c r="Z31" s="100">
        <f t="shared" si="35"/>
        <v>9.8195145240257242E-2</v>
      </c>
      <c r="AA31" s="234">
        <v>18688</v>
      </c>
      <c r="AB31" s="100">
        <f t="shared" si="36"/>
        <v>8.7471799144379025E-2</v>
      </c>
      <c r="AC31" s="105">
        <f t="shared" si="37"/>
        <v>39667</v>
      </c>
      <c r="AD31" s="100">
        <f t="shared" si="38"/>
        <v>0.18566694438463627</v>
      </c>
      <c r="AE31" s="234">
        <v>19297</v>
      </c>
      <c r="AF31" s="100">
        <f t="shared" si="39"/>
        <v>9.0322308866068166E-2</v>
      </c>
      <c r="AG31" s="234">
        <v>13515</v>
      </c>
      <c r="AH31" s="100">
        <f t="shared" si="40"/>
        <v>6.3258848749801075E-2</v>
      </c>
      <c r="AI31" s="234">
        <v>29865</v>
      </c>
      <c r="AJ31" s="100">
        <f t="shared" si="41"/>
        <v>0.13978731172125852</v>
      </c>
      <c r="AK31" s="234">
        <v>19927</v>
      </c>
      <c r="AL31" s="100">
        <f t="shared" si="42"/>
        <v>9.3271112026436259E-2</v>
      </c>
    </row>
    <row r="32" spans="2:38" s="469" customFormat="1" ht="14.25">
      <c r="B32" s="442"/>
      <c r="C32" s="448"/>
      <c r="D32" s="359">
        <f t="shared" si="6"/>
        <v>46228</v>
      </c>
      <c r="E32" s="359" t="s">
        <v>453</v>
      </c>
      <c r="F32" s="340">
        <f t="shared" si="5"/>
        <v>220865</v>
      </c>
      <c r="G32" s="341"/>
      <c r="H32" s="475"/>
      <c r="I32" s="234">
        <v>25461</v>
      </c>
      <c r="J32" s="100">
        <f t="shared" si="25"/>
        <v>0.11527856382858308</v>
      </c>
      <c r="K32" s="234">
        <v>37773</v>
      </c>
      <c r="L32" s="100">
        <f t="shared" si="26"/>
        <v>0.17102302311366671</v>
      </c>
      <c r="M32" s="105">
        <f t="shared" si="27"/>
        <v>63234</v>
      </c>
      <c r="N32" s="100">
        <f t="shared" si="28"/>
        <v>0.28630158694224978</v>
      </c>
      <c r="O32" s="234">
        <v>6466</v>
      </c>
      <c r="P32" s="100">
        <f t="shared" si="29"/>
        <v>2.9275801960473594E-2</v>
      </c>
      <c r="Q32" s="234"/>
      <c r="R32" s="100">
        <f t="shared" si="30"/>
        <v>0</v>
      </c>
      <c r="S32" s="105">
        <f t="shared" si="31"/>
        <v>6466</v>
      </c>
      <c r="T32" s="100">
        <f t="shared" si="32"/>
        <v>2.9275801960473594E-2</v>
      </c>
      <c r="U32" s="234">
        <v>22474</v>
      </c>
      <c r="V32" s="100">
        <f t="shared" si="33"/>
        <v>0.10175446539741471</v>
      </c>
      <c r="W32" s="234">
        <v>2566</v>
      </c>
      <c r="X32" s="100">
        <f t="shared" si="34"/>
        <v>1.1617956670364249E-2</v>
      </c>
      <c r="Y32" s="234">
        <v>20577</v>
      </c>
      <c r="Z32" s="100">
        <f t="shared" si="35"/>
        <v>9.3165508342199985E-2</v>
      </c>
      <c r="AA32" s="234">
        <v>23115</v>
      </c>
      <c r="AB32" s="100">
        <f t="shared" si="36"/>
        <v>0.10465669073868653</v>
      </c>
      <c r="AC32" s="105">
        <f t="shared" si="37"/>
        <v>43692</v>
      </c>
      <c r="AD32" s="100">
        <f t="shared" si="38"/>
        <v>0.19782219908088652</v>
      </c>
      <c r="AE32" s="234">
        <v>18824</v>
      </c>
      <c r="AF32" s="100">
        <f t="shared" si="39"/>
        <v>8.5228533266927767E-2</v>
      </c>
      <c r="AG32" s="234">
        <v>14237</v>
      </c>
      <c r="AH32" s="100">
        <f t="shared" si="40"/>
        <v>6.4460190614176086E-2</v>
      </c>
      <c r="AI32" s="234">
        <v>30901</v>
      </c>
      <c r="AJ32" s="100">
        <f t="shared" si="41"/>
        <v>0.13990899418196637</v>
      </c>
      <c r="AK32" s="234">
        <v>18471</v>
      </c>
      <c r="AL32" s="100">
        <f t="shared" si="42"/>
        <v>8.3630271885540938E-2</v>
      </c>
    </row>
    <row r="33" spans="2:38" s="469" customFormat="1" ht="14.25">
      <c r="B33" s="442"/>
      <c r="C33" s="448"/>
      <c r="D33" s="359">
        <f t="shared" si="6"/>
        <v>46229</v>
      </c>
      <c r="E33" s="359" t="s">
        <v>454</v>
      </c>
      <c r="F33" s="340">
        <f t="shared" si="5"/>
        <v>274740</v>
      </c>
      <c r="G33" s="341"/>
      <c r="H33" s="475"/>
      <c r="I33" s="234">
        <v>31352</v>
      </c>
      <c r="J33" s="100">
        <f t="shared" si="25"/>
        <v>0.1141151634272403</v>
      </c>
      <c r="K33" s="234">
        <v>41222</v>
      </c>
      <c r="L33" s="100">
        <f t="shared" si="26"/>
        <v>0.15004003785397102</v>
      </c>
      <c r="M33" s="105">
        <f t="shared" si="27"/>
        <v>72574</v>
      </c>
      <c r="N33" s="100">
        <f t="shared" si="28"/>
        <v>0.26415520128121134</v>
      </c>
      <c r="O33" s="234">
        <v>8033</v>
      </c>
      <c r="P33" s="100">
        <f t="shared" si="29"/>
        <v>2.9238552813569192E-2</v>
      </c>
      <c r="Q33" s="234"/>
      <c r="R33" s="100">
        <f t="shared" si="30"/>
        <v>0</v>
      </c>
      <c r="S33" s="105">
        <f t="shared" si="31"/>
        <v>8033</v>
      </c>
      <c r="T33" s="100">
        <f t="shared" si="32"/>
        <v>2.9238552813569192E-2</v>
      </c>
      <c r="U33" s="234">
        <v>32815</v>
      </c>
      <c r="V33" s="100">
        <f t="shared" si="33"/>
        <v>0.11944019800538691</v>
      </c>
      <c r="W33" s="234">
        <v>3453</v>
      </c>
      <c r="X33" s="100">
        <f t="shared" si="34"/>
        <v>1.2568246341996069E-2</v>
      </c>
      <c r="Y33" s="234">
        <v>26545</v>
      </c>
      <c r="Z33" s="100">
        <f t="shared" si="35"/>
        <v>9.6618621241901431E-2</v>
      </c>
      <c r="AA33" s="234">
        <v>25480</v>
      </c>
      <c r="AB33" s="100">
        <f t="shared" si="36"/>
        <v>9.2742229016524708E-2</v>
      </c>
      <c r="AC33" s="105">
        <f t="shared" si="37"/>
        <v>52025</v>
      </c>
      <c r="AD33" s="100">
        <f t="shared" si="38"/>
        <v>0.18936085025842614</v>
      </c>
      <c r="AE33" s="234">
        <v>25123</v>
      </c>
      <c r="AF33" s="100">
        <f t="shared" si="39"/>
        <v>9.1442818664919559E-2</v>
      </c>
      <c r="AG33" s="234">
        <v>19639</v>
      </c>
      <c r="AH33" s="100">
        <f t="shared" si="40"/>
        <v>7.1482128557909294E-2</v>
      </c>
      <c r="AI33" s="234">
        <v>32649</v>
      </c>
      <c r="AJ33" s="100">
        <f t="shared" si="41"/>
        <v>0.11883599039091505</v>
      </c>
      <c r="AK33" s="234">
        <v>28429</v>
      </c>
      <c r="AL33" s="100">
        <f t="shared" si="42"/>
        <v>0.10347601368566645</v>
      </c>
    </row>
    <row r="34" spans="2:38" s="469" customFormat="1" ht="14.25">
      <c r="B34" s="442"/>
      <c r="C34" s="448"/>
      <c r="D34" s="359">
        <f t="shared" si="6"/>
        <v>46230</v>
      </c>
      <c r="E34" s="359" t="s">
        <v>448</v>
      </c>
      <c r="F34" s="340">
        <f t="shared" si="5"/>
        <v>270305</v>
      </c>
      <c r="G34" s="341"/>
      <c r="H34" s="475"/>
      <c r="I34" s="234">
        <v>30498</v>
      </c>
      <c r="J34" s="100">
        <f t="shared" si="25"/>
        <v>0.11282810158894582</v>
      </c>
      <c r="K34" s="234">
        <v>40682</v>
      </c>
      <c r="L34" s="100">
        <f t="shared" si="26"/>
        <v>0.15050406022826066</v>
      </c>
      <c r="M34" s="105">
        <f t="shared" si="27"/>
        <v>71180</v>
      </c>
      <c r="N34" s="100">
        <f t="shared" si="28"/>
        <v>0.26333216181720648</v>
      </c>
      <c r="O34" s="234">
        <v>7284</v>
      </c>
      <c r="P34" s="100">
        <f t="shared" si="29"/>
        <v>2.694733726716117E-2</v>
      </c>
      <c r="Q34" s="234"/>
      <c r="R34" s="100">
        <f t="shared" si="30"/>
        <v>0</v>
      </c>
      <c r="S34" s="105">
        <f t="shared" si="31"/>
        <v>7284</v>
      </c>
      <c r="T34" s="100">
        <f t="shared" si="32"/>
        <v>2.694733726716117E-2</v>
      </c>
      <c r="U34" s="234">
        <v>34564</v>
      </c>
      <c r="V34" s="100">
        <f t="shared" si="33"/>
        <v>0.12787036865762749</v>
      </c>
      <c r="W34" s="234">
        <v>4048</v>
      </c>
      <c r="X34" s="100">
        <f t="shared" si="34"/>
        <v>1.4975675625682101E-2</v>
      </c>
      <c r="Y34" s="234">
        <v>25747</v>
      </c>
      <c r="Z34" s="100">
        <f t="shared" si="35"/>
        <v>9.5251660161669222E-2</v>
      </c>
      <c r="AA34" s="234">
        <v>23686</v>
      </c>
      <c r="AB34" s="100">
        <f t="shared" si="36"/>
        <v>8.7626939938217935E-2</v>
      </c>
      <c r="AC34" s="105">
        <f t="shared" si="37"/>
        <v>49433</v>
      </c>
      <c r="AD34" s="100">
        <f t="shared" si="38"/>
        <v>0.18287860009988716</v>
      </c>
      <c r="AE34" s="234">
        <v>24644</v>
      </c>
      <c r="AF34" s="100">
        <f t="shared" si="39"/>
        <v>9.1171084515639739E-2</v>
      </c>
      <c r="AG34" s="234">
        <v>17546</v>
      </c>
      <c r="AH34" s="100">
        <f t="shared" si="40"/>
        <v>6.4911858826140839E-2</v>
      </c>
      <c r="AI34" s="234">
        <v>31003</v>
      </c>
      <c r="AJ34" s="100">
        <f t="shared" si="41"/>
        <v>0.11469636151754499</v>
      </c>
      <c r="AK34" s="234">
        <v>30603</v>
      </c>
      <c r="AL34" s="100">
        <f t="shared" si="42"/>
        <v>0.11321655167311001</v>
      </c>
    </row>
    <row r="35" spans="2:38" s="469" customFormat="1" ht="14.25">
      <c r="B35" s="442"/>
      <c r="C35" s="448"/>
      <c r="D35" s="303">
        <f t="shared" si="6"/>
        <v>46231</v>
      </c>
      <c r="E35" s="303" t="s">
        <v>449</v>
      </c>
      <c r="F35" s="340">
        <f t="shared" si="5"/>
        <v>0</v>
      </c>
      <c r="G35" s="341">
        <f>SUM(F35:F41)</f>
        <v>0</v>
      </c>
      <c r="H35" s="475"/>
      <c r="I35" s="234"/>
      <c r="J35" s="100" t="e">
        <f t="shared" si="25"/>
        <v>#DIV/0!</v>
      </c>
      <c r="K35" s="234"/>
      <c r="L35" s="100" t="e">
        <f t="shared" si="26"/>
        <v>#DIV/0!</v>
      </c>
      <c r="M35" s="105">
        <f t="shared" si="27"/>
        <v>0</v>
      </c>
      <c r="N35" s="100" t="e">
        <f t="shared" si="28"/>
        <v>#DIV/0!</v>
      </c>
      <c r="O35" s="234"/>
      <c r="P35" s="100" t="e">
        <f t="shared" si="29"/>
        <v>#DIV/0!</v>
      </c>
      <c r="Q35" s="234"/>
      <c r="R35" s="100" t="e">
        <f t="shared" si="30"/>
        <v>#DIV/0!</v>
      </c>
      <c r="S35" s="105">
        <f t="shared" si="31"/>
        <v>0</v>
      </c>
      <c r="T35" s="100" t="e">
        <f t="shared" si="32"/>
        <v>#DIV/0!</v>
      </c>
      <c r="U35" s="234"/>
      <c r="V35" s="100" t="e">
        <f t="shared" si="33"/>
        <v>#DIV/0!</v>
      </c>
      <c r="W35" s="234"/>
      <c r="X35" s="100" t="e">
        <f t="shared" si="34"/>
        <v>#DIV/0!</v>
      </c>
      <c r="Y35" s="234"/>
      <c r="Z35" s="100" t="e">
        <f t="shared" si="35"/>
        <v>#DIV/0!</v>
      </c>
      <c r="AA35" s="234"/>
      <c r="AB35" s="100" t="e">
        <f t="shared" si="36"/>
        <v>#DIV/0!</v>
      </c>
      <c r="AC35" s="105">
        <f t="shared" si="37"/>
        <v>0</v>
      </c>
      <c r="AD35" s="100" t="e">
        <f t="shared" si="38"/>
        <v>#DIV/0!</v>
      </c>
      <c r="AE35" s="234"/>
      <c r="AF35" s="100" t="e">
        <f t="shared" si="39"/>
        <v>#DIV/0!</v>
      </c>
      <c r="AG35" s="234"/>
      <c r="AH35" s="100" t="e">
        <f t="shared" si="40"/>
        <v>#DIV/0!</v>
      </c>
      <c r="AI35" s="234"/>
      <c r="AJ35" s="100" t="e">
        <f t="shared" si="41"/>
        <v>#DIV/0!</v>
      </c>
      <c r="AK35" s="234"/>
      <c r="AL35" s="100" t="e">
        <f t="shared" si="42"/>
        <v>#DIV/0!</v>
      </c>
    </row>
    <row r="36" spans="2:38" s="469" customFormat="1" ht="14.25">
      <c r="B36" s="442"/>
      <c r="C36" s="448"/>
      <c r="D36" s="303">
        <f t="shared" si="6"/>
        <v>46232</v>
      </c>
      <c r="E36" s="303" t="s">
        <v>450</v>
      </c>
      <c r="F36" s="340">
        <f t="shared" si="5"/>
        <v>0</v>
      </c>
      <c r="G36" s="341"/>
      <c r="H36" s="475"/>
      <c r="I36" s="234"/>
      <c r="J36" s="100" t="e">
        <f t="shared" si="25"/>
        <v>#DIV/0!</v>
      </c>
      <c r="K36" s="234"/>
      <c r="L36" s="100" t="e">
        <f t="shared" si="26"/>
        <v>#DIV/0!</v>
      </c>
      <c r="M36" s="105">
        <f t="shared" si="27"/>
        <v>0</v>
      </c>
      <c r="N36" s="100" t="e">
        <f t="shared" si="28"/>
        <v>#DIV/0!</v>
      </c>
      <c r="O36" s="234"/>
      <c r="P36" s="100" t="e">
        <f t="shared" si="29"/>
        <v>#DIV/0!</v>
      </c>
      <c r="Q36" s="234"/>
      <c r="R36" s="100" t="e">
        <f t="shared" si="30"/>
        <v>#DIV/0!</v>
      </c>
      <c r="S36" s="105">
        <f t="shared" si="31"/>
        <v>0</v>
      </c>
      <c r="T36" s="100" t="e">
        <f t="shared" si="32"/>
        <v>#DIV/0!</v>
      </c>
      <c r="U36" s="234"/>
      <c r="V36" s="100" t="e">
        <f t="shared" si="33"/>
        <v>#DIV/0!</v>
      </c>
      <c r="W36" s="234"/>
      <c r="X36" s="100" t="e">
        <f t="shared" si="34"/>
        <v>#DIV/0!</v>
      </c>
      <c r="Y36" s="234"/>
      <c r="Z36" s="100" t="e">
        <f t="shared" si="35"/>
        <v>#DIV/0!</v>
      </c>
      <c r="AA36" s="234"/>
      <c r="AB36" s="100" t="e">
        <f t="shared" si="36"/>
        <v>#DIV/0!</v>
      </c>
      <c r="AC36" s="105">
        <f t="shared" si="37"/>
        <v>0</v>
      </c>
      <c r="AD36" s="100" t="e">
        <f t="shared" si="38"/>
        <v>#DIV/0!</v>
      </c>
      <c r="AE36" s="234"/>
      <c r="AF36" s="100" t="e">
        <f t="shared" si="39"/>
        <v>#DIV/0!</v>
      </c>
      <c r="AG36" s="234"/>
      <c r="AH36" s="100" t="e">
        <f t="shared" si="40"/>
        <v>#DIV/0!</v>
      </c>
      <c r="AI36" s="234"/>
      <c r="AJ36" s="100" t="e">
        <f t="shared" si="41"/>
        <v>#DIV/0!</v>
      </c>
      <c r="AK36" s="234"/>
      <c r="AL36" s="100" t="e">
        <f t="shared" si="42"/>
        <v>#DIV/0!</v>
      </c>
    </row>
    <row r="37" spans="2:38" s="469" customFormat="1" ht="14.25">
      <c r="B37" s="442"/>
      <c r="C37" s="448"/>
      <c r="D37" s="303">
        <f>D36+1</f>
        <v>46233</v>
      </c>
      <c r="E37" s="303" t="s">
        <v>451</v>
      </c>
      <c r="F37" s="340">
        <f t="shared" si="5"/>
        <v>0</v>
      </c>
      <c r="G37" s="341"/>
      <c r="H37" s="475"/>
      <c r="I37" s="234"/>
      <c r="J37" s="100" t="e">
        <f t="shared" si="25"/>
        <v>#DIV/0!</v>
      </c>
      <c r="K37" s="234"/>
      <c r="L37" s="100" t="e">
        <f t="shared" si="26"/>
        <v>#DIV/0!</v>
      </c>
      <c r="M37" s="105">
        <f t="shared" si="27"/>
        <v>0</v>
      </c>
      <c r="N37" s="100" t="e">
        <f t="shared" si="28"/>
        <v>#DIV/0!</v>
      </c>
      <c r="O37" s="234"/>
      <c r="P37" s="100" t="e">
        <f t="shared" si="29"/>
        <v>#DIV/0!</v>
      </c>
      <c r="Q37" s="234"/>
      <c r="R37" s="100" t="e">
        <f t="shared" si="30"/>
        <v>#DIV/0!</v>
      </c>
      <c r="S37" s="105">
        <f t="shared" si="31"/>
        <v>0</v>
      </c>
      <c r="T37" s="100" t="e">
        <f t="shared" si="32"/>
        <v>#DIV/0!</v>
      </c>
      <c r="U37" s="234"/>
      <c r="V37" s="100" t="e">
        <f t="shared" si="33"/>
        <v>#DIV/0!</v>
      </c>
      <c r="W37" s="234"/>
      <c r="X37" s="100" t="e">
        <f t="shared" si="34"/>
        <v>#DIV/0!</v>
      </c>
      <c r="Y37" s="234"/>
      <c r="Z37" s="100" t="e">
        <f t="shared" si="35"/>
        <v>#DIV/0!</v>
      </c>
      <c r="AA37" s="234"/>
      <c r="AB37" s="100" t="e">
        <f t="shared" si="36"/>
        <v>#DIV/0!</v>
      </c>
      <c r="AC37" s="105">
        <f t="shared" si="37"/>
        <v>0</v>
      </c>
      <c r="AD37" s="100" t="e">
        <f t="shared" si="38"/>
        <v>#DIV/0!</v>
      </c>
      <c r="AE37" s="234"/>
      <c r="AF37" s="100" t="e">
        <f t="shared" si="39"/>
        <v>#DIV/0!</v>
      </c>
      <c r="AG37" s="234"/>
      <c r="AH37" s="100" t="e">
        <f t="shared" si="40"/>
        <v>#DIV/0!</v>
      </c>
      <c r="AI37" s="234"/>
      <c r="AJ37" s="100" t="e">
        <f t="shared" si="41"/>
        <v>#DIV/0!</v>
      </c>
      <c r="AK37" s="234"/>
      <c r="AL37" s="100" t="e">
        <f t="shared" si="42"/>
        <v>#DIV/0!</v>
      </c>
    </row>
    <row r="38" spans="2:38" s="469" customFormat="1" ht="14.25">
      <c r="B38" s="442"/>
      <c r="C38" s="448"/>
      <c r="D38" s="303">
        <f t="shared" ref="D38:D41" si="43">D37+1</f>
        <v>46234</v>
      </c>
      <c r="E38" s="303" t="s">
        <v>452</v>
      </c>
      <c r="F38" s="340">
        <f t="shared" si="5"/>
        <v>0</v>
      </c>
      <c r="G38" s="341"/>
      <c r="H38" s="475"/>
      <c r="I38" s="234"/>
      <c r="J38" s="100" t="e">
        <f t="shared" si="25"/>
        <v>#DIV/0!</v>
      </c>
      <c r="K38" s="234"/>
      <c r="L38" s="100" t="e">
        <f t="shared" si="26"/>
        <v>#DIV/0!</v>
      </c>
      <c r="M38" s="105">
        <f t="shared" si="27"/>
        <v>0</v>
      </c>
      <c r="N38" s="100" t="e">
        <f t="shared" si="28"/>
        <v>#DIV/0!</v>
      </c>
      <c r="O38" s="234"/>
      <c r="P38" s="100" t="e">
        <f t="shared" si="29"/>
        <v>#DIV/0!</v>
      </c>
      <c r="Q38" s="234"/>
      <c r="R38" s="100" t="e">
        <f t="shared" si="30"/>
        <v>#DIV/0!</v>
      </c>
      <c r="S38" s="105">
        <f t="shared" si="31"/>
        <v>0</v>
      </c>
      <c r="T38" s="100" t="e">
        <f t="shared" si="32"/>
        <v>#DIV/0!</v>
      </c>
      <c r="U38" s="234"/>
      <c r="V38" s="100" t="e">
        <f t="shared" si="33"/>
        <v>#DIV/0!</v>
      </c>
      <c r="W38" s="234"/>
      <c r="X38" s="100" t="e">
        <f t="shared" si="34"/>
        <v>#DIV/0!</v>
      </c>
      <c r="Y38" s="234"/>
      <c r="Z38" s="100" t="e">
        <f t="shared" si="35"/>
        <v>#DIV/0!</v>
      </c>
      <c r="AA38" s="234"/>
      <c r="AB38" s="100" t="e">
        <f t="shared" si="36"/>
        <v>#DIV/0!</v>
      </c>
      <c r="AC38" s="105">
        <f t="shared" si="37"/>
        <v>0</v>
      </c>
      <c r="AD38" s="100" t="e">
        <f t="shared" si="38"/>
        <v>#DIV/0!</v>
      </c>
      <c r="AE38" s="234"/>
      <c r="AF38" s="100" t="e">
        <f t="shared" si="39"/>
        <v>#DIV/0!</v>
      </c>
      <c r="AG38" s="234"/>
      <c r="AH38" s="100" t="e">
        <f t="shared" si="40"/>
        <v>#DIV/0!</v>
      </c>
      <c r="AI38" s="234"/>
      <c r="AJ38" s="100" t="e">
        <f t="shared" si="41"/>
        <v>#DIV/0!</v>
      </c>
      <c r="AK38" s="234"/>
      <c r="AL38" s="100" t="e">
        <f t="shared" si="42"/>
        <v>#DIV/0!</v>
      </c>
    </row>
    <row r="39" spans="2:38" s="343" customFormat="1" ht="14.25">
      <c r="B39" s="338"/>
      <c r="C39" s="339"/>
      <c r="D39" s="303">
        <f t="shared" si="43"/>
        <v>46235</v>
      </c>
      <c r="E39" s="303" t="s">
        <v>453</v>
      </c>
      <c r="F39" s="340">
        <f t="shared" si="5"/>
        <v>0</v>
      </c>
      <c r="G39" s="341"/>
      <c r="H39" s="345"/>
      <c r="I39" s="234"/>
      <c r="J39" s="100" t="e">
        <f t="shared" si="25"/>
        <v>#DIV/0!</v>
      </c>
      <c r="K39" s="234"/>
      <c r="L39" s="100" t="e">
        <f t="shared" si="26"/>
        <v>#DIV/0!</v>
      </c>
      <c r="M39" s="105">
        <f t="shared" si="27"/>
        <v>0</v>
      </c>
      <c r="N39" s="100" t="e">
        <f t="shared" si="28"/>
        <v>#DIV/0!</v>
      </c>
      <c r="O39" s="234"/>
      <c r="P39" s="100" t="e">
        <f t="shared" si="29"/>
        <v>#DIV/0!</v>
      </c>
      <c r="Q39" s="234"/>
      <c r="R39" s="100" t="e">
        <f t="shared" si="30"/>
        <v>#DIV/0!</v>
      </c>
      <c r="S39" s="105">
        <f t="shared" si="31"/>
        <v>0</v>
      </c>
      <c r="T39" s="100" t="e">
        <f t="shared" si="32"/>
        <v>#DIV/0!</v>
      </c>
      <c r="U39" s="234"/>
      <c r="V39" s="100" t="e">
        <f t="shared" si="33"/>
        <v>#DIV/0!</v>
      </c>
      <c r="W39" s="234"/>
      <c r="X39" s="100" t="e">
        <f t="shared" si="34"/>
        <v>#DIV/0!</v>
      </c>
      <c r="Y39" s="234"/>
      <c r="Z39" s="100" t="e">
        <f t="shared" si="35"/>
        <v>#DIV/0!</v>
      </c>
      <c r="AA39" s="234"/>
      <c r="AB39" s="100" t="e">
        <f t="shared" si="36"/>
        <v>#DIV/0!</v>
      </c>
      <c r="AC39" s="105">
        <f t="shared" si="37"/>
        <v>0</v>
      </c>
      <c r="AD39" s="100" t="e">
        <f t="shared" si="38"/>
        <v>#DIV/0!</v>
      </c>
      <c r="AE39" s="234"/>
      <c r="AF39" s="100" t="e">
        <f t="shared" si="39"/>
        <v>#DIV/0!</v>
      </c>
      <c r="AG39" s="234"/>
      <c r="AH39" s="100" t="e">
        <f t="shared" si="40"/>
        <v>#DIV/0!</v>
      </c>
      <c r="AI39" s="234"/>
      <c r="AJ39" s="100" t="e">
        <f t="shared" si="41"/>
        <v>#DIV/0!</v>
      </c>
      <c r="AK39" s="234"/>
      <c r="AL39" s="100" t="e">
        <f t="shared" si="42"/>
        <v>#DIV/0!</v>
      </c>
    </row>
    <row r="40" spans="2:38" ht="14.25">
      <c r="B40" s="97"/>
      <c r="C40" s="83"/>
      <c r="D40" s="303">
        <f t="shared" si="43"/>
        <v>46236</v>
      </c>
      <c r="E40" s="303" t="s">
        <v>454</v>
      </c>
      <c r="F40" s="87">
        <f t="shared" si="5"/>
        <v>0</v>
      </c>
      <c r="G40" s="305"/>
      <c r="H40" s="87"/>
      <c r="I40" s="234"/>
      <c r="J40" s="100" t="e">
        <f t="shared" si="25"/>
        <v>#DIV/0!</v>
      </c>
      <c r="K40" s="234"/>
      <c r="L40" s="100" t="e">
        <f t="shared" si="26"/>
        <v>#DIV/0!</v>
      </c>
      <c r="M40" s="105">
        <f t="shared" si="27"/>
        <v>0</v>
      </c>
      <c r="N40" s="100" t="e">
        <f t="shared" si="28"/>
        <v>#DIV/0!</v>
      </c>
      <c r="O40" s="234"/>
      <c r="P40" s="100" t="e">
        <f t="shared" si="29"/>
        <v>#DIV/0!</v>
      </c>
      <c r="Q40" s="234"/>
      <c r="R40" s="100" t="e">
        <f t="shared" si="30"/>
        <v>#DIV/0!</v>
      </c>
      <c r="S40" s="105">
        <f t="shared" si="31"/>
        <v>0</v>
      </c>
      <c r="T40" s="100" t="e">
        <f t="shared" si="32"/>
        <v>#DIV/0!</v>
      </c>
      <c r="U40" s="234"/>
      <c r="V40" s="100" t="e">
        <f t="shared" si="33"/>
        <v>#DIV/0!</v>
      </c>
      <c r="W40" s="234"/>
      <c r="X40" s="100" t="e">
        <f t="shared" si="34"/>
        <v>#DIV/0!</v>
      </c>
      <c r="Y40" s="234"/>
      <c r="Z40" s="100" t="e">
        <f t="shared" si="35"/>
        <v>#DIV/0!</v>
      </c>
      <c r="AA40" s="234"/>
      <c r="AB40" s="100" t="e">
        <f t="shared" si="36"/>
        <v>#DIV/0!</v>
      </c>
      <c r="AC40" s="105">
        <f t="shared" si="37"/>
        <v>0</v>
      </c>
      <c r="AD40" s="100" t="e">
        <f t="shared" si="38"/>
        <v>#DIV/0!</v>
      </c>
      <c r="AE40" s="234"/>
      <c r="AF40" s="100" t="e">
        <f t="shared" si="39"/>
        <v>#DIV/0!</v>
      </c>
      <c r="AG40" s="234"/>
      <c r="AH40" s="100" t="e">
        <f t="shared" si="40"/>
        <v>#DIV/0!</v>
      </c>
      <c r="AI40" s="234"/>
      <c r="AJ40" s="100" t="e">
        <f t="shared" si="41"/>
        <v>#DIV/0!</v>
      </c>
      <c r="AK40" s="234"/>
      <c r="AL40" s="100" t="e">
        <f t="shared" si="42"/>
        <v>#DIV/0!</v>
      </c>
    </row>
    <row r="41" spans="2:38" ht="14.25">
      <c r="B41" s="97"/>
      <c r="C41" s="83"/>
      <c r="D41" s="303">
        <f t="shared" si="43"/>
        <v>46237</v>
      </c>
      <c r="E41" s="303" t="s">
        <v>448</v>
      </c>
      <c r="F41" s="87">
        <f t="shared" si="5"/>
        <v>0</v>
      </c>
      <c r="G41" s="305"/>
      <c r="H41" s="87"/>
      <c r="I41" s="234"/>
      <c r="J41" s="100" t="e">
        <f t="shared" si="25"/>
        <v>#DIV/0!</v>
      </c>
      <c r="K41" s="234"/>
      <c r="L41" s="100" t="e">
        <f t="shared" si="26"/>
        <v>#DIV/0!</v>
      </c>
      <c r="M41" s="105">
        <f t="shared" si="27"/>
        <v>0</v>
      </c>
      <c r="N41" s="100" t="e">
        <f t="shared" si="28"/>
        <v>#DIV/0!</v>
      </c>
      <c r="O41" s="234"/>
      <c r="P41" s="100" t="e">
        <f t="shared" si="29"/>
        <v>#DIV/0!</v>
      </c>
      <c r="Q41" s="234"/>
      <c r="R41" s="100" t="e">
        <f t="shared" si="30"/>
        <v>#DIV/0!</v>
      </c>
      <c r="S41" s="105">
        <f t="shared" si="31"/>
        <v>0</v>
      </c>
      <c r="T41" s="100" t="e">
        <f t="shared" si="32"/>
        <v>#DIV/0!</v>
      </c>
      <c r="U41" s="234"/>
      <c r="V41" s="100" t="e">
        <f t="shared" si="33"/>
        <v>#DIV/0!</v>
      </c>
      <c r="W41" s="234"/>
      <c r="X41" s="100" t="e">
        <f t="shared" si="34"/>
        <v>#DIV/0!</v>
      </c>
      <c r="Y41" s="234"/>
      <c r="Z41" s="100" t="e">
        <f t="shared" si="35"/>
        <v>#DIV/0!</v>
      </c>
      <c r="AA41" s="234"/>
      <c r="AB41" s="100" t="e">
        <f t="shared" si="36"/>
        <v>#DIV/0!</v>
      </c>
      <c r="AC41" s="105">
        <f t="shared" si="37"/>
        <v>0</v>
      </c>
      <c r="AD41" s="100" t="e">
        <f t="shared" si="38"/>
        <v>#DIV/0!</v>
      </c>
      <c r="AE41" s="234"/>
      <c r="AF41" s="100" t="e">
        <f t="shared" si="39"/>
        <v>#DIV/0!</v>
      </c>
      <c r="AG41" s="234"/>
      <c r="AH41" s="100" t="e">
        <f t="shared" si="40"/>
        <v>#DIV/0!</v>
      </c>
      <c r="AI41" s="234"/>
      <c r="AJ41" s="100" t="e">
        <f t="shared" si="41"/>
        <v>#DIV/0!</v>
      </c>
      <c r="AK41" s="234"/>
      <c r="AL41" s="100" t="e">
        <f t="shared" si="42"/>
        <v>#DIV/0!</v>
      </c>
    </row>
    <row r="42" spans="2:38" ht="14.25">
      <c r="B42" s="97"/>
      <c r="C42" s="83"/>
      <c r="D42" s="359"/>
      <c r="E42" s="359"/>
      <c r="F42" s="87">
        <f t="shared" si="5"/>
        <v>0</v>
      </c>
      <c r="G42" s="305"/>
      <c r="H42" s="87"/>
      <c r="I42" s="234"/>
      <c r="J42" s="100" t="e">
        <f t="shared" si="25"/>
        <v>#DIV/0!</v>
      </c>
      <c r="K42" s="234"/>
      <c r="L42" s="100" t="e">
        <f t="shared" si="26"/>
        <v>#DIV/0!</v>
      </c>
      <c r="M42" s="105">
        <f t="shared" si="27"/>
        <v>0</v>
      </c>
      <c r="N42" s="100" t="e">
        <f t="shared" si="28"/>
        <v>#DIV/0!</v>
      </c>
      <c r="O42" s="234"/>
      <c r="P42" s="100" t="e">
        <f t="shared" si="29"/>
        <v>#DIV/0!</v>
      </c>
      <c r="Q42" s="234"/>
      <c r="R42" s="100" t="e">
        <f t="shared" si="30"/>
        <v>#DIV/0!</v>
      </c>
      <c r="S42" s="105">
        <f t="shared" si="31"/>
        <v>0</v>
      </c>
      <c r="T42" s="100" t="e">
        <f t="shared" si="32"/>
        <v>#DIV/0!</v>
      </c>
      <c r="U42" s="234"/>
      <c r="V42" s="100" t="e">
        <f t="shared" si="33"/>
        <v>#DIV/0!</v>
      </c>
      <c r="W42" s="234"/>
      <c r="X42" s="100" t="e">
        <f t="shared" si="34"/>
        <v>#DIV/0!</v>
      </c>
      <c r="Y42" s="234"/>
      <c r="Z42" s="100" t="e">
        <f t="shared" si="35"/>
        <v>#DIV/0!</v>
      </c>
      <c r="AA42" s="234"/>
      <c r="AB42" s="100" t="e">
        <f t="shared" si="36"/>
        <v>#DIV/0!</v>
      </c>
      <c r="AC42" s="105">
        <f t="shared" si="37"/>
        <v>0</v>
      </c>
      <c r="AD42" s="100" t="e">
        <f t="shared" si="38"/>
        <v>#DIV/0!</v>
      </c>
      <c r="AE42" s="234"/>
      <c r="AF42" s="100" t="e">
        <f t="shared" si="39"/>
        <v>#DIV/0!</v>
      </c>
      <c r="AG42" s="234"/>
      <c r="AH42" s="100" t="e">
        <f t="shared" si="40"/>
        <v>#DIV/0!</v>
      </c>
      <c r="AI42" s="234"/>
      <c r="AJ42" s="100" t="e">
        <f t="shared" si="41"/>
        <v>#DIV/0!</v>
      </c>
      <c r="AK42" s="234"/>
      <c r="AL42" s="100" t="e">
        <f t="shared" si="42"/>
        <v>#DIV/0!</v>
      </c>
    </row>
    <row r="43" spans="2:38" ht="14.25">
      <c r="B43" s="97"/>
      <c r="C43" s="83"/>
      <c r="D43" s="359"/>
      <c r="E43" s="359"/>
      <c r="F43" s="87">
        <f t="shared" ref="F43" si="44">SUM(M43,S43,U43,W43,AC43,AE43,AG43,AI43,AK43)</f>
        <v>0</v>
      </c>
      <c r="G43" s="305"/>
      <c r="H43" s="87"/>
      <c r="I43" s="234"/>
      <c r="J43" s="100" t="e">
        <f t="shared" si="25"/>
        <v>#DIV/0!</v>
      </c>
      <c r="K43" s="234"/>
      <c r="L43" s="100" t="e">
        <f t="shared" si="26"/>
        <v>#DIV/0!</v>
      </c>
      <c r="M43" s="105">
        <f t="shared" si="27"/>
        <v>0</v>
      </c>
      <c r="N43" s="100" t="e">
        <f t="shared" si="28"/>
        <v>#DIV/0!</v>
      </c>
      <c r="O43" s="234"/>
      <c r="P43" s="100" t="e">
        <f t="shared" si="29"/>
        <v>#DIV/0!</v>
      </c>
      <c r="Q43" s="234"/>
      <c r="R43" s="100" t="e">
        <f t="shared" si="30"/>
        <v>#DIV/0!</v>
      </c>
      <c r="S43" s="105">
        <f t="shared" si="31"/>
        <v>0</v>
      </c>
      <c r="T43" s="100" t="e">
        <f t="shared" si="32"/>
        <v>#DIV/0!</v>
      </c>
      <c r="U43" s="234"/>
      <c r="V43" s="100" t="e">
        <f t="shared" si="33"/>
        <v>#DIV/0!</v>
      </c>
      <c r="W43" s="234"/>
      <c r="X43" s="100" t="e">
        <f t="shared" si="34"/>
        <v>#DIV/0!</v>
      </c>
      <c r="Y43" s="234"/>
      <c r="Z43" s="100" t="e">
        <f t="shared" si="35"/>
        <v>#DIV/0!</v>
      </c>
      <c r="AA43" s="234"/>
      <c r="AB43" s="100" t="e">
        <f t="shared" si="36"/>
        <v>#DIV/0!</v>
      </c>
      <c r="AC43" s="105">
        <f t="shared" si="37"/>
        <v>0</v>
      </c>
      <c r="AD43" s="100" t="e">
        <f t="shared" si="38"/>
        <v>#DIV/0!</v>
      </c>
      <c r="AE43" s="234"/>
      <c r="AF43" s="100" t="e">
        <f t="shared" si="39"/>
        <v>#DIV/0!</v>
      </c>
      <c r="AG43" s="234"/>
      <c r="AH43" s="100" t="e">
        <f t="shared" si="40"/>
        <v>#DIV/0!</v>
      </c>
      <c r="AI43" s="234"/>
      <c r="AJ43" s="100" t="e">
        <f t="shared" si="41"/>
        <v>#DIV/0!</v>
      </c>
      <c r="AK43" s="234"/>
      <c r="AL43" s="100" t="e">
        <f t="shared" si="42"/>
        <v>#DIV/0!</v>
      </c>
    </row>
    <row r="44" spans="2:38" ht="14.25">
      <c r="B44" s="97"/>
      <c r="C44" s="83"/>
      <c r="D44" s="359"/>
      <c r="E44" s="359"/>
      <c r="F44" s="87">
        <f t="shared" si="5"/>
        <v>0</v>
      </c>
      <c r="G44" s="305"/>
      <c r="H44" s="87"/>
      <c r="I44" s="234"/>
      <c r="J44" s="100" t="e">
        <f t="shared" si="25"/>
        <v>#DIV/0!</v>
      </c>
      <c r="K44" s="234"/>
      <c r="L44" s="100" t="e">
        <f t="shared" si="26"/>
        <v>#DIV/0!</v>
      </c>
      <c r="M44" s="105">
        <f t="shared" si="27"/>
        <v>0</v>
      </c>
      <c r="N44" s="100" t="e">
        <f t="shared" si="28"/>
        <v>#DIV/0!</v>
      </c>
      <c r="O44" s="234"/>
      <c r="P44" s="100" t="e">
        <f t="shared" si="29"/>
        <v>#DIV/0!</v>
      </c>
      <c r="Q44" s="234"/>
      <c r="R44" s="100" t="e">
        <f t="shared" si="30"/>
        <v>#DIV/0!</v>
      </c>
      <c r="S44" s="105">
        <f t="shared" si="31"/>
        <v>0</v>
      </c>
      <c r="T44" s="100" t="e">
        <f t="shared" si="32"/>
        <v>#DIV/0!</v>
      </c>
      <c r="U44" s="234"/>
      <c r="V44" s="100" t="e">
        <f t="shared" si="33"/>
        <v>#DIV/0!</v>
      </c>
      <c r="W44" s="234"/>
      <c r="X44" s="100" t="e">
        <f t="shared" si="34"/>
        <v>#DIV/0!</v>
      </c>
      <c r="Y44" s="234"/>
      <c r="Z44" s="100" t="e">
        <f t="shared" si="35"/>
        <v>#DIV/0!</v>
      </c>
      <c r="AA44" s="234"/>
      <c r="AB44" s="100" t="e">
        <f t="shared" si="36"/>
        <v>#DIV/0!</v>
      </c>
      <c r="AC44" s="105">
        <f t="shared" si="37"/>
        <v>0</v>
      </c>
      <c r="AD44" s="100" t="e">
        <f t="shared" si="38"/>
        <v>#DIV/0!</v>
      </c>
      <c r="AE44" s="234"/>
      <c r="AF44" s="100" t="e">
        <f t="shared" si="39"/>
        <v>#DIV/0!</v>
      </c>
      <c r="AG44" s="234"/>
      <c r="AH44" s="100" t="e">
        <f t="shared" si="40"/>
        <v>#DIV/0!</v>
      </c>
      <c r="AI44" s="234"/>
      <c r="AJ44" s="100" t="e">
        <f t="shared" si="41"/>
        <v>#DIV/0!</v>
      </c>
      <c r="AK44" s="234"/>
      <c r="AL44" s="100" t="e">
        <f t="shared" si="42"/>
        <v>#DIV/0!</v>
      </c>
    </row>
    <row r="45" spans="2:38" ht="14.25">
      <c r="B45" s="97"/>
      <c r="C45" s="83"/>
      <c r="D45" s="359"/>
      <c r="E45" s="359"/>
      <c r="F45" s="87">
        <f t="shared" ref="F45:F48" si="45">SUM(M45,S45,U45,W45,AC45,AE45,AG45,AI45,AK45)</f>
        <v>0</v>
      </c>
      <c r="G45" s="305"/>
      <c r="H45" s="87"/>
      <c r="I45" s="234"/>
      <c r="J45" s="100" t="e">
        <f t="shared" si="25"/>
        <v>#DIV/0!</v>
      </c>
      <c r="K45" s="234"/>
      <c r="L45" s="100" t="e">
        <f t="shared" si="26"/>
        <v>#DIV/0!</v>
      </c>
      <c r="M45" s="105">
        <f t="shared" si="27"/>
        <v>0</v>
      </c>
      <c r="N45" s="100" t="e">
        <f t="shared" si="28"/>
        <v>#DIV/0!</v>
      </c>
      <c r="O45" s="234"/>
      <c r="P45" s="100" t="e">
        <f t="shared" si="29"/>
        <v>#DIV/0!</v>
      </c>
      <c r="Q45" s="234"/>
      <c r="R45" s="100" t="e">
        <f t="shared" si="30"/>
        <v>#DIV/0!</v>
      </c>
      <c r="S45" s="105">
        <f t="shared" si="31"/>
        <v>0</v>
      </c>
      <c r="T45" s="100" t="e">
        <f t="shared" si="32"/>
        <v>#DIV/0!</v>
      </c>
      <c r="U45" s="234"/>
      <c r="V45" s="100" t="e">
        <f t="shared" si="33"/>
        <v>#DIV/0!</v>
      </c>
      <c r="W45" s="234"/>
      <c r="X45" s="100" t="e">
        <f t="shared" si="34"/>
        <v>#DIV/0!</v>
      </c>
      <c r="Y45" s="234"/>
      <c r="Z45" s="100" t="e">
        <f t="shared" si="35"/>
        <v>#DIV/0!</v>
      </c>
      <c r="AA45" s="234"/>
      <c r="AB45" s="100" t="e">
        <f t="shared" si="36"/>
        <v>#DIV/0!</v>
      </c>
      <c r="AC45" s="105">
        <f t="shared" si="37"/>
        <v>0</v>
      </c>
      <c r="AD45" s="100" t="e">
        <f t="shared" si="38"/>
        <v>#DIV/0!</v>
      </c>
      <c r="AE45" s="234"/>
      <c r="AF45" s="100" t="e">
        <f t="shared" si="39"/>
        <v>#DIV/0!</v>
      </c>
      <c r="AG45" s="234"/>
      <c r="AH45" s="100" t="e">
        <f t="shared" si="40"/>
        <v>#DIV/0!</v>
      </c>
      <c r="AI45" s="234"/>
      <c r="AJ45" s="100" t="e">
        <f t="shared" si="41"/>
        <v>#DIV/0!</v>
      </c>
      <c r="AK45" s="234"/>
      <c r="AL45" s="100" t="e">
        <f t="shared" si="42"/>
        <v>#DIV/0!</v>
      </c>
    </row>
    <row r="46" spans="2:38" ht="14.25">
      <c r="B46" s="97"/>
      <c r="C46" s="83"/>
      <c r="D46" s="359"/>
      <c r="E46" s="359"/>
      <c r="F46" s="87">
        <f t="shared" si="45"/>
        <v>0</v>
      </c>
      <c r="G46" s="305"/>
      <c r="H46" s="87"/>
      <c r="I46" s="234"/>
      <c r="J46" s="100" t="e">
        <f t="shared" si="25"/>
        <v>#DIV/0!</v>
      </c>
      <c r="K46" s="234"/>
      <c r="L46" s="100" t="e">
        <f t="shared" si="26"/>
        <v>#DIV/0!</v>
      </c>
      <c r="M46" s="105">
        <f t="shared" si="27"/>
        <v>0</v>
      </c>
      <c r="N46" s="100" t="e">
        <f t="shared" si="28"/>
        <v>#DIV/0!</v>
      </c>
      <c r="O46" s="234"/>
      <c r="P46" s="100" t="e">
        <f t="shared" si="29"/>
        <v>#DIV/0!</v>
      </c>
      <c r="Q46" s="234"/>
      <c r="R46" s="100" t="e">
        <f t="shared" si="30"/>
        <v>#DIV/0!</v>
      </c>
      <c r="S46" s="105">
        <f t="shared" si="31"/>
        <v>0</v>
      </c>
      <c r="T46" s="100" t="e">
        <f t="shared" si="32"/>
        <v>#DIV/0!</v>
      </c>
      <c r="U46" s="234"/>
      <c r="V46" s="100" t="e">
        <f t="shared" si="33"/>
        <v>#DIV/0!</v>
      </c>
      <c r="W46" s="234"/>
      <c r="X46" s="100" t="e">
        <f t="shared" si="34"/>
        <v>#DIV/0!</v>
      </c>
      <c r="Y46" s="234"/>
      <c r="Z46" s="100" t="e">
        <f t="shared" si="35"/>
        <v>#DIV/0!</v>
      </c>
      <c r="AA46" s="234"/>
      <c r="AB46" s="100" t="e">
        <f t="shared" si="36"/>
        <v>#DIV/0!</v>
      </c>
      <c r="AC46" s="105">
        <f t="shared" si="37"/>
        <v>0</v>
      </c>
      <c r="AD46" s="100" t="e">
        <f t="shared" si="38"/>
        <v>#DIV/0!</v>
      </c>
      <c r="AE46" s="234"/>
      <c r="AF46" s="100" t="e">
        <f t="shared" si="39"/>
        <v>#DIV/0!</v>
      </c>
      <c r="AG46" s="234"/>
      <c r="AH46" s="100" t="e">
        <f t="shared" si="40"/>
        <v>#DIV/0!</v>
      </c>
      <c r="AI46" s="234"/>
      <c r="AJ46" s="100" t="e">
        <f t="shared" si="41"/>
        <v>#DIV/0!</v>
      </c>
      <c r="AK46" s="234"/>
      <c r="AL46" s="100" t="e">
        <f t="shared" si="42"/>
        <v>#DIV/0!</v>
      </c>
    </row>
    <row r="47" spans="2:38" ht="14.25">
      <c r="B47" s="97"/>
      <c r="C47" s="83"/>
      <c r="D47" s="359"/>
      <c r="E47" s="359"/>
      <c r="F47" s="87">
        <f t="shared" si="45"/>
        <v>0</v>
      </c>
      <c r="G47" s="305"/>
      <c r="H47" s="87"/>
      <c r="I47" s="234"/>
      <c r="J47" s="100" t="e">
        <f t="shared" si="25"/>
        <v>#DIV/0!</v>
      </c>
      <c r="K47" s="234"/>
      <c r="L47" s="100" t="e">
        <f t="shared" si="26"/>
        <v>#DIV/0!</v>
      </c>
      <c r="M47" s="105">
        <f t="shared" si="27"/>
        <v>0</v>
      </c>
      <c r="N47" s="100" t="e">
        <f t="shared" si="28"/>
        <v>#DIV/0!</v>
      </c>
      <c r="O47" s="234"/>
      <c r="P47" s="100" t="e">
        <f t="shared" si="29"/>
        <v>#DIV/0!</v>
      </c>
      <c r="Q47" s="234"/>
      <c r="R47" s="100" t="e">
        <f t="shared" si="30"/>
        <v>#DIV/0!</v>
      </c>
      <c r="S47" s="105">
        <f t="shared" si="31"/>
        <v>0</v>
      </c>
      <c r="T47" s="100" t="e">
        <f t="shared" si="32"/>
        <v>#DIV/0!</v>
      </c>
      <c r="U47" s="234"/>
      <c r="V47" s="100" t="e">
        <f t="shared" si="33"/>
        <v>#DIV/0!</v>
      </c>
      <c r="W47" s="234"/>
      <c r="X47" s="100" t="e">
        <f t="shared" si="34"/>
        <v>#DIV/0!</v>
      </c>
      <c r="Y47" s="234"/>
      <c r="Z47" s="100" t="e">
        <f t="shared" si="35"/>
        <v>#DIV/0!</v>
      </c>
      <c r="AA47" s="234"/>
      <c r="AB47" s="100" t="e">
        <f t="shared" si="36"/>
        <v>#DIV/0!</v>
      </c>
      <c r="AC47" s="105">
        <f t="shared" si="37"/>
        <v>0</v>
      </c>
      <c r="AD47" s="100" t="e">
        <f t="shared" si="38"/>
        <v>#DIV/0!</v>
      </c>
      <c r="AE47" s="234"/>
      <c r="AF47" s="100" t="e">
        <f t="shared" si="39"/>
        <v>#DIV/0!</v>
      </c>
      <c r="AG47" s="234"/>
      <c r="AH47" s="100" t="e">
        <f t="shared" si="40"/>
        <v>#DIV/0!</v>
      </c>
      <c r="AI47" s="234"/>
      <c r="AJ47" s="100" t="e">
        <f t="shared" si="41"/>
        <v>#DIV/0!</v>
      </c>
      <c r="AK47" s="234"/>
      <c r="AL47" s="100" t="e">
        <f t="shared" si="42"/>
        <v>#DIV/0!</v>
      </c>
    </row>
    <row r="48" spans="2:38" ht="14.25">
      <c r="B48" s="97"/>
      <c r="C48" s="83"/>
      <c r="D48" s="359"/>
      <c r="E48" s="359"/>
      <c r="F48" s="87">
        <f t="shared" si="45"/>
        <v>0</v>
      </c>
      <c r="G48" s="305"/>
      <c r="H48" s="87"/>
      <c r="I48" s="234"/>
      <c r="J48" s="100" t="e">
        <f t="shared" si="25"/>
        <v>#DIV/0!</v>
      </c>
      <c r="K48" s="234"/>
      <c r="L48" s="100" t="e">
        <f t="shared" si="26"/>
        <v>#DIV/0!</v>
      </c>
      <c r="M48" s="105">
        <f t="shared" si="27"/>
        <v>0</v>
      </c>
      <c r="N48" s="100" t="e">
        <f t="shared" si="28"/>
        <v>#DIV/0!</v>
      </c>
      <c r="O48" s="234"/>
      <c r="P48" s="100" t="e">
        <f t="shared" si="29"/>
        <v>#DIV/0!</v>
      </c>
      <c r="Q48" s="234"/>
      <c r="R48" s="100" t="e">
        <f t="shared" si="30"/>
        <v>#DIV/0!</v>
      </c>
      <c r="S48" s="105">
        <f t="shared" si="31"/>
        <v>0</v>
      </c>
      <c r="T48" s="100" t="e">
        <f t="shared" si="32"/>
        <v>#DIV/0!</v>
      </c>
      <c r="U48" s="234"/>
      <c r="V48" s="100" t="e">
        <f t="shared" si="33"/>
        <v>#DIV/0!</v>
      </c>
      <c r="W48" s="234"/>
      <c r="X48" s="100" t="e">
        <f t="shared" si="34"/>
        <v>#DIV/0!</v>
      </c>
      <c r="Y48" s="234"/>
      <c r="Z48" s="100" t="e">
        <f t="shared" si="35"/>
        <v>#DIV/0!</v>
      </c>
      <c r="AA48" s="234"/>
      <c r="AB48" s="100" t="e">
        <f t="shared" si="36"/>
        <v>#DIV/0!</v>
      </c>
      <c r="AC48" s="105">
        <f t="shared" si="37"/>
        <v>0</v>
      </c>
      <c r="AD48" s="100" t="e">
        <f t="shared" si="38"/>
        <v>#DIV/0!</v>
      </c>
      <c r="AE48" s="234"/>
      <c r="AF48" s="100" t="e">
        <f t="shared" si="39"/>
        <v>#DIV/0!</v>
      </c>
      <c r="AG48" s="234"/>
      <c r="AH48" s="100" t="e">
        <f t="shared" si="40"/>
        <v>#DIV/0!</v>
      </c>
      <c r="AI48" s="234"/>
      <c r="AJ48" s="100" t="e">
        <f t="shared" si="41"/>
        <v>#DIV/0!</v>
      </c>
      <c r="AK48" s="234"/>
      <c r="AL48" s="100" t="e">
        <f t="shared" si="42"/>
        <v>#DIV/0!</v>
      </c>
    </row>
    <row r="49" spans="2:38" ht="14.25">
      <c r="B49" s="97"/>
      <c r="C49" s="83"/>
      <c r="D49" s="359"/>
      <c r="E49" s="359"/>
      <c r="F49" s="87"/>
      <c r="G49" s="305"/>
      <c r="H49" s="87"/>
      <c r="I49" s="234"/>
      <c r="J49" s="100" t="e">
        <f>I49/F49</f>
        <v>#DIV/0!</v>
      </c>
      <c r="K49" s="234"/>
      <c r="L49" s="100" t="e">
        <f>K49/F49</f>
        <v>#DIV/0!</v>
      </c>
      <c r="M49" s="105">
        <f>SUM(I49+K49)</f>
        <v>0</v>
      </c>
      <c r="N49" s="100" t="e">
        <f>M49/F49</f>
        <v>#DIV/0!</v>
      </c>
      <c r="O49" s="234"/>
      <c r="P49" s="100" t="e">
        <f>O49/F49</f>
        <v>#DIV/0!</v>
      </c>
      <c r="Q49" s="234"/>
      <c r="R49" s="100" t="e">
        <f t="shared" ref="R49" si="46">Q49/F49</f>
        <v>#DIV/0!</v>
      </c>
      <c r="S49" s="105">
        <f t="shared" ref="S49" si="47">SUM(O49+Q49)</f>
        <v>0</v>
      </c>
      <c r="T49" s="100" t="e">
        <f>S49/F49</f>
        <v>#DIV/0!</v>
      </c>
      <c r="U49" s="234"/>
      <c r="V49" s="100" t="e">
        <f>U49/F49</f>
        <v>#DIV/0!</v>
      </c>
      <c r="W49" s="234"/>
      <c r="X49" s="100" t="e">
        <f>W49/F49</f>
        <v>#DIV/0!</v>
      </c>
      <c r="Y49" s="234"/>
      <c r="Z49" s="100" t="e">
        <f>Y49/F49</f>
        <v>#DIV/0!</v>
      </c>
      <c r="AA49" s="234"/>
      <c r="AB49" s="100" t="e">
        <f t="shared" ref="AB49" si="48">AA49/F49</f>
        <v>#DIV/0!</v>
      </c>
      <c r="AC49" s="105">
        <f>SUM(Y49+AA49)</f>
        <v>0</v>
      </c>
      <c r="AD49" s="100" t="e">
        <f>AC49/F49</f>
        <v>#DIV/0!</v>
      </c>
      <c r="AE49" s="234"/>
      <c r="AF49" s="100" t="e">
        <f>AE49/F49</f>
        <v>#DIV/0!</v>
      </c>
      <c r="AG49" s="234"/>
      <c r="AH49" s="100" t="e">
        <f>AG49/F49</f>
        <v>#DIV/0!</v>
      </c>
      <c r="AI49" s="234"/>
      <c r="AJ49" s="100" t="e">
        <f>AI49/F49</f>
        <v>#DIV/0!</v>
      </c>
      <c r="AK49" s="234"/>
      <c r="AL49" s="100" t="e">
        <f>AK49/F49</f>
        <v>#DIV/0!</v>
      </c>
    </row>
    <row r="50" spans="2:38" ht="14.25">
      <c r="B50" s="97"/>
      <c r="C50" s="83"/>
      <c r="D50" s="359"/>
      <c r="E50" s="359"/>
      <c r="F50" s="87"/>
      <c r="G50" s="87"/>
      <c r="H50" s="87"/>
      <c r="I50" s="268">
        <f>SUM(I7:I44)</f>
        <v>804945</v>
      </c>
      <c r="J50" s="267">
        <f>I50/$H$12</f>
        <v>0.11801364624187355</v>
      </c>
      <c r="K50" s="268">
        <f>SUM(K7:K44)</f>
        <v>1162364</v>
      </c>
      <c r="L50" s="267">
        <f>K50/$H$12</f>
        <v>0.17041513879866216</v>
      </c>
      <c r="M50" s="268">
        <f>SUM(M7:M44)</f>
        <v>1967309</v>
      </c>
      <c r="N50" s="267">
        <f>M50/$H$12</f>
        <v>0.28842878504053571</v>
      </c>
      <c r="O50" s="268">
        <f>SUM(O7:O44)</f>
        <v>150379</v>
      </c>
      <c r="P50" s="267">
        <f>O50/$H$12</f>
        <v>2.2047188451641667E-2</v>
      </c>
      <c r="Q50" s="268">
        <f>SUM(Q7:Q44)</f>
        <v>0</v>
      </c>
      <c r="R50" s="267">
        <f>Q50/$H$12</f>
        <v>0</v>
      </c>
      <c r="S50" s="268">
        <f>SUM(S7:S44)</f>
        <v>150379</v>
      </c>
      <c r="T50" s="267">
        <f>S50/$H$12</f>
        <v>2.2047188451641667E-2</v>
      </c>
      <c r="U50" s="268">
        <f>SUM(U7:U44)</f>
        <v>779294</v>
      </c>
      <c r="V50" s="267">
        <f>U50/$H$12</f>
        <v>0.11425293210643535</v>
      </c>
      <c r="W50" s="268">
        <f>SUM(W7:W44)</f>
        <v>139282</v>
      </c>
      <c r="X50" s="267">
        <f>W50/$H$12</f>
        <v>2.0420248185727758E-2</v>
      </c>
      <c r="Y50" s="268">
        <f>SUM(Y7:Y44)</f>
        <v>684573</v>
      </c>
      <c r="Z50" s="267">
        <f>Y50/$H$12</f>
        <v>0.10036580865616669</v>
      </c>
      <c r="AA50" s="268">
        <f>SUM(AA7:AA44)</f>
        <v>612438</v>
      </c>
      <c r="AB50" s="267">
        <f>AA50/$H$12</f>
        <v>8.979003717903776E-2</v>
      </c>
      <c r="AC50" s="268">
        <f>SUM(AC7:AC44)</f>
        <v>1297011</v>
      </c>
      <c r="AD50" s="267">
        <f>AC50/$H$12</f>
        <v>0.19015584583520445</v>
      </c>
      <c r="AE50" s="268">
        <f>SUM(AE7:AE44)</f>
        <v>676362</v>
      </c>
      <c r="AF50" s="267">
        <f>AE50/$H$12</f>
        <v>9.916198721582975E-2</v>
      </c>
      <c r="AG50" s="268">
        <f>SUM(AG7:AG44)</f>
        <v>405315</v>
      </c>
      <c r="AH50" s="267">
        <f>AG50/$H$12</f>
        <v>5.9423564375857947E-2</v>
      </c>
      <c r="AI50" s="268">
        <f>SUM(AI7:AI44)</f>
        <v>1005562</v>
      </c>
      <c r="AJ50" s="267">
        <f>AI50/$H$12</f>
        <v>0.14742626905225928</v>
      </c>
      <c r="AK50" s="268">
        <f>SUM(AK7:AK44)</f>
        <v>681238</v>
      </c>
      <c r="AL50" s="267">
        <f>AK50/$H$12</f>
        <v>9.9876861572556444E-2</v>
      </c>
    </row>
    <row r="51" spans="2:38" ht="14.25">
      <c r="B51" s="97"/>
      <c r="C51" s="83"/>
      <c r="D51" s="359"/>
      <c r="E51" s="359"/>
      <c r="F51" s="87"/>
      <c r="G51" s="87"/>
      <c r="H51" s="87"/>
      <c r="M51" s="269">
        <f>M50</f>
        <v>1967309</v>
      </c>
      <c r="S51" s="269">
        <f>S50</f>
        <v>150379</v>
      </c>
      <c r="U51" s="269">
        <f>U50</f>
        <v>779294</v>
      </c>
      <c r="W51" s="269">
        <f>W50</f>
        <v>139282</v>
      </c>
      <c r="Y51" s="269"/>
      <c r="AA51" s="269"/>
      <c r="AC51" s="269">
        <f>AC50</f>
        <v>1297011</v>
      </c>
      <c r="AE51" s="269">
        <f>AE50</f>
        <v>676362</v>
      </c>
      <c r="AG51" s="269">
        <f>AG50</f>
        <v>405315</v>
      </c>
      <c r="AI51" s="269">
        <f>AI50</f>
        <v>1005562</v>
      </c>
      <c r="AK51" s="269">
        <f>AK50</f>
        <v>681238</v>
      </c>
    </row>
    <row r="52" spans="2:38" ht="14.25">
      <c r="B52" s="97"/>
      <c r="C52" s="83"/>
      <c r="D52" s="359"/>
      <c r="E52" s="359"/>
      <c r="F52" s="87"/>
      <c r="G52" s="87"/>
      <c r="H52" s="87"/>
    </row>
    <row r="53" spans="2:38" ht="14.25">
      <c r="B53" s="97"/>
      <c r="C53" s="83"/>
      <c r="D53" s="84"/>
      <c r="F53" s="87"/>
      <c r="G53" s="87"/>
      <c r="H53" s="87"/>
    </row>
    <row r="54" spans="2:38" ht="14.25">
      <c r="B54" s="97"/>
      <c r="C54" s="83"/>
      <c r="D54" s="84"/>
    </row>
    <row r="55" spans="2:38" ht="14.25">
      <c r="B55" s="97"/>
      <c r="C55" s="83"/>
      <c r="D55" s="84"/>
    </row>
    <row r="56" spans="2:38" ht="14.25">
      <c r="B56" s="97"/>
      <c r="C56" s="83"/>
      <c r="D56" s="84"/>
    </row>
    <row r="57" spans="2:38" ht="14.25">
      <c r="B57" s="97"/>
      <c r="C57" s="83"/>
      <c r="D57" s="84"/>
    </row>
    <row r="58" spans="2:38" ht="14.25">
      <c r="B58" s="97"/>
      <c r="C58" s="83"/>
      <c r="D58" s="84"/>
    </row>
    <row r="59" spans="2:38" ht="14.25">
      <c r="B59" s="97"/>
      <c r="C59" s="83"/>
      <c r="D59" s="84"/>
    </row>
    <row r="60" spans="2:38" ht="14.25">
      <c r="B60" s="97"/>
      <c r="C60" s="83"/>
      <c r="D60" s="84"/>
    </row>
    <row r="61" spans="2:38" ht="14.25">
      <c r="B61" s="97"/>
      <c r="C61" s="83"/>
      <c r="D61" s="84"/>
    </row>
    <row r="62" spans="2:38" ht="14.25">
      <c r="B62" s="97"/>
      <c r="C62" s="83"/>
      <c r="D62" s="84"/>
    </row>
    <row r="63" spans="2:38" ht="14.25">
      <c r="B63" s="97"/>
      <c r="C63" s="83"/>
      <c r="D63" s="84"/>
    </row>
    <row r="64" spans="2:38" ht="14.25">
      <c r="B64" s="97"/>
      <c r="C64" s="83"/>
      <c r="D64" s="84"/>
    </row>
    <row r="65" spans="2:4" ht="14.25">
      <c r="B65" s="97"/>
      <c r="C65" s="83"/>
      <c r="D65" s="84"/>
    </row>
    <row r="66" spans="2:4" ht="14.25">
      <c r="B66" s="97"/>
      <c r="C66" s="83"/>
      <c r="D66" s="84"/>
    </row>
    <row r="67" spans="2:4" ht="14.25">
      <c r="B67" s="97"/>
      <c r="C67" s="83"/>
      <c r="D67" s="84"/>
    </row>
    <row r="68" spans="2:4" ht="14.25">
      <c r="B68" s="97"/>
      <c r="C68" s="83"/>
      <c r="D68" s="84"/>
    </row>
    <row r="69" spans="2:4" ht="14.25">
      <c r="B69" s="97"/>
      <c r="C69" s="83"/>
      <c r="D69" s="84"/>
    </row>
    <row r="70" spans="2:4" ht="14.25">
      <c r="B70" s="97"/>
      <c r="C70" s="83"/>
      <c r="D70" s="84"/>
    </row>
    <row r="71" spans="2:4" ht="14.25">
      <c r="B71" s="97"/>
      <c r="C71" s="83"/>
      <c r="D71" s="84"/>
    </row>
    <row r="72" spans="2:4" ht="14.25">
      <c r="B72" s="97"/>
      <c r="C72" s="83"/>
      <c r="D72" s="84"/>
    </row>
    <row r="73" spans="2:4" ht="14.25">
      <c r="B73" s="97"/>
      <c r="C73" s="83"/>
      <c r="D73" s="84"/>
    </row>
    <row r="74" spans="2:4" ht="14.25">
      <c r="B74" s="97"/>
      <c r="C74" s="83"/>
      <c r="D74" s="84"/>
    </row>
    <row r="75" spans="2:4" ht="14.25">
      <c r="B75" s="97"/>
      <c r="C75" s="83"/>
      <c r="D75" s="84"/>
    </row>
    <row r="76" spans="2:4" ht="14.25">
      <c r="B76" s="97"/>
      <c r="C76" s="83"/>
      <c r="D76" s="84"/>
    </row>
    <row r="77" spans="2:4" ht="14.25">
      <c r="B77" s="97"/>
      <c r="C77" s="83"/>
      <c r="D77" s="84"/>
    </row>
    <row r="78" spans="2:4" ht="14.25">
      <c r="B78" s="97"/>
      <c r="C78" s="83"/>
      <c r="D78" s="84"/>
    </row>
    <row r="79" spans="2:4" ht="14.25">
      <c r="B79" s="97"/>
      <c r="C79" s="83"/>
      <c r="D79" s="84"/>
    </row>
    <row r="80" spans="2:4" ht="14.25">
      <c r="B80" s="97"/>
      <c r="C80" s="83"/>
      <c r="D80" s="84"/>
    </row>
    <row r="81" spans="2:4" ht="14.25">
      <c r="B81" s="97"/>
      <c r="C81" s="83"/>
      <c r="D81" s="84"/>
    </row>
    <row r="82" spans="2:4" ht="14.25">
      <c r="B82" s="97"/>
      <c r="C82" s="83"/>
      <c r="D82" s="84"/>
    </row>
    <row r="83" spans="2:4" ht="14.25">
      <c r="B83" s="97"/>
      <c r="C83" s="83"/>
      <c r="D83" s="84"/>
    </row>
    <row r="84" spans="2:4" ht="14.25">
      <c r="B84" s="97"/>
      <c r="C84" s="83"/>
      <c r="D84" s="84"/>
    </row>
    <row r="85" spans="2:4" ht="14.25">
      <c r="B85" s="97"/>
      <c r="C85" s="83"/>
      <c r="D85" s="84"/>
    </row>
    <row r="86" spans="2:4" ht="14.25">
      <c r="B86" s="97"/>
      <c r="C86" s="83"/>
      <c r="D86" s="84"/>
    </row>
    <row r="87" spans="2:4" ht="14.25">
      <c r="B87" s="97"/>
      <c r="C87" s="83"/>
      <c r="D87" s="84"/>
    </row>
    <row r="88" spans="2:4" ht="14.25">
      <c r="B88" s="97"/>
      <c r="C88" s="83"/>
      <c r="D88" s="84"/>
    </row>
    <row r="89" spans="2:4" ht="14.25">
      <c r="B89" s="97"/>
      <c r="C89" s="83"/>
      <c r="D89" s="84"/>
    </row>
    <row r="90" spans="2:4" ht="14.25">
      <c r="B90" s="97"/>
      <c r="C90" s="83"/>
      <c r="D90" s="84"/>
    </row>
    <row r="91" spans="2:4" ht="14.25">
      <c r="B91" s="97"/>
      <c r="C91" s="83"/>
      <c r="D91" s="84"/>
    </row>
    <row r="92" spans="2:4" ht="14.25">
      <c r="B92" s="97"/>
      <c r="C92" s="83"/>
      <c r="D92" s="84"/>
    </row>
    <row r="93" spans="2:4" ht="14.25">
      <c r="B93" s="97"/>
      <c r="C93" s="83"/>
      <c r="D93" s="84"/>
    </row>
    <row r="94" spans="2:4" ht="14.25">
      <c r="B94" s="97"/>
      <c r="C94" s="83"/>
      <c r="D94" s="84"/>
    </row>
    <row r="95" spans="2:4" ht="14.25">
      <c r="B95" s="97"/>
      <c r="C95" s="83"/>
      <c r="D95" s="84"/>
    </row>
    <row r="96" spans="2:4" ht="14.25">
      <c r="B96" s="97"/>
      <c r="C96" s="83"/>
      <c r="D96" s="84"/>
    </row>
    <row r="97" spans="2:4" ht="14.25">
      <c r="B97" s="97"/>
      <c r="C97" s="83"/>
      <c r="D97" s="84"/>
    </row>
    <row r="98" spans="2:4" ht="14.25">
      <c r="B98" s="97"/>
      <c r="C98" s="83"/>
      <c r="D98" s="84"/>
    </row>
    <row r="99" spans="2:4" ht="14.25">
      <c r="B99" s="97"/>
      <c r="C99" s="83"/>
      <c r="D99" s="84"/>
    </row>
    <row r="100" spans="2:4" ht="14.25">
      <c r="B100" s="97"/>
      <c r="C100" s="83"/>
      <c r="D100" s="84"/>
    </row>
    <row r="101" spans="2:4" ht="14.25">
      <c r="B101" s="97"/>
      <c r="C101" s="83"/>
      <c r="D101" s="84"/>
    </row>
    <row r="102" spans="2:4" ht="14.25">
      <c r="B102" s="97"/>
      <c r="C102" s="83"/>
      <c r="D102" s="84"/>
    </row>
    <row r="103" spans="2:4" ht="14.25">
      <c r="B103" s="97"/>
      <c r="C103" s="83"/>
      <c r="D103" s="84"/>
    </row>
    <row r="104" spans="2:4" ht="14.25">
      <c r="B104" s="97"/>
      <c r="C104" s="83"/>
      <c r="D104" s="84"/>
    </row>
    <row r="105" spans="2:4" ht="14.25">
      <c r="B105" s="97"/>
      <c r="C105" s="83"/>
      <c r="D105" s="84"/>
    </row>
    <row r="106" spans="2:4" ht="14.25">
      <c r="B106" s="97"/>
      <c r="C106" s="83"/>
      <c r="D106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62"/>
  <sheetViews>
    <sheetView topLeftCell="A86" zoomScale="55" zoomScaleNormal="55" workbookViewId="0">
      <pane xSplit="15" topLeftCell="AI1" activePane="topRight" state="frozen"/>
      <selection activeCell="AI87" sqref="AI87:AI101"/>
      <selection pane="topRight" activeCell="D112" sqref="D112:D13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AVERAGE(L7,L42,L77,L112,L147,L182)</f>
        <v>785.43838729337938</v>
      </c>
    </row>
    <row r="2" spans="1:53" ht="15.75">
      <c r="A2" s="81"/>
      <c r="B2" s="650" t="s">
        <v>162</v>
      </c>
      <c r="C2" s="651"/>
      <c r="D2" s="651"/>
      <c r="E2" s="651"/>
      <c r="F2" s="651"/>
      <c r="G2" s="651"/>
      <c r="H2" s="652"/>
      <c r="I2" s="207"/>
      <c r="J2" s="207"/>
      <c r="K2" s="207"/>
      <c r="L2" s="207"/>
      <c r="M2" s="206"/>
      <c r="N2" s="639" t="s">
        <v>156</v>
      </c>
      <c r="O2" s="639" t="s">
        <v>105</v>
      </c>
      <c r="P2" s="645">
        <v>46203</v>
      </c>
      <c r="Q2" s="646"/>
      <c r="R2" s="646"/>
      <c r="S2" s="646"/>
      <c r="T2" s="646"/>
      <c r="U2" s="642">
        <f>P2+1</f>
        <v>46204</v>
      </c>
      <c r="V2" s="643"/>
      <c r="W2" s="643"/>
      <c r="X2" s="643"/>
      <c r="Y2" s="644"/>
      <c r="Z2" s="642">
        <f>U2+1</f>
        <v>46205</v>
      </c>
      <c r="AA2" s="643"/>
      <c r="AB2" s="643"/>
      <c r="AC2" s="643"/>
      <c r="AD2" s="644"/>
      <c r="AE2" s="642">
        <f>Z2+1</f>
        <v>46206</v>
      </c>
      <c r="AF2" s="643"/>
      <c r="AG2" s="643"/>
      <c r="AH2" s="643"/>
      <c r="AI2" s="644"/>
      <c r="AJ2" s="642">
        <f>AE2+1</f>
        <v>46207</v>
      </c>
      <c r="AK2" s="643"/>
      <c r="AL2" s="643"/>
      <c r="AM2" s="643"/>
      <c r="AN2" s="644"/>
      <c r="AO2" s="642">
        <f>AJ2+1</f>
        <v>46208</v>
      </c>
      <c r="AP2" s="643"/>
      <c r="AQ2" s="643"/>
      <c r="AR2" s="643"/>
      <c r="AS2" s="644"/>
      <c r="AT2" s="642">
        <f>AO2+1</f>
        <v>46209</v>
      </c>
      <c r="AU2" s="643"/>
      <c r="AV2" s="643"/>
      <c r="AW2" s="643"/>
      <c r="AX2" s="644"/>
    </row>
    <row r="3" spans="1:53" ht="15.75">
      <c r="A3" s="81"/>
      <c r="B3" s="653"/>
      <c r="C3" s="653"/>
      <c r="D3" s="653"/>
      <c r="E3" s="653"/>
      <c r="F3" s="653"/>
      <c r="G3" s="653"/>
      <c r="H3" s="653"/>
      <c r="I3" s="204"/>
      <c r="J3" s="204"/>
      <c r="K3" s="204"/>
      <c r="L3" s="204"/>
      <c r="M3" s="205"/>
      <c r="N3" s="641"/>
      <c r="O3" s="641"/>
      <c r="P3" s="645" t="s">
        <v>158</v>
      </c>
      <c r="Q3" s="646"/>
      <c r="R3" s="646"/>
      <c r="S3" s="646"/>
      <c r="T3" s="646"/>
      <c r="U3" s="645" t="s">
        <v>114</v>
      </c>
      <c r="V3" s="646"/>
      <c r="W3" s="646"/>
      <c r="X3" s="646"/>
      <c r="Y3" s="646"/>
      <c r="Z3" s="645" t="s">
        <v>159</v>
      </c>
      <c r="AA3" s="646"/>
      <c r="AB3" s="646"/>
      <c r="AC3" s="646"/>
      <c r="AD3" s="646"/>
      <c r="AE3" s="645" t="s">
        <v>157</v>
      </c>
      <c r="AF3" s="646"/>
      <c r="AG3" s="646"/>
      <c r="AH3" s="646"/>
      <c r="AI3" s="646"/>
      <c r="AJ3" s="645" t="s">
        <v>160</v>
      </c>
      <c r="AK3" s="646"/>
      <c r="AL3" s="646"/>
      <c r="AM3" s="646"/>
      <c r="AN3" s="646"/>
      <c r="AO3" s="645" t="s">
        <v>115</v>
      </c>
      <c r="AP3" s="646"/>
      <c r="AQ3" s="646"/>
      <c r="AR3" s="646"/>
      <c r="AS3" s="646"/>
      <c r="AT3" s="645" t="s">
        <v>161</v>
      </c>
      <c r="AU3" s="646"/>
      <c r="AV3" s="646"/>
      <c r="AW3" s="646"/>
      <c r="AX3" s="646"/>
    </row>
    <row r="4" spans="1:53" ht="14.25">
      <c r="A4" s="81"/>
      <c r="B4" s="635" t="s">
        <v>154</v>
      </c>
      <c r="C4" s="635" t="s">
        <v>382</v>
      </c>
      <c r="D4" s="635"/>
      <c r="E4" s="635" t="s">
        <v>373</v>
      </c>
      <c r="F4" s="635"/>
      <c r="G4" s="635"/>
      <c r="H4" s="636" t="s">
        <v>369</v>
      </c>
      <c r="I4" s="635" t="s">
        <v>374</v>
      </c>
      <c r="J4" s="635"/>
      <c r="K4" s="635"/>
      <c r="L4" s="636" t="s">
        <v>369</v>
      </c>
      <c r="M4" s="639" t="s">
        <v>370</v>
      </c>
      <c r="N4" s="635"/>
      <c r="O4" s="635" t="s">
        <v>375</v>
      </c>
      <c r="P4" s="632" t="s">
        <v>371</v>
      </c>
      <c r="Q4" s="633"/>
      <c r="R4" s="633"/>
      <c r="S4" s="634"/>
      <c r="T4" s="635" t="s">
        <v>369</v>
      </c>
      <c r="U4" s="632" t="s">
        <v>371</v>
      </c>
      <c r="V4" s="633"/>
      <c r="W4" s="633"/>
      <c r="X4" s="634"/>
      <c r="Y4" s="635" t="s">
        <v>369</v>
      </c>
      <c r="Z4" s="632" t="s">
        <v>371</v>
      </c>
      <c r="AA4" s="633"/>
      <c r="AB4" s="633"/>
      <c r="AC4" s="634"/>
      <c r="AD4" s="635" t="s">
        <v>369</v>
      </c>
      <c r="AE4" s="632" t="s">
        <v>371</v>
      </c>
      <c r="AF4" s="633"/>
      <c r="AG4" s="633"/>
      <c r="AH4" s="634"/>
      <c r="AI4" s="635" t="s">
        <v>369</v>
      </c>
      <c r="AJ4" s="632" t="s">
        <v>371</v>
      </c>
      <c r="AK4" s="633"/>
      <c r="AL4" s="633"/>
      <c r="AM4" s="634"/>
      <c r="AN4" s="635" t="s">
        <v>369</v>
      </c>
      <c r="AO4" s="632" t="s">
        <v>371</v>
      </c>
      <c r="AP4" s="633"/>
      <c r="AQ4" s="633"/>
      <c r="AR4" s="634"/>
      <c r="AS4" s="635" t="s">
        <v>369</v>
      </c>
      <c r="AT4" s="660" t="s">
        <v>371</v>
      </c>
      <c r="AU4" s="661"/>
      <c r="AV4" s="661"/>
      <c r="AW4" s="662"/>
      <c r="AX4" s="658" t="s">
        <v>369</v>
      </c>
      <c r="BA4" s="635" t="s">
        <v>369</v>
      </c>
    </row>
    <row r="5" spans="1:53" ht="14.25">
      <c r="A5" s="81"/>
      <c r="B5" s="635"/>
      <c r="C5" s="635"/>
      <c r="D5" s="635"/>
      <c r="E5" s="635" t="s">
        <v>376</v>
      </c>
      <c r="F5" s="635"/>
      <c r="G5" s="635"/>
      <c r="H5" s="637"/>
      <c r="I5" s="635" t="s">
        <v>376</v>
      </c>
      <c r="J5" s="635"/>
      <c r="K5" s="635"/>
      <c r="L5" s="637"/>
      <c r="M5" s="640"/>
      <c r="N5" s="635"/>
      <c r="O5" s="635"/>
      <c r="P5" s="632" t="s">
        <v>377</v>
      </c>
      <c r="Q5" s="633"/>
      <c r="R5" s="633"/>
      <c r="S5" s="634"/>
      <c r="T5" s="635"/>
      <c r="U5" s="632" t="s">
        <v>377</v>
      </c>
      <c r="V5" s="633"/>
      <c r="W5" s="633"/>
      <c r="X5" s="634"/>
      <c r="Y5" s="635"/>
      <c r="Z5" s="632" t="s">
        <v>377</v>
      </c>
      <c r="AA5" s="633"/>
      <c r="AB5" s="633"/>
      <c r="AC5" s="634"/>
      <c r="AD5" s="635"/>
      <c r="AE5" s="632" t="s">
        <v>377</v>
      </c>
      <c r="AF5" s="633"/>
      <c r="AG5" s="633"/>
      <c r="AH5" s="634"/>
      <c r="AI5" s="635"/>
      <c r="AJ5" s="632" t="s">
        <v>377</v>
      </c>
      <c r="AK5" s="633"/>
      <c r="AL5" s="633"/>
      <c r="AM5" s="634"/>
      <c r="AN5" s="635"/>
      <c r="AO5" s="632" t="s">
        <v>377</v>
      </c>
      <c r="AP5" s="633"/>
      <c r="AQ5" s="633"/>
      <c r="AR5" s="634"/>
      <c r="AS5" s="635"/>
      <c r="AT5" s="660" t="s">
        <v>377</v>
      </c>
      <c r="AU5" s="661"/>
      <c r="AV5" s="661"/>
      <c r="AW5" s="662"/>
      <c r="AX5" s="658"/>
      <c r="BA5" s="635"/>
    </row>
    <row r="6" spans="1:53" ht="14.25">
      <c r="A6" s="79"/>
      <c r="B6" s="635"/>
      <c r="C6" s="635"/>
      <c r="D6" s="635"/>
      <c r="E6" s="533" t="s">
        <v>378</v>
      </c>
      <c r="F6" s="533" t="s">
        <v>379</v>
      </c>
      <c r="G6" s="533" t="s">
        <v>380</v>
      </c>
      <c r="H6" s="638"/>
      <c r="I6" s="533" t="s">
        <v>378</v>
      </c>
      <c r="J6" s="533" t="s">
        <v>379</v>
      </c>
      <c r="K6" s="533" t="s">
        <v>380</v>
      </c>
      <c r="L6" s="638"/>
      <c r="M6" s="641"/>
      <c r="N6" s="635"/>
      <c r="O6" s="635"/>
      <c r="P6" s="533" t="s">
        <v>378</v>
      </c>
      <c r="Q6" s="533" t="s">
        <v>379</v>
      </c>
      <c r="R6" s="533" t="s">
        <v>380</v>
      </c>
      <c r="S6" s="533" t="s">
        <v>370</v>
      </c>
      <c r="T6" s="635"/>
      <c r="U6" s="533" t="s">
        <v>378</v>
      </c>
      <c r="V6" s="533" t="s">
        <v>379</v>
      </c>
      <c r="W6" s="533" t="s">
        <v>380</v>
      </c>
      <c r="X6" s="533" t="s">
        <v>370</v>
      </c>
      <c r="Y6" s="635"/>
      <c r="Z6" s="533" t="s">
        <v>378</v>
      </c>
      <c r="AA6" s="533" t="s">
        <v>379</v>
      </c>
      <c r="AB6" s="533" t="s">
        <v>380</v>
      </c>
      <c r="AC6" s="533" t="s">
        <v>370</v>
      </c>
      <c r="AD6" s="635"/>
      <c r="AE6" s="533" t="s">
        <v>378</v>
      </c>
      <c r="AF6" s="533" t="s">
        <v>379</v>
      </c>
      <c r="AG6" s="533" t="s">
        <v>380</v>
      </c>
      <c r="AH6" s="533" t="s">
        <v>370</v>
      </c>
      <c r="AI6" s="635"/>
      <c r="AJ6" s="533" t="s">
        <v>378</v>
      </c>
      <c r="AK6" s="533" t="s">
        <v>379</v>
      </c>
      <c r="AL6" s="533" t="s">
        <v>380</v>
      </c>
      <c r="AM6" s="533" t="s">
        <v>370</v>
      </c>
      <c r="AN6" s="635"/>
      <c r="AO6" s="533" t="s">
        <v>378</v>
      </c>
      <c r="AP6" s="533" t="s">
        <v>379</v>
      </c>
      <c r="AQ6" s="533" t="s">
        <v>380</v>
      </c>
      <c r="AR6" s="533" t="s">
        <v>370</v>
      </c>
      <c r="AS6" s="635"/>
      <c r="AT6" s="532" t="s">
        <v>378</v>
      </c>
      <c r="AU6" s="532" t="s">
        <v>379</v>
      </c>
      <c r="AV6" s="532" t="s">
        <v>380</v>
      </c>
      <c r="AW6" s="532" t="s">
        <v>370</v>
      </c>
      <c r="AX6" s="658"/>
      <c r="AZ6" s="377" t="s">
        <v>370</v>
      </c>
      <c r="BA6" s="635"/>
    </row>
    <row r="7" spans="1:53" ht="14.25">
      <c r="A7" s="81"/>
      <c r="B7" s="668" t="s">
        <v>486</v>
      </c>
      <c r="C7" s="537">
        <v>1</v>
      </c>
      <c r="D7" s="535" t="s">
        <v>336</v>
      </c>
      <c r="E7" s="535">
        <v>3</v>
      </c>
      <c r="F7" s="535">
        <v>3200</v>
      </c>
      <c r="G7" s="539">
        <v>1066.6666666666667</v>
      </c>
      <c r="H7" s="670">
        <f>AVERAGE(G7:G36)</f>
        <v>779.4753086419754</v>
      </c>
      <c r="I7" s="536">
        <f>IFERROR(AVERAGE(P7,U7,Z7,AE7,AJ7,AO7,AT7),"-")</f>
        <v>3</v>
      </c>
      <c r="J7" s="536">
        <f>IFERROR(AVERAGE(Q7,V7,AA7,AF7,AK7,AP7,AU7),"-")</f>
        <v>3183.4049921709488</v>
      </c>
      <c r="K7" s="199">
        <f>IFERROR(AVERAGE(R7,W7,AB7,AG7,AL7,AQ7,AV7),"-")</f>
        <v>1061.1349973903166</v>
      </c>
      <c r="L7" s="616">
        <f>IFERROR(AVERAGE(K7:K36),"-")</f>
        <v>783.78217759368795</v>
      </c>
      <c r="M7" s="531">
        <f>RANK(K7, K$7:$K$36)</f>
        <v>2</v>
      </c>
      <c r="N7" s="635"/>
      <c r="O7" s="635"/>
      <c r="P7" s="535">
        <v>3</v>
      </c>
      <c r="Q7" s="539">
        <v>3185.4545454545432</v>
      </c>
      <c r="R7" s="539">
        <v>1061.8181818181811</v>
      </c>
      <c r="S7" s="537">
        <v>2</v>
      </c>
      <c r="T7" s="659">
        <v>780.72078959032797</v>
      </c>
      <c r="U7" s="535">
        <v>3</v>
      </c>
      <c r="V7" s="539">
        <v>3176.6666666666638</v>
      </c>
      <c r="W7" s="539">
        <v>1058.888888888888</v>
      </c>
      <c r="X7" s="537">
        <v>4</v>
      </c>
      <c r="Y7" s="659">
        <v>787.11647096227045</v>
      </c>
      <c r="Z7" s="535">
        <v>3</v>
      </c>
      <c r="AA7" s="539">
        <v>3194.1818181818203</v>
      </c>
      <c r="AB7" s="539">
        <v>1064.7272727272734</v>
      </c>
      <c r="AC7" s="537">
        <v>1</v>
      </c>
      <c r="AD7" s="659">
        <v>785.90306756025291</v>
      </c>
      <c r="AE7" s="535">
        <v>3</v>
      </c>
      <c r="AF7" s="539">
        <v>3195.3191489361707</v>
      </c>
      <c r="AG7" s="539">
        <v>1065.1063829787236</v>
      </c>
      <c r="AH7" s="537">
        <v>3</v>
      </c>
      <c r="AI7" s="659">
        <v>786.14849329195999</v>
      </c>
      <c r="AJ7" s="535">
        <v>3</v>
      </c>
      <c r="AK7" s="539">
        <v>3190.2127659574471</v>
      </c>
      <c r="AL7" s="539">
        <v>1063.4042553191491</v>
      </c>
      <c r="AM7" s="537">
        <v>1</v>
      </c>
      <c r="AN7" s="659">
        <v>778.97211123272837</v>
      </c>
      <c r="AO7" s="535">
        <v>3</v>
      </c>
      <c r="AP7" s="539">
        <v>3150.0000000000027</v>
      </c>
      <c r="AQ7" s="539">
        <v>1050.0000000000009</v>
      </c>
      <c r="AR7" s="537">
        <v>3</v>
      </c>
      <c r="AS7" s="659">
        <v>787.08620424174387</v>
      </c>
      <c r="AT7" s="535">
        <v>3</v>
      </c>
      <c r="AU7" s="539">
        <v>3191.9999999999977</v>
      </c>
      <c r="AV7" s="539">
        <v>1063.9999999999993</v>
      </c>
      <c r="AW7" s="537">
        <v>3</v>
      </c>
      <c r="AX7" s="659">
        <v>780.52810627653105</v>
      </c>
      <c r="AZ7" s="376" t="e">
        <f>RANK(AY7, AY$7:AY$36)</f>
        <v>#N/A</v>
      </c>
      <c r="BA7" s="659" t="e">
        <f>AVERAGE(AY7:AY36)</f>
        <v>#DIV/0!</v>
      </c>
    </row>
    <row r="8" spans="1:53" ht="15" customHeight="1">
      <c r="A8" s="81"/>
      <c r="B8" s="669"/>
      <c r="C8" s="537">
        <v>2</v>
      </c>
      <c r="D8" s="533" t="s">
        <v>337</v>
      </c>
      <c r="E8" s="535">
        <v>3</v>
      </c>
      <c r="F8" s="535">
        <v>3200</v>
      </c>
      <c r="G8" s="539">
        <v>1066.6666666666667</v>
      </c>
      <c r="H8" s="671"/>
      <c r="I8" s="536">
        <f t="shared" ref="I8:I36" si="0">IFERROR(AVERAGE(P8,U8,Z8,AE8,AJ8,AO8,AT8),"-")</f>
        <v>3</v>
      </c>
      <c r="J8" s="536">
        <f t="shared" ref="J8:J36" si="1">IFERROR(AVERAGE(Q8,V8,AA8,AF8,AK8,AP8,AU8),"-")</f>
        <v>3119.4562877782587</v>
      </c>
      <c r="K8" s="199">
        <f t="shared" ref="K8:K36" si="2">IFERROR(AVERAGE(R8,W8,AB8,AG8,AL8,AQ8,AV8),"-")</f>
        <v>1039.818762592753</v>
      </c>
      <c r="L8" s="617"/>
      <c r="M8" s="531">
        <f>RANK(K8, K$7:$K$36)</f>
        <v>6</v>
      </c>
      <c r="N8" s="635"/>
      <c r="O8" s="635"/>
      <c r="P8" s="535">
        <v>3</v>
      </c>
      <c r="Q8" s="539">
        <v>3107.3684210526162</v>
      </c>
      <c r="R8" s="539">
        <v>1035.7894736842054</v>
      </c>
      <c r="S8" s="537">
        <v>7</v>
      </c>
      <c r="T8" s="659"/>
      <c r="U8" s="535">
        <v>3</v>
      </c>
      <c r="V8" s="539">
        <v>3199.9999999999977</v>
      </c>
      <c r="W8" s="539">
        <v>1066.6666666666658</v>
      </c>
      <c r="X8" s="537">
        <v>1</v>
      </c>
      <c r="Y8" s="659"/>
      <c r="Z8" s="535">
        <v>3</v>
      </c>
      <c r="AA8" s="539">
        <v>3133.3333333333308</v>
      </c>
      <c r="AB8" s="539">
        <v>1044.4444444444437</v>
      </c>
      <c r="AC8" s="537">
        <v>6</v>
      </c>
      <c r="AD8" s="659"/>
      <c r="AE8" s="535">
        <v>3</v>
      </c>
      <c r="AF8" s="539">
        <v>3021.1764705882179</v>
      </c>
      <c r="AG8" s="539">
        <v>1007.0588235294059</v>
      </c>
      <c r="AH8" s="537">
        <v>8</v>
      </c>
      <c r="AI8" s="659"/>
      <c r="AJ8" s="535">
        <v>3</v>
      </c>
      <c r="AK8" s="539">
        <v>3187.9999999999945</v>
      </c>
      <c r="AL8" s="539">
        <v>1062.6666666666649</v>
      </c>
      <c r="AM8" s="537">
        <v>4</v>
      </c>
      <c r="AN8" s="659"/>
      <c r="AO8" s="535">
        <v>3</v>
      </c>
      <c r="AP8" s="539">
        <v>3110.5263157894583</v>
      </c>
      <c r="AQ8" s="539">
        <v>1036.8421052631527</v>
      </c>
      <c r="AR8" s="537">
        <v>7</v>
      </c>
      <c r="AS8" s="659"/>
      <c r="AT8" s="535">
        <v>3</v>
      </c>
      <c r="AU8" s="539">
        <v>3075.7894736841954</v>
      </c>
      <c r="AV8" s="539">
        <v>1025.2631578947319</v>
      </c>
      <c r="AW8" s="537">
        <v>8</v>
      </c>
      <c r="AX8" s="659"/>
      <c r="AZ8" s="376" t="e">
        <f t="shared" ref="AZ8:AZ36" si="3">RANK(AY8, AY$7:AY$36)</f>
        <v>#N/A</v>
      </c>
      <c r="BA8" s="659"/>
    </row>
    <row r="9" spans="1:53" ht="14.25">
      <c r="A9" s="81"/>
      <c r="B9" s="669"/>
      <c r="C9" s="537">
        <v>3</v>
      </c>
      <c r="D9" s="535" t="s">
        <v>328</v>
      </c>
      <c r="E9" s="535">
        <v>4</v>
      </c>
      <c r="F9" s="535">
        <v>3200</v>
      </c>
      <c r="G9" s="539">
        <v>800</v>
      </c>
      <c r="H9" s="671"/>
      <c r="I9" s="536">
        <f t="shared" si="0"/>
        <v>4</v>
      </c>
      <c r="J9" s="536">
        <f t="shared" si="1"/>
        <v>3102.5215855572974</v>
      </c>
      <c r="K9" s="199">
        <f t="shared" si="2"/>
        <v>775.63039638932435</v>
      </c>
      <c r="L9" s="617"/>
      <c r="M9" s="531">
        <f>RANK(K9, K$7:$K$36)</f>
        <v>15</v>
      </c>
      <c r="N9" s="635"/>
      <c r="O9" s="635"/>
      <c r="P9" s="535">
        <v>4</v>
      </c>
      <c r="Q9" s="539">
        <v>3142.5000000000109</v>
      </c>
      <c r="R9" s="539">
        <v>785.62500000000273</v>
      </c>
      <c r="S9" s="537">
        <v>14</v>
      </c>
      <c r="T9" s="659"/>
      <c r="U9" s="535">
        <v>4</v>
      </c>
      <c r="V9" s="539">
        <v>3131.2499999999959</v>
      </c>
      <c r="W9" s="539">
        <v>782.81249999999898</v>
      </c>
      <c r="X9" s="537">
        <v>16</v>
      </c>
      <c r="Y9" s="659"/>
      <c r="Z9" s="535">
        <v>4</v>
      </c>
      <c r="AA9" s="539">
        <v>3086.2499999999959</v>
      </c>
      <c r="AB9" s="539">
        <v>771.56249999999898</v>
      </c>
      <c r="AC9" s="537">
        <v>16</v>
      </c>
      <c r="AD9" s="659"/>
      <c r="AE9" s="535">
        <v>4</v>
      </c>
      <c r="AF9" s="539">
        <v>3064.2857142857079</v>
      </c>
      <c r="AG9" s="539">
        <v>766.07142857142696</v>
      </c>
      <c r="AH9" s="537">
        <v>16</v>
      </c>
      <c r="AI9" s="659"/>
      <c r="AJ9" s="535">
        <v>4</v>
      </c>
      <c r="AK9" s="539">
        <v>3124.6153846153766</v>
      </c>
      <c r="AL9" s="539">
        <v>781.15384615384414</v>
      </c>
      <c r="AM9" s="537">
        <v>15</v>
      </c>
      <c r="AN9" s="659"/>
      <c r="AO9" s="535">
        <v>4</v>
      </c>
      <c r="AP9" s="539">
        <v>3123.7499999999959</v>
      </c>
      <c r="AQ9" s="539">
        <v>780.93749999999898</v>
      </c>
      <c r="AR9" s="537">
        <v>18</v>
      </c>
      <c r="AS9" s="659"/>
      <c r="AT9" s="535">
        <v>4</v>
      </c>
      <c r="AU9" s="539">
        <v>3044.9999999999959</v>
      </c>
      <c r="AV9" s="539">
        <v>761.24999999999898</v>
      </c>
      <c r="AW9" s="537">
        <v>16</v>
      </c>
      <c r="AX9" s="659"/>
      <c r="AZ9" s="376" t="e">
        <f t="shared" si="3"/>
        <v>#N/A</v>
      </c>
      <c r="BA9" s="659"/>
    </row>
    <row r="10" spans="1:53" ht="14.25">
      <c r="A10" s="81"/>
      <c r="B10" s="669"/>
      <c r="C10" s="537">
        <v>4</v>
      </c>
      <c r="D10" s="535" t="s">
        <v>338</v>
      </c>
      <c r="E10" s="535">
        <v>3</v>
      </c>
      <c r="F10" s="535">
        <v>3200</v>
      </c>
      <c r="G10" s="539">
        <v>1066.6666666666667</v>
      </c>
      <c r="H10" s="671"/>
      <c r="I10" s="536">
        <f t="shared" si="0"/>
        <v>3</v>
      </c>
      <c r="J10" s="536">
        <f t="shared" si="1"/>
        <v>3180.4792823096168</v>
      </c>
      <c r="K10" s="199">
        <f t="shared" si="2"/>
        <v>1060.159760769872</v>
      </c>
      <c r="L10" s="617"/>
      <c r="M10" s="531">
        <f>RANK(K10, K$7:$K$36)</f>
        <v>3</v>
      </c>
      <c r="N10" s="635"/>
      <c r="O10" s="635"/>
      <c r="P10" s="535">
        <v>3</v>
      </c>
      <c r="Q10" s="539">
        <v>3182.8571428571418</v>
      </c>
      <c r="R10" s="539">
        <v>1060.9523809523805</v>
      </c>
      <c r="S10" s="537">
        <v>4</v>
      </c>
      <c r="T10" s="659"/>
      <c r="U10" s="535">
        <v>3</v>
      </c>
      <c r="V10" s="539">
        <v>3185.7831325301227</v>
      </c>
      <c r="W10" s="539">
        <v>1061.9277108433741</v>
      </c>
      <c r="X10" s="537">
        <v>2</v>
      </c>
      <c r="Y10" s="659"/>
      <c r="Z10" s="535">
        <v>3</v>
      </c>
      <c r="AA10" s="539">
        <v>3174.0740740740757</v>
      </c>
      <c r="AB10" s="539">
        <v>1058.0246913580252</v>
      </c>
      <c r="AC10" s="537">
        <v>2</v>
      </c>
      <c r="AD10" s="659"/>
      <c r="AE10" s="535">
        <v>3</v>
      </c>
      <c r="AF10" s="539">
        <v>3179.1666666666674</v>
      </c>
      <c r="AG10" s="539">
        <v>1059.7222222222224</v>
      </c>
      <c r="AH10" s="537">
        <v>4</v>
      </c>
      <c r="AI10" s="659"/>
      <c r="AJ10" s="535">
        <v>3</v>
      </c>
      <c r="AK10" s="539">
        <v>3188.4507042253526</v>
      </c>
      <c r="AL10" s="539">
        <v>1062.8169014084508</v>
      </c>
      <c r="AM10" s="537">
        <v>3</v>
      </c>
      <c r="AN10" s="659"/>
      <c r="AO10" s="535">
        <v>3</v>
      </c>
      <c r="AP10" s="539">
        <v>3173.0232558139528</v>
      </c>
      <c r="AQ10" s="539">
        <v>1057.674418604651</v>
      </c>
      <c r="AR10" s="537">
        <v>1</v>
      </c>
      <c r="AS10" s="659"/>
      <c r="AT10" s="535">
        <v>3</v>
      </c>
      <c r="AU10" s="539">
        <v>3179.9999999999995</v>
      </c>
      <c r="AV10" s="539">
        <v>1059.9999999999998</v>
      </c>
      <c r="AW10" s="537">
        <v>4</v>
      </c>
      <c r="AX10" s="659"/>
      <c r="AZ10" s="376" t="e">
        <f t="shared" si="3"/>
        <v>#N/A</v>
      </c>
      <c r="BA10" s="659"/>
    </row>
    <row r="11" spans="1:53" ht="14.25">
      <c r="A11" s="81"/>
      <c r="B11" s="669"/>
      <c r="C11" s="537">
        <v>5</v>
      </c>
      <c r="D11" s="535" t="s">
        <v>568</v>
      </c>
      <c r="E11" s="535">
        <v>4</v>
      </c>
      <c r="F11" s="535">
        <v>3200</v>
      </c>
      <c r="G11" s="539">
        <v>800</v>
      </c>
      <c r="H11" s="671"/>
      <c r="I11" s="536">
        <f t="shared" si="0"/>
        <v>4</v>
      </c>
      <c r="J11" s="536">
        <f t="shared" si="1"/>
        <v>3125.5322701162863</v>
      </c>
      <c r="K11" s="199">
        <f t="shared" si="2"/>
        <v>781.38306752907158</v>
      </c>
      <c r="L11" s="617"/>
      <c r="M11" s="531">
        <f>RANK(K11, K$7:$K$36)</f>
        <v>14</v>
      </c>
      <c r="N11" s="635"/>
      <c r="O11" s="635"/>
      <c r="P11" s="535">
        <v>4</v>
      </c>
      <c r="Q11" s="539">
        <v>3082.5000000000009</v>
      </c>
      <c r="R11" s="539">
        <v>770.62500000000023</v>
      </c>
      <c r="S11" s="537">
        <v>16</v>
      </c>
      <c r="T11" s="659"/>
      <c r="U11" s="535">
        <v>4</v>
      </c>
      <c r="V11" s="539">
        <v>3125.0000000000009</v>
      </c>
      <c r="W11" s="539">
        <v>781.25000000000023</v>
      </c>
      <c r="X11" s="537">
        <v>17</v>
      </c>
      <c r="Y11" s="659"/>
      <c r="Z11" s="535">
        <v>4</v>
      </c>
      <c r="AA11" s="539">
        <v>3153.9130434782724</v>
      </c>
      <c r="AB11" s="539">
        <v>788.47826086956809</v>
      </c>
      <c r="AC11" s="537">
        <v>14</v>
      </c>
      <c r="AD11" s="659"/>
      <c r="AE11" s="535">
        <v>4</v>
      </c>
      <c r="AF11" s="539">
        <v>3108.5714285714275</v>
      </c>
      <c r="AG11" s="539">
        <v>777.14285714285688</v>
      </c>
      <c r="AH11" s="537">
        <v>15</v>
      </c>
      <c r="AI11" s="659"/>
      <c r="AJ11" s="535">
        <v>4</v>
      </c>
      <c r="AK11" s="539">
        <v>3145.2631578947344</v>
      </c>
      <c r="AL11" s="539">
        <v>786.31578947368359</v>
      </c>
      <c r="AM11" s="537">
        <v>14</v>
      </c>
      <c r="AN11" s="659"/>
      <c r="AO11" s="535">
        <v>4</v>
      </c>
      <c r="AP11" s="539">
        <v>3133.0434782608809</v>
      </c>
      <c r="AQ11" s="539">
        <v>783.26086956522022</v>
      </c>
      <c r="AR11" s="537">
        <v>17</v>
      </c>
      <c r="AS11" s="659"/>
      <c r="AT11" s="535">
        <v>4</v>
      </c>
      <c r="AU11" s="539">
        <v>3130.4347826086851</v>
      </c>
      <c r="AV11" s="539">
        <v>782.60869565217126</v>
      </c>
      <c r="AW11" s="537">
        <v>15</v>
      </c>
      <c r="AX11" s="659"/>
      <c r="AZ11" s="376" t="e">
        <f t="shared" si="3"/>
        <v>#N/A</v>
      </c>
      <c r="BA11" s="659"/>
    </row>
    <row r="12" spans="1:53" ht="14.25">
      <c r="A12" s="81"/>
      <c r="B12" s="669"/>
      <c r="C12" s="537">
        <v>6</v>
      </c>
      <c r="D12" s="535" t="s">
        <v>569</v>
      </c>
      <c r="E12" s="535">
        <v>4</v>
      </c>
      <c r="F12" s="535">
        <v>3200</v>
      </c>
      <c r="G12" s="539">
        <v>800</v>
      </c>
      <c r="H12" s="671"/>
      <c r="I12" s="536">
        <f t="shared" si="0"/>
        <v>4</v>
      </c>
      <c r="J12" s="536">
        <f t="shared" si="1"/>
        <v>3100.4285714285729</v>
      </c>
      <c r="K12" s="199">
        <f t="shared" si="2"/>
        <v>775.10714285714323</v>
      </c>
      <c r="L12" s="617"/>
      <c r="M12" s="531">
        <f>RANK(K12, K$7:$K$36)</f>
        <v>16</v>
      </c>
      <c r="N12" s="635"/>
      <c r="O12" s="635"/>
      <c r="P12" s="535">
        <v>4</v>
      </c>
      <c r="Q12" s="539">
        <v>3104.99999999999</v>
      </c>
      <c r="R12" s="539">
        <v>776.2499999999975</v>
      </c>
      <c r="S12" s="537">
        <v>15</v>
      </c>
      <c r="T12" s="659"/>
      <c r="U12" s="535">
        <v>4</v>
      </c>
      <c r="V12" s="539">
        <v>3195.0000000000114</v>
      </c>
      <c r="W12" s="539">
        <v>798.75000000000284</v>
      </c>
      <c r="X12" s="537">
        <v>13</v>
      </c>
      <c r="Y12" s="659"/>
      <c r="Z12" s="535">
        <v>4</v>
      </c>
      <c r="AA12" s="539">
        <v>3085.0000000000109</v>
      </c>
      <c r="AB12" s="539">
        <v>771.25000000000273</v>
      </c>
      <c r="AC12" s="537">
        <v>17</v>
      </c>
      <c r="AD12" s="659"/>
      <c r="AE12" s="535">
        <v>4</v>
      </c>
      <c r="AF12" s="539">
        <v>2963.9999999999868</v>
      </c>
      <c r="AG12" s="539">
        <v>740.9999999999967</v>
      </c>
      <c r="AH12" s="537">
        <v>18</v>
      </c>
      <c r="AI12" s="659"/>
      <c r="AJ12" s="535">
        <v>4</v>
      </c>
      <c r="AK12" s="539">
        <v>2933.9999999999873</v>
      </c>
      <c r="AL12" s="539">
        <v>733.49999999999682</v>
      </c>
      <c r="AM12" s="537">
        <v>18</v>
      </c>
      <c r="AN12" s="659"/>
      <c r="AO12" s="535">
        <v>4</v>
      </c>
      <c r="AP12" s="539">
        <v>3212.7272727272843</v>
      </c>
      <c r="AQ12" s="539">
        <v>803.18181818182109</v>
      </c>
      <c r="AR12" s="537">
        <v>14</v>
      </c>
      <c r="AS12" s="659"/>
      <c r="AT12" s="535">
        <v>4</v>
      </c>
      <c r="AU12" s="539">
        <v>3207.2727272727388</v>
      </c>
      <c r="AV12" s="539">
        <v>801.81818181818471</v>
      </c>
      <c r="AW12" s="537">
        <v>13</v>
      </c>
      <c r="AX12" s="659"/>
      <c r="AZ12" s="376" t="e">
        <f t="shared" si="3"/>
        <v>#N/A</v>
      </c>
      <c r="BA12" s="659"/>
    </row>
    <row r="13" spans="1:53" ht="14.25">
      <c r="A13" s="81"/>
      <c r="B13" s="669"/>
      <c r="C13" s="537">
        <v>7</v>
      </c>
      <c r="D13" s="535" t="s">
        <v>339</v>
      </c>
      <c r="E13" s="535">
        <v>4</v>
      </c>
      <c r="F13" s="535">
        <v>2800</v>
      </c>
      <c r="G13" s="539">
        <v>700</v>
      </c>
      <c r="H13" s="671"/>
      <c r="I13" s="536">
        <f t="shared" si="0"/>
        <v>4</v>
      </c>
      <c r="J13" s="536">
        <f t="shared" si="1"/>
        <v>3029.1158841158854</v>
      </c>
      <c r="K13" s="199">
        <f t="shared" si="2"/>
        <v>757.27897102897134</v>
      </c>
      <c r="L13" s="617"/>
      <c r="M13" s="531">
        <f>RANK(K13, K$7:$K$36)</f>
        <v>18</v>
      </c>
      <c r="N13" s="635"/>
      <c r="O13" s="635"/>
      <c r="P13" s="535">
        <v>4</v>
      </c>
      <c r="Q13" s="539">
        <v>2981.5384615384633</v>
      </c>
      <c r="R13" s="539">
        <v>745.38461538461581</v>
      </c>
      <c r="S13" s="537">
        <v>17</v>
      </c>
      <c r="T13" s="659"/>
      <c r="U13" s="535">
        <v>4</v>
      </c>
      <c r="V13" s="539">
        <v>2967.6923076923094</v>
      </c>
      <c r="W13" s="539">
        <v>741.92307692307736</v>
      </c>
      <c r="X13" s="537">
        <v>18</v>
      </c>
      <c r="Y13" s="659"/>
      <c r="Z13" s="535">
        <v>4</v>
      </c>
      <c r="AA13" s="539">
        <v>3150.0000000000009</v>
      </c>
      <c r="AB13" s="539">
        <v>787.50000000000023</v>
      </c>
      <c r="AC13" s="537">
        <v>15</v>
      </c>
      <c r="AD13" s="659"/>
      <c r="AE13" s="535">
        <v>4</v>
      </c>
      <c r="AF13" s="539">
        <v>3038.181818181818</v>
      </c>
      <c r="AG13" s="539">
        <v>759.5454545454545</v>
      </c>
      <c r="AH13" s="537">
        <v>17</v>
      </c>
      <c r="AI13" s="659"/>
      <c r="AJ13" s="535">
        <v>4</v>
      </c>
      <c r="AK13" s="539">
        <v>2929.090909090909</v>
      </c>
      <c r="AL13" s="539">
        <v>732.27272727272725</v>
      </c>
      <c r="AM13" s="537">
        <v>19</v>
      </c>
      <c r="AN13" s="659"/>
      <c r="AO13" s="535">
        <v>4</v>
      </c>
      <c r="AP13" s="539">
        <v>3165.0000000000009</v>
      </c>
      <c r="AQ13" s="539">
        <v>791.25000000000023</v>
      </c>
      <c r="AR13" s="537">
        <v>16</v>
      </c>
      <c r="AS13" s="659"/>
      <c r="AT13" s="535">
        <v>4</v>
      </c>
      <c r="AU13" s="539">
        <v>2972.3076923076942</v>
      </c>
      <c r="AV13" s="539">
        <v>743.07692307692355</v>
      </c>
      <c r="AW13" s="537">
        <v>18</v>
      </c>
      <c r="AX13" s="659"/>
      <c r="AZ13" s="376" t="e">
        <f t="shared" si="3"/>
        <v>#N/A</v>
      </c>
      <c r="BA13" s="659"/>
    </row>
    <row r="14" spans="1:53" ht="14.25">
      <c r="A14" s="81"/>
      <c r="B14" s="669"/>
      <c r="C14" s="537">
        <v>8</v>
      </c>
      <c r="D14" s="535" t="s">
        <v>340</v>
      </c>
      <c r="E14" s="535">
        <v>3</v>
      </c>
      <c r="F14" s="535">
        <v>3200</v>
      </c>
      <c r="G14" s="539">
        <v>1066.6666666666667</v>
      </c>
      <c r="H14" s="671"/>
      <c r="I14" s="536">
        <f t="shared" si="0"/>
        <v>3</v>
      </c>
      <c r="J14" s="536">
        <f t="shared" si="1"/>
        <v>3141.2650246305461</v>
      </c>
      <c r="K14" s="199">
        <f t="shared" si="2"/>
        <v>1047.0883415435153</v>
      </c>
      <c r="L14" s="617"/>
      <c r="M14" s="531">
        <f>RANK(K14, K$7:$K$36)</f>
        <v>5</v>
      </c>
      <c r="N14" s="635"/>
      <c r="O14" s="635"/>
      <c r="P14" s="535">
        <v>3</v>
      </c>
      <c r="Q14" s="539">
        <v>3128.0000000000109</v>
      </c>
      <c r="R14" s="539">
        <v>1042.6666666666704</v>
      </c>
      <c r="S14" s="537">
        <v>5</v>
      </c>
      <c r="T14" s="659"/>
      <c r="U14" s="535">
        <v>3</v>
      </c>
      <c r="V14" s="539">
        <v>3171.7241379310367</v>
      </c>
      <c r="W14" s="539">
        <v>1057.2413793103456</v>
      </c>
      <c r="X14" s="537">
        <v>5</v>
      </c>
      <c r="Y14" s="659"/>
      <c r="Z14" s="535">
        <v>3</v>
      </c>
      <c r="AA14" s="539">
        <v>3097.2413793103469</v>
      </c>
      <c r="AB14" s="539">
        <v>1032.4137931034491</v>
      </c>
      <c r="AC14" s="537">
        <v>7</v>
      </c>
      <c r="AD14" s="659"/>
      <c r="AE14" s="535">
        <v>3</v>
      </c>
      <c r="AF14" s="539">
        <v>3163.2000000000007</v>
      </c>
      <c r="AG14" s="539">
        <v>1054.4000000000003</v>
      </c>
      <c r="AH14" s="537">
        <v>5</v>
      </c>
      <c r="AI14" s="659"/>
      <c r="AJ14" s="535">
        <v>3</v>
      </c>
      <c r="AK14" s="539">
        <v>3108.0000000000009</v>
      </c>
      <c r="AL14" s="539">
        <v>1036.0000000000002</v>
      </c>
      <c r="AM14" s="537">
        <v>6</v>
      </c>
      <c r="AN14" s="659"/>
      <c r="AO14" s="535">
        <v>3</v>
      </c>
      <c r="AP14" s="539">
        <v>3120.0000000000109</v>
      </c>
      <c r="AQ14" s="539">
        <v>1040.0000000000036</v>
      </c>
      <c r="AR14" s="537">
        <v>6</v>
      </c>
      <c r="AS14" s="659"/>
      <c r="AT14" s="535">
        <v>3</v>
      </c>
      <c r="AU14" s="539">
        <v>3200.6896551724158</v>
      </c>
      <c r="AV14" s="539">
        <v>1066.8965517241386</v>
      </c>
      <c r="AW14" s="537">
        <v>1</v>
      </c>
      <c r="AX14" s="659"/>
      <c r="AZ14" s="376" t="e">
        <f t="shared" si="3"/>
        <v>#N/A</v>
      </c>
      <c r="BA14" s="659"/>
    </row>
    <row r="15" spans="1:53" ht="14.25">
      <c r="A15" s="81"/>
      <c r="B15" s="669"/>
      <c r="C15" s="537">
        <v>9</v>
      </c>
      <c r="D15" s="535" t="s">
        <v>341</v>
      </c>
      <c r="E15" s="535">
        <v>3</v>
      </c>
      <c r="F15" s="535">
        <v>2800</v>
      </c>
      <c r="G15" s="539">
        <v>933.33333333333337</v>
      </c>
      <c r="H15" s="671"/>
      <c r="I15" s="536">
        <f t="shared" si="0"/>
        <v>3</v>
      </c>
      <c r="J15" s="536">
        <f t="shared" si="1"/>
        <v>3109.1938881011483</v>
      </c>
      <c r="K15" s="199">
        <f t="shared" si="2"/>
        <v>1036.3979627003828</v>
      </c>
      <c r="L15" s="617"/>
      <c r="M15" s="531">
        <f>RANK(K15, K$7:$K$36)</f>
        <v>7</v>
      </c>
      <c r="N15" s="635"/>
      <c r="O15" s="635"/>
      <c r="P15" s="535">
        <v>3</v>
      </c>
      <c r="Q15" s="539">
        <v>3183.8709677419383</v>
      </c>
      <c r="R15" s="539">
        <v>1061.290322580646</v>
      </c>
      <c r="S15" s="537">
        <v>3</v>
      </c>
      <c r="T15" s="659"/>
      <c r="U15" s="535">
        <v>3</v>
      </c>
      <c r="V15" s="539">
        <v>3016.8750000000036</v>
      </c>
      <c r="W15" s="539">
        <v>1005.6250000000013</v>
      </c>
      <c r="X15" s="537">
        <v>9</v>
      </c>
      <c r="Y15" s="659"/>
      <c r="Z15" s="535">
        <v>3</v>
      </c>
      <c r="AA15" s="539">
        <v>3094.0000000000027</v>
      </c>
      <c r="AB15" s="539">
        <v>1031.3333333333342</v>
      </c>
      <c r="AC15" s="537">
        <v>8</v>
      </c>
      <c r="AD15" s="659"/>
      <c r="AE15" s="535">
        <v>3</v>
      </c>
      <c r="AF15" s="539">
        <v>3113.3333333333348</v>
      </c>
      <c r="AG15" s="539">
        <v>1037.7777777777783</v>
      </c>
      <c r="AH15" s="537">
        <v>7</v>
      </c>
      <c r="AI15" s="659"/>
      <c r="AJ15" s="535">
        <v>3</v>
      </c>
      <c r="AK15" s="539">
        <v>3096.9230769230785</v>
      </c>
      <c r="AL15" s="539">
        <v>1032.3076923076928</v>
      </c>
      <c r="AM15" s="537">
        <v>7</v>
      </c>
      <c r="AN15" s="659"/>
      <c r="AO15" s="535">
        <v>3</v>
      </c>
      <c r="AP15" s="539">
        <v>3141.2903225806481</v>
      </c>
      <c r="AQ15" s="539">
        <v>1047.0967741935494</v>
      </c>
      <c r="AR15" s="537">
        <v>5</v>
      </c>
      <c r="AS15" s="659"/>
      <c r="AT15" s="535">
        <v>3</v>
      </c>
      <c r="AU15" s="539">
        <v>3118.0645161290354</v>
      </c>
      <c r="AV15" s="539">
        <v>1039.3548387096785</v>
      </c>
      <c r="AW15" s="537">
        <v>7</v>
      </c>
      <c r="AX15" s="659"/>
      <c r="AZ15" s="376" t="e">
        <f t="shared" si="3"/>
        <v>#N/A</v>
      </c>
      <c r="BA15" s="659"/>
    </row>
    <row r="16" spans="1:53" ht="14.25">
      <c r="A16" s="81"/>
      <c r="B16" s="669"/>
      <c r="C16" s="537">
        <v>10</v>
      </c>
      <c r="D16" s="535" t="s">
        <v>342</v>
      </c>
      <c r="E16" s="535">
        <v>4</v>
      </c>
      <c r="F16" s="535">
        <v>2800</v>
      </c>
      <c r="G16" s="539">
        <v>700</v>
      </c>
      <c r="H16" s="671"/>
      <c r="I16" s="536">
        <f t="shared" si="0"/>
        <v>4</v>
      </c>
      <c r="J16" s="536">
        <f t="shared" si="1"/>
        <v>3177.2880017413322</v>
      </c>
      <c r="K16" s="199">
        <f t="shared" si="2"/>
        <v>794.32200043533305</v>
      </c>
      <c r="L16" s="617"/>
      <c r="M16" s="531">
        <f>RANK(K16, K$7:$K$36)</f>
        <v>13</v>
      </c>
      <c r="N16" s="635"/>
      <c r="O16" s="635"/>
      <c r="P16" s="535">
        <v>4</v>
      </c>
      <c r="Q16" s="539">
        <v>3193.3333333333303</v>
      </c>
      <c r="R16" s="539">
        <v>798.33333333333258</v>
      </c>
      <c r="S16" s="537">
        <v>13</v>
      </c>
      <c r="T16" s="659"/>
      <c r="U16" s="535">
        <v>4</v>
      </c>
      <c r="V16" s="539">
        <v>3146.6666666666638</v>
      </c>
      <c r="W16" s="539">
        <v>786.66666666666595</v>
      </c>
      <c r="X16" s="537">
        <v>15</v>
      </c>
      <c r="Y16" s="659"/>
      <c r="Z16" s="535">
        <v>4</v>
      </c>
      <c r="AA16" s="539">
        <v>3198.1132075471719</v>
      </c>
      <c r="AB16" s="539">
        <v>799.52830188679297</v>
      </c>
      <c r="AC16" s="537">
        <v>13</v>
      </c>
      <c r="AD16" s="659"/>
      <c r="AE16" s="535">
        <v>4</v>
      </c>
      <c r="AF16" s="539">
        <v>3141.2500000000009</v>
      </c>
      <c r="AG16" s="539">
        <v>785.31250000000023</v>
      </c>
      <c r="AH16" s="537">
        <v>14</v>
      </c>
      <c r="AI16" s="659"/>
      <c r="AJ16" s="535">
        <v>4</v>
      </c>
      <c r="AK16" s="539">
        <v>3200.4255319148942</v>
      </c>
      <c r="AL16" s="539">
        <v>800.10638297872356</v>
      </c>
      <c r="AM16" s="537">
        <v>13</v>
      </c>
      <c r="AN16" s="659"/>
      <c r="AO16" s="535">
        <v>4</v>
      </c>
      <c r="AP16" s="539">
        <v>3172.4999999999973</v>
      </c>
      <c r="AQ16" s="539">
        <v>793.12499999999932</v>
      </c>
      <c r="AR16" s="537">
        <v>15</v>
      </c>
      <c r="AS16" s="659"/>
      <c r="AT16" s="535">
        <v>4</v>
      </c>
      <c r="AU16" s="539">
        <v>3188.7272727272652</v>
      </c>
      <c r="AV16" s="539">
        <v>797.18181818181631</v>
      </c>
      <c r="AW16" s="537">
        <v>14</v>
      </c>
      <c r="AX16" s="659"/>
      <c r="AZ16" s="376" t="e">
        <f t="shared" si="3"/>
        <v>#N/A</v>
      </c>
      <c r="BA16" s="659"/>
    </row>
    <row r="17" spans="2:53">
      <c r="B17" s="669"/>
      <c r="C17" s="537">
        <v>11</v>
      </c>
      <c r="D17" s="535" t="s">
        <v>570</v>
      </c>
      <c r="E17" s="535">
        <v>4</v>
      </c>
      <c r="F17" s="535">
        <v>2800</v>
      </c>
      <c r="G17" s="539">
        <v>700</v>
      </c>
      <c r="H17" s="671"/>
      <c r="I17" s="536">
        <f t="shared" si="0"/>
        <v>4</v>
      </c>
      <c r="J17" s="536">
        <f t="shared" si="1"/>
        <v>2785.2315702730452</v>
      </c>
      <c r="K17" s="199">
        <f t="shared" si="2"/>
        <v>696.30789256826131</v>
      </c>
      <c r="L17" s="617"/>
      <c r="M17" s="531">
        <f>RANK(K17, K$7:$K$36)</f>
        <v>20</v>
      </c>
      <c r="N17" s="635"/>
      <c r="O17" s="635"/>
      <c r="P17" s="535">
        <v>4</v>
      </c>
      <c r="Q17" s="539">
        <v>2775.6923076923072</v>
      </c>
      <c r="R17" s="539">
        <v>693.92307692307679</v>
      </c>
      <c r="S17" s="537">
        <v>19</v>
      </c>
      <c r="T17" s="659"/>
      <c r="U17" s="535">
        <v>4</v>
      </c>
      <c r="V17" s="539">
        <v>2791.4285714285706</v>
      </c>
      <c r="W17" s="539">
        <v>697.85714285714266</v>
      </c>
      <c r="X17" s="537">
        <v>20</v>
      </c>
      <c r="Y17" s="659"/>
      <c r="Z17" s="535">
        <v>4</v>
      </c>
      <c r="AA17" s="539">
        <v>2781.2903225806476</v>
      </c>
      <c r="AB17" s="539">
        <v>695.32258064516191</v>
      </c>
      <c r="AC17" s="537">
        <v>21</v>
      </c>
      <c r="AD17" s="659"/>
      <c r="AE17" s="535">
        <v>4</v>
      </c>
      <c r="AF17" s="539">
        <v>2794.9090909090928</v>
      </c>
      <c r="AG17" s="539">
        <v>698.7272727272732</v>
      </c>
      <c r="AH17" s="537">
        <v>20</v>
      </c>
      <c r="AI17" s="659"/>
      <c r="AJ17" s="535">
        <v>4</v>
      </c>
      <c r="AK17" s="539">
        <v>2759.9999999999977</v>
      </c>
      <c r="AL17" s="539">
        <v>689.99999999999943</v>
      </c>
      <c r="AM17" s="537">
        <v>21</v>
      </c>
      <c r="AN17" s="659"/>
      <c r="AO17" s="535">
        <v>4</v>
      </c>
      <c r="AP17" s="539">
        <v>2797.846153846157</v>
      </c>
      <c r="AQ17" s="539">
        <v>699.46153846153925</v>
      </c>
      <c r="AR17" s="537">
        <v>19</v>
      </c>
      <c r="AS17" s="659"/>
      <c r="AT17" s="535">
        <v>4</v>
      </c>
      <c r="AU17" s="539">
        <v>2795.4545454545455</v>
      </c>
      <c r="AV17" s="539">
        <v>698.86363636363637</v>
      </c>
      <c r="AW17" s="537">
        <v>20</v>
      </c>
      <c r="AX17" s="659"/>
      <c r="AZ17" s="376" t="e">
        <f t="shared" si="3"/>
        <v>#N/A</v>
      </c>
      <c r="BA17" s="659"/>
    </row>
    <row r="18" spans="2:53">
      <c r="B18" s="669"/>
      <c r="C18" s="537">
        <v>12</v>
      </c>
      <c r="D18" s="533" t="s">
        <v>571</v>
      </c>
      <c r="E18" s="535">
        <v>4</v>
      </c>
      <c r="F18" s="535">
        <v>2800</v>
      </c>
      <c r="G18" s="539">
        <v>700</v>
      </c>
      <c r="H18" s="671"/>
      <c r="I18" s="536">
        <f t="shared" si="0"/>
        <v>4</v>
      </c>
      <c r="J18" s="536">
        <f t="shared" si="1"/>
        <v>2733.5999999999904</v>
      </c>
      <c r="K18" s="199">
        <f t="shared" si="2"/>
        <v>683.39999999999759</v>
      </c>
      <c r="L18" s="617"/>
      <c r="M18" s="531">
        <f>RANK(K18, K$7:$K$36)</f>
        <v>22</v>
      </c>
      <c r="N18" s="635"/>
      <c r="O18" s="635"/>
      <c r="P18" s="535">
        <v>4</v>
      </c>
      <c r="Q18" s="539">
        <v>2575.199999999993</v>
      </c>
      <c r="R18" s="539">
        <v>643.79999999999825</v>
      </c>
      <c r="S18" s="537">
        <v>22</v>
      </c>
      <c r="T18" s="659"/>
      <c r="U18" s="535">
        <v>4</v>
      </c>
      <c r="V18" s="539">
        <v>2529.5999999999931</v>
      </c>
      <c r="W18" s="539">
        <v>632.39999999999827</v>
      </c>
      <c r="X18" s="537">
        <v>22</v>
      </c>
      <c r="Y18" s="659"/>
      <c r="Z18" s="535">
        <v>4</v>
      </c>
      <c r="AA18" s="539">
        <v>2981.9999999999868</v>
      </c>
      <c r="AB18" s="539">
        <v>745.4999999999967</v>
      </c>
      <c r="AC18" s="537">
        <v>20</v>
      </c>
      <c r="AD18" s="659"/>
      <c r="AE18" s="535">
        <v>4</v>
      </c>
      <c r="AF18" s="539">
        <v>2849.9999999999873</v>
      </c>
      <c r="AG18" s="539">
        <v>712.49999999999682</v>
      </c>
      <c r="AH18" s="537">
        <v>19</v>
      </c>
      <c r="AI18" s="659"/>
      <c r="AJ18" s="535">
        <v>4</v>
      </c>
      <c r="AK18" s="539">
        <v>3035.9999999999864</v>
      </c>
      <c r="AL18" s="539">
        <v>758.99999999999659</v>
      </c>
      <c r="AM18" s="537">
        <v>17</v>
      </c>
      <c r="AN18" s="659"/>
      <c r="AO18" s="535">
        <v>4</v>
      </c>
      <c r="AP18" s="539">
        <v>2567.9999999999927</v>
      </c>
      <c r="AQ18" s="539">
        <v>641.99999999999818</v>
      </c>
      <c r="AR18" s="537">
        <v>22</v>
      </c>
      <c r="AS18" s="659"/>
      <c r="AT18" s="535">
        <v>4</v>
      </c>
      <c r="AU18" s="539">
        <v>2594.3999999999924</v>
      </c>
      <c r="AV18" s="539">
        <v>648.59999999999809</v>
      </c>
      <c r="AW18" s="537">
        <v>22</v>
      </c>
      <c r="AX18" s="659"/>
      <c r="AZ18" s="376" t="e">
        <f t="shared" si="3"/>
        <v>#N/A</v>
      </c>
      <c r="BA18" s="659"/>
    </row>
    <row r="19" spans="2:53">
      <c r="B19" s="669"/>
      <c r="C19" s="537">
        <v>13</v>
      </c>
      <c r="D19" s="535" t="s">
        <v>572</v>
      </c>
      <c r="E19" s="535">
        <v>3</v>
      </c>
      <c r="F19" s="535">
        <v>2800</v>
      </c>
      <c r="G19" s="539">
        <v>933.33333333333337</v>
      </c>
      <c r="H19" s="671"/>
      <c r="I19" s="536">
        <f t="shared" si="0"/>
        <v>3</v>
      </c>
      <c r="J19" s="536">
        <f t="shared" si="1"/>
        <v>2945.4857142857059</v>
      </c>
      <c r="K19" s="199">
        <f t="shared" si="2"/>
        <v>981.82857142856869</v>
      </c>
      <c r="L19" s="617"/>
      <c r="M19" s="531">
        <f>RANK(K19, K$7:$K$36)</f>
        <v>10</v>
      </c>
      <c r="N19" s="635"/>
      <c r="O19" s="635"/>
      <c r="P19" s="535">
        <v>3</v>
      </c>
      <c r="Q19" s="539">
        <v>3067.1999999999912</v>
      </c>
      <c r="R19" s="539">
        <v>1022.399999999997</v>
      </c>
      <c r="S19" s="537">
        <v>8</v>
      </c>
      <c r="T19" s="659"/>
      <c r="U19" s="535">
        <v>3</v>
      </c>
      <c r="V19" s="539">
        <v>3091.1999999999912</v>
      </c>
      <c r="W19" s="539">
        <v>1030.3999999999971</v>
      </c>
      <c r="X19" s="537">
        <v>8</v>
      </c>
      <c r="Y19" s="659"/>
      <c r="Z19" s="535">
        <v>3</v>
      </c>
      <c r="AA19" s="539">
        <v>2870.3999999999915</v>
      </c>
      <c r="AB19" s="539">
        <v>956.79999999999711</v>
      </c>
      <c r="AC19" s="537">
        <v>10</v>
      </c>
      <c r="AD19" s="659"/>
      <c r="AE19" s="535">
        <v>3</v>
      </c>
      <c r="AF19" s="539">
        <v>2697.5999999999922</v>
      </c>
      <c r="AG19" s="539">
        <v>899.19999999999743</v>
      </c>
      <c r="AH19" s="537">
        <v>12</v>
      </c>
      <c r="AI19" s="659"/>
      <c r="AJ19" s="535">
        <v>3</v>
      </c>
      <c r="AK19" s="539">
        <v>2800.799999999992</v>
      </c>
      <c r="AL19" s="539">
        <v>933.59999999999729</v>
      </c>
      <c r="AM19" s="537">
        <v>10</v>
      </c>
      <c r="AN19" s="659"/>
      <c r="AO19" s="535">
        <v>3</v>
      </c>
      <c r="AP19" s="539">
        <v>3064.7999999999915</v>
      </c>
      <c r="AQ19" s="539">
        <v>1021.5999999999972</v>
      </c>
      <c r="AR19" s="537">
        <v>8</v>
      </c>
      <c r="AS19" s="659"/>
      <c r="AT19" s="535">
        <v>3</v>
      </c>
      <c r="AU19" s="539">
        <v>3026.3999999999915</v>
      </c>
      <c r="AV19" s="539">
        <v>1008.7999999999971</v>
      </c>
      <c r="AW19" s="537">
        <v>9</v>
      </c>
      <c r="AX19" s="659"/>
      <c r="AZ19" s="376" t="e">
        <f t="shared" si="3"/>
        <v>#N/A</v>
      </c>
      <c r="BA19" s="659"/>
    </row>
    <row r="20" spans="2:53">
      <c r="B20" s="669"/>
      <c r="C20" s="537">
        <v>14</v>
      </c>
      <c r="D20" s="535" t="s">
        <v>573</v>
      </c>
      <c r="E20" s="535">
        <v>4</v>
      </c>
      <c r="F20" s="535">
        <v>2200</v>
      </c>
      <c r="G20" s="539">
        <v>550</v>
      </c>
      <c r="H20" s="671"/>
      <c r="I20" s="536">
        <f t="shared" si="0"/>
        <v>3</v>
      </c>
      <c r="J20" s="536">
        <f t="shared" si="1"/>
        <v>2282.9897959183668</v>
      </c>
      <c r="K20" s="199">
        <f t="shared" si="2"/>
        <v>760.99659863945567</v>
      </c>
      <c r="L20" s="617"/>
      <c r="M20" s="531">
        <f>RANK(K20, K$7:$K$36)</f>
        <v>17</v>
      </c>
      <c r="N20" s="635"/>
      <c r="O20" s="635"/>
      <c r="P20" s="535">
        <v>3</v>
      </c>
      <c r="Q20" s="539">
        <v>2056.4999999999991</v>
      </c>
      <c r="R20" s="539">
        <v>685.49999999999966</v>
      </c>
      <c r="S20" s="537">
        <v>20</v>
      </c>
      <c r="T20" s="659"/>
      <c r="U20" s="535">
        <v>3</v>
      </c>
      <c r="V20" s="539">
        <v>2379.4285714285688</v>
      </c>
      <c r="W20" s="539">
        <v>793.14285714285631</v>
      </c>
      <c r="X20" s="537">
        <v>14</v>
      </c>
      <c r="Y20" s="659"/>
      <c r="Z20" s="535">
        <v>3</v>
      </c>
      <c r="AA20" s="539">
        <v>2285.1428571428546</v>
      </c>
      <c r="AB20" s="539">
        <v>761.71428571428487</v>
      </c>
      <c r="AC20" s="537">
        <v>18</v>
      </c>
      <c r="AD20" s="659"/>
      <c r="AE20" s="535">
        <v>3</v>
      </c>
      <c r="AF20" s="539">
        <v>2392.0000000000086</v>
      </c>
      <c r="AG20" s="539">
        <v>797.33333333333621</v>
      </c>
      <c r="AH20" s="537">
        <v>13</v>
      </c>
      <c r="AI20" s="659"/>
      <c r="AJ20" s="535">
        <v>3</v>
      </c>
      <c r="AK20" s="539">
        <v>2281.7142857142835</v>
      </c>
      <c r="AL20" s="539">
        <v>760.57142857142787</v>
      </c>
      <c r="AM20" s="537">
        <v>16</v>
      </c>
      <c r="AN20" s="659"/>
      <c r="AO20" s="535">
        <v>3</v>
      </c>
      <c r="AP20" s="539">
        <v>2477.1428571428546</v>
      </c>
      <c r="AQ20" s="539">
        <v>825.71428571428487</v>
      </c>
      <c r="AR20" s="537">
        <v>13</v>
      </c>
      <c r="AS20" s="659"/>
      <c r="AT20" s="535">
        <v>3</v>
      </c>
      <c r="AU20" s="539">
        <v>2108.9999999999991</v>
      </c>
      <c r="AV20" s="539">
        <v>702.99999999999966</v>
      </c>
      <c r="AW20" s="537">
        <v>19</v>
      </c>
      <c r="AX20" s="659"/>
      <c r="AZ20" s="376" t="e">
        <f t="shared" si="3"/>
        <v>#N/A</v>
      </c>
      <c r="BA20" s="659"/>
    </row>
    <row r="21" spans="2:53">
      <c r="B21" s="669"/>
      <c r="C21" s="537">
        <v>15</v>
      </c>
      <c r="D21" s="533" t="s">
        <v>604</v>
      </c>
      <c r="E21" s="535">
        <v>8</v>
      </c>
      <c r="F21" s="535">
        <v>1500</v>
      </c>
      <c r="G21" s="539">
        <v>187.5</v>
      </c>
      <c r="H21" s="671"/>
      <c r="I21" s="536">
        <f t="shared" si="0"/>
        <v>12</v>
      </c>
      <c r="J21" s="536">
        <f t="shared" si="1"/>
        <v>1433.2195553157064</v>
      </c>
      <c r="K21" s="199">
        <f t="shared" si="2"/>
        <v>119.43496294297552</v>
      </c>
      <c r="L21" s="617"/>
      <c r="M21" s="531">
        <f>RANK(K21, K$7:$K$36)</f>
        <v>26</v>
      </c>
      <c r="N21" s="635"/>
      <c r="O21" s="635"/>
      <c r="P21" s="535">
        <v>12</v>
      </c>
      <c r="Q21" s="539">
        <v>1398.6885245901653</v>
      </c>
      <c r="R21" s="539">
        <v>116.55737704918045</v>
      </c>
      <c r="S21" s="537">
        <v>26</v>
      </c>
      <c r="T21" s="659"/>
      <c r="U21" s="535">
        <v>12</v>
      </c>
      <c r="V21" s="539">
        <v>1433.8983050847469</v>
      </c>
      <c r="W21" s="539">
        <v>119.4915254237289</v>
      </c>
      <c r="X21" s="537">
        <v>26</v>
      </c>
      <c r="Y21" s="659"/>
      <c r="Z21" s="535">
        <v>12</v>
      </c>
      <c r="AA21" s="539">
        <v>1434.9152542372894</v>
      </c>
      <c r="AB21" s="539">
        <v>119.57627118644079</v>
      </c>
      <c r="AC21" s="537">
        <v>26</v>
      </c>
      <c r="AD21" s="659"/>
      <c r="AE21" s="535">
        <v>12</v>
      </c>
      <c r="AF21" s="539">
        <v>1466.0377358490573</v>
      </c>
      <c r="AG21" s="539">
        <v>122.16981132075477</v>
      </c>
      <c r="AH21" s="537">
        <v>26</v>
      </c>
      <c r="AI21" s="659"/>
      <c r="AJ21" s="535">
        <v>12</v>
      </c>
      <c r="AK21" s="539">
        <v>1434.5454545454554</v>
      </c>
      <c r="AL21" s="539">
        <v>119.54545454545462</v>
      </c>
      <c r="AM21" s="537">
        <v>26</v>
      </c>
      <c r="AN21" s="659"/>
      <c r="AO21" s="535">
        <v>12</v>
      </c>
      <c r="AP21" s="539">
        <v>1426.451612903227</v>
      </c>
      <c r="AQ21" s="539">
        <v>118.87096774193559</v>
      </c>
      <c r="AR21" s="537">
        <v>26</v>
      </c>
      <c r="AS21" s="659"/>
      <c r="AT21" s="535">
        <v>12</v>
      </c>
      <c r="AU21" s="539">
        <v>1438.0000000000014</v>
      </c>
      <c r="AV21" s="539">
        <v>119.83333333333344</v>
      </c>
      <c r="AW21" s="537">
        <v>26</v>
      </c>
      <c r="AX21" s="659"/>
      <c r="AZ21" s="376" t="e">
        <f t="shared" si="3"/>
        <v>#N/A</v>
      </c>
      <c r="BA21" s="659"/>
    </row>
    <row r="22" spans="2:53">
      <c r="B22" s="669"/>
      <c r="C22" s="537">
        <v>16</v>
      </c>
      <c r="D22" s="535" t="s">
        <v>574</v>
      </c>
      <c r="E22" s="535">
        <v>3</v>
      </c>
      <c r="F22" s="535">
        <v>2800</v>
      </c>
      <c r="G22" s="539">
        <v>933.33333333333337</v>
      </c>
      <c r="H22" s="671"/>
      <c r="I22" s="536">
        <f t="shared" si="0"/>
        <v>3</v>
      </c>
      <c r="J22" s="536">
        <f t="shared" si="1"/>
        <v>2767.9791885367913</v>
      </c>
      <c r="K22" s="199">
        <f t="shared" si="2"/>
        <v>922.65972951226377</v>
      </c>
      <c r="L22" s="617"/>
      <c r="M22" s="531">
        <f>RANK(K22, K$7:$K$36)</f>
        <v>11</v>
      </c>
      <c r="N22" s="635"/>
      <c r="O22" s="635"/>
      <c r="P22" s="535">
        <v>3</v>
      </c>
      <c r="Q22" s="539">
        <v>2792.5714285714257</v>
      </c>
      <c r="R22" s="539">
        <v>930.85714285714187</v>
      </c>
      <c r="S22" s="537">
        <v>11</v>
      </c>
      <c r="T22" s="659"/>
      <c r="U22" s="535">
        <v>3</v>
      </c>
      <c r="V22" s="539">
        <v>2771.6666666666642</v>
      </c>
      <c r="W22" s="539">
        <v>923.88888888888812</v>
      </c>
      <c r="X22" s="537">
        <v>12</v>
      </c>
      <c r="Y22" s="659"/>
      <c r="Z22" s="535">
        <v>3</v>
      </c>
      <c r="AA22" s="539">
        <v>2754.8571428571399</v>
      </c>
      <c r="AB22" s="539">
        <v>918.28571428571331</v>
      </c>
      <c r="AC22" s="537">
        <v>11</v>
      </c>
      <c r="AD22" s="659"/>
      <c r="AE22" s="535">
        <v>3</v>
      </c>
      <c r="AF22" s="539">
        <v>2792.903225806454</v>
      </c>
      <c r="AG22" s="539">
        <v>930.9677419354847</v>
      </c>
      <c r="AH22" s="537">
        <v>11</v>
      </c>
      <c r="AI22" s="659"/>
      <c r="AJ22" s="535">
        <v>3</v>
      </c>
      <c r="AK22" s="539">
        <v>2788.0000000000027</v>
      </c>
      <c r="AL22" s="539">
        <v>929.33333333333428</v>
      </c>
      <c r="AM22" s="537">
        <v>11</v>
      </c>
      <c r="AN22" s="659"/>
      <c r="AO22" s="535">
        <v>3</v>
      </c>
      <c r="AP22" s="539">
        <v>2729.1891891891869</v>
      </c>
      <c r="AQ22" s="539">
        <v>909.729729729729</v>
      </c>
      <c r="AR22" s="537">
        <v>12</v>
      </c>
      <c r="AS22" s="659"/>
      <c r="AT22" s="535">
        <v>3</v>
      </c>
      <c r="AU22" s="539">
        <v>2746.6666666666647</v>
      </c>
      <c r="AV22" s="539">
        <v>915.55555555555486</v>
      </c>
      <c r="AW22" s="537">
        <v>11</v>
      </c>
      <c r="AX22" s="659"/>
      <c r="AZ22" s="376" t="e">
        <f t="shared" si="3"/>
        <v>#N/A</v>
      </c>
      <c r="BA22" s="659"/>
    </row>
    <row r="23" spans="2:53">
      <c r="B23" s="669"/>
      <c r="C23" s="537">
        <v>17</v>
      </c>
      <c r="D23" s="535" t="s">
        <v>575</v>
      </c>
      <c r="E23" s="535">
        <v>4</v>
      </c>
      <c r="F23" s="535">
        <v>2800</v>
      </c>
      <c r="G23" s="539">
        <v>700</v>
      </c>
      <c r="H23" s="671"/>
      <c r="I23" s="536">
        <f t="shared" si="0"/>
        <v>4</v>
      </c>
      <c r="J23" s="536">
        <f t="shared" si="1"/>
        <v>2740.1547619047656</v>
      </c>
      <c r="K23" s="199">
        <f t="shared" si="2"/>
        <v>685.03869047619139</v>
      </c>
      <c r="L23" s="617"/>
      <c r="M23" s="531">
        <f>RANK(K23, K$7:$K$36)</f>
        <v>21</v>
      </c>
      <c r="N23" s="635"/>
      <c r="O23" s="635"/>
      <c r="P23" s="535">
        <v>4</v>
      </c>
      <c r="Q23" s="539">
        <v>2681.9999999999991</v>
      </c>
      <c r="R23" s="539">
        <v>670.49999999999977</v>
      </c>
      <c r="S23" s="537">
        <v>21</v>
      </c>
      <c r="T23" s="659"/>
      <c r="U23" s="535">
        <v>4</v>
      </c>
      <c r="V23" s="539">
        <v>2712.6315789473661</v>
      </c>
      <c r="W23" s="539">
        <v>678.15789473684151</v>
      </c>
      <c r="X23" s="537">
        <v>21</v>
      </c>
      <c r="Y23" s="659"/>
      <c r="Z23" s="535">
        <v>4</v>
      </c>
      <c r="AA23" s="539">
        <v>2776.6666666666765</v>
      </c>
      <c r="AB23" s="539">
        <v>694.16666666666913</v>
      </c>
      <c r="AC23" s="537">
        <v>22</v>
      </c>
      <c r="AD23" s="659"/>
      <c r="AE23" s="535">
        <v>4</v>
      </c>
      <c r="AF23" s="539">
        <v>2763.75000000001</v>
      </c>
      <c r="AG23" s="539">
        <v>690.9375000000025</v>
      </c>
      <c r="AH23" s="537">
        <v>21</v>
      </c>
      <c r="AI23" s="659"/>
      <c r="AJ23" s="535">
        <v>4</v>
      </c>
      <c r="AK23" s="539">
        <v>2772.00000000001</v>
      </c>
      <c r="AL23" s="539">
        <v>693.0000000000025</v>
      </c>
      <c r="AM23" s="537">
        <v>20</v>
      </c>
      <c r="AN23" s="659"/>
      <c r="AO23" s="535">
        <v>4</v>
      </c>
      <c r="AP23" s="539">
        <v>2687.3684210526294</v>
      </c>
      <c r="AQ23" s="539">
        <v>671.84210526315735</v>
      </c>
      <c r="AR23" s="537">
        <v>21</v>
      </c>
      <c r="AS23" s="659"/>
      <c r="AT23" s="535">
        <v>4</v>
      </c>
      <c r="AU23" s="539">
        <v>2786.6666666666642</v>
      </c>
      <c r="AV23" s="539">
        <v>696.66666666666606</v>
      </c>
      <c r="AW23" s="537">
        <v>21</v>
      </c>
      <c r="AX23" s="659"/>
      <c r="AZ23" s="376" t="e">
        <f t="shared" si="3"/>
        <v>#N/A</v>
      </c>
      <c r="BA23" s="659"/>
    </row>
    <row r="24" spans="2:53">
      <c r="B24" s="669"/>
      <c r="C24" s="537">
        <v>18</v>
      </c>
      <c r="D24" s="532" t="s">
        <v>588</v>
      </c>
      <c r="E24" s="535">
        <v>12</v>
      </c>
      <c r="F24" s="535">
        <v>1500</v>
      </c>
      <c r="G24" s="539">
        <v>125</v>
      </c>
      <c r="H24" s="671"/>
      <c r="I24" s="536">
        <f t="shared" si="0"/>
        <v>10.714285714285714</v>
      </c>
      <c r="J24" s="536">
        <f t="shared" si="1"/>
        <v>988.85854341737047</v>
      </c>
      <c r="K24" s="199">
        <f t="shared" si="2"/>
        <v>93.314425770308461</v>
      </c>
      <c r="L24" s="617"/>
      <c r="M24" s="531">
        <f>RANK(K24, K$7:$K$36)</f>
        <v>27</v>
      </c>
      <c r="N24" s="635"/>
      <c r="O24" s="635"/>
      <c r="P24" s="535">
        <v>10</v>
      </c>
      <c r="Q24" s="539">
        <v>983.33333333333678</v>
      </c>
      <c r="R24" s="539">
        <v>98.333333333333684</v>
      </c>
      <c r="S24" s="537">
        <v>27</v>
      </c>
      <c r="T24" s="659"/>
      <c r="U24" s="535">
        <v>9</v>
      </c>
      <c r="V24" s="539">
        <v>990.00000000000341</v>
      </c>
      <c r="W24" s="539">
        <v>110.00000000000038</v>
      </c>
      <c r="X24" s="537">
        <v>27</v>
      </c>
      <c r="Y24" s="659"/>
      <c r="Z24" s="535">
        <v>10</v>
      </c>
      <c r="AA24" s="539">
        <v>967.50000000000341</v>
      </c>
      <c r="AB24" s="539">
        <v>96.750000000000341</v>
      </c>
      <c r="AC24" s="537">
        <v>27</v>
      </c>
      <c r="AD24" s="659"/>
      <c r="AE24" s="535">
        <v>12</v>
      </c>
      <c r="AF24" s="539">
        <v>968.57142857143197</v>
      </c>
      <c r="AG24" s="539">
        <v>80.714285714285992</v>
      </c>
      <c r="AH24" s="537">
        <v>27</v>
      </c>
      <c r="AI24" s="659"/>
      <c r="AJ24" s="535">
        <v>12</v>
      </c>
      <c r="AK24" s="539">
        <v>1011.4285714285751</v>
      </c>
      <c r="AL24" s="539">
        <v>84.28571428571459</v>
      </c>
      <c r="AM24" s="537">
        <v>27</v>
      </c>
      <c r="AN24" s="659"/>
      <c r="AO24" s="535">
        <v>10</v>
      </c>
      <c r="AP24" s="539">
        <v>981.17647058823889</v>
      </c>
      <c r="AQ24" s="539">
        <v>98.117647058823891</v>
      </c>
      <c r="AR24" s="537">
        <v>27</v>
      </c>
      <c r="AS24" s="659"/>
      <c r="AT24" s="535">
        <v>12</v>
      </c>
      <c r="AU24" s="539">
        <v>1020.0000000000036</v>
      </c>
      <c r="AV24" s="539">
        <v>85.000000000000298</v>
      </c>
      <c r="AW24" s="537">
        <v>27</v>
      </c>
      <c r="AX24" s="659"/>
      <c r="AZ24" s="376" t="e">
        <f t="shared" si="3"/>
        <v>#N/A</v>
      </c>
      <c r="BA24" s="659"/>
    </row>
    <row r="25" spans="2:53">
      <c r="B25" s="669"/>
      <c r="C25" s="537">
        <v>19</v>
      </c>
      <c r="D25" s="532" t="s">
        <v>594</v>
      </c>
      <c r="E25" s="535">
        <v>3</v>
      </c>
      <c r="F25" s="535">
        <v>3000</v>
      </c>
      <c r="G25" s="539">
        <v>933.33333333333337</v>
      </c>
      <c r="H25" s="671"/>
      <c r="I25" s="536">
        <f t="shared" si="0"/>
        <v>3</v>
      </c>
      <c r="J25" s="536">
        <f t="shared" si="1"/>
        <v>2716.8571428571463</v>
      </c>
      <c r="K25" s="199">
        <f t="shared" si="2"/>
        <v>905.61904761904884</v>
      </c>
      <c r="L25" s="617"/>
      <c r="M25" s="531">
        <f>RANK(K25, K$7:$K$36)</f>
        <v>12</v>
      </c>
      <c r="N25" s="635"/>
      <c r="O25" s="635"/>
      <c r="P25" s="535">
        <v>3</v>
      </c>
      <c r="Q25" s="539">
        <v>2788.00000000001</v>
      </c>
      <c r="R25" s="539">
        <v>929.33333333333667</v>
      </c>
      <c r="S25" s="537">
        <v>12</v>
      </c>
      <c r="T25" s="659"/>
      <c r="U25" s="535">
        <v>3</v>
      </c>
      <c r="V25" s="539">
        <v>2828.00000000001</v>
      </c>
      <c r="W25" s="539">
        <v>942.66666666667004</v>
      </c>
      <c r="X25" s="537">
        <v>11</v>
      </c>
      <c r="Y25" s="659"/>
      <c r="Z25" s="535">
        <v>3</v>
      </c>
      <c r="AA25" s="539">
        <v>2584.0000000000091</v>
      </c>
      <c r="AB25" s="539">
        <v>861.33333333333633</v>
      </c>
      <c r="AC25" s="537">
        <v>12</v>
      </c>
      <c r="AD25" s="659"/>
      <c r="AE25" s="535">
        <v>3</v>
      </c>
      <c r="AF25" s="539">
        <v>2979.9999999999709</v>
      </c>
      <c r="AG25" s="539">
        <v>993.33333333332359</v>
      </c>
      <c r="AH25" s="537">
        <v>9</v>
      </c>
      <c r="AI25" s="659"/>
      <c r="AJ25" s="535">
        <v>3</v>
      </c>
      <c r="AK25" s="539">
        <v>2576.0000000000091</v>
      </c>
      <c r="AL25" s="539">
        <v>858.6666666666697</v>
      </c>
      <c r="AM25" s="537">
        <v>12</v>
      </c>
      <c r="AN25" s="659"/>
      <c r="AO25" s="535">
        <v>3</v>
      </c>
      <c r="AP25" s="539">
        <v>2820.00000000001</v>
      </c>
      <c r="AQ25" s="539">
        <v>940.0000000000033</v>
      </c>
      <c r="AR25" s="537">
        <v>11</v>
      </c>
      <c r="AS25" s="659"/>
      <c r="AT25" s="535">
        <v>3</v>
      </c>
      <c r="AU25" s="539">
        <v>2442.0000000000086</v>
      </c>
      <c r="AV25" s="539">
        <v>814.00000000000284</v>
      </c>
      <c r="AW25" s="537">
        <v>12</v>
      </c>
      <c r="AX25" s="659"/>
      <c r="AZ25" s="376" t="e">
        <f t="shared" si="3"/>
        <v>#N/A</v>
      </c>
      <c r="BA25" s="659"/>
    </row>
    <row r="26" spans="2:53">
      <c r="B26" s="669"/>
      <c r="C26" s="537">
        <v>20</v>
      </c>
      <c r="D26" s="532" t="s">
        <v>598</v>
      </c>
      <c r="E26" s="535">
        <v>4</v>
      </c>
      <c r="F26" s="535">
        <v>3200</v>
      </c>
      <c r="G26" s="539">
        <v>800</v>
      </c>
      <c r="H26" s="671"/>
      <c r="I26" s="536">
        <f t="shared" si="0"/>
        <v>4</v>
      </c>
      <c r="J26" s="536">
        <f t="shared" si="1"/>
        <v>2843.383949383945</v>
      </c>
      <c r="K26" s="199">
        <f t="shared" si="2"/>
        <v>710.84598734598626</v>
      </c>
      <c r="L26" s="617"/>
      <c r="M26" s="531">
        <f>RANK(K26, K$7:$K$36)</f>
        <v>19</v>
      </c>
      <c r="N26" s="635"/>
      <c r="O26" s="635"/>
      <c r="P26" s="535">
        <v>4</v>
      </c>
      <c r="Q26" s="539">
        <v>2852.3076923077028</v>
      </c>
      <c r="R26" s="539">
        <v>713.07692307692571</v>
      </c>
      <c r="S26" s="537">
        <v>18</v>
      </c>
      <c r="T26" s="659"/>
      <c r="U26" s="535">
        <v>4</v>
      </c>
      <c r="V26" s="539">
        <v>2843.0769230769156</v>
      </c>
      <c r="W26" s="539">
        <v>710.7692307692289</v>
      </c>
      <c r="X26" s="537">
        <v>19</v>
      </c>
      <c r="Y26" s="659"/>
      <c r="Z26" s="535">
        <v>4</v>
      </c>
      <c r="AA26" s="539">
        <v>2994.9999999999905</v>
      </c>
      <c r="AB26" s="539">
        <v>748.74999999999761</v>
      </c>
      <c r="AC26" s="537">
        <v>19</v>
      </c>
      <c r="AD26" s="659"/>
      <c r="AE26" s="535">
        <v>4</v>
      </c>
      <c r="AF26" s="539">
        <v>2748.0000000000095</v>
      </c>
      <c r="AG26" s="539">
        <v>687.00000000000239</v>
      </c>
      <c r="AH26" s="537">
        <v>22</v>
      </c>
      <c r="AI26" s="659"/>
      <c r="AJ26" s="535">
        <v>4</v>
      </c>
      <c r="AK26" s="539">
        <v>2686.6666666666524</v>
      </c>
      <c r="AL26" s="539">
        <v>671.6666666666631</v>
      </c>
      <c r="AM26" s="537">
        <v>22</v>
      </c>
      <c r="AN26" s="659"/>
      <c r="AO26" s="535">
        <v>4</v>
      </c>
      <c r="AP26" s="539">
        <v>2794.9999999999914</v>
      </c>
      <c r="AQ26" s="539">
        <v>698.74999999999784</v>
      </c>
      <c r="AR26" s="537">
        <v>20</v>
      </c>
      <c r="AS26" s="659"/>
      <c r="AT26" s="535">
        <v>4</v>
      </c>
      <c r="AU26" s="539">
        <v>2983.6363636363526</v>
      </c>
      <c r="AV26" s="539">
        <v>745.90909090908815</v>
      </c>
      <c r="AW26" s="537">
        <v>17</v>
      </c>
      <c r="AX26" s="659"/>
      <c r="AZ26" s="376" t="e">
        <f t="shared" si="3"/>
        <v>#N/A</v>
      </c>
      <c r="BA26" s="659"/>
    </row>
    <row r="27" spans="2:53">
      <c r="B27" s="669"/>
      <c r="C27" s="537">
        <v>21</v>
      </c>
      <c r="D27" s="532" t="s">
        <v>602</v>
      </c>
      <c r="E27" s="535">
        <v>3</v>
      </c>
      <c r="F27" s="535">
        <v>3200</v>
      </c>
      <c r="G27" s="539">
        <v>1066.6666666666667</v>
      </c>
      <c r="H27" s="671"/>
      <c r="I27" s="536">
        <f t="shared" si="0"/>
        <v>3</v>
      </c>
      <c r="J27" s="536">
        <f t="shared" si="1"/>
        <v>3091.7698967698939</v>
      </c>
      <c r="K27" s="199">
        <f t="shared" si="2"/>
        <v>1030.5899655899645</v>
      </c>
      <c r="L27" s="617"/>
      <c r="M27" s="531">
        <f>RANK(K27, K$7:$K$36)</f>
        <v>8</v>
      </c>
      <c r="N27" s="635"/>
      <c r="O27" s="635"/>
      <c r="P27" s="535">
        <v>3</v>
      </c>
      <c r="Q27" s="539">
        <v>3027.6923076922999</v>
      </c>
      <c r="R27" s="539">
        <v>1009.2307692307667</v>
      </c>
      <c r="S27" s="537">
        <v>9</v>
      </c>
      <c r="T27" s="659"/>
      <c r="U27" s="535">
        <v>3</v>
      </c>
      <c r="V27" s="539">
        <v>3185.0000000000114</v>
      </c>
      <c r="W27" s="539">
        <v>1061.6666666666704</v>
      </c>
      <c r="X27" s="537">
        <v>3</v>
      </c>
      <c r="Y27" s="659"/>
      <c r="Z27" s="535">
        <v>3</v>
      </c>
      <c r="AA27" s="539">
        <v>3150.0000000000109</v>
      </c>
      <c r="AB27" s="539">
        <v>1050.0000000000036</v>
      </c>
      <c r="AC27" s="537">
        <v>5</v>
      </c>
      <c r="AD27" s="659"/>
      <c r="AE27" s="535">
        <v>3</v>
      </c>
      <c r="AF27" s="539">
        <v>3206.6666666666497</v>
      </c>
      <c r="AG27" s="539">
        <v>1068.8888888888832</v>
      </c>
      <c r="AH27" s="537">
        <v>2</v>
      </c>
      <c r="AI27" s="659"/>
      <c r="AJ27" s="535">
        <v>3</v>
      </c>
      <c r="AK27" s="539">
        <v>3006.6666666666506</v>
      </c>
      <c r="AL27" s="539">
        <v>1002.2222222222168</v>
      </c>
      <c r="AM27" s="537">
        <v>8</v>
      </c>
      <c r="AN27" s="659"/>
      <c r="AO27" s="535">
        <v>3</v>
      </c>
      <c r="AP27" s="539">
        <v>2930.0000000000105</v>
      </c>
      <c r="AQ27" s="539">
        <v>976.66666666667015</v>
      </c>
      <c r="AR27" s="537">
        <v>10</v>
      </c>
      <c r="AS27" s="659"/>
      <c r="AT27" s="535">
        <v>3</v>
      </c>
      <c r="AU27" s="539">
        <v>3136.3636363636251</v>
      </c>
      <c r="AV27" s="539">
        <v>1045.4545454545416</v>
      </c>
      <c r="AW27" s="537">
        <v>6</v>
      </c>
      <c r="AX27" s="659"/>
      <c r="AZ27" s="376" t="e">
        <f t="shared" si="3"/>
        <v>#N/A</v>
      </c>
      <c r="BA27" s="659"/>
    </row>
    <row r="28" spans="2:53">
      <c r="B28" s="669"/>
      <c r="C28" s="537">
        <v>22</v>
      </c>
      <c r="D28" s="532" t="s">
        <v>613</v>
      </c>
      <c r="E28" s="535">
        <v>3</v>
      </c>
      <c r="F28" s="535">
        <v>3200</v>
      </c>
      <c r="G28" s="539">
        <v>1066.6666666666667</v>
      </c>
      <c r="H28" s="671"/>
      <c r="I28" s="536">
        <f t="shared" si="0"/>
        <v>3</v>
      </c>
      <c r="J28" s="536">
        <f t="shared" si="1"/>
        <v>3201.0146995861287</v>
      </c>
      <c r="K28" s="199">
        <f t="shared" si="2"/>
        <v>1067.004899862043</v>
      </c>
      <c r="L28" s="617"/>
      <c r="M28" s="531">
        <f>RANK(K28, K$7:$K$36)</f>
        <v>1</v>
      </c>
      <c r="N28" s="635"/>
      <c r="O28" s="635"/>
      <c r="P28" s="535">
        <v>3</v>
      </c>
      <c r="Q28" s="539">
        <v>3199.4117647058783</v>
      </c>
      <c r="R28" s="539">
        <v>1066.4705882352928</v>
      </c>
      <c r="S28" s="537">
        <v>1</v>
      </c>
      <c r="T28" s="659"/>
      <c r="U28" s="535">
        <v>3</v>
      </c>
      <c r="V28" s="539">
        <v>3160.5882352941135</v>
      </c>
      <c r="W28" s="539">
        <v>1053.5294117647045</v>
      </c>
      <c r="X28" s="537">
        <v>6</v>
      </c>
      <c r="Y28" s="659"/>
      <c r="Z28" s="535">
        <v>3</v>
      </c>
      <c r="AA28" s="539">
        <v>3157.0588235294081</v>
      </c>
      <c r="AB28" s="539">
        <v>1052.3529411764694</v>
      </c>
      <c r="AC28" s="537">
        <v>4</v>
      </c>
      <c r="AD28" s="659"/>
      <c r="AE28" s="535">
        <v>3</v>
      </c>
      <c r="AF28" s="539">
        <v>3413.0769230769351</v>
      </c>
      <c r="AG28" s="539">
        <v>1137.6923076923117</v>
      </c>
      <c r="AH28" s="537">
        <v>1</v>
      </c>
      <c r="AI28" s="659"/>
      <c r="AJ28" s="535">
        <v>3</v>
      </c>
      <c r="AK28" s="539">
        <v>3188.5714285714398</v>
      </c>
      <c r="AL28" s="539">
        <v>1062.8571428571465</v>
      </c>
      <c r="AM28" s="537">
        <v>2</v>
      </c>
      <c r="AN28" s="659"/>
      <c r="AO28" s="535">
        <v>3</v>
      </c>
      <c r="AP28" s="539">
        <v>3142.9411764705847</v>
      </c>
      <c r="AQ28" s="539">
        <v>1047.6470588235281</v>
      </c>
      <c r="AR28" s="537">
        <v>4</v>
      </c>
      <c r="AS28" s="659"/>
      <c r="AT28" s="535">
        <v>3</v>
      </c>
      <c r="AU28" s="539">
        <v>3145.4545454545414</v>
      </c>
      <c r="AV28" s="539">
        <v>1048.4848484848471</v>
      </c>
      <c r="AW28" s="537">
        <v>5</v>
      </c>
      <c r="AX28" s="659"/>
      <c r="AZ28" s="376" t="e">
        <f t="shared" si="3"/>
        <v>#N/A</v>
      </c>
      <c r="BA28" s="659"/>
    </row>
    <row r="29" spans="2:53">
      <c r="B29" s="669"/>
      <c r="C29" s="537">
        <v>23</v>
      </c>
      <c r="D29" s="540" t="s">
        <v>618</v>
      </c>
      <c r="E29" s="535">
        <v>3</v>
      </c>
      <c r="F29" s="535">
        <v>3200</v>
      </c>
      <c r="G29" s="539">
        <v>1066.6666666666667</v>
      </c>
      <c r="H29" s="671"/>
      <c r="I29" s="536">
        <f t="shared" si="0"/>
        <v>3</v>
      </c>
      <c r="J29" s="536">
        <f t="shared" si="1"/>
        <v>3151.6494466125027</v>
      </c>
      <c r="K29" s="199">
        <f t="shared" si="2"/>
        <v>1050.549815537501</v>
      </c>
      <c r="L29" s="617"/>
      <c r="M29" s="531">
        <f>RANK(K29, K$7:$K$36)</f>
        <v>4</v>
      </c>
      <c r="N29" s="635"/>
      <c r="O29" s="635"/>
      <c r="P29" s="535">
        <v>3</v>
      </c>
      <c r="Q29" s="539">
        <v>3124.1379310344764</v>
      </c>
      <c r="R29" s="539">
        <v>1041.3793103448254</v>
      </c>
      <c r="S29" s="537">
        <v>6</v>
      </c>
      <c r="T29" s="659"/>
      <c r="U29" s="535">
        <v>3</v>
      </c>
      <c r="V29" s="539">
        <v>3126.2068965517356</v>
      </c>
      <c r="W29" s="539">
        <v>1042.0689655172453</v>
      </c>
      <c r="X29" s="537">
        <v>7</v>
      </c>
      <c r="Y29" s="659"/>
      <c r="Z29" s="535">
        <v>3</v>
      </c>
      <c r="AA29" s="539">
        <v>3164.9999999999932</v>
      </c>
      <c r="AB29" s="539">
        <v>1054.9999999999977</v>
      </c>
      <c r="AC29" s="537">
        <v>3</v>
      </c>
      <c r="AD29" s="659"/>
      <c r="AE29" s="535">
        <v>3</v>
      </c>
      <c r="AF29" s="539">
        <v>3127.5000000000109</v>
      </c>
      <c r="AG29" s="539">
        <v>1042.5000000000036</v>
      </c>
      <c r="AH29" s="537">
        <v>6</v>
      </c>
      <c r="AI29" s="659"/>
      <c r="AJ29" s="535">
        <v>3</v>
      </c>
      <c r="AK29" s="539">
        <v>3147.272727272727</v>
      </c>
      <c r="AL29" s="539">
        <v>1049.090909090909</v>
      </c>
      <c r="AM29" s="537">
        <v>5</v>
      </c>
      <c r="AN29" s="659"/>
      <c r="AO29" s="535">
        <v>3</v>
      </c>
      <c r="AP29" s="539">
        <v>3171.4285714285643</v>
      </c>
      <c r="AQ29" s="539">
        <v>1057.1428571428548</v>
      </c>
      <c r="AR29" s="537">
        <v>2</v>
      </c>
      <c r="AS29" s="659"/>
      <c r="AT29" s="535">
        <v>3</v>
      </c>
      <c r="AU29" s="539">
        <v>3200.0000000000114</v>
      </c>
      <c r="AV29" s="539">
        <v>1066.6666666666704</v>
      </c>
      <c r="AW29" s="537">
        <v>2</v>
      </c>
      <c r="AX29" s="659"/>
      <c r="AZ29" s="376" t="e">
        <f t="shared" si="3"/>
        <v>#N/A</v>
      </c>
      <c r="BA29" s="659"/>
    </row>
    <row r="30" spans="2:53">
      <c r="B30" s="669"/>
      <c r="C30" s="537">
        <v>24</v>
      </c>
      <c r="D30" s="532" t="s">
        <v>625</v>
      </c>
      <c r="E30" s="535">
        <v>3</v>
      </c>
      <c r="F30" s="535">
        <v>3200</v>
      </c>
      <c r="G30" s="539">
        <v>1066.6666666666667</v>
      </c>
      <c r="H30" s="671"/>
      <c r="I30" s="536">
        <f t="shared" si="0"/>
        <v>3</v>
      </c>
      <c r="J30" s="536">
        <f t="shared" si="1"/>
        <v>2955.5881220644487</v>
      </c>
      <c r="K30" s="199">
        <f t="shared" si="2"/>
        <v>985.19604068814965</v>
      </c>
      <c r="L30" s="617"/>
      <c r="M30" s="531">
        <f>RANK(K30, K$7:$K$36)</f>
        <v>9</v>
      </c>
      <c r="N30" s="635"/>
      <c r="O30" s="635"/>
      <c r="P30" s="535">
        <v>3</v>
      </c>
      <c r="Q30" s="539">
        <v>2929.7560975609749</v>
      </c>
      <c r="R30" s="539">
        <v>976.58536585365835</v>
      </c>
      <c r="S30" s="537">
        <v>10</v>
      </c>
      <c r="T30" s="659"/>
      <c r="U30" s="535">
        <v>3</v>
      </c>
      <c r="V30" s="539">
        <v>2945.9999999999927</v>
      </c>
      <c r="W30" s="539">
        <v>981.99999999999761</v>
      </c>
      <c r="X30" s="537">
        <v>10</v>
      </c>
      <c r="Y30" s="659"/>
      <c r="Z30" s="535">
        <v>3</v>
      </c>
      <c r="AA30" s="539">
        <v>2953.8461538461647</v>
      </c>
      <c r="AB30" s="539">
        <v>984.61538461538828</v>
      </c>
      <c r="AC30" s="537">
        <v>9</v>
      </c>
      <c r="AD30" s="659"/>
      <c r="AE30" s="535">
        <v>3</v>
      </c>
      <c r="AF30" s="539">
        <v>2932.9411764705919</v>
      </c>
      <c r="AG30" s="539">
        <v>977.64705882353064</v>
      </c>
      <c r="AH30" s="537">
        <v>10</v>
      </c>
      <c r="AI30" s="659"/>
      <c r="AJ30" s="535">
        <v>3</v>
      </c>
      <c r="AK30" s="539">
        <v>2952.7272727272689</v>
      </c>
      <c r="AL30" s="539">
        <v>984.242424242423</v>
      </c>
      <c r="AM30" s="537">
        <v>9</v>
      </c>
      <c r="AN30" s="659"/>
      <c r="AO30" s="535">
        <v>3</v>
      </c>
      <c r="AP30" s="539">
        <v>2998.4615384615372</v>
      </c>
      <c r="AQ30" s="539">
        <v>999.48717948717911</v>
      </c>
      <c r="AR30" s="537">
        <v>9</v>
      </c>
      <c r="AS30" s="659"/>
      <c r="AT30" s="535">
        <v>3</v>
      </c>
      <c r="AU30" s="539">
        <v>2975.3846153846139</v>
      </c>
      <c r="AV30" s="539">
        <v>991.79487179487126</v>
      </c>
      <c r="AW30" s="537">
        <v>10</v>
      </c>
      <c r="AX30" s="659"/>
      <c r="AZ30" s="376" t="e">
        <f t="shared" si="3"/>
        <v>#N/A</v>
      </c>
      <c r="BA30" s="659"/>
    </row>
    <row r="31" spans="2:53">
      <c r="B31" s="669"/>
      <c r="C31" s="537">
        <v>25</v>
      </c>
      <c r="D31" s="541" t="s">
        <v>644</v>
      </c>
      <c r="E31" s="535">
        <v>4</v>
      </c>
      <c r="F31" s="535">
        <v>2200</v>
      </c>
      <c r="G31" s="539">
        <v>550</v>
      </c>
      <c r="H31" s="671"/>
      <c r="I31" s="536">
        <f t="shared" si="0"/>
        <v>4</v>
      </c>
      <c r="J31" s="536">
        <f t="shared" si="1"/>
        <v>2212.9504347193424</v>
      </c>
      <c r="K31" s="199">
        <f t="shared" si="2"/>
        <v>553.2376086798356</v>
      </c>
      <c r="L31" s="617"/>
      <c r="M31" s="531">
        <f>RANK(K31, K$7:$K$36)</f>
        <v>23</v>
      </c>
      <c r="N31" s="635"/>
      <c r="O31" s="635"/>
      <c r="P31" s="535">
        <v>4</v>
      </c>
      <c r="Q31" s="539">
        <v>2236.2352941176468</v>
      </c>
      <c r="R31" s="539">
        <v>559.05882352941171</v>
      </c>
      <c r="S31" s="537">
        <v>23</v>
      </c>
      <c r="T31" s="659"/>
      <c r="U31" s="535">
        <v>4</v>
      </c>
      <c r="V31" s="539">
        <v>2157.3333333333335</v>
      </c>
      <c r="W31" s="539">
        <v>539.33333333333337</v>
      </c>
      <c r="X31" s="537">
        <v>23</v>
      </c>
      <c r="Y31" s="659"/>
      <c r="Z31" s="535">
        <v>4</v>
      </c>
      <c r="AA31" s="539">
        <v>2167.5000000000036</v>
      </c>
      <c r="AB31" s="539">
        <v>541.87500000000091</v>
      </c>
      <c r="AC31" s="537">
        <v>23</v>
      </c>
      <c r="AD31" s="659"/>
      <c r="AE31" s="535">
        <v>4</v>
      </c>
      <c r="AF31" s="539">
        <v>2172.8571428571408</v>
      </c>
      <c r="AG31" s="539">
        <v>543.21428571428521</v>
      </c>
      <c r="AH31" s="537">
        <v>23</v>
      </c>
      <c r="AI31" s="659"/>
      <c r="AJ31" s="535">
        <v>4</v>
      </c>
      <c r="AK31" s="539">
        <v>2213.4545454545537</v>
      </c>
      <c r="AL31" s="539">
        <v>553.36363636363842</v>
      </c>
      <c r="AM31" s="537">
        <v>23</v>
      </c>
      <c r="AN31" s="659"/>
      <c r="AO31" s="535">
        <v>4</v>
      </c>
      <c r="AP31" s="539">
        <v>2331.272727272722</v>
      </c>
      <c r="AQ31" s="539">
        <v>582.81818181818051</v>
      </c>
      <c r="AR31" s="537">
        <v>23</v>
      </c>
      <c r="AS31" s="659"/>
      <c r="AT31" s="535">
        <v>4</v>
      </c>
      <c r="AU31" s="539">
        <v>2211.9999999999964</v>
      </c>
      <c r="AV31" s="539">
        <v>552.99999999999909</v>
      </c>
      <c r="AW31" s="537">
        <v>23</v>
      </c>
      <c r="AX31" s="659"/>
      <c r="AZ31" s="376" t="e">
        <f t="shared" si="3"/>
        <v>#N/A</v>
      </c>
      <c r="BA31" s="659"/>
    </row>
    <row r="32" spans="2:53">
      <c r="B32" s="669"/>
      <c r="C32" s="537">
        <v>26</v>
      </c>
      <c r="D32" s="540" t="s">
        <v>706</v>
      </c>
      <c r="E32" s="535">
        <v>5</v>
      </c>
      <c r="F32" s="535">
        <v>2200</v>
      </c>
      <c r="G32" s="539">
        <v>333.33333333333331</v>
      </c>
      <c r="H32" s="671"/>
      <c r="I32" s="536">
        <f t="shared" si="0"/>
        <v>5</v>
      </c>
      <c r="J32" s="536">
        <f t="shared" si="1"/>
        <v>1963.6136185243315</v>
      </c>
      <c r="K32" s="199">
        <f t="shared" si="2"/>
        <v>392.72272370486633</v>
      </c>
      <c r="L32" s="617"/>
      <c r="M32" s="531">
        <f>RANK(K32, K$7:$K$36)</f>
        <v>25</v>
      </c>
      <c r="N32" s="635"/>
      <c r="O32" s="635"/>
      <c r="P32" s="535">
        <v>5</v>
      </c>
      <c r="Q32" s="539">
        <v>1944.2857142857135</v>
      </c>
      <c r="R32" s="539">
        <v>388.85714285714272</v>
      </c>
      <c r="S32" s="537">
        <v>25</v>
      </c>
      <c r="T32" s="659"/>
      <c r="U32" s="535">
        <v>5</v>
      </c>
      <c r="V32" s="539">
        <v>1966.1538461538451</v>
      </c>
      <c r="W32" s="539">
        <v>393.230769230769</v>
      </c>
      <c r="X32" s="537">
        <v>25</v>
      </c>
      <c r="Y32" s="659"/>
      <c r="Z32" s="535">
        <v>5</v>
      </c>
      <c r="AA32" s="539">
        <v>1955.999999999998</v>
      </c>
      <c r="AB32" s="539">
        <v>391.19999999999959</v>
      </c>
      <c r="AC32" s="537">
        <v>25</v>
      </c>
      <c r="AD32" s="659"/>
      <c r="AE32" s="535">
        <v>5</v>
      </c>
      <c r="AF32" s="539">
        <v>1948.1249999999975</v>
      </c>
      <c r="AG32" s="539">
        <v>389.62499999999949</v>
      </c>
      <c r="AH32" s="537">
        <v>25</v>
      </c>
      <c r="AI32" s="659"/>
      <c r="AJ32" s="535">
        <v>5</v>
      </c>
      <c r="AK32" s="539">
        <v>1984.9999999999984</v>
      </c>
      <c r="AL32" s="539">
        <v>396.99999999999966</v>
      </c>
      <c r="AM32" s="537">
        <v>24</v>
      </c>
      <c r="AN32" s="659"/>
      <c r="AO32" s="535">
        <v>5</v>
      </c>
      <c r="AP32" s="539">
        <v>1936.4999999999995</v>
      </c>
      <c r="AQ32" s="539">
        <v>387.2999999999999</v>
      </c>
      <c r="AR32" s="537">
        <v>25</v>
      </c>
      <c r="AS32" s="659"/>
      <c r="AT32" s="535">
        <v>5</v>
      </c>
      <c r="AU32" s="539">
        <v>2009.2307692307681</v>
      </c>
      <c r="AV32" s="539">
        <v>401.84615384615364</v>
      </c>
      <c r="AW32" s="537">
        <v>24</v>
      </c>
      <c r="AX32" s="659"/>
      <c r="AZ32" s="376" t="e">
        <f t="shared" si="3"/>
        <v>#N/A</v>
      </c>
      <c r="BA32" s="659"/>
    </row>
    <row r="33" spans="2:53">
      <c r="B33" s="669"/>
      <c r="C33" s="537">
        <v>27</v>
      </c>
      <c r="D33" s="541" t="s">
        <v>648</v>
      </c>
      <c r="E33" s="535">
        <v>5</v>
      </c>
      <c r="F33" s="535">
        <v>2200</v>
      </c>
      <c r="G33" s="539">
        <v>333.33333333333331</v>
      </c>
      <c r="H33" s="671"/>
      <c r="I33" s="536">
        <f t="shared" si="0"/>
        <v>5</v>
      </c>
      <c r="J33" s="536">
        <f t="shared" si="1"/>
        <v>1975.2521571373577</v>
      </c>
      <c r="K33" s="199">
        <f t="shared" si="2"/>
        <v>395.05043142747144</v>
      </c>
      <c r="L33" s="617"/>
      <c r="M33" s="531">
        <f>RANK(K33, K$7:$K$36)</f>
        <v>24</v>
      </c>
      <c r="N33" s="635"/>
      <c r="O33" s="635"/>
      <c r="P33" s="535">
        <v>5</v>
      </c>
      <c r="Q33" s="539">
        <v>1974.3157894736846</v>
      </c>
      <c r="R33" s="539">
        <v>394.8631578947369</v>
      </c>
      <c r="S33" s="537">
        <v>24</v>
      </c>
      <c r="T33" s="659"/>
      <c r="U33" s="535">
        <v>5</v>
      </c>
      <c r="V33" s="539">
        <v>1998.9473684210527</v>
      </c>
      <c r="W33" s="539">
        <v>399.78947368421052</v>
      </c>
      <c r="X33" s="537">
        <v>24</v>
      </c>
      <c r="Y33" s="659"/>
      <c r="Z33" s="535">
        <v>5</v>
      </c>
      <c r="AA33" s="539">
        <v>1984.3902439024384</v>
      </c>
      <c r="AB33" s="539">
        <v>396.87804878048769</v>
      </c>
      <c r="AC33" s="537">
        <v>24</v>
      </c>
      <c r="AD33" s="659"/>
      <c r="AE33" s="535">
        <v>5</v>
      </c>
      <c r="AF33" s="539">
        <v>2002.1052631578962</v>
      </c>
      <c r="AG33" s="539">
        <v>400.42105263157924</v>
      </c>
      <c r="AH33" s="537">
        <v>24</v>
      </c>
      <c r="AI33" s="659"/>
      <c r="AJ33" s="535">
        <v>5</v>
      </c>
      <c r="AK33" s="539">
        <v>1966.2857142857122</v>
      </c>
      <c r="AL33" s="539">
        <v>393.25714285714241</v>
      </c>
      <c r="AM33" s="537">
        <v>25</v>
      </c>
      <c r="AN33" s="659"/>
      <c r="AO33" s="535">
        <v>5</v>
      </c>
      <c r="AP33" s="539">
        <v>1954.0540540540526</v>
      </c>
      <c r="AQ33" s="539">
        <v>390.81081081081049</v>
      </c>
      <c r="AR33" s="537">
        <v>24</v>
      </c>
      <c r="AS33" s="659"/>
      <c r="AT33" s="535">
        <v>5</v>
      </c>
      <c r="AU33" s="539">
        <v>1946.6666666666654</v>
      </c>
      <c r="AV33" s="539">
        <v>389.33333333333309</v>
      </c>
      <c r="AW33" s="537">
        <v>25</v>
      </c>
      <c r="AX33" s="659"/>
      <c r="AZ33" s="376" t="e">
        <f t="shared" si="3"/>
        <v>#N/A</v>
      </c>
      <c r="BA33" s="659"/>
    </row>
    <row r="34" spans="2:53">
      <c r="B34" s="669"/>
      <c r="C34" s="537">
        <v>28</v>
      </c>
      <c r="D34" s="535"/>
      <c r="E34" s="535"/>
      <c r="F34" s="535"/>
      <c r="G34" s="535"/>
      <c r="H34" s="671"/>
      <c r="I34" s="536" t="str">
        <f t="shared" si="0"/>
        <v>-</v>
      </c>
      <c r="J34" s="536" t="str">
        <f t="shared" si="1"/>
        <v>-</v>
      </c>
      <c r="K34" s="199" t="str">
        <f t="shared" si="2"/>
        <v>-</v>
      </c>
      <c r="L34" s="617"/>
      <c r="M34" s="531" t="e">
        <f>RANK(K34, K$7:$K$36)</f>
        <v>#VALUE!</v>
      </c>
      <c r="N34" s="635"/>
      <c r="O34" s="635"/>
      <c r="P34" s="535" t="s">
        <v>592</v>
      </c>
      <c r="Q34" s="539" t="s">
        <v>592</v>
      </c>
      <c r="R34" s="539" t="s">
        <v>592</v>
      </c>
      <c r="S34" s="537"/>
      <c r="T34" s="659"/>
      <c r="U34" s="535" t="s">
        <v>592</v>
      </c>
      <c r="V34" s="539" t="s">
        <v>592</v>
      </c>
      <c r="W34" s="539" t="s">
        <v>592</v>
      </c>
      <c r="X34" s="537" t="e">
        <v>#VALUE!</v>
      </c>
      <c r="Y34" s="659"/>
      <c r="Z34" s="535" t="s">
        <v>592</v>
      </c>
      <c r="AA34" s="539" t="s">
        <v>592</v>
      </c>
      <c r="AB34" s="539" t="s">
        <v>592</v>
      </c>
      <c r="AC34" s="537" t="e">
        <v>#VALUE!</v>
      </c>
      <c r="AD34" s="659"/>
      <c r="AE34" s="535" t="s">
        <v>592</v>
      </c>
      <c r="AF34" s="539" t="s">
        <v>592</v>
      </c>
      <c r="AG34" s="539" t="s">
        <v>592</v>
      </c>
      <c r="AH34" s="537" t="e">
        <v>#VALUE!</v>
      </c>
      <c r="AI34" s="659"/>
      <c r="AJ34" s="535" t="s">
        <v>592</v>
      </c>
      <c r="AK34" s="539" t="s">
        <v>592</v>
      </c>
      <c r="AL34" s="539" t="s">
        <v>592</v>
      </c>
      <c r="AM34" s="537" t="e">
        <v>#VALUE!</v>
      </c>
      <c r="AN34" s="659"/>
      <c r="AO34" s="535" t="s">
        <v>592</v>
      </c>
      <c r="AP34" s="539" t="s">
        <v>592</v>
      </c>
      <c r="AQ34" s="539" t="s">
        <v>592</v>
      </c>
      <c r="AR34" s="537" t="e">
        <v>#VALUE!</v>
      </c>
      <c r="AS34" s="659"/>
      <c r="AT34" s="535" t="s">
        <v>592</v>
      </c>
      <c r="AU34" s="539" t="s">
        <v>592</v>
      </c>
      <c r="AV34" s="539" t="s">
        <v>592</v>
      </c>
      <c r="AW34" s="537" t="e">
        <v>#VALUE!</v>
      </c>
      <c r="AX34" s="659"/>
      <c r="AZ34" s="376" t="e">
        <f t="shared" si="3"/>
        <v>#N/A</v>
      </c>
      <c r="BA34" s="659"/>
    </row>
    <row r="35" spans="2:53">
      <c r="B35" s="669"/>
      <c r="C35" s="537">
        <v>29</v>
      </c>
      <c r="D35" s="535"/>
      <c r="E35" s="535"/>
      <c r="F35" s="535"/>
      <c r="G35" s="535"/>
      <c r="H35" s="671"/>
      <c r="I35" s="536" t="str">
        <f t="shared" si="0"/>
        <v>-</v>
      </c>
      <c r="J35" s="536" t="str">
        <f t="shared" si="1"/>
        <v>-</v>
      </c>
      <c r="K35" s="199" t="str">
        <f t="shared" si="2"/>
        <v>-</v>
      </c>
      <c r="L35" s="617"/>
      <c r="M35" s="531" t="e">
        <f>RANK(K35, K$7:$K$36)</f>
        <v>#VALUE!</v>
      </c>
      <c r="N35" s="635"/>
      <c r="O35" s="635"/>
      <c r="P35" s="535" t="s">
        <v>592</v>
      </c>
      <c r="Q35" s="539" t="s">
        <v>592</v>
      </c>
      <c r="R35" s="539" t="s">
        <v>592</v>
      </c>
      <c r="S35" s="537"/>
      <c r="T35" s="659"/>
      <c r="U35" s="535" t="s">
        <v>592</v>
      </c>
      <c r="V35" s="539" t="s">
        <v>592</v>
      </c>
      <c r="W35" s="539" t="s">
        <v>592</v>
      </c>
      <c r="X35" s="537" t="e">
        <v>#VALUE!</v>
      </c>
      <c r="Y35" s="659"/>
      <c r="Z35" s="535" t="s">
        <v>592</v>
      </c>
      <c r="AA35" s="539" t="s">
        <v>592</v>
      </c>
      <c r="AB35" s="539" t="s">
        <v>592</v>
      </c>
      <c r="AC35" s="537" t="e">
        <v>#VALUE!</v>
      </c>
      <c r="AD35" s="659"/>
      <c r="AE35" s="535" t="s">
        <v>592</v>
      </c>
      <c r="AF35" s="539" t="s">
        <v>592</v>
      </c>
      <c r="AG35" s="539" t="s">
        <v>592</v>
      </c>
      <c r="AH35" s="537" t="e">
        <v>#VALUE!</v>
      </c>
      <c r="AI35" s="659"/>
      <c r="AJ35" s="535" t="s">
        <v>592</v>
      </c>
      <c r="AK35" s="539" t="s">
        <v>592</v>
      </c>
      <c r="AL35" s="539" t="s">
        <v>592</v>
      </c>
      <c r="AM35" s="537" t="e">
        <v>#VALUE!</v>
      </c>
      <c r="AN35" s="659"/>
      <c r="AO35" s="535" t="s">
        <v>592</v>
      </c>
      <c r="AP35" s="539" t="s">
        <v>592</v>
      </c>
      <c r="AQ35" s="539" t="s">
        <v>592</v>
      </c>
      <c r="AR35" s="537" t="e">
        <v>#VALUE!</v>
      </c>
      <c r="AS35" s="659"/>
      <c r="AT35" s="535" t="s">
        <v>592</v>
      </c>
      <c r="AU35" s="539" t="s">
        <v>592</v>
      </c>
      <c r="AV35" s="539" t="s">
        <v>592</v>
      </c>
      <c r="AW35" s="537" t="e">
        <v>#VALUE!</v>
      </c>
      <c r="AX35" s="659"/>
      <c r="AZ35" s="376" t="e">
        <f t="shared" si="3"/>
        <v>#N/A</v>
      </c>
      <c r="BA35" s="659"/>
    </row>
    <row r="36" spans="2:53">
      <c r="B36" s="669"/>
      <c r="C36" s="537">
        <v>30</v>
      </c>
      <c r="D36" s="535"/>
      <c r="E36" s="535"/>
      <c r="F36" s="535"/>
      <c r="G36" s="535"/>
      <c r="H36" s="671"/>
      <c r="I36" s="536" t="str">
        <f t="shared" si="0"/>
        <v>-</v>
      </c>
      <c r="J36" s="536" t="str">
        <f t="shared" si="1"/>
        <v>-</v>
      </c>
      <c r="K36" s="199" t="str">
        <f t="shared" si="2"/>
        <v>-</v>
      </c>
      <c r="L36" s="618"/>
      <c r="M36" s="531" t="e">
        <f>RANK(K36, K$7:$K$36)</f>
        <v>#VALUE!</v>
      </c>
      <c r="N36" s="635"/>
      <c r="O36" s="635"/>
      <c r="P36" s="535" t="s">
        <v>592</v>
      </c>
      <c r="Q36" s="539" t="s">
        <v>592</v>
      </c>
      <c r="R36" s="539" t="s">
        <v>592</v>
      </c>
      <c r="S36" s="537"/>
      <c r="T36" s="659"/>
      <c r="U36" s="535" t="s">
        <v>592</v>
      </c>
      <c r="V36" s="539" t="s">
        <v>592</v>
      </c>
      <c r="W36" s="539" t="s">
        <v>592</v>
      </c>
      <c r="X36" s="537" t="e">
        <v>#VALUE!</v>
      </c>
      <c r="Y36" s="659"/>
      <c r="Z36" s="535" t="s">
        <v>592</v>
      </c>
      <c r="AA36" s="539" t="s">
        <v>592</v>
      </c>
      <c r="AB36" s="539" t="s">
        <v>592</v>
      </c>
      <c r="AC36" s="537" t="e">
        <v>#VALUE!</v>
      </c>
      <c r="AD36" s="659"/>
      <c r="AE36" s="535" t="s">
        <v>592</v>
      </c>
      <c r="AF36" s="539" t="s">
        <v>592</v>
      </c>
      <c r="AG36" s="539" t="s">
        <v>592</v>
      </c>
      <c r="AH36" s="537" t="e">
        <v>#VALUE!</v>
      </c>
      <c r="AI36" s="659"/>
      <c r="AJ36" s="535" t="s">
        <v>592</v>
      </c>
      <c r="AK36" s="539" t="s">
        <v>592</v>
      </c>
      <c r="AL36" s="539" t="s">
        <v>592</v>
      </c>
      <c r="AM36" s="537" t="e">
        <v>#VALUE!</v>
      </c>
      <c r="AN36" s="659"/>
      <c r="AO36" s="535" t="s">
        <v>592</v>
      </c>
      <c r="AP36" s="539" t="s">
        <v>592</v>
      </c>
      <c r="AQ36" s="539" t="s">
        <v>592</v>
      </c>
      <c r="AR36" s="537" t="e">
        <v>#VALUE!</v>
      </c>
      <c r="AS36" s="659"/>
      <c r="AT36" s="535" t="s">
        <v>592</v>
      </c>
      <c r="AU36" s="539" t="s">
        <v>592</v>
      </c>
      <c r="AV36" s="539" t="s">
        <v>592</v>
      </c>
      <c r="AW36" s="537" t="e">
        <v>#VALUE!</v>
      </c>
      <c r="AX36" s="659"/>
      <c r="AZ36" s="376" t="e">
        <f t="shared" si="3"/>
        <v>#N/A</v>
      </c>
      <c r="BA36" s="659"/>
    </row>
    <row r="37" spans="2:53" ht="15.75">
      <c r="B37" s="666" t="s">
        <v>162</v>
      </c>
      <c r="C37" s="667"/>
      <c r="D37" s="667"/>
      <c r="E37" s="667"/>
      <c r="F37" s="667"/>
      <c r="G37" s="667"/>
      <c r="H37" s="667"/>
      <c r="I37" s="202"/>
      <c r="J37" s="202"/>
      <c r="K37" s="202"/>
      <c r="L37" s="202"/>
      <c r="M37" s="203"/>
      <c r="N37" s="639" t="s">
        <v>156</v>
      </c>
      <c r="O37" s="639" t="s">
        <v>155</v>
      </c>
      <c r="P37" s="645">
        <f>P2+7</f>
        <v>46210</v>
      </c>
      <c r="Q37" s="646"/>
      <c r="R37" s="646"/>
      <c r="S37" s="646"/>
      <c r="T37" s="646"/>
      <c r="U37" s="645">
        <f>P37+1</f>
        <v>46211</v>
      </c>
      <c r="V37" s="646"/>
      <c r="W37" s="646"/>
      <c r="X37" s="646"/>
      <c r="Y37" s="646"/>
      <c r="Z37" s="645">
        <f>U37+1</f>
        <v>46212</v>
      </c>
      <c r="AA37" s="646"/>
      <c r="AB37" s="646"/>
      <c r="AC37" s="646"/>
      <c r="AD37" s="646"/>
      <c r="AE37" s="645">
        <f>Z37+1</f>
        <v>46213</v>
      </c>
      <c r="AF37" s="646"/>
      <c r="AG37" s="646"/>
      <c r="AH37" s="646"/>
      <c r="AI37" s="646"/>
      <c r="AJ37" s="645">
        <f>AE37+1</f>
        <v>46214</v>
      </c>
      <c r="AK37" s="646"/>
      <c r="AL37" s="646"/>
      <c r="AM37" s="646"/>
      <c r="AN37" s="646"/>
      <c r="AO37" s="645">
        <f>AJ37+1</f>
        <v>46215</v>
      </c>
      <c r="AP37" s="646"/>
      <c r="AQ37" s="646"/>
      <c r="AR37" s="646"/>
      <c r="AS37" s="646"/>
      <c r="AT37" s="645">
        <f>AO37+1</f>
        <v>46216</v>
      </c>
      <c r="AU37" s="646"/>
      <c r="AV37" s="646"/>
      <c r="AW37" s="646"/>
      <c r="AX37" s="646"/>
    </row>
    <row r="38" spans="2:53" ht="15.75">
      <c r="B38" s="653"/>
      <c r="C38" s="653"/>
      <c r="D38" s="653"/>
      <c r="E38" s="653"/>
      <c r="F38" s="653"/>
      <c r="G38" s="653"/>
      <c r="H38" s="653"/>
      <c r="I38" s="204"/>
      <c r="J38" s="204"/>
      <c r="K38" s="204"/>
      <c r="L38" s="204"/>
      <c r="M38" s="205"/>
      <c r="N38" s="641"/>
      <c r="O38" s="641"/>
      <c r="P38" s="645" t="s">
        <v>317</v>
      </c>
      <c r="Q38" s="646"/>
      <c r="R38" s="646"/>
      <c r="S38" s="646"/>
      <c r="T38" s="646"/>
      <c r="U38" s="645" t="s">
        <v>318</v>
      </c>
      <c r="V38" s="646"/>
      <c r="W38" s="646"/>
      <c r="X38" s="646"/>
      <c r="Y38" s="646"/>
      <c r="Z38" s="645" t="s">
        <v>319</v>
      </c>
      <c r="AA38" s="646"/>
      <c r="AB38" s="646"/>
      <c r="AC38" s="646"/>
      <c r="AD38" s="646"/>
      <c r="AE38" s="645" t="s">
        <v>320</v>
      </c>
      <c r="AF38" s="646"/>
      <c r="AG38" s="646"/>
      <c r="AH38" s="646"/>
      <c r="AI38" s="646"/>
      <c r="AJ38" s="645" t="s">
        <v>321</v>
      </c>
      <c r="AK38" s="646"/>
      <c r="AL38" s="646"/>
      <c r="AM38" s="646"/>
      <c r="AN38" s="646"/>
      <c r="AO38" s="645" t="s">
        <v>322</v>
      </c>
      <c r="AP38" s="646"/>
      <c r="AQ38" s="646"/>
      <c r="AR38" s="646"/>
      <c r="AS38" s="646"/>
      <c r="AT38" s="645" t="s">
        <v>323</v>
      </c>
      <c r="AU38" s="646"/>
      <c r="AV38" s="646"/>
      <c r="AW38" s="646"/>
      <c r="AX38" s="646"/>
    </row>
    <row r="39" spans="2:53">
      <c r="B39" s="639" t="s">
        <v>432</v>
      </c>
      <c r="C39" s="636" t="s">
        <v>433</v>
      </c>
      <c r="D39" s="654"/>
      <c r="E39" s="632" t="s">
        <v>434</v>
      </c>
      <c r="F39" s="633"/>
      <c r="G39" s="634"/>
      <c r="H39" s="639" t="s">
        <v>369</v>
      </c>
      <c r="I39" s="623" t="s">
        <v>374</v>
      </c>
      <c r="J39" s="624"/>
      <c r="K39" s="625"/>
      <c r="L39" s="626" t="s">
        <v>369</v>
      </c>
      <c r="M39" s="626" t="s">
        <v>370</v>
      </c>
      <c r="N39" s="639"/>
      <c r="O39" s="639" t="s">
        <v>435</v>
      </c>
      <c r="P39" s="632" t="s">
        <v>436</v>
      </c>
      <c r="Q39" s="633"/>
      <c r="R39" s="633"/>
      <c r="S39" s="634"/>
      <c r="T39" s="639" t="s">
        <v>369</v>
      </c>
      <c r="U39" s="632" t="s">
        <v>371</v>
      </c>
      <c r="V39" s="633"/>
      <c r="W39" s="633"/>
      <c r="X39" s="634"/>
      <c r="Y39" s="639" t="s">
        <v>369</v>
      </c>
      <c r="Z39" s="632" t="s">
        <v>371</v>
      </c>
      <c r="AA39" s="633"/>
      <c r="AB39" s="633"/>
      <c r="AC39" s="634"/>
      <c r="AD39" s="639" t="s">
        <v>437</v>
      </c>
      <c r="AE39" s="632" t="s">
        <v>371</v>
      </c>
      <c r="AF39" s="633"/>
      <c r="AG39" s="633"/>
      <c r="AH39" s="634"/>
      <c r="AI39" s="639" t="s">
        <v>369</v>
      </c>
      <c r="AJ39" s="632" t="s">
        <v>371</v>
      </c>
      <c r="AK39" s="633"/>
      <c r="AL39" s="633"/>
      <c r="AM39" s="634"/>
      <c r="AN39" s="639" t="s">
        <v>437</v>
      </c>
      <c r="AO39" s="632" t="s">
        <v>436</v>
      </c>
      <c r="AP39" s="633"/>
      <c r="AQ39" s="633"/>
      <c r="AR39" s="634"/>
      <c r="AS39" s="639" t="s">
        <v>437</v>
      </c>
      <c r="AT39" s="632" t="s">
        <v>436</v>
      </c>
      <c r="AU39" s="633"/>
      <c r="AV39" s="633"/>
      <c r="AW39" s="634"/>
      <c r="AX39" s="639" t="s">
        <v>437</v>
      </c>
      <c r="BA39" s="639" t="s">
        <v>369</v>
      </c>
    </row>
    <row r="40" spans="2:53">
      <c r="B40" s="640"/>
      <c r="C40" s="637"/>
      <c r="D40" s="655"/>
      <c r="E40" s="632" t="s">
        <v>376</v>
      </c>
      <c r="F40" s="633"/>
      <c r="G40" s="634"/>
      <c r="H40" s="640"/>
      <c r="I40" s="623" t="s">
        <v>376</v>
      </c>
      <c r="J40" s="624"/>
      <c r="K40" s="625"/>
      <c r="L40" s="627"/>
      <c r="M40" s="627"/>
      <c r="N40" s="640"/>
      <c r="O40" s="640"/>
      <c r="P40" s="632" t="s">
        <v>377</v>
      </c>
      <c r="Q40" s="633"/>
      <c r="R40" s="633"/>
      <c r="S40" s="634"/>
      <c r="T40" s="640"/>
      <c r="U40" s="632" t="s">
        <v>438</v>
      </c>
      <c r="V40" s="633"/>
      <c r="W40" s="633"/>
      <c r="X40" s="634"/>
      <c r="Y40" s="640"/>
      <c r="Z40" s="632" t="s">
        <v>438</v>
      </c>
      <c r="AA40" s="633"/>
      <c r="AB40" s="633"/>
      <c r="AC40" s="634"/>
      <c r="AD40" s="640"/>
      <c r="AE40" s="632" t="s">
        <v>377</v>
      </c>
      <c r="AF40" s="633"/>
      <c r="AG40" s="633"/>
      <c r="AH40" s="634"/>
      <c r="AI40" s="640"/>
      <c r="AJ40" s="632" t="s">
        <v>377</v>
      </c>
      <c r="AK40" s="633"/>
      <c r="AL40" s="633"/>
      <c r="AM40" s="634"/>
      <c r="AN40" s="640"/>
      <c r="AO40" s="632" t="s">
        <v>377</v>
      </c>
      <c r="AP40" s="633"/>
      <c r="AQ40" s="633"/>
      <c r="AR40" s="634"/>
      <c r="AS40" s="640"/>
      <c r="AT40" s="632" t="s">
        <v>377</v>
      </c>
      <c r="AU40" s="633"/>
      <c r="AV40" s="633"/>
      <c r="AW40" s="634"/>
      <c r="AX40" s="640"/>
      <c r="BA40" s="640"/>
    </row>
    <row r="41" spans="2:53">
      <c r="B41" s="641"/>
      <c r="C41" s="638"/>
      <c r="D41" s="656"/>
      <c r="E41" s="295" t="s">
        <v>378</v>
      </c>
      <c r="F41" s="295" t="s">
        <v>379</v>
      </c>
      <c r="G41" s="295" t="s">
        <v>439</v>
      </c>
      <c r="H41" s="641"/>
      <c r="I41" s="294" t="s">
        <v>378</v>
      </c>
      <c r="J41" s="294" t="s">
        <v>379</v>
      </c>
      <c r="K41" s="294" t="s">
        <v>380</v>
      </c>
      <c r="L41" s="628"/>
      <c r="M41" s="628"/>
      <c r="N41" s="640"/>
      <c r="O41" s="640"/>
      <c r="P41" s="295" t="s">
        <v>378</v>
      </c>
      <c r="Q41" s="295" t="s">
        <v>440</v>
      </c>
      <c r="R41" s="295" t="s">
        <v>380</v>
      </c>
      <c r="S41" s="295" t="s">
        <v>370</v>
      </c>
      <c r="T41" s="641"/>
      <c r="U41" s="295" t="s">
        <v>378</v>
      </c>
      <c r="V41" s="295" t="s">
        <v>379</v>
      </c>
      <c r="W41" s="295" t="s">
        <v>380</v>
      </c>
      <c r="X41" s="295" t="s">
        <v>441</v>
      </c>
      <c r="Y41" s="641"/>
      <c r="Z41" s="295" t="s">
        <v>442</v>
      </c>
      <c r="AA41" s="295" t="s">
        <v>379</v>
      </c>
      <c r="AB41" s="295" t="s">
        <v>380</v>
      </c>
      <c r="AC41" s="295" t="s">
        <v>441</v>
      </c>
      <c r="AD41" s="641"/>
      <c r="AE41" s="295" t="s">
        <v>378</v>
      </c>
      <c r="AF41" s="295" t="s">
        <v>379</v>
      </c>
      <c r="AG41" s="295" t="s">
        <v>380</v>
      </c>
      <c r="AH41" s="295" t="s">
        <v>441</v>
      </c>
      <c r="AI41" s="641"/>
      <c r="AJ41" s="295" t="s">
        <v>442</v>
      </c>
      <c r="AK41" s="295" t="s">
        <v>379</v>
      </c>
      <c r="AL41" s="295" t="s">
        <v>380</v>
      </c>
      <c r="AM41" s="295" t="s">
        <v>370</v>
      </c>
      <c r="AN41" s="641"/>
      <c r="AO41" s="295" t="s">
        <v>442</v>
      </c>
      <c r="AP41" s="295" t="s">
        <v>379</v>
      </c>
      <c r="AQ41" s="295" t="s">
        <v>380</v>
      </c>
      <c r="AR41" s="295" t="s">
        <v>441</v>
      </c>
      <c r="AS41" s="641"/>
      <c r="AT41" s="295" t="s">
        <v>442</v>
      </c>
      <c r="AU41" s="295" t="s">
        <v>379</v>
      </c>
      <c r="AV41" s="295" t="s">
        <v>380</v>
      </c>
      <c r="AW41" s="295" t="s">
        <v>441</v>
      </c>
      <c r="AX41" s="641"/>
      <c r="AZ41" s="377" t="s">
        <v>370</v>
      </c>
      <c r="BA41" s="641"/>
    </row>
    <row r="42" spans="2:53">
      <c r="B42" s="663" t="s">
        <v>150</v>
      </c>
      <c r="C42" s="296">
        <v>1</v>
      </c>
      <c r="D42" s="201" t="s">
        <v>336</v>
      </c>
      <c r="E42" s="201">
        <v>3</v>
      </c>
      <c r="F42" s="201">
        <v>3200</v>
      </c>
      <c r="G42" s="536">
        <v>1066.6666666666667</v>
      </c>
      <c r="H42" s="647">
        <f>AVERAGE(G42:G71)</f>
        <v>773.55769230769215</v>
      </c>
      <c r="I42" s="367">
        <f>IFERROR(AVERAGE(P42,U42,Z42,AE42,AJ42,AO42,AT42),"-")</f>
        <v>3</v>
      </c>
      <c r="J42" s="367">
        <f>IFERROR(AVERAGE(Q42,V42,AA42,AF42,AK42,AP42,AU42),"-")</f>
        <v>3195.7687620257279</v>
      </c>
      <c r="K42" s="199">
        <f>IFERROR(AVERAGE(R42,W42,AB42,AG42,AL42,AQ42,AV42),"-")</f>
        <v>1065.256254008576</v>
      </c>
      <c r="L42" s="616">
        <f>IFERROR(AVERAGE(K42:K71),"-")</f>
        <v>777.29419305090289</v>
      </c>
      <c r="M42" s="198">
        <f>RANK(K42, K$42:$K$71)</f>
        <v>2</v>
      </c>
      <c r="N42" s="640"/>
      <c r="O42" s="640"/>
      <c r="P42" s="476">
        <v>3</v>
      </c>
      <c r="Q42" s="388">
        <v>3368.4210526315815</v>
      </c>
      <c r="R42" s="388">
        <v>1122.8070175438604</v>
      </c>
      <c r="S42" s="542">
        <f t="shared" ref="S42:S71" si="4">RANK(R42, R$42:R$71)</f>
        <v>1</v>
      </c>
      <c r="T42" s="647">
        <f t="shared" ref="T42" si="5">AVERAGE(R42:R71)</f>
        <v>776.35028505939545</v>
      </c>
      <c r="U42" s="476">
        <v>3</v>
      </c>
      <c r="V42" s="388">
        <v>3157.0909090909063</v>
      </c>
      <c r="W42" s="388">
        <v>1052.3636363636354</v>
      </c>
      <c r="X42" s="542">
        <f t="shared" ref="X42:X71" si="6">RANK(W42, W$42:W$71)</f>
        <v>3</v>
      </c>
      <c r="Y42" s="647">
        <f t="shared" ref="Y42" si="7">AVERAGE(W42:W71)</f>
        <v>774.17663611798423</v>
      </c>
      <c r="Z42" s="476">
        <v>3</v>
      </c>
      <c r="AA42" s="388">
        <v>3158.8235294117612</v>
      </c>
      <c r="AB42" s="388">
        <v>1052.9411764705872</v>
      </c>
      <c r="AC42" s="542">
        <f t="shared" ref="AC42:AC71" si="8">RANK(AB42, AB$42:AB$71)</f>
        <v>3</v>
      </c>
      <c r="AD42" s="647">
        <f t="shared" ref="AD42" si="9">AVERAGE(AB42:AB71)</f>
        <v>773.25302918537659</v>
      </c>
      <c r="AE42" s="476">
        <v>3</v>
      </c>
      <c r="AF42" s="388">
        <v>3175.909090909091</v>
      </c>
      <c r="AG42" s="388">
        <v>1058.6363636363637</v>
      </c>
      <c r="AH42" s="542">
        <f t="shared" ref="AH42:AH71" si="10">RANK(AG42, AG$42:AG$71)</f>
        <v>5</v>
      </c>
      <c r="AI42" s="647">
        <f t="shared" ref="AI42" si="11">AVERAGE(AG42:AG71)</f>
        <v>776.53225248422382</v>
      </c>
      <c r="AJ42" s="476">
        <v>3</v>
      </c>
      <c r="AK42" s="388">
        <v>3141.333333333333</v>
      </c>
      <c r="AL42" s="388">
        <v>1047.1111111111111</v>
      </c>
      <c r="AM42" s="542">
        <f t="shared" ref="AM42:AM71" si="12">RANK(AL42, AL$42:AL$71)</f>
        <v>4</v>
      </c>
      <c r="AN42" s="647">
        <f t="shared" ref="AN42" si="13">AVERAGE(AL42:AL71)</f>
        <v>778.63734149079278</v>
      </c>
      <c r="AO42" s="476">
        <v>3</v>
      </c>
      <c r="AP42" s="388">
        <v>3161.1111111111127</v>
      </c>
      <c r="AQ42" s="388">
        <v>1053.7037037037042</v>
      </c>
      <c r="AR42" s="542">
        <f t="shared" ref="AR42:AR71" si="14">RANK(AQ42, AQ$42:AQ$71)</f>
        <v>3</v>
      </c>
      <c r="AS42" s="647">
        <f t="shared" ref="AS42" si="15">AVERAGE(AQ42:AQ71)</f>
        <v>780.44223139703593</v>
      </c>
      <c r="AT42" s="476">
        <v>3</v>
      </c>
      <c r="AU42" s="388">
        <v>3207.6923076923094</v>
      </c>
      <c r="AV42" s="388">
        <v>1069.2307692307697</v>
      </c>
      <c r="AW42" s="542">
        <f t="shared" ref="AW42:AW71" si="16">RANK(AV42, AV$42:AV$71)</f>
        <v>1</v>
      </c>
      <c r="AX42" s="647">
        <f t="shared" ref="AX42" si="17">AVERAGE(AV42:AV71)</f>
        <v>781.66757562151122</v>
      </c>
      <c r="AZ42" s="376" t="e">
        <f t="shared" ref="AZ42:AZ71" si="18">RANK(AY42, AY$42:AY$71)</f>
        <v>#N/A</v>
      </c>
      <c r="BA42" s="647" t="e">
        <f t="shared" ref="BA42" si="19">AVERAGE(AY42:AY71)</f>
        <v>#DIV/0!</v>
      </c>
    </row>
    <row r="43" spans="2:53">
      <c r="B43" s="664"/>
      <c r="C43" s="296">
        <v>2</v>
      </c>
      <c r="D43" s="538" t="s">
        <v>337</v>
      </c>
      <c r="E43" s="201">
        <v>3</v>
      </c>
      <c r="F43" s="201">
        <v>3200</v>
      </c>
      <c r="G43" s="536">
        <v>1066.6666666666667</v>
      </c>
      <c r="H43" s="648"/>
      <c r="I43" s="367">
        <f t="shared" ref="I43:I71" si="20">IFERROR(AVERAGE(P43,U43,Z43,AE43,AJ43,AO43,AT43),"-")</f>
        <v>3</v>
      </c>
      <c r="J43" s="367">
        <f t="shared" ref="J43:J71" si="21">IFERROR(AVERAGE(Q43,V43,AA43,AF43,AK43,AP43,AU43),"-")</f>
        <v>3145.39845411848</v>
      </c>
      <c r="K43" s="199">
        <f t="shared" ref="K43:K71" si="22">IFERROR(AVERAGE(R43,W43,AB43,AG43,AL43,AQ43,AV43),"-")</f>
        <v>1048.4661513728267</v>
      </c>
      <c r="L43" s="617"/>
      <c r="M43" s="198">
        <f>RANK(K43, K$42:$K$71)</f>
        <v>3</v>
      </c>
      <c r="N43" s="640"/>
      <c r="O43" s="640"/>
      <c r="P43" s="476">
        <v>3</v>
      </c>
      <c r="Q43" s="388">
        <v>3148.4210526315637</v>
      </c>
      <c r="R43" s="388">
        <v>1049.4736842105212</v>
      </c>
      <c r="S43" s="542">
        <f t="shared" si="4"/>
        <v>3</v>
      </c>
      <c r="T43" s="648"/>
      <c r="U43" s="476">
        <v>3</v>
      </c>
      <c r="V43" s="388">
        <v>3097.89473684209</v>
      </c>
      <c r="W43" s="388">
        <v>1032.6315789473633</v>
      </c>
      <c r="X43" s="542">
        <f t="shared" si="6"/>
        <v>7</v>
      </c>
      <c r="Y43" s="648"/>
      <c r="Z43" s="476">
        <v>3</v>
      </c>
      <c r="AA43" s="388">
        <v>3153.3333333333308</v>
      </c>
      <c r="AB43" s="388">
        <v>1051.1111111111102</v>
      </c>
      <c r="AC43" s="542">
        <f t="shared" si="8"/>
        <v>4</v>
      </c>
      <c r="AD43" s="648"/>
      <c r="AE43" s="476">
        <v>3</v>
      </c>
      <c r="AF43" s="388">
        <v>3187.9999999999945</v>
      </c>
      <c r="AG43" s="388">
        <v>1062.6666666666649</v>
      </c>
      <c r="AH43" s="542">
        <f t="shared" si="10"/>
        <v>3</v>
      </c>
      <c r="AI43" s="648"/>
      <c r="AJ43" s="476">
        <v>3</v>
      </c>
      <c r="AK43" s="388">
        <v>3128.5714285714221</v>
      </c>
      <c r="AL43" s="388">
        <v>1042.8571428571406</v>
      </c>
      <c r="AM43" s="542">
        <f t="shared" si="12"/>
        <v>7</v>
      </c>
      <c r="AN43" s="648"/>
      <c r="AO43" s="476">
        <v>3</v>
      </c>
      <c r="AP43" s="388">
        <v>3153.3333333333308</v>
      </c>
      <c r="AQ43" s="388">
        <v>1051.1111111111102</v>
      </c>
      <c r="AR43" s="542">
        <f t="shared" si="14"/>
        <v>5</v>
      </c>
      <c r="AS43" s="648"/>
      <c r="AT43" s="476">
        <v>3</v>
      </c>
      <c r="AU43" s="388">
        <v>3148.2352941176287</v>
      </c>
      <c r="AV43" s="388">
        <v>1049.4117647058763</v>
      </c>
      <c r="AW43" s="542">
        <f t="shared" si="16"/>
        <v>6</v>
      </c>
      <c r="AX43" s="648"/>
      <c r="AZ43" s="376" t="e">
        <f t="shared" si="18"/>
        <v>#N/A</v>
      </c>
      <c r="BA43" s="648"/>
    </row>
    <row r="44" spans="2:53">
      <c r="B44" s="664"/>
      <c r="C44" s="296">
        <v>3</v>
      </c>
      <c r="D44" s="201" t="s">
        <v>328</v>
      </c>
      <c r="E44" s="201">
        <v>4</v>
      </c>
      <c r="F44" s="201">
        <v>3200</v>
      </c>
      <c r="G44" s="536">
        <v>800</v>
      </c>
      <c r="H44" s="648"/>
      <c r="I44" s="367">
        <f t="shared" si="20"/>
        <v>4</v>
      </c>
      <c r="J44" s="367">
        <f t="shared" si="21"/>
        <v>3087.0278293135389</v>
      </c>
      <c r="K44" s="199">
        <f t="shared" si="22"/>
        <v>771.75695732838471</v>
      </c>
      <c r="L44" s="617"/>
      <c r="M44" s="198">
        <f>RANK(K44, K$42:$K$71)</f>
        <v>15</v>
      </c>
      <c r="N44" s="640"/>
      <c r="O44" s="640"/>
      <c r="P44" s="476">
        <v>4</v>
      </c>
      <c r="Q44" s="388">
        <v>3059.9999999999964</v>
      </c>
      <c r="R44" s="388">
        <v>764.99999999999909</v>
      </c>
      <c r="S44" s="542">
        <f t="shared" si="4"/>
        <v>15</v>
      </c>
      <c r="T44" s="648"/>
      <c r="U44" s="476">
        <v>4</v>
      </c>
      <c r="V44" s="388">
        <v>3044.9999999999959</v>
      </c>
      <c r="W44" s="388">
        <v>761.24999999999898</v>
      </c>
      <c r="X44" s="542">
        <f t="shared" si="6"/>
        <v>16</v>
      </c>
      <c r="Y44" s="648"/>
      <c r="Z44" s="476">
        <v>4</v>
      </c>
      <c r="AA44" s="388">
        <v>3023.999999999995</v>
      </c>
      <c r="AB44" s="388">
        <v>755.99999999999875</v>
      </c>
      <c r="AC44" s="542">
        <f t="shared" si="8"/>
        <v>15</v>
      </c>
      <c r="AD44" s="648"/>
      <c r="AE44" s="476">
        <v>4</v>
      </c>
      <c r="AF44" s="388">
        <v>3134.99999999999</v>
      </c>
      <c r="AG44" s="388">
        <v>783.7499999999975</v>
      </c>
      <c r="AH44" s="542">
        <f t="shared" si="10"/>
        <v>14</v>
      </c>
      <c r="AI44" s="648"/>
      <c r="AJ44" s="476">
        <v>4</v>
      </c>
      <c r="AK44" s="388">
        <v>3070.9090909090796</v>
      </c>
      <c r="AL44" s="388">
        <v>767.72727272726991</v>
      </c>
      <c r="AM44" s="542">
        <f t="shared" si="12"/>
        <v>15</v>
      </c>
      <c r="AN44" s="648"/>
      <c r="AO44" s="476">
        <v>4</v>
      </c>
      <c r="AP44" s="388">
        <v>3180.0000000000109</v>
      </c>
      <c r="AQ44" s="388">
        <v>795.00000000000273</v>
      </c>
      <c r="AR44" s="542">
        <f t="shared" si="14"/>
        <v>13</v>
      </c>
      <c r="AS44" s="648"/>
      <c r="AT44" s="476">
        <v>4</v>
      </c>
      <c r="AU44" s="388">
        <v>3094.2857142857079</v>
      </c>
      <c r="AV44" s="388">
        <v>773.57142857142696</v>
      </c>
      <c r="AW44" s="542">
        <f t="shared" si="16"/>
        <v>15</v>
      </c>
      <c r="AX44" s="648"/>
      <c r="AZ44" s="376" t="e">
        <f t="shared" si="18"/>
        <v>#N/A</v>
      </c>
      <c r="BA44" s="648"/>
    </row>
    <row r="45" spans="2:53">
      <c r="B45" s="664"/>
      <c r="C45" s="296">
        <v>4</v>
      </c>
      <c r="D45" s="201" t="s">
        <v>338</v>
      </c>
      <c r="E45" s="201">
        <v>3</v>
      </c>
      <c r="F45" s="201">
        <v>3200</v>
      </c>
      <c r="G45" s="536">
        <v>1066.6666666666667</v>
      </c>
      <c r="H45" s="648"/>
      <c r="I45" s="367">
        <f t="shared" si="20"/>
        <v>3</v>
      </c>
      <c r="J45" s="367">
        <f t="shared" si="21"/>
        <v>3196.5980510180129</v>
      </c>
      <c r="K45" s="199">
        <f t="shared" si="22"/>
        <v>1065.5326836726711</v>
      </c>
      <c r="L45" s="617"/>
      <c r="M45" s="198">
        <f>RANK(K45, K$42:$K$71)</f>
        <v>1</v>
      </c>
      <c r="N45" s="640"/>
      <c r="O45" s="640"/>
      <c r="P45" s="476">
        <v>3</v>
      </c>
      <c r="Q45" s="388">
        <v>3184.827586206899</v>
      </c>
      <c r="R45" s="388">
        <v>1061.6091954022997</v>
      </c>
      <c r="S45" s="542">
        <f t="shared" si="4"/>
        <v>2</v>
      </c>
      <c r="T45" s="648"/>
      <c r="U45" s="476">
        <v>3</v>
      </c>
      <c r="V45" s="388">
        <v>3193.2558139534881</v>
      </c>
      <c r="W45" s="388">
        <v>1064.4186046511627</v>
      </c>
      <c r="X45" s="542">
        <f t="shared" si="6"/>
        <v>1</v>
      </c>
      <c r="Y45" s="648"/>
      <c r="Z45" s="476">
        <v>3</v>
      </c>
      <c r="AA45" s="388">
        <v>3211.8987341772104</v>
      </c>
      <c r="AB45" s="388">
        <v>1070.6329113924035</v>
      </c>
      <c r="AC45" s="542">
        <f t="shared" si="8"/>
        <v>1</v>
      </c>
      <c r="AD45" s="648"/>
      <c r="AE45" s="476">
        <v>3</v>
      </c>
      <c r="AF45" s="388">
        <v>3197.0149253731302</v>
      </c>
      <c r="AG45" s="388">
        <v>1065.6716417910434</v>
      </c>
      <c r="AH45" s="542">
        <f t="shared" si="10"/>
        <v>2</v>
      </c>
      <c r="AI45" s="648"/>
      <c r="AJ45" s="476">
        <v>3</v>
      </c>
      <c r="AK45" s="388">
        <v>3199.7014925373132</v>
      </c>
      <c r="AL45" s="388">
        <v>1066.5671641791043</v>
      </c>
      <c r="AM45" s="542">
        <f t="shared" si="12"/>
        <v>2</v>
      </c>
      <c r="AN45" s="648"/>
      <c r="AO45" s="476">
        <v>3</v>
      </c>
      <c r="AP45" s="388">
        <v>3200.4878048780511</v>
      </c>
      <c r="AQ45" s="388">
        <v>1066.8292682926838</v>
      </c>
      <c r="AR45" s="542">
        <f t="shared" si="14"/>
        <v>1</v>
      </c>
      <c r="AS45" s="648"/>
      <c r="AT45" s="476">
        <v>3</v>
      </c>
      <c r="AU45" s="388">
        <v>3188.9999999999991</v>
      </c>
      <c r="AV45" s="388">
        <v>1062.9999999999998</v>
      </c>
      <c r="AW45" s="542">
        <f t="shared" si="16"/>
        <v>3</v>
      </c>
      <c r="AX45" s="648"/>
      <c r="AZ45" s="376" t="e">
        <f t="shared" si="18"/>
        <v>#N/A</v>
      </c>
      <c r="BA45" s="648"/>
    </row>
    <row r="46" spans="2:53">
      <c r="B46" s="664"/>
      <c r="C46" s="296">
        <v>5</v>
      </c>
      <c r="D46" s="201" t="s">
        <v>568</v>
      </c>
      <c r="E46" s="201">
        <v>4</v>
      </c>
      <c r="F46" s="201">
        <v>3200</v>
      </c>
      <c r="G46" s="536">
        <v>800</v>
      </c>
      <c r="H46" s="648"/>
      <c r="I46" s="367">
        <f t="shared" si="20"/>
        <v>4</v>
      </c>
      <c r="J46" s="367">
        <f t="shared" si="21"/>
        <v>3088.65411092667</v>
      </c>
      <c r="K46" s="199">
        <f t="shared" si="22"/>
        <v>772.1635277316675</v>
      </c>
      <c r="L46" s="617"/>
      <c r="M46" s="198">
        <f>RANK(K46, K$42:$K$71)</f>
        <v>14</v>
      </c>
      <c r="N46" s="640"/>
      <c r="O46" s="640"/>
      <c r="P46" s="476">
        <v>4</v>
      </c>
      <c r="Q46" s="388">
        <v>3095.0000000000009</v>
      </c>
      <c r="R46" s="388">
        <v>773.75000000000023</v>
      </c>
      <c r="S46" s="542">
        <f t="shared" si="4"/>
        <v>14</v>
      </c>
      <c r="T46" s="648"/>
      <c r="U46" s="476">
        <v>4</v>
      </c>
      <c r="V46" s="388">
        <v>3070.0000000000009</v>
      </c>
      <c r="W46" s="388">
        <v>767.50000000000023</v>
      </c>
      <c r="X46" s="542">
        <f t="shared" si="6"/>
        <v>14</v>
      </c>
      <c r="Y46" s="648"/>
      <c r="Z46" s="476">
        <v>4</v>
      </c>
      <c r="AA46" s="388">
        <v>3092.727272727273</v>
      </c>
      <c r="AB46" s="388">
        <v>773.18181818181824</v>
      </c>
      <c r="AC46" s="542">
        <f t="shared" si="8"/>
        <v>13</v>
      </c>
      <c r="AD46" s="648"/>
      <c r="AE46" s="476">
        <v>4</v>
      </c>
      <c r="AF46" s="388">
        <v>3066.3157894736819</v>
      </c>
      <c r="AG46" s="388">
        <v>766.57894736842047</v>
      </c>
      <c r="AH46" s="542">
        <f t="shared" si="10"/>
        <v>15</v>
      </c>
      <c r="AI46" s="648"/>
      <c r="AJ46" s="476">
        <v>4</v>
      </c>
      <c r="AK46" s="388">
        <v>3056.2500000000105</v>
      </c>
      <c r="AL46" s="388">
        <v>764.06250000000261</v>
      </c>
      <c r="AM46" s="542">
        <f t="shared" si="12"/>
        <v>16</v>
      </c>
      <c r="AN46" s="648"/>
      <c r="AO46" s="476">
        <v>4</v>
      </c>
      <c r="AP46" s="388">
        <v>3054.2857142857133</v>
      </c>
      <c r="AQ46" s="388">
        <v>763.57142857142833</v>
      </c>
      <c r="AR46" s="542">
        <f t="shared" si="14"/>
        <v>16</v>
      </c>
      <c r="AS46" s="648"/>
      <c r="AT46" s="476">
        <v>4</v>
      </c>
      <c r="AU46" s="388">
        <v>3186.0000000000114</v>
      </c>
      <c r="AV46" s="388">
        <v>796.50000000000284</v>
      </c>
      <c r="AW46" s="542">
        <f t="shared" si="16"/>
        <v>14</v>
      </c>
      <c r="AX46" s="648"/>
      <c r="AZ46" s="376" t="e">
        <f t="shared" si="18"/>
        <v>#N/A</v>
      </c>
      <c r="BA46" s="648"/>
    </row>
    <row r="47" spans="2:53">
      <c r="B47" s="664"/>
      <c r="C47" s="296">
        <v>6</v>
      </c>
      <c r="D47" s="201" t="s">
        <v>569</v>
      </c>
      <c r="E47" s="201">
        <v>4</v>
      </c>
      <c r="F47" s="201">
        <v>3200</v>
      </c>
      <c r="G47" s="536">
        <v>800</v>
      </c>
      <c r="H47" s="648"/>
      <c r="I47" s="367">
        <f t="shared" si="20"/>
        <v>4</v>
      </c>
      <c r="J47" s="367">
        <f t="shared" si="21"/>
        <v>3105.7244897959099</v>
      </c>
      <c r="K47" s="199">
        <f t="shared" si="22"/>
        <v>776.43112244897748</v>
      </c>
      <c r="L47" s="617"/>
      <c r="M47" s="198">
        <f>RANK(K47, K$42:$K$71)</f>
        <v>13</v>
      </c>
      <c r="N47" s="640"/>
      <c r="O47" s="640"/>
      <c r="P47" s="476">
        <v>4</v>
      </c>
      <c r="Q47" s="388">
        <v>3159.99999999999</v>
      </c>
      <c r="R47" s="388">
        <v>789.9999999999975</v>
      </c>
      <c r="S47" s="542">
        <f t="shared" si="4"/>
        <v>12</v>
      </c>
      <c r="T47" s="648"/>
      <c r="U47" s="476">
        <v>4</v>
      </c>
      <c r="V47" s="388">
        <v>3185.4545454545569</v>
      </c>
      <c r="W47" s="388">
        <v>796.36363636363922</v>
      </c>
      <c r="X47" s="542">
        <f t="shared" si="6"/>
        <v>12</v>
      </c>
      <c r="Y47" s="648"/>
      <c r="Z47" s="476">
        <v>4</v>
      </c>
      <c r="AA47" s="388">
        <v>2994.5454545454431</v>
      </c>
      <c r="AB47" s="388">
        <v>748.63636363636078</v>
      </c>
      <c r="AC47" s="542">
        <f t="shared" si="8"/>
        <v>16</v>
      </c>
      <c r="AD47" s="648"/>
      <c r="AE47" s="476">
        <v>4</v>
      </c>
      <c r="AF47" s="388">
        <v>3187.4999999999795</v>
      </c>
      <c r="AG47" s="388">
        <v>796.87499999999488</v>
      </c>
      <c r="AH47" s="542">
        <f t="shared" si="10"/>
        <v>12</v>
      </c>
      <c r="AI47" s="648"/>
      <c r="AJ47" s="476">
        <v>4</v>
      </c>
      <c r="AK47" s="388">
        <v>3128.5714285714039</v>
      </c>
      <c r="AL47" s="388">
        <v>782.14285714285097</v>
      </c>
      <c r="AM47" s="542">
        <f t="shared" si="12"/>
        <v>14</v>
      </c>
      <c r="AN47" s="648"/>
      <c r="AO47" s="476">
        <v>4</v>
      </c>
      <c r="AP47" s="388">
        <v>3102.0000000000109</v>
      </c>
      <c r="AQ47" s="388">
        <v>775.50000000000273</v>
      </c>
      <c r="AR47" s="542">
        <f t="shared" si="14"/>
        <v>14</v>
      </c>
      <c r="AS47" s="648"/>
      <c r="AT47" s="476">
        <v>4</v>
      </c>
      <c r="AU47" s="388">
        <v>2981.9999999999868</v>
      </c>
      <c r="AV47" s="388">
        <v>745.4999999999967</v>
      </c>
      <c r="AW47" s="542">
        <f t="shared" si="16"/>
        <v>17</v>
      </c>
      <c r="AX47" s="648"/>
      <c r="AZ47" s="376" t="e">
        <f t="shared" si="18"/>
        <v>#N/A</v>
      </c>
      <c r="BA47" s="648"/>
    </row>
    <row r="48" spans="2:53">
      <c r="B48" s="664"/>
      <c r="C48" s="296">
        <v>7</v>
      </c>
      <c r="D48" s="201" t="s">
        <v>339</v>
      </c>
      <c r="E48" s="201">
        <v>4</v>
      </c>
      <c r="F48" s="201">
        <v>2800</v>
      </c>
      <c r="G48" s="536">
        <v>700</v>
      </c>
      <c r="H48" s="648"/>
      <c r="I48" s="367">
        <f t="shared" si="20"/>
        <v>4</v>
      </c>
      <c r="J48" s="367">
        <f t="shared" si="21"/>
        <v>3014.750392464678</v>
      </c>
      <c r="K48" s="199">
        <f t="shared" si="22"/>
        <v>753.68759811616951</v>
      </c>
      <c r="L48" s="617"/>
      <c r="M48" s="198">
        <f>RANK(K48, K$42:$K$71)</f>
        <v>16</v>
      </c>
      <c r="N48" s="640"/>
      <c r="O48" s="640"/>
      <c r="P48" s="476">
        <v>4</v>
      </c>
      <c r="Q48" s="388">
        <v>2995.7142857142881</v>
      </c>
      <c r="R48" s="388">
        <v>748.92857142857201</v>
      </c>
      <c r="S48" s="542">
        <f t="shared" si="4"/>
        <v>16</v>
      </c>
      <c r="T48" s="648"/>
      <c r="U48" s="476">
        <v>4</v>
      </c>
      <c r="V48" s="388">
        <v>3055.3846153846171</v>
      </c>
      <c r="W48" s="388">
        <v>763.84615384615427</v>
      </c>
      <c r="X48" s="542">
        <f t="shared" si="6"/>
        <v>15</v>
      </c>
      <c r="Y48" s="648"/>
      <c r="Z48" s="476">
        <v>4</v>
      </c>
      <c r="AA48" s="388">
        <v>2986.1538461538476</v>
      </c>
      <c r="AB48" s="388">
        <v>746.53846153846189</v>
      </c>
      <c r="AC48" s="542">
        <f t="shared" si="8"/>
        <v>17</v>
      </c>
      <c r="AD48" s="648"/>
      <c r="AE48" s="476">
        <v>4</v>
      </c>
      <c r="AF48" s="388">
        <v>2915.9999999999986</v>
      </c>
      <c r="AG48" s="388">
        <v>728.99999999999966</v>
      </c>
      <c r="AH48" s="542">
        <f t="shared" si="10"/>
        <v>17</v>
      </c>
      <c r="AI48" s="648"/>
      <c r="AJ48" s="476">
        <v>4</v>
      </c>
      <c r="AK48" s="388">
        <v>3159.9999999999973</v>
      </c>
      <c r="AL48" s="388">
        <v>789.99999999999932</v>
      </c>
      <c r="AM48" s="542">
        <f t="shared" si="12"/>
        <v>12</v>
      </c>
      <c r="AN48" s="648"/>
      <c r="AO48" s="476">
        <v>4</v>
      </c>
      <c r="AP48" s="388">
        <v>3045.0000000000009</v>
      </c>
      <c r="AQ48" s="388">
        <v>761.25000000000023</v>
      </c>
      <c r="AR48" s="542">
        <f t="shared" si="14"/>
        <v>17</v>
      </c>
      <c r="AS48" s="648"/>
      <c r="AT48" s="476">
        <v>4</v>
      </c>
      <c r="AU48" s="388">
        <v>2945.0000000000009</v>
      </c>
      <c r="AV48" s="388">
        <v>736.25000000000023</v>
      </c>
      <c r="AW48" s="542">
        <f t="shared" si="16"/>
        <v>19</v>
      </c>
      <c r="AX48" s="648"/>
      <c r="AZ48" s="376" t="e">
        <f t="shared" si="18"/>
        <v>#N/A</v>
      </c>
      <c r="BA48" s="648"/>
    </row>
    <row r="49" spans="2:53">
      <c r="B49" s="664"/>
      <c r="C49" s="296">
        <v>8</v>
      </c>
      <c r="D49" s="201" t="s">
        <v>340</v>
      </c>
      <c r="E49" s="201">
        <v>3</v>
      </c>
      <c r="F49" s="201">
        <v>3200</v>
      </c>
      <c r="G49" s="536">
        <v>1066.6666666666667</v>
      </c>
      <c r="H49" s="648"/>
      <c r="I49" s="367">
        <f t="shared" si="20"/>
        <v>3</v>
      </c>
      <c r="J49" s="367">
        <f t="shared" si="21"/>
        <v>3134.9265344286409</v>
      </c>
      <c r="K49" s="199">
        <f t="shared" si="22"/>
        <v>1044.9755114762136</v>
      </c>
      <c r="L49" s="617"/>
      <c r="M49" s="198">
        <f>RANK(K49, K$42:$K$71)</f>
        <v>5</v>
      </c>
      <c r="N49" s="640"/>
      <c r="O49" s="640"/>
      <c r="P49" s="476">
        <v>3</v>
      </c>
      <c r="Q49" s="388">
        <v>3100.6451612903252</v>
      </c>
      <c r="R49" s="388">
        <v>1033.5483870967751</v>
      </c>
      <c r="S49" s="542">
        <f t="shared" si="4"/>
        <v>7</v>
      </c>
      <c r="T49" s="648"/>
      <c r="U49" s="476">
        <v>3</v>
      </c>
      <c r="V49" s="388">
        <v>3110.0000000000114</v>
      </c>
      <c r="W49" s="388">
        <v>1036.6666666666704</v>
      </c>
      <c r="X49" s="542">
        <f t="shared" si="6"/>
        <v>5</v>
      </c>
      <c r="Y49" s="648"/>
      <c r="Z49" s="476">
        <v>3</v>
      </c>
      <c r="AA49" s="388">
        <v>3111.4285714285738</v>
      </c>
      <c r="AB49" s="388">
        <v>1037.142857142858</v>
      </c>
      <c r="AC49" s="542">
        <f t="shared" si="8"/>
        <v>6</v>
      </c>
      <c r="AD49" s="648"/>
      <c r="AE49" s="476">
        <v>3</v>
      </c>
      <c r="AF49" s="388">
        <v>3159.1304347826085</v>
      </c>
      <c r="AG49" s="388">
        <v>1053.0434782608695</v>
      </c>
      <c r="AH49" s="542">
        <f t="shared" si="10"/>
        <v>6</v>
      </c>
      <c r="AI49" s="648"/>
      <c r="AJ49" s="476">
        <v>3</v>
      </c>
      <c r="AK49" s="388">
        <v>3133.0434782608695</v>
      </c>
      <c r="AL49" s="388">
        <v>1044.3478260869565</v>
      </c>
      <c r="AM49" s="542">
        <f t="shared" si="12"/>
        <v>6</v>
      </c>
      <c r="AN49" s="648"/>
      <c r="AO49" s="476">
        <v>3</v>
      </c>
      <c r="AP49" s="388">
        <v>3143.5714285714307</v>
      </c>
      <c r="AQ49" s="388">
        <v>1047.8571428571436</v>
      </c>
      <c r="AR49" s="542">
        <f t="shared" si="14"/>
        <v>7</v>
      </c>
      <c r="AS49" s="648"/>
      <c r="AT49" s="476">
        <v>3</v>
      </c>
      <c r="AU49" s="388">
        <v>3186.6666666666683</v>
      </c>
      <c r="AV49" s="388">
        <v>1062.2222222222229</v>
      </c>
      <c r="AW49" s="542">
        <f t="shared" si="16"/>
        <v>4</v>
      </c>
      <c r="AX49" s="648"/>
      <c r="AZ49" s="376" t="e">
        <f t="shared" si="18"/>
        <v>#N/A</v>
      </c>
      <c r="BA49" s="648"/>
    </row>
    <row r="50" spans="2:53">
      <c r="B50" s="664"/>
      <c r="C50" s="296">
        <v>9</v>
      </c>
      <c r="D50" s="201" t="s">
        <v>341</v>
      </c>
      <c r="E50" s="201">
        <v>3</v>
      </c>
      <c r="F50" s="201">
        <v>2800</v>
      </c>
      <c r="G50" s="536">
        <v>933.33333333333337</v>
      </c>
      <c r="H50" s="648"/>
      <c r="I50" s="367">
        <f t="shared" si="20"/>
        <v>3</v>
      </c>
      <c r="J50" s="367">
        <f t="shared" si="21"/>
        <v>3130.8413907842032</v>
      </c>
      <c r="K50" s="199">
        <f t="shared" si="22"/>
        <v>1043.6137969280678</v>
      </c>
      <c r="L50" s="617"/>
      <c r="M50" s="198">
        <f>RANK(K50, K$42:$K$71)</f>
        <v>7</v>
      </c>
      <c r="N50" s="640"/>
      <c r="O50" s="640"/>
      <c r="P50" s="476">
        <v>3</v>
      </c>
      <c r="Q50" s="388">
        <v>3120.0000000000036</v>
      </c>
      <c r="R50" s="388">
        <v>1040.0000000000011</v>
      </c>
      <c r="S50" s="542">
        <f t="shared" si="4"/>
        <v>5</v>
      </c>
      <c r="T50" s="648"/>
      <c r="U50" s="476">
        <v>3</v>
      </c>
      <c r="V50" s="388">
        <v>3106.8750000000036</v>
      </c>
      <c r="W50" s="388">
        <v>1035.6250000000011</v>
      </c>
      <c r="X50" s="542">
        <f t="shared" si="6"/>
        <v>6</v>
      </c>
      <c r="Y50" s="648"/>
      <c r="Z50" s="476">
        <v>3</v>
      </c>
      <c r="AA50" s="388">
        <v>3128.2758620689769</v>
      </c>
      <c r="AB50" s="388">
        <v>1042.758620689659</v>
      </c>
      <c r="AC50" s="542">
        <f t="shared" si="8"/>
        <v>5</v>
      </c>
      <c r="AD50" s="648"/>
      <c r="AE50" s="476">
        <v>3</v>
      </c>
      <c r="AF50" s="388">
        <v>3079.2000000000007</v>
      </c>
      <c r="AG50" s="388">
        <v>1026.4000000000003</v>
      </c>
      <c r="AH50" s="542">
        <f t="shared" si="10"/>
        <v>8</v>
      </c>
      <c r="AI50" s="648"/>
      <c r="AJ50" s="476">
        <v>3</v>
      </c>
      <c r="AK50" s="388">
        <v>3135.6521739130435</v>
      </c>
      <c r="AL50" s="388">
        <v>1045.2173913043478</v>
      </c>
      <c r="AM50" s="542">
        <f t="shared" si="12"/>
        <v>5</v>
      </c>
      <c r="AN50" s="648"/>
      <c r="AO50" s="476">
        <v>3</v>
      </c>
      <c r="AP50" s="388">
        <v>3155.172413793106</v>
      </c>
      <c r="AQ50" s="388">
        <v>1051.7241379310353</v>
      </c>
      <c r="AR50" s="542">
        <f t="shared" si="14"/>
        <v>4</v>
      </c>
      <c r="AS50" s="648"/>
      <c r="AT50" s="476">
        <v>3</v>
      </c>
      <c r="AU50" s="388">
        <v>3190.7142857142881</v>
      </c>
      <c r="AV50" s="388">
        <v>1063.5714285714294</v>
      </c>
      <c r="AW50" s="542">
        <f t="shared" si="16"/>
        <v>2</v>
      </c>
      <c r="AX50" s="648"/>
      <c r="AZ50" s="376" t="e">
        <f t="shared" si="18"/>
        <v>#N/A</v>
      </c>
      <c r="BA50" s="648"/>
    </row>
    <row r="51" spans="2:53">
      <c r="B51" s="664"/>
      <c r="C51" s="296">
        <v>10</v>
      </c>
      <c r="D51" s="201" t="s">
        <v>342</v>
      </c>
      <c r="E51" s="201">
        <v>4</v>
      </c>
      <c r="F51" s="201">
        <v>2800</v>
      </c>
      <c r="G51" s="536">
        <v>700</v>
      </c>
      <c r="H51" s="648"/>
      <c r="I51" s="367">
        <f t="shared" si="20"/>
        <v>4</v>
      </c>
      <c r="J51" s="367">
        <f t="shared" si="21"/>
        <v>3178.0712623588729</v>
      </c>
      <c r="K51" s="199">
        <f t="shared" si="22"/>
        <v>794.51781558971823</v>
      </c>
      <c r="L51" s="617"/>
      <c r="M51" s="198">
        <f>RANK(K51, K$42:$K$71)</f>
        <v>12</v>
      </c>
      <c r="N51" s="640"/>
      <c r="O51" s="640"/>
      <c r="P51" s="476">
        <v>4</v>
      </c>
      <c r="Q51" s="388">
        <v>3147.3684210526253</v>
      </c>
      <c r="R51" s="388">
        <v>786.84210526315633</v>
      </c>
      <c r="S51" s="542">
        <f t="shared" si="4"/>
        <v>13</v>
      </c>
      <c r="T51" s="648"/>
      <c r="U51" s="476">
        <v>4</v>
      </c>
      <c r="V51" s="388">
        <v>3146.7857142857119</v>
      </c>
      <c r="W51" s="388">
        <v>786.69642857142799</v>
      </c>
      <c r="X51" s="542">
        <f t="shared" si="6"/>
        <v>13</v>
      </c>
      <c r="Y51" s="648"/>
      <c r="Z51" s="476">
        <v>4</v>
      </c>
      <c r="AA51" s="388">
        <v>3258.8235294117658</v>
      </c>
      <c r="AB51" s="388">
        <v>814.70588235294144</v>
      </c>
      <c r="AC51" s="542">
        <f t="shared" si="8"/>
        <v>12</v>
      </c>
      <c r="AD51" s="648"/>
      <c r="AE51" s="476">
        <v>4</v>
      </c>
      <c r="AF51" s="388">
        <v>3166.6666666666665</v>
      </c>
      <c r="AG51" s="388">
        <v>791.66666666666663</v>
      </c>
      <c r="AH51" s="542">
        <f t="shared" si="10"/>
        <v>13</v>
      </c>
      <c r="AI51" s="648"/>
      <c r="AJ51" s="476">
        <v>4</v>
      </c>
      <c r="AK51" s="388">
        <v>3154.0909090909026</v>
      </c>
      <c r="AL51" s="388">
        <v>788.52272727272566</v>
      </c>
      <c r="AM51" s="542">
        <f t="shared" si="12"/>
        <v>13</v>
      </c>
      <c r="AN51" s="648"/>
      <c r="AO51" s="476">
        <v>4</v>
      </c>
      <c r="AP51" s="388">
        <v>3184.528301886794</v>
      </c>
      <c r="AQ51" s="388">
        <v>796.1320754716985</v>
      </c>
      <c r="AR51" s="542">
        <f t="shared" si="14"/>
        <v>12</v>
      </c>
      <c r="AS51" s="648"/>
      <c r="AT51" s="476">
        <v>4</v>
      </c>
      <c r="AU51" s="388">
        <v>3188.2352941176432</v>
      </c>
      <c r="AV51" s="388">
        <v>797.0588235294108</v>
      </c>
      <c r="AW51" s="542">
        <f t="shared" si="16"/>
        <v>13</v>
      </c>
      <c r="AX51" s="648"/>
      <c r="AZ51" s="376" t="e">
        <f t="shared" si="18"/>
        <v>#N/A</v>
      </c>
      <c r="BA51" s="648"/>
    </row>
    <row r="52" spans="2:53">
      <c r="B52" s="664"/>
      <c r="C52" s="296">
        <v>11</v>
      </c>
      <c r="D52" s="201" t="s">
        <v>570</v>
      </c>
      <c r="E52" s="201">
        <v>4</v>
      </c>
      <c r="F52" s="201">
        <v>2800</v>
      </c>
      <c r="G52" s="536">
        <v>700</v>
      </c>
      <c r="H52" s="648"/>
      <c r="I52" s="367">
        <f t="shared" si="20"/>
        <v>4</v>
      </c>
      <c r="J52" s="367">
        <f t="shared" si="21"/>
        <v>2776.8139502262397</v>
      </c>
      <c r="K52" s="199">
        <f t="shared" si="22"/>
        <v>694.20348755655994</v>
      </c>
      <c r="L52" s="617"/>
      <c r="M52" s="198">
        <f>RANK(K52, K$42:$K$71)</f>
        <v>20</v>
      </c>
      <c r="N52" s="640"/>
      <c r="O52" s="640"/>
      <c r="P52" s="476">
        <v>4</v>
      </c>
      <c r="Q52" s="388">
        <v>2790.9090909090937</v>
      </c>
      <c r="R52" s="388">
        <v>697.72727272727343</v>
      </c>
      <c r="S52" s="542">
        <f t="shared" si="4"/>
        <v>18</v>
      </c>
      <c r="T52" s="648"/>
      <c r="U52" s="476">
        <v>4</v>
      </c>
      <c r="V52" s="388">
        <v>2760.8955223880594</v>
      </c>
      <c r="W52" s="388">
        <v>690.22388059701484</v>
      </c>
      <c r="X52" s="542">
        <f t="shared" si="6"/>
        <v>19</v>
      </c>
      <c r="Y52" s="648"/>
      <c r="Z52" s="476">
        <v>4</v>
      </c>
      <c r="AA52" s="388">
        <v>2767.6190476190473</v>
      </c>
      <c r="AB52" s="388">
        <v>691.90476190476181</v>
      </c>
      <c r="AC52" s="542">
        <f t="shared" si="8"/>
        <v>19</v>
      </c>
      <c r="AD52" s="648"/>
      <c r="AE52" s="476">
        <v>4</v>
      </c>
      <c r="AF52" s="388">
        <v>2793.3333333333308</v>
      </c>
      <c r="AG52" s="388">
        <v>698.33333333333269</v>
      </c>
      <c r="AH52" s="542">
        <f t="shared" si="10"/>
        <v>19</v>
      </c>
      <c r="AI52" s="648"/>
      <c r="AJ52" s="476">
        <v>4</v>
      </c>
      <c r="AK52" s="388">
        <v>2767.9245283018845</v>
      </c>
      <c r="AL52" s="388">
        <v>691.98113207547112</v>
      </c>
      <c r="AM52" s="542">
        <f t="shared" si="12"/>
        <v>19</v>
      </c>
      <c r="AN52" s="648"/>
      <c r="AO52" s="476">
        <v>4</v>
      </c>
      <c r="AP52" s="388">
        <v>2782.5000000000032</v>
      </c>
      <c r="AQ52" s="388">
        <v>695.6250000000008</v>
      </c>
      <c r="AR52" s="542">
        <f t="shared" si="14"/>
        <v>20</v>
      </c>
      <c r="AS52" s="648"/>
      <c r="AT52" s="476">
        <v>4</v>
      </c>
      <c r="AU52" s="388">
        <v>2774.5161290322608</v>
      </c>
      <c r="AV52" s="388">
        <v>693.62903225806519</v>
      </c>
      <c r="AW52" s="542">
        <f t="shared" si="16"/>
        <v>21</v>
      </c>
      <c r="AX52" s="648"/>
      <c r="AZ52" s="376" t="e">
        <f t="shared" si="18"/>
        <v>#N/A</v>
      </c>
      <c r="BA52" s="648"/>
    </row>
    <row r="53" spans="2:53">
      <c r="B53" s="664"/>
      <c r="C53" s="296">
        <v>12</v>
      </c>
      <c r="D53" s="538" t="s">
        <v>574</v>
      </c>
      <c r="E53" s="201">
        <v>3</v>
      </c>
      <c r="F53" s="201">
        <v>2800</v>
      </c>
      <c r="G53" s="536">
        <v>933.33333333333337</v>
      </c>
      <c r="H53" s="648"/>
      <c r="I53" s="367">
        <f t="shared" si="20"/>
        <v>3</v>
      </c>
      <c r="J53" s="367">
        <f t="shared" si="21"/>
        <v>2751.6101809144702</v>
      </c>
      <c r="K53" s="199">
        <f t="shared" si="22"/>
        <v>917.20339363815663</v>
      </c>
      <c r="L53" s="617"/>
      <c r="M53" s="198">
        <f>RANK(K53, K$42:$K$71)</f>
        <v>11</v>
      </c>
      <c r="N53" s="640"/>
      <c r="O53" s="640"/>
      <c r="P53" s="476">
        <v>3</v>
      </c>
      <c r="Q53" s="388">
        <v>2751.6666666666642</v>
      </c>
      <c r="R53" s="388">
        <v>917.22222222222138</v>
      </c>
      <c r="S53" s="542">
        <f t="shared" si="4"/>
        <v>11</v>
      </c>
      <c r="T53" s="648"/>
      <c r="U53" s="476">
        <v>3</v>
      </c>
      <c r="V53" s="388">
        <v>2745.7894736842086</v>
      </c>
      <c r="W53" s="388">
        <v>915.2631578947362</v>
      </c>
      <c r="X53" s="542">
        <f t="shared" si="6"/>
        <v>11</v>
      </c>
      <c r="Y53" s="648"/>
      <c r="Z53" s="476">
        <v>3</v>
      </c>
      <c r="AA53" s="388">
        <v>2771.9999999999973</v>
      </c>
      <c r="AB53" s="388">
        <v>923.99999999999909</v>
      </c>
      <c r="AC53" s="542">
        <f t="shared" si="8"/>
        <v>10</v>
      </c>
      <c r="AD53" s="648"/>
      <c r="AE53" s="476">
        <v>3</v>
      </c>
      <c r="AF53" s="388">
        <v>2734.0000000000027</v>
      </c>
      <c r="AG53" s="388">
        <v>911.33333333333428</v>
      </c>
      <c r="AH53" s="542">
        <f t="shared" si="10"/>
        <v>11</v>
      </c>
      <c r="AI53" s="648"/>
      <c r="AJ53" s="476">
        <v>3</v>
      </c>
      <c r="AK53" s="388">
        <v>2734.2857142857165</v>
      </c>
      <c r="AL53" s="388">
        <v>911.42857142857213</v>
      </c>
      <c r="AM53" s="542">
        <f t="shared" si="12"/>
        <v>11</v>
      </c>
      <c r="AN53" s="648"/>
      <c r="AO53" s="476">
        <v>3</v>
      </c>
      <c r="AP53" s="388">
        <v>2788.2352941176437</v>
      </c>
      <c r="AQ53" s="388">
        <v>929.41176470588118</v>
      </c>
      <c r="AR53" s="542">
        <f t="shared" si="14"/>
        <v>11</v>
      </c>
      <c r="AS53" s="648"/>
      <c r="AT53" s="476">
        <v>3</v>
      </c>
      <c r="AU53" s="388">
        <v>2735.2941176470554</v>
      </c>
      <c r="AV53" s="388">
        <v>911.76470588235179</v>
      </c>
      <c r="AW53" s="542">
        <f t="shared" si="16"/>
        <v>11</v>
      </c>
      <c r="AX53" s="648"/>
      <c r="AZ53" s="376" t="e">
        <f t="shared" si="18"/>
        <v>#N/A</v>
      </c>
      <c r="BA53" s="648"/>
    </row>
    <row r="54" spans="2:53">
      <c r="B54" s="664"/>
      <c r="C54" s="296">
        <v>13</v>
      </c>
      <c r="D54" s="201" t="s">
        <v>575</v>
      </c>
      <c r="E54" s="201">
        <v>4</v>
      </c>
      <c r="F54" s="201">
        <v>2800</v>
      </c>
      <c r="G54" s="536">
        <v>700</v>
      </c>
      <c r="H54" s="648"/>
      <c r="I54" s="367">
        <f t="shared" si="20"/>
        <v>4</v>
      </c>
      <c r="J54" s="367">
        <f t="shared" si="21"/>
        <v>2714.4162559760807</v>
      </c>
      <c r="K54" s="199">
        <f t="shared" si="22"/>
        <v>678.60406399402018</v>
      </c>
      <c r="L54" s="617"/>
      <c r="M54" s="198">
        <f>RANK(K54, K$42:$K$71)</f>
        <v>21</v>
      </c>
      <c r="N54" s="640"/>
      <c r="O54" s="640"/>
      <c r="P54" s="476">
        <v>4</v>
      </c>
      <c r="Q54" s="388">
        <v>2741.0526315789452</v>
      </c>
      <c r="R54" s="388">
        <v>685.26315789473631</v>
      </c>
      <c r="S54" s="542">
        <f t="shared" si="4"/>
        <v>21</v>
      </c>
      <c r="T54" s="648"/>
      <c r="U54" s="476">
        <v>4</v>
      </c>
      <c r="V54" s="388">
        <v>2671.578947368419</v>
      </c>
      <c r="W54" s="388">
        <v>667.89473684210475</v>
      </c>
      <c r="X54" s="542">
        <f t="shared" si="6"/>
        <v>21</v>
      </c>
      <c r="Y54" s="648"/>
      <c r="Z54" s="476">
        <v>4</v>
      </c>
      <c r="AA54" s="388">
        <v>2756.6666666666765</v>
      </c>
      <c r="AB54" s="388">
        <v>689.16666666666913</v>
      </c>
      <c r="AC54" s="542">
        <f t="shared" si="8"/>
        <v>20</v>
      </c>
      <c r="AD54" s="648"/>
      <c r="AE54" s="476">
        <v>4</v>
      </c>
      <c r="AF54" s="388">
        <v>2624.0000000000095</v>
      </c>
      <c r="AG54" s="388">
        <v>656.00000000000239</v>
      </c>
      <c r="AH54" s="542">
        <f t="shared" si="10"/>
        <v>21</v>
      </c>
      <c r="AI54" s="648"/>
      <c r="AJ54" s="476">
        <v>4</v>
      </c>
      <c r="AK54" s="388">
        <v>2618.5714285714375</v>
      </c>
      <c r="AL54" s="388">
        <v>654.64285714285938</v>
      </c>
      <c r="AM54" s="542">
        <f t="shared" si="12"/>
        <v>21</v>
      </c>
      <c r="AN54" s="648"/>
      <c r="AO54" s="476">
        <v>4</v>
      </c>
      <c r="AP54" s="388">
        <v>2795.294117647069</v>
      </c>
      <c r="AQ54" s="388">
        <v>698.82352941176725</v>
      </c>
      <c r="AR54" s="542">
        <f t="shared" si="14"/>
        <v>19</v>
      </c>
      <c r="AS54" s="648"/>
      <c r="AT54" s="476">
        <v>4</v>
      </c>
      <c r="AU54" s="388">
        <v>2793.75000000001</v>
      </c>
      <c r="AV54" s="388">
        <v>698.4375000000025</v>
      </c>
      <c r="AW54" s="542">
        <f t="shared" si="16"/>
        <v>20</v>
      </c>
      <c r="AX54" s="648"/>
      <c r="AZ54" s="376" t="e">
        <f t="shared" si="18"/>
        <v>#N/A</v>
      </c>
      <c r="BA54" s="648"/>
    </row>
    <row r="55" spans="2:53">
      <c r="B55" s="664"/>
      <c r="C55" s="296">
        <v>14</v>
      </c>
      <c r="D55" s="201" t="s">
        <v>598</v>
      </c>
      <c r="E55" s="201">
        <v>4</v>
      </c>
      <c r="F55" s="201">
        <v>3200</v>
      </c>
      <c r="G55" s="536">
        <v>800</v>
      </c>
      <c r="H55" s="648"/>
      <c r="I55" s="367">
        <f t="shared" si="20"/>
        <v>4</v>
      </c>
      <c r="J55" s="367">
        <f t="shared" si="21"/>
        <v>2861.1842918985753</v>
      </c>
      <c r="K55" s="199">
        <f t="shared" si="22"/>
        <v>715.29607297464383</v>
      </c>
      <c r="L55" s="617"/>
      <c r="M55" s="198">
        <f>RANK(K55, K$42:$K$71)</f>
        <v>18</v>
      </c>
      <c r="N55" s="640"/>
      <c r="O55" s="640"/>
      <c r="P55" s="476">
        <v>4</v>
      </c>
      <c r="Q55" s="388">
        <v>2774.9999999999914</v>
      </c>
      <c r="R55" s="388">
        <v>693.74999999999784</v>
      </c>
      <c r="S55" s="542">
        <f t="shared" si="4"/>
        <v>19</v>
      </c>
      <c r="T55" s="648"/>
      <c r="U55" s="476">
        <v>4</v>
      </c>
      <c r="V55" s="388">
        <v>2956.3636363636251</v>
      </c>
      <c r="W55" s="388">
        <v>739.09090909090628</v>
      </c>
      <c r="X55" s="542">
        <f t="shared" si="6"/>
        <v>17</v>
      </c>
      <c r="Y55" s="648"/>
      <c r="Z55" s="476">
        <v>4</v>
      </c>
      <c r="AA55" s="388">
        <v>2814.545454545444</v>
      </c>
      <c r="AB55" s="388">
        <v>703.63636363636101</v>
      </c>
      <c r="AC55" s="542">
        <f t="shared" si="8"/>
        <v>18</v>
      </c>
      <c r="AD55" s="648"/>
      <c r="AE55" s="476">
        <v>4</v>
      </c>
      <c r="AF55" s="388">
        <v>2849.9999999999532</v>
      </c>
      <c r="AG55" s="388">
        <v>712.49999999998829</v>
      </c>
      <c r="AH55" s="542">
        <f t="shared" si="10"/>
        <v>18</v>
      </c>
      <c r="AI55" s="648"/>
      <c r="AJ55" s="476">
        <v>4</v>
      </c>
      <c r="AK55" s="388">
        <v>2665.7142857143253</v>
      </c>
      <c r="AL55" s="388">
        <v>666.42857142858134</v>
      </c>
      <c r="AM55" s="542">
        <f t="shared" si="12"/>
        <v>20</v>
      </c>
      <c r="AN55" s="648"/>
      <c r="AO55" s="476">
        <v>4</v>
      </c>
      <c r="AP55" s="388">
        <v>2993.3333333333176</v>
      </c>
      <c r="AQ55" s="388">
        <v>748.33333333332939</v>
      </c>
      <c r="AR55" s="542">
        <f t="shared" si="14"/>
        <v>18</v>
      </c>
      <c r="AS55" s="648"/>
      <c r="AT55" s="476">
        <v>4</v>
      </c>
      <c r="AU55" s="388">
        <v>2973.3333333333703</v>
      </c>
      <c r="AV55" s="388">
        <v>743.33333333334258</v>
      </c>
      <c r="AW55" s="542">
        <f t="shared" si="16"/>
        <v>18</v>
      </c>
      <c r="AX55" s="648"/>
      <c r="AZ55" s="376" t="e">
        <f t="shared" si="18"/>
        <v>#N/A</v>
      </c>
      <c r="BA55" s="648"/>
    </row>
    <row r="56" spans="2:53">
      <c r="B56" s="664"/>
      <c r="C56" s="296">
        <v>15</v>
      </c>
      <c r="D56" s="538" t="s">
        <v>602</v>
      </c>
      <c r="E56" s="201">
        <v>3</v>
      </c>
      <c r="F56" s="201">
        <v>3200</v>
      </c>
      <c r="G56" s="536">
        <v>1066.6666666666667</v>
      </c>
      <c r="H56" s="648"/>
      <c r="I56" s="367">
        <f t="shared" si="20"/>
        <v>3</v>
      </c>
      <c r="J56" s="367">
        <f t="shared" si="21"/>
        <v>3054.227272727273</v>
      </c>
      <c r="K56" s="199">
        <f t="shared" si="22"/>
        <v>1018.0757575757577</v>
      </c>
      <c r="L56" s="617"/>
      <c r="M56" s="198">
        <f>RANK(K56, K$42:$K$71)</f>
        <v>8</v>
      </c>
      <c r="N56" s="640"/>
      <c r="O56" s="640"/>
      <c r="P56" s="476">
        <v>3</v>
      </c>
      <c r="Q56" s="388">
        <v>2954.9999999999905</v>
      </c>
      <c r="R56" s="388">
        <v>984.99999999999682</v>
      </c>
      <c r="S56" s="542">
        <f t="shared" si="4"/>
        <v>10</v>
      </c>
      <c r="T56" s="648"/>
      <c r="U56" s="476">
        <v>3</v>
      </c>
      <c r="V56" s="388">
        <v>3049.0909090909199</v>
      </c>
      <c r="W56" s="388">
        <v>1016.36363636364</v>
      </c>
      <c r="X56" s="542">
        <f t="shared" si="6"/>
        <v>8</v>
      </c>
      <c r="Y56" s="648"/>
      <c r="Z56" s="476">
        <v>3</v>
      </c>
      <c r="AA56" s="388">
        <v>3078.0000000000109</v>
      </c>
      <c r="AB56" s="388">
        <v>1026.0000000000036</v>
      </c>
      <c r="AC56" s="542">
        <f t="shared" si="8"/>
        <v>8</v>
      </c>
      <c r="AD56" s="648"/>
      <c r="AE56" s="476">
        <v>3</v>
      </c>
      <c r="AF56" s="388">
        <v>2977.5000000000105</v>
      </c>
      <c r="AG56" s="388">
        <v>992.50000000000352</v>
      </c>
      <c r="AH56" s="542">
        <f t="shared" si="10"/>
        <v>9</v>
      </c>
      <c r="AI56" s="648"/>
      <c r="AJ56" s="476">
        <v>3</v>
      </c>
      <c r="AK56" s="388">
        <v>3120.0000000000109</v>
      </c>
      <c r="AL56" s="388">
        <v>1040.0000000000036</v>
      </c>
      <c r="AM56" s="542">
        <f t="shared" si="12"/>
        <v>8</v>
      </c>
      <c r="AN56" s="648"/>
      <c r="AO56" s="476">
        <v>3</v>
      </c>
      <c r="AP56" s="388">
        <v>3179.9999999999827</v>
      </c>
      <c r="AQ56" s="388">
        <v>1059.9999999999943</v>
      </c>
      <c r="AR56" s="542">
        <f t="shared" si="14"/>
        <v>2</v>
      </c>
      <c r="AS56" s="648"/>
      <c r="AT56" s="476">
        <v>3</v>
      </c>
      <c r="AU56" s="388">
        <v>3019.9999999999841</v>
      </c>
      <c r="AV56" s="388">
        <v>1006.6666666666614</v>
      </c>
      <c r="AW56" s="542">
        <f t="shared" si="16"/>
        <v>8</v>
      </c>
      <c r="AX56" s="648"/>
      <c r="AZ56" s="376" t="e">
        <f t="shared" si="18"/>
        <v>#N/A</v>
      </c>
      <c r="BA56" s="648"/>
    </row>
    <row r="57" spans="2:53">
      <c r="B57" s="664"/>
      <c r="C57" s="296">
        <v>16</v>
      </c>
      <c r="D57" s="201" t="s">
        <v>613</v>
      </c>
      <c r="E57" s="201">
        <v>3</v>
      </c>
      <c r="F57" s="201">
        <v>3200</v>
      </c>
      <c r="G57" s="536">
        <v>1066.6666666666667</v>
      </c>
      <c r="H57" s="648"/>
      <c r="I57" s="367">
        <f t="shared" si="20"/>
        <v>3</v>
      </c>
      <c r="J57" s="367">
        <f t="shared" si="21"/>
        <v>3135.6515437059174</v>
      </c>
      <c r="K57" s="199">
        <f t="shared" si="22"/>
        <v>1045.2171812353058</v>
      </c>
      <c r="L57" s="617"/>
      <c r="M57" s="198">
        <f>RANK(K57, K$42:$K$71)</f>
        <v>4</v>
      </c>
      <c r="N57" s="640"/>
      <c r="O57" s="640"/>
      <c r="P57" s="476">
        <v>3</v>
      </c>
      <c r="Q57" s="388">
        <v>3111.1764705882315</v>
      </c>
      <c r="R57" s="388">
        <v>1037.0588235294106</v>
      </c>
      <c r="S57" s="542">
        <f t="shared" si="4"/>
        <v>6</v>
      </c>
      <c r="T57" s="648"/>
      <c r="U57" s="476">
        <v>3</v>
      </c>
      <c r="V57" s="388">
        <v>3134.5454545454509</v>
      </c>
      <c r="W57" s="388">
        <v>1044.8484848484836</v>
      </c>
      <c r="X57" s="542">
        <f t="shared" si="6"/>
        <v>4</v>
      </c>
      <c r="Y57" s="648"/>
      <c r="Z57" s="476">
        <v>3</v>
      </c>
      <c r="AA57" s="388">
        <v>3174.1935483870921</v>
      </c>
      <c r="AB57" s="388">
        <v>1058.0645161290306</v>
      </c>
      <c r="AC57" s="542">
        <f t="shared" si="8"/>
        <v>2</v>
      </c>
      <c r="AD57" s="648"/>
      <c r="AE57" s="476">
        <v>3</v>
      </c>
      <c r="AF57" s="388">
        <v>3113.0769230769151</v>
      </c>
      <c r="AG57" s="388">
        <v>1037.6923076923051</v>
      </c>
      <c r="AH57" s="542">
        <f t="shared" si="10"/>
        <v>7</v>
      </c>
      <c r="AI57" s="648"/>
      <c r="AJ57" s="476">
        <v>3</v>
      </c>
      <c r="AK57" s="388">
        <v>3145.0000000000114</v>
      </c>
      <c r="AL57" s="388">
        <v>1048.3333333333371</v>
      </c>
      <c r="AM57" s="542">
        <f t="shared" si="12"/>
        <v>3</v>
      </c>
      <c r="AN57" s="648"/>
      <c r="AO57" s="476">
        <v>3</v>
      </c>
      <c r="AP57" s="388">
        <v>3112.2580645161243</v>
      </c>
      <c r="AQ57" s="388">
        <v>1037.4193548387082</v>
      </c>
      <c r="AR57" s="542">
        <f t="shared" si="14"/>
        <v>8</v>
      </c>
      <c r="AS57" s="648"/>
      <c r="AT57" s="476">
        <v>3</v>
      </c>
      <c r="AU57" s="388">
        <v>3159.3103448275974</v>
      </c>
      <c r="AV57" s="388">
        <v>1053.1034482758657</v>
      </c>
      <c r="AW57" s="542">
        <f t="shared" si="16"/>
        <v>5</v>
      </c>
      <c r="AX57" s="648"/>
      <c r="AZ57" s="376" t="e">
        <f t="shared" si="18"/>
        <v>#N/A</v>
      </c>
      <c r="BA57" s="648"/>
    </row>
    <row r="58" spans="2:53">
      <c r="B58" s="664"/>
      <c r="C58" s="296">
        <v>17</v>
      </c>
      <c r="D58" s="201" t="s">
        <v>618</v>
      </c>
      <c r="E58" s="201">
        <v>3</v>
      </c>
      <c r="F58" s="201">
        <v>3200</v>
      </c>
      <c r="G58" s="536">
        <v>1066.6666666666667</v>
      </c>
      <c r="H58" s="648"/>
      <c r="I58" s="367">
        <f t="shared" si="20"/>
        <v>3</v>
      </c>
      <c r="J58" s="367">
        <f t="shared" si="21"/>
        <v>3132.9784718205801</v>
      </c>
      <c r="K58" s="199">
        <f t="shared" si="22"/>
        <v>1044.3261572735266</v>
      </c>
      <c r="L58" s="617"/>
      <c r="M58" s="198">
        <f>RANK(K58, K$42:$K$71)</f>
        <v>6</v>
      </c>
      <c r="N58" s="640"/>
      <c r="O58" s="640"/>
      <c r="P58" s="476">
        <v>3</v>
      </c>
      <c r="Q58" s="388">
        <v>3144.4444444444371</v>
      </c>
      <c r="R58" s="388">
        <v>1048.1481481481458</v>
      </c>
      <c r="S58" s="542">
        <f t="shared" si="4"/>
        <v>4</v>
      </c>
      <c r="T58" s="648"/>
      <c r="U58" s="476">
        <v>3</v>
      </c>
      <c r="V58" s="388">
        <v>3175.3846153846175</v>
      </c>
      <c r="W58" s="388">
        <v>1058.4615384615392</v>
      </c>
      <c r="X58" s="542">
        <f t="shared" si="6"/>
        <v>2</v>
      </c>
      <c r="Y58" s="648"/>
      <c r="Z58" s="476">
        <v>3</v>
      </c>
      <c r="AA58" s="388">
        <v>3099.2307692307613</v>
      </c>
      <c r="AB58" s="388">
        <v>1033.0769230769204</v>
      </c>
      <c r="AC58" s="542">
        <f t="shared" si="8"/>
        <v>7</v>
      </c>
      <c r="AD58" s="648"/>
      <c r="AE58" s="476">
        <v>3</v>
      </c>
      <c r="AF58" s="388">
        <v>3201.0000000000114</v>
      </c>
      <c r="AG58" s="388">
        <v>1067.0000000000039</v>
      </c>
      <c r="AH58" s="542">
        <f t="shared" si="10"/>
        <v>1</v>
      </c>
      <c r="AI58" s="648"/>
      <c r="AJ58" s="476">
        <v>3</v>
      </c>
      <c r="AK58" s="388">
        <v>3075.7894736842218</v>
      </c>
      <c r="AL58" s="388">
        <v>1025.2631578947405</v>
      </c>
      <c r="AM58" s="542">
        <f t="shared" si="12"/>
        <v>9</v>
      </c>
      <c r="AN58" s="648"/>
      <c r="AO58" s="476">
        <v>3</v>
      </c>
      <c r="AP58" s="388">
        <v>3145.0000000000114</v>
      </c>
      <c r="AQ58" s="388">
        <v>1048.3333333333371</v>
      </c>
      <c r="AR58" s="542">
        <f t="shared" si="14"/>
        <v>6</v>
      </c>
      <c r="AS58" s="648"/>
      <c r="AT58" s="476">
        <v>3</v>
      </c>
      <c r="AU58" s="388">
        <v>3090.0000000000009</v>
      </c>
      <c r="AV58" s="388">
        <v>1030.0000000000002</v>
      </c>
      <c r="AW58" s="542">
        <f t="shared" si="16"/>
        <v>7</v>
      </c>
      <c r="AX58" s="648"/>
      <c r="AZ58" s="376" t="e">
        <f t="shared" si="18"/>
        <v>#N/A</v>
      </c>
      <c r="BA58" s="648"/>
    </row>
    <row r="59" spans="2:53">
      <c r="B59" s="664"/>
      <c r="C59" s="296">
        <v>18</v>
      </c>
      <c r="D59" s="538" t="s">
        <v>625</v>
      </c>
      <c r="E59" s="201">
        <v>3</v>
      </c>
      <c r="F59" s="201">
        <v>3200</v>
      </c>
      <c r="G59" s="536">
        <v>1066.6666666666667</v>
      </c>
      <c r="H59" s="648"/>
      <c r="I59" s="367">
        <f t="shared" si="20"/>
        <v>3</v>
      </c>
      <c r="J59" s="367">
        <f t="shared" si="21"/>
        <v>2958.5798659106899</v>
      </c>
      <c r="K59" s="199">
        <f t="shared" si="22"/>
        <v>986.19328863689668</v>
      </c>
      <c r="L59" s="617"/>
      <c r="M59" s="198">
        <f>RANK(K59, K$42:$K$71)</f>
        <v>10</v>
      </c>
      <c r="N59" s="640"/>
      <c r="O59" s="640"/>
      <c r="P59" s="476">
        <v>3</v>
      </c>
      <c r="Q59" s="388">
        <v>2964.6153846153829</v>
      </c>
      <c r="R59" s="388">
        <v>988.20512820512761</v>
      </c>
      <c r="S59" s="542">
        <f t="shared" si="4"/>
        <v>9</v>
      </c>
      <c r="T59" s="648"/>
      <c r="U59" s="476">
        <v>3</v>
      </c>
      <c r="V59" s="388">
        <v>2952.6315789473601</v>
      </c>
      <c r="W59" s="388">
        <v>984.21052631578675</v>
      </c>
      <c r="X59" s="542">
        <f t="shared" si="6"/>
        <v>10</v>
      </c>
      <c r="Y59" s="648"/>
      <c r="Z59" s="476">
        <v>3</v>
      </c>
      <c r="AA59" s="388">
        <v>2941.6216216216194</v>
      </c>
      <c r="AB59" s="388">
        <v>980.54054054053984</v>
      </c>
      <c r="AC59" s="542">
        <f t="shared" si="8"/>
        <v>9</v>
      </c>
      <c r="AD59" s="648"/>
      <c r="AE59" s="476">
        <v>3</v>
      </c>
      <c r="AF59" s="388">
        <v>2937.9999999999945</v>
      </c>
      <c r="AG59" s="388">
        <v>979.33333333333155</v>
      </c>
      <c r="AH59" s="542">
        <f t="shared" si="10"/>
        <v>10</v>
      </c>
      <c r="AI59" s="648"/>
      <c r="AJ59" s="476">
        <v>3</v>
      </c>
      <c r="AK59" s="388">
        <v>2989.2857142857079</v>
      </c>
      <c r="AL59" s="388">
        <v>996.42857142856928</v>
      </c>
      <c r="AM59" s="542">
        <f t="shared" si="12"/>
        <v>10</v>
      </c>
      <c r="AN59" s="648"/>
      <c r="AO59" s="476">
        <v>3</v>
      </c>
      <c r="AP59" s="388">
        <v>2963.3333333333376</v>
      </c>
      <c r="AQ59" s="388">
        <v>987.77777777777919</v>
      </c>
      <c r="AR59" s="542">
        <f t="shared" si="14"/>
        <v>9</v>
      </c>
      <c r="AS59" s="648"/>
      <c r="AT59" s="476">
        <v>3</v>
      </c>
      <c r="AU59" s="388">
        <v>2960.5714285714257</v>
      </c>
      <c r="AV59" s="388">
        <v>986.85714285714187</v>
      </c>
      <c r="AW59" s="542">
        <f t="shared" si="16"/>
        <v>9</v>
      </c>
      <c r="AX59" s="648"/>
      <c r="AZ59" s="376" t="e">
        <f t="shared" si="18"/>
        <v>#N/A</v>
      </c>
      <c r="BA59" s="648"/>
    </row>
    <row r="60" spans="2:53">
      <c r="B60" s="664"/>
      <c r="C60" s="296">
        <v>19</v>
      </c>
      <c r="D60" s="538" t="s">
        <v>571</v>
      </c>
      <c r="E60" s="201">
        <v>4</v>
      </c>
      <c r="F60" s="201">
        <v>2800</v>
      </c>
      <c r="G60" s="536">
        <v>700</v>
      </c>
      <c r="H60" s="648"/>
      <c r="I60" s="367">
        <f t="shared" si="20"/>
        <v>4</v>
      </c>
      <c r="J60" s="367">
        <f t="shared" si="21"/>
        <v>2807.3142857142821</v>
      </c>
      <c r="K60" s="199">
        <f t="shared" si="22"/>
        <v>701.82857142857051</v>
      </c>
      <c r="L60" s="617"/>
      <c r="M60" s="198">
        <f>RANK(K60, K$42:$K$71)</f>
        <v>19</v>
      </c>
      <c r="N60" s="640"/>
      <c r="O60" s="640"/>
      <c r="P60" s="476">
        <v>4</v>
      </c>
      <c r="Q60" s="388">
        <v>2762.3999999999924</v>
      </c>
      <c r="R60" s="388">
        <v>690.59999999999809</v>
      </c>
      <c r="S60" s="542">
        <f t="shared" si="4"/>
        <v>20</v>
      </c>
      <c r="T60" s="648"/>
      <c r="U60" s="476">
        <v>4</v>
      </c>
      <c r="V60" s="388">
        <v>2726.3999999999924</v>
      </c>
      <c r="W60" s="388">
        <v>681.59999999999809</v>
      </c>
      <c r="X60" s="542">
        <f t="shared" si="6"/>
        <v>20</v>
      </c>
      <c r="Y60" s="648"/>
      <c r="Z60" s="476">
        <v>4</v>
      </c>
      <c r="AA60" s="388">
        <v>2599.1999999999925</v>
      </c>
      <c r="AB60" s="388">
        <v>649.79999999999814</v>
      </c>
      <c r="AC60" s="542">
        <f t="shared" si="8"/>
        <v>21</v>
      </c>
      <c r="AD60" s="648"/>
      <c r="AE60" s="476">
        <v>4</v>
      </c>
      <c r="AF60" s="388">
        <v>2733.0000000000095</v>
      </c>
      <c r="AG60" s="388">
        <v>683.25000000000239</v>
      </c>
      <c r="AH60" s="542">
        <f t="shared" si="10"/>
        <v>20</v>
      </c>
      <c r="AI60" s="648"/>
      <c r="AJ60" s="476">
        <v>4</v>
      </c>
      <c r="AK60" s="388">
        <v>2961.0000000000105</v>
      </c>
      <c r="AL60" s="388">
        <v>740.25000000000261</v>
      </c>
      <c r="AM60" s="542">
        <f t="shared" si="12"/>
        <v>17</v>
      </c>
      <c r="AN60" s="648"/>
      <c r="AO60" s="476">
        <v>4</v>
      </c>
      <c r="AP60" s="388">
        <v>2647.1999999999925</v>
      </c>
      <c r="AQ60" s="388">
        <v>661.79999999999814</v>
      </c>
      <c r="AR60" s="542">
        <f t="shared" si="14"/>
        <v>21</v>
      </c>
      <c r="AS60" s="648"/>
      <c r="AT60" s="476">
        <v>4</v>
      </c>
      <c r="AU60" s="388">
        <v>3221.9999999999854</v>
      </c>
      <c r="AV60" s="388">
        <v>805.49999999999636</v>
      </c>
      <c r="AW60" s="542">
        <f t="shared" si="16"/>
        <v>12</v>
      </c>
      <c r="AX60" s="648"/>
      <c r="AZ60" s="376" t="e">
        <f t="shared" si="18"/>
        <v>#N/A</v>
      </c>
      <c r="BA60" s="648"/>
    </row>
    <row r="61" spans="2:53">
      <c r="B61" s="664"/>
      <c r="C61" s="296">
        <v>20</v>
      </c>
      <c r="D61" s="538" t="s">
        <v>572</v>
      </c>
      <c r="E61" s="201">
        <v>3</v>
      </c>
      <c r="F61" s="201">
        <v>2800</v>
      </c>
      <c r="G61" s="536">
        <v>933.33333333333337</v>
      </c>
      <c r="H61" s="648"/>
      <c r="I61" s="367">
        <f t="shared" si="20"/>
        <v>3</v>
      </c>
      <c r="J61" s="367">
        <f t="shared" si="21"/>
        <v>2993.914285714276</v>
      </c>
      <c r="K61" s="199">
        <f t="shared" si="22"/>
        <v>997.97142857142524</v>
      </c>
      <c r="L61" s="617"/>
      <c r="M61" s="198">
        <f>RANK(K61, K$42:$K$71)</f>
        <v>9</v>
      </c>
      <c r="N61" s="640"/>
      <c r="O61" s="640"/>
      <c r="P61" s="476">
        <v>3</v>
      </c>
      <c r="Q61" s="388">
        <v>3014.3999999999915</v>
      </c>
      <c r="R61" s="388">
        <v>1004.7999999999971</v>
      </c>
      <c r="S61" s="542">
        <f t="shared" si="4"/>
        <v>8</v>
      </c>
      <c r="T61" s="648"/>
      <c r="U61" s="476">
        <v>3</v>
      </c>
      <c r="V61" s="388">
        <v>3011.9999999999918</v>
      </c>
      <c r="W61" s="388">
        <v>1003.9999999999973</v>
      </c>
      <c r="X61" s="542">
        <f t="shared" si="6"/>
        <v>9</v>
      </c>
      <c r="Y61" s="648"/>
      <c r="Z61" s="476">
        <v>3</v>
      </c>
      <c r="AA61" s="388">
        <v>2764.799999999992</v>
      </c>
      <c r="AB61" s="388">
        <v>921.59999999999729</v>
      </c>
      <c r="AC61" s="542">
        <f t="shared" si="8"/>
        <v>11</v>
      </c>
      <c r="AD61" s="648"/>
      <c r="AE61" s="476">
        <v>3</v>
      </c>
      <c r="AF61" s="388">
        <v>3185.9999999999859</v>
      </c>
      <c r="AG61" s="388">
        <v>1061.9999999999952</v>
      </c>
      <c r="AH61" s="542">
        <f t="shared" si="10"/>
        <v>4</v>
      </c>
      <c r="AI61" s="648"/>
      <c r="AJ61" s="476">
        <v>3</v>
      </c>
      <c r="AK61" s="388">
        <v>3272.9999999999854</v>
      </c>
      <c r="AL61" s="388">
        <v>1090.9999999999952</v>
      </c>
      <c r="AM61" s="542">
        <f t="shared" si="12"/>
        <v>1</v>
      </c>
      <c r="AN61" s="648"/>
      <c r="AO61" s="476">
        <v>3</v>
      </c>
      <c r="AP61" s="388">
        <v>2899.1999999999921</v>
      </c>
      <c r="AQ61" s="388">
        <v>966.39999999999736</v>
      </c>
      <c r="AR61" s="542">
        <f t="shared" si="14"/>
        <v>10</v>
      </c>
      <c r="AS61" s="648"/>
      <c r="AT61" s="476">
        <v>3</v>
      </c>
      <c r="AU61" s="388">
        <v>2807.9999999999923</v>
      </c>
      <c r="AV61" s="388">
        <v>935.99999999999739</v>
      </c>
      <c r="AW61" s="542">
        <f t="shared" si="16"/>
        <v>10</v>
      </c>
      <c r="AX61" s="648"/>
      <c r="AZ61" s="376" t="e">
        <f t="shared" si="18"/>
        <v>#N/A</v>
      </c>
      <c r="BA61" s="648"/>
    </row>
    <row r="62" spans="2:53">
      <c r="B62" s="664"/>
      <c r="C62" s="296">
        <v>21</v>
      </c>
      <c r="D62" s="538" t="s">
        <v>573</v>
      </c>
      <c r="E62" s="201">
        <v>4</v>
      </c>
      <c r="F62" s="201">
        <v>2200</v>
      </c>
      <c r="G62" s="536">
        <v>550</v>
      </c>
      <c r="H62" s="648"/>
      <c r="I62" s="367">
        <f t="shared" si="20"/>
        <v>3</v>
      </c>
      <c r="J62" s="367">
        <f t="shared" si="21"/>
        <v>2234.7244897959181</v>
      </c>
      <c r="K62" s="199">
        <f t="shared" si="22"/>
        <v>744.90816326530592</v>
      </c>
      <c r="L62" s="617"/>
      <c r="M62" s="198">
        <f>RANK(K62, K$42:$K$71)</f>
        <v>17</v>
      </c>
      <c r="N62" s="640"/>
      <c r="O62" s="640"/>
      <c r="P62" s="476">
        <v>3</v>
      </c>
      <c r="Q62" s="388">
        <v>2165.9999999999991</v>
      </c>
      <c r="R62" s="388">
        <v>721.99999999999966</v>
      </c>
      <c r="S62" s="542">
        <f t="shared" si="4"/>
        <v>17</v>
      </c>
      <c r="T62" s="648"/>
      <c r="U62" s="476">
        <v>3</v>
      </c>
      <c r="V62" s="388">
        <v>2104.4999999999991</v>
      </c>
      <c r="W62" s="388">
        <v>701.49999999999966</v>
      </c>
      <c r="X62" s="542">
        <f t="shared" si="6"/>
        <v>18</v>
      </c>
      <c r="Y62" s="648"/>
      <c r="Z62" s="476">
        <v>3</v>
      </c>
      <c r="AA62" s="388">
        <v>2279.9999999999977</v>
      </c>
      <c r="AB62" s="388">
        <v>759.9999999999992</v>
      </c>
      <c r="AC62" s="542">
        <f t="shared" si="8"/>
        <v>14</v>
      </c>
      <c r="AD62" s="648"/>
      <c r="AE62" s="476">
        <v>3</v>
      </c>
      <c r="AF62" s="388">
        <v>2292.0000000000082</v>
      </c>
      <c r="AG62" s="388">
        <v>764.00000000000273</v>
      </c>
      <c r="AH62" s="542">
        <f t="shared" si="10"/>
        <v>16</v>
      </c>
      <c r="AI62" s="648"/>
      <c r="AJ62" s="476">
        <v>3</v>
      </c>
      <c r="AK62" s="388">
        <v>2159.9999999999977</v>
      </c>
      <c r="AL62" s="388">
        <v>719.9999999999992</v>
      </c>
      <c r="AM62" s="542">
        <f t="shared" si="12"/>
        <v>18</v>
      </c>
      <c r="AN62" s="648"/>
      <c r="AO62" s="476">
        <v>3</v>
      </c>
      <c r="AP62" s="388">
        <v>2324.5714285714262</v>
      </c>
      <c r="AQ62" s="388">
        <v>774.85714285714209</v>
      </c>
      <c r="AR62" s="542">
        <f t="shared" si="14"/>
        <v>15</v>
      </c>
      <c r="AS62" s="648"/>
      <c r="AT62" s="476">
        <v>3</v>
      </c>
      <c r="AU62" s="388">
        <v>2315.9999999999977</v>
      </c>
      <c r="AV62" s="388">
        <v>771.9999999999992</v>
      </c>
      <c r="AW62" s="542">
        <f t="shared" si="16"/>
        <v>16</v>
      </c>
      <c r="AX62" s="648"/>
      <c r="AZ62" s="376" t="e">
        <f t="shared" si="18"/>
        <v>#N/A</v>
      </c>
      <c r="BA62" s="648"/>
    </row>
    <row r="63" spans="2:53">
      <c r="B63" s="664"/>
      <c r="C63" s="296">
        <v>22</v>
      </c>
      <c r="D63" s="538" t="s">
        <v>644</v>
      </c>
      <c r="E63" s="201">
        <v>4</v>
      </c>
      <c r="F63" s="201">
        <v>2200</v>
      </c>
      <c r="G63" s="536">
        <v>550</v>
      </c>
      <c r="H63" s="648"/>
      <c r="I63" s="367">
        <f t="shared" si="20"/>
        <v>4</v>
      </c>
      <c r="J63" s="367">
        <f t="shared" si="21"/>
        <v>2184.2883116883154</v>
      </c>
      <c r="K63" s="199">
        <f t="shared" si="22"/>
        <v>546.07207792207885</v>
      </c>
      <c r="L63" s="617"/>
      <c r="M63" s="198">
        <f>RANK(K63, K$42:$K$71)</f>
        <v>22</v>
      </c>
      <c r="N63" s="640"/>
      <c r="O63" s="640"/>
      <c r="P63" s="476">
        <v>4</v>
      </c>
      <c r="Q63" s="388">
        <v>2153.9999999999959</v>
      </c>
      <c r="R63" s="388">
        <v>538.49999999999898</v>
      </c>
      <c r="S63" s="542">
        <f t="shared" si="4"/>
        <v>22</v>
      </c>
      <c r="T63" s="648"/>
      <c r="U63" s="476">
        <v>4</v>
      </c>
      <c r="V63" s="388">
        <v>2102.9999999999964</v>
      </c>
      <c r="W63" s="388">
        <v>525.74999999999909</v>
      </c>
      <c r="X63" s="542">
        <f t="shared" si="6"/>
        <v>22</v>
      </c>
      <c r="Y63" s="648"/>
      <c r="Z63" s="476">
        <v>4</v>
      </c>
      <c r="AA63" s="388">
        <v>2343.6000000000081</v>
      </c>
      <c r="AB63" s="388">
        <v>585.90000000000202</v>
      </c>
      <c r="AC63" s="542">
        <f t="shared" si="8"/>
        <v>22</v>
      </c>
      <c r="AD63" s="648"/>
      <c r="AE63" s="476">
        <v>4</v>
      </c>
      <c r="AF63" s="388">
        <v>2091.6000000000004</v>
      </c>
      <c r="AG63" s="388">
        <v>522.90000000000009</v>
      </c>
      <c r="AH63" s="542">
        <f t="shared" si="10"/>
        <v>22</v>
      </c>
      <c r="AI63" s="648"/>
      <c r="AJ63" s="476">
        <v>4</v>
      </c>
      <c r="AK63" s="388">
        <v>2167.6363636363717</v>
      </c>
      <c r="AL63" s="388">
        <v>541.90909090909292</v>
      </c>
      <c r="AM63" s="542">
        <f t="shared" si="12"/>
        <v>22</v>
      </c>
      <c r="AN63" s="648"/>
      <c r="AO63" s="476">
        <v>4</v>
      </c>
      <c r="AP63" s="388">
        <v>2234.1818181818262</v>
      </c>
      <c r="AQ63" s="388">
        <v>558.54545454545655</v>
      </c>
      <c r="AR63" s="542">
        <f t="shared" si="14"/>
        <v>22</v>
      </c>
      <c r="AS63" s="648"/>
      <c r="AT63" s="476">
        <v>4</v>
      </c>
      <c r="AU63" s="388">
        <v>2196.0000000000077</v>
      </c>
      <c r="AV63" s="388">
        <v>549.00000000000193</v>
      </c>
      <c r="AW63" s="542">
        <f t="shared" si="16"/>
        <v>22</v>
      </c>
      <c r="AX63" s="648"/>
      <c r="AZ63" s="376" t="e">
        <f t="shared" si="18"/>
        <v>#N/A</v>
      </c>
      <c r="BA63" s="648"/>
    </row>
    <row r="64" spans="2:53">
      <c r="B64" s="664"/>
      <c r="C64" s="296">
        <v>23</v>
      </c>
      <c r="D64" s="201" t="s">
        <v>647</v>
      </c>
      <c r="E64" s="201">
        <v>5</v>
      </c>
      <c r="F64" s="201">
        <v>2200</v>
      </c>
      <c r="G64" s="536">
        <v>333.33333333333331</v>
      </c>
      <c r="H64" s="648"/>
      <c r="I64" s="367">
        <f t="shared" si="20"/>
        <v>5</v>
      </c>
      <c r="J64" s="367">
        <f t="shared" si="21"/>
        <v>1961.6722408261521</v>
      </c>
      <c r="K64" s="199">
        <f t="shared" si="22"/>
        <v>392.33444816523041</v>
      </c>
      <c r="L64" s="617"/>
      <c r="M64" s="198">
        <f>RANK(K64, K$42:$K$71)</f>
        <v>23</v>
      </c>
      <c r="N64" s="640"/>
      <c r="O64" s="640"/>
      <c r="P64" s="476">
        <v>5</v>
      </c>
      <c r="Q64" s="388">
        <v>2038.4210526315776</v>
      </c>
      <c r="R64" s="388">
        <v>407.6842105263155</v>
      </c>
      <c r="S64" s="542">
        <f t="shared" si="4"/>
        <v>23</v>
      </c>
      <c r="T64" s="648"/>
      <c r="U64" s="476">
        <v>5</v>
      </c>
      <c r="V64" s="388">
        <v>1975.2631578947355</v>
      </c>
      <c r="W64" s="388">
        <v>395.05263157894711</v>
      </c>
      <c r="X64" s="542">
        <f t="shared" si="6"/>
        <v>24</v>
      </c>
      <c r="Y64" s="648"/>
      <c r="Z64" s="476">
        <v>5</v>
      </c>
      <c r="AA64" s="388">
        <v>1983.5294117647036</v>
      </c>
      <c r="AB64" s="388">
        <v>396.70588235294071</v>
      </c>
      <c r="AC64" s="542">
        <f t="shared" si="8"/>
        <v>23</v>
      </c>
      <c r="AD64" s="648"/>
      <c r="AE64" s="476">
        <v>5</v>
      </c>
      <c r="AF64" s="388">
        <v>1905.9999999999966</v>
      </c>
      <c r="AG64" s="388">
        <v>381.19999999999931</v>
      </c>
      <c r="AH64" s="542">
        <f t="shared" si="10"/>
        <v>23</v>
      </c>
      <c r="AI64" s="648"/>
      <c r="AJ64" s="476">
        <v>5</v>
      </c>
      <c r="AK64" s="388">
        <v>1948.8888888888841</v>
      </c>
      <c r="AL64" s="388">
        <v>389.77777777777681</v>
      </c>
      <c r="AM64" s="542">
        <f t="shared" si="12"/>
        <v>23</v>
      </c>
      <c r="AN64" s="648"/>
      <c r="AO64" s="476">
        <v>5</v>
      </c>
      <c r="AP64" s="388">
        <v>1948.8888888888841</v>
      </c>
      <c r="AQ64" s="388">
        <v>389.77777777777681</v>
      </c>
      <c r="AR64" s="542">
        <f t="shared" si="14"/>
        <v>23</v>
      </c>
      <c r="AS64" s="648"/>
      <c r="AT64" s="476">
        <v>5</v>
      </c>
      <c r="AU64" s="388">
        <v>1930.7142857142817</v>
      </c>
      <c r="AV64" s="388">
        <v>386.14285714285631</v>
      </c>
      <c r="AW64" s="542">
        <f t="shared" si="16"/>
        <v>24</v>
      </c>
      <c r="AX64" s="648"/>
      <c r="AZ64" s="376" t="e">
        <f t="shared" si="18"/>
        <v>#N/A</v>
      </c>
      <c r="BA64" s="648"/>
    </row>
    <row r="65" spans="2:53">
      <c r="B65" s="664"/>
      <c r="C65" s="296">
        <v>24</v>
      </c>
      <c r="D65" s="538" t="s">
        <v>648</v>
      </c>
      <c r="E65" s="201">
        <v>5</v>
      </c>
      <c r="F65" s="201">
        <v>2200</v>
      </c>
      <c r="G65" s="536">
        <v>333.33333333333331</v>
      </c>
      <c r="H65" s="648"/>
      <c r="I65" s="367">
        <f t="shared" si="20"/>
        <v>5</v>
      </c>
      <c r="J65" s="367">
        <f t="shared" si="21"/>
        <v>1920.8103839236817</v>
      </c>
      <c r="K65" s="199">
        <f t="shared" si="22"/>
        <v>384.16207678473626</v>
      </c>
      <c r="L65" s="617"/>
      <c r="M65" s="198">
        <f>RANK(K65, K$42:$K$71)</f>
        <v>24</v>
      </c>
      <c r="N65" s="640"/>
      <c r="O65" s="640"/>
      <c r="P65" s="476">
        <v>5</v>
      </c>
      <c r="Q65" s="388">
        <v>1979.9999999999975</v>
      </c>
      <c r="R65" s="388">
        <v>395.99999999999949</v>
      </c>
      <c r="S65" s="542">
        <f t="shared" si="4"/>
        <v>24</v>
      </c>
      <c r="T65" s="648"/>
      <c r="U65" s="476">
        <v>5</v>
      </c>
      <c r="V65" s="388">
        <v>1988.2758620689615</v>
      </c>
      <c r="W65" s="388">
        <v>397.65517241379229</v>
      </c>
      <c r="X65" s="542">
        <f t="shared" si="6"/>
        <v>23</v>
      </c>
      <c r="Y65" s="648"/>
      <c r="Z65" s="476">
        <v>5</v>
      </c>
      <c r="AA65" s="388">
        <v>1898.3999999999946</v>
      </c>
      <c r="AB65" s="388">
        <v>379.67999999999893</v>
      </c>
      <c r="AC65" s="542">
        <f t="shared" si="8"/>
        <v>24</v>
      </c>
      <c r="AD65" s="648"/>
      <c r="AE65" s="476">
        <v>5</v>
      </c>
      <c r="AF65" s="388">
        <v>1894.285714285721</v>
      </c>
      <c r="AG65" s="388">
        <v>378.8571428571442</v>
      </c>
      <c r="AH65" s="542">
        <f t="shared" si="10"/>
        <v>24</v>
      </c>
      <c r="AI65" s="648"/>
      <c r="AJ65" s="476">
        <v>5</v>
      </c>
      <c r="AK65" s="388">
        <v>1876.7999999999947</v>
      </c>
      <c r="AL65" s="388">
        <v>375.35999999999893</v>
      </c>
      <c r="AM65" s="542">
        <f t="shared" si="12"/>
        <v>24</v>
      </c>
      <c r="AN65" s="648"/>
      <c r="AO65" s="476">
        <v>5</v>
      </c>
      <c r="AP65" s="388">
        <v>1876.7999999999947</v>
      </c>
      <c r="AQ65" s="388">
        <v>375.35999999999893</v>
      </c>
      <c r="AR65" s="542">
        <f t="shared" si="14"/>
        <v>24</v>
      </c>
      <c r="AS65" s="648"/>
      <c r="AT65" s="476">
        <v>5</v>
      </c>
      <c r="AU65" s="388">
        <v>1931.1111111111068</v>
      </c>
      <c r="AV65" s="388">
        <v>386.22222222222138</v>
      </c>
      <c r="AW65" s="542">
        <f t="shared" si="16"/>
        <v>23</v>
      </c>
      <c r="AX65" s="648"/>
      <c r="AZ65" s="376" t="e">
        <f t="shared" si="18"/>
        <v>#N/A</v>
      </c>
      <c r="BA65" s="648"/>
    </row>
    <row r="66" spans="2:53">
      <c r="B66" s="664"/>
      <c r="C66" s="296">
        <v>25</v>
      </c>
      <c r="D66" s="201" t="s">
        <v>604</v>
      </c>
      <c r="E66" s="201">
        <v>8</v>
      </c>
      <c r="F66" s="201">
        <v>1500</v>
      </c>
      <c r="G66" s="536">
        <v>187.5</v>
      </c>
      <c r="H66" s="648"/>
      <c r="I66" s="367">
        <f t="shared" si="20"/>
        <v>12</v>
      </c>
      <c r="J66" s="367">
        <f t="shared" si="21"/>
        <v>1338.7675551164332</v>
      </c>
      <c r="K66" s="199">
        <f t="shared" si="22"/>
        <v>111.56396292636943</v>
      </c>
      <c r="L66" s="617"/>
      <c r="M66" s="198">
        <f>RANK(K66, K$42:$K$71)</f>
        <v>25</v>
      </c>
      <c r="N66" s="640"/>
      <c r="O66" s="640"/>
      <c r="P66" s="476">
        <v>12</v>
      </c>
      <c r="Q66" s="388">
        <v>1290.4477611940283</v>
      </c>
      <c r="R66" s="388">
        <v>107.53731343283569</v>
      </c>
      <c r="S66" s="542">
        <f t="shared" si="4"/>
        <v>25</v>
      </c>
      <c r="T66" s="648"/>
      <c r="U66" s="476">
        <v>12</v>
      </c>
      <c r="V66" s="388">
        <v>1349.5081967213127</v>
      </c>
      <c r="W66" s="388">
        <v>112.45901639344272</v>
      </c>
      <c r="X66" s="542">
        <f t="shared" si="6"/>
        <v>25</v>
      </c>
      <c r="Y66" s="648"/>
      <c r="Z66" s="476">
        <v>12</v>
      </c>
      <c r="AA66" s="388">
        <v>1347.9310344827597</v>
      </c>
      <c r="AB66" s="388">
        <v>112.32758620689664</v>
      </c>
      <c r="AC66" s="542">
        <f t="shared" si="8"/>
        <v>25</v>
      </c>
      <c r="AD66" s="648"/>
      <c r="AE66" s="476">
        <v>12</v>
      </c>
      <c r="AF66" s="388">
        <v>1340.7272727272734</v>
      </c>
      <c r="AG66" s="388">
        <v>111.72727272727279</v>
      </c>
      <c r="AH66" s="542">
        <f t="shared" si="10"/>
        <v>25</v>
      </c>
      <c r="AI66" s="648"/>
      <c r="AJ66" s="476">
        <v>12</v>
      </c>
      <c r="AK66" s="388">
        <v>1344.8275862068974</v>
      </c>
      <c r="AL66" s="388">
        <v>112.06896551724145</v>
      </c>
      <c r="AM66" s="542">
        <f t="shared" si="12"/>
        <v>25</v>
      </c>
      <c r="AN66" s="648"/>
      <c r="AO66" s="476">
        <v>12</v>
      </c>
      <c r="AP66" s="388">
        <v>1344.8275862068974</v>
      </c>
      <c r="AQ66" s="388">
        <v>112.06896551724145</v>
      </c>
      <c r="AR66" s="542">
        <f t="shared" si="14"/>
        <v>25</v>
      </c>
      <c r="AS66" s="648"/>
      <c r="AT66" s="476">
        <v>12</v>
      </c>
      <c r="AU66" s="388">
        <v>1353.103448275863</v>
      </c>
      <c r="AV66" s="388">
        <v>112.75862068965525</v>
      </c>
      <c r="AW66" s="542">
        <f t="shared" si="16"/>
        <v>25</v>
      </c>
      <c r="AX66" s="648"/>
      <c r="AZ66" s="376" t="e">
        <f t="shared" si="18"/>
        <v>#N/A</v>
      </c>
      <c r="BA66" s="648"/>
    </row>
    <row r="67" spans="2:53">
      <c r="B67" s="664"/>
      <c r="C67" s="296">
        <v>26</v>
      </c>
      <c r="D67" s="201" t="s">
        <v>588</v>
      </c>
      <c r="E67" s="201">
        <v>12</v>
      </c>
      <c r="F67" s="201">
        <v>1500</v>
      </c>
      <c r="G67" s="536">
        <v>125</v>
      </c>
      <c r="H67" s="648"/>
      <c r="I67" s="367">
        <f t="shared" si="20"/>
        <v>10.285714285714286</v>
      </c>
      <c r="J67" s="367">
        <f t="shared" si="21"/>
        <v>976.95631966921962</v>
      </c>
      <c r="K67" s="199">
        <f t="shared" si="22"/>
        <v>95.287468701615822</v>
      </c>
      <c r="L67" s="617"/>
      <c r="M67" s="198">
        <f>RANK(K67, K$42:$K$71)</f>
        <v>26</v>
      </c>
      <c r="N67" s="640"/>
      <c r="O67" s="640"/>
      <c r="P67" s="476">
        <v>10</v>
      </c>
      <c r="Q67" s="388">
        <v>936.52173913043816</v>
      </c>
      <c r="R67" s="388">
        <v>93.652173913043811</v>
      </c>
      <c r="S67" s="542">
        <f t="shared" si="4"/>
        <v>26</v>
      </c>
      <c r="T67" s="648"/>
      <c r="U67" s="476">
        <v>10</v>
      </c>
      <c r="V67" s="388">
        <v>968.57142857143197</v>
      </c>
      <c r="W67" s="388">
        <v>96.857142857143202</v>
      </c>
      <c r="X67" s="542">
        <f t="shared" si="6"/>
        <v>26</v>
      </c>
      <c r="Y67" s="648"/>
      <c r="Z67" s="476">
        <v>10</v>
      </c>
      <c r="AA67" s="388">
        <v>985.26315789474029</v>
      </c>
      <c r="AB67" s="388">
        <v>98.526315789474026</v>
      </c>
      <c r="AC67" s="542">
        <f t="shared" si="8"/>
        <v>26</v>
      </c>
      <c r="AD67" s="648"/>
      <c r="AE67" s="476">
        <v>10</v>
      </c>
      <c r="AF67" s="388">
        <v>969.23076923077258</v>
      </c>
      <c r="AG67" s="388">
        <v>96.923076923077261</v>
      </c>
      <c r="AH67" s="542">
        <f t="shared" si="10"/>
        <v>26</v>
      </c>
      <c r="AI67" s="648"/>
      <c r="AJ67" s="476">
        <v>10</v>
      </c>
      <c r="AK67" s="388">
        <v>1011.4285714285751</v>
      </c>
      <c r="AL67" s="388">
        <v>101.14285714285751</v>
      </c>
      <c r="AM67" s="542">
        <f t="shared" si="12"/>
        <v>26</v>
      </c>
      <c r="AN67" s="648"/>
      <c r="AO67" s="476">
        <v>12</v>
      </c>
      <c r="AP67" s="388">
        <v>1011.4285714285751</v>
      </c>
      <c r="AQ67" s="388">
        <v>84.28571428571459</v>
      </c>
      <c r="AR67" s="542">
        <f t="shared" si="14"/>
        <v>26</v>
      </c>
      <c r="AS67" s="648"/>
      <c r="AT67" s="476">
        <v>10</v>
      </c>
      <c r="AU67" s="388">
        <v>956.25000000000341</v>
      </c>
      <c r="AV67" s="388">
        <v>95.625000000000341</v>
      </c>
      <c r="AW67" s="542">
        <f t="shared" si="16"/>
        <v>26</v>
      </c>
      <c r="AX67" s="648"/>
      <c r="AZ67" s="376" t="e">
        <f t="shared" si="18"/>
        <v>#N/A</v>
      </c>
      <c r="BA67" s="648"/>
    </row>
    <row r="68" spans="2:53">
      <c r="B68" s="664"/>
      <c r="C68" s="296">
        <v>27</v>
      </c>
      <c r="D68" s="201"/>
      <c r="E68" s="201"/>
      <c r="F68" s="201"/>
      <c r="G68" s="536"/>
      <c r="H68" s="648"/>
      <c r="I68" s="367" t="str">
        <f t="shared" si="20"/>
        <v>-</v>
      </c>
      <c r="J68" s="367" t="str">
        <f t="shared" si="21"/>
        <v>-</v>
      </c>
      <c r="K68" s="199" t="str">
        <f t="shared" si="22"/>
        <v>-</v>
      </c>
      <c r="L68" s="617"/>
      <c r="M68" s="198" t="e">
        <f>RANK(K68, K$42:$K$71)</f>
        <v>#VALUE!</v>
      </c>
      <c r="N68" s="640"/>
      <c r="O68" s="640"/>
      <c r="P68" s="476"/>
      <c r="Q68" s="388"/>
      <c r="R68" s="388"/>
      <c r="S68" s="542" t="e">
        <f t="shared" si="4"/>
        <v>#N/A</v>
      </c>
      <c r="T68" s="648"/>
      <c r="U68" s="476"/>
      <c r="V68" s="388"/>
      <c r="W68" s="388"/>
      <c r="X68" s="542" t="e">
        <f t="shared" si="6"/>
        <v>#N/A</v>
      </c>
      <c r="Y68" s="648"/>
      <c r="Z68" s="476"/>
      <c r="AA68" s="388"/>
      <c r="AB68" s="388"/>
      <c r="AC68" s="542" t="e">
        <f t="shared" si="8"/>
        <v>#N/A</v>
      </c>
      <c r="AD68" s="648"/>
      <c r="AE68" s="476"/>
      <c r="AF68" s="388"/>
      <c r="AG68" s="388"/>
      <c r="AH68" s="542" t="e">
        <f t="shared" si="10"/>
        <v>#N/A</v>
      </c>
      <c r="AI68" s="648"/>
      <c r="AJ68" s="476"/>
      <c r="AK68" s="388"/>
      <c r="AL68" s="388"/>
      <c r="AM68" s="542" t="e">
        <f t="shared" si="12"/>
        <v>#N/A</v>
      </c>
      <c r="AN68" s="648"/>
      <c r="AO68" s="476"/>
      <c r="AP68" s="388"/>
      <c r="AQ68" s="388"/>
      <c r="AR68" s="542" t="e">
        <f t="shared" si="14"/>
        <v>#N/A</v>
      </c>
      <c r="AS68" s="648"/>
      <c r="AT68" s="476"/>
      <c r="AU68" s="388"/>
      <c r="AV68" s="388"/>
      <c r="AW68" s="542" t="e">
        <f t="shared" si="16"/>
        <v>#N/A</v>
      </c>
      <c r="AX68" s="648"/>
      <c r="AZ68" s="376" t="e">
        <f t="shared" si="18"/>
        <v>#N/A</v>
      </c>
      <c r="BA68" s="648"/>
    </row>
    <row r="69" spans="2:53">
      <c r="B69" s="664"/>
      <c r="C69" s="296">
        <v>28</v>
      </c>
      <c r="D69" s="201"/>
      <c r="E69" s="201"/>
      <c r="F69" s="201"/>
      <c r="G69" s="201"/>
      <c r="H69" s="648"/>
      <c r="I69" s="367" t="str">
        <f t="shared" si="20"/>
        <v>-</v>
      </c>
      <c r="J69" s="367" t="str">
        <f t="shared" si="21"/>
        <v>-</v>
      </c>
      <c r="K69" s="199" t="str">
        <f t="shared" si="22"/>
        <v>-</v>
      </c>
      <c r="L69" s="617"/>
      <c r="M69" s="198" t="e">
        <f>RANK(K69, K$42:$K$71)</f>
        <v>#VALUE!</v>
      </c>
      <c r="N69" s="640"/>
      <c r="O69" s="640"/>
      <c r="P69" s="476"/>
      <c r="Q69" s="388"/>
      <c r="R69" s="388"/>
      <c r="S69" s="542" t="e">
        <f t="shared" si="4"/>
        <v>#N/A</v>
      </c>
      <c r="T69" s="648"/>
      <c r="U69" s="476"/>
      <c r="V69" s="388"/>
      <c r="W69" s="388"/>
      <c r="X69" s="542" t="e">
        <f t="shared" si="6"/>
        <v>#N/A</v>
      </c>
      <c r="Y69" s="648"/>
      <c r="Z69" s="476"/>
      <c r="AA69" s="388"/>
      <c r="AB69" s="388"/>
      <c r="AC69" s="542" t="e">
        <f t="shared" si="8"/>
        <v>#N/A</v>
      </c>
      <c r="AD69" s="648"/>
      <c r="AE69" s="476"/>
      <c r="AF69" s="388"/>
      <c r="AG69" s="388"/>
      <c r="AH69" s="542" t="e">
        <f t="shared" si="10"/>
        <v>#N/A</v>
      </c>
      <c r="AI69" s="648"/>
      <c r="AJ69" s="476"/>
      <c r="AK69" s="388"/>
      <c r="AL69" s="388"/>
      <c r="AM69" s="542" t="e">
        <f t="shared" si="12"/>
        <v>#N/A</v>
      </c>
      <c r="AN69" s="648"/>
      <c r="AO69" s="476"/>
      <c r="AP69" s="388"/>
      <c r="AQ69" s="388"/>
      <c r="AR69" s="542" t="e">
        <f t="shared" si="14"/>
        <v>#N/A</v>
      </c>
      <c r="AS69" s="648"/>
      <c r="AT69" s="476"/>
      <c r="AU69" s="388"/>
      <c r="AV69" s="388"/>
      <c r="AW69" s="542" t="e">
        <f t="shared" si="16"/>
        <v>#N/A</v>
      </c>
      <c r="AX69" s="648"/>
      <c r="AZ69" s="376" t="e">
        <f t="shared" si="18"/>
        <v>#N/A</v>
      </c>
      <c r="BA69" s="648"/>
    </row>
    <row r="70" spans="2:53">
      <c r="B70" s="664"/>
      <c r="C70" s="296">
        <v>29</v>
      </c>
      <c r="D70" s="201"/>
      <c r="E70" s="201"/>
      <c r="F70" s="201"/>
      <c r="G70" s="201"/>
      <c r="H70" s="648"/>
      <c r="I70" s="367" t="str">
        <f t="shared" si="20"/>
        <v>-</v>
      </c>
      <c r="J70" s="367" t="str">
        <f t="shared" si="21"/>
        <v>-</v>
      </c>
      <c r="K70" s="199" t="str">
        <f t="shared" si="22"/>
        <v>-</v>
      </c>
      <c r="L70" s="617"/>
      <c r="M70" s="198" t="e">
        <f>RANK(K70, K$42:$K$71)</f>
        <v>#VALUE!</v>
      </c>
      <c r="N70" s="640"/>
      <c r="O70" s="640"/>
      <c r="P70" s="476"/>
      <c r="Q70" s="388"/>
      <c r="R70" s="388"/>
      <c r="S70" s="542" t="e">
        <f t="shared" si="4"/>
        <v>#N/A</v>
      </c>
      <c r="T70" s="648"/>
      <c r="U70" s="476"/>
      <c r="V70" s="388"/>
      <c r="W70" s="388"/>
      <c r="X70" s="542" t="e">
        <f t="shared" si="6"/>
        <v>#N/A</v>
      </c>
      <c r="Y70" s="648"/>
      <c r="Z70" s="476"/>
      <c r="AA70" s="388"/>
      <c r="AB70" s="388"/>
      <c r="AC70" s="542" t="e">
        <f t="shared" si="8"/>
        <v>#N/A</v>
      </c>
      <c r="AD70" s="648"/>
      <c r="AE70" s="476"/>
      <c r="AF70" s="388"/>
      <c r="AG70" s="388"/>
      <c r="AH70" s="542" t="e">
        <f t="shared" si="10"/>
        <v>#N/A</v>
      </c>
      <c r="AI70" s="648"/>
      <c r="AJ70" s="476"/>
      <c r="AK70" s="388"/>
      <c r="AL70" s="388"/>
      <c r="AM70" s="542" t="e">
        <f t="shared" si="12"/>
        <v>#N/A</v>
      </c>
      <c r="AN70" s="648"/>
      <c r="AO70" s="476"/>
      <c r="AP70" s="388"/>
      <c r="AQ70" s="388"/>
      <c r="AR70" s="542" t="e">
        <f t="shared" si="14"/>
        <v>#N/A</v>
      </c>
      <c r="AS70" s="648"/>
      <c r="AT70" s="476"/>
      <c r="AU70" s="388"/>
      <c r="AV70" s="388"/>
      <c r="AW70" s="542" t="e">
        <f t="shared" si="16"/>
        <v>#N/A</v>
      </c>
      <c r="AX70" s="648"/>
      <c r="AZ70" s="376" t="e">
        <f t="shared" si="18"/>
        <v>#N/A</v>
      </c>
      <c r="BA70" s="648"/>
    </row>
    <row r="71" spans="2:53">
      <c r="B71" s="665"/>
      <c r="C71" s="296">
        <v>30</v>
      </c>
      <c r="D71" s="201"/>
      <c r="E71" s="201"/>
      <c r="F71" s="201"/>
      <c r="G71" s="201"/>
      <c r="H71" s="649"/>
      <c r="I71" s="367" t="str">
        <f t="shared" si="20"/>
        <v>-</v>
      </c>
      <c r="J71" s="367" t="str">
        <f t="shared" si="21"/>
        <v>-</v>
      </c>
      <c r="K71" s="199" t="str">
        <f t="shared" si="22"/>
        <v>-</v>
      </c>
      <c r="L71" s="618"/>
      <c r="M71" s="198" t="e">
        <f>RANK(K71, K$42:$K$71)</f>
        <v>#VALUE!</v>
      </c>
      <c r="N71" s="641"/>
      <c r="O71" s="641"/>
      <c r="P71" s="476"/>
      <c r="Q71" s="388"/>
      <c r="R71" s="388"/>
      <c r="S71" s="542" t="e">
        <f t="shared" si="4"/>
        <v>#N/A</v>
      </c>
      <c r="T71" s="649"/>
      <c r="U71" s="476"/>
      <c r="V71" s="388"/>
      <c r="W71" s="388"/>
      <c r="X71" s="542" t="e">
        <f t="shared" si="6"/>
        <v>#N/A</v>
      </c>
      <c r="Y71" s="649"/>
      <c r="Z71" s="476"/>
      <c r="AA71" s="388"/>
      <c r="AB71" s="388"/>
      <c r="AC71" s="542" t="e">
        <f t="shared" si="8"/>
        <v>#N/A</v>
      </c>
      <c r="AD71" s="649"/>
      <c r="AE71" s="476"/>
      <c r="AF71" s="388"/>
      <c r="AG71" s="388"/>
      <c r="AH71" s="542" t="e">
        <f t="shared" si="10"/>
        <v>#N/A</v>
      </c>
      <c r="AI71" s="649"/>
      <c r="AJ71" s="476"/>
      <c r="AK71" s="388"/>
      <c r="AL71" s="388"/>
      <c r="AM71" s="542" t="e">
        <f t="shared" si="12"/>
        <v>#N/A</v>
      </c>
      <c r="AN71" s="649"/>
      <c r="AO71" s="476"/>
      <c r="AP71" s="388"/>
      <c r="AQ71" s="388"/>
      <c r="AR71" s="542" t="e">
        <f t="shared" si="14"/>
        <v>#N/A</v>
      </c>
      <c r="AS71" s="649"/>
      <c r="AT71" s="476"/>
      <c r="AU71" s="388"/>
      <c r="AV71" s="388"/>
      <c r="AW71" s="542" t="e">
        <f t="shared" si="16"/>
        <v>#N/A</v>
      </c>
      <c r="AX71" s="649"/>
      <c r="AZ71" s="376" t="e">
        <f t="shared" si="18"/>
        <v>#N/A</v>
      </c>
      <c r="BA71" s="649"/>
    </row>
    <row r="72" spans="2:53" ht="15.75">
      <c r="B72" s="666" t="s">
        <v>162</v>
      </c>
      <c r="C72" s="667"/>
      <c r="D72" s="667"/>
      <c r="E72" s="667"/>
      <c r="F72" s="667"/>
      <c r="G72" s="667"/>
      <c r="H72" s="667"/>
      <c r="I72" s="207"/>
      <c r="J72" s="202"/>
      <c r="K72" s="207"/>
      <c r="L72" s="207"/>
      <c r="M72" s="203"/>
      <c r="N72" s="639" t="s">
        <v>156</v>
      </c>
      <c r="O72" s="639" t="s">
        <v>155</v>
      </c>
      <c r="P72" s="645">
        <f>P37+7</f>
        <v>46217</v>
      </c>
      <c r="Q72" s="646"/>
      <c r="R72" s="646"/>
      <c r="S72" s="646"/>
      <c r="T72" s="646"/>
      <c r="U72" s="642">
        <f>P72+1</f>
        <v>46218</v>
      </c>
      <c r="V72" s="643"/>
      <c r="W72" s="643"/>
      <c r="X72" s="643"/>
      <c r="Y72" s="644"/>
      <c r="Z72" s="642">
        <f>U72+1</f>
        <v>46219</v>
      </c>
      <c r="AA72" s="643"/>
      <c r="AB72" s="643"/>
      <c r="AC72" s="643"/>
      <c r="AD72" s="644"/>
      <c r="AE72" s="642">
        <f>Z72+1</f>
        <v>46220</v>
      </c>
      <c r="AF72" s="643"/>
      <c r="AG72" s="643"/>
      <c r="AH72" s="643"/>
      <c r="AI72" s="644"/>
      <c r="AJ72" s="642">
        <f>AE72+1</f>
        <v>46221</v>
      </c>
      <c r="AK72" s="643"/>
      <c r="AL72" s="643"/>
      <c r="AM72" s="643"/>
      <c r="AN72" s="644"/>
      <c r="AO72" s="642">
        <f>AJ72+1</f>
        <v>46222</v>
      </c>
      <c r="AP72" s="643"/>
      <c r="AQ72" s="643"/>
      <c r="AR72" s="643"/>
      <c r="AS72" s="644"/>
      <c r="AT72" s="642">
        <f>AO72+1</f>
        <v>46223</v>
      </c>
      <c r="AU72" s="643"/>
      <c r="AV72" s="643"/>
      <c r="AW72" s="643"/>
      <c r="AX72" s="644"/>
    </row>
    <row r="73" spans="2:53" ht="15.75">
      <c r="B73" s="653"/>
      <c r="C73" s="653"/>
      <c r="D73" s="653"/>
      <c r="E73" s="653"/>
      <c r="F73" s="653"/>
      <c r="G73" s="653"/>
      <c r="H73" s="653"/>
      <c r="I73" s="204"/>
      <c r="J73" s="204"/>
      <c r="K73" s="204"/>
      <c r="L73" s="204"/>
      <c r="M73" s="205"/>
      <c r="N73" s="641"/>
      <c r="O73" s="641"/>
      <c r="P73" s="645" t="s">
        <v>317</v>
      </c>
      <c r="Q73" s="646"/>
      <c r="R73" s="646"/>
      <c r="S73" s="646"/>
      <c r="T73" s="646"/>
      <c r="U73" s="645" t="s">
        <v>318</v>
      </c>
      <c r="V73" s="646"/>
      <c r="W73" s="646"/>
      <c r="X73" s="646"/>
      <c r="Y73" s="646"/>
      <c r="Z73" s="645" t="s">
        <v>319</v>
      </c>
      <c r="AA73" s="646"/>
      <c r="AB73" s="646"/>
      <c r="AC73" s="646"/>
      <c r="AD73" s="646"/>
      <c r="AE73" s="645" t="s">
        <v>320</v>
      </c>
      <c r="AF73" s="646"/>
      <c r="AG73" s="646"/>
      <c r="AH73" s="646"/>
      <c r="AI73" s="646"/>
      <c r="AJ73" s="645" t="s">
        <v>321</v>
      </c>
      <c r="AK73" s="646"/>
      <c r="AL73" s="646"/>
      <c r="AM73" s="646"/>
      <c r="AN73" s="646"/>
      <c r="AO73" s="645" t="s">
        <v>322</v>
      </c>
      <c r="AP73" s="646"/>
      <c r="AQ73" s="646"/>
      <c r="AR73" s="646"/>
      <c r="AS73" s="646"/>
      <c r="AT73" s="645" t="s">
        <v>323</v>
      </c>
      <c r="AU73" s="646"/>
      <c r="AV73" s="646"/>
      <c r="AW73" s="646"/>
      <c r="AX73" s="646"/>
    </row>
    <row r="74" spans="2:53">
      <c r="B74" s="639" t="s">
        <v>456</v>
      </c>
      <c r="C74" s="636" t="s">
        <v>457</v>
      </c>
      <c r="D74" s="654"/>
      <c r="E74" s="632" t="s">
        <v>458</v>
      </c>
      <c r="F74" s="633"/>
      <c r="G74" s="634"/>
      <c r="H74" s="639" t="s">
        <v>459</v>
      </c>
      <c r="I74" s="623" t="s">
        <v>460</v>
      </c>
      <c r="J74" s="624"/>
      <c r="K74" s="625"/>
      <c r="L74" s="626" t="s">
        <v>459</v>
      </c>
      <c r="M74" s="626" t="s">
        <v>461</v>
      </c>
      <c r="N74" s="639"/>
      <c r="O74" s="639" t="s">
        <v>462</v>
      </c>
      <c r="P74" s="632" t="s">
        <v>463</v>
      </c>
      <c r="Q74" s="633"/>
      <c r="R74" s="633"/>
      <c r="S74" s="634"/>
      <c r="T74" s="639" t="s">
        <v>459</v>
      </c>
      <c r="U74" s="632" t="s">
        <v>463</v>
      </c>
      <c r="V74" s="633"/>
      <c r="W74" s="633"/>
      <c r="X74" s="634"/>
      <c r="Y74" s="639" t="s">
        <v>459</v>
      </c>
      <c r="Z74" s="632" t="s">
        <v>463</v>
      </c>
      <c r="AA74" s="633"/>
      <c r="AB74" s="633"/>
      <c r="AC74" s="634"/>
      <c r="AD74" s="639" t="s">
        <v>459</v>
      </c>
      <c r="AE74" s="632" t="s">
        <v>463</v>
      </c>
      <c r="AF74" s="633"/>
      <c r="AG74" s="633"/>
      <c r="AH74" s="634"/>
      <c r="AI74" s="639" t="s">
        <v>459</v>
      </c>
      <c r="AJ74" s="632" t="s">
        <v>463</v>
      </c>
      <c r="AK74" s="633"/>
      <c r="AL74" s="633"/>
      <c r="AM74" s="634"/>
      <c r="AN74" s="639" t="s">
        <v>459</v>
      </c>
      <c r="AO74" s="632" t="s">
        <v>463</v>
      </c>
      <c r="AP74" s="633"/>
      <c r="AQ74" s="633"/>
      <c r="AR74" s="634"/>
      <c r="AS74" s="639" t="s">
        <v>459</v>
      </c>
      <c r="AT74" s="632" t="s">
        <v>463</v>
      </c>
      <c r="AU74" s="633"/>
      <c r="AV74" s="633"/>
      <c r="AW74" s="634"/>
      <c r="AX74" s="639" t="s">
        <v>459</v>
      </c>
      <c r="BA74" s="639" t="s">
        <v>369</v>
      </c>
    </row>
    <row r="75" spans="2:53">
      <c r="B75" s="640"/>
      <c r="C75" s="637"/>
      <c r="D75" s="655"/>
      <c r="E75" s="632" t="s">
        <v>464</v>
      </c>
      <c r="F75" s="633"/>
      <c r="G75" s="634"/>
      <c r="H75" s="640"/>
      <c r="I75" s="623" t="s">
        <v>464</v>
      </c>
      <c r="J75" s="624"/>
      <c r="K75" s="625"/>
      <c r="L75" s="627"/>
      <c r="M75" s="627"/>
      <c r="N75" s="640"/>
      <c r="O75" s="640"/>
      <c r="P75" s="632" t="s">
        <v>465</v>
      </c>
      <c r="Q75" s="633"/>
      <c r="R75" s="633"/>
      <c r="S75" s="634"/>
      <c r="T75" s="640"/>
      <c r="U75" s="632" t="s">
        <v>465</v>
      </c>
      <c r="V75" s="633"/>
      <c r="W75" s="633"/>
      <c r="X75" s="634"/>
      <c r="Y75" s="640"/>
      <c r="Z75" s="632" t="s">
        <v>465</v>
      </c>
      <c r="AA75" s="633"/>
      <c r="AB75" s="633"/>
      <c r="AC75" s="634"/>
      <c r="AD75" s="640"/>
      <c r="AE75" s="632" t="s">
        <v>465</v>
      </c>
      <c r="AF75" s="633"/>
      <c r="AG75" s="633"/>
      <c r="AH75" s="634"/>
      <c r="AI75" s="640"/>
      <c r="AJ75" s="632" t="s">
        <v>465</v>
      </c>
      <c r="AK75" s="633"/>
      <c r="AL75" s="633"/>
      <c r="AM75" s="634"/>
      <c r="AN75" s="640"/>
      <c r="AO75" s="632" t="s">
        <v>465</v>
      </c>
      <c r="AP75" s="633"/>
      <c r="AQ75" s="633"/>
      <c r="AR75" s="634"/>
      <c r="AS75" s="640"/>
      <c r="AT75" s="632" t="s">
        <v>465</v>
      </c>
      <c r="AU75" s="633"/>
      <c r="AV75" s="633"/>
      <c r="AW75" s="634"/>
      <c r="AX75" s="640"/>
      <c r="BA75" s="640"/>
    </row>
    <row r="76" spans="2:53">
      <c r="B76" s="641"/>
      <c r="C76" s="638"/>
      <c r="D76" s="656"/>
      <c r="E76" s="298" t="s">
        <v>466</v>
      </c>
      <c r="F76" s="298" t="s">
        <v>467</v>
      </c>
      <c r="G76" s="298" t="s">
        <v>468</v>
      </c>
      <c r="H76" s="641"/>
      <c r="I76" s="297" t="s">
        <v>466</v>
      </c>
      <c r="J76" s="297" t="s">
        <v>467</v>
      </c>
      <c r="K76" s="297" t="s">
        <v>468</v>
      </c>
      <c r="L76" s="628"/>
      <c r="M76" s="628"/>
      <c r="N76" s="640"/>
      <c r="O76" s="640"/>
      <c r="P76" s="298" t="s">
        <v>466</v>
      </c>
      <c r="Q76" s="298" t="s">
        <v>467</v>
      </c>
      <c r="R76" s="298" t="s">
        <v>468</v>
      </c>
      <c r="S76" s="298" t="s">
        <v>461</v>
      </c>
      <c r="T76" s="641"/>
      <c r="U76" s="298" t="s">
        <v>466</v>
      </c>
      <c r="V76" s="298" t="s">
        <v>467</v>
      </c>
      <c r="W76" s="298" t="s">
        <v>468</v>
      </c>
      <c r="X76" s="298" t="s">
        <v>461</v>
      </c>
      <c r="Y76" s="641"/>
      <c r="Z76" s="298" t="s">
        <v>466</v>
      </c>
      <c r="AA76" s="298" t="s">
        <v>467</v>
      </c>
      <c r="AB76" s="298" t="s">
        <v>468</v>
      </c>
      <c r="AC76" s="298" t="s">
        <v>461</v>
      </c>
      <c r="AD76" s="641"/>
      <c r="AE76" s="298" t="s">
        <v>466</v>
      </c>
      <c r="AF76" s="298" t="s">
        <v>467</v>
      </c>
      <c r="AG76" s="298" t="s">
        <v>468</v>
      </c>
      <c r="AH76" s="298" t="s">
        <v>461</v>
      </c>
      <c r="AI76" s="641"/>
      <c r="AJ76" s="298" t="s">
        <v>466</v>
      </c>
      <c r="AK76" s="298" t="s">
        <v>467</v>
      </c>
      <c r="AL76" s="298" t="s">
        <v>468</v>
      </c>
      <c r="AM76" s="298" t="s">
        <v>461</v>
      </c>
      <c r="AN76" s="641"/>
      <c r="AO76" s="298" t="s">
        <v>466</v>
      </c>
      <c r="AP76" s="298" t="s">
        <v>467</v>
      </c>
      <c r="AQ76" s="298" t="s">
        <v>468</v>
      </c>
      <c r="AR76" s="298" t="s">
        <v>461</v>
      </c>
      <c r="AS76" s="641"/>
      <c r="AT76" s="298" t="s">
        <v>466</v>
      </c>
      <c r="AU76" s="298" t="s">
        <v>467</v>
      </c>
      <c r="AV76" s="298" t="s">
        <v>468</v>
      </c>
      <c r="AW76" s="298" t="s">
        <v>461</v>
      </c>
      <c r="AX76" s="641"/>
      <c r="AZ76" s="377" t="s">
        <v>370</v>
      </c>
      <c r="BA76" s="641"/>
    </row>
    <row r="77" spans="2:53">
      <c r="B77" s="663" t="s">
        <v>150</v>
      </c>
      <c r="C77" s="299">
        <v>1</v>
      </c>
      <c r="D77" s="201" t="s">
        <v>336</v>
      </c>
      <c r="E77" s="201">
        <v>3</v>
      </c>
      <c r="F77" s="201">
        <v>3200</v>
      </c>
      <c r="G77" s="536">
        <v>1066.6666666666667</v>
      </c>
      <c r="H77" s="647">
        <f>AVERAGE(G77:G106)</f>
        <v>763.30128205128187</v>
      </c>
      <c r="I77" s="367">
        <f>IFERROR(AVERAGE(P77,U77,Z77,AE77,AJ77,AO77,AT77),"-")</f>
        <v>3</v>
      </c>
      <c r="J77" s="367">
        <f>IFERROR(AVERAGE(Q77,V77,AA77,AF77,AK77,AP77,AU77),"-")</f>
        <v>3199.7758763249299</v>
      </c>
      <c r="K77" s="199">
        <f>IFERROR(AVERAGE(R77,W77,AB77,AG77,AL77,AQ77,AV77),"-")</f>
        <v>1066.5919587749768</v>
      </c>
      <c r="L77" s="629">
        <f>IFERROR(AVERAGE(K77:K106),"-")</f>
        <v>777.47147059917438</v>
      </c>
      <c r="M77" s="198">
        <f>RANK(K77, K$77:$K$106)</f>
        <v>1</v>
      </c>
      <c r="N77" s="640"/>
      <c r="O77" s="640"/>
      <c r="P77" s="546">
        <v>3</v>
      </c>
      <c r="Q77" s="547">
        <v>3169.811320754714</v>
      </c>
      <c r="R77" s="547">
        <v>1056.6037735849047</v>
      </c>
      <c r="S77" s="531">
        <v>3</v>
      </c>
      <c r="T77" s="657">
        <v>773.88672604691624</v>
      </c>
      <c r="U77" s="546">
        <v>3</v>
      </c>
      <c r="V77" s="547">
        <v>3185.9999999999959</v>
      </c>
      <c r="W77" s="547">
        <v>1061.9999999999986</v>
      </c>
      <c r="X77" s="531">
        <v>3</v>
      </c>
      <c r="Y77" s="657">
        <v>776.67758253482214</v>
      </c>
      <c r="Z77" s="546">
        <v>3</v>
      </c>
      <c r="AA77" s="547">
        <v>3252.499999999995</v>
      </c>
      <c r="AB77" s="547">
        <v>1084.1666666666649</v>
      </c>
      <c r="AC77" s="547">
        <v>3</v>
      </c>
      <c r="AD77" s="657">
        <v>799.3484343656263</v>
      </c>
      <c r="AE77" s="546">
        <v>3</v>
      </c>
      <c r="AF77" s="547">
        <v>3150.666666666667</v>
      </c>
      <c r="AG77" s="547">
        <v>1050.2222222222224</v>
      </c>
      <c r="AH77" s="547">
        <v>4</v>
      </c>
      <c r="AI77" s="657">
        <v>766.7650416833045</v>
      </c>
      <c r="AJ77" s="546">
        <v>3</v>
      </c>
      <c r="AK77" s="547">
        <v>3144.5454545454545</v>
      </c>
      <c r="AL77" s="547">
        <v>1048.1818181818182</v>
      </c>
      <c r="AM77" s="547">
        <v>4</v>
      </c>
      <c r="AN77" s="657">
        <v>767.2125752526764</v>
      </c>
      <c r="AO77" s="546">
        <v>3</v>
      </c>
      <c r="AP77" s="547">
        <v>3197.3076923076892</v>
      </c>
      <c r="AQ77" s="547">
        <v>1065.7692307692298</v>
      </c>
      <c r="AR77" s="547">
        <v>1</v>
      </c>
      <c r="AS77" s="657">
        <v>759.39201678159338</v>
      </c>
      <c r="AT77" s="546">
        <v>3</v>
      </c>
      <c r="AU77" s="547">
        <v>3297.5999999999958</v>
      </c>
      <c r="AV77" s="547">
        <v>1099.1999999999987</v>
      </c>
      <c r="AW77" s="547">
        <v>3</v>
      </c>
      <c r="AX77" s="657">
        <v>799.01791752928045</v>
      </c>
      <c r="AZ77" s="376" t="e">
        <f t="shared" ref="AZ77:AZ106" si="23">RANK(AY77, AY$77:AY$106)</f>
        <v>#N/A</v>
      </c>
      <c r="BA77" s="647" t="e">
        <f t="shared" ref="BA77" si="24">AVERAGE(AY77:AY106)</f>
        <v>#DIV/0!</v>
      </c>
    </row>
    <row r="78" spans="2:53">
      <c r="B78" s="664"/>
      <c r="C78" s="299">
        <v>2</v>
      </c>
      <c r="D78" s="538" t="s">
        <v>337</v>
      </c>
      <c r="E78" s="201">
        <v>3</v>
      </c>
      <c r="F78" s="201">
        <v>3200</v>
      </c>
      <c r="G78" s="536">
        <v>1066.6666666666667</v>
      </c>
      <c r="H78" s="648"/>
      <c r="I78" s="367">
        <f t="shared" ref="I78:I106" si="25">IFERROR(AVERAGE(P78,U78,Z78,AE78,AJ78,AO78,AT78),"-")</f>
        <v>3</v>
      </c>
      <c r="J78" s="367">
        <f t="shared" ref="J78:J106" si="26">IFERROR(AVERAGE(Q78,V78,AA78,AF78,AK78,AP78,AU78),"-")</f>
        <v>3148.6191476590543</v>
      </c>
      <c r="K78" s="199">
        <f t="shared" ref="K78:K106" si="27">IFERROR(AVERAGE(R78,W78,AB78,AG78,AL78,AQ78,AV78),"-")</f>
        <v>1049.5397158863514</v>
      </c>
      <c r="L78" s="630"/>
      <c r="M78" s="198">
        <f>RANK(K78, K$77:$K$106)</f>
        <v>6</v>
      </c>
      <c r="N78" s="640"/>
      <c r="O78" s="640"/>
      <c r="P78" s="546">
        <v>3</v>
      </c>
      <c r="Q78" s="547">
        <v>3052.9411764705706</v>
      </c>
      <c r="R78" s="547">
        <v>1017.6470588235235</v>
      </c>
      <c r="S78" s="531">
        <v>7</v>
      </c>
      <c r="T78" s="657"/>
      <c r="U78" s="546">
        <v>3</v>
      </c>
      <c r="V78" s="547">
        <v>3138.7499999999959</v>
      </c>
      <c r="W78" s="547">
        <v>1046.2499999999986</v>
      </c>
      <c r="X78" s="531">
        <v>6</v>
      </c>
      <c r="Y78" s="657"/>
      <c r="Z78" s="546">
        <v>3</v>
      </c>
      <c r="AA78" s="547">
        <v>3343.9999999999941</v>
      </c>
      <c r="AB78" s="547">
        <v>1114.6666666666647</v>
      </c>
      <c r="AC78" s="547">
        <v>1</v>
      </c>
      <c r="AD78" s="657"/>
      <c r="AE78" s="546">
        <v>3</v>
      </c>
      <c r="AF78" s="547">
        <v>3201.4285714285643</v>
      </c>
      <c r="AG78" s="547">
        <v>1067.1428571428548</v>
      </c>
      <c r="AH78" s="547">
        <v>1</v>
      </c>
      <c r="AI78" s="657"/>
      <c r="AJ78" s="546">
        <v>3</v>
      </c>
      <c r="AK78" s="547">
        <v>3025.714285714279</v>
      </c>
      <c r="AL78" s="547">
        <v>1008.5714285714263</v>
      </c>
      <c r="AM78" s="547">
        <v>8</v>
      </c>
      <c r="AN78" s="657"/>
      <c r="AO78" s="546">
        <v>3</v>
      </c>
      <c r="AP78" s="547">
        <v>3059.9999999999823</v>
      </c>
      <c r="AQ78" s="547">
        <v>1019.9999999999941</v>
      </c>
      <c r="AR78" s="547">
        <v>6</v>
      </c>
      <c r="AS78" s="657"/>
      <c r="AT78" s="546">
        <v>3</v>
      </c>
      <c r="AU78" s="547">
        <v>3217.4999999999959</v>
      </c>
      <c r="AV78" s="547">
        <v>1072.4999999999986</v>
      </c>
      <c r="AW78" s="547">
        <v>6</v>
      </c>
      <c r="AX78" s="657"/>
      <c r="AZ78" s="376" t="e">
        <f t="shared" si="23"/>
        <v>#N/A</v>
      </c>
      <c r="BA78" s="648"/>
    </row>
    <row r="79" spans="2:53">
      <c r="B79" s="664"/>
      <c r="C79" s="299">
        <v>3</v>
      </c>
      <c r="D79" s="201" t="s">
        <v>328</v>
      </c>
      <c r="E79" s="201">
        <v>4</v>
      </c>
      <c r="F79" s="201">
        <v>3200</v>
      </c>
      <c r="G79" s="536">
        <v>800</v>
      </c>
      <c r="H79" s="648"/>
      <c r="I79" s="367">
        <f t="shared" si="25"/>
        <v>4</v>
      </c>
      <c r="J79" s="367">
        <f t="shared" si="26"/>
        <v>3176.8144712430344</v>
      </c>
      <c r="K79" s="199">
        <f t="shared" si="27"/>
        <v>794.2036178107586</v>
      </c>
      <c r="L79" s="630"/>
      <c r="M79" s="198">
        <f>RANK(K79, K$77:$K$106)</f>
        <v>13</v>
      </c>
      <c r="N79" s="640"/>
      <c r="O79" s="640"/>
      <c r="P79" s="546">
        <v>4</v>
      </c>
      <c r="Q79" s="547">
        <v>3077.1428571428683</v>
      </c>
      <c r="R79" s="547">
        <v>769.28571428571706</v>
      </c>
      <c r="S79" s="531">
        <v>16</v>
      </c>
      <c r="T79" s="657"/>
      <c r="U79" s="546">
        <v>4</v>
      </c>
      <c r="V79" s="547">
        <v>3034.2857142857251</v>
      </c>
      <c r="W79" s="547">
        <v>758.57142857143128</v>
      </c>
      <c r="X79" s="531">
        <v>16</v>
      </c>
      <c r="Y79" s="657"/>
      <c r="Z79" s="546">
        <v>4</v>
      </c>
      <c r="AA79" s="547">
        <v>3339.9999999999673</v>
      </c>
      <c r="AB79" s="547">
        <v>834.99999999999181</v>
      </c>
      <c r="AC79" s="547">
        <v>13</v>
      </c>
      <c r="AD79" s="657"/>
      <c r="AE79" s="546">
        <v>4</v>
      </c>
      <c r="AF79" s="547">
        <v>2994.5454545454431</v>
      </c>
      <c r="AG79" s="547">
        <v>748.63636363636078</v>
      </c>
      <c r="AH79" s="547">
        <v>16</v>
      </c>
      <c r="AI79" s="657"/>
      <c r="AJ79" s="546">
        <v>4</v>
      </c>
      <c r="AK79" s="547">
        <v>3203.9999999999859</v>
      </c>
      <c r="AL79" s="547">
        <v>800.99999999999648</v>
      </c>
      <c r="AM79" s="547">
        <v>11</v>
      </c>
      <c r="AN79" s="657"/>
      <c r="AO79" s="546">
        <v>4</v>
      </c>
      <c r="AP79" s="547">
        <v>3134.99999999999</v>
      </c>
      <c r="AQ79" s="547">
        <v>783.7499999999975</v>
      </c>
      <c r="AR79" s="547">
        <v>14</v>
      </c>
      <c r="AS79" s="657"/>
      <c r="AT79" s="546">
        <v>4</v>
      </c>
      <c r="AU79" s="547">
        <v>3452.7272727272602</v>
      </c>
      <c r="AV79" s="547">
        <v>863.18181818181506</v>
      </c>
      <c r="AW79" s="547">
        <v>12</v>
      </c>
      <c r="AX79" s="657"/>
      <c r="AZ79" s="376" t="e">
        <f t="shared" si="23"/>
        <v>#N/A</v>
      </c>
      <c r="BA79" s="648"/>
    </row>
    <row r="80" spans="2:53">
      <c r="B80" s="664"/>
      <c r="C80" s="299">
        <v>4</v>
      </c>
      <c r="D80" s="201" t="s">
        <v>338</v>
      </c>
      <c r="E80" s="201">
        <v>3</v>
      </c>
      <c r="F80" s="201">
        <v>3200</v>
      </c>
      <c r="G80" s="536">
        <v>1066.6666666666667</v>
      </c>
      <c r="H80" s="648"/>
      <c r="I80" s="367">
        <f t="shared" si="25"/>
        <v>3</v>
      </c>
      <c r="J80" s="367">
        <f t="shared" si="26"/>
        <v>3190.3198771153666</v>
      </c>
      <c r="K80" s="199">
        <f t="shared" si="27"/>
        <v>1063.4399590384558</v>
      </c>
      <c r="L80" s="630"/>
      <c r="M80" s="198">
        <f>RANK(K80, K$77:$K$106)</f>
        <v>2</v>
      </c>
      <c r="N80" s="640"/>
      <c r="O80" s="640"/>
      <c r="P80" s="546">
        <v>3</v>
      </c>
      <c r="Q80" s="547">
        <v>3197.9220779220759</v>
      </c>
      <c r="R80" s="547">
        <v>1065.9740259740254</v>
      </c>
      <c r="S80" s="531">
        <v>1</v>
      </c>
      <c r="T80" s="657"/>
      <c r="U80" s="546">
        <v>3</v>
      </c>
      <c r="V80" s="547">
        <v>3192.8000000000011</v>
      </c>
      <c r="W80" s="547">
        <v>1064.2666666666671</v>
      </c>
      <c r="X80" s="531">
        <v>2</v>
      </c>
      <c r="Y80" s="657"/>
      <c r="Z80" s="546">
        <v>3</v>
      </c>
      <c r="AA80" s="547">
        <v>3208.333333333338</v>
      </c>
      <c r="AB80" s="547">
        <v>1069.4444444444459</v>
      </c>
      <c r="AC80" s="547">
        <v>5</v>
      </c>
      <c r="AD80" s="657"/>
      <c r="AE80" s="546">
        <v>3</v>
      </c>
      <c r="AF80" s="547">
        <v>3168.9230769230762</v>
      </c>
      <c r="AG80" s="547">
        <v>1056.3076923076922</v>
      </c>
      <c r="AH80" s="547">
        <v>3</v>
      </c>
      <c r="AI80" s="657"/>
      <c r="AJ80" s="546">
        <v>3</v>
      </c>
      <c r="AK80" s="547">
        <v>3178.0952380952417</v>
      </c>
      <c r="AL80" s="547">
        <v>1059.3650793650806</v>
      </c>
      <c r="AM80" s="547">
        <v>2</v>
      </c>
      <c r="AN80" s="657"/>
      <c r="AO80" s="546">
        <v>3</v>
      </c>
      <c r="AP80" s="547">
        <v>3171.4285714285697</v>
      </c>
      <c r="AQ80" s="547">
        <v>1057.1428571428567</v>
      </c>
      <c r="AR80" s="547">
        <v>4</v>
      </c>
      <c r="AS80" s="657"/>
      <c r="AT80" s="546">
        <v>3</v>
      </c>
      <c r="AU80" s="547">
        <v>3214.7368421052647</v>
      </c>
      <c r="AV80" s="547">
        <v>1071.5789473684215</v>
      </c>
      <c r="AW80" s="547">
        <v>7</v>
      </c>
      <c r="AX80" s="657"/>
      <c r="AZ80" s="376" t="e">
        <f t="shared" si="23"/>
        <v>#N/A</v>
      </c>
      <c r="BA80" s="648"/>
    </row>
    <row r="81" spans="2:53">
      <c r="B81" s="664"/>
      <c r="C81" s="299">
        <v>5</v>
      </c>
      <c r="D81" s="201" t="s">
        <v>568</v>
      </c>
      <c r="E81" s="201">
        <v>4</v>
      </c>
      <c r="F81" s="201">
        <v>3200</v>
      </c>
      <c r="G81" s="536">
        <v>800</v>
      </c>
      <c r="H81" s="648"/>
      <c r="I81" s="367">
        <f t="shared" si="25"/>
        <v>4</v>
      </c>
      <c r="J81" s="367">
        <f t="shared" si="26"/>
        <v>3187.2066089593723</v>
      </c>
      <c r="K81" s="199">
        <f t="shared" si="27"/>
        <v>796.80165223984307</v>
      </c>
      <c r="L81" s="630"/>
      <c r="M81" s="198">
        <f>RANK(K81, K$77:$K$106)</f>
        <v>11</v>
      </c>
      <c r="N81" s="640"/>
      <c r="O81" s="640"/>
      <c r="P81" s="546">
        <v>4</v>
      </c>
      <c r="Q81" s="547">
        <v>3077.1428571428564</v>
      </c>
      <c r="R81" s="547">
        <v>769.28571428571411</v>
      </c>
      <c r="S81" s="531">
        <v>17</v>
      </c>
      <c r="T81" s="657"/>
      <c r="U81" s="546">
        <v>4</v>
      </c>
      <c r="V81" s="547">
        <v>3158.9999999999991</v>
      </c>
      <c r="W81" s="547">
        <v>789.74999999999977</v>
      </c>
      <c r="X81" s="531">
        <v>14</v>
      </c>
      <c r="Y81" s="657"/>
      <c r="Z81" s="546">
        <v>4</v>
      </c>
      <c r="AA81" s="547">
        <v>3359.9999999999973</v>
      </c>
      <c r="AB81" s="547">
        <v>839.99999999999932</v>
      </c>
      <c r="AC81" s="547">
        <v>12</v>
      </c>
      <c r="AD81" s="657"/>
      <c r="AE81" s="546">
        <v>4</v>
      </c>
      <c r="AF81" s="547">
        <v>3105.8823529411725</v>
      </c>
      <c r="AG81" s="547">
        <v>776.47058823529312</v>
      </c>
      <c r="AH81" s="547">
        <v>14</v>
      </c>
      <c r="AI81" s="657"/>
      <c r="AJ81" s="546">
        <v>4</v>
      </c>
      <c r="AK81" s="547">
        <v>3139.9999999999945</v>
      </c>
      <c r="AL81" s="547">
        <v>784.99999999999864</v>
      </c>
      <c r="AM81" s="547">
        <v>15</v>
      </c>
      <c r="AN81" s="657"/>
      <c r="AO81" s="546">
        <v>4</v>
      </c>
      <c r="AP81" s="547">
        <v>3148.4210526315769</v>
      </c>
      <c r="AQ81" s="547">
        <v>787.10526315789423</v>
      </c>
      <c r="AR81" s="547">
        <v>13</v>
      </c>
      <c r="AS81" s="657"/>
      <c r="AT81" s="546">
        <v>4</v>
      </c>
      <c r="AU81" s="547">
        <v>3320.0000000000118</v>
      </c>
      <c r="AV81" s="547">
        <v>830.00000000000296</v>
      </c>
      <c r="AW81" s="547">
        <v>13</v>
      </c>
      <c r="AX81" s="657"/>
      <c r="AZ81" s="376" t="e">
        <f t="shared" si="23"/>
        <v>#N/A</v>
      </c>
      <c r="BA81" s="648"/>
    </row>
    <row r="82" spans="2:53">
      <c r="B82" s="664"/>
      <c r="C82" s="299">
        <v>6</v>
      </c>
      <c r="D82" s="201" t="s">
        <v>569</v>
      </c>
      <c r="E82" s="201">
        <v>4</v>
      </c>
      <c r="F82" s="201">
        <v>3200</v>
      </c>
      <c r="G82" s="536">
        <v>800</v>
      </c>
      <c r="H82" s="648"/>
      <c r="I82" s="367">
        <f t="shared" si="25"/>
        <v>4</v>
      </c>
      <c r="J82" s="367">
        <f t="shared" si="26"/>
        <v>3129.2278911564595</v>
      </c>
      <c r="K82" s="199">
        <f t="shared" si="27"/>
        <v>782.30697278911487</v>
      </c>
      <c r="L82" s="630"/>
      <c r="M82" s="198">
        <f>RANK(K82, K$77:$K$106)</f>
        <v>15</v>
      </c>
      <c r="N82" s="640"/>
      <c r="O82" s="640"/>
      <c r="P82" s="546">
        <v>4</v>
      </c>
      <c r="Q82" s="547">
        <v>3220.0000000000114</v>
      </c>
      <c r="R82" s="547">
        <v>805.00000000000284</v>
      </c>
      <c r="S82" s="531">
        <v>12</v>
      </c>
      <c r="T82" s="657"/>
      <c r="U82" s="546">
        <v>4</v>
      </c>
      <c r="V82" s="547">
        <v>3114.0000000000109</v>
      </c>
      <c r="W82" s="547">
        <v>778.50000000000273</v>
      </c>
      <c r="X82" s="531">
        <v>15</v>
      </c>
      <c r="Y82" s="657"/>
      <c r="Z82" s="546">
        <v>4</v>
      </c>
      <c r="AA82" s="547">
        <v>2986.6666666666774</v>
      </c>
      <c r="AB82" s="547">
        <v>746.66666666666936</v>
      </c>
      <c r="AC82" s="547">
        <v>18</v>
      </c>
      <c r="AD82" s="657"/>
      <c r="AE82" s="546">
        <v>4</v>
      </c>
      <c r="AF82" s="547">
        <v>3051.4285714285475</v>
      </c>
      <c r="AG82" s="547">
        <v>762.85714285713686</v>
      </c>
      <c r="AH82" s="547">
        <v>15</v>
      </c>
      <c r="AI82" s="657"/>
      <c r="AJ82" s="546">
        <v>4</v>
      </c>
      <c r="AK82" s="547">
        <v>2785.7142857142635</v>
      </c>
      <c r="AL82" s="547">
        <v>696.42857142856587</v>
      </c>
      <c r="AM82" s="547">
        <v>18</v>
      </c>
      <c r="AN82" s="657"/>
      <c r="AO82" s="546">
        <v>4</v>
      </c>
      <c r="AP82" s="547">
        <v>3232.4999999999791</v>
      </c>
      <c r="AQ82" s="547">
        <v>808.12499999999477</v>
      </c>
      <c r="AR82" s="547">
        <v>11</v>
      </c>
      <c r="AS82" s="657"/>
      <c r="AT82" s="546">
        <v>4</v>
      </c>
      <c r="AU82" s="547">
        <v>3514.285714285727</v>
      </c>
      <c r="AV82" s="547">
        <v>878.57142857143174</v>
      </c>
      <c r="AW82" s="547">
        <v>11</v>
      </c>
      <c r="AX82" s="657"/>
      <c r="AZ82" s="376" t="e">
        <f t="shared" si="23"/>
        <v>#N/A</v>
      </c>
      <c r="BA82" s="648"/>
    </row>
    <row r="83" spans="2:53">
      <c r="B83" s="664"/>
      <c r="C83" s="299">
        <v>7</v>
      </c>
      <c r="D83" s="201" t="s">
        <v>339</v>
      </c>
      <c r="E83" s="201">
        <v>4</v>
      </c>
      <c r="F83" s="201">
        <v>2800</v>
      </c>
      <c r="G83" s="536">
        <v>700</v>
      </c>
      <c r="H83" s="648"/>
      <c r="I83" s="367">
        <f t="shared" si="25"/>
        <v>4</v>
      </c>
      <c r="J83" s="367">
        <f t="shared" si="26"/>
        <v>3175.396103896102</v>
      </c>
      <c r="K83" s="199">
        <f t="shared" si="27"/>
        <v>793.84902597402549</v>
      </c>
      <c r="L83" s="630"/>
      <c r="M83" s="198">
        <f>RANK(K83, K$77:$K$106)</f>
        <v>14</v>
      </c>
      <c r="N83" s="640"/>
      <c r="O83" s="640"/>
      <c r="P83" s="546">
        <v>4</v>
      </c>
      <c r="Q83" s="547">
        <v>3152.727272727273</v>
      </c>
      <c r="R83" s="547">
        <v>788.18181818181824</v>
      </c>
      <c r="S83" s="531">
        <v>14</v>
      </c>
      <c r="T83" s="657"/>
      <c r="U83" s="546">
        <v>4</v>
      </c>
      <c r="V83" s="547">
        <v>3174.5454545454545</v>
      </c>
      <c r="W83" s="547">
        <v>793.63636363636363</v>
      </c>
      <c r="X83" s="531">
        <v>12</v>
      </c>
      <c r="Y83" s="657"/>
      <c r="Z83" s="546">
        <v>4</v>
      </c>
      <c r="AA83" s="547">
        <v>3439.9999999999973</v>
      </c>
      <c r="AB83" s="547">
        <v>859.99999999999932</v>
      </c>
      <c r="AC83" s="547">
        <v>11</v>
      </c>
      <c r="AD83" s="657"/>
      <c r="AE83" s="546">
        <v>4</v>
      </c>
      <c r="AF83" s="547">
        <v>3149.9999999999959</v>
      </c>
      <c r="AG83" s="547">
        <v>787.49999999999898</v>
      </c>
      <c r="AH83" s="547">
        <v>13</v>
      </c>
      <c r="AI83" s="657"/>
      <c r="AJ83" s="546">
        <v>4</v>
      </c>
      <c r="AK83" s="547">
        <v>2992.4999999999964</v>
      </c>
      <c r="AL83" s="547">
        <v>748.12499999999909</v>
      </c>
      <c r="AM83" s="547">
        <v>16</v>
      </c>
      <c r="AN83" s="657"/>
      <c r="AO83" s="546">
        <v>4</v>
      </c>
      <c r="AP83" s="547">
        <v>3077.9999999999991</v>
      </c>
      <c r="AQ83" s="547">
        <v>769.49999999999977</v>
      </c>
      <c r="AR83" s="547">
        <v>16</v>
      </c>
      <c r="AS83" s="657"/>
      <c r="AT83" s="546">
        <v>4</v>
      </c>
      <c r="AU83" s="547">
        <v>3239.9999999999973</v>
      </c>
      <c r="AV83" s="547">
        <v>809.99999999999932</v>
      </c>
      <c r="AW83" s="547">
        <v>14</v>
      </c>
      <c r="AX83" s="657"/>
      <c r="AZ83" s="376" t="e">
        <f t="shared" si="23"/>
        <v>#N/A</v>
      </c>
      <c r="BA83" s="648"/>
    </row>
    <row r="84" spans="2:53">
      <c r="B84" s="664"/>
      <c r="C84" s="299">
        <v>8</v>
      </c>
      <c r="D84" s="201" t="s">
        <v>340</v>
      </c>
      <c r="E84" s="201">
        <v>3</v>
      </c>
      <c r="F84" s="201">
        <v>3200</v>
      </c>
      <c r="G84" s="536">
        <v>1066.6666666666667</v>
      </c>
      <c r="H84" s="648"/>
      <c r="I84" s="367">
        <f t="shared" si="25"/>
        <v>3</v>
      </c>
      <c r="J84" s="367">
        <f t="shared" si="26"/>
        <v>3182.9373737373744</v>
      </c>
      <c r="K84" s="199">
        <f t="shared" si="27"/>
        <v>1060.9791245791246</v>
      </c>
      <c r="L84" s="630"/>
      <c r="M84" s="198">
        <f>RANK(K84, K$77:$K$106)</f>
        <v>3</v>
      </c>
      <c r="N84" s="640"/>
      <c r="O84" s="640"/>
      <c r="P84" s="546">
        <v>3</v>
      </c>
      <c r="Q84" s="547">
        <v>3166.6666666666683</v>
      </c>
      <c r="R84" s="547">
        <v>1055.5555555555561</v>
      </c>
      <c r="S84" s="531">
        <v>4</v>
      </c>
      <c r="T84" s="657"/>
      <c r="U84" s="546">
        <v>3</v>
      </c>
      <c r="V84" s="547">
        <v>3142.2222222222235</v>
      </c>
      <c r="W84" s="547">
        <v>1047.4074074074078</v>
      </c>
      <c r="X84" s="531">
        <v>5</v>
      </c>
      <c r="Y84" s="657"/>
      <c r="Z84" s="546">
        <v>3</v>
      </c>
      <c r="AA84" s="547">
        <v>3204.0000000000009</v>
      </c>
      <c r="AB84" s="547">
        <v>1068.0000000000002</v>
      </c>
      <c r="AC84" s="547">
        <v>6</v>
      </c>
      <c r="AD84" s="657"/>
      <c r="AE84" s="546">
        <v>3</v>
      </c>
      <c r="AF84" s="547">
        <v>3193.6363636363576</v>
      </c>
      <c r="AG84" s="547">
        <v>1064.5454545454525</v>
      </c>
      <c r="AH84" s="547">
        <v>2</v>
      </c>
      <c r="AI84" s="657"/>
      <c r="AJ84" s="546">
        <v>3</v>
      </c>
      <c r="AK84" s="547">
        <v>3103.6363636363635</v>
      </c>
      <c r="AL84" s="547">
        <v>1034.5454545454545</v>
      </c>
      <c r="AM84" s="547">
        <v>6</v>
      </c>
      <c r="AN84" s="657"/>
      <c r="AO84" s="546">
        <v>3</v>
      </c>
      <c r="AP84" s="547">
        <v>3180.0000000000018</v>
      </c>
      <c r="AQ84" s="547">
        <v>1060.0000000000007</v>
      </c>
      <c r="AR84" s="547">
        <v>2</v>
      </c>
      <c r="AS84" s="657"/>
      <c r="AT84" s="546">
        <v>3</v>
      </c>
      <c r="AU84" s="547">
        <v>3290.400000000001</v>
      </c>
      <c r="AV84" s="547">
        <v>1096.8000000000004</v>
      </c>
      <c r="AW84" s="547">
        <v>4</v>
      </c>
      <c r="AX84" s="657"/>
      <c r="AZ84" s="376" t="e">
        <f t="shared" si="23"/>
        <v>#N/A</v>
      </c>
      <c r="BA84" s="648"/>
    </row>
    <row r="85" spans="2:53">
      <c r="B85" s="664"/>
      <c r="C85" s="299">
        <v>9</v>
      </c>
      <c r="D85" s="201" t="s">
        <v>341</v>
      </c>
      <c r="E85" s="201">
        <v>3</v>
      </c>
      <c r="F85" s="201">
        <v>2800</v>
      </c>
      <c r="G85" s="536">
        <v>933.33333333333337</v>
      </c>
      <c r="H85" s="648"/>
      <c r="I85" s="367">
        <f t="shared" si="25"/>
        <v>3</v>
      </c>
      <c r="J85" s="367">
        <f t="shared" si="26"/>
        <v>3159.5519430237773</v>
      </c>
      <c r="K85" s="199">
        <f t="shared" si="27"/>
        <v>1053.1839810079259</v>
      </c>
      <c r="L85" s="630"/>
      <c r="M85" s="198">
        <f>RANK(K85, K$77:$K$106)</f>
        <v>5</v>
      </c>
      <c r="N85" s="640"/>
      <c r="O85" s="640"/>
      <c r="P85" s="546">
        <v>3</v>
      </c>
      <c r="Q85" s="547">
        <v>3177.8571428571454</v>
      </c>
      <c r="R85" s="547">
        <v>1059.2857142857151</v>
      </c>
      <c r="S85" s="531">
        <v>2</v>
      </c>
      <c r="T85" s="657"/>
      <c r="U85" s="546">
        <v>3</v>
      </c>
      <c r="V85" s="547">
        <v>3093.1034482758646</v>
      </c>
      <c r="W85" s="547">
        <v>1031.0344827586216</v>
      </c>
      <c r="X85" s="531">
        <v>8</v>
      </c>
      <c r="Y85" s="657"/>
      <c r="Z85" s="546">
        <v>3</v>
      </c>
      <c r="AA85" s="547">
        <v>3203.0769230769247</v>
      </c>
      <c r="AB85" s="547">
        <v>1067.6923076923083</v>
      </c>
      <c r="AC85" s="547">
        <v>7</v>
      </c>
      <c r="AD85" s="657"/>
      <c r="AE85" s="546">
        <v>3</v>
      </c>
      <c r="AF85" s="547">
        <v>3094.9999999999905</v>
      </c>
      <c r="AG85" s="547">
        <v>1031.6666666666636</v>
      </c>
      <c r="AH85" s="547">
        <v>5</v>
      </c>
      <c r="AI85" s="657"/>
      <c r="AJ85" s="546">
        <v>3</v>
      </c>
      <c r="AK85" s="547">
        <v>3067.8260869565115</v>
      </c>
      <c r="AL85" s="547">
        <v>1022.6086956521705</v>
      </c>
      <c r="AM85" s="547">
        <v>7</v>
      </c>
      <c r="AN85" s="657"/>
      <c r="AO85" s="546">
        <v>3</v>
      </c>
      <c r="AP85" s="547">
        <v>3180.0000000000018</v>
      </c>
      <c r="AQ85" s="547">
        <v>1060.0000000000007</v>
      </c>
      <c r="AR85" s="547">
        <v>2</v>
      </c>
      <c r="AS85" s="657"/>
      <c r="AT85" s="546">
        <v>3</v>
      </c>
      <c r="AU85" s="547">
        <v>3300.0000000000018</v>
      </c>
      <c r="AV85" s="547">
        <v>1100.0000000000007</v>
      </c>
      <c r="AW85" s="547">
        <v>2</v>
      </c>
      <c r="AX85" s="657"/>
      <c r="AZ85" s="376" t="e">
        <f t="shared" si="23"/>
        <v>#N/A</v>
      </c>
      <c r="BA85" s="648"/>
    </row>
    <row r="86" spans="2:53">
      <c r="B86" s="664"/>
      <c r="C86" s="299">
        <v>10</v>
      </c>
      <c r="D86" s="201" t="s">
        <v>342</v>
      </c>
      <c r="E86" s="201">
        <v>4</v>
      </c>
      <c r="F86" s="201">
        <v>2800</v>
      </c>
      <c r="G86" s="536">
        <v>700</v>
      </c>
      <c r="H86" s="648"/>
      <c r="I86" s="367">
        <f t="shared" si="25"/>
        <v>4</v>
      </c>
      <c r="J86" s="367">
        <f t="shared" si="26"/>
        <v>3185.5110954263155</v>
      </c>
      <c r="K86" s="199">
        <f t="shared" si="27"/>
        <v>796.37777385657887</v>
      </c>
      <c r="L86" s="630"/>
      <c r="M86" s="198">
        <f>RANK(K86, K$77:$K$106)</f>
        <v>12</v>
      </c>
      <c r="N86" s="640"/>
      <c r="O86" s="640"/>
      <c r="P86" s="546">
        <v>4</v>
      </c>
      <c r="Q86" s="547">
        <v>3146.4000000000005</v>
      </c>
      <c r="R86" s="547">
        <v>786.60000000000014</v>
      </c>
      <c r="S86" s="531">
        <v>15</v>
      </c>
      <c r="T86" s="657"/>
      <c r="U86" s="546">
        <v>4</v>
      </c>
      <c r="V86" s="547">
        <v>3162.5000000000009</v>
      </c>
      <c r="W86" s="547">
        <v>790.62500000000023</v>
      </c>
      <c r="X86" s="531">
        <v>13</v>
      </c>
      <c r="Y86" s="657"/>
      <c r="Z86" s="546">
        <v>4</v>
      </c>
      <c r="AA86" s="547">
        <v>3267.3913043478324</v>
      </c>
      <c r="AB86" s="547">
        <v>816.84782608695809</v>
      </c>
      <c r="AC86" s="547">
        <v>14</v>
      </c>
      <c r="AD86" s="657"/>
      <c r="AE86" s="546">
        <v>4</v>
      </c>
      <c r="AF86" s="547">
        <v>3163.636363636369</v>
      </c>
      <c r="AG86" s="547">
        <v>790.90909090909224</v>
      </c>
      <c r="AH86" s="547">
        <v>12</v>
      </c>
      <c r="AI86" s="657"/>
      <c r="AJ86" s="546">
        <v>4</v>
      </c>
      <c r="AK86" s="547">
        <v>3170.0000000000055</v>
      </c>
      <c r="AL86" s="547">
        <v>792.50000000000136</v>
      </c>
      <c r="AM86" s="547">
        <v>14</v>
      </c>
      <c r="AN86" s="657"/>
      <c r="AO86" s="546">
        <v>4</v>
      </c>
      <c r="AP86" s="547">
        <v>3152.400000000001</v>
      </c>
      <c r="AQ86" s="547">
        <v>788.10000000000025</v>
      </c>
      <c r="AR86" s="547">
        <v>12</v>
      </c>
      <c r="AS86" s="657"/>
      <c r="AT86" s="546">
        <v>4</v>
      </c>
      <c r="AU86" s="547">
        <v>3236.2500000000009</v>
      </c>
      <c r="AV86" s="547">
        <v>809.06250000000023</v>
      </c>
      <c r="AW86" s="547">
        <v>16</v>
      </c>
      <c r="AX86" s="657"/>
      <c r="AZ86" s="376" t="e">
        <f t="shared" si="23"/>
        <v>#N/A</v>
      </c>
      <c r="BA86" s="648"/>
    </row>
    <row r="87" spans="2:53">
      <c r="B87" s="664"/>
      <c r="C87" s="299">
        <v>11</v>
      </c>
      <c r="D87" s="201" t="s">
        <v>570</v>
      </c>
      <c r="E87" s="201">
        <v>4</v>
      </c>
      <c r="F87" s="201">
        <v>2800</v>
      </c>
      <c r="G87" s="536">
        <v>700</v>
      </c>
      <c r="H87" s="648"/>
      <c r="I87" s="367">
        <f t="shared" si="25"/>
        <v>4</v>
      </c>
      <c r="J87" s="367">
        <f t="shared" si="26"/>
        <v>2776.6321709909521</v>
      </c>
      <c r="K87" s="199">
        <f t="shared" si="27"/>
        <v>694.15804274773802</v>
      </c>
      <c r="L87" s="630"/>
      <c r="M87" s="198">
        <f>RANK(K87, K$77:$K$106)</f>
        <v>20</v>
      </c>
      <c r="N87" s="640"/>
      <c r="O87" s="640"/>
      <c r="P87" s="546">
        <v>4</v>
      </c>
      <c r="Q87" s="547">
        <v>2760.0000000000027</v>
      </c>
      <c r="R87" s="547">
        <v>690.00000000000068</v>
      </c>
      <c r="S87" s="531">
        <v>20</v>
      </c>
      <c r="T87" s="657"/>
      <c r="U87" s="546">
        <v>4</v>
      </c>
      <c r="V87" s="547">
        <v>2777.2881355932191</v>
      </c>
      <c r="W87" s="547">
        <v>694.32203389830477</v>
      </c>
      <c r="X87" s="531">
        <v>20</v>
      </c>
      <c r="Y87" s="657"/>
      <c r="Z87" s="546">
        <v>4</v>
      </c>
      <c r="AA87" s="547">
        <v>2811.4285714285693</v>
      </c>
      <c r="AB87" s="547">
        <v>702.85714285714232</v>
      </c>
      <c r="AC87" s="547">
        <v>20</v>
      </c>
      <c r="AD87" s="657"/>
      <c r="AE87" s="546">
        <v>4</v>
      </c>
      <c r="AF87" s="547">
        <v>2764.7058823529383</v>
      </c>
      <c r="AG87" s="547">
        <v>691.17647058823457</v>
      </c>
      <c r="AH87" s="547">
        <v>20</v>
      </c>
      <c r="AI87" s="657"/>
      <c r="AJ87" s="546">
        <v>4</v>
      </c>
      <c r="AK87" s="547">
        <v>2762.3076923076937</v>
      </c>
      <c r="AL87" s="547">
        <v>690.57692307692344</v>
      </c>
      <c r="AM87" s="547">
        <v>19</v>
      </c>
      <c r="AN87" s="657"/>
      <c r="AO87" s="546">
        <v>4</v>
      </c>
      <c r="AP87" s="547">
        <v>2759.0000000000027</v>
      </c>
      <c r="AQ87" s="547">
        <v>689.75000000000068</v>
      </c>
      <c r="AR87" s="547">
        <v>18</v>
      </c>
      <c r="AS87" s="657"/>
      <c r="AT87" s="546">
        <v>4</v>
      </c>
      <c r="AU87" s="547">
        <v>2801.6949152542361</v>
      </c>
      <c r="AV87" s="547">
        <v>700.42372881355902</v>
      </c>
      <c r="AW87" s="547">
        <v>21</v>
      </c>
      <c r="AX87" s="657"/>
      <c r="AZ87" s="376" t="e">
        <f t="shared" si="23"/>
        <v>#N/A</v>
      </c>
      <c r="BA87" s="648"/>
    </row>
    <row r="88" spans="2:53">
      <c r="B88" s="664"/>
      <c r="C88" s="299">
        <v>12</v>
      </c>
      <c r="D88" s="538" t="s">
        <v>574</v>
      </c>
      <c r="E88" s="201">
        <v>3</v>
      </c>
      <c r="F88" s="201">
        <v>2800</v>
      </c>
      <c r="G88" s="536">
        <v>933.33333333333337</v>
      </c>
      <c r="H88" s="648"/>
      <c r="I88" s="367">
        <f t="shared" si="25"/>
        <v>3</v>
      </c>
      <c r="J88" s="367">
        <f t="shared" si="26"/>
        <v>2803.332025862454</v>
      </c>
      <c r="K88" s="199">
        <f t="shared" si="27"/>
        <v>934.44400862081795</v>
      </c>
      <c r="L88" s="630"/>
      <c r="M88" s="198">
        <f>RANK(K88, K$77:$K$106)</f>
        <v>10</v>
      </c>
      <c r="N88" s="640"/>
      <c r="O88" s="640"/>
      <c r="P88" s="546">
        <v>3</v>
      </c>
      <c r="Q88" s="547">
        <v>2788.2352941176437</v>
      </c>
      <c r="R88" s="547">
        <v>929.41176470588118</v>
      </c>
      <c r="S88" s="531">
        <v>10</v>
      </c>
      <c r="T88" s="657"/>
      <c r="U88" s="546">
        <v>3</v>
      </c>
      <c r="V88" s="547">
        <v>2799.3749999999964</v>
      </c>
      <c r="W88" s="547">
        <v>933.12499999999875</v>
      </c>
      <c r="X88" s="531">
        <v>10</v>
      </c>
      <c r="Y88" s="657"/>
      <c r="Z88" s="546">
        <v>3</v>
      </c>
      <c r="AA88" s="547">
        <v>2862.0000000000027</v>
      </c>
      <c r="AB88" s="547">
        <v>954.00000000000091</v>
      </c>
      <c r="AC88" s="547">
        <v>10</v>
      </c>
      <c r="AD88" s="657"/>
      <c r="AE88" s="546">
        <v>3</v>
      </c>
      <c r="AF88" s="547">
        <v>2732.1428571428592</v>
      </c>
      <c r="AG88" s="547">
        <v>910.71428571428635</v>
      </c>
      <c r="AH88" s="547">
        <v>10</v>
      </c>
      <c r="AI88" s="657"/>
      <c r="AJ88" s="546">
        <v>3</v>
      </c>
      <c r="AK88" s="547">
        <v>2794.6153846153861</v>
      </c>
      <c r="AL88" s="547">
        <v>931.538461538462</v>
      </c>
      <c r="AM88" s="547">
        <v>10</v>
      </c>
      <c r="AN88" s="657"/>
      <c r="AO88" s="546">
        <v>3</v>
      </c>
      <c r="AP88" s="547">
        <v>2784.3749999999964</v>
      </c>
      <c r="AQ88" s="547">
        <v>928.12499999999875</v>
      </c>
      <c r="AR88" s="547">
        <v>9</v>
      </c>
      <c r="AS88" s="657"/>
      <c r="AT88" s="546">
        <v>3</v>
      </c>
      <c r="AU88" s="547">
        <v>2862.580645161293</v>
      </c>
      <c r="AV88" s="547">
        <v>954.19354838709762</v>
      </c>
      <c r="AW88" s="547">
        <v>9</v>
      </c>
      <c r="AX88" s="657"/>
      <c r="AZ88" s="376" t="e">
        <f t="shared" si="23"/>
        <v>#N/A</v>
      </c>
      <c r="BA88" s="648"/>
    </row>
    <row r="89" spans="2:53">
      <c r="B89" s="664"/>
      <c r="C89" s="299">
        <v>13</v>
      </c>
      <c r="D89" s="201" t="s">
        <v>575</v>
      </c>
      <c r="E89" s="201">
        <v>4</v>
      </c>
      <c r="F89" s="201">
        <v>2800</v>
      </c>
      <c r="G89" s="536">
        <v>700</v>
      </c>
      <c r="H89" s="648"/>
      <c r="I89" s="367">
        <f t="shared" si="25"/>
        <v>4</v>
      </c>
      <c r="J89" s="367">
        <f t="shared" si="26"/>
        <v>2763.5996860282676</v>
      </c>
      <c r="K89" s="199">
        <f t="shared" si="27"/>
        <v>690.89992150706689</v>
      </c>
      <c r="L89" s="630"/>
      <c r="M89" s="198">
        <f>RANK(K89, K$77:$K$106)</f>
        <v>21</v>
      </c>
      <c r="N89" s="640"/>
      <c r="O89" s="640"/>
      <c r="P89" s="546">
        <v>4</v>
      </c>
      <c r="Q89" s="547">
        <v>2707.50000000001</v>
      </c>
      <c r="R89" s="547">
        <v>676.8750000000025</v>
      </c>
      <c r="S89" s="531">
        <v>21</v>
      </c>
      <c r="T89" s="657"/>
      <c r="U89" s="546">
        <v>4</v>
      </c>
      <c r="V89" s="547">
        <v>2692.5000000000095</v>
      </c>
      <c r="W89" s="547">
        <v>673.12500000000239</v>
      </c>
      <c r="X89" s="531">
        <v>21</v>
      </c>
      <c r="Y89" s="657"/>
      <c r="Z89" s="546">
        <v>4</v>
      </c>
      <c r="AA89" s="547">
        <v>2931.428571428582</v>
      </c>
      <c r="AB89" s="547">
        <v>732.8571428571455</v>
      </c>
      <c r="AC89" s="547">
        <v>19</v>
      </c>
      <c r="AD89" s="657"/>
      <c r="AE89" s="546">
        <v>4</v>
      </c>
      <c r="AF89" s="547">
        <v>2681.538461538471</v>
      </c>
      <c r="AG89" s="547">
        <v>670.38461538461775</v>
      </c>
      <c r="AH89" s="547">
        <v>21</v>
      </c>
      <c r="AI89" s="657"/>
      <c r="AJ89" s="546">
        <v>4</v>
      </c>
      <c r="AK89" s="547">
        <v>2675.0000000000095</v>
      </c>
      <c r="AL89" s="547">
        <v>668.75000000000239</v>
      </c>
      <c r="AM89" s="547">
        <v>20</v>
      </c>
      <c r="AN89" s="657"/>
      <c r="AO89" s="546">
        <v>4</v>
      </c>
      <c r="AP89" s="547">
        <v>2648.0000000000095</v>
      </c>
      <c r="AQ89" s="547">
        <v>662.00000000000239</v>
      </c>
      <c r="AR89" s="547">
        <v>20</v>
      </c>
      <c r="AS89" s="657"/>
      <c r="AT89" s="546">
        <v>4</v>
      </c>
      <c r="AU89" s="547">
        <v>3009.23076923078</v>
      </c>
      <c r="AV89" s="547">
        <v>752.30769230769499</v>
      </c>
      <c r="AW89" s="547">
        <v>19</v>
      </c>
      <c r="AX89" s="657"/>
      <c r="AZ89" s="376" t="e">
        <f t="shared" si="23"/>
        <v>#N/A</v>
      </c>
      <c r="BA89" s="648"/>
    </row>
    <row r="90" spans="2:53">
      <c r="B90" s="664"/>
      <c r="C90" s="299">
        <v>14</v>
      </c>
      <c r="D90" s="201" t="s">
        <v>598</v>
      </c>
      <c r="E90" s="201">
        <v>4</v>
      </c>
      <c r="F90" s="201">
        <v>3200</v>
      </c>
      <c r="G90" s="536">
        <v>800</v>
      </c>
      <c r="H90" s="648"/>
      <c r="I90" s="367">
        <f t="shared" si="25"/>
        <v>4</v>
      </c>
      <c r="J90" s="367">
        <f t="shared" si="26"/>
        <v>2850.9353741496552</v>
      </c>
      <c r="K90" s="199">
        <f t="shared" si="27"/>
        <v>712.7338435374138</v>
      </c>
      <c r="L90" s="630"/>
      <c r="M90" s="198">
        <f>RANK(K90, K$77:$K$106)</f>
        <v>19</v>
      </c>
      <c r="N90" s="640"/>
      <c r="O90" s="640"/>
      <c r="P90" s="546">
        <v>4</v>
      </c>
      <c r="Q90" s="547">
        <v>2839.999999999985</v>
      </c>
      <c r="R90" s="547">
        <v>709.99999999999625</v>
      </c>
      <c r="S90" s="531">
        <v>19</v>
      </c>
      <c r="T90" s="657"/>
      <c r="U90" s="546">
        <v>4</v>
      </c>
      <c r="V90" s="547">
        <v>2853.333333333318</v>
      </c>
      <c r="W90" s="547">
        <v>713.33333333332951</v>
      </c>
      <c r="X90" s="531">
        <v>18</v>
      </c>
      <c r="Y90" s="657"/>
      <c r="Z90" s="546">
        <v>4</v>
      </c>
      <c r="AA90" s="547">
        <v>3022.5000000000105</v>
      </c>
      <c r="AB90" s="547">
        <v>755.62500000000261</v>
      </c>
      <c r="AC90" s="547">
        <v>16</v>
      </c>
      <c r="AD90" s="657"/>
      <c r="AE90" s="546">
        <v>4</v>
      </c>
      <c r="AF90" s="547">
        <v>2890.00000000001</v>
      </c>
      <c r="AG90" s="547">
        <v>722.5000000000025</v>
      </c>
      <c r="AH90" s="547">
        <v>18</v>
      </c>
      <c r="AI90" s="657"/>
      <c r="AJ90" s="546">
        <v>4</v>
      </c>
      <c r="AK90" s="547">
        <v>2520.0000000000091</v>
      </c>
      <c r="AL90" s="547">
        <v>630.00000000000227</v>
      </c>
      <c r="AM90" s="547">
        <v>21</v>
      </c>
      <c r="AN90" s="657"/>
      <c r="AO90" s="546">
        <v>4</v>
      </c>
      <c r="AP90" s="547">
        <v>2744.999999999955</v>
      </c>
      <c r="AQ90" s="547">
        <v>686.24999999998875</v>
      </c>
      <c r="AR90" s="547">
        <v>19</v>
      </c>
      <c r="AS90" s="657"/>
      <c r="AT90" s="546">
        <v>4</v>
      </c>
      <c r="AU90" s="547">
        <v>3085.7142857142967</v>
      </c>
      <c r="AV90" s="547">
        <v>771.42857142857417</v>
      </c>
      <c r="AW90" s="547">
        <v>17</v>
      </c>
      <c r="AX90" s="657"/>
      <c r="AZ90" s="376" t="e">
        <f t="shared" si="23"/>
        <v>#N/A</v>
      </c>
      <c r="BA90" s="648"/>
    </row>
    <row r="91" spans="2:53">
      <c r="B91" s="664"/>
      <c r="C91" s="299">
        <v>15</v>
      </c>
      <c r="D91" s="538" t="s">
        <v>613</v>
      </c>
      <c r="E91" s="201">
        <v>3</v>
      </c>
      <c r="F91" s="201">
        <v>3200</v>
      </c>
      <c r="G91" s="536">
        <v>1066.6666666666667</v>
      </c>
      <c r="H91" s="648"/>
      <c r="I91" s="367">
        <f t="shared" si="25"/>
        <v>3</v>
      </c>
      <c r="J91" s="367">
        <f t="shared" si="26"/>
        <v>3166.704980733557</v>
      </c>
      <c r="K91" s="199">
        <f t="shared" si="27"/>
        <v>1055.5683269111855</v>
      </c>
      <c r="L91" s="630"/>
      <c r="M91" s="198">
        <f>RANK(K91, K$77:$K$106)</f>
        <v>4</v>
      </c>
      <c r="N91" s="640"/>
      <c r="O91" s="640"/>
      <c r="P91" s="546">
        <v>3</v>
      </c>
      <c r="Q91" s="547">
        <v>3162.8571428571454</v>
      </c>
      <c r="R91" s="547">
        <v>1054.2857142857151</v>
      </c>
      <c r="S91" s="531">
        <v>5</v>
      </c>
      <c r="T91" s="657"/>
      <c r="U91" s="546">
        <v>3</v>
      </c>
      <c r="V91" s="547">
        <v>3135.0000000000027</v>
      </c>
      <c r="W91" s="547">
        <v>1045.0000000000009</v>
      </c>
      <c r="X91" s="531">
        <v>7</v>
      </c>
      <c r="Y91" s="657"/>
      <c r="Z91" s="546">
        <v>3</v>
      </c>
      <c r="AA91" s="547">
        <v>3244.6153846153961</v>
      </c>
      <c r="AB91" s="547">
        <v>1081.5384615384653</v>
      </c>
      <c r="AC91" s="547">
        <v>4</v>
      </c>
      <c r="AD91" s="657"/>
      <c r="AE91" s="546">
        <v>3</v>
      </c>
      <c r="AF91" s="547">
        <v>3079.0909090909199</v>
      </c>
      <c r="AG91" s="547">
        <v>1026.3636363636399</v>
      </c>
      <c r="AH91" s="547">
        <v>6</v>
      </c>
      <c r="AI91" s="657"/>
      <c r="AJ91" s="546">
        <v>3</v>
      </c>
      <c r="AK91" s="547">
        <v>3108.5714285714398</v>
      </c>
      <c r="AL91" s="547">
        <v>1036.19047619048</v>
      </c>
      <c r="AM91" s="547">
        <v>5</v>
      </c>
      <c r="AN91" s="657"/>
      <c r="AO91" s="546">
        <v>3</v>
      </c>
      <c r="AP91" s="547">
        <v>3119.9999999999832</v>
      </c>
      <c r="AQ91" s="547">
        <v>1039.9999999999943</v>
      </c>
      <c r="AR91" s="547">
        <v>5</v>
      </c>
      <c r="AS91" s="657"/>
      <c r="AT91" s="546">
        <v>3</v>
      </c>
      <c r="AU91" s="547">
        <v>3316.8000000000116</v>
      </c>
      <c r="AV91" s="547">
        <v>1105.6000000000038</v>
      </c>
      <c r="AW91" s="547">
        <v>1</v>
      </c>
      <c r="AX91" s="657"/>
      <c r="AZ91" s="376" t="e">
        <f t="shared" si="23"/>
        <v>#N/A</v>
      </c>
      <c r="BA91" s="648"/>
    </row>
    <row r="92" spans="2:53">
      <c r="B92" s="664"/>
      <c r="C92" s="299">
        <v>16</v>
      </c>
      <c r="D92" s="201" t="s">
        <v>618</v>
      </c>
      <c r="E92" s="201">
        <v>3</v>
      </c>
      <c r="F92" s="201">
        <v>3200</v>
      </c>
      <c r="G92" s="536">
        <v>1066.6666666666667</v>
      </c>
      <c r="H92" s="648"/>
      <c r="I92" s="367">
        <f t="shared" si="25"/>
        <v>3</v>
      </c>
      <c r="J92" s="367">
        <f t="shared" si="26"/>
        <v>3106.6060084945157</v>
      </c>
      <c r="K92" s="199">
        <f t="shared" si="27"/>
        <v>1035.5353361648383</v>
      </c>
      <c r="L92" s="630"/>
      <c r="M92" s="198">
        <f>RANK(K92, K$77:$K$106)</f>
        <v>7</v>
      </c>
      <c r="N92" s="640"/>
      <c r="O92" s="640"/>
      <c r="P92" s="546">
        <v>3</v>
      </c>
      <c r="Q92" s="547">
        <v>3103.6363636363635</v>
      </c>
      <c r="R92" s="547">
        <v>1034.5454545454545</v>
      </c>
      <c r="S92" s="531">
        <v>6</v>
      </c>
      <c r="T92" s="657"/>
      <c r="U92" s="546">
        <v>3</v>
      </c>
      <c r="V92" s="547">
        <v>3142.8571428571299</v>
      </c>
      <c r="W92" s="547">
        <v>1047.6190476190434</v>
      </c>
      <c r="X92" s="531">
        <v>4</v>
      </c>
      <c r="Y92" s="657"/>
      <c r="Z92" s="546">
        <v>3</v>
      </c>
      <c r="AA92" s="547">
        <v>3337.8947368421032</v>
      </c>
      <c r="AB92" s="547">
        <v>1112.6315789473676</v>
      </c>
      <c r="AC92" s="547">
        <v>2</v>
      </c>
      <c r="AD92" s="657"/>
      <c r="AE92" s="546">
        <v>3</v>
      </c>
      <c r="AF92" s="547">
        <v>3021.1764705882315</v>
      </c>
      <c r="AG92" s="547">
        <v>1007.0588235294105</v>
      </c>
      <c r="AH92" s="547">
        <v>7</v>
      </c>
      <c r="AI92" s="657"/>
      <c r="AJ92" s="546">
        <v>3</v>
      </c>
      <c r="AK92" s="547">
        <v>3168.0000000000114</v>
      </c>
      <c r="AL92" s="547">
        <v>1056.0000000000039</v>
      </c>
      <c r="AM92" s="547">
        <v>3</v>
      </c>
      <c r="AN92" s="657"/>
      <c r="AO92" s="546">
        <v>3</v>
      </c>
      <c r="AP92" s="547">
        <v>2754.782608695652</v>
      </c>
      <c r="AQ92" s="547">
        <v>918.26086956521738</v>
      </c>
      <c r="AR92" s="547">
        <v>10</v>
      </c>
      <c r="AS92" s="657"/>
      <c r="AT92" s="546">
        <v>3</v>
      </c>
      <c r="AU92" s="547">
        <v>3217.8947368421168</v>
      </c>
      <c r="AV92" s="547">
        <v>1072.6315789473722</v>
      </c>
      <c r="AW92" s="547">
        <v>5</v>
      </c>
      <c r="AX92" s="657"/>
      <c r="AZ92" s="376" t="e">
        <f t="shared" si="23"/>
        <v>#N/A</v>
      </c>
      <c r="BA92" s="648"/>
    </row>
    <row r="93" spans="2:53">
      <c r="B93" s="664"/>
      <c r="C93" s="299">
        <v>17</v>
      </c>
      <c r="D93" s="201" t="s">
        <v>625</v>
      </c>
      <c r="E93" s="201">
        <v>3</v>
      </c>
      <c r="F93" s="201">
        <v>3200</v>
      </c>
      <c r="G93" s="536">
        <v>1066.6666666666667</v>
      </c>
      <c r="H93" s="648"/>
      <c r="I93" s="367">
        <f t="shared" si="25"/>
        <v>3</v>
      </c>
      <c r="J93" s="367">
        <f t="shared" si="26"/>
        <v>2982.4827030812298</v>
      </c>
      <c r="K93" s="199">
        <f t="shared" si="27"/>
        <v>994.16090102707653</v>
      </c>
      <c r="L93" s="630"/>
      <c r="M93" s="198">
        <f>RANK(K93, K$77:$K$106)</f>
        <v>9</v>
      </c>
      <c r="N93" s="640"/>
      <c r="O93" s="640"/>
      <c r="P93" s="546">
        <v>3</v>
      </c>
      <c r="Q93" s="547">
        <v>2936.4705882352978</v>
      </c>
      <c r="R93" s="547">
        <v>978.82352941176589</v>
      </c>
      <c r="S93" s="531">
        <v>8</v>
      </c>
      <c r="T93" s="657"/>
      <c r="U93" s="546">
        <v>3</v>
      </c>
      <c r="V93" s="547">
        <v>2979.9999999999959</v>
      </c>
      <c r="W93" s="547">
        <v>993.33333333333201</v>
      </c>
      <c r="X93" s="531">
        <v>9</v>
      </c>
      <c r="Y93" s="657"/>
      <c r="Z93" s="546">
        <v>3</v>
      </c>
      <c r="AA93" s="547">
        <v>3071.9999999999945</v>
      </c>
      <c r="AB93" s="547">
        <v>1023.9999999999982</v>
      </c>
      <c r="AC93" s="547">
        <v>9</v>
      </c>
      <c r="AD93" s="657"/>
      <c r="AE93" s="546">
        <v>3</v>
      </c>
      <c r="AF93" s="547">
        <v>2933.3333333333262</v>
      </c>
      <c r="AG93" s="547">
        <v>977.77777777777544</v>
      </c>
      <c r="AH93" s="547">
        <v>9</v>
      </c>
      <c r="AI93" s="657"/>
      <c r="AJ93" s="546">
        <v>3</v>
      </c>
      <c r="AK93" s="547">
        <v>2983.1999999999916</v>
      </c>
      <c r="AL93" s="547">
        <v>994.39999999999725</v>
      </c>
      <c r="AM93" s="547">
        <v>9</v>
      </c>
      <c r="AN93" s="657"/>
      <c r="AO93" s="546">
        <v>3</v>
      </c>
      <c r="AP93" s="547">
        <v>2934.3749999999964</v>
      </c>
      <c r="AQ93" s="547">
        <v>978.12499999999875</v>
      </c>
      <c r="AR93" s="547">
        <v>7</v>
      </c>
      <c r="AS93" s="657"/>
      <c r="AT93" s="546">
        <v>3</v>
      </c>
      <c r="AU93" s="547">
        <v>3038.0000000000027</v>
      </c>
      <c r="AV93" s="547">
        <v>1012.6666666666675</v>
      </c>
      <c r="AW93" s="547">
        <v>8</v>
      </c>
      <c r="AX93" s="657"/>
      <c r="AZ93" s="376" t="e">
        <f t="shared" si="23"/>
        <v>#N/A</v>
      </c>
      <c r="BA93" s="648"/>
    </row>
    <row r="94" spans="2:53">
      <c r="B94" s="664"/>
      <c r="C94" s="299">
        <v>18</v>
      </c>
      <c r="D94" s="538" t="s">
        <v>571</v>
      </c>
      <c r="E94" s="201">
        <v>4</v>
      </c>
      <c r="F94" s="201">
        <v>2800</v>
      </c>
      <c r="G94" s="536">
        <v>700</v>
      </c>
      <c r="H94" s="648"/>
      <c r="I94" s="367">
        <f t="shared" si="25"/>
        <v>4</v>
      </c>
      <c r="J94" s="367">
        <f t="shared" si="26"/>
        <v>2977.2857142857142</v>
      </c>
      <c r="K94" s="199">
        <f t="shared" si="27"/>
        <v>744.32142857142856</v>
      </c>
      <c r="L94" s="630"/>
      <c r="M94" s="198">
        <f>RANK(K94, K$77:$K$106)</f>
        <v>17</v>
      </c>
      <c r="N94" s="640"/>
      <c r="O94" s="640"/>
      <c r="P94" s="546">
        <v>4</v>
      </c>
      <c r="Q94" s="547">
        <v>3221.9999999999854</v>
      </c>
      <c r="R94" s="547">
        <v>805.49999999999636</v>
      </c>
      <c r="S94" s="531">
        <v>11</v>
      </c>
      <c r="T94" s="657"/>
      <c r="U94" s="546">
        <v>4</v>
      </c>
      <c r="V94" s="547">
        <v>2991.0000000000109</v>
      </c>
      <c r="W94" s="547">
        <v>747.75000000000273</v>
      </c>
      <c r="X94" s="531">
        <v>17</v>
      </c>
      <c r="Y94" s="657"/>
      <c r="Z94" s="546">
        <v>4</v>
      </c>
      <c r="AA94" s="547">
        <v>2799.00000000001</v>
      </c>
      <c r="AB94" s="547">
        <v>699.7500000000025</v>
      </c>
      <c r="AC94" s="547">
        <v>21</v>
      </c>
      <c r="AD94" s="657"/>
      <c r="AE94" s="546">
        <v>4</v>
      </c>
      <c r="AF94" s="547">
        <v>2793.00000000001</v>
      </c>
      <c r="AG94" s="547">
        <v>698.2500000000025</v>
      </c>
      <c r="AH94" s="547">
        <v>19</v>
      </c>
      <c r="AI94" s="657"/>
      <c r="AJ94" s="546">
        <v>4</v>
      </c>
      <c r="AK94" s="547">
        <v>2886.0000000000105</v>
      </c>
      <c r="AL94" s="547">
        <v>721.50000000000261</v>
      </c>
      <c r="AM94" s="547">
        <v>17</v>
      </c>
      <c r="AN94" s="657"/>
      <c r="AO94" s="546">
        <v>4</v>
      </c>
      <c r="AP94" s="547">
        <v>3098.9999999999864</v>
      </c>
      <c r="AQ94" s="547">
        <v>774.74999999999659</v>
      </c>
      <c r="AR94" s="547">
        <v>15</v>
      </c>
      <c r="AS94" s="657"/>
      <c r="AT94" s="546">
        <v>4</v>
      </c>
      <c r="AU94" s="547">
        <v>3050.9999999999864</v>
      </c>
      <c r="AV94" s="547">
        <v>762.74999999999659</v>
      </c>
      <c r="AW94" s="547">
        <v>18</v>
      </c>
      <c r="AX94" s="657"/>
      <c r="AZ94" s="376" t="e">
        <f t="shared" si="23"/>
        <v>#N/A</v>
      </c>
      <c r="BA94" s="648"/>
    </row>
    <row r="95" spans="2:53">
      <c r="B95" s="664"/>
      <c r="C95" s="299">
        <v>19</v>
      </c>
      <c r="D95" s="538" t="s">
        <v>572</v>
      </c>
      <c r="E95" s="201">
        <v>3</v>
      </c>
      <c r="F95" s="201">
        <v>2800</v>
      </c>
      <c r="G95" s="536">
        <v>933.33333333333337</v>
      </c>
      <c r="H95" s="648"/>
      <c r="I95" s="367">
        <f t="shared" si="25"/>
        <v>3</v>
      </c>
      <c r="J95" s="367">
        <f t="shared" si="26"/>
        <v>2993.5714285714171</v>
      </c>
      <c r="K95" s="199">
        <f t="shared" si="27"/>
        <v>997.85714285713914</v>
      </c>
      <c r="L95" s="630"/>
      <c r="M95" s="198">
        <f>RANK(K95, K$77:$K$106)</f>
        <v>8</v>
      </c>
      <c r="N95" s="640"/>
      <c r="O95" s="640"/>
      <c r="P95" s="546">
        <v>3</v>
      </c>
      <c r="Q95" s="547">
        <v>2807.9999999999923</v>
      </c>
      <c r="R95" s="547">
        <v>935.99999999999739</v>
      </c>
      <c r="S95" s="531">
        <v>9</v>
      </c>
      <c r="T95" s="657"/>
      <c r="U95" s="546">
        <v>3</v>
      </c>
      <c r="V95" s="547">
        <v>3314.999999999985</v>
      </c>
      <c r="W95" s="547">
        <v>1104.999999999995</v>
      </c>
      <c r="X95" s="531">
        <v>1</v>
      </c>
      <c r="Y95" s="657"/>
      <c r="Z95" s="546">
        <v>3</v>
      </c>
      <c r="AA95" s="547">
        <v>3182.9999999999859</v>
      </c>
      <c r="AB95" s="547">
        <v>1060.9999999999952</v>
      </c>
      <c r="AC95" s="547">
        <v>8</v>
      </c>
      <c r="AD95" s="657"/>
      <c r="AE95" s="546">
        <v>3</v>
      </c>
      <c r="AF95" s="547">
        <v>2969.9999999999868</v>
      </c>
      <c r="AG95" s="547">
        <v>989.99999999999557</v>
      </c>
      <c r="AH95" s="547">
        <v>8</v>
      </c>
      <c r="AI95" s="657"/>
      <c r="AJ95" s="546">
        <v>3</v>
      </c>
      <c r="AK95" s="547">
        <v>3182.9999999999859</v>
      </c>
      <c r="AL95" s="547">
        <v>1060.9999999999952</v>
      </c>
      <c r="AM95" s="547">
        <v>1</v>
      </c>
      <c r="AN95" s="657"/>
      <c r="AO95" s="546">
        <v>3</v>
      </c>
      <c r="AP95" s="547">
        <v>2791.1999999999921</v>
      </c>
      <c r="AQ95" s="547">
        <v>930.39999999999736</v>
      </c>
      <c r="AR95" s="547">
        <v>8</v>
      </c>
      <c r="AS95" s="657"/>
      <c r="AT95" s="546">
        <v>3</v>
      </c>
      <c r="AU95" s="547">
        <v>2704.799999999992</v>
      </c>
      <c r="AV95" s="547">
        <v>901.59999999999729</v>
      </c>
      <c r="AW95" s="547">
        <v>10</v>
      </c>
      <c r="AX95" s="657"/>
      <c r="AZ95" s="376" t="e">
        <f t="shared" si="23"/>
        <v>#N/A</v>
      </c>
      <c r="BA95" s="648"/>
    </row>
    <row r="96" spans="2:53">
      <c r="B96" s="664"/>
      <c r="C96" s="299">
        <v>20</v>
      </c>
      <c r="D96" s="538" t="s">
        <v>573</v>
      </c>
      <c r="E96" s="201">
        <v>4</v>
      </c>
      <c r="F96" s="201">
        <v>2200</v>
      </c>
      <c r="G96" s="536">
        <v>550</v>
      </c>
      <c r="H96" s="648"/>
      <c r="I96" s="367">
        <f t="shared" si="25"/>
        <v>3</v>
      </c>
      <c r="J96" s="367">
        <f t="shared" si="26"/>
        <v>2228.1224489795941</v>
      </c>
      <c r="K96" s="199">
        <f t="shared" si="27"/>
        <v>742.70748299319803</v>
      </c>
      <c r="L96" s="630"/>
      <c r="M96" s="198">
        <f>RANK(K96, K$77:$K$106)</f>
        <v>18</v>
      </c>
      <c r="N96" s="640"/>
      <c r="O96" s="640"/>
      <c r="P96" s="546">
        <v>3</v>
      </c>
      <c r="Q96" s="547">
        <v>2221.7142857142835</v>
      </c>
      <c r="R96" s="547">
        <v>740.57142857142787</v>
      </c>
      <c r="S96" s="531">
        <v>18</v>
      </c>
      <c r="T96" s="657"/>
      <c r="U96" s="546">
        <v>3</v>
      </c>
      <c r="V96" s="547">
        <v>2115.4285714285693</v>
      </c>
      <c r="W96" s="547">
        <v>705.14285714285643</v>
      </c>
      <c r="X96" s="531">
        <v>19</v>
      </c>
      <c r="Y96" s="657"/>
      <c r="Z96" s="546">
        <v>3</v>
      </c>
      <c r="AA96" s="547">
        <v>2264.0000000000082</v>
      </c>
      <c r="AB96" s="547">
        <v>754.66666666666936</v>
      </c>
      <c r="AC96" s="547">
        <v>17</v>
      </c>
      <c r="AD96" s="657"/>
      <c r="AE96" s="546">
        <v>3</v>
      </c>
      <c r="AF96" s="547">
        <v>2222.0000000000082</v>
      </c>
      <c r="AG96" s="547">
        <v>740.66666666666936</v>
      </c>
      <c r="AH96" s="547">
        <v>17</v>
      </c>
      <c r="AI96" s="657"/>
      <c r="AJ96" s="546">
        <v>3</v>
      </c>
      <c r="AK96" s="547">
        <v>2380.0000000000082</v>
      </c>
      <c r="AL96" s="547">
        <v>793.3333333333361</v>
      </c>
      <c r="AM96" s="547">
        <v>13</v>
      </c>
      <c r="AN96" s="657"/>
      <c r="AO96" s="546">
        <v>3</v>
      </c>
      <c r="AP96" s="547">
        <v>2216.5714285714266</v>
      </c>
      <c r="AQ96" s="547">
        <v>738.85714285714221</v>
      </c>
      <c r="AR96" s="547">
        <v>17</v>
      </c>
      <c r="AS96" s="657"/>
      <c r="AT96" s="546">
        <v>3</v>
      </c>
      <c r="AU96" s="547">
        <v>2177.1428571428551</v>
      </c>
      <c r="AV96" s="547">
        <v>725.71428571428498</v>
      </c>
      <c r="AW96" s="547">
        <v>20</v>
      </c>
      <c r="AX96" s="657"/>
      <c r="AZ96" s="376" t="e">
        <f t="shared" si="23"/>
        <v>#N/A</v>
      </c>
      <c r="BA96" s="648"/>
    </row>
    <row r="97" spans="2:53">
      <c r="B97" s="664"/>
      <c r="C97" s="299">
        <v>21</v>
      </c>
      <c r="D97" s="538" t="s">
        <v>644</v>
      </c>
      <c r="E97" s="201">
        <v>4</v>
      </c>
      <c r="F97" s="201">
        <v>2200</v>
      </c>
      <c r="G97" s="536">
        <v>550</v>
      </c>
      <c r="H97" s="648"/>
      <c r="I97" s="367">
        <f t="shared" si="25"/>
        <v>4</v>
      </c>
      <c r="J97" s="367">
        <f t="shared" si="26"/>
        <v>2265.1285714285732</v>
      </c>
      <c r="K97" s="199">
        <f t="shared" si="27"/>
        <v>566.2821428571433</v>
      </c>
      <c r="L97" s="630"/>
      <c r="M97" s="198">
        <f>RANK(K97, K$77:$K$106)</f>
        <v>22</v>
      </c>
      <c r="N97" s="640"/>
      <c r="O97" s="640"/>
      <c r="P97" s="546">
        <v>4</v>
      </c>
      <c r="Q97" s="547">
        <v>2289.6000000000085</v>
      </c>
      <c r="R97" s="547">
        <v>572.40000000000214</v>
      </c>
      <c r="S97" s="531">
        <v>22</v>
      </c>
      <c r="T97" s="657"/>
      <c r="U97" s="546">
        <v>4</v>
      </c>
      <c r="V97" s="547">
        <v>2182.8000000000079</v>
      </c>
      <c r="W97" s="547">
        <v>545.70000000000198</v>
      </c>
      <c r="X97" s="531">
        <v>22</v>
      </c>
      <c r="Y97" s="657"/>
      <c r="Z97" s="546">
        <v>4</v>
      </c>
      <c r="AA97" s="547">
        <v>2294.9999999999991</v>
      </c>
      <c r="AB97" s="547">
        <v>573.74999999999977</v>
      </c>
      <c r="AC97" s="547">
        <v>22</v>
      </c>
      <c r="AD97" s="657"/>
      <c r="AE97" s="546">
        <v>4</v>
      </c>
      <c r="AF97" s="547">
        <v>2164.4999999999991</v>
      </c>
      <c r="AG97" s="547">
        <v>541.12499999999977</v>
      </c>
      <c r="AH97" s="547">
        <v>22</v>
      </c>
      <c r="AI97" s="657"/>
      <c r="AJ97" s="546">
        <v>4</v>
      </c>
      <c r="AK97" s="547">
        <v>2233.4999999999991</v>
      </c>
      <c r="AL97" s="547">
        <v>558.37499999999977</v>
      </c>
      <c r="AM97" s="547">
        <v>22</v>
      </c>
      <c r="AN97" s="657"/>
      <c r="AO97" s="546">
        <v>4</v>
      </c>
      <c r="AP97" s="547">
        <v>2375.9999999999991</v>
      </c>
      <c r="AQ97" s="547">
        <v>593.99999999999977</v>
      </c>
      <c r="AR97" s="547">
        <v>21</v>
      </c>
      <c r="AS97" s="657"/>
      <c r="AT97" s="546">
        <v>4</v>
      </c>
      <c r="AU97" s="547">
        <v>2314.4999999999991</v>
      </c>
      <c r="AV97" s="547">
        <v>578.62499999999977</v>
      </c>
      <c r="AW97" s="547">
        <v>22</v>
      </c>
      <c r="AX97" s="657"/>
      <c r="AZ97" s="376" t="e">
        <f t="shared" si="23"/>
        <v>#N/A</v>
      </c>
      <c r="BA97" s="648"/>
    </row>
    <row r="98" spans="2:53">
      <c r="B98" s="664"/>
      <c r="C98" s="299">
        <v>22</v>
      </c>
      <c r="D98" s="538" t="s">
        <v>647</v>
      </c>
      <c r="E98" s="201">
        <v>5</v>
      </c>
      <c r="F98" s="201">
        <v>2200</v>
      </c>
      <c r="G98" s="536">
        <v>333.33333333333331</v>
      </c>
      <c r="H98" s="648"/>
      <c r="I98" s="367">
        <f t="shared" si="25"/>
        <v>5</v>
      </c>
      <c r="J98" s="367">
        <f t="shared" si="26"/>
        <v>2049.4203853790373</v>
      </c>
      <c r="K98" s="199">
        <f t="shared" si="27"/>
        <v>409.88407707580745</v>
      </c>
      <c r="L98" s="630"/>
      <c r="M98" s="198">
        <f>RANK(K98, K$77:$K$106)</f>
        <v>23</v>
      </c>
      <c r="N98" s="640"/>
      <c r="O98" s="640"/>
      <c r="P98" s="546">
        <v>5</v>
      </c>
      <c r="Q98" s="547">
        <v>2072.4999999999936</v>
      </c>
      <c r="R98" s="547">
        <v>414.49999999999875</v>
      </c>
      <c r="S98" s="531">
        <v>23</v>
      </c>
      <c r="T98" s="657"/>
      <c r="U98" s="546">
        <v>5</v>
      </c>
      <c r="V98" s="547">
        <v>2094.5454545454622</v>
      </c>
      <c r="W98" s="547">
        <v>418.90909090909247</v>
      </c>
      <c r="X98" s="531">
        <v>23</v>
      </c>
      <c r="Y98" s="657"/>
      <c r="Z98" s="546">
        <v>5</v>
      </c>
      <c r="AA98" s="547">
        <v>2020.000000000007</v>
      </c>
      <c r="AB98" s="547">
        <v>404.00000000000142</v>
      </c>
      <c r="AC98" s="547">
        <v>24</v>
      </c>
      <c r="AD98" s="657"/>
      <c r="AE98" s="546">
        <v>5</v>
      </c>
      <c r="AF98" s="547">
        <v>2043.3333333333408</v>
      </c>
      <c r="AG98" s="547">
        <v>408.66666666666816</v>
      </c>
      <c r="AH98" s="547">
        <v>23</v>
      </c>
      <c r="AI98" s="657"/>
      <c r="AJ98" s="546">
        <v>5</v>
      </c>
      <c r="AK98" s="547">
        <v>2050.0000000000073</v>
      </c>
      <c r="AL98" s="547">
        <v>410.00000000000148</v>
      </c>
      <c r="AM98" s="547">
        <v>23</v>
      </c>
      <c r="AN98" s="657"/>
      <c r="AO98" s="546">
        <v>5</v>
      </c>
      <c r="AP98" s="547">
        <v>1997.1428571428644</v>
      </c>
      <c r="AQ98" s="547">
        <v>399.42857142857287</v>
      </c>
      <c r="AR98" s="547">
        <v>24</v>
      </c>
      <c r="AS98" s="657"/>
      <c r="AT98" s="546">
        <v>5</v>
      </c>
      <c r="AU98" s="547">
        <v>2068.421052631586</v>
      </c>
      <c r="AV98" s="547">
        <v>413.6842105263172</v>
      </c>
      <c r="AW98" s="547">
        <v>23</v>
      </c>
      <c r="AX98" s="657"/>
      <c r="AZ98" s="376" t="e">
        <f t="shared" si="23"/>
        <v>#N/A</v>
      </c>
      <c r="BA98" s="648"/>
    </row>
    <row r="99" spans="2:53">
      <c r="B99" s="664"/>
      <c r="C99" s="299">
        <v>23</v>
      </c>
      <c r="D99" s="201" t="s">
        <v>648</v>
      </c>
      <c r="E99" s="201">
        <v>5</v>
      </c>
      <c r="F99" s="201">
        <v>2200</v>
      </c>
      <c r="G99" s="536">
        <v>333.33333333333331</v>
      </c>
      <c r="H99" s="648"/>
      <c r="I99" s="367">
        <f t="shared" si="25"/>
        <v>5</v>
      </c>
      <c r="J99" s="367">
        <f t="shared" si="26"/>
        <v>1990.8209592338869</v>
      </c>
      <c r="K99" s="199">
        <f t="shared" si="27"/>
        <v>398.16419184677733</v>
      </c>
      <c r="L99" s="630"/>
      <c r="M99" s="198">
        <f>RANK(K99, K$77:$K$106)</f>
        <v>24</v>
      </c>
      <c r="N99" s="640"/>
      <c r="O99" s="640"/>
      <c r="P99" s="546">
        <v>5</v>
      </c>
      <c r="Q99" s="547">
        <v>2028.4615384615333</v>
      </c>
      <c r="R99" s="547">
        <v>405.69230769230666</v>
      </c>
      <c r="S99" s="531">
        <v>24</v>
      </c>
      <c r="T99" s="657"/>
      <c r="U99" s="546">
        <v>5</v>
      </c>
      <c r="V99" s="547">
        <v>2035.1999999999941</v>
      </c>
      <c r="W99" s="547">
        <v>407.03999999999883</v>
      </c>
      <c r="X99" s="531">
        <v>24</v>
      </c>
      <c r="Y99" s="657"/>
      <c r="Z99" s="546">
        <v>5</v>
      </c>
      <c r="AA99" s="547">
        <v>2051.4285714285788</v>
      </c>
      <c r="AB99" s="547">
        <v>410.28571428571576</v>
      </c>
      <c r="AC99" s="547">
        <v>23</v>
      </c>
      <c r="AD99" s="657"/>
      <c r="AE99" s="546">
        <v>5</v>
      </c>
      <c r="AF99" s="547">
        <v>2016.6666666666738</v>
      </c>
      <c r="AG99" s="547">
        <v>403.33333333333474</v>
      </c>
      <c r="AH99" s="547">
        <v>24</v>
      </c>
      <c r="AI99" s="657"/>
      <c r="AJ99" s="546">
        <v>5</v>
      </c>
      <c r="AK99" s="547">
        <v>1976.2499999999873</v>
      </c>
      <c r="AL99" s="547">
        <v>395.24999999999744</v>
      </c>
      <c r="AM99" s="547">
        <v>24</v>
      </c>
      <c r="AN99" s="657"/>
      <c r="AO99" s="546">
        <v>5</v>
      </c>
      <c r="AP99" s="547">
        <v>2043.5294117646745</v>
      </c>
      <c r="AQ99" s="547">
        <v>408.70588235293491</v>
      </c>
      <c r="AR99" s="547">
        <v>23</v>
      </c>
      <c r="AS99" s="657"/>
      <c r="AT99" s="546">
        <v>5</v>
      </c>
      <c r="AU99" s="547">
        <v>1784.2105263157657</v>
      </c>
      <c r="AV99" s="547">
        <v>356.84210526315314</v>
      </c>
      <c r="AW99" s="547">
        <v>24</v>
      </c>
      <c r="AX99" s="657"/>
      <c r="AZ99" s="376" t="e">
        <f t="shared" si="23"/>
        <v>#N/A</v>
      </c>
      <c r="BA99" s="648"/>
    </row>
    <row r="100" spans="2:53">
      <c r="B100" s="664"/>
      <c r="C100" s="299">
        <v>24</v>
      </c>
      <c r="D100" s="538" t="s">
        <v>604</v>
      </c>
      <c r="E100" s="201">
        <v>8</v>
      </c>
      <c r="F100" s="201">
        <v>1500</v>
      </c>
      <c r="G100" s="536">
        <v>187.5</v>
      </c>
      <c r="H100" s="648"/>
      <c r="I100" s="367">
        <f t="shared" si="25"/>
        <v>12</v>
      </c>
      <c r="J100" s="367">
        <f t="shared" si="26"/>
        <v>1440.563768089937</v>
      </c>
      <c r="K100" s="199">
        <f t="shared" si="27"/>
        <v>120.04698067416142</v>
      </c>
      <c r="L100" s="630"/>
      <c r="M100" s="198">
        <f>RANK(K100, K$77:$K$106)</f>
        <v>25</v>
      </c>
      <c r="N100" s="640"/>
      <c r="O100" s="640"/>
      <c r="P100" s="546">
        <v>12</v>
      </c>
      <c r="Q100" s="547">
        <v>1432.3636363636374</v>
      </c>
      <c r="R100" s="547">
        <v>119.36363636363645</v>
      </c>
      <c r="S100" s="531">
        <v>25</v>
      </c>
      <c r="T100" s="657"/>
      <c r="U100" s="546">
        <v>12</v>
      </c>
      <c r="V100" s="547">
        <v>1458.1132075471708</v>
      </c>
      <c r="W100" s="547">
        <v>121.50943396226423</v>
      </c>
      <c r="X100" s="531">
        <v>25</v>
      </c>
      <c r="Y100" s="657"/>
      <c r="Z100" s="546">
        <v>12</v>
      </c>
      <c r="AA100" s="547">
        <v>1443.6000000000004</v>
      </c>
      <c r="AB100" s="547">
        <v>120.30000000000003</v>
      </c>
      <c r="AC100" s="547">
        <v>25</v>
      </c>
      <c r="AD100" s="657"/>
      <c r="AE100" s="546">
        <v>12</v>
      </c>
      <c r="AF100" s="547">
        <v>1421.6326530612248</v>
      </c>
      <c r="AG100" s="547">
        <v>118.46938775510206</v>
      </c>
      <c r="AH100" s="547">
        <v>25</v>
      </c>
      <c r="AI100" s="657"/>
      <c r="AJ100" s="546">
        <v>12</v>
      </c>
      <c r="AK100" s="547">
        <v>1424.7058823529419</v>
      </c>
      <c r="AL100" s="547">
        <v>118.7254901960785</v>
      </c>
      <c r="AM100" s="547">
        <v>25</v>
      </c>
      <c r="AN100" s="657"/>
      <c r="AO100" s="546">
        <v>12</v>
      </c>
      <c r="AP100" s="547">
        <v>1444.2857142857154</v>
      </c>
      <c r="AQ100" s="547">
        <v>120.35714285714295</v>
      </c>
      <c r="AR100" s="547">
        <v>25</v>
      </c>
      <c r="AS100" s="657"/>
      <c r="AT100" s="546">
        <v>12</v>
      </c>
      <c r="AU100" s="547">
        <v>1459.2452830188688</v>
      </c>
      <c r="AV100" s="547">
        <v>121.60377358490574</v>
      </c>
      <c r="AW100" s="547">
        <v>25</v>
      </c>
      <c r="AX100" s="657"/>
      <c r="AZ100" s="376" t="e">
        <f t="shared" si="23"/>
        <v>#N/A</v>
      </c>
      <c r="BA100" s="648"/>
    </row>
    <row r="101" spans="2:53">
      <c r="B101" s="664"/>
      <c r="C101" s="299">
        <v>25</v>
      </c>
      <c r="D101" s="201" t="s">
        <v>588</v>
      </c>
      <c r="E101" s="201">
        <v>12</v>
      </c>
      <c r="F101" s="201">
        <v>1500</v>
      </c>
      <c r="G101" s="536">
        <v>125</v>
      </c>
      <c r="H101" s="648"/>
      <c r="I101" s="367">
        <f t="shared" si="25"/>
        <v>11.428571428571429</v>
      </c>
      <c r="J101" s="367">
        <f t="shared" si="26"/>
        <v>1058.8571428571465</v>
      </c>
      <c r="K101" s="199">
        <f t="shared" si="27"/>
        <v>93.428571428571772</v>
      </c>
      <c r="L101" s="630"/>
      <c r="M101" s="198">
        <f>RANK(K101, K$77:$K$106)</f>
        <v>26</v>
      </c>
      <c r="N101" s="640"/>
      <c r="O101" s="640"/>
      <c r="P101" s="546">
        <v>12</v>
      </c>
      <c r="Q101" s="547">
        <v>1016.0000000000036</v>
      </c>
      <c r="R101" s="547">
        <v>84.66666666666697</v>
      </c>
      <c r="S101" s="531">
        <v>26</v>
      </c>
      <c r="T101" s="657"/>
      <c r="U101" s="546">
        <v>12</v>
      </c>
      <c r="V101" s="547">
        <v>1028.0000000000036</v>
      </c>
      <c r="W101" s="547">
        <v>85.66666666666697</v>
      </c>
      <c r="X101" s="531">
        <v>26</v>
      </c>
      <c r="Y101" s="657"/>
      <c r="Z101" s="546">
        <v>12</v>
      </c>
      <c r="AA101" s="547">
        <v>1070.0000000000039</v>
      </c>
      <c r="AB101" s="547">
        <v>89.166666666666984</v>
      </c>
      <c r="AC101" s="547">
        <v>26</v>
      </c>
      <c r="AD101" s="657"/>
      <c r="AE101" s="546">
        <v>12</v>
      </c>
      <c r="AF101" s="547">
        <v>1068.0000000000039</v>
      </c>
      <c r="AG101" s="547">
        <v>89.000000000000327</v>
      </c>
      <c r="AH101" s="547">
        <v>26</v>
      </c>
      <c r="AI101" s="657"/>
      <c r="AJ101" s="546">
        <v>12</v>
      </c>
      <c r="AK101" s="547">
        <v>1050.0000000000039</v>
      </c>
      <c r="AL101" s="547">
        <v>87.500000000000327</v>
      </c>
      <c r="AM101" s="547">
        <v>26</v>
      </c>
      <c r="AN101" s="657"/>
      <c r="AO101" s="546">
        <v>10</v>
      </c>
      <c r="AP101" s="547">
        <v>1145.0000000000041</v>
      </c>
      <c r="AQ101" s="547">
        <v>114.50000000000041</v>
      </c>
      <c r="AR101" s="547">
        <v>26</v>
      </c>
      <c r="AS101" s="657"/>
      <c r="AT101" s="546">
        <v>10</v>
      </c>
      <c r="AU101" s="547">
        <v>1035.0000000000036</v>
      </c>
      <c r="AV101" s="547">
        <v>103.50000000000037</v>
      </c>
      <c r="AW101" s="547">
        <v>26</v>
      </c>
      <c r="AX101" s="657"/>
      <c r="AZ101" s="376" t="e">
        <f t="shared" si="23"/>
        <v>#N/A</v>
      </c>
      <c r="BA101" s="648"/>
    </row>
    <row r="102" spans="2:53">
      <c r="B102" s="664"/>
      <c r="C102" s="299">
        <v>26</v>
      </c>
      <c r="D102" s="201" t="s">
        <v>742</v>
      </c>
      <c r="E102" s="201">
        <v>4</v>
      </c>
      <c r="F102" s="201">
        <v>3200</v>
      </c>
      <c r="G102" s="536">
        <v>800</v>
      </c>
      <c r="H102" s="648"/>
      <c r="I102" s="367">
        <f t="shared" si="25"/>
        <v>4</v>
      </c>
      <c r="J102" s="367">
        <f t="shared" si="26"/>
        <v>3067.1682192040571</v>
      </c>
      <c r="K102" s="199">
        <f t="shared" si="27"/>
        <v>766.79205480101427</v>
      </c>
      <c r="L102" s="630"/>
      <c r="M102" s="198">
        <f>RANK(K102, K$77:$K$106)</f>
        <v>16</v>
      </c>
      <c r="N102" s="640"/>
      <c r="O102" s="640"/>
      <c r="P102" s="546">
        <v>4</v>
      </c>
      <c r="Q102" s="547">
        <v>3180.0000000000005</v>
      </c>
      <c r="R102" s="547">
        <v>795.00000000000011</v>
      </c>
      <c r="S102" s="531">
        <v>13</v>
      </c>
      <c r="T102" s="657"/>
      <c r="U102" s="546">
        <v>4</v>
      </c>
      <c r="V102" s="547">
        <v>3180.0000000000005</v>
      </c>
      <c r="W102" s="547">
        <v>795.00000000000011</v>
      </c>
      <c r="X102" s="531">
        <v>11</v>
      </c>
      <c r="Y102" s="657"/>
      <c r="Z102" s="546">
        <v>4</v>
      </c>
      <c r="AA102" s="547">
        <v>3216.5853658536571</v>
      </c>
      <c r="AB102" s="547">
        <v>804.14634146341427</v>
      </c>
      <c r="AC102" s="547">
        <v>15</v>
      </c>
      <c r="AD102" s="657"/>
      <c r="AE102" s="546">
        <v>4</v>
      </c>
      <c r="AF102" s="547">
        <v>3216.5853658536571</v>
      </c>
      <c r="AG102" s="547">
        <v>804.14634146341427</v>
      </c>
      <c r="AH102" s="547">
        <v>11</v>
      </c>
      <c r="AI102" s="657"/>
      <c r="AJ102" s="546">
        <v>4</v>
      </c>
      <c r="AK102" s="547">
        <v>3192.2448979591845</v>
      </c>
      <c r="AL102" s="547">
        <v>798.06122448979613</v>
      </c>
      <c r="AM102" s="547">
        <v>12</v>
      </c>
      <c r="AN102" s="657"/>
      <c r="AO102" s="546">
        <v>4</v>
      </c>
      <c r="AP102" s="547">
        <v>2244.7619047619073</v>
      </c>
      <c r="AQ102" s="547">
        <v>561.19047619047683</v>
      </c>
      <c r="AR102" s="547">
        <v>22</v>
      </c>
      <c r="AS102" s="657"/>
      <c r="AT102" s="546">
        <v>4</v>
      </c>
      <c r="AU102" s="547">
        <v>3239.9999999999923</v>
      </c>
      <c r="AV102" s="547">
        <v>809.99999999999807</v>
      </c>
      <c r="AW102" s="547">
        <v>15</v>
      </c>
      <c r="AX102" s="657"/>
      <c r="AZ102" s="376" t="e">
        <f t="shared" si="23"/>
        <v>#N/A</v>
      </c>
      <c r="BA102" s="648"/>
    </row>
    <row r="103" spans="2:53">
      <c r="B103" s="664"/>
      <c r="C103" s="299">
        <v>27</v>
      </c>
      <c r="D103" s="201"/>
      <c r="E103" s="201"/>
      <c r="F103" s="201"/>
      <c r="G103" s="536"/>
      <c r="H103" s="648"/>
      <c r="I103" s="367" t="str">
        <f t="shared" si="25"/>
        <v>-</v>
      </c>
      <c r="J103" s="367" t="str">
        <f t="shared" si="26"/>
        <v>-</v>
      </c>
      <c r="K103" s="199" t="str">
        <f t="shared" si="27"/>
        <v>-</v>
      </c>
      <c r="L103" s="630"/>
      <c r="M103" s="198" t="e">
        <f>RANK(K103, K$77:$K$106)</f>
        <v>#VALUE!</v>
      </c>
      <c r="N103" s="640"/>
      <c r="O103" s="640"/>
      <c r="P103" s="546" t="s">
        <v>592</v>
      </c>
      <c r="Q103" s="547" t="s">
        <v>592</v>
      </c>
      <c r="R103" s="547" t="s">
        <v>592</v>
      </c>
      <c r="S103" s="531" t="e">
        <v>#VALUE!</v>
      </c>
      <c r="T103" s="657"/>
      <c r="U103" s="546" t="s">
        <v>592</v>
      </c>
      <c r="V103" s="547" t="s">
        <v>592</v>
      </c>
      <c r="W103" s="547" t="s">
        <v>592</v>
      </c>
      <c r="X103" s="531" t="e">
        <v>#VALUE!</v>
      </c>
      <c r="Y103" s="657"/>
      <c r="Z103" s="546" t="s">
        <v>592</v>
      </c>
      <c r="AA103" s="547" t="s">
        <v>592</v>
      </c>
      <c r="AB103" s="547" t="s">
        <v>592</v>
      </c>
      <c r="AC103" s="547" t="e">
        <v>#VALUE!</v>
      </c>
      <c r="AD103" s="657"/>
      <c r="AE103" s="546" t="s">
        <v>592</v>
      </c>
      <c r="AF103" s="547" t="s">
        <v>592</v>
      </c>
      <c r="AG103" s="547" t="s">
        <v>592</v>
      </c>
      <c r="AH103" s="547" t="e">
        <v>#VALUE!</v>
      </c>
      <c r="AI103" s="657"/>
      <c r="AJ103" s="546" t="s">
        <v>592</v>
      </c>
      <c r="AK103" s="547" t="s">
        <v>592</v>
      </c>
      <c r="AL103" s="547" t="s">
        <v>592</v>
      </c>
      <c r="AM103" s="547" t="e">
        <v>#VALUE!</v>
      </c>
      <c r="AN103" s="657"/>
      <c r="AO103" s="546" t="s">
        <v>592</v>
      </c>
      <c r="AP103" s="547" t="s">
        <v>592</v>
      </c>
      <c r="AQ103" s="547" t="s">
        <v>592</v>
      </c>
      <c r="AR103" s="547" t="e">
        <v>#VALUE!</v>
      </c>
      <c r="AS103" s="657"/>
      <c r="AT103" s="546" t="s">
        <v>592</v>
      </c>
      <c r="AU103" s="547" t="s">
        <v>592</v>
      </c>
      <c r="AV103" s="547" t="s">
        <v>592</v>
      </c>
      <c r="AW103" s="547" t="e">
        <v>#VALUE!</v>
      </c>
      <c r="AX103" s="657"/>
      <c r="AZ103" s="376" t="e">
        <f t="shared" si="23"/>
        <v>#N/A</v>
      </c>
      <c r="BA103" s="648"/>
    </row>
    <row r="104" spans="2:53">
      <c r="B104" s="664"/>
      <c r="C104" s="299">
        <v>28</v>
      </c>
      <c r="D104" s="201"/>
      <c r="E104" s="201"/>
      <c r="F104" s="201"/>
      <c r="G104" s="201"/>
      <c r="H104" s="648"/>
      <c r="I104" s="367" t="str">
        <f t="shared" si="25"/>
        <v>-</v>
      </c>
      <c r="J104" s="367" t="str">
        <f t="shared" si="26"/>
        <v>-</v>
      </c>
      <c r="K104" s="199" t="str">
        <f t="shared" si="27"/>
        <v>-</v>
      </c>
      <c r="L104" s="630"/>
      <c r="M104" s="198" t="e">
        <f>RANK(K104, K$77:$K$106)</f>
        <v>#VALUE!</v>
      </c>
      <c r="N104" s="640"/>
      <c r="O104" s="640"/>
      <c r="P104" s="546" t="s">
        <v>592</v>
      </c>
      <c r="Q104" s="547" t="s">
        <v>592</v>
      </c>
      <c r="R104" s="547" t="s">
        <v>592</v>
      </c>
      <c r="S104" s="531" t="e">
        <v>#VALUE!</v>
      </c>
      <c r="T104" s="657"/>
      <c r="U104" s="546" t="s">
        <v>592</v>
      </c>
      <c r="V104" s="547" t="s">
        <v>592</v>
      </c>
      <c r="W104" s="547" t="s">
        <v>592</v>
      </c>
      <c r="X104" s="531" t="e">
        <v>#VALUE!</v>
      </c>
      <c r="Y104" s="657"/>
      <c r="Z104" s="546" t="s">
        <v>592</v>
      </c>
      <c r="AA104" s="547" t="s">
        <v>592</v>
      </c>
      <c r="AB104" s="547" t="s">
        <v>592</v>
      </c>
      <c r="AC104" s="547" t="e">
        <v>#VALUE!</v>
      </c>
      <c r="AD104" s="657"/>
      <c r="AE104" s="546" t="s">
        <v>592</v>
      </c>
      <c r="AF104" s="547" t="s">
        <v>592</v>
      </c>
      <c r="AG104" s="547" t="s">
        <v>592</v>
      </c>
      <c r="AH104" s="547" t="e">
        <v>#VALUE!</v>
      </c>
      <c r="AI104" s="657"/>
      <c r="AJ104" s="546" t="s">
        <v>592</v>
      </c>
      <c r="AK104" s="547" t="s">
        <v>592</v>
      </c>
      <c r="AL104" s="547" t="s">
        <v>592</v>
      </c>
      <c r="AM104" s="547" t="e">
        <v>#VALUE!</v>
      </c>
      <c r="AN104" s="657"/>
      <c r="AO104" s="546" t="s">
        <v>592</v>
      </c>
      <c r="AP104" s="547" t="s">
        <v>592</v>
      </c>
      <c r="AQ104" s="547" t="s">
        <v>592</v>
      </c>
      <c r="AR104" s="547" t="e">
        <v>#VALUE!</v>
      </c>
      <c r="AS104" s="657"/>
      <c r="AT104" s="546" t="s">
        <v>592</v>
      </c>
      <c r="AU104" s="547" t="s">
        <v>592</v>
      </c>
      <c r="AV104" s="547" t="s">
        <v>592</v>
      </c>
      <c r="AW104" s="547" t="e">
        <v>#VALUE!</v>
      </c>
      <c r="AX104" s="657"/>
      <c r="AZ104" s="376" t="e">
        <f t="shared" si="23"/>
        <v>#N/A</v>
      </c>
      <c r="BA104" s="648"/>
    </row>
    <row r="105" spans="2:53">
      <c r="B105" s="664"/>
      <c r="C105" s="299">
        <v>29</v>
      </c>
      <c r="D105" s="201"/>
      <c r="E105" s="201"/>
      <c r="F105" s="201"/>
      <c r="G105" s="201"/>
      <c r="H105" s="648"/>
      <c r="I105" s="367" t="str">
        <f t="shared" si="25"/>
        <v>-</v>
      </c>
      <c r="J105" s="367" t="str">
        <f t="shared" si="26"/>
        <v>-</v>
      </c>
      <c r="K105" s="199" t="str">
        <f t="shared" si="27"/>
        <v>-</v>
      </c>
      <c r="L105" s="630"/>
      <c r="M105" s="198" t="e">
        <f>RANK(K105, K$77:$K$106)</f>
        <v>#VALUE!</v>
      </c>
      <c r="N105" s="640"/>
      <c r="O105" s="640"/>
      <c r="P105" s="546" t="s">
        <v>592</v>
      </c>
      <c r="Q105" s="547" t="s">
        <v>592</v>
      </c>
      <c r="R105" s="547" t="s">
        <v>592</v>
      </c>
      <c r="S105" s="531" t="e">
        <v>#VALUE!</v>
      </c>
      <c r="T105" s="657"/>
      <c r="U105" s="546" t="s">
        <v>592</v>
      </c>
      <c r="V105" s="547" t="s">
        <v>592</v>
      </c>
      <c r="W105" s="547" t="s">
        <v>592</v>
      </c>
      <c r="X105" s="531" t="e">
        <v>#VALUE!</v>
      </c>
      <c r="Y105" s="657"/>
      <c r="Z105" s="546" t="s">
        <v>592</v>
      </c>
      <c r="AA105" s="547" t="s">
        <v>592</v>
      </c>
      <c r="AB105" s="547" t="s">
        <v>592</v>
      </c>
      <c r="AC105" s="547" t="e">
        <v>#VALUE!</v>
      </c>
      <c r="AD105" s="657"/>
      <c r="AE105" s="546" t="s">
        <v>592</v>
      </c>
      <c r="AF105" s="547" t="s">
        <v>592</v>
      </c>
      <c r="AG105" s="547" t="s">
        <v>592</v>
      </c>
      <c r="AH105" s="547" t="e">
        <v>#VALUE!</v>
      </c>
      <c r="AI105" s="657"/>
      <c r="AJ105" s="546" t="s">
        <v>592</v>
      </c>
      <c r="AK105" s="547" t="s">
        <v>592</v>
      </c>
      <c r="AL105" s="547" t="s">
        <v>592</v>
      </c>
      <c r="AM105" s="547" t="e">
        <v>#VALUE!</v>
      </c>
      <c r="AN105" s="657"/>
      <c r="AO105" s="546" t="s">
        <v>592</v>
      </c>
      <c r="AP105" s="547" t="s">
        <v>592</v>
      </c>
      <c r="AQ105" s="547" t="s">
        <v>592</v>
      </c>
      <c r="AR105" s="547" t="e">
        <v>#VALUE!</v>
      </c>
      <c r="AS105" s="657"/>
      <c r="AT105" s="546" t="s">
        <v>592</v>
      </c>
      <c r="AU105" s="547" t="s">
        <v>592</v>
      </c>
      <c r="AV105" s="547" t="s">
        <v>592</v>
      </c>
      <c r="AW105" s="547" t="e">
        <v>#VALUE!</v>
      </c>
      <c r="AX105" s="657"/>
      <c r="AZ105" s="376" t="e">
        <f t="shared" si="23"/>
        <v>#N/A</v>
      </c>
      <c r="BA105" s="648"/>
    </row>
    <row r="106" spans="2:53">
      <c r="B106" s="665"/>
      <c r="C106" s="299">
        <v>30</v>
      </c>
      <c r="D106" s="201"/>
      <c r="E106" s="201"/>
      <c r="F106" s="201"/>
      <c r="G106" s="201"/>
      <c r="H106" s="649"/>
      <c r="I106" s="367" t="str">
        <f t="shared" si="25"/>
        <v>-</v>
      </c>
      <c r="J106" s="367" t="str">
        <f t="shared" si="26"/>
        <v>-</v>
      </c>
      <c r="K106" s="199" t="str">
        <f t="shared" si="27"/>
        <v>-</v>
      </c>
      <c r="L106" s="631"/>
      <c r="M106" s="198" t="e">
        <f>RANK(K106, K$77:$K$106)</f>
        <v>#VALUE!</v>
      </c>
      <c r="N106" s="641"/>
      <c r="O106" s="641"/>
      <c r="P106" s="546" t="s">
        <v>592</v>
      </c>
      <c r="Q106" s="547" t="s">
        <v>592</v>
      </c>
      <c r="R106" s="547" t="s">
        <v>592</v>
      </c>
      <c r="S106" s="531" t="e">
        <v>#VALUE!</v>
      </c>
      <c r="T106" s="657"/>
      <c r="U106" s="546" t="s">
        <v>592</v>
      </c>
      <c r="V106" s="547" t="s">
        <v>592</v>
      </c>
      <c r="W106" s="547" t="s">
        <v>592</v>
      </c>
      <c r="X106" s="531" t="e">
        <v>#VALUE!</v>
      </c>
      <c r="Y106" s="657"/>
      <c r="Z106" s="546" t="s">
        <v>592</v>
      </c>
      <c r="AA106" s="547" t="s">
        <v>592</v>
      </c>
      <c r="AB106" s="547" t="s">
        <v>592</v>
      </c>
      <c r="AC106" s="547" t="e">
        <v>#VALUE!</v>
      </c>
      <c r="AD106" s="657"/>
      <c r="AE106" s="546" t="s">
        <v>592</v>
      </c>
      <c r="AF106" s="547" t="s">
        <v>592</v>
      </c>
      <c r="AG106" s="547" t="s">
        <v>592</v>
      </c>
      <c r="AH106" s="547" t="e">
        <v>#VALUE!</v>
      </c>
      <c r="AI106" s="657"/>
      <c r="AJ106" s="546" t="s">
        <v>592</v>
      </c>
      <c r="AK106" s="547" t="s">
        <v>592</v>
      </c>
      <c r="AL106" s="547" t="s">
        <v>592</v>
      </c>
      <c r="AM106" s="547" t="e">
        <v>#VALUE!</v>
      </c>
      <c r="AN106" s="657"/>
      <c r="AO106" s="546" t="s">
        <v>592</v>
      </c>
      <c r="AP106" s="547" t="s">
        <v>592</v>
      </c>
      <c r="AQ106" s="547" t="s">
        <v>592</v>
      </c>
      <c r="AR106" s="547" t="e">
        <v>#VALUE!</v>
      </c>
      <c r="AS106" s="657"/>
      <c r="AT106" s="546" t="s">
        <v>592</v>
      </c>
      <c r="AU106" s="547" t="s">
        <v>592</v>
      </c>
      <c r="AV106" s="547" t="s">
        <v>592</v>
      </c>
      <c r="AW106" s="547" t="e">
        <v>#VALUE!</v>
      </c>
      <c r="AX106" s="657"/>
      <c r="AZ106" s="376" t="e">
        <f t="shared" si="23"/>
        <v>#N/A</v>
      </c>
      <c r="BA106" s="649"/>
    </row>
    <row r="107" spans="2:53" ht="15.75">
      <c r="B107" s="650" t="s">
        <v>162</v>
      </c>
      <c r="C107" s="651"/>
      <c r="D107" s="651"/>
      <c r="E107" s="651"/>
      <c r="F107" s="651"/>
      <c r="G107" s="651"/>
      <c r="H107" s="652"/>
      <c r="I107" s="207"/>
      <c r="J107" s="207"/>
      <c r="K107" s="207"/>
      <c r="L107" s="207"/>
      <c r="M107" s="206"/>
      <c r="N107" s="639" t="s">
        <v>156</v>
      </c>
      <c r="O107" s="639" t="s">
        <v>155</v>
      </c>
      <c r="P107" s="645">
        <f>P72+7</f>
        <v>46224</v>
      </c>
      <c r="Q107" s="646"/>
      <c r="R107" s="646"/>
      <c r="S107" s="646"/>
      <c r="T107" s="646"/>
      <c r="U107" s="642">
        <f>P107+1</f>
        <v>46225</v>
      </c>
      <c r="V107" s="643"/>
      <c r="W107" s="643"/>
      <c r="X107" s="643"/>
      <c r="Y107" s="644"/>
      <c r="Z107" s="642">
        <f>U107+1</f>
        <v>46226</v>
      </c>
      <c r="AA107" s="643"/>
      <c r="AB107" s="643"/>
      <c r="AC107" s="643"/>
      <c r="AD107" s="644"/>
      <c r="AE107" s="642">
        <f>Z107+1</f>
        <v>46227</v>
      </c>
      <c r="AF107" s="643"/>
      <c r="AG107" s="643"/>
      <c r="AH107" s="643"/>
      <c r="AI107" s="644"/>
      <c r="AJ107" s="642">
        <f>AE107+1</f>
        <v>46228</v>
      </c>
      <c r="AK107" s="643"/>
      <c r="AL107" s="643"/>
      <c r="AM107" s="643"/>
      <c r="AN107" s="644"/>
      <c r="AO107" s="642">
        <f>AJ107+1</f>
        <v>46229</v>
      </c>
      <c r="AP107" s="643"/>
      <c r="AQ107" s="643"/>
      <c r="AR107" s="643"/>
      <c r="AS107" s="644"/>
      <c r="AT107" s="642">
        <f>AO107+1</f>
        <v>46230</v>
      </c>
      <c r="AU107" s="643"/>
      <c r="AV107" s="643"/>
      <c r="AW107" s="643"/>
      <c r="AX107" s="644"/>
    </row>
    <row r="108" spans="2:53" ht="15.75">
      <c r="B108" s="653"/>
      <c r="C108" s="653"/>
      <c r="D108" s="653"/>
      <c r="E108" s="653"/>
      <c r="F108" s="653"/>
      <c r="G108" s="653"/>
      <c r="H108" s="653"/>
      <c r="I108" s="204"/>
      <c r="J108" s="204"/>
      <c r="K108" s="204"/>
      <c r="L108" s="204"/>
      <c r="M108" s="205"/>
      <c r="N108" s="641"/>
      <c r="O108" s="641"/>
      <c r="P108" s="645" t="s">
        <v>317</v>
      </c>
      <c r="Q108" s="646"/>
      <c r="R108" s="646"/>
      <c r="S108" s="646"/>
      <c r="T108" s="646"/>
      <c r="U108" s="645" t="s">
        <v>318</v>
      </c>
      <c r="V108" s="646"/>
      <c r="W108" s="646"/>
      <c r="X108" s="646"/>
      <c r="Y108" s="646"/>
      <c r="Z108" s="645" t="s">
        <v>319</v>
      </c>
      <c r="AA108" s="646"/>
      <c r="AB108" s="646"/>
      <c r="AC108" s="646"/>
      <c r="AD108" s="646"/>
      <c r="AE108" s="645" t="s">
        <v>320</v>
      </c>
      <c r="AF108" s="646"/>
      <c r="AG108" s="646"/>
      <c r="AH108" s="646"/>
      <c r="AI108" s="646"/>
      <c r="AJ108" s="645" t="s">
        <v>321</v>
      </c>
      <c r="AK108" s="646"/>
      <c r="AL108" s="646"/>
      <c r="AM108" s="646"/>
      <c r="AN108" s="646"/>
      <c r="AO108" s="645" t="s">
        <v>322</v>
      </c>
      <c r="AP108" s="646"/>
      <c r="AQ108" s="646"/>
      <c r="AR108" s="646"/>
      <c r="AS108" s="646"/>
      <c r="AT108" s="645" t="s">
        <v>323</v>
      </c>
      <c r="AU108" s="646"/>
      <c r="AV108" s="646"/>
      <c r="AW108" s="646"/>
      <c r="AX108" s="646"/>
    </row>
    <row r="109" spans="2:53">
      <c r="B109" s="635" t="s">
        <v>372</v>
      </c>
      <c r="C109" s="635" t="s">
        <v>382</v>
      </c>
      <c r="D109" s="635"/>
      <c r="E109" s="635" t="s">
        <v>373</v>
      </c>
      <c r="F109" s="635"/>
      <c r="G109" s="635"/>
      <c r="H109" s="636" t="s">
        <v>369</v>
      </c>
      <c r="I109" s="619" t="s">
        <v>374</v>
      </c>
      <c r="J109" s="619"/>
      <c r="K109" s="619"/>
      <c r="L109" s="620" t="s">
        <v>369</v>
      </c>
      <c r="M109" s="626" t="s">
        <v>370</v>
      </c>
      <c r="N109" s="635"/>
      <c r="O109" s="635" t="s">
        <v>375</v>
      </c>
      <c r="P109" s="632" t="s">
        <v>371</v>
      </c>
      <c r="Q109" s="633"/>
      <c r="R109" s="633"/>
      <c r="S109" s="634"/>
      <c r="T109" s="635" t="s">
        <v>369</v>
      </c>
      <c r="U109" s="632" t="s">
        <v>371</v>
      </c>
      <c r="V109" s="633"/>
      <c r="W109" s="633"/>
      <c r="X109" s="634"/>
      <c r="Y109" s="635" t="s">
        <v>369</v>
      </c>
      <c r="Z109" s="632" t="s">
        <v>371</v>
      </c>
      <c r="AA109" s="633"/>
      <c r="AB109" s="633"/>
      <c r="AC109" s="634"/>
      <c r="AD109" s="635" t="s">
        <v>369</v>
      </c>
      <c r="AE109" s="632" t="s">
        <v>371</v>
      </c>
      <c r="AF109" s="633"/>
      <c r="AG109" s="633"/>
      <c r="AH109" s="634"/>
      <c r="AI109" s="635" t="s">
        <v>369</v>
      </c>
      <c r="AJ109" s="632" t="s">
        <v>371</v>
      </c>
      <c r="AK109" s="633"/>
      <c r="AL109" s="633"/>
      <c r="AM109" s="634"/>
      <c r="AN109" s="635" t="s">
        <v>369</v>
      </c>
      <c r="AO109" s="632" t="s">
        <v>371</v>
      </c>
      <c r="AP109" s="633"/>
      <c r="AQ109" s="633"/>
      <c r="AR109" s="634"/>
      <c r="AS109" s="635" t="s">
        <v>369</v>
      </c>
      <c r="AT109" s="632" t="s">
        <v>371</v>
      </c>
      <c r="AU109" s="633"/>
      <c r="AV109" s="633"/>
      <c r="AW109" s="634"/>
      <c r="AX109" s="635" t="s">
        <v>369</v>
      </c>
      <c r="BA109" s="635" t="s">
        <v>369</v>
      </c>
    </row>
    <row r="110" spans="2:53">
      <c r="B110" s="635"/>
      <c r="C110" s="635"/>
      <c r="D110" s="635"/>
      <c r="E110" s="635" t="s">
        <v>376</v>
      </c>
      <c r="F110" s="635"/>
      <c r="G110" s="635"/>
      <c r="H110" s="637"/>
      <c r="I110" s="619" t="s">
        <v>376</v>
      </c>
      <c r="J110" s="619"/>
      <c r="K110" s="619"/>
      <c r="L110" s="621"/>
      <c r="M110" s="627"/>
      <c r="N110" s="635"/>
      <c r="O110" s="635"/>
      <c r="P110" s="632" t="s">
        <v>377</v>
      </c>
      <c r="Q110" s="633"/>
      <c r="R110" s="633"/>
      <c r="S110" s="634"/>
      <c r="T110" s="635"/>
      <c r="U110" s="632" t="s">
        <v>377</v>
      </c>
      <c r="V110" s="633"/>
      <c r="W110" s="633"/>
      <c r="X110" s="634"/>
      <c r="Y110" s="635"/>
      <c r="Z110" s="632" t="s">
        <v>377</v>
      </c>
      <c r="AA110" s="633"/>
      <c r="AB110" s="633"/>
      <c r="AC110" s="634"/>
      <c r="AD110" s="635"/>
      <c r="AE110" s="632" t="s">
        <v>377</v>
      </c>
      <c r="AF110" s="633"/>
      <c r="AG110" s="633"/>
      <c r="AH110" s="634"/>
      <c r="AI110" s="635"/>
      <c r="AJ110" s="632" t="s">
        <v>377</v>
      </c>
      <c r="AK110" s="633"/>
      <c r="AL110" s="633"/>
      <c r="AM110" s="634"/>
      <c r="AN110" s="635"/>
      <c r="AO110" s="632" t="s">
        <v>377</v>
      </c>
      <c r="AP110" s="633"/>
      <c r="AQ110" s="633"/>
      <c r="AR110" s="634"/>
      <c r="AS110" s="635"/>
      <c r="AT110" s="632" t="s">
        <v>377</v>
      </c>
      <c r="AU110" s="633"/>
      <c r="AV110" s="633"/>
      <c r="AW110" s="634"/>
      <c r="AX110" s="635"/>
      <c r="BA110" s="635"/>
    </row>
    <row r="111" spans="2:53">
      <c r="B111" s="635"/>
      <c r="C111" s="635"/>
      <c r="D111" s="635"/>
      <c r="E111" s="286" t="s">
        <v>378</v>
      </c>
      <c r="F111" s="286" t="s">
        <v>379</v>
      </c>
      <c r="G111" s="286" t="s">
        <v>380</v>
      </c>
      <c r="H111" s="638"/>
      <c r="I111" s="285" t="s">
        <v>378</v>
      </c>
      <c r="J111" s="285" t="s">
        <v>379</v>
      </c>
      <c r="K111" s="285" t="s">
        <v>380</v>
      </c>
      <c r="L111" s="622"/>
      <c r="M111" s="628"/>
      <c r="N111" s="635"/>
      <c r="O111" s="635"/>
      <c r="P111" s="286" t="s">
        <v>378</v>
      </c>
      <c r="Q111" s="286" t="s">
        <v>379</v>
      </c>
      <c r="R111" s="286" t="s">
        <v>380</v>
      </c>
      <c r="S111" s="286" t="s">
        <v>370</v>
      </c>
      <c r="T111" s="635"/>
      <c r="U111" s="286" t="s">
        <v>378</v>
      </c>
      <c r="V111" s="286" t="s">
        <v>379</v>
      </c>
      <c r="W111" s="286" t="s">
        <v>380</v>
      </c>
      <c r="X111" s="286" t="s">
        <v>370</v>
      </c>
      <c r="Y111" s="635"/>
      <c r="Z111" s="286" t="s">
        <v>378</v>
      </c>
      <c r="AA111" s="286" t="s">
        <v>379</v>
      </c>
      <c r="AB111" s="286" t="s">
        <v>380</v>
      </c>
      <c r="AC111" s="286" t="s">
        <v>370</v>
      </c>
      <c r="AD111" s="635"/>
      <c r="AE111" s="286" t="s">
        <v>378</v>
      </c>
      <c r="AF111" s="286" t="s">
        <v>379</v>
      </c>
      <c r="AG111" s="286" t="s">
        <v>380</v>
      </c>
      <c r="AH111" s="286" t="s">
        <v>370</v>
      </c>
      <c r="AI111" s="635"/>
      <c r="AJ111" s="286" t="s">
        <v>378</v>
      </c>
      <c r="AK111" s="286" t="s">
        <v>379</v>
      </c>
      <c r="AL111" s="286" t="s">
        <v>380</v>
      </c>
      <c r="AM111" s="286" t="s">
        <v>370</v>
      </c>
      <c r="AN111" s="635"/>
      <c r="AO111" s="286" t="s">
        <v>378</v>
      </c>
      <c r="AP111" s="286" t="s">
        <v>379</v>
      </c>
      <c r="AQ111" s="286" t="s">
        <v>380</v>
      </c>
      <c r="AR111" s="286" t="s">
        <v>370</v>
      </c>
      <c r="AS111" s="635"/>
      <c r="AT111" s="286" t="s">
        <v>378</v>
      </c>
      <c r="AU111" s="286" t="s">
        <v>379</v>
      </c>
      <c r="AV111" s="286" t="s">
        <v>380</v>
      </c>
      <c r="AW111" s="286" t="s">
        <v>370</v>
      </c>
      <c r="AX111" s="635"/>
      <c r="AZ111" s="377" t="s">
        <v>370</v>
      </c>
      <c r="BA111" s="635"/>
    </row>
    <row r="112" spans="2:53">
      <c r="B112" s="646" t="s">
        <v>150</v>
      </c>
      <c r="C112" s="287">
        <v>1</v>
      </c>
      <c r="D112" s="201" t="s">
        <v>336</v>
      </c>
      <c r="E112" s="201">
        <v>3</v>
      </c>
      <c r="F112" s="201">
        <v>3200</v>
      </c>
      <c r="G112" s="536">
        <v>1066.6666666666667</v>
      </c>
      <c r="H112" s="647">
        <f>AVERAGE(G112:G141)</f>
        <v>788.83333333333314</v>
      </c>
      <c r="I112" s="367">
        <f>IFERROR(AVERAGE(P112,U112,Z112,AE112,AJ112,AO112,AT112),"-")</f>
        <v>3</v>
      </c>
      <c r="J112" s="367">
        <f>IFERROR(AVERAGE(Q112,V112,AA112,AF112,AK112,AP112,AU112),"-")</f>
        <v>3207.0315988548164</v>
      </c>
      <c r="K112" s="199">
        <f>IFERROR(AVERAGE(R112,W112,AB112,AG112,AL112,AQ112,AV112),"-")</f>
        <v>1069.0105329516055</v>
      </c>
      <c r="L112" s="616">
        <f>IFERROR(AVERAGE(K112:K141),"-")</f>
        <v>803.20570792975252</v>
      </c>
      <c r="M112" s="198">
        <f>RANK(K112, K$112:$K$141)</f>
        <v>1</v>
      </c>
      <c r="N112" s="635"/>
      <c r="O112" s="635"/>
      <c r="P112" s="388">
        <v>3</v>
      </c>
      <c r="Q112" s="388">
        <v>3193.8461538461502</v>
      </c>
      <c r="R112" s="388">
        <v>1064.6153846153834</v>
      </c>
      <c r="S112" s="555">
        <f t="shared" ref="S112:S141" si="28">RANK(R112, R$112:R$141)</f>
        <v>2</v>
      </c>
      <c r="T112" s="647">
        <f t="shared" ref="T112" si="29">AVERAGE(R112:R141)</f>
        <v>801.46743256080447</v>
      </c>
      <c r="U112" s="388">
        <v>3</v>
      </c>
      <c r="V112" s="388">
        <v>3178.8235294117612</v>
      </c>
      <c r="W112" s="388">
        <v>1059.6078431372537</v>
      </c>
      <c r="X112" s="555">
        <f t="shared" ref="X112:X141" si="30">RANK(W112, W$112:W$141)</f>
        <v>2</v>
      </c>
      <c r="Y112" s="647">
        <f t="shared" ref="Y112" si="31">AVERAGE(W112:W141)</f>
        <v>765.39018225733059</v>
      </c>
      <c r="Z112" s="388">
        <v>3</v>
      </c>
      <c r="AA112" s="388">
        <v>3243.5294117647022</v>
      </c>
      <c r="AB112" s="388">
        <v>1081.176470588234</v>
      </c>
      <c r="AC112" s="555">
        <f t="shared" ref="AC112:AC141" si="32">RANK(AB112, AB$112:AB$141)</f>
        <v>5</v>
      </c>
      <c r="AD112" s="647">
        <f t="shared" ref="AD112" si="33">AVERAGE(AB112:AB141)</f>
        <v>831.49450783180441</v>
      </c>
      <c r="AE112" s="388">
        <v>3</v>
      </c>
      <c r="AF112" s="388">
        <v>3252.5581395348831</v>
      </c>
      <c r="AG112" s="388">
        <v>1084.1860465116276</v>
      </c>
      <c r="AH112" s="555">
        <f t="shared" ref="AH112:AH141" si="34">RANK(AG112, AG$112:AG$141)</f>
        <v>5</v>
      </c>
      <c r="AI112" s="647">
        <f t="shared" ref="AI112" si="35">AVERAGE(AG112:AG141)</f>
        <v>820.89821699112076</v>
      </c>
      <c r="AJ112" s="388">
        <v>3</v>
      </c>
      <c r="AK112" s="388">
        <v>3145.3333333333335</v>
      </c>
      <c r="AL112" s="388">
        <v>1048.4444444444446</v>
      </c>
      <c r="AM112" s="555">
        <f t="shared" ref="AM112:AM141" si="36">RANK(AL112, AL$112:AL$141)</f>
        <v>3</v>
      </c>
      <c r="AN112" s="647">
        <f t="shared" ref="AN112" si="37">AVERAGE(AL112:AL141)</f>
        <v>795.65778863119738</v>
      </c>
      <c r="AO112" s="388">
        <v>3</v>
      </c>
      <c r="AP112" s="388">
        <v>3261.9230769230735</v>
      </c>
      <c r="AQ112" s="388">
        <v>1087.3076923076912</v>
      </c>
      <c r="AR112" s="555">
        <f t="shared" ref="AR112:AR141" si="38">RANK(AQ112, AQ$112:AQ$141)</f>
        <v>3</v>
      </c>
      <c r="AS112" s="647">
        <f t="shared" ref="AS112" si="39">AVERAGE(AQ112:AQ141)</f>
        <v>824.35865652611653</v>
      </c>
      <c r="AT112" s="388">
        <v>3</v>
      </c>
      <c r="AU112" s="388">
        <v>3173.2075471698081</v>
      </c>
      <c r="AV112" s="388">
        <v>1057.7358490566028</v>
      </c>
      <c r="AW112" s="555">
        <f t="shared" ref="AW112:AW141" si="40">RANK(AV112, AV$112:AV$141)</f>
        <v>3</v>
      </c>
      <c r="AX112" s="647">
        <f t="shared" ref="AX112" si="41">AVERAGE(AV112:AV141)</f>
        <v>783.17317070989509</v>
      </c>
      <c r="AZ112" s="376" t="e">
        <f t="shared" ref="AZ112:AZ141" si="42">RANK(AY112, AY$112:AY$141)</f>
        <v>#N/A</v>
      </c>
      <c r="BA112" s="647" t="e">
        <f t="shared" ref="BA112" si="43">AVERAGE(AY112:AY141)</f>
        <v>#DIV/0!</v>
      </c>
    </row>
    <row r="113" spans="2:53">
      <c r="B113" s="646"/>
      <c r="C113" s="287">
        <v>2</v>
      </c>
      <c r="D113" s="538" t="s">
        <v>337</v>
      </c>
      <c r="E113" s="201">
        <v>3</v>
      </c>
      <c r="F113" s="201">
        <v>3200</v>
      </c>
      <c r="G113" s="536">
        <v>1066.6666666666667</v>
      </c>
      <c r="H113" s="648"/>
      <c r="I113" s="367">
        <f t="shared" ref="I113:I141" si="44">IFERROR(AVERAGE(P113,U113,Z113,AE113,AJ113,AO113,AT113),"-")</f>
        <v>3</v>
      </c>
      <c r="J113" s="367">
        <f t="shared" ref="J113:J141" si="45">IFERROR(AVERAGE(Q113,V113,AA113,AF113,AK113,AP113,AU113),"-")</f>
        <v>3164.4637855141991</v>
      </c>
      <c r="K113" s="199">
        <f t="shared" ref="K113:K141" si="46">IFERROR(AVERAGE(R113,W113,AB113,AG113,AL113,AQ113,AV113),"-")</f>
        <v>1054.8212618380662</v>
      </c>
      <c r="L113" s="617"/>
      <c r="M113" s="198">
        <f>RANK(K113, K$112:$K$141)</f>
        <v>6</v>
      </c>
      <c r="N113" s="635"/>
      <c r="O113" s="635"/>
      <c r="P113" s="388">
        <v>3</v>
      </c>
      <c r="Q113" s="388">
        <v>3046.6666666666642</v>
      </c>
      <c r="R113" s="388">
        <v>1015.5555555555547</v>
      </c>
      <c r="S113" s="555">
        <f t="shared" si="28"/>
        <v>8</v>
      </c>
      <c r="T113" s="648"/>
      <c r="U113" s="388">
        <v>3</v>
      </c>
      <c r="V113" s="388">
        <v>3155.2941176470404</v>
      </c>
      <c r="W113" s="388">
        <v>1051.7647058823468</v>
      </c>
      <c r="X113" s="555">
        <f t="shared" si="30"/>
        <v>3</v>
      </c>
      <c r="Y113" s="648"/>
      <c r="Z113" s="388">
        <v>3</v>
      </c>
      <c r="AA113" s="388">
        <v>3254.9999999999959</v>
      </c>
      <c r="AB113" s="388">
        <v>1084.9999999999986</v>
      </c>
      <c r="AC113" s="555">
        <f t="shared" si="32"/>
        <v>2</v>
      </c>
      <c r="AD113" s="648"/>
      <c r="AE113" s="388">
        <v>3</v>
      </c>
      <c r="AF113" s="388">
        <v>3239.9999999999932</v>
      </c>
      <c r="AG113" s="388">
        <v>1079.9999999999977</v>
      </c>
      <c r="AH113" s="555">
        <f t="shared" si="34"/>
        <v>6</v>
      </c>
      <c r="AI113" s="648"/>
      <c r="AJ113" s="388">
        <v>3</v>
      </c>
      <c r="AK113" s="388">
        <v>3004.2857142857079</v>
      </c>
      <c r="AL113" s="388">
        <v>1001.4285714285693</v>
      </c>
      <c r="AM113" s="555">
        <f t="shared" si="36"/>
        <v>7</v>
      </c>
      <c r="AN113" s="648"/>
      <c r="AO113" s="388">
        <v>3</v>
      </c>
      <c r="AP113" s="388">
        <v>3247.4999999999959</v>
      </c>
      <c r="AQ113" s="388">
        <v>1082.4999999999986</v>
      </c>
      <c r="AR113" s="555">
        <f t="shared" si="38"/>
        <v>4</v>
      </c>
      <c r="AS113" s="648"/>
      <c r="AT113" s="388">
        <v>3</v>
      </c>
      <c r="AU113" s="388">
        <v>3202.4999999999959</v>
      </c>
      <c r="AV113" s="388">
        <v>1067.4999999999986</v>
      </c>
      <c r="AW113" s="555">
        <f t="shared" si="40"/>
        <v>1</v>
      </c>
      <c r="AX113" s="648"/>
      <c r="AZ113" s="376" t="e">
        <f t="shared" si="42"/>
        <v>#N/A</v>
      </c>
      <c r="BA113" s="648"/>
    </row>
    <row r="114" spans="2:53">
      <c r="B114" s="646"/>
      <c r="C114" s="287">
        <v>3</v>
      </c>
      <c r="D114" s="201" t="s">
        <v>328</v>
      </c>
      <c r="E114" s="201">
        <v>4</v>
      </c>
      <c r="F114" s="201">
        <v>3200</v>
      </c>
      <c r="G114" s="536">
        <v>800</v>
      </c>
      <c r="H114" s="648"/>
      <c r="I114" s="367">
        <f t="shared" si="44"/>
        <v>4</v>
      </c>
      <c r="J114" s="367">
        <f t="shared" si="45"/>
        <v>3206.714285714278</v>
      </c>
      <c r="K114" s="199">
        <f t="shared" si="46"/>
        <v>801.67857142856951</v>
      </c>
      <c r="L114" s="617"/>
      <c r="M114" s="198">
        <f>RANK(K114, K$112:$K$141)</f>
        <v>14</v>
      </c>
      <c r="N114" s="635"/>
      <c r="O114" s="635"/>
      <c r="P114" s="388">
        <v>4</v>
      </c>
      <c r="Q114" s="388">
        <v>3137.1428571428683</v>
      </c>
      <c r="R114" s="388">
        <v>784.28571428571706</v>
      </c>
      <c r="S114" s="555">
        <f t="shared" si="28"/>
        <v>15</v>
      </c>
      <c r="T114" s="648"/>
      <c r="U114" s="388">
        <v>4</v>
      </c>
      <c r="V114" s="388">
        <v>3042.8571428571363</v>
      </c>
      <c r="W114" s="388">
        <v>760.71428571428407</v>
      </c>
      <c r="X114" s="555">
        <f t="shared" si="30"/>
        <v>15</v>
      </c>
      <c r="Y114" s="648"/>
      <c r="Z114" s="388">
        <v>4</v>
      </c>
      <c r="AA114" s="388">
        <v>3459.9999999999663</v>
      </c>
      <c r="AB114" s="388">
        <v>864.99999999999159</v>
      </c>
      <c r="AC114" s="555">
        <f t="shared" si="32"/>
        <v>12</v>
      </c>
      <c r="AD114" s="648"/>
      <c r="AE114" s="388">
        <v>4</v>
      </c>
      <c r="AF114" s="388">
        <v>3306.0000000000118</v>
      </c>
      <c r="AG114" s="388">
        <v>826.50000000000296</v>
      </c>
      <c r="AH114" s="555">
        <f t="shared" si="34"/>
        <v>13</v>
      </c>
      <c r="AI114" s="648"/>
      <c r="AJ114" s="388">
        <v>4</v>
      </c>
      <c r="AK114" s="388">
        <v>3185.9999999999859</v>
      </c>
      <c r="AL114" s="388">
        <v>796.49999999999648</v>
      </c>
      <c r="AM114" s="555">
        <f t="shared" si="36"/>
        <v>12</v>
      </c>
      <c r="AN114" s="648"/>
      <c r="AO114" s="388">
        <v>4</v>
      </c>
      <c r="AP114" s="388">
        <v>3249.9999999999682</v>
      </c>
      <c r="AQ114" s="388">
        <v>812.49999999999204</v>
      </c>
      <c r="AR114" s="555">
        <f t="shared" si="38"/>
        <v>15</v>
      </c>
      <c r="AS114" s="648"/>
      <c r="AT114" s="388">
        <v>4</v>
      </c>
      <c r="AU114" s="388">
        <v>3065.0000000000109</v>
      </c>
      <c r="AV114" s="388">
        <v>766.25000000000273</v>
      </c>
      <c r="AW114" s="555">
        <f t="shared" si="40"/>
        <v>17</v>
      </c>
      <c r="AX114" s="648"/>
      <c r="AZ114" s="376" t="e">
        <f t="shared" si="42"/>
        <v>#N/A</v>
      </c>
      <c r="BA114" s="648"/>
    </row>
    <row r="115" spans="2:53">
      <c r="B115" s="646"/>
      <c r="C115" s="287">
        <v>4</v>
      </c>
      <c r="D115" s="201" t="s">
        <v>338</v>
      </c>
      <c r="E115" s="201">
        <v>3</v>
      </c>
      <c r="F115" s="201">
        <v>3200</v>
      </c>
      <c r="G115" s="536">
        <v>1066.6666666666667</v>
      </c>
      <c r="H115" s="648"/>
      <c r="I115" s="367">
        <f t="shared" si="44"/>
        <v>3</v>
      </c>
      <c r="J115" s="367">
        <f t="shared" si="45"/>
        <v>3204.3039671241795</v>
      </c>
      <c r="K115" s="199">
        <f t="shared" si="46"/>
        <v>1068.1013223747266</v>
      </c>
      <c r="L115" s="617"/>
      <c r="M115" s="198">
        <f>RANK(K115, K$112:$K$141)</f>
        <v>3</v>
      </c>
      <c r="N115" s="635"/>
      <c r="O115" s="635"/>
      <c r="P115" s="388">
        <v>3</v>
      </c>
      <c r="Q115" s="388">
        <v>3173.6842105263208</v>
      </c>
      <c r="R115" s="388">
        <v>1057.894736842107</v>
      </c>
      <c r="S115" s="555">
        <f t="shared" si="28"/>
        <v>5</v>
      </c>
      <c r="T115" s="648"/>
      <c r="U115" s="388">
        <v>3</v>
      </c>
      <c r="V115" s="388">
        <v>3202.3999999999974</v>
      </c>
      <c r="W115" s="388">
        <v>1067.4666666666658</v>
      </c>
      <c r="X115" s="555">
        <f t="shared" si="30"/>
        <v>1</v>
      </c>
      <c r="Y115" s="648"/>
      <c r="Z115" s="388">
        <v>3</v>
      </c>
      <c r="AA115" s="388">
        <v>3244.1095890410966</v>
      </c>
      <c r="AB115" s="388">
        <v>1081.3698630136989</v>
      </c>
      <c r="AC115" s="555">
        <f t="shared" si="32"/>
        <v>4</v>
      </c>
      <c r="AD115" s="648"/>
      <c r="AE115" s="388">
        <v>3</v>
      </c>
      <c r="AF115" s="388">
        <v>3216.9230769230726</v>
      </c>
      <c r="AG115" s="388">
        <v>1072.3076923076908</v>
      </c>
      <c r="AH115" s="555">
        <f t="shared" si="34"/>
        <v>7</v>
      </c>
      <c r="AI115" s="648"/>
      <c r="AJ115" s="388">
        <v>3</v>
      </c>
      <c r="AK115" s="388">
        <v>3164.0624999999991</v>
      </c>
      <c r="AL115" s="388">
        <v>1054.6874999999998</v>
      </c>
      <c r="AM115" s="555">
        <f t="shared" si="36"/>
        <v>2</v>
      </c>
      <c r="AN115" s="648"/>
      <c r="AO115" s="388">
        <v>3</v>
      </c>
      <c r="AP115" s="388">
        <v>3226.9230769230753</v>
      </c>
      <c r="AQ115" s="388">
        <v>1075.6410256410252</v>
      </c>
      <c r="AR115" s="555">
        <f t="shared" si="38"/>
        <v>5</v>
      </c>
      <c r="AS115" s="648"/>
      <c r="AT115" s="388">
        <v>3</v>
      </c>
      <c r="AU115" s="388">
        <v>3202.025316455698</v>
      </c>
      <c r="AV115" s="388">
        <v>1067.3417721518992</v>
      </c>
      <c r="AW115" s="555">
        <f t="shared" si="40"/>
        <v>2</v>
      </c>
      <c r="AX115" s="648"/>
      <c r="AZ115" s="376" t="e">
        <f t="shared" si="42"/>
        <v>#N/A</v>
      </c>
      <c r="BA115" s="648"/>
    </row>
    <row r="116" spans="2:53">
      <c r="B116" s="646"/>
      <c r="C116" s="287">
        <v>5</v>
      </c>
      <c r="D116" s="201" t="s">
        <v>568</v>
      </c>
      <c r="E116" s="201">
        <v>4</v>
      </c>
      <c r="F116" s="201">
        <v>3200</v>
      </c>
      <c r="G116" s="536">
        <v>800</v>
      </c>
      <c r="H116" s="648"/>
      <c r="I116" s="367">
        <f t="shared" si="44"/>
        <v>4</v>
      </c>
      <c r="J116" s="367">
        <f t="shared" si="45"/>
        <v>3212.2835660579995</v>
      </c>
      <c r="K116" s="199">
        <f t="shared" si="46"/>
        <v>803.07089151449986</v>
      </c>
      <c r="L116" s="617"/>
      <c r="M116" s="198">
        <f>RANK(K116, K$112:$K$141)</f>
        <v>12</v>
      </c>
      <c r="N116" s="635"/>
      <c r="O116" s="635"/>
      <c r="P116" s="388">
        <v>4</v>
      </c>
      <c r="Q116" s="388">
        <v>3209.9999999999986</v>
      </c>
      <c r="R116" s="388">
        <v>802.49999999999966</v>
      </c>
      <c r="S116" s="555">
        <f t="shared" si="28"/>
        <v>12</v>
      </c>
      <c r="T116" s="648"/>
      <c r="U116" s="388">
        <v>4</v>
      </c>
      <c r="V116" s="388">
        <v>3117.1428571428678</v>
      </c>
      <c r="W116" s="388">
        <v>779.28571428571695</v>
      </c>
      <c r="X116" s="555">
        <f t="shared" si="30"/>
        <v>13</v>
      </c>
      <c r="Y116" s="648"/>
      <c r="Z116" s="388">
        <v>4</v>
      </c>
      <c r="AA116" s="388">
        <v>3221.0526315789321</v>
      </c>
      <c r="AB116" s="388">
        <v>805.26315789473301</v>
      </c>
      <c r="AC116" s="555">
        <f t="shared" si="32"/>
        <v>16</v>
      </c>
      <c r="AD116" s="648"/>
      <c r="AE116" s="388">
        <v>4</v>
      </c>
      <c r="AF116" s="388">
        <v>3330.0000000000118</v>
      </c>
      <c r="AG116" s="388">
        <v>832.50000000000296</v>
      </c>
      <c r="AH116" s="555">
        <f t="shared" si="34"/>
        <v>12</v>
      </c>
      <c r="AI116" s="648"/>
      <c r="AJ116" s="388">
        <v>4</v>
      </c>
      <c r="AK116" s="388">
        <v>3171.9999999999945</v>
      </c>
      <c r="AL116" s="388">
        <v>792.99999999999864</v>
      </c>
      <c r="AM116" s="555">
        <f t="shared" si="36"/>
        <v>13</v>
      </c>
      <c r="AN116" s="648"/>
      <c r="AO116" s="388">
        <v>4</v>
      </c>
      <c r="AP116" s="388">
        <v>3268.4210526315765</v>
      </c>
      <c r="AQ116" s="388">
        <v>817.10526315789411</v>
      </c>
      <c r="AR116" s="555">
        <f t="shared" si="38"/>
        <v>14</v>
      </c>
      <c r="AS116" s="648"/>
      <c r="AT116" s="388">
        <v>4</v>
      </c>
      <c r="AU116" s="388">
        <v>3167.3684210526162</v>
      </c>
      <c r="AV116" s="388">
        <v>791.84210526315405</v>
      </c>
      <c r="AW116" s="555">
        <f t="shared" si="40"/>
        <v>13</v>
      </c>
      <c r="AX116" s="648"/>
      <c r="AZ116" s="376" t="e">
        <f t="shared" si="42"/>
        <v>#N/A</v>
      </c>
      <c r="BA116" s="648"/>
    </row>
    <row r="117" spans="2:53">
      <c r="B117" s="646"/>
      <c r="C117" s="287">
        <v>6</v>
      </c>
      <c r="D117" s="201" t="s">
        <v>569</v>
      </c>
      <c r="E117" s="201">
        <v>4</v>
      </c>
      <c r="F117" s="201">
        <v>3200</v>
      </c>
      <c r="G117" s="536">
        <v>800</v>
      </c>
      <c r="H117" s="648"/>
      <c r="I117" s="367">
        <f t="shared" si="44"/>
        <v>4</v>
      </c>
      <c r="J117" s="367">
        <f t="shared" si="45"/>
        <v>3182.7857142857174</v>
      </c>
      <c r="K117" s="199">
        <f t="shared" si="46"/>
        <v>795.69642857142935</v>
      </c>
      <c r="L117" s="617"/>
      <c r="M117" s="198">
        <f>RANK(K117, K$112:$K$141)</f>
        <v>16</v>
      </c>
      <c r="N117" s="635"/>
      <c r="O117" s="635"/>
      <c r="P117" s="388">
        <v>4</v>
      </c>
      <c r="Q117" s="388">
        <v>2958.0000000000105</v>
      </c>
      <c r="R117" s="388">
        <v>739.50000000000261</v>
      </c>
      <c r="S117" s="555">
        <f t="shared" si="28"/>
        <v>17</v>
      </c>
      <c r="T117" s="648"/>
      <c r="U117" s="388">
        <v>4</v>
      </c>
      <c r="V117" s="388">
        <v>3023.9999999999868</v>
      </c>
      <c r="W117" s="388">
        <v>755.9999999999967</v>
      </c>
      <c r="X117" s="555">
        <f t="shared" si="30"/>
        <v>16</v>
      </c>
      <c r="Y117" s="648"/>
      <c r="Z117" s="388">
        <v>4</v>
      </c>
      <c r="AA117" s="388">
        <v>3592.5000000000127</v>
      </c>
      <c r="AB117" s="388">
        <v>898.12500000000318</v>
      </c>
      <c r="AC117" s="555">
        <f t="shared" si="32"/>
        <v>11</v>
      </c>
      <c r="AD117" s="648"/>
      <c r="AE117" s="388">
        <v>4</v>
      </c>
      <c r="AF117" s="388">
        <v>3248.5714285714403</v>
      </c>
      <c r="AG117" s="388">
        <v>812.14285714286007</v>
      </c>
      <c r="AH117" s="555">
        <f t="shared" si="34"/>
        <v>14</v>
      </c>
      <c r="AI117" s="648"/>
      <c r="AJ117" s="388">
        <v>4</v>
      </c>
      <c r="AK117" s="388">
        <v>2871.4285714285488</v>
      </c>
      <c r="AL117" s="388">
        <v>717.85714285713721</v>
      </c>
      <c r="AM117" s="555">
        <f t="shared" si="36"/>
        <v>19</v>
      </c>
      <c r="AN117" s="648"/>
      <c r="AO117" s="388">
        <v>4</v>
      </c>
      <c r="AP117" s="388">
        <v>3352.5000000000118</v>
      </c>
      <c r="AQ117" s="388">
        <v>838.12500000000296</v>
      </c>
      <c r="AR117" s="555">
        <f t="shared" si="38"/>
        <v>13</v>
      </c>
      <c r="AS117" s="648"/>
      <c r="AT117" s="388">
        <v>4</v>
      </c>
      <c r="AU117" s="388">
        <v>3232.5000000000114</v>
      </c>
      <c r="AV117" s="388">
        <v>808.12500000000284</v>
      </c>
      <c r="AW117" s="555">
        <f t="shared" si="40"/>
        <v>11</v>
      </c>
      <c r="AX117" s="648"/>
      <c r="AZ117" s="376" t="e">
        <f t="shared" si="42"/>
        <v>#N/A</v>
      </c>
      <c r="BA117" s="648"/>
    </row>
    <row r="118" spans="2:53">
      <c r="B118" s="646"/>
      <c r="C118" s="287">
        <v>7</v>
      </c>
      <c r="D118" s="201" t="s">
        <v>339</v>
      </c>
      <c r="E118" s="201">
        <v>4</v>
      </c>
      <c r="F118" s="201">
        <v>2800</v>
      </c>
      <c r="G118" s="536">
        <v>700</v>
      </c>
      <c r="H118" s="648"/>
      <c r="I118" s="367">
        <f t="shared" si="44"/>
        <v>4</v>
      </c>
      <c r="J118" s="367">
        <f t="shared" si="45"/>
        <v>3260.6904761904734</v>
      </c>
      <c r="K118" s="199">
        <f t="shared" si="46"/>
        <v>815.17261904761835</v>
      </c>
      <c r="L118" s="617"/>
      <c r="M118" s="198">
        <f>RANK(K118, K$112:$K$141)</f>
        <v>11</v>
      </c>
      <c r="N118" s="635"/>
      <c r="O118" s="635"/>
      <c r="P118" s="388">
        <v>4</v>
      </c>
      <c r="Q118" s="388">
        <v>3221.9999999999991</v>
      </c>
      <c r="R118" s="388">
        <v>805.49999999999977</v>
      </c>
      <c r="S118" s="555">
        <f t="shared" si="28"/>
        <v>11</v>
      </c>
      <c r="T118" s="648"/>
      <c r="U118" s="388">
        <v>4</v>
      </c>
      <c r="V118" s="388">
        <v>3071.9999999999991</v>
      </c>
      <c r="W118" s="388">
        <v>767.99999999999977</v>
      </c>
      <c r="X118" s="555">
        <f t="shared" si="30"/>
        <v>14</v>
      </c>
      <c r="Y118" s="648"/>
      <c r="Z118" s="388">
        <v>4</v>
      </c>
      <c r="AA118" s="388">
        <v>3399.9999999999973</v>
      </c>
      <c r="AB118" s="388">
        <v>849.99999999999932</v>
      </c>
      <c r="AC118" s="555">
        <f t="shared" si="32"/>
        <v>13</v>
      </c>
      <c r="AD118" s="648"/>
      <c r="AE118" s="388">
        <v>4</v>
      </c>
      <c r="AF118" s="388">
        <v>3539.9999999999923</v>
      </c>
      <c r="AG118" s="388">
        <v>884.99999999999807</v>
      </c>
      <c r="AH118" s="555">
        <f t="shared" si="34"/>
        <v>10</v>
      </c>
      <c r="AI118" s="648"/>
      <c r="AJ118" s="388">
        <v>4</v>
      </c>
      <c r="AK118" s="388">
        <v>2962.4999999999964</v>
      </c>
      <c r="AL118" s="388">
        <v>740.62499999999909</v>
      </c>
      <c r="AM118" s="555">
        <f t="shared" si="36"/>
        <v>17</v>
      </c>
      <c r="AN118" s="648"/>
      <c r="AO118" s="388">
        <v>4</v>
      </c>
      <c r="AP118" s="388">
        <v>3554.9999999999955</v>
      </c>
      <c r="AQ118" s="388">
        <v>888.74999999999886</v>
      </c>
      <c r="AR118" s="555">
        <f t="shared" si="38"/>
        <v>11</v>
      </c>
      <c r="AS118" s="648"/>
      <c r="AT118" s="388">
        <v>4</v>
      </c>
      <c r="AU118" s="388">
        <v>3073.3333333333308</v>
      </c>
      <c r="AV118" s="388">
        <v>768.33333333333269</v>
      </c>
      <c r="AW118" s="555">
        <f t="shared" si="40"/>
        <v>15</v>
      </c>
      <c r="AX118" s="648"/>
      <c r="AZ118" s="376" t="e">
        <f t="shared" si="42"/>
        <v>#N/A</v>
      </c>
      <c r="BA118" s="648"/>
    </row>
    <row r="119" spans="2:53">
      <c r="B119" s="646"/>
      <c r="C119" s="287">
        <v>8</v>
      </c>
      <c r="D119" s="201" t="s">
        <v>340</v>
      </c>
      <c r="E119" s="201">
        <v>3</v>
      </c>
      <c r="F119" s="201">
        <v>3200</v>
      </c>
      <c r="G119" s="536">
        <v>1066.6666666666667</v>
      </c>
      <c r="H119" s="648"/>
      <c r="I119" s="367">
        <f t="shared" si="44"/>
        <v>3</v>
      </c>
      <c r="J119" s="367">
        <f t="shared" si="45"/>
        <v>3181.4551733980293</v>
      </c>
      <c r="K119" s="199">
        <f t="shared" si="46"/>
        <v>1060.4850577993432</v>
      </c>
      <c r="L119" s="617"/>
      <c r="M119" s="198">
        <f>RANK(K119, K$112:$K$141)</f>
        <v>4</v>
      </c>
      <c r="N119" s="635"/>
      <c r="O119" s="635"/>
      <c r="P119" s="388">
        <v>3</v>
      </c>
      <c r="Q119" s="388">
        <v>3177.6923076923094</v>
      </c>
      <c r="R119" s="388">
        <v>1059.2307692307697</v>
      </c>
      <c r="S119" s="555">
        <f t="shared" si="28"/>
        <v>4</v>
      </c>
      <c r="T119" s="648"/>
      <c r="U119" s="388">
        <v>3</v>
      </c>
      <c r="V119" s="388">
        <v>3120.0000000000018</v>
      </c>
      <c r="W119" s="388">
        <v>1040.0000000000007</v>
      </c>
      <c r="X119" s="555">
        <f t="shared" si="30"/>
        <v>5</v>
      </c>
      <c r="Y119" s="648"/>
      <c r="Z119" s="388">
        <v>3</v>
      </c>
      <c r="AA119" s="388">
        <v>3225.6000000000008</v>
      </c>
      <c r="AB119" s="388">
        <v>1075.2000000000003</v>
      </c>
      <c r="AC119" s="555">
        <f t="shared" si="32"/>
        <v>6</v>
      </c>
      <c r="AD119" s="648"/>
      <c r="AE119" s="388">
        <v>3</v>
      </c>
      <c r="AF119" s="388">
        <v>3317.1428571428496</v>
      </c>
      <c r="AG119" s="388">
        <v>1105.7142857142833</v>
      </c>
      <c r="AH119" s="555">
        <f t="shared" si="34"/>
        <v>3</v>
      </c>
      <c r="AI119" s="648"/>
      <c r="AJ119" s="388">
        <v>3</v>
      </c>
      <c r="AK119" s="388">
        <v>3098.1818181818121</v>
      </c>
      <c r="AL119" s="388">
        <v>1032.7272727272707</v>
      </c>
      <c r="AM119" s="555">
        <f t="shared" si="36"/>
        <v>6</v>
      </c>
      <c r="AN119" s="648"/>
      <c r="AO119" s="388">
        <v>3</v>
      </c>
      <c r="AP119" s="388">
        <v>3220.8000000000006</v>
      </c>
      <c r="AQ119" s="388">
        <v>1073.6000000000001</v>
      </c>
      <c r="AR119" s="555">
        <f t="shared" si="38"/>
        <v>6</v>
      </c>
      <c r="AS119" s="648"/>
      <c r="AT119" s="388">
        <v>3</v>
      </c>
      <c r="AU119" s="388">
        <v>3110.7692307692323</v>
      </c>
      <c r="AV119" s="388">
        <v>1036.9230769230774</v>
      </c>
      <c r="AW119" s="555">
        <f t="shared" si="40"/>
        <v>5</v>
      </c>
      <c r="AX119" s="648"/>
      <c r="AZ119" s="376" t="e">
        <f t="shared" si="42"/>
        <v>#N/A</v>
      </c>
      <c r="BA119" s="648"/>
    </row>
    <row r="120" spans="2:53">
      <c r="B120" s="646"/>
      <c r="C120" s="287">
        <v>9</v>
      </c>
      <c r="D120" s="201" t="s">
        <v>341</v>
      </c>
      <c r="E120" s="201">
        <v>3</v>
      </c>
      <c r="F120" s="201">
        <v>2800</v>
      </c>
      <c r="G120" s="536">
        <v>933.33333333333337</v>
      </c>
      <c r="H120" s="648"/>
      <c r="I120" s="367">
        <f t="shared" si="44"/>
        <v>3</v>
      </c>
      <c r="J120" s="367">
        <f t="shared" si="45"/>
        <v>3204.5862246793909</v>
      </c>
      <c r="K120" s="199">
        <f t="shared" si="46"/>
        <v>1068.1954082264635</v>
      </c>
      <c r="L120" s="617"/>
      <c r="M120" s="198">
        <f>RANK(K120, K$112:$K$141)</f>
        <v>2</v>
      </c>
      <c r="N120" s="635"/>
      <c r="O120" s="635"/>
      <c r="P120" s="388">
        <v>3</v>
      </c>
      <c r="Q120" s="388">
        <v>3190.7142857142881</v>
      </c>
      <c r="R120" s="388">
        <v>1063.5714285714294</v>
      </c>
      <c r="S120" s="555">
        <f t="shared" si="28"/>
        <v>3</v>
      </c>
      <c r="T120" s="648"/>
      <c r="U120" s="388">
        <v>3</v>
      </c>
      <c r="V120" s="388">
        <v>3117.8571428571449</v>
      </c>
      <c r="W120" s="388">
        <v>1039.2857142857149</v>
      </c>
      <c r="X120" s="555">
        <f t="shared" si="30"/>
        <v>6</v>
      </c>
      <c r="Y120" s="648"/>
      <c r="Z120" s="388">
        <v>3</v>
      </c>
      <c r="AA120" s="388">
        <v>3253.8461538461556</v>
      </c>
      <c r="AB120" s="388">
        <v>1084.6153846153852</v>
      </c>
      <c r="AC120" s="555">
        <f t="shared" si="32"/>
        <v>3</v>
      </c>
      <c r="AD120" s="648"/>
      <c r="AE120" s="388">
        <v>3</v>
      </c>
      <c r="AF120" s="388">
        <v>3339.1304347825976</v>
      </c>
      <c r="AG120" s="388">
        <v>1113.0434782608659</v>
      </c>
      <c r="AH120" s="555">
        <f t="shared" si="34"/>
        <v>2</v>
      </c>
      <c r="AI120" s="648"/>
      <c r="AJ120" s="388">
        <v>3</v>
      </c>
      <c r="AK120" s="388">
        <v>3179.9999999999882</v>
      </c>
      <c r="AL120" s="388">
        <v>1059.9999999999961</v>
      </c>
      <c r="AM120" s="555">
        <f t="shared" si="36"/>
        <v>1</v>
      </c>
      <c r="AN120" s="648"/>
      <c r="AO120" s="388">
        <v>3</v>
      </c>
      <c r="AP120" s="388">
        <v>3215.5555555555575</v>
      </c>
      <c r="AQ120" s="388">
        <v>1071.8518518518524</v>
      </c>
      <c r="AR120" s="555">
        <f t="shared" si="38"/>
        <v>7</v>
      </c>
      <c r="AS120" s="648"/>
      <c r="AT120" s="388">
        <v>3</v>
      </c>
      <c r="AU120" s="388">
        <v>3135.0000000000027</v>
      </c>
      <c r="AV120" s="388">
        <v>1045.0000000000009</v>
      </c>
      <c r="AW120" s="555">
        <f t="shared" si="40"/>
        <v>4</v>
      </c>
      <c r="AX120" s="648"/>
      <c r="AZ120" s="376" t="e">
        <f t="shared" si="42"/>
        <v>#N/A</v>
      </c>
      <c r="BA120" s="648"/>
    </row>
    <row r="121" spans="2:53">
      <c r="B121" s="646"/>
      <c r="C121" s="287">
        <v>10</v>
      </c>
      <c r="D121" s="201" t="s">
        <v>342</v>
      </c>
      <c r="E121" s="201">
        <v>4</v>
      </c>
      <c r="F121" s="201">
        <v>2800</v>
      </c>
      <c r="G121" s="536">
        <v>700</v>
      </c>
      <c r="H121" s="648"/>
      <c r="I121" s="367">
        <f t="shared" si="44"/>
        <v>4</v>
      </c>
      <c r="J121" s="367">
        <f t="shared" si="45"/>
        <v>3207.7940449835137</v>
      </c>
      <c r="K121" s="199">
        <f t="shared" si="46"/>
        <v>801.94851124587842</v>
      </c>
      <c r="L121" s="617"/>
      <c r="M121" s="198">
        <f>RANK(K121, K$112:$K$141)</f>
        <v>13</v>
      </c>
      <c r="N121" s="635"/>
      <c r="O121" s="635"/>
      <c r="P121" s="388">
        <v>4</v>
      </c>
      <c r="Q121" s="388">
        <v>3191.0204081632664</v>
      </c>
      <c r="R121" s="388">
        <v>797.75510204081661</v>
      </c>
      <c r="S121" s="555">
        <f t="shared" si="28"/>
        <v>13</v>
      </c>
      <c r="T121" s="648"/>
      <c r="U121" s="388">
        <v>4</v>
      </c>
      <c r="V121" s="388">
        <v>3161.632653061225</v>
      </c>
      <c r="W121" s="388">
        <v>790.40816326530626</v>
      </c>
      <c r="X121" s="555">
        <f t="shared" si="30"/>
        <v>12</v>
      </c>
      <c r="Y121" s="648"/>
      <c r="Z121" s="388">
        <v>4</v>
      </c>
      <c r="AA121" s="388">
        <v>3248.9361702127662</v>
      </c>
      <c r="AB121" s="388">
        <v>812.23404255319156</v>
      </c>
      <c r="AC121" s="555">
        <f t="shared" si="32"/>
        <v>15</v>
      </c>
      <c r="AD121" s="648"/>
      <c r="AE121" s="388">
        <v>4</v>
      </c>
      <c r="AF121" s="388">
        <v>3224.6511627906975</v>
      </c>
      <c r="AG121" s="388">
        <v>806.16279069767438</v>
      </c>
      <c r="AH121" s="555">
        <f t="shared" si="34"/>
        <v>16</v>
      </c>
      <c r="AI121" s="648"/>
      <c r="AJ121" s="388">
        <v>4</v>
      </c>
      <c r="AK121" s="388">
        <v>3186.9767441860458</v>
      </c>
      <c r="AL121" s="388">
        <v>796.74418604651146</v>
      </c>
      <c r="AM121" s="555">
        <f t="shared" si="36"/>
        <v>11</v>
      </c>
      <c r="AN121" s="648"/>
      <c r="AO121" s="388">
        <v>4</v>
      </c>
      <c r="AP121" s="388">
        <v>3248.400000000001</v>
      </c>
      <c r="AQ121" s="388">
        <v>812.10000000000025</v>
      </c>
      <c r="AR121" s="555">
        <f t="shared" si="38"/>
        <v>16</v>
      </c>
      <c r="AS121" s="648"/>
      <c r="AT121" s="388">
        <v>4</v>
      </c>
      <c r="AU121" s="388">
        <v>3192.9411764705897</v>
      </c>
      <c r="AV121" s="388">
        <v>798.23529411764741</v>
      </c>
      <c r="AW121" s="555">
        <f t="shared" si="40"/>
        <v>12</v>
      </c>
      <c r="AX121" s="648"/>
      <c r="AZ121" s="376" t="e">
        <f t="shared" si="42"/>
        <v>#N/A</v>
      </c>
      <c r="BA121" s="648"/>
    </row>
    <row r="122" spans="2:53">
      <c r="B122" s="646"/>
      <c r="C122" s="287">
        <v>11</v>
      </c>
      <c r="D122" s="201" t="s">
        <v>570</v>
      </c>
      <c r="E122" s="201">
        <v>4</v>
      </c>
      <c r="F122" s="201">
        <v>2800</v>
      </c>
      <c r="G122" s="536">
        <v>700</v>
      </c>
      <c r="H122" s="648"/>
      <c r="I122" s="367">
        <f t="shared" si="44"/>
        <v>4</v>
      </c>
      <c r="J122" s="367">
        <f t="shared" si="45"/>
        <v>2845.8046880923685</v>
      </c>
      <c r="K122" s="199">
        <f t="shared" si="46"/>
        <v>711.45117202309211</v>
      </c>
      <c r="L122" s="617"/>
      <c r="M122" s="198">
        <f>RANK(K122, K$112:$K$141)</f>
        <v>20</v>
      </c>
      <c r="N122" s="635"/>
      <c r="O122" s="635"/>
      <c r="P122" s="388">
        <v>4</v>
      </c>
      <c r="Q122" s="388">
        <v>2767.1186440677993</v>
      </c>
      <c r="R122" s="388">
        <v>691.77966101694983</v>
      </c>
      <c r="S122" s="555">
        <f t="shared" si="28"/>
        <v>19</v>
      </c>
      <c r="T122" s="648"/>
      <c r="U122" s="388">
        <v>4</v>
      </c>
      <c r="V122" s="388">
        <v>2799.3103448275883</v>
      </c>
      <c r="W122" s="388">
        <v>699.82758620689708</v>
      </c>
      <c r="X122" s="555">
        <f t="shared" si="30"/>
        <v>19</v>
      </c>
      <c r="Y122" s="648"/>
      <c r="Z122" s="388">
        <v>4</v>
      </c>
      <c r="AA122" s="388">
        <v>2817.8947368421036</v>
      </c>
      <c r="AB122" s="388">
        <v>704.4736842105259</v>
      </c>
      <c r="AC122" s="555">
        <f t="shared" si="32"/>
        <v>21</v>
      </c>
      <c r="AD122" s="648"/>
      <c r="AE122" s="388">
        <v>4</v>
      </c>
      <c r="AF122" s="388">
        <v>2840.3999999999965</v>
      </c>
      <c r="AG122" s="388">
        <v>710.09999999999911</v>
      </c>
      <c r="AH122" s="555">
        <f t="shared" si="34"/>
        <v>21</v>
      </c>
      <c r="AI122" s="648"/>
      <c r="AJ122" s="388">
        <v>4</v>
      </c>
      <c r="AK122" s="388">
        <v>2790.0000000000018</v>
      </c>
      <c r="AL122" s="388">
        <v>697.50000000000045</v>
      </c>
      <c r="AM122" s="555">
        <f t="shared" si="36"/>
        <v>20</v>
      </c>
      <c r="AN122" s="648"/>
      <c r="AO122" s="388">
        <v>4</v>
      </c>
      <c r="AP122" s="388">
        <v>2834.9999999999986</v>
      </c>
      <c r="AQ122" s="388">
        <v>708.74999999999966</v>
      </c>
      <c r="AR122" s="555">
        <f t="shared" si="38"/>
        <v>20</v>
      </c>
      <c r="AS122" s="648"/>
      <c r="AT122" s="388">
        <v>4</v>
      </c>
      <c r="AU122" s="388">
        <v>3070.9090909090928</v>
      </c>
      <c r="AV122" s="388">
        <v>767.7272727272732</v>
      </c>
      <c r="AW122" s="555">
        <f t="shared" si="40"/>
        <v>16</v>
      </c>
      <c r="AX122" s="648"/>
      <c r="AZ122" s="376" t="e">
        <f t="shared" si="42"/>
        <v>#N/A</v>
      </c>
      <c r="BA122" s="648"/>
    </row>
    <row r="123" spans="2:53">
      <c r="B123" s="646"/>
      <c r="C123" s="287">
        <v>12</v>
      </c>
      <c r="D123" s="538" t="s">
        <v>574</v>
      </c>
      <c r="E123" s="201">
        <v>3</v>
      </c>
      <c r="F123" s="201">
        <v>2800</v>
      </c>
      <c r="G123" s="536">
        <v>933.33333333333337</v>
      </c>
      <c r="H123" s="648"/>
      <c r="I123" s="367">
        <f t="shared" si="44"/>
        <v>3</v>
      </c>
      <c r="J123" s="367">
        <f t="shared" si="45"/>
        <v>2801.2303391053388</v>
      </c>
      <c r="K123" s="199">
        <f t="shared" si="46"/>
        <v>933.74344636844648</v>
      </c>
      <c r="L123" s="617"/>
      <c r="M123" s="198">
        <f>RANK(K123, K$112:$K$141)</f>
        <v>10</v>
      </c>
      <c r="N123" s="635"/>
      <c r="O123" s="635"/>
      <c r="P123" s="388">
        <v>3</v>
      </c>
      <c r="Q123" s="388">
        <v>2797.4999999999964</v>
      </c>
      <c r="R123" s="388">
        <v>932.49999999999875</v>
      </c>
      <c r="S123" s="555">
        <f t="shared" si="28"/>
        <v>10</v>
      </c>
      <c r="T123" s="648"/>
      <c r="U123" s="388">
        <v>3</v>
      </c>
      <c r="V123" s="388">
        <v>2718.1818181818212</v>
      </c>
      <c r="W123" s="388">
        <v>906.06060606060703</v>
      </c>
      <c r="X123" s="555">
        <f t="shared" si="30"/>
        <v>8</v>
      </c>
      <c r="Y123" s="648"/>
      <c r="Z123" s="388">
        <v>3</v>
      </c>
      <c r="AA123" s="388">
        <v>2868.0000000000027</v>
      </c>
      <c r="AB123" s="388">
        <v>956.00000000000091</v>
      </c>
      <c r="AC123" s="555">
        <f t="shared" si="32"/>
        <v>10</v>
      </c>
      <c r="AD123" s="648"/>
      <c r="AE123" s="388">
        <v>3</v>
      </c>
      <c r="AF123" s="388">
        <v>2868.8888888888905</v>
      </c>
      <c r="AG123" s="388">
        <v>956.29629629629687</v>
      </c>
      <c r="AH123" s="555">
        <f t="shared" si="34"/>
        <v>9</v>
      </c>
      <c r="AI123" s="648"/>
      <c r="AJ123" s="388">
        <v>3</v>
      </c>
      <c r="AK123" s="388">
        <v>2766.6666666666683</v>
      </c>
      <c r="AL123" s="388">
        <v>922.22222222222274</v>
      </c>
      <c r="AM123" s="555">
        <f t="shared" si="36"/>
        <v>10</v>
      </c>
      <c r="AN123" s="648"/>
      <c r="AO123" s="388">
        <v>3</v>
      </c>
      <c r="AP123" s="388">
        <v>2810.6249999999964</v>
      </c>
      <c r="AQ123" s="388">
        <v>936.87499999999875</v>
      </c>
      <c r="AR123" s="555">
        <f t="shared" si="38"/>
        <v>9</v>
      </c>
      <c r="AS123" s="648"/>
      <c r="AT123" s="388">
        <v>3</v>
      </c>
      <c r="AU123" s="388">
        <v>2778.7499999999964</v>
      </c>
      <c r="AV123" s="388">
        <v>926.24999999999875</v>
      </c>
      <c r="AW123" s="555">
        <f t="shared" si="40"/>
        <v>9</v>
      </c>
      <c r="AX123" s="648"/>
      <c r="AZ123" s="376" t="e">
        <f t="shared" si="42"/>
        <v>#N/A</v>
      </c>
      <c r="BA123" s="648"/>
    </row>
    <row r="124" spans="2:53">
      <c r="B124" s="646"/>
      <c r="C124" s="287">
        <v>13</v>
      </c>
      <c r="D124" s="201" t="s">
        <v>575</v>
      </c>
      <c r="E124" s="201">
        <v>4</v>
      </c>
      <c r="F124" s="201">
        <v>2800</v>
      </c>
      <c r="G124" s="536">
        <v>700</v>
      </c>
      <c r="H124" s="648"/>
      <c r="I124" s="367">
        <f t="shared" si="44"/>
        <v>4</v>
      </c>
      <c r="J124" s="367">
        <f t="shared" si="45"/>
        <v>2689.8874822656367</v>
      </c>
      <c r="K124" s="199">
        <f t="shared" si="46"/>
        <v>672.47187056640917</v>
      </c>
      <c r="L124" s="617"/>
      <c r="M124" s="198">
        <f>RANK(K124, K$112:$K$141)</f>
        <v>21</v>
      </c>
      <c r="N124" s="635"/>
      <c r="O124" s="635"/>
      <c r="P124" s="388">
        <v>4</v>
      </c>
      <c r="Q124" s="388">
        <v>2724.7058823529505</v>
      </c>
      <c r="R124" s="388">
        <v>681.17647058823763</v>
      </c>
      <c r="S124" s="555">
        <f t="shared" si="28"/>
        <v>20</v>
      </c>
      <c r="T124" s="648"/>
      <c r="U124" s="388">
        <v>4</v>
      </c>
      <c r="V124" s="388">
        <v>2655.0000000000095</v>
      </c>
      <c r="W124" s="388">
        <v>663.75000000000239</v>
      </c>
      <c r="X124" s="555">
        <f t="shared" si="30"/>
        <v>20</v>
      </c>
      <c r="Y124" s="648"/>
      <c r="Z124" s="388">
        <v>4</v>
      </c>
      <c r="AA124" s="388">
        <v>2884.2857142857083</v>
      </c>
      <c r="AB124" s="388">
        <v>721.07142857142708</v>
      </c>
      <c r="AC124" s="555">
        <f t="shared" si="32"/>
        <v>20</v>
      </c>
      <c r="AD124" s="648"/>
      <c r="AE124" s="388">
        <v>4</v>
      </c>
      <c r="AF124" s="388">
        <v>2989.0909090908981</v>
      </c>
      <c r="AG124" s="388">
        <v>747.27272727272452</v>
      </c>
      <c r="AH124" s="555">
        <f t="shared" si="34"/>
        <v>19</v>
      </c>
      <c r="AI124" s="648"/>
      <c r="AJ124" s="388">
        <v>4</v>
      </c>
      <c r="AK124" s="388">
        <v>2787.272727272737</v>
      </c>
      <c r="AL124" s="388">
        <v>696.81818181818426</v>
      </c>
      <c r="AM124" s="555">
        <f t="shared" si="36"/>
        <v>21</v>
      </c>
      <c r="AN124" s="648"/>
      <c r="AO124" s="388">
        <v>4</v>
      </c>
      <c r="AP124" s="388">
        <v>2892.8571428571531</v>
      </c>
      <c r="AQ124" s="388">
        <v>723.21428571428828</v>
      </c>
      <c r="AR124" s="555">
        <f t="shared" si="38"/>
        <v>19</v>
      </c>
      <c r="AS124" s="648"/>
      <c r="AT124" s="388">
        <v>4</v>
      </c>
      <c r="AU124" s="388">
        <v>1895.9999999999993</v>
      </c>
      <c r="AV124" s="388">
        <v>473.99999999999983</v>
      </c>
      <c r="AW124" s="555">
        <f t="shared" si="40"/>
        <v>22</v>
      </c>
      <c r="AX124" s="648"/>
      <c r="AZ124" s="376" t="e">
        <f t="shared" si="42"/>
        <v>#N/A</v>
      </c>
      <c r="BA124" s="648"/>
    </row>
    <row r="125" spans="2:53">
      <c r="B125" s="646"/>
      <c r="C125" s="287">
        <v>14</v>
      </c>
      <c r="D125" s="201" t="s">
        <v>598</v>
      </c>
      <c r="E125" s="201">
        <v>4</v>
      </c>
      <c r="F125" s="201">
        <v>3200</v>
      </c>
      <c r="G125" s="536">
        <v>800</v>
      </c>
      <c r="H125" s="648"/>
      <c r="I125" s="367">
        <f t="shared" si="44"/>
        <v>4</v>
      </c>
      <c r="J125" s="367">
        <f t="shared" si="45"/>
        <v>3102.3469387755295</v>
      </c>
      <c r="K125" s="199">
        <f t="shared" si="46"/>
        <v>775.58673469388236</v>
      </c>
      <c r="L125" s="617"/>
      <c r="M125" s="198">
        <f>RANK(K125, K$112:$K$141)</f>
        <v>17</v>
      </c>
      <c r="N125" s="635"/>
      <c r="O125" s="635"/>
      <c r="P125" s="388">
        <v>4</v>
      </c>
      <c r="Q125" s="388">
        <v>2914.2857142856915</v>
      </c>
      <c r="R125" s="388">
        <v>728.57142857142287</v>
      </c>
      <c r="S125" s="555">
        <f t="shared" si="28"/>
        <v>18</v>
      </c>
      <c r="T125" s="648"/>
      <c r="U125" s="388">
        <v>4</v>
      </c>
      <c r="V125" s="388">
        <v>2957.1428571429014</v>
      </c>
      <c r="W125" s="388">
        <v>739.28571428572536</v>
      </c>
      <c r="X125" s="555">
        <f t="shared" si="30"/>
        <v>17</v>
      </c>
      <c r="Y125" s="648"/>
      <c r="Z125" s="388">
        <v>4</v>
      </c>
      <c r="AA125" s="388">
        <v>3130.0000000000109</v>
      </c>
      <c r="AB125" s="388">
        <v>782.50000000000273</v>
      </c>
      <c r="AC125" s="555">
        <f t="shared" si="32"/>
        <v>18</v>
      </c>
      <c r="AD125" s="648"/>
      <c r="AE125" s="388">
        <v>4</v>
      </c>
      <c r="AF125" s="388">
        <v>3480.0000000000123</v>
      </c>
      <c r="AG125" s="388">
        <v>870.00000000000307</v>
      </c>
      <c r="AH125" s="555">
        <f t="shared" si="34"/>
        <v>11</v>
      </c>
      <c r="AI125" s="648"/>
      <c r="AJ125" s="388">
        <v>4</v>
      </c>
      <c r="AK125" s="388">
        <v>2955.0000000000105</v>
      </c>
      <c r="AL125" s="388">
        <v>738.75000000000261</v>
      </c>
      <c r="AM125" s="555">
        <f t="shared" si="36"/>
        <v>18</v>
      </c>
      <c r="AN125" s="648"/>
      <c r="AO125" s="388">
        <v>4</v>
      </c>
      <c r="AP125" s="388">
        <v>3540.0000000000691</v>
      </c>
      <c r="AQ125" s="388">
        <v>885.00000000001728</v>
      </c>
      <c r="AR125" s="555">
        <f t="shared" si="38"/>
        <v>12</v>
      </c>
      <c r="AS125" s="648"/>
      <c r="AT125" s="388">
        <v>4</v>
      </c>
      <c r="AU125" s="388">
        <v>2740.0000000000095</v>
      </c>
      <c r="AV125" s="388">
        <v>685.00000000000239</v>
      </c>
      <c r="AW125" s="555">
        <f t="shared" si="40"/>
        <v>19</v>
      </c>
      <c r="AX125" s="648"/>
      <c r="AZ125" s="376" t="e">
        <f t="shared" si="42"/>
        <v>#N/A</v>
      </c>
      <c r="BA125" s="648"/>
    </row>
    <row r="126" spans="2:53">
      <c r="B126" s="646"/>
      <c r="C126" s="287">
        <v>15</v>
      </c>
      <c r="D126" s="538" t="s">
        <v>613</v>
      </c>
      <c r="E126" s="201">
        <v>3</v>
      </c>
      <c r="F126" s="201">
        <v>3200</v>
      </c>
      <c r="G126" s="536">
        <v>1066.6666666666667</v>
      </c>
      <c r="H126" s="648"/>
      <c r="I126" s="367">
        <f t="shared" si="44"/>
        <v>3</v>
      </c>
      <c r="J126" s="367">
        <f t="shared" si="45"/>
        <v>2895.4289989187032</v>
      </c>
      <c r="K126" s="199">
        <f t="shared" si="46"/>
        <v>965.14299963956785</v>
      </c>
      <c r="L126" s="617"/>
      <c r="M126" s="198">
        <f>RANK(K126, K$112:$K$141)</f>
        <v>9</v>
      </c>
      <c r="N126" s="635"/>
      <c r="O126" s="635"/>
      <c r="P126" s="388">
        <v>3</v>
      </c>
      <c r="Q126" s="388">
        <v>3101.5384615384633</v>
      </c>
      <c r="R126" s="388">
        <v>1033.8461538461545</v>
      </c>
      <c r="S126" s="555">
        <f t="shared" si="28"/>
        <v>7</v>
      </c>
      <c r="T126" s="648"/>
      <c r="U126" s="388">
        <v>3</v>
      </c>
      <c r="V126" s="388">
        <v>1057.1052631578962</v>
      </c>
      <c r="W126" s="388">
        <v>352.36842105263207</v>
      </c>
      <c r="X126" s="555">
        <f t="shared" si="30"/>
        <v>24</v>
      </c>
      <c r="Y126" s="648"/>
      <c r="Z126" s="388">
        <v>3</v>
      </c>
      <c r="AA126" s="388">
        <v>3260.0000000000009</v>
      </c>
      <c r="AB126" s="388">
        <v>1086.666666666667</v>
      </c>
      <c r="AC126" s="555">
        <f t="shared" si="32"/>
        <v>1</v>
      </c>
      <c r="AD126" s="648"/>
      <c r="AE126" s="388">
        <v>3</v>
      </c>
      <c r="AF126" s="388">
        <v>3287.3684210526153</v>
      </c>
      <c r="AG126" s="388">
        <v>1095.7894736842052</v>
      </c>
      <c r="AH126" s="555">
        <f t="shared" si="34"/>
        <v>4</v>
      </c>
      <c r="AI126" s="648"/>
      <c r="AJ126" s="388">
        <v>3</v>
      </c>
      <c r="AK126" s="388">
        <v>3138.9473684210639</v>
      </c>
      <c r="AL126" s="388">
        <v>1046.315789473688</v>
      </c>
      <c r="AM126" s="555">
        <f t="shared" si="36"/>
        <v>4</v>
      </c>
      <c r="AN126" s="648"/>
      <c r="AO126" s="388">
        <v>3</v>
      </c>
      <c r="AP126" s="388">
        <v>3313.0434782608813</v>
      </c>
      <c r="AQ126" s="388">
        <v>1104.3478260869604</v>
      </c>
      <c r="AR126" s="555">
        <f t="shared" si="38"/>
        <v>2</v>
      </c>
      <c r="AS126" s="648"/>
      <c r="AT126" s="388">
        <v>3</v>
      </c>
      <c r="AU126" s="388">
        <v>3110.0000000000009</v>
      </c>
      <c r="AV126" s="388">
        <v>1036.666666666667</v>
      </c>
      <c r="AW126" s="555">
        <f t="shared" si="40"/>
        <v>6</v>
      </c>
      <c r="AX126" s="648"/>
      <c r="AZ126" s="376" t="e">
        <f t="shared" si="42"/>
        <v>#N/A</v>
      </c>
      <c r="BA126" s="648"/>
    </row>
    <row r="127" spans="2:53">
      <c r="B127" s="646"/>
      <c r="C127" s="287">
        <v>16</v>
      </c>
      <c r="D127" s="201" t="s">
        <v>618</v>
      </c>
      <c r="E127" s="201">
        <v>3</v>
      </c>
      <c r="F127" s="201">
        <v>3200</v>
      </c>
      <c r="G127" s="536">
        <v>1066.6666666666667</v>
      </c>
      <c r="H127" s="648"/>
      <c r="I127" s="367">
        <f t="shared" si="44"/>
        <v>3</v>
      </c>
      <c r="J127" s="367">
        <f t="shared" si="45"/>
        <v>3174.7393086789384</v>
      </c>
      <c r="K127" s="199">
        <f t="shared" si="46"/>
        <v>1058.2464362263129</v>
      </c>
      <c r="L127" s="617"/>
      <c r="M127" s="198">
        <f>RANK(K127, K$112:$K$141)</f>
        <v>5</v>
      </c>
      <c r="N127" s="635"/>
      <c r="O127" s="635"/>
      <c r="P127" s="388">
        <v>3</v>
      </c>
      <c r="Q127" s="388">
        <v>3107.3684210526162</v>
      </c>
      <c r="R127" s="388">
        <v>1035.7894736842054</v>
      </c>
      <c r="S127" s="555">
        <f t="shared" si="28"/>
        <v>6</v>
      </c>
      <c r="T127" s="648"/>
      <c r="U127" s="388">
        <v>3</v>
      </c>
      <c r="V127" s="388">
        <v>3126.3157894736692</v>
      </c>
      <c r="W127" s="388">
        <v>1042.1052631578898</v>
      </c>
      <c r="X127" s="555">
        <f t="shared" si="30"/>
        <v>4</v>
      </c>
      <c r="Y127" s="648"/>
      <c r="Z127" s="388">
        <v>3</v>
      </c>
      <c r="AA127" s="388">
        <v>3222.3529411764821</v>
      </c>
      <c r="AB127" s="388">
        <v>1074.1176470588273</v>
      </c>
      <c r="AC127" s="555">
        <f t="shared" si="32"/>
        <v>7</v>
      </c>
      <c r="AD127" s="648"/>
      <c r="AE127" s="388">
        <v>3</v>
      </c>
      <c r="AF127" s="388">
        <v>3378.4615384615504</v>
      </c>
      <c r="AG127" s="388">
        <v>1126.1538461538501</v>
      </c>
      <c r="AH127" s="555">
        <f t="shared" si="34"/>
        <v>1</v>
      </c>
      <c r="AI127" s="648"/>
      <c r="AJ127" s="388">
        <v>3</v>
      </c>
      <c r="AK127" s="388">
        <v>3000.0000000000105</v>
      </c>
      <c r="AL127" s="388">
        <v>1000.0000000000035</v>
      </c>
      <c r="AM127" s="555">
        <f t="shared" si="36"/>
        <v>8</v>
      </c>
      <c r="AN127" s="648"/>
      <c r="AO127" s="388">
        <v>3</v>
      </c>
      <c r="AP127" s="388">
        <v>3367.5000000000118</v>
      </c>
      <c r="AQ127" s="388">
        <v>1122.5000000000039</v>
      </c>
      <c r="AR127" s="555">
        <f t="shared" si="38"/>
        <v>1</v>
      </c>
      <c r="AS127" s="648"/>
      <c r="AT127" s="388">
        <v>3</v>
      </c>
      <c r="AU127" s="388">
        <v>3021.1764705882315</v>
      </c>
      <c r="AV127" s="388">
        <v>1007.0588235294105</v>
      </c>
      <c r="AW127" s="555">
        <f t="shared" si="40"/>
        <v>7</v>
      </c>
      <c r="AX127" s="648"/>
      <c r="AZ127" s="376" t="e">
        <f t="shared" si="42"/>
        <v>#N/A</v>
      </c>
      <c r="BA127" s="648"/>
    </row>
    <row r="128" spans="2:53">
      <c r="B128" s="646"/>
      <c r="C128" s="287">
        <v>17</v>
      </c>
      <c r="D128" s="201" t="s">
        <v>625</v>
      </c>
      <c r="E128" s="201">
        <v>3</v>
      </c>
      <c r="F128" s="201">
        <v>3200</v>
      </c>
      <c r="G128" s="536">
        <v>1066.6666666666667</v>
      </c>
      <c r="H128" s="648"/>
      <c r="I128" s="367">
        <f t="shared" si="44"/>
        <v>3</v>
      </c>
      <c r="J128" s="367">
        <f t="shared" si="45"/>
        <v>2897.6662188386285</v>
      </c>
      <c r="K128" s="199">
        <f t="shared" si="46"/>
        <v>965.88873961287629</v>
      </c>
      <c r="L128" s="617"/>
      <c r="M128" s="198">
        <f>RANK(K128, K$112:$K$141)</f>
        <v>8</v>
      </c>
      <c r="N128" s="635"/>
      <c r="O128" s="635"/>
      <c r="P128" s="388">
        <v>3</v>
      </c>
      <c r="Q128" s="388">
        <v>2997.9310344827609</v>
      </c>
      <c r="R128" s="388">
        <v>999.31034482758696</v>
      </c>
      <c r="S128" s="555">
        <f t="shared" si="28"/>
        <v>9</v>
      </c>
      <c r="T128" s="648"/>
      <c r="U128" s="388">
        <v>3</v>
      </c>
      <c r="V128" s="388">
        <v>2993.7931034482704</v>
      </c>
      <c r="W128" s="388">
        <v>997.93103448275679</v>
      </c>
      <c r="X128" s="555">
        <f t="shared" si="30"/>
        <v>7</v>
      </c>
      <c r="Y128" s="648"/>
      <c r="Z128" s="388">
        <v>3</v>
      </c>
      <c r="AA128" s="388">
        <v>3104.4444444444371</v>
      </c>
      <c r="AB128" s="388">
        <v>1034.8148148148123</v>
      </c>
      <c r="AC128" s="555">
        <f t="shared" si="32"/>
        <v>9</v>
      </c>
      <c r="AD128" s="648"/>
      <c r="AE128" s="388">
        <v>3</v>
      </c>
      <c r="AF128" s="388">
        <v>2247.9999999999959</v>
      </c>
      <c r="AG128" s="388">
        <v>749.33333333333201</v>
      </c>
      <c r="AH128" s="555">
        <f t="shared" si="34"/>
        <v>18</v>
      </c>
      <c r="AI128" s="648"/>
      <c r="AJ128" s="388">
        <v>3</v>
      </c>
      <c r="AK128" s="388">
        <v>2877.272727272727</v>
      </c>
      <c r="AL128" s="388">
        <v>959.09090909090901</v>
      </c>
      <c r="AM128" s="555">
        <f t="shared" si="36"/>
        <v>9</v>
      </c>
      <c r="AN128" s="648"/>
      <c r="AO128" s="388">
        <v>3</v>
      </c>
      <c r="AP128" s="388">
        <v>3095.5555555555479</v>
      </c>
      <c r="AQ128" s="388">
        <v>1031.8518518518492</v>
      </c>
      <c r="AR128" s="555">
        <f t="shared" si="38"/>
        <v>8</v>
      </c>
      <c r="AS128" s="648"/>
      <c r="AT128" s="388">
        <v>3</v>
      </c>
      <c r="AU128" s="388">
        <v>2966.6666666666597</v>
      </c>
      <c r="AV128" s="388">
        <v>988.88888888888653</v>
      </c>
      <c r="AW128" s="555">
        <f t="shared" si="40"/>
        <v>8</v>
      </c>
      <c r="AX128" s="648"/>
      <c r="AZ128" s="376" t="e">
        <f t="shared" si="42"/>
        <v>#N/A</v>
      </c>
      <c r="BA128" s="648"/>
    </row>
    <row r="129" spans="2:53">
      <c r="B129" s="646"/>
      <c r="C129" s="287">
        <v>18</v>
      </c>
      <c r="D129" s="538" t="s">
        <v>742</v>
      </c>
      <c r="E129" s="201">
        <v>4</v>
      </c>
      <c r="F129" s="201">
        <v>3200</v>
      </c>
      <c r="G129" s="536">
        <v>800</v>
      </c>
      <c r="H129" s="648"/>
      <c r="I129" s="367">
        <f t="shared" si="44"/>
        <v>4</v>
      </c>
      <c r="J129" s="367">
        <f t="shared" si="45"/>
        <v>3193.4396245122621</v>
      </c>
      <c r="K129" s="199">
        <f t="shared" si="46"/>
        <v>798.35990612806552</v>
      </c>
      <c r="L129" s="617"/>
      <c r="M129" s="198">
        <f>RANK(K129, K$112:$K$141)</f>
        <v>15</v>
      </c>
      <c r="N129" s="635"/>
      <c r="O129" s="635"/>
      <c r="P129" s="388">
        <v>4</v>
      </c>
      <c r="Q129" s="388">
        <v>3161.8867924528317</v>
      </c>
      <c r="R129" s="388">
        <v>790.47169811320794</v>
      </c>
      <c r="S129" s="555">
        <f t="shared" si="28"/>
        <v>14</v>
      </c>
      <c r="T129" s="648"/>
      <c r="U129" s="388">
        <v>4</v>
      </c>
      <c r="V129" s="388">
        <v>3177.6470588235306</v>
      </c>
      <c r="W129" s="388">
        <v>794.41176470588266</v>
      </c>
      <c r="X129" s="555">
        <f t="shared" si="30"/>
        <v>11</v>
      </c>
      <c r="Y129" s="648"/>
      <c r="Z129" s="388">
        <v>4</v>
      </c>
      <c r="AA129" s="388">
        <v>3269.36170212766</v>
      </c>
      <c r="AB129" s="388">
        <v>817.340425531915</v>
      </c>
      <c r="AC129" s="555">
        <f t="shared" si="32"/>
        <v>14</v>
      </c>
      <c r="AD129" s="648"/>
      <c r="AE129" s="388">
        <v>4</v>
      </c>
      <c r="AF129" s="388">
        <v>3248.181818181818</v>
      </c>
      <c r="AG129" s="388">
        <v>812.0454545454545</v>
      </c>
      <c r="AH129" s="555">
        <f t="shared" si="34"/>
        <v>15</v>
      </c>
      <c r="AI129" s="648"/>
      <c r="AJ129" s="388">
        <v>4</v>
      </c>
      <c r="AK129" s="388">
        <v>3157.7142857142826</v>
      </c>
      <c r="AL129" s="388">
        <v>789.42857142857065</v>
      </c>
      <c r="AM129" s="555">
        <f t="shared" si="36"/>
        <v>14</v>
      </c>
      <c r="AN129" s="648"/>
      <c r="AO129" s="388">
        <v>4</v>
      </c>
      <c r="AP129" s="388">
        <v>3204.2857142857069</v>
      </c>
      <c r="AQ129" s="388">
        <v>801.07142857142674</v>
      </c>
      <c r="AR129" s="555">
        <f t="shared" si="38"/>
        <v>17</v>
      </c>
      <c r="AS129" s="648"/>
      <c r="AT129" s="388">
        <v>4</v>
      </c>
      <c r="AU129" s="388">
        <v>3135.000000000005</v>
      </c>
      <c r="AV129" s="388">
        <v>783.75000000000125</v>
      </c>
      <c r="AW129" s="555">
        <f t="shared" si="40"/>
        <v>14</v>
      </c>
      <c r="AX129" s="648"/>
      <c r="AZ129" s="376" t="e">
        <f t="shared" si="42"/>
        <v>#N/A</v>
      </c>
      <c r="BA129" s="648"/>
    </row>
    <row r="130" spans="2:53">
      <c r="B130" s="646"/>
      <c r="C130" s="287">
        <v>19</v>
      </c>
      <c r="D130" s="538" t="s">
        <v>571</v>
      </c>
      <c r="E130" s="201">
        <v>4</v>
      </c>
      <c r="F130" s="201">
        <v>2800</v>
      </c>
      <c r="G130" s="536">
        <v>700</v>
      </c>
      <c r="H130" s="648"/>
      <c r="I130" s="367">
        <f t="shared" si="44"/>
        <v>4</v>
      </c>
      <c r="J130" s="367">
        <f t="shared" si="45"/>
        <v>2863.3714285714277</v>
      </c>
      <c r="K130" s="199">
        <f t="shared" si="46"/>
        <v>715.84285714285693</v>
      </c>
      <c r="L130" s="617"/>
      <c r="M130" s="198">
        <f>RANK(K130, K$112:$K$141)</f>
        <v>19</v>
      </c>
      <c r="N130" s="635"/>
      <c r="O130" s="635"/>
      <c r="P130" s="388">
        <v>4</v>
      </c>
      <c r="Q130" s="388">
        <v>2615.9999999999923</v>
      </c>
      <c r="R130" s="388">
        <v>653.99999999999807</v>
      </c>
      <c r="S130" s="555">
        <f t="shared" si="28"/>
        <v>21</v>
      </c>
      <c r="T130" s="648"/>
      <c r="U130" s="388">
        <v>4</v>
      </c>
      <c r="V130" s="388">
        <v>3197.9999999999859</v>
      </c>
      <c r="W130" s="388">
        <v>799.49999999999648</v>
      </c>
      <c r="X130" s="555">
        <f t="shared" si="30"/>
        <v>10</v>
      </c>
      <c r="Y130" s="648"/>
      <c r="Z130" s="388">
        <v>4</v>
      </c>
      <c r="AA130" s="388">
        <v>3057.0000000000109</v>
      </c>
      <c r="AB130" s="388">
        <v>764.25000000000273</v>
      </c>
      <c r="AC130" s="555">
        <f t="shared" si="32"/>
        <v>19</v>
      </c>
      <c r="AD130" s="648"/>
      <c r="AE130" s="388">
        <v>4</v>
      </c>
      <c r="AF130" s="388">
        <v>2946.0000000000105</v>
      </c>
      <c r="AG130" s="388">
        <v>736.50000000000261</v>
      </c>
      <c r="AH130" s="555">
        <f t="shared" si="34"/>
        <v>20</v>
      </c>
      <c r="AI130" s="648"/>
      <c r="AJ130" s="388">
        <v>4</v>
      </c>
      <c r="AK130" s="388">
        <v>3069.0000000000109</v>
      </c>
      <c r="AL130" s="388">
        <v>767.25000000000273</v>
      </c>
      <c r="AM130" s="555">
        <f t="shared" si="36"/>
        <v>16</v>
      </c>
      <c r="AN130" s="648"/>
      <c r="AO130" s="388">
        <v>4</v>
      </c>
      <c r="AP130" s="388">
        <v>2567.9999999999927</v>
      </c>
      <c r="AQ130" s="388">
        <v>641.99999999999818</v>
      </c>
      <c r="AR130" s="555">
        <f t="shared" si="38"/>
        <v>21</v>
      </c>
      <c r="AS130" s="648"/>
      <c r="AT130" s="388">
        <v>4</v>
      </c>
      <c r="AU130" s="388">
        <v>2589.5999999999926</v>
      </c>
      <c r="AV130" s="388">
        <v>647.39999999999816</v>
      </c>
      <c r="AW130" s="555">
        <f t="shared" si="40"/>
        <v>20</v>
      </c>
      <c r="AX130" s="648"/>
      <c r="AZ130" s="376" t="e">
        <f t="shared" si="42"/>
        <v>#N/A</v>
      </c>
      <c r="BA130" s="648"/>
    </row>
    <row r="131" spans="2:53">
      <c r="B131" s="646"/>
      <c r="C131" s="287">
        <v>20</v>
      </c>
      <c r="D131" s="538" t="s">
        <v>572</v>
      </c>
      <c r="E131" s="201">
        <v>3</v>
      </c>
      <c r="F131" s="201">
        <v>2800</v>
      </c>
      <c r="G131" s="536">
        <v>933.33333333333337</v>
      </c>
      <c r="H131" s="648"/>
      <c r="I131" s="367">
        <f t="shared" si="44"/>
        <v>3</v>
      </c>
      <c r="J131" s="367">
        <f t="shared" si="45"/>
        <v>2951.5714285714171</v>
      </c>
      <c r="K131" s="199">
        <f t="shared" si="46"/>
        <v>983.85714285713925</v>
      </c>
      <c r="L131" s="617"/>
      <c r="M131" s="198">
        <f>RANK(K131, K$112:$K$141)</f>
        <v>7</v>
      </c>
      <c r="N131" s="635"/>
      <c r="O131" s="635"/>
      <c r="P131" s="388">
        <v>3</v>
      </c>
      <c r="Q131" s="388">
        <v>3350.999999999985</v>
      </c>
      <c r="R131" s="388">
        <v>1116.999999999995</v>
      </c>
      <c r="S131" s="555">
        <f t="shared" si="28"/>
        <v>1</v>
      </c>
      <c r="T131" s="648"/>
      <c r="U131" s="388">
        <v>3</v>
      </c>
      <c r="V131" s="388">
        <v>2659.1999999999925</v>
      </c>
      <c r="W131" s="388">
        <v>886.39999999999748</v>
      </c>
      <c r="X131" s="555">
        <f t="shared" si="30"/>
        <v>9</v>
      </c>
      <c r="Y131" s="648"/>
      <c r="Z131" s="388">
        <v>3</v>
      </c>
      <c r="AA131" s="388">
        <v>3125.9999999999859</v>
      </c>
      <c r="AB131" s="388">
        <v>1041.9999999999952</v>
      </c>
      <c r="AC131" s="555">
        <f t="shared" si="32"/>
        <v>8</v>
      </c>
      <c r="AD131" s="648"/>
      <c r="AE131" s="388">
        <v>3</v>
      </c>
      <c r="AF131" s="388">
        <v>2957.9999999999873</v>
      </c>
      <c r="AG131" s="388">
        <v>985.99999999999579</v>
      </c>
      <c r="AH131" s="555">
        <f t="shared" si="34"/>
        <v>8</v>
      </c>
      <c r="AI131" s="648"/>
      <c r="AJ131" s="388">
        <v>3</v>
      </c>
      <c r="AK131" s="388">
        <v>3137.9999999999864</v>
      </c>
      <c r="AL131" s="388">
        <v>1045.9999999999955</v>
      </c>
      <c r="AM131" s="555">
        <f t="shared" si="36"/>
        <v>5</v>
      </c>
      <c r="AN131" s="648"/>
      <c r="AO131" s="388">
        <v>3</v>
      </c>
      <c r="AP131" s="388">
        <v>2774.3999999999919</v>
      </c>
      <c r="AQ131" s="388">
        <v>924.79999999999734</v>
      </c>
      <c r="AR131" s="555">
        <f t="shared" si="38"/>
        <v>10</v>
      </c>
      <c r="AS131" s="648"/>
      <c r="AT131" s="388">
        <v>3</v>
      </c>
      <c r="AU131" s="388">
        <v>2654.3999999999924</v>
      </c>
      <c r="AV131" s="388">
        <v>884.79999999999745</v>
      </c>
      <c r="AW131" s="555">
        <f t="shared" si="40"/>
        <v>10</v>
      </c>
      <c r="AX131" s="648"/>
      <c r="AZ131" s="376" t="e">
        <f t="shared" si="42"/>
        <v>#N/A</v>
      </c>
      <c r="BA131" s="648"/>
    </row>
    <row r="132" spans="2:53">
      <c r="B132" s="646"/>
      <c r="C132" s="287">
        <v>21</v>
      </c>
      <c r="D132" s="538" t="s">
        <v>573</v>
      </c>
      <c r="E132" s="201">
        <v>4</v>
      </c>
      <c r="F132" s="201">
        <v>2200</v>
      </c>
      <c r="G132" s="536">
        <v>550</v>
      </c>
      <c r="H132" s="648"/>
      <c r="I132" s="367">
        <f t="shared" si="44"/>
        <v>3</v>
      </c>
      <c r="J132" s="367">
        <f t="shared" si="45"/>
        <v>2260.4489795918389</v>
      </c>
      <c r="K132" s="199">
        <f t="shared" si="46"/>
        <v>753.4829931972796</v>
      </c>
      <c r="L132" s="617"/>
      <c r="M132" s="198">
        <f>RANK(K132, K$112:$K$141)</f>
        <v>18</v>
      </c>
      <c r="N132" s="635"/>
      <c r="O132" s="635"/>
      <c r="P132" s="440">
        <v>3</v>
      </c>
      <c r="Q132" s="388">
        <v>2235.4285714285688</v>
      </c>
      <c r="R132" s="388">
        <v>745.14285714285631</v>
      </c>
      <c r="S132" s="555">
        <f t="shared" si="28"/>
        <v>16</v>
      </c>
      <c r="T132" s="648"/>
      <c r="U132" s="440">
        <v>3</v>
      </c>
      <c r="V132" s="388">
        <v>2166.8571428571408</v>
      </c>
      <c r="W132" s="388">
        <v>722.28571428571365</v>
      </c>
      <c r="X132" s="555">
        <f t="shared" si="30"/>
        <v>18</v>
      </c>
      <c r="Y132" s="648"/>
      <c r="Z132" s="440">
        <v>3</v>
      </c>
      <c r="AA132" s="388">
        <v>2354.0000000000082</v>
      </c>
      <c r="AB132" s="388">
        <v>784.66666666666936</v>
      </c>
      <c r="AC132" s="555">
        <f t="shared" si="32"/>
        <v>17</v>
      </c>
      <c r="AD132" s="648"/>
      <c r="AE132" s="440">
        <v>3</v>
      </c>
      <c r="AF132" s="388">
        <v>2254.0000000000077</v>
      </c>
      <c r="AG132" s="388">
        <v>751.33333333333587</v>
      </c>
      <c r="AH132" s="555">
        <f t="shared" si="34"/>
        <v>17</v>
      </c>
      <c r="AI132" s="648"/>
      <c r="AJ132" s="440">
        <v>3</v>
      </c>
      <c r="AK132" s="388">
        <v>2354.0000000000082</v>
      </c>
      <c r="AL132" s="388">
        <v>784.66666666666936</v>
      </c>
      <c r="AM132" s="555">
        <f t="shared" si="36"/>
        <v>15</v>
      </c>
      <c r="AN132" s="648"/>
      <c r="AO132" s="440">
        <v>3</v>
      </c>
      <c r="AP132" s="388">
        <v>2252.5714285714262</v>
      </c>
      <c r="AQ132" s="388">
        <v>750.85714285714209</v>
      </c>
      <c r="AR132" s="555">
        <f t="shared" si="38"/>
        <v>18</v>
      </c>
      <c r="AS132" s="648"/>
      <c r="AT132" s="440">
        <v>3</v>
      </c>
      <c r="AU132" s="388">
        <v>2206.2857142857124</v>
      </c>
      <c r="AV132" s="388">
        <v>735.42857142857076</v>
      </c>
      <c r="AW132" s="555">
        <f t="shared" si="40"/>
        <v>18</v>
      </c>
      <c r="AX132" s="648"/>
      <c r="AZ132" s="376" t="e">
        <f t="shared" si="42"/>
        <v>#N/A</v>
      </c>
      <c r="BA132" s="648"/>
    </row>
    <row r="133" spans="2:53">
      <c r="B133" s="646"/>
      <c r="C133" s="287">
        <v>22</v>
      </c>
      <c r="D133" s="538" t="s">
        <v>644</v>
      </c>
      <c r="E133" s="201">
        <v>4</v>
      </c>
      <c r="F133" s="201">
        <v>2200</v>
      </c>
      <c r="G133" s="536">
        <v>550</v>
      </c>
      <c r="H133" s="648"/>
      <c r="I133" s="367">
        <f t="shared" si="44"/>
        <v>4</v>
      </c>
      <c r="J133" s="367">
        <f t="shared" si="45"/>
        <v>2199.5816326530635</v>
      </c>
      <c r="K133" s="199">
        <f t="shared" si="46"/>
        <v>549.89540816326587</v>
      </c>
      <c r="L133" s="617"/>
      <c r="M133" s="198">
        <f>RANK(K133, K$112:$K$141)</f>
        <v>22</v>
      </c>
      <c r="N133" s="635"/>
      <c r="O133" s="635"/>
      <c r="P133" s="440">
        <v>4</v>
      </c>
      <c r="Q133" s="388">
        <v>2209.4999999999991</v>
      </c>
      <c r="R133" s="388">
        <v>552.37499999999977</v>
      </c>
      <c r="S133" s="555">
        <f t="shared" si="28"/>
        <v>22</v>
      </c>
      <c r="T133" s="648"/>
      <c r="U133" s="440">
        <v>4</v>
      </c>
      <c r="V133" s="388">
        <v>2162.9999999999995</v>
      </c>
      <c r="W133" s="388">
        <v>540.74999999999989</v>
      </c>
      <c r="X133" s="555">
        <f t="shared" si="30"/>
        <v>21</v>
      </c>
      <c r="Y133" s="648"/>
      <c r="Z133" s="440">
        <v>4</v>
      </c>
      <c r="AA133" s="388">
        <v>2232.0000000000082</v>
      </c>
      <c r="AB133" s="388">
        <v>558.00000000000205</v>
      </c>
      <c r="AC133" s="555">
        <f t="shared" si="32"/>
        <v>22</v>
      </c>
      <c r="AD133" s="648"/>
      <c r="AE133" s="440">
        <v>4</v>
      </c>
      <c r="AF133" s="388">
        <v>2127.4285714285788</v>
      </c>
      <c r="AG133" s="388">
        <v>531.85714285714471</v>
      </c>
      <c r="AH133" s="555">
        <f t="shared" si="34"/>
        <v>22</v>
      </c>
      <c r="AI133" s="648"/>
      <c r="AJ133" s="440">
        <v>4</v>
      </c>
      <c r="AK133" s="388">
        <v>2100.0000000000077</v>
      </c>
      <c r="AL133" s="388">
        <v>525.00000000000193</v>
      </c>
      <c r="AM133" s="555">
        <f t="shared" si="36"/>
        <v>22</v>
      </c>
      <c r="AN133" s="648"/>
      <c r="AO133" s="440">
        <v>4</v>
      </c>
      <c r="AP133" s="388">
        <v>2319.4285714285688</v>
      </c>
      <c r="AQ133" s="388">
        <v>579.85714285714221</v>
      </c>
      <c r="AR133" s="555">
        <f t="shared" si="38"/>
        <v>22</v>
      </c>
      <c r="AS133" s="648"/>
      <c r="AT133" s="440">
        <v>4</v>
      </c>
      <c r="AU133" s="388">
        <v>2245.7142857142835</v>
      </c>
      <c r="AV133" s="388">
        <v>561.42857142857088</v>
      </c>
      <c r="AW133" s="555">
        <f t="shared" si="40"/>
        <v>21</v>
      </c>
      <c r="AX133" s="648"/>
      <c r="AZ133" s="376" t="e">
        <f t="shared" si="42"/>
        <v>#N/A</v>
      </c>
      <c r="BA133" s="648"/>
    </row>
    <row r="134" spans="2:53">
      <c r="B134" s="646"/>
      <c r="C134" s="287">
        <v>23</v>
      </c>
      <c r="D134" s="201" t="s">
        <v>647</v>
      </c>
      <c r="E134" s="201">
        <v>5</v>
      </c>
      <c r="F134" s="201">
        <v>2200</v>
      </c>
      <c r="G134" s="536">
        <v>333.33333333333331</v>
      </c>
      <c r="H134" s="648"/>
      <c r="I134" s="367">
        <f t="shared" si="44"/>
        <v>5</v>
      </c>
      <c r="J134" s="367">
        <f t="shared" si="45"/>
        <v>1869.1703154946233</v>
      </c>
      <c r="K134" s="199">
        <f t="shared" si="46"/>
        <v>373.83406309892462</v>
      </c>
      <c r="L134" s="617"/>
      <c r="M134" s="198">
        <f>RANK(K134, K$112:$K$141)</f>
        <v>23</v>
      </c>
      <c r="N134" s="635"/>
      <c r="O134" s="635"/>
      <c r="P134" s="440">
        <v>5</v>
      </c>
      <c r="Q134" s="388">
        <v>1954.7368421052702</v>
      </c>
      <c r="R134" s="388">
        <v>390.94736842105402</v>
      </c>
      <c r="S134" s="555">
        <f t="shared" si="28"/>
        <v>23</v>
      </c>
      <c r="T134" s="648"/>
      <c r="U134" s="440">
        <v>5</v>
      </c>
      <c r="V134" s="388">
        <v>1942.1052631579018</v>
      </c>
      <c r="W134" s="388">
        <v>388.42105263158038</v>
      </c>
      <c r="X134" s="555">
        <f t="shared" si="30"/>
        <v>22</v>
      </c>
      <c r="Y134" s="648"/>
      <c r="Z134" s="440">
        <v>5</v>
      </c>
      <c r="AA134" s="388">
        <v>1746.3157894736903</v>
      </c>
      <c r="AB134" s="388">
        <v>349.26315789473807</v>
      </c>
      <c r="AC134" s="555">
        <f t="shared" si="32"/>
        <v>24</v>
      </c>
      <c r="AD134" s="648"/>
      <c r="AE134" s="440">
        <v>5</v>
      </c>
      <c r="AF134" s="388">
        <v>1804.0000000000064</v>
      </c>
      <c r="AG134" s="388">
        <v>360.80000000000126</v>
      </c>
      <c r="AH134" s="555">
        <f t="shared" si="34"/>
        <v>23</v>
      </c>
      <c r="AI134" s="648"/>
      <c r="AJ134" s="440">
        <v>5</v>
      </c>
      <c r="AK134" s="388">
        <v>1826.2500000000064</v>
      </c>
      <c r="AL134" s="388">
        <v>365.25000000000125</v>
      </c>
      <c r="AM134" s="555">
        <f t="shared" si="36"/>
        <v>24</v>
      </c>
      <c r="AN134" s="648"/>
      <c r="AO134" s="440">
        <v>5</v>
      </c>
      <c r="AP134" s="388">
        <v>1876.6666666666567</v>
      </c>
      <c r="AQ134" s="388">
        <v>375.33333333333132</v>
      </c>
      <c r="AR134" s="555">
        <f t="shared" si="38"/>
        <v>23</v>
      </c>
      <c r="AS134" s="648"/>
      <c r="AT134" s="440">
        <v>5</v>
      </c>
      <c r="AU134" s="388">
        <v>1934.1176470588302</v>
      </c>
      <c r="AV134" s="388">
        <v>386.82352941176606</v>
      </c>
      <c r="AW134" s="555">
        <f t="shared" si="40"/>
        <v>23</v>
      </c>
      <c r="AX134" s="648"/>
      <c r="AZ134" s="376" t="e">
        <f t="shared" si="42"/>
        <v>#N/A</v>
      </c>
      <c r="BA134" s="648"/>
    </row>
    <row r="135" spans="2:53">
      <c r="B135" s="646"/>
      <c r="C135" s="287">
        <v>24</v>
      </c>
      <c r="D135" s="538" t="s">
        <v>648</v>
      </c>
      <c r="E135" s="201">
        <v>5</v>
      </c>
      <c r="F135" s="201">
        <v>2200</v>
      </c>
      <c r="G135" s="536">
        <v>333.33333333333331</v>
      </c>
      <c r="H135" s="648"/>
      <c r="I135" s="367">
        <f t="shared" si="44"/>
        <v>5</v>
      </c>
      <c r="J135" s="367">
        <f t="shared" si="45"/>
        <v>1823.7924540445565</v>
      </c>
      <c r="K135" s="199">
        <f t="shared" si="46"/>
        <v>364.75849080891129</v>
      </c>
      <c r="L135" s="617"/>
      <c r="M135" s="198">
        <f>RANK(K135, K$112:$K$141)</f>
        <v>24</v>
      </c>
      <c r="N135" s="635"/>
      <c r="O135" s="635"/>
      <c r="P135" s="440">
        <v>5</v>
      </c>
      <c r="Q135" s="556">
        <v>1833.3333333333399</v>
      </c>
      <c r="R135" s="556">
        <v>366.66666666666799</v>
      </c>
      <c r="S135" s="555">
        <f t="shared" si="28"/>
        <v>24</v>
      </c>
      <c r="T135" s="648"/>
      <c r="U135" s="440">
        <v>5</v>
      </c>
      <c r="V135" s="388">
        <v>1856.4705882352657</v>
      </c>
      <c r="W135" s="388">
        <v>371.29411764705316</v>
      </c>
      <c r="X135" s="555">
        <f t="shared" si="30"/>
        <v>23</v>
      </c>
      <c r="Y135" s="648"/>
      <c r="Z135" s="440">
        <v>5</v>
      </c>
      <c r="AA135" s="556">
        <v>1778.571428571435</v>
      </c>
      <c r="AB135" s="556">
        <v>355.71428571428703</v>
      </c>
      <c r="AC135" s="555">
        <f t="shared" si="32"/>
        <v>23</v>
      </c>
      <c r="AD135" s="648"/>
      <c r="AE135" s="440">
        <v>5</v>
      </c>
      <c r="AF135" s="388">
        <v>1780.0000000000064</v>
      </c>
      <c r="AG135" s="388">
        <v>356.00000000000125</v>
      </c>
      <c r="AH135" s="555">
        <f t="shared" si="34"/>
        <v>24</v>
      </c>
      <c r="AI135" s="648"/>
      <c r="AJ135" s="440">
        <v>5</v>
      </c>
      <c r="AK135" s="388">
        <v>1914.5454545454613</v>
      </c>
      <c r="AL135" s="388">
        <v>382.90909090909224</v>
      </c>
      <c r="AM135" s="555">
        <f t="shared" si="36"/>
        <v>23</v>
      </c>
      <c r="AN135" s="648"/>
      <c r="AO135" s="440">
        <v>5</v>
      </c>
      <c r="AP135" s="388">
        <v>1752.857142857149</v>
      </c>
      <c r="AQ135" s="388">
        <v>350.57142857142981</v>
      </c>
      <c r="AR135" s="555">
        <f t="shared" si="38"/>
        <v>24</v>
      </c>
      <c r="AS135" s="648"/>
      <c r="AT135" s="440">
        <v>5</v>
      </c>
      <c r="AU135" s="388">
        <v>1850.7692307692373</v>
      </c>
      <c r="AV135" s="388">
        <v>370.15384615384744</v>
      </c>
      <c r="AW135" s="555">
        <f t="shared" si="40"/>
        <v>24</v>
      </c>
      <c r="AX135" s="648"/>
      <c r="AZ135" s="376" t="e">
        <f t="shared" si="42"/>
        <v>#N/A</v>
      </c>
      <c r="BA135" s="648"/>
    </row>
    <row r="136" spans="2:53">
      <c r="B136" s="646"/>
      <c r="C136" s="287">
        <v>25</v>
      </c>
      <c r="D136" s="201" t="s">
        <v>604</v>
      </c>
      <c r="E136" s="201">
        <v>8</v>
      </c>
      <c r="F136" s="201">
        <v>1500</v>
      </c>
      <c r="G136" s="536">
        <v>187.5</v>
      </c>
      <c r="H136" s="648"/>
      <c r="I136" s="367">
        <f t="shared" si="44"/>
        <v>12</v>
      </c>
      <c r="J136" s="367">
        <f t="shared" si="45"/>
        <v>1432.7979926230669</v>
      </c>
      <c r="K136" s="199">
        <f t="shared" si="46"/>
        <v>119.39983271858894</v>
      </c>
      <c r="L136" s="617"/>
      <c r="M136" s="198">
        <f>RANK(K136, K$112:$K$141)</f>
        <v>25</v>
      </c>
      <c r="N136" s="635"/>
      <c r="O136" s="635"/>
      <c r="P136" s="440">
        <v>12</v>
      </c>
      <c r="Q136" s="440">
        <v>1520.4000000000003</v>
      </c>
      <c r="R136" s="440">
        <v>126.70000000000003</v>
      </c>
      <c r="S136" s="555">
        <f t="shared" si="28"/>
        <v>25</v>
      </c>
      <c r="T136" s="648"/>
      <c r="U136" s="440">
        <v>12</v>
      </c>
      <c r="V136" s="556">
        <v>1413.9622641509441</v>
      </c>
      <c r="W136" s="556">
        <v>117.83018867924534</v>
      </c>
      <c r="X136" s="555">
        <f t="shared" si="30"/>
        <v>25</v>
      </c>
      <c r="Y136" s="648"/>
      <c r="Z136" s="440">
        <v>12</v>
      </c>
      <c r="AA136" s="440">
        <v>1422.0000000000005</v>
      </c>
      <c r="AB136" s="440">
        <v>118.50000000000004</v>
      </c>
      <c r="AC136" s="555">
        <f t="shared" si="32"/>
        <v>25</v>
      </c>
      <c r="AD136" s="648"/>
      <c r="AE136" s="440">
        <v>12</v>
      </c>
      <c r="AF136" s="440">
        <v>1385.0000000000005</v>
      </c>
      <c r="AG136" s="556">
        <v>115.4166666666667</v>
      </c>
      <c r="AH136" s="555">
        <f t="shared" si="34"/>
        <v>25</v>
      </c>
      <c r="AI136" s="648"/>
      <c r="AJ136" s="440">
        <v>12</v>
      </c>
      <c r="AK136" s="556">
        <v>1538.7500000000005</v>
      </c>
      <c r="AL136" s="556">
        <v>128.22916666666671</v>
      </c>
      <c r="AM136" s="555">
        <f t="shared" si="36"/>
        <v>25</v>
      </c>
      <c r="AN136" s="648"/>
      <c r="AO136" s="440">
        <v>12</v>
      </c>
      <c r="AP136" s="556">
        <v>1349.4736842105235</v>
      </c>
      <c r="AQ136" s="556">
        <v>112.45614035087696</v>
      </c>
      <c r="AR136" s="555">
        <f t="shared" si="38"/>
        <v>25</v>
      </c>
      <c r="AS136" s="648"/>
      <c r="AT136" s="440">
        <v>12</v>
      </c>
      <c r="AU136" s="440">
        <v>1400.0000000000007</v>
      </c>
      <c r="AV136" s="556">
        <v>116.66666666666673</v>
      </c>
      <c r="AW136" s="555">
        <f t="shared" si="40"/>
        <v>25</v>
      </c>
      <c r="AX136" s="648"/>
      <c r="AZ136" s="376" t="e">
        <f t="shared" si="42"/>
        <v>#N/A</v>
      </c>
      <c r="BA136" s="648"/>
    </row>
    <row r="137" spans="2:53">
      <c r="B137" s="646"/>
      <c r="C137" s="287">
        <v>26</v>
      </c>
      <c r="D137" s="201"/>
      <c r="E137" s="201"/>
      <c r="F137" s="201"/>
      <c r="G137" s="536"/>
      <c r="H137" s="648"/>
      <c r="I137" s="367" t="str">
        <f t="shared" si="44"/>
        <v>-</v>
      </c>
      <c r="J137" s="367" t="str">
        <f t="shared" si="45"/>
        <v>-</v>
      </c>
      <c r="K137" s="199" t="str">
        <f t="shared" si="46"/>
        <v>-</v>
      </c>
      <c r="L137" s="617"/>
      <c r="M137" s="198" t="e">
        <f>RANK(K137, K$112:$K$141)</f>
        <v>#VALUE!</v>
      </c>
      <c r="N137" s="635"/>
      <c r="O137" s="635"/>
      <c r="P137" s="440"/>
      <c r="Q137" s="440"/>
      <c r="R137" s="440"/>
      <c r="S137" s="555" t="e">
        <f t="shared" si="28"/>
        <v>#N/A</v>
      </c>
      <c r="T137" s="648"/>
      <c r="U137" s="440"/>
      <c r="V137" s="440"/>
      <c r="W137" s="440"/>
      <c r="X137" s="555" t="e">
        <f t="shared" si="30"/>
        <v>#N/A</v>
      </c>
      <c r="Y137" s="648"/>
      <c r="Z137" s="440"/>
      <c r="AA137" s="440"/>
      <c r="AB137" s="440"/>
      <c r="AC137" s="555" t="e">
        <f t="shared" si="32"/>
        <v>#N/A</v>
      </c>
      <c r="AD137" s="648"/>
      <c r="AE137" s="440"/>
      <c r="AF137" s="440"/>
      <c r="AG137" s="440"/>
      <c r="AH137" s="555" t="e">
        <f t="shared" si="34"/>
        <v>#N/A</v>
      </c>
      <c r="AI137" s="648"/>
      <c r="AJ137" s="440"/>
      <c r="AK137" s="440"/>
      <c r="AL137" s="440"/>
      <c r="AM137" s="555" t="e">
        <f t="shared" si="36"/>
        <v>#N/A</v>
      </c>
      <c r="AN137" s="648"/>
      <c r="AO137" s="440"/>
      <c r="AP137" s="440"/>
      <c r="AQ137" s="440"/>
      <c r="AR137" s="555" t="e">
        <f t="shared" si="38"/>
        <v>#N/A</v>
      </c>
      <c r="AS137" s="648"/>
      <c r="AT137" s="440"/>
      <c r="AU137" s="440"/>
      <c r="AV137" s="440"/>
      <c r="AW137" s="555" t="e">
        <f t="shared" si="40"/>
        <v>#N/A</v>
      </c>
      <c r="AX137" s="648"/>
      <c r="AZ137" s="376" t="e">
        <f t="shared" si="42"/>
        <v>#N/A</v>
      </c>
      <c r="BA137" s="648"/>
    </row>
    <row r="138" spans="2:53">
      <c r="B138" s="646"/>
      <c r="C138" s="287">
        <v>27</v>
      </c>
      <c r="D138" s="201"/>
      <c r="E138" s="201"/>
      <c r="F138" s="201"/>
      <c r="G138" s="536"/>
      <c r="H138" s="648"/>
      <c r="I138" s="367" t="str">
        <f t="shared" si="44"/>
        <v>-</v>
      </c>
      <c r="J138" s="367" t="str">
        <f t="shared" si="45"/>
        <v>-</v>
      </c>
      <c r="K138" s="199" t="str">
        <f t="shared" si="46"/>
        <v>-</v>
      </c>
      <c r="L138" s="617"/>
      <c r="M138" s="198" t="e">
        <f>RANK(K138, K$112:$K$141)</f>
        <v>#VALUE!</v>
      </c>
      <c r="N138" s="635"/>
      <c r="O138" s="635"/>
      <c r="P138" s="440"/>
      <c r="Q138" s="440"/>
      <c r="R138" s="440"/>
      <c r="S138" s="555" t="e">
        <f t="shared" si="28"/>
        <v>#N/A</v>
      </c>
      <c r="T138" s="648"/>
      <c r="U138" s="440"/>
      <c r="V138" s="440"/>
      <c r="W138" s="440"/>
      <c r="X138" s="555" t="e">
        <f t="shared" si="30"/>
        <v>#N/A</v>
      </c>
      <c r="Y138" s="648"/>
      <c r="Z138" s="440"/>
      <c r="AA138" s="440"/>
      <c r="AB138" s="440"/>
      <c r="AC138" s="555" t="e">
        <f t="shared" si="32"/>
        <v>#N/A</v>
      </c>
      <c r="AD138" s="648"/>
      <c r="AE138" s="440"/>
      <c r="AF138" s="440"/>
      <c r="AG138" s="440"/>
      <c r="AH138" s="555" t="e">
        <f t="shared" si="34"/>
        <v>#N/A</v>
      </c>
      <c r="AI138" s="648"/>
      <c r="AJ138" s="440"/>
      <c r="AK138" s="440"/>
      <c r="AL138" s="440"/>
      <c r="AM138" s="555" t="e">
        <f t="shared" si="36"/>
        <v>#N/A</v>
      </c>
      <c r="AN138" s="648"/>
      <c r="AO138" s="440"/>
      <c r="AP138" s="440"/>
      <c r="AQ138" s="440"/>
      <c r="AR138" s="555" t="e">
        <f t="shared" si="38"/>
        <v>#N/A</v>
      </c>
      <c r="AS138" s="648"/>
      <c r="AT138" s="440"/>
      <c r="AU138" s="440"/>
      <c r="AV138" s="440"/>
      <c r="AW138" s="555" t="e">
        <f t="shared" si="40"/>
        <v>#N/A</v>
      </c>
      <c r="AX138" s="648"/>
      <c r="AZ138" s="376" t="e">
        <f t="shared" si="42"/>
        <v>#N/A</v>
      </c>
      <c r="BA138" s="648"/>
    </row>
    <row r="139" spans="2:53">
      <c r="B139" s="646"/>
      <c r="C139" s="287">
        <v>28</v>
      </c>
      <c r="D139" s="201"/>
      <c r="E139" s="201"/>
      <c r="F139" s="201"/>
      <c r="G139" s="201"/>
      <c r="H139" s="648"/>
      <c r="I139" s="367" t="str">
        <f t="shared" si="44"/>
        <v>-</v>
      </c>
      <c r="J139" s="367" t="str">
        <f t="shared" si="45"/>
        <v>-</v>
      </c>
      <c r="K139" s="199" t="str">
        <f t="shared" si="46"/>
        <v>-</v>
      </c>
      <c r="L139" s="617"/>
      <c r="M139" s="198" t="e">
        <f>RANK(K139, K$112:$K$141)</f>
        <v>#VALUE!</v>
      </c>
      <c r="N139" s="635"/>
      <c r="O139" s="635"/>
      <c r="P139" s="440"/>
      <c r="Q139" s="440"/>
      <c r="R139" s="440"/>
      <c r="S139" s="555" t="e">
        <f t="shared" si="28"/>
        <v>#N/A</v>
      </c>
      <c r="T139" s="648"/>
      <c r="U139" s="440"/>
      <c r="V139" s="440"/>
      <c r="W139" s="440"/>
      <c r="X139" s="555" t="e">
        <f t="shared" si="30"/>
        <v>#N/A</v>
      </c>
      <c r="Y139" s="648"/>
      <c r="Z139" s="440"/>
      <c r="AA139" s="440"/>
      <c r="AB139" s="440"/>
      <c r="AC139" s="555" t="e">
        <f t="shared" si="32"/>
        <v>#N/A</v>
      </c>
      <c r="AD139" s="648"/>
      <c r="AE139" s="440"/>
      <c r="AF139" s="440"/>
      <c r="AG139" s="440"/>
      <c r="AH139" s="555" t="e">
        <f t="shared" si="34"/>
        <v>#N/A</v>
      </c>
      <c r="AI139" s="648"/>
      <c r="AJ139" s="440"/>
      <c r="AK139" s="440"/>
      <c r="AL139" s="440"/>
      <c r="AM139" s="555" t="e">
        <f t="shared" si="36"/>
        <v>#N/A</v>
      </c>
      <c r="AN139" s="648"/>
      <c r="AO139" s="440"/>
      <c r="AP139" s="440"/>
      <c r="AQ139" s="440"/>
      <c r="AR139" s="555" t="e">
        <f t="shared" si="38"/>
        <v>#N/A</v>
      </c>
      <c r="AS139" s="648"/>
      <c r="AT139" s="440"/>
      <c r="AU139" s="440"/>
      <c r="AV139" s="440"/>
      <c r="AW139" s="555" t="e">
        <f t="shared" si="40"/>
        <v>#N/A</v>
      </c>
      <c r="AX139" s="648"/>
      <c r="AZ139" s="376" t="e">
        <f t="shared" si="42"/>
        <v>#N/A</v>
      </c>
      <c r="BA139" s="648"/>
    </row>
    <row r="140" spans="2:53">
      <c r="B140" s="646"/>
      <c r="C140" s="287">
        <v>29</v>
      </c>
      <c r="D140" s="201"/>
      <c r="E140" s="201"/>
      <c r="F140" s="201"/>
      <c r="G140" s="201"/>
      <c r="H140" s="648"/>
      <c r="I140" s="367" t="str">
        <f t="shared" si="44"/>
        <v>-</v>
      </c>
      <c r="J140" s="367" t="str">
        <f t="shared" si="45"/>
        <v>-</v>
      </c>
      <c r="K140" s="199" t="str">
        <f t="shared" si="46"/>
        <v>-</v>
      </c>
      <c r="L140" s="617"/>
      <c r="M140" s="198" t="e">
        <f>RANK(K140, K$112:$K$141)</f>
        <v>#VALUE!</v>
      </c>
      <c r="N140" s="635"/>
      <c r="O140" s="635"/>
      <c r="P140" s="440"/>
      <c r="Q140" s="440"/>
      <c r="R140" s="440"/>
      <c r="S140" s="555" t="e">
        <f t="shared" si="28"/>
        <v>#N/A</v>
      </c>
      <c r="T140" s="648"/>
      <c r="U140" s="440"/>
      <c r="V140" s="440"/>
      <c r="W140" s="440"/>
      <c r="X140" s="555" t="e">
        <f t="shared" si="30"/>
        <v>#N/A</v>
      </c>
      <c r="Y140" s="648"/>
      <c r="Z140" s="440"/>
      <c r="AA140" s="440"/>
      <c r="AB140" s="440"/>
      <c r="AC140" s="555" t="e">
        <f t="shared" si="32"/>
        <v>#N/A</v>
      </c>
      <c r="AD140" s="648"/>
      <c r="AE140" s="440"/>
      <c r="AF140" s="440"/>
      <c r="AG140" s="440"/>
      <c r="AH140" s="555" t="e">
        <f t="shared" si="34"/>
        <v>#N/A</v>
      </c>
      <c r="AI140" s="648"/>
      <c r="AJ140" s="440"/>
      <c r="AK140" s="440"/>
      <c r="AL140" s="440"/>
      <c r="AM140" s="555" t="e">
        <f t="shared" si="36"/>
        <v>#N/A</v>
      </c>
      <c r="AN140" s="648"/>
      <c r="AO140" s="440"/>
      <c r="AP140" s="440"/>
      <c r="AQ140" s="440"/>
      <c r="AR140" s="555" t="e">
        <f t="shared" si="38"/>
        <v>#N/A</v>
      </c>
      <c r="AS140" s="648"/>
      <c r="AT140" s="440"/>
      <c r="AU140" s="440"/>
      <c r="AV140" s="440"/>
      <c r="AW140" s="555" t="e">
        <f t="shared" si="40"/>
        <v>#N/A</v>
      </c>
      <c r="AX140" s="648"/>
      <c r="AZ140" s="376" t="e">
        <f t="shared" si="42"/>
        <v>#N/A</v>
      </c>
      <c r="BA140" s="648"/>
    </row>
    <row r="141" spans="2:53">
      <c r="B141" s="646"/>
      <c r="C141" s="287">
        <v>30</v>
      </c>
      <c r="D141" s="201"/>
      <c r="E141" s="201"/>
      <c r="F141" s="201"/>
      <c r="G141" s="201"/>
      <c r="H141" s="649"/>
      <c r="I141" s="367" t="str">
        <f t="shared" si="44"/>
        <v>-</v>
      </c>
      <c r="J141" s="367" t="str">
        <f t="shared" si="45"/>
        <v>-</v>
      </c>
      <c r="K141" s="199" t="str">
        <f t="shared" si="46"/>
        <v>-</v>
      </c>
      <c r="L141" s="618"/>
      <c r="M141" s="198" t="e">
        <f>RANK(K141, K$112:$K$141)</f>
        <v>#VALUE!</v>
      </c>
      <c r="N141" s="635"/>
      <c r="O141" s="635"/>
      <c r="P141" s="440"/>
      <c r="Q141" s="440"/>
      <c r="R141" s="440"/>
      <c r="S141" s="555" t="e">
        <f t="shared" si="28"/>
        <v>#N/A</v>
      </c>
      <c r="T141" s="649"/>
      <c r="U141" s="440"/>
      <c r="V141" s="440"/>
      <c r="W141" s="440"/>
      <c r="X141" s="555" t="e">
        <f t="shared" si="30"/>
        <v>#N/A</v>
      </c>
      <c r="Y141" s="649"/>
      <c r="Z141" s="440"/>
      <c r="AA141" s="440"/>
      <c r="AB141" s="440"/>
      <c r="AC141" s="555" t="e">
        <f t="shared" si="32"/>
        <v>#N/A</v>
      </c>
      <c r="AD141" s="649"/>
      <c r="AE141" s="440"/>
      <c r="AF141" s="440"/>
      <c r="AG141" s="440"/>
      <c r="AH141" s="555" t="e">
        <f t="shared" si="34"/>
        <v>#N/A</v>
      </c>
      <c r="AI141" s="649"/>
      <c r="AJ141" s="440"/>
      <c r="AK141" s="440"/>
      <c r="AL141" s="440"/>
      <c r="AM141" s="555" t="e">
        <f t="shared" si="36"/>
        <v>#N/A</v>
      </c>
      <c r="AN141" s="649"/>
      <c r="AO141" s="440"/>
      <c r="AP141" s="440"/>
      <c r="AQ141" s="440"/>
      <c r="AR141" s="555" t="e">
        <f t="shared" si="38"/>
        <v>#N/A</v>
      </c>
      <c r="AS141" s="649"/>
      <c r="AT141" s="440"/>
      <c r="AU141" s="440"/>
      <c r="AV141" s="440"/>
      <c r="AW141" s="555" t="e">
        <f t="shared" si="40"/>
        <v>#N/A</v>
      </c>
      <c r="AX141" s="649"/>
      <c r="AZ141" s="376" t="e">
        <f t="shared" si="42"/>
        <v>#N/A</v>
      </c>
      <c r="BA141" s="649"/>
    </row>
    <row r="142" spans="2:53" ht="15.75">
      <c r="B142" s="650" t="s">
        <v>162</v>
      </c>
      <c r="C142" s="651"/>
      <c r="D142" s="651"/>
      <c r="E142" s="651"/>
      <c r="F142" s="651"/>
      <c r="G142" s="651"/>
      <c r="H142" s="652"/>
      <c r="I142" s="207"/>
      <c r="J142" s="207"/>
      <c r="K142" s="207"/>
      <c r="L142" s="207"/>
      <c r="M142" s="206"/>
      <c r="N142" s="639" t="s">
        <v>156</v>
      </c>
      <c r="O142" s="639" t="s">
        <v>155</v>
      </c>
      <c r="P142" s="645">
        <f>P107+7</f>
        <v>46231</v>
      </c>
      <c r="Q142" s="646"/>
      <c r="R142" s="646"/>
      <c r="S142" s="646"/>
      <c r="T142" s="646"/>
      <c r="U142" s="642">
        <f>P142+1</f>
        <v>46232</v>
      </c>
      <c r="V142" s="643"/>
      <c r="W142" s="643"/>
      <c r="X142" s="643"/>
      <c r="Y142" s="644"/>
      <c r="Z142" s="642">
        <f>U142+1</f>
        <v>46233</v>
      </c>
      <c r="AA142" s="643"/>
      <c r="AB142" s="643"/>
      <c r="AC142" s="643"/>
      <c r="AD142" s="644"/>
      <c r="AE142" s="642">
        <f>Z142+1</f>
        <v>46234</v>
      </c>
      <c r="AF142" s="643"/>
      <c r="AG142" s="643"/>
      <c r="AH142" s="643"/>
      <c r="AI142" s="644"/>
      <c r="AJ142" s="642">
        <f>AE142+1</f>
        <v>46235</v>
      </c>
      <c r="AK142" s="643"/>
      <c r="AL142" s="643"/>
      <c r="AM142" s="643"/>
      <c r="AN142" s="644"/>
      <c r="AO142" s="642">
        <f>AJ142+1</f>
        <v>46236</v>
      </c>
      <c r="AP142" s="643"/>
      <c r="AQ142" s="643"/>
      <c r="AR142" s="643"/>
      <c r="AS142" s="644"/>
      <c r="AT142" s="642">
        <f>AO142+1</f>
        <v>46237</v>
      </c>
      <c r="AU142" s="643"/>
      <c r="AV142" s="643"/>
      <c r="AW142" s="643"/>
      <c r="AX142" s="644"/>
    </row>
    <row r="143" spans="2:53" ht="15.75">
      <c r="B143" s="653"/>
      <c r="C143" s="653"/>
      <c r="D143" s="653"/>
      <c r="E143" s="653"/>
      <c r="F143" s="653"/>
      <c r="G143" s="653"/>
      <c r="H143" s="653"/>
      <c r="I143" s="204"/>
      <c r="J143" s="204"/>
      <c r="K143" s="204"/>
      <c r="L143" s="204"/>
      <c r="M143" s="205"/>
      <c r="N143" s="641"/>
      <c r="O143" s="641"/>
      <c r="P143" s="645" t="s">
        <v>317</v>
      </c>
      <c r="Q143" s="646"/>
      <c r="R143" s="646"/>
      <c r="S143" s="646"/>
      <c r="T143" s="646"/>
      <c r="U143" s="645" t="s">
        <v>318</v>
      </c>
      <c r="V143" s="646"/>
      <c r="W143" s="646"/>
      <c r="X143" s="646"/>
      <c r="Y143" s="646"/>
      <c r="Z143" s="645" t="s">
        <v>319</v>
      </c>
      <c r="AA143" s="646"/>
      <c r="AB143" s="646"/>
      <c r="AC143" s="646"/>
      <c r="AD143" s="646"/>
      <c r="AE143" s="645" t="s">
        <v>320</v>
      </c>
      <c r="AF143" s="646"/>
      <c r="AG143" s="646"/>
      <c r="AH143" s="646"/>
      <c r="AI143" s="646"/>
      <c r="AJ143" s="645" t="s">
        <v>321</v>
      </c>
      <c r="AK143" s="646"/>
      <c r="AL143" s="646"/>
      <c r="AM143" s="646"/>
      <c r="AN143" s="646"/>
      <c r="AO143" s="645" t="s">
        <v>322</v>
      </c>
      <c r="AP143" s="646"/>
      <c r="AQ143" s="646"/>
      <c r="AR143" s="646"/>
      <c r="AS143" s="646"/>
      <c r="AT143" s="645" t="s">
        <v>323</v>
      </c>
      <c r="AU143" s="646"/>
      <c r="AV143" s="646"/>
      <c r="AW143" s="646"/>
      <c r="AX143" s="646"/>
    </row>
    <row r="144" spans="2:53">
      <c r="B144" s="635" t="s">
        <v>392</v>
      </c>
      <c r="C144" s="635" t="s">
        <v>393</v>
      </c>
      <c r="D144" s="635"/>
      <c r="E144" s="635" t="s">
        <v>394</v>
      </c>
      <c r="F144" s="635"/>
      <c r="G144" s="635"/>
      <c r="H144" s="636" t="s">
        <v>395</v>
      </c>
      <c r="I144" s="619" t="s">
        <v>396</v>
      </c>
      <c r="J144" s="619"/>
      <c r="K144" s="619"/>
      <c r="L144" s="620" t="s">
        <v>395</v>
      </c>
      <c r="M144" s="626" t="s">
        <v>397</v>
      </c>
      <c r="N144" s="635"/>
      <c r="O144" s="635" t="s">
        <v>398</v>
      </c>
      <c r="P144" s="632" t="s">
        <v>399</v>
      </c>
      <c r="Q144" s="633"/>
      <c r="R144" s="633"/>
      <c r="S144" s="634"/>
      <c r="T144" s="635" t="s">
        <v>395</v>
      </c>
      <c r="U144" s="632" t="s">
        <v>399</v>
      </c>
      <c r="V144" s="633"/>
      <c r="W144" s="633"/>
      <c r="X144" s="634"/>
      <c r="Y144" s="635" t="s">
        <v>395</v>
      </c>
      <c r="Z144" s="632" t="s">
        <v>399</v>
      </c>
      <c r="AA144" s="633"/>
      <c r="AB144" s="633"/>
      <c r="AC144" s="634"/>
      <c r="AD144" s="635" t="s">
        <v>395</v>
      </c>
      <c r="AE144" s="632" t="s">
        <v>399</v>
      </c>
      <c r="AF144" s="633"/>
      <c r="AG144" s="633"/>
      <c r="AH144" s="634"/>
      <c r="AI144" s="635" t="s">
        <v>395</v>
      </c>
      <c r="AJ144" s="632" t="s">
        <v>399</v>
      </c>
      <c r="AK144" s="633"/>
      <c r="AL144" s="633"/>
      <c r="AM144" s="634"/>
      <c r="AN144" s="635" t="s">
        <v>395</v>
      </c>
      <c r="AO144" s="632" t="s">
        <v>399</v>
      </c>
      <c r="AP144" s="633"/>
      <c r="AQ144" s="633"/>
      <c r="AR144" s="634"/>
      <c r="AS144" s="635" t="s">
        <v>395</v>
      </c>
      <c r="AT144" s="632" t="s">
        <v>399</v>
      </c>
      <c r="AU144" s="633"/>
      <c r="AV144" s="633"/>
      <c r="AW144" s="634"/>
      <c r="AX144" s="635" t="s">
        <v>395</v>
      </c>
      <c r="BA144" s="635" t="s">
        <v>369</v>
      </c>
    </row>
    <row r="145" spans="2:53">
      <c r="B145" s="635"/>
      <c r="C145" s="635"/>
      <c r="D145" s="635"/>
      <c r="E145" s="635" t="s">
        <v>400</v>
      </c>
      <c r="F145" s="635"/>
      <c r="G145" s="635"/>
      <c r="H145" s="637"/>
      <c r="I145" s="619" t="s">
        <v>400</v>
      </c>
      <c r="J145" s="619"/>
      <c r="K145" s="619"/>
      <c r="L145" s="621"/>
      <c r="M145" s="627"/>
      <c r="N145" s="635"/>
      <c r="O145" s="635"/>
      <c r="P145" s="632" t="s">
        <v>401</v>
      </c>
      <c r="Q145" s="633"/>
      <c r="R145" s="633"/>
      <c r="S145" s="634"/>
      <c r="T145" s="635"/>
      <c r="U145" s="632" t="s">
        <v>401</v>
      </c>
      <c r="V145" s="633"/>
      <c r="W145" s="633"/>
      <c r="X145" s="634"/>
      <c r="Y145" s="635"/>
      <c r="Z145" s="632" t="s">
        <v>401</v>
      </c>
      <c r="AA145" s="633"/>
      <c r="AB145" s="633"/>
      <c r="AC145" s="634"/>
      <c r="AD145" s="635"/>
      <c r="AE145" s="632" t="s">
        <v>401</v>
      </c>
      <c r="AF145" s="633"/>
      <c r="AG145" s="633"/>
      <c r="AH145" s="634"/>
      <c r="AI145" s="635"/>
      <c r="AJ145" s="632" t="s">
        <v>401</v>
      </c>
      <c r="AK145" s="633"/>
      <c r="AL145" s="633"/>
      <c r="AM145" s="634"/>
      <c r="AN145" s="635"/>
      <c r="AO145" s="632" t="s">
        <v>401</v>
      </c>
      <c r="AP145" s="633"/>
      <c r="AQ145" s="633"/>
      <c r="AR145" s="634"/>
      <c r="AS145" s="635"/>
      <c r="AT145" s="632" t="s">
        <v>401</v>
      </c>
      <c r="AU145" s="633"/>
      <c r="AV145" s="633"/>
      <c r="AW145" s="634"/>
      <c r="AX145" s="635"/>
      <c r="BA145" s="635"/>
    </row>
    <row r="146" spans="2:53">
      <c r="B146" s="635"/>
      <c r="C146" s="635"/>
      <c r="D146" s="635"/>
      <c r="E146" s="280" t="s">
        <v>402</v>
      </c>
      <c r="F146" s="280" t="s">
        <v>403</v>
      </c>
      <c r="G146" s="280" t="s">
        <v>404</v>
      </c>
      <c r="H146" s="638"/>
      <c r="I146" s="281" t="s">
        <v>402</v>
      </c>
      <c r="J146" s="281" t="s">
        <v>403</v>
      </c>
      <c r="K146" s="281" t="s">
        <v>404</v>
      </c>
      <c r="L146" s="622"/>
      <c r="M146" s="628"/>
      <c r="N146" s="635"/>
      <c r="O146" s="635"/>
      <c r="P146" s="280" t="s">
        <v>402</v>
      </c>
      <c r="Q146" s="280" t="s">
        <v>403</v>
      </c>
      <c r="R146" s="280" t="s">
        <v>404</v>
      </c>
      <c r="S146" s="280" t="s">
        <v>397</v>
      </c>
      <c r="T146" s="635"/>
      <c r="U146" s="280" t="s">
        <v>402</v>
      </c>
      <c r="V146" s="280" t="s">
        <v>403</v>
      </c>
      <c r="W146" s="280" t="s">
        <v>404</v>
      </c>
      <c r="X146" s="280" t="s">
        <v>397</v>
      </c>
      <c r="Y146" s="635"/>
      <c r="Z146" s="280" t="s">
        <v>402</v>
      </c>
      <c r="AA146" s="280" t="s">
        <v>403</v>
      </c>
      <c r="AB146" s="280" t="s">
        <v>404</v>
      </c>
      <c r="AC146" s="280" t="s">
        <v>397</v>
      </c>
      <c r="AD146" s="635"/>
      <c r="AE146" s="280" t="s">
        <v>402</v>
      </c>
      <c r="AF146" s="280" t="s">
        <v>403</v>
      </c>
      <c r="AG146" s="280" t="s">
        <v>404</v>
      </c>
      <c r="AH146" s="280" t="s">
        <v>397</v>
      </c>
      <c r="AI146" s="635"/>
      <c r="AJ146" s="280" t="s">
        <v>402</v>
      </c>
      <c r="AK146" s="280" t="s">
        <v>403</v>
      </c>
      <c r="AL146" s="280" t="s">
        <v>404</v>
      </c>
      <c r="AM146" s="280" t="s">
        <v>397</v>
      </c>
      <c r="AN146" s="635"/>
      <c r="AO146" s="280" t="s">
        <v>402</v>
      </c>
      <c r="AP146" s="280" t="s">
        <v>403</v>
      </c>
      <c r="AQ146" s="280" t="s">
        <v>404</v>
      </c>
      <c r="AR146" s="280" t="s">
        <v>397</v>
      </c>
      <c r="AS146" s="635"/>
      <c r="AT146" s="280" t="s">
        <v>402</v>
      </c>
      <c r="AU146" s="280" t="s">
        <v>403</v>
      </c>
      <c r="AV146" s="280" t="s">
        <v>404</v>
      </c>
      <c r="AW146" s="280" t="s">
        <v>397</v>
      </c>
      <c r="AX146" s="635"/>
      <c r="AZ146" s="377" t="s">
        <v>370</v>
      </c>
      <c r="BA146" s="635"/>
    </row>
    <row r="147" spans="2:53">
      <c r="B147" s="646" t="s">
        <v>150</v>
      </c>
      <c r="C147" s="279">
        <v>1</v>
      </c>
      <c r="D147" s="201"/>
      <c r="E147" s="201"/>
      <c r="F147" s="201"/>
      <c r="G147" s="536"/>
      <c r="H147" s="647" t="e">
        <f>AVERAGE(G147:G176)</f>
        <v>#DIV/0!</v>
      </c>
      <c r="I147" s="367" t="str">
        <f>IFERROR(AVERAGE(P147,U147,Z147,AE147,AJ147,AO147,AT147),"-")</f>
        <v>-</v>
      </c>
      <c r="J147" s="367" t="str">
        <f>IFERROR(AVERAGE(Q147,V147,AA147,AF147,AK147,AP147,AU147),"-")</f>
        <v>-</v>
      </c>
      <c r="K147" s="199" t="str">
        <f>IFERROR(AVERAGE(R147,W147,AB147,AG147,AL147,AQ147,AV147),"-")</f>
        <v>-</v>
      </c>
      <c r="L147" s="616" t="str">
        <f>IFERROR(AVERAGE(K147:K176),"-")</f>
        <v>-</v>
      </c>
      <c r="M147" s="198" t="e">
        <f>RANK(K147, K$147:$K$176)</f>
        <v>#VALUE!</v>
      </c>
      <c r="N147" s="635"/>
      <c r="O147" s="635"/>
      <c r="P147" s="437"/>
      <c r="Q147" s="388"/>
      <c r="R147" s="388"/>
      <c r="S147" s="484"/>
      <c r="T147" s="647"/>
      <c r="U147" s="437"/>
      <c r="V147" s="388"/>
      <c r="W147" s="388"/>
      <c r="X147" s="484"/>
      <c r="Y147" s="647"/>
      <c r="Z147" s="437"/>
      <c r="AA147" s="388"/>
      <c r="AB147" s="388"/>
      <c r="AC147" s="484"/>
      <c r="AD147" s="647"/>
      <c r="AE147" s="437"/>
      <c r="AF147" s="388"/>
      <c r="AG147" s="388"/>
      <c r="AH147" s="484"/>
      <c r="AI147" s="647"/>
      <c r="AJ147" s="437"/>
      <c r="AK147" s="388"/>
      <c r="AL147" s="388"/>
      <c r="AM147" s="484"/>
      <c r="AN147" s="647"/>
      <c r="AO147" s="437"/>
      <c r="AP147" s="388"/>
      <c r="AQ147" s="388"/>
      <c r="AR147" s="484"/>
      <c r="AS147" s="647"/>
      <c r="AT147" s="437"/>
      <c r="AU147" s="388"/>
      <c r="AV147" s="388"/>
      <c r="AW147" s="484"/>
      <c r="AX147" s="647"/>
      <c r="AZ147" s="376" t="e">
        <f t="shared" ref="AZ147:AZ176" si="47">RANK(AY147, AY$147:AY$176)</f>
        <v>#N/A</v>
      </c>
      <c r="BA147" s="647" t="e">
        <f t="shared" ref="BA147" si="48">AVERAGE(AY147:AY176)</f>
        <v>#DIV/0!</v>
      </c>
    </row>
    <row r="148" spans="2:53">
      <c r="B148" s="646"/>
      <c r="C148" s="279">
        <v>2</v>
      </c>
      <c r="D148" s="538"/>
      <c r="E148" s="201"/>
      <c r="F148" s="201"/>
      <c r="G148" s="536"/>
      <c r="H148" s="648"/>
      <c r="I148" s="367" t="str">
        <f t="shared" ref="I148:I176" si="49">IFERROR(AVERAGE(P148,U148,Z148,AE148,AJ148,AO148,AT148),"-")</f>
        <v>-</v>
      </c>
      <c r="J148" s="367" t="str">
        <f t="shared" ref="J148:J176" si="50">IFERROR(AVERAGE(Q148,V148,AA148,AF148,AK148,AP148,AU148),"-")</f>
        <v>-</v>
      </c>
      <c r="K148" s="199" t="str">
        <f t="shared" ref="K148:K176" si="51">IFERROR(AVERAGE(R148,W148,AB148,AG148,AL148,AQ148,AV148),"-")</f>
        <v>-</v>
      </c>
      <c r="L148" s="617"/>
      <c r="M148" s="198" t="e">
        <f>RANK(K148, K$147:$K$176)</f>
        <v>#VALUE!</v>
      </c>
      <c r="N148" s="635"/>
      <c r="O148" s="635"/>
      <c r="P148" s="437"/>
      <c r="Q148" s="388"/>
      <c r="R148" s="388"/>
      <c r="S148" s="484"/>
      <c r="T148" s="648"/>
      <c r="U148" s="437"/>
      <c r="V148" s="388"/>
      <c r="W148" s="388"/>
      <c r="X148" s="484"/>
      <c r="Y148" s="648"/>
      <c r="Z148" s="437"/>
      <c r="AA148" s="388"/>
      <c r="AB148" s="388"/>
      <c r="AC148" s="484"/>
      <c r="AD148" s="648"/>
      <c r="AE148" s="437"/>
      <c r="AF148" s="388"/>
      <c r="AG148" s="388"/>
      <c r="AH148" s="484"/>
      <c r="AI148" s="648"/>
      <c r="AJ148" s="437"/>
      <c r="AK148" s="388"/>
      <c r="AL148" s="388"/>
      <c r="AM148" s="484"/>
      <c r="AN148" s="648"/>
      <c r="AO148" s="437"/>
      <c r="AP148" s="388"/>
      <c r="AQ148" s="388"/>
      <c r="AR148" s="484"/>
      <c r="AS148" s="648"/>
      <c r="AT148" s="437"/>
      <c r="AU148" s="388"/>
      <c r="AV148" s="388"/>
      <c r="AW148" s="484"/>
      <c r="AX148" s="648"/>
      <c r="AZ148" s="376" t="e">
        <f t="shared" si="47"/>
        <v>#N/A</v>
      </c>
      <c r="BA148" s="648"/>
    </row>
    <row r="149" spans="2:53">
      <c r="B149" s="646"/>
      <c r="C149" s="279">
        <v>3</v>
      </c>
      <c r="D149" s="201"/>
      <c r="E149" s="201"/>
      <c r="F149" s="201"/>
      <c r="G149" s="536"/>
      <c r="H149" s="648"/>
      <c r="I149" s="367" t="str">
        <f t="shared" si="49"/>
        <v>-</v>
      </c>
      <c r="J149" s="367" t="str">
        <f t="shared" si="50"/>
        <v>-</v>
      </c>
      <c r="K149" s="199" t="str">
        <f t="shared" si="51"/>
        <v>-</v>
      </c>
      <c r="L149" s="617"/>
      <c r="M149" s="198" t="e">
        <f>RANK(K149, K$147:$K$176)</f>
        <v>#VALUE!</v>
      </c>
      <c r="N149" s="635"/>
      <c r="O149" s="635"/>
      <c r="P149" s="437"/>
      <c r="Q149" s="388"/>
      <c r="R149" s="388"/>
      <c r="S149" s="484"/>
      <c r="T149" s="648"/>
      <c r="U149" s="437"/>
      <c r="V149" s="388"/>
      <c r="W149" s="388"/>
      <c r="X149" s="484"/>
      <c r="Y149" s="648"/>
      <c r="Z149" s="437"/>
      <c r="AA149" s="388"/>
      <c r="AB149" s="388"/>
      <c r="AC149" s="484"/>
      <c r="AD149" s="648"/>
      <c r="AE149" s="437"/>
      <c r="AF149" s="388"/>
      <c r="AG149" s="388"/>
      <c r="AH149" s="484"/>
      <c r="AI149" s="648"/>
      <c r="AJ149" s="437"/>
      <c r="AK149" s="388"/>
      <c r="AL149" s="388"/>
      <c r="AM149" s="484"/>
      <c r="AN149" s="648"/>
      <c r="AO149" s="437"/>
      <c r="AP149" s="388"/>
      <c r="AQ149" s="388"/>
      <c r="AR149" s="484"/>
      <c r="AS149" s="648"/>
      <c r="AT149" s="437"/>
      <c r="AU149" s="388"/>
      <c r="AV149" s="388"/>
      <c r="AW149" s="484"/>
      <c r="AX149" s="648"/>
      <c r="AZ149" s="376" t="e">
        <f t="shared" si="47"/>
        <v>#N/A</v>
      </c>
      <c r="BA149" s="648"/>
    </row>
    <row r="150" spans="2:53">
      <c r="B150" s="646"/>
      <c r="C150" s="279">
        <v>4</v>
      </c>
      <c r="D150" s="201"/>
      <c r="E150" s="201"/>
      <c r="F150" s="201"/>
      <c r="G150" s="536"/>
      <c r="H150" s="648"/>
      <c r="I150" s="367" t="str">
        <f t="shared" si="49"/>
        <v>-</v>
      </c>
      <c r="J150" s="367" t="str">
        <f t="shared" si="50"/>
        <v>-</v>
      </c>
      <c r="K150" s="199" t="str">
        <f t="shared" si="51"/>
        <v>-</v>
      </c>
      <c r="L150" s="617"/>
      <c r="M150" s="198" t="e">
        <f>RANK(K150, K$147:$K$176)</f>
        <v>#VALUE!</v>
      </c>
      <c r="N150" s="635"/>
      <c r="O150" s="635"/>
      <c r="P150" s="437"/>
      <c r="Q150" s="388"/>
      <c r="R150" s="388"/>
      <c r="S150" s="484"/>
      <c r="T150" s="648"/>
      <c r="U150" s="437"/>
      <c r="V150" s="388"/>
      <c r="W150" s="388"/>
      <c r="X150" s="484"/>
      <c r="Y150" s="648"/>
      <c r="Z150" s="437"/>
      <c r="AA150" s="388"/>
      <c r="AB150" s="388"/>
      <c r="AC150" s="484"/>
      <c r="AD150" s="648"/>
      <c r="AE150" s="437"/>
      <c r="AF150" s="388"/>
      <c r="AG150" s="388"/>
      <c r="AH150" s="484"/>
      <c r="AI150" s="648"/>
      <c r="AJ150" s="437"/>
      <c r="AK150" s="388"/>
      <c r="AL150" s="388"/>
      <c r="AM150" s="484"/>
      <c r="AN150" s="648"/>
      <c r="AO150" s="437"/>
      <c r="AP150" s="388"/>
      <c r="AQ150" s="388"/>
      <c r="AR150" s="484"/>
      <c r="AS150" s="648"/>
      <c r="AT150" s="437"/>
      <c r="AU150" s="388"/>
      <c r="AV150" s="388"/>
      <c r="AW150" s="484"/>
      <c r="AX150" s="648"/>
      <c r="AZ150" s="376" t="e">
        <f t="shared" si="47"/>
        <v>#N/A</v>
      </c>
      <c r="BA150" s="648"/>
    </row>
    <row r="151" spans="2:53">
      <c r="B151" s="646"/>
      <c r="C151" s="279">
        <v>5</v>
      </c>
      <c r="D151" s="201"/>
      <c r="E151" s="201"/>
      <c r="F151" s="201"/>
      <c r="G151" s="536"/>
      <c r="H151" s="648"/>
      <c r="I151" s="367" t="str">
        <f t="shared" si="49"/>
        <v>-</v>
      </c>
      <c r="J151" s="367" t="str">
        <f t="shared" si="50"/>
        <v>-</v>
      </c>
      <c r="K151" s="199" t="str">
        <f t="shared" si="51"/>
        <v>-</v>
      </c>
      <c r="L151" s="617"/>
      <c r="M151" s="198" t="e">
        <f>RANK(K151, K$147:$K$176)</f>
        <v>#VALUE!</v>
      </c>
      <c r="N151" s="635"/>
      <c r="O151" s="635"/>
      <c r="P151" s="437"/>
      <c r="Q151" s="388"/>
      <c r="R151" s="388"/>
      <c r="S151" s="484"/>
      <c r="T151" s="648"/>
      <c r="U151" s="437"/>
      <c r="V151" s="388"/>
      <c r="W151" s="388"/>
      <c r="X151" s="484"/>
      <c r="Y151" s="648"/>
      <c r="Z151" s="437"/>
      <c r="AA151" s="388"/>
      <c r="AB151" s="388"/>
      <c r="AC151" s="484"/>
      <c r="AD151" s="648"/>
      <c r="AE151" s="437"/>
      <c r="AF151" s="388"/>
      <c r="AG151" s="388"/>
      <c r="AH151" s="484"/>
      <c r="AI151" s="648"/>
      <c r="AJ151" s="437"/>
      <c r="AK151" s="388"/>
      <c r="AL151" s="388"/>
      <c r="AM151" s="484"/>
      <c r="AN151" s="648"/>
      <c r="AO151" s="437"/>
      <c r="AP151" s="388"/>
      <c r="AQ151" s="388"/>
      <c r="AR151" s="484"/>
      <c r="AS151" s="648"/>
      <c r="AT151" s="437"/>
      <c r="AU151" s="388"/>
      <c r="AV151" s="388"/>
      <c r="AW151" s="484"/>
      <c r="AX151" s="648"/>
      <c r="AZ151" s="376" t="e">
        <f t="shared" si="47"/>
        <v>#N/A</v>
      </c>
      <c r="BA151" s="648"/>
    </row>
    <row r="152" spans="2:53">
      <c r="B152" s="646"/>
      <c r="C152" s="279">
        <v>6</v>
      </c>
      <c r="D152" s="201"/>
      <c r="E152" s="201"/>
      <c r="F152" s="201"/>
      <c r="G152" s="536"/>
      <c r="H152" s="648"/>
      <c r="I152" s="367" t="str">
        <f t="shared" si="49"/>
        <v>-</v>
      </c>
      <c r="J152" s="367" t="str">
        <f t="shared" si="50"/>
        <v>-</v>
      </c>
      <c r="K152" s="199" t="str">
        <f t="shared" si="51"/>
        <v>-</v>
      </c>
      <c r="L152" s="617"/>
      <c r="M152" s="198" t="e">
        <f>RANK(K152, K$147:$K$176)</f>
        <v>#VALUE!</v>
      </c>
      <c r="N152" s="635"/>
      <c r="O152" s="635"/>
      <c r="P152" s="437"/>
      <c r="Q152" s="388"/>
      <c r="R152" s="388"/>
      <c r="S152" s="484"/>
      <c r="T152" s="648"/>
      <c r="U152" s="437"/>
      <c r="V152" s="388"/>
      <c r="W152" s="388"/>
      <c r="X152" s="484"/>
      <c r="Y152" s="648"/>
      <c r="Z152" s="437"/>
      <c r="AA152" s="388"/>
      <c r="AB152" s="388"/>
      <c r="AC152" s="484"/>
      <c r="AD152" s="648"/>
      <c r="AE152" s="437"/>
      <c r="AF152" s="388"/>
      <c r="AG152" s="388"/>
      <c r="AH152" s="484"/>
      <c r="AI152" s="648"/>
      <c r="AJ152" s="437"/>
      <c r="AK152" s="388"/>
      <c r="AL152" s="388"/>
      <c r="AM152" s="484"/>
      <c r="AN152" s="648"/>
      <c r="AO152" s="437"/>
      <c r="AP152" s="388"/>
      <c r="AQ152" s="388"/>
      <c r="AR152" s="484"/>
      <c r="AS152" s="648"/>
      <c r="AT152" s="437"/>
      <c r="AU152" s="388"/>
      <c r="AV152" s="388"/>
      <c r="AW152" s="484"/>
      <c r="AX152" s="648"/>
      <c r="AZ152" s="376" t="e">
        <f t="shared" si="47"/>
        <v>#N/A</v>
      </c>
      <c r="BA152" s="648"/>
    </row>
    <row r="153" spans="2:53">
      <c r="B153" s="646"/>
      <c r="C153" s="279">
        <v>7</v>
      </c>
      <c r="D153" s="201"/>
      <c r="E153" s="201"/>
      <c r="F153" s="201"/>
      <c r="G153" s="536"/>
      <c r="H153" s="648"/>
      <c r="I153" s="367" t="str">
        <f t="shared" si="49"/>
        <v>-</v>
      </c>
      <c r="J153" s="367" t="str">
        <f t="shared" si="50"/>
        <v>-</v>
      </c>
      <c r="K153" s="199" t="str">
        <f t="shared" si="51"/>
        <v>-</v>
      </c>
      <c r="L153" s="617"/>
      <c r="M153" s="198" t="e">
        <f>RANK(K153, K$147:$K$176)</f>
        <v>#VALUE!</v>
      </c>
      <c r="N153" s="635"/>
      <c r="O153" s="635"/>
      <c r="P153" s="437"/>
      <c r="Q153" s="388"/>
      <c r="R153" s="388"/>
      <c r="S153" s="484"/>
      <c r="T153" s="648"/>
      <c r="U153" s="437"/>
      <c r="V153" s="388"/>
      <c r="W153" s="388"/>
      <c r="X153" s="484"/>
      <c r="Y153" s="648"/>
      <c r="Z153" s="437"/>
      <c r="AA153" s="388"/>
      <c r="AB153" s="388"/>
      <c r="AC153" s="484"/>
      <c r="AD153" s="648"/>
      <c r="AE153" s="437"/>
      <c r="AF153" s="388"/>
      <c r="AG153" s="388"/>
      <c r="AH153" s="484"/>
      <c r="AI153" s="648"/>
      <c r="AJ153" s="437"/>
      <c r="AK153" s="388"/>
      <c r="AL153" s="388"/>
      <c r="AM153" s="484"/>
      <c r="AN153" s="648"/>
      <c r="AO153" s="437"/>
      <c r="AP153" s="388"/>
      <c r="AQ153" s="388"/>
      <c r="AR153" s="484"/>
      <c r="AS153" s="648"/>
      <c r="AT153" s="437"/>
      <c r="AU153" s="388"/>
      <c r="AV153" s="388"/>
      <c r="AW153" s="484"/>
      <c r="AX153" s="648"/>
      <c r="AZ153" s="376" t="e">
        <f t="shared" si="47"/>
        <v>#N/A</v>
      </c>
      <c r="BA153" s="648"/>
    </row>
    <row r="154" spans="2:53">
      <c r="B154" s="646"/>
      <c r="C154" s="279">
        <v>8</v>
      </c>
      <c r="D154" s="201"/>
      <c r="E154" s="201"/>
      <c r="F154" s="201"/>
      <c r="G154" s="536"/>
      <c r="H154" s="648"/>
      <c r="I154" s="367" t="str">
        <f t="shared" si="49"/>
        <v>-</v>
      </c>
      <c r="J154" s="367" t="str">
        <f t="shared" si="50"/>
        <v>-</v>
      </c>
      <c r="K154" s="199" t="str">
        <f t="shared" si="51"/>
        <v>-</v>
      </c>
      <c r="L154" s="617"/>
      <c r="M154" s="198" t="e">
        <f>RANK(K154, K$147:$K$176)</f>
        <v>#VALUE!</v>
      </c>
      <c r="N154" s="635"/>
      <c r="O154" s="635"/>
      <c r="P154" s="437"/>
      <c r="Q154" s="388"/>
      <c r="R154" s="388"/>
      <c r="S154" s="484"/>
      <c r="T154" s="648"/>
      <c r="U154" s="437"/>
      <c r="V154" s="388"/>
      <c r="W154" s="388"/>
      <c r="X154" s="484"/>
      <c r="Y154" s="648"/>
      <c r="Z154" s="437"/>
      <c r="AA154" s="388"/>
      <c r="AB154" s="388"/>
      <c r="AC154" s="484"/>
      <c r="AD154" s="648"/>
      <c r="AE154" s="437"/>
      <c r="AF154" s="388"/>
      <c r="AG154" s="388"/>
      <c r="AH154" s="484"/>
      <c r="AI154" s="648"/>
      <c r="AJ154" s="437"/>
      <c r="AK154" s="388"/>
      <c r="AL154" s="388"/>
      <c r="AM154" s="484"/>
      <c r="AN154" s="648"/>
      <c r="AO154" s="437"/>
      <c r="AP154" s="388"/>
      <c r="AQ154" s="388"/>
      <c r="AR154" s="484"/>
      <c r="AS154" s="648"/>
      <c r="AT154" s="437"/>
      <c r="AU154" s="388"/>
      <c r="AV154" s="388"/>
      <c r="AW154" s="484"/>
      <c r="AX154" s="648"/>
      <c r="AZ154" s="376" t="e">
        <f t="shared" si="47"/>
        <v>#N/A</v>
      </c>
      <c r="BA154" s="648"/>
    </row>
    <row r="155" spans="2:53">
      <c r="B155" s="646"/>
      <c r="C155" s="279">
        <v>9</v>
      </c>
      <c r="D155" s="201"/>
      <c r="E155" s="201"/>
      <c r="F155" s="201"/>
      <c r="G155" s="536"/>
      <c r="H155" s="648"/>
      <c r="I155" s="367" t="str">
        <f t="shared" si="49"/>
        <v>-</v>
      </c>
      <c r="J155" s="367" t="str">
        <f t="shared" si="50"/>
        <v>-</v>
      </c>
      <c r="K155" s="199" t="str">
        <f t="shared" si="51"/>
        <v>-</v>
      </c>
      <c r="L155" s="617"/>
      <c r="M155" s="198" t="e">
        <f>RANK(K155, K$147:$K$176)</f>
        <v>#VALUE!</v>
      </c>
      <c r="N155" s="635"/>
      <c r="O155" s="635"/>
      <c r="P155" s="437"/>
      <c r="Q155" s="388"/>
      <c r="R155" s="388"/>
      <c r="S155" s="484"/>
      <c r="T155" s="648"/>
      <c r="U155" s="437"/>
      <c r="V155" s="388"/>
      <c r="W155" s="388"/>
      <c r="X155" s="484"/>
      <c r="Y155" s="648"/>
      <c r="Z155" s="437"/>
      <c r="AA155" s="388"/>
      <c r="AB155" s="388"/>
      <c r="AC155" s="484"/>
      <c r="AD155" s="648"/>
      <c r="AE155" s="437"/>
      <c r="AF155" s="388"/>
      <c r="AG155" s="388"/>
      <c r="AH155" s="484"/>
      <c r="AI155" s="648"/>
      <c r="AJ155" s="437"/>
      <c r="AK155" s="388"/>
      <c r="AL155" s="388"/>
      <c r="AM155" s="484"/>
      <c r="AN155" s="648"/>
      <c r="AO155" s="437"/>
      <c r="AP155" s="388"/>
      <c r="AQ155" s="388"/>
      <c r="AR155" s="484"/>
      <c r="AS155" s="648"/>
      <c r="AT155" s="437"/>
      <c r="AU155" s="388"/>
      <c r="AV155" s="388"/>
      <c r="AW155" s="484"/>
      <c r="AX155" s="648"/>
      <c r="AZ155" s="376" t="e">
        <f t="shared" si="47"/>
        <v>#N/A</v>
      </c>
      <c r="BA155" s="648"/>
    </row>
    <row r="156" spans="2:53">
      <c r="B156" s="646"/>
      <c r="C156" s="279">
        <v>10</v>
      </c>
      <c r="D156" s="201"/>
      <c r="E156" s="201"/>
      <c r="F156" s="201"/>
      <c r="G156" s="536"/>
      <c r="H156" s="648"/>
      <c r="I156" s="367" t="str">
        <f t="shared" si="49"/>
        <v>-</v>
      </c>
      <c r="J156" s="367" t="str">
        <f t="shared" si="50"/>
        <v>-</v>
      </c>
      <c r="K156" s="199" t="str">
        <f t="shared" si="51"/>
        <v>-</v>
      </c>
      <c r="L156" s="617"/>
      <c r="M156" s="198" t="e">
        <f>RANK(K156, K$147:$K$176)</f>
        <v>#VALUE!</v>
      </c>
      <c r="N156" s="635"/>
      <c r="O156" s="635"/>
      <c r="P156" s="437"/>
      <c r="Q156" s="388"/>
      <c r="R156" s="388"/>
      <c r="S156" s="484"/>
      <c r="T156" s="648"/>
      <c r="U156" s="437"/>
      <c r="V156" s="388"/>
      <c r="W156" s="388"/>
      <c r="X156" s="484"/>
      <c r="Y156" s="648"/>
      <c r="Z156" s="437"/>
      <c r="AA156" s="388"/>
      <c r="AB156" s="388"/>
      <c r="AC156" s="484"/>
      <c r="AD156" s="648"/>
      <c r="AE156" s="437"/>
      <c r="AF156" s="388"/>
      <c r="AG156" s="388"/>
      <c r="AH156" s="484"/>
      <c r="AI156" s="648"/>
      <c r="AJ156" s="437"/>
      <c r="AK156" s="388"/>
      <c r="AL156" s="388"/>
      <c r="AM156" s="484"/>
      <c r="AN156" s="648"/>
      <c r="AO156" s="437"/>
      <c r="AP156" s="388"/>
      <c r="AQ156" s="388"/>
      <c r="AR156" s="484"/>
      <c r="AS156" s="648"/>
      <c r="AT156" s="437"/>
      <c r="AU156" s="388"/>
      <c r="AV156" s="388"/>
      <c r="AW156" s="484"/>
      <c r="AX156" s="648"/>
      <c r="AZ156" s="376" t="e">
        <f t="shared" si="47"/>
        <v>#N/A</v>
      </c>
      <c r="BA156" s="648"/>
    </row>
    <row r="157" spans="2:53">
      <c r="B157" s="646"/>
      <c r="C157" s="279">
        <v>11</v>
      </c>
      <c r="D157" s="201"/>
      <c r="E157" s="201"/>
      <c r="F157" s="201"/>
      <c r="G157" s="536"/>
      <c r="H157" s="648"/>
      <c r="I157" s="367" t="str">
        <f t="shared" si="49"/>
        <v>-</v>
      </c>
      <c r="J157" s="367" t="str">
        <f t="shared" si="50"/>
        <v>-</v>
      </c>
      <c r="K157" s="199" t="str">
        <f t="shared" si="51"/>
        <v>-</v>
      </c>
      <c r="L157" s="617"/>
      <c r="M157" s="198" t="e">
        <f>RANK(K157, K$147:$K$176)</f>
        <v>#VALUE!</v>
      </c>
      <c r="N157" s="635"/>
      <c r="O157" s="635"/>
      <c r="P157" s="437"/>
      <c r="Q157" s="388"/>
      <c r="R157" s="388"/>
      <c r="S157" s="484"/>
      <c r="T157" s="648"/>
      <c r="U157" s="437"/>
      <c r="V157" s="388"/>
      <c r="W157" s="388"/>
      <c r="X157" s="484"/>
      <c r="Y157" s="648"/>
      <c r="Z157" s="437"/>
      <c r="AA157" s="388"/>
      <c r="AB157" s="388"/>
      <c r="AC157" s="484"/>
      <c r="AD157" s="648"/>
      <c r="AE157" s="437"/>
      <c r="AF157" s="388"/>
      <c r="AG157" s="388"/>
      <c r="AH157" s="484"/>
      <c r="AI157" s="648"/>
      <c r="AJ157" s="437"/>
      <c r="AK157" s="388"/>
      <c r="AL157" s="388"/>
      <c r="AM157" s="484"/>
      <c r="AN157" s="648"/>
      <c r="AO157" s="437"/>
      <c r="AP157" s="388"/>
      <c r="AQ157" s="388"/>
      <c r="AR157" s="484"/>
      <c r="AS157" s="648"/>
      <c r="AT157" s="437"/>
      <c r="AU157" s="388"/>
      <c r="AV157" s="388"/>
      <c r="AW157" s="484"/>
      <c r="AX157" s="648"/>
      <c r="AZ157" s="376" t="e">
        <f t="shared" si="47"/>
        <v>#N/A</v>
      </c>
      <c r="BA157" s="648"/>
    </row>
    <row r="158" spans="2:53">
      <c r="B158" s="646"/>
      <c r="C158" s="279">
        <v>12</v>
      </c>
      <c r="D158" s="538"/>
      <c r="E158" s="201"/>
      <c r="F158" s="201"/>
      <c r="G158" s="536"/>
      <c r="H158" s="648"/>
      <c r="I158" s="367" t="str">
        <f t="shared" si="49"/>
        <v>-</v>
      </c>
      <c r="J158" s="367" t="str">
        <f t="shared" si="50"/>
        <v>-</v>
      </c>
      <c r="K158" s="199" t="str">
        <f t="shared" si="51"/>
        <v>-</v>
      </c>
      <c r="L158" s="617"/>
      <c r="M158" s="198" t="e">
        <f>RANK(K158, K$147:$K$176)</f>
        <v>#VALUE!</v>
      </c>
      <c r="N158" s="635"/>
      <c r="O158" s="635"/>
      <c r="P158" s="437"/>
      <c r="Q158" s="388"/>
      <c r="R158" s="388"/>
      <c r="S158" s="484"/>
      <c r="T158" s="648"/>
      <c r="U158" s="437"/>
      <c r="V158" s="388"/>
      <c r="W158" s="388"/>
      <c r="X158" s="484"/>
      <c r="Y158" s="648"/>
      <c r="Z158" s="437"/>
      <c r="AA158" s="388"/>
      <c r="AB158" s="388"/>
      <c r="AC158" s="484"/>
      <c r="AD158" s="648"/>
      <c r="AE158" s="437"/>
      <c r="AF158" s="388"/>
      <c r="AG158" s="388"/>
      <c r="AH158" s="484"/>
      <c r="AI158" s="648"/>
      <c r="AJ158" s="437"/>
      <c r="AK158" s="388"/>
      <c r="AL158" s="388"/>
      <c r="AM158" s="484"/>
      <c r="AN158" s="648"/>
      <c r="AO158" s="437"/>
      <c r="AP158" s="388"/>
      <c r="AQ158" s="388"/>
      <c r="AR158" s="484"/>
      <c r="AS158" s="648"/>
      <c r="AT158" s="437"/>
      <c r="AU158" s="388"/>
      <c r="AV158" s="388"/>
      <c r="AW158" s="484"/>
      <c r="AX158" s="648"/>
      <c r="AZ158" s="376" t="e">
        <f t="shared" si="47"/>
        <v>#N/A</v>
      </c>
      <c r="BA158" s="648"/>
    </row>
    <row r="159" spans="2:53">
      <c r="B159" s="646"/>
      <c r="C159" s="279">
        <v>13</v>
      </c>
      <c r="D159" s="201"/>
      <c r="E159" s="201"/>
      <c r="F159" s="201"/>
      <c r="G159" s="536"/>
      <c r="H159" s="648"/>
      <c r="I159" s="367" t="str">
        <f t="shared" si="49"/>
        <v>-</v>
      </c>
      <c r="J159" s="367" t="str">
        <f t="shared" si="50"/>
        <v>-</v>
      </c>
      <c r="K159" s="199" t="str">
        <f t="shared" si="51"/>
        <v>-</v>
      </c>
      <c r="L159" s="617"/>
      <c r="M159" s="198" t="e">
        <f>RANK(K159, K$147:$K$176)</f>
        <v>#VALUE!</v>
      </c>
      <c r="N159" s="635"/>
      <c r="O159" s="635"/>
      <c r="P159" s="437"/>
      <c r="Q159" s="388"/>
      <c r="R159" s="388"/>
      <c r="S159" s="484"/>
      <c r="T159" s="648"/>
      <c r="U159" s="437"/>
      <c r="V159" s="388"/>
      <c r="W159" s="388"/>
      <c r="X159" s="484"/>
      <c r="Y159" s="648"/>
      <c r="Z159" s="437"/>
      <c r="AA159" s="388"/>
      <c r="AB159" s="388"/>
      <c r="AC159" s="484"/>
      <c r="AD159" s="648"/>
      <c r="AE159" s="437"/>
      <c r="AF159" s="388"/>
      <c r="AG159" s="388"/>
      <c r="AH159" s="484"/>
      <c r="AI159" s="648"/>
      <c r="AJ159" s="437"/>
      <c r="AK159" s="388"/>
      <c r="AL159" s="388"/>
      <c r="AM159" s="484"/>
      <c r="AN159" s="648"/>
      <c r="AO159" s="437"/>
      <c r="AP159" s="388"/>
      <c r="AQ159" s="388"/>
      <c r="AR159" s="484"/>
      <c r="AS159" s="648"/>
      <c r="AT159" s="437"/>
      <c r="AU159" s="388"/>
      <c r="AV159" s="388"/>
      <c r="AW159" s="484"/>
      <c r="AX159" s="648"/>
      <c r="AZ159" s="376" t="e">
        <f t="shared" si="47"/>
        <v>#N/A</v>
      </c>
      <c r="BA159" s="648"/>
    </row>
    <row r="160" spans="2:53">
      <c r="B160" s="646"/>
      <c r="C160" s="279">
        <v>14</v>
      </c>
      <c r="D160" s="201"/>
      <c r="E160" s="201"/>
      <c r="F160" s="201"/>
      <c r="G160" s="536"/>
      <c r="H160" s="648"/>
      <c r="I160" s="367" t="str">
        <f t="shared" si="49"/>
        <v>-</v>
      </c>
      <c r="J160" s="367" t="str">
        <f t="shared" si="50"/>
        <v>-</v>
      </c>
      <c r="K160" s="199" t="str">
        <f t="shared" si="51"/>
        <v>-</v>
      </c>
      <c r="L160" s="617"/>
      <c r="M160" s="198" t="e">
        <f>RANK(K160, K$147:$K$176)</f>
        <v>#VALUE!</v>
      </c>
      <c r="N160" s="635"/>
      <c r="O160" s="635"/>
      <c r="P160" s="437"/>
      <c r="Q160" s="388"/>
      <c r="R160" s="388"/>
      <c r="S160" s="484"/>
      <c r="T160" s="648"/>
      <c r="U160" s="437"/>
      <c r="V160" s="388"/>
      <c r="W160" s="388"/>
      <c r="X160" s="484"/>
      <c r="Y160" s="648"/>
      <c r="Z160" s="437"/>
      <c r="AA160" s="388"/>
      <c r="AB160" s="388"/>
      <c r="AC160" s="484"/>
      <c r="AD160" s="648"/>
      <c r="AE160" s="437"/>
      <c r="AF160" s="388"/>
      <c r="AG160" s="388"/>
      <c r="AH160" s="484"/>
      <c r="AI160" s="648"/>
      <c r="AJ160" s="437"/>
      <c r="AK160" s="388"/>
      <c r="AL160" s="388"/>
      <c r="AM160" s="484"/>
      <c r="AN160" s="648"/>
      <c r="AO160" s="437"/>
      <c r="AP160" s="388"/>
      <c r="AQ160" s="388"/>
      <c r="AR160" s="484"/>
      <c r="AS160" s="648"/>
      <c r="AT160" s="437"/>
      <c r="AU160" s="388"/>
      <c r="AV160" s="388"/>
      <c r="AW160" s="484"/>
      <c r="AX160" s="648"/>
      <c r="AZ160" s="376" t="e">
        <f t="shared" si="47"/>
        <v>#N/A</v>
      </c>
      <c r="BA160" s="648"/>
    </row>
    <row r="161" spans="2:53">
      <c r="B161" s="646"/>
      <c r="C161" s="279">
        <v>15</v>
      </c>
      <c r="D161" s="538"/>
      <c r="E161" s="201"/>
      <c r="F161" s="201"/>
      <c r="G161" s="536"/>
      <c r="H161" s="648"/>
      <c r="I161" s="367" t="str">
        <f t="shared" si="49"/>
        <v>-</v>
      </c>
      <c r="J161" s="367" t="str">
        <f t="shared" si="50"/>
        <v>-</v>
      </c>
      <c r="K161" s="199" t="str">
        <f t="shared" si="51"/>
        <v>-</v>
      </c>
      <c r="L161" s="617"/>
      <c r="M161" s="198" t="e">
        <f>RANK(K161, K$147:$K$176)</f>
        <v>#VALUE!</v>
      </c>
      <c r="N161" s="635"/>
      <c r="O161" s="635"/>
      <c r="P161" s="437"/>
      <c r="Q161" s="388"/>
      <c r="R161" s="388"/>
      <c r="S161" s="484"/>
      <c r="T161" s="648"/>
      <c r="U161" s="437"/>
      <c r="V161" s="388"/>
      <c r="W161" s="388"/>
      <c r="X161" s="484"/>
      <c r="Y161" s="648"/>
      <c r="Z161" s="437"/>
      <c r="AA161" s="388"/>
      <c r="AB161" s="388"/>
      <c r="AC161" s="484"/>
      <c r="AD161" s="648"/>
      <c r="AE161" s="437"/>
      <c r="AF161" s="388"/>
      <c r="AG161" s="388"/>
      <c r="AH161" s="484"/>
      <c r="AI161" s="648"/>
      <c r="AJ161" s="437"/>
      <c r="AK161" s="388"/>
      <c r="AL161" s="388"/>
      <c r="AM161" s="484"/>
      <c r="AN161" s="648"/>
      <c r="AO161" s="437"/>
      <c r="AP161" s="388"/>
      <c r="AQ161" s="388"/>
      <c r="AR161" s="484"/>
      <c r="AS161" s="648"/>
      <c r="AT161" s="437"/>
      <c r="AU161" s="388"/>
      <c r="AV161" s="388"/>
      <c r="AW161" s="484"/>
      <c r="AX161" s="648"/>
      <c r="AZ161" s="376" t="e">
        <f t="shared" si="47"/>
        <v>#N/A</v>
      </c>
      <c r="BA161" s="648"/>
    </row>
    <row r="162" spans="2:53">
      <c r="B162" s="646"/>
      <c r="C162" s="279">
        <v>16</v>
      </c>
      <c r="D162" s="201"/>
      <c r="E162" s="201"/>
      <c r="F162" s="201"/>
      <c r="G162" s="536"/>
      <c r="H162" s="648"/>
      <c r="I162" s="367" t="str">
        <f t="shared" si="49"/>
        <v>-</v>
      </c>
      <c r="J162" s="367" t="str">
        <f t="shared" si="50"/>
        <v>-</v>
      </c>
      <c r="K162" s="199" t="str">
        <f t="shared" si="51"/>
        <v>-</v>
      </c>
      <c r="L162" s="617"/>
      <c r="M162" s="198" t="e">
        <f>RANK(K162, K$147:$K$176)</f>
        <v>#VALUE!</v>
      </c>
      <c r="N162" s="635"/>
      <c r="O162" s="635"/>
      <c r="P162" s="437"/>
      <c r="Q162" s="388"/>
      <c r="R162" s="388"/>
      <c r="S162" s="484"/>
      <c r="T162" s="648"/>
      <c r="U162" s="437"/>
      <c r="V162" s="388"/>
      <c r="W162" s="388"/>
      <c r="X162" s="484"/>
      <c r="Y162" s="648"/>
      <c r="Z162" s="437"/>
      <c r="AA162" s="388"/>
      <c r="AB162" s="388"/>
      <c r="AC162" s="484"/>
      <c r="AD162" s="648"/>
      <c r="AE162" s="437"/>
      <c r="AF162" s="388"/>
      <c r="AG162" s="388"/>
      <c r="AH162" s="484"/>
      <c r="AI162" s="648"/>
      <c r="AJ162" s="437"/>
      <c r="AK162" s="388"/>
      <c r="AL162" s="388"/>
      <c r="AM162" s="484"/>
      <c r="AN162" s="648"/>
      <c r="AO162" s="437"/>
      <c r="AP162" s="388"/>
      <c r="AQ162" s="388"/>
      <c r="AR162" s="484"/>
      <c r="AS162" s="648"/>
      <c r="AT162" s="437"/>
      <c r="AU162" s="388"/>
      <c r="AV162" s="388"/>
      <c r="AW162" s="484"/>
      <c r="AX162" s="648"/>
      <c r="AZ162" s="376" t="e">
        <f t="shared" si="47"/>
        <v>#N/A</v>
      </c>
      <c r="BA162" s="648"/>
    </row>
    <row r="163" spans="2:53">
      <c r="B163" s="646"/>
      <c r="C163" s="279">
        <v>17</v>
      </c>
      <c r="D163" s="201"/>
      <c r="E163" s="201"/>
      <c r="F163" s="201"/>
      <c r="G163" s="536"/>
      <c r="H163" s="648"/>
      <c r="I163" s="367" t="str">
        <f t="shared" si="49"/>
        <v>-</v>
      </c>
      <c r="J163" s="367" t="str">
        <f t="shared" si="50"/>
        <v>-</v>
      </c>
      <c r="K163" s="199" t="str">
        <f t="shared" si="51"/>
        <v>-</v>
      </c>
      <c r="L163" s="617"/>
      <c r="M163" s="198" t="e">
        <f>RANK(K163, K$147:$K$176)</f>
        <v>#VALUE!</v>
      </c>
      <c r="N163" s="635"/>
      <c r="O163" s="635"/>
      <c r="P163" s="437"/>
      <c r="Q163" s="388"/>
      <c r="R163" s="388"/>
      <c r="S163" s="484"/>
      <c r="T163" s="648"/>
      <c r="U163" s="437"/>
      <c r="V163" s="388"/>
      <c r="W163" s="388"/>
      <c r="X163" s="484"/>
      <c r="Y163" s="648"/>
      <c r="Z163" s="437"/>
      <c r="AA163" s="388"/>
      <c r="AB163" s="388"/>
      <c r="AC163" s="484"/>
      <c r="AD163" s="648"/>
      <c r="AE163" s="437"/>
      <c r="AF163" s="388"/>
      <c r="AG163" s="388"/>
      <c r="AH163" s="484"/>
      <c r="AI163" s="648"/>
      <c r="AJ163" s="437"/>
      <c r="AK163" s="388"/>
      <c r="AL163" s="388"/>
      <c r="AM163" s="484"/>
      <c r="AN163" s="648"/>
      <c r="AO163" s="437"/>
      <c r="AP163" s="388"/>
      <c r="AQ163" s="388"/>
      <c r="AR163" s="484"/>
      <c r="AS163" s="648"/>
      <c r="AT163" s="437"/>
      <c r="AU163" s="388"/>
      <c r="AV163" s="388"/>
      <c r="AW163" s="484"/>
      <c r="AX163" s="648"/>
      <c r="AZ163" s="376" t="e">
        <f t="shared" si="47"/>
        <v>#N/A</v>
      </c>
      <c r="BA163" s="648"/>
    </row>
    <row r="164" spans="2:53">
      <c r="B164" s="646"/>
      <c r="C164" s="279">
        <v>18</v>
      </c>
      <c r="D164" s="538"/>
      <c r="E164" s="201"/>
      <c r="F164" s="201"/>
      <c r="G164" s="536"/>
      <c r="H164" s="648"/>
      <c r="I164" s="367" t="str">
        <f t="shared" si="49"/>
        <v>-</v>
      </c>
      <c r="J164" s="367" t="str">
        <f t="shared" si="50"/>
        <v>-</v>
      </c>
      <c r="K164" s="199" t="str">
        <f t="shared" si="51"/>
        <v>-</v>
      </c>
      <c r="L164" s="617"/>
      <c r="M164" s="198" t="e">
        <f>RANK(K164, K$147:$K$176)</f>
        <v>#VALUE!</v>
      </c>
      <c r="N164" s="635"/>
      <c r="O164" s="635"/>
      <c r="P164" s="437"/>
      <c r="Q164" s="388"/>
      <c r="R164" s="388"/>
      <c r="S164" s="484"/>
      <c r="T164" s="648"/>
      <c r="U164" s="437"/>
      <c r="V164" s="388"/>
      <c r="W164" s="388"/>
      <c r="X164" s="484"/>
      <c r="Y164" s="648"/>
      <c r="Z164" s="437"/>
      <c r="AA164" s="388"/>
      <c r="AB164" s="388"/>
      <c r="AC164" s="484"/>
      <c r="AD164" s="648"/>
      <c r="AE164" s="437"/>
      <c r="AF164" s="388"/>
      <c r="AG164" s="388"/>
      <c r="AH164" s="484"/>
      <c r="AI164" s="648"/>
      <c r="AJ164" s="437"/>
      <c r="AK164" s="388"/>
      <c r="AL164" s="388"/>
      <c r="AM164" s="484"/>
      <c r="AN164" s="648"/>
      <c r="AO164" s="437"/>
      <c r="AP164" s="388"/>
      <c r="AQ164" s="388"/>
      <c r="AR164" s="484"/>
      <c r="AS164" s="648"/>
      <c r="AT164" s="437"/>
      <c r="AU164" s="388"/>
      <c r="AV164" s="388"/>
      <c r="AW164" s="484"/>
      <c r="AX164" s="648"/>
      <c r="AZ164" s="376" t="e">
        <f t="shared" si="47"/>
        <v>#N/A</v>
      </c>
      <c r="BA164" s="648"/>
    </row>
    <row r="165" spans="2:53">
      <c r="B165" s="646"/>
      <c r="C165" s="279">
        <v>19</v>
      </c>
      <c r="D165" s="538"/>
      <c r="E165" s="201"/>
      <c r="F165" s="201"/>
      <c r="G165" s="536"/>
      <c r="H165" s="648"/>
      <c r="I165" s="367" t="str">
        <f t="shared" si="49"/>
        <v>-</v>
      </c>
      <c r="J165" s="367" t="str">
        <f t="shared" si="50"/>
        <v>-</v>
      </c>
      <c r="K165" s="199" t="str">
        <f t="shared" si="51"/>
        <v>-</v>
      </c>
      <c r="L165" s="617"/>
      <c r="M165" s="198" t="e">
        <f>RANK(K165, K$147:$K$176)</f>
        <v>#VALUE!</v>
      </c>
      <c r="N165" s="635"/>
      <c r="O165" s="635"/>
      <c r="P165" s="437"/>
      <c r="Q165" s="388"/>
      <c r="R165" s="388"/>
      <c r="S165" s="484"/>
      <c r="T165" s="648"/>
      <c r="U165" s="437"/>
      <c r="V165" s="388"/>
      <c r="W165" s="388"/>
      <c r="X165" s="484"/>
      <c r="Y165" s="648"/>
      <c r="Z165" s="437"/>
      <c r="AA165" s="388"/>
      <c r="AB165" s="388"/>
      <c r="AC165" s="484"/>
      <c r="AD165" s="648"/>
      <c r="AE165" s="437"/>
      <c r="AF165" s="388"/>
      <c r="AG165" s="388"/>
      <c r="AH165" s="484"/>
      <c r="AI165" s="648"/>
      <c r="AJ165" s="437"/>
      <c r="AK165" s="388"/>
      <c r="AL165" s="388"/>
      <c r="AM165" s="484"/>
      <c r="AN165" s="648"/>
      <c r="AO165" s="437"/>
      <c r="AP165" s="388"/>
      <c r="AQ165" s="388"/>
      <c r="AR165" s="484"/>
      <c r="AS165" s="648"/>
      <c r="AT165" s="437"/>
      <c r="AU165" s="388"/>
      <c r="AV165" s="388"/>
      <c r="AW165" s="484"/>
      <c r="AX165" s="648"/>
      <c r="AZ165" s="376" t="e">
        <f t="shared" si="47"/>
        <v>#N/A</v>
      </c>
      <c r="BA165" s="648"/>
    </row>
    <row r="166" spans="2:53">
      <c r="B166" s="646"/>
      <c r="C166" s="279">
        <v>20</v>
      </c>
      <c r="D166" s="538"/>
      <c r="E166" s="201"/>
      <c r="F166" s="201"/>
      <c r="G166" s="536"/>
      <c r="H166" s="648"/>
      <c r="I166" s="367" t="str">
        <f t="shared" si="49"/>
        <v>-</v>
      </c>
      <c r="J166" s="367" t="str">
        <f t="shared" si="50"/>
        <v>-</v>
      </c>
      <c r="K166" s="199" t="str">
        <f t="shared" si="51"/>
        <v>-</v>
      </c>
      <c r="L166" s="617"/>
      <c r="M166" s="198" t="e">
        <f>RANK(K166, K$147:$K$176)</f>
        <v>#VALUE!</v>
      </c>
      <c r="N166" s="635"/>
      <c r="O166" s="635"/>
      <c r="P166" s="437"/>
      <c r="Q166" s="388"/>
      <c r="R166" s="388"/>
      <c r="S166" s="484"/>
      <c r="T166" s="648"/>
      <c r="U166" s="437"/>
      <c r="V166" s="388"/>
      <c r="W166" s="388"/>
      <c r="X166" s="484"/>
      <c r="Y166" s="648"/>
      <c r="Z166" s="437"/>
      <c r="AA166" s="388"/>
      <c r="AB166" s="388"/>
      <c r="AC166" s="484"/>
      <c r="AD166" s="648"/>
      <c r="AE166" s="437"/>
      <c r="AF166" s="388"/>
      <c r="AG166" s="388"/>
      <c r="AH166" s="484"/>
      <c r="AI166" s="648"/>
      <c r="AJ166" s="437"/>
      <c r="AK166" s="388"/>
      <c r="AL166" s="388"/>
      <c r="AM166" s="484"/>
      <c r="AN166" s="648"/>
      <c r="AO166" s="437"/>
      <c r="AP166" s="388"/>
      <c r="AQ166" s="388"/>
      <c r="AR166" s="484"/>
      <c r="AS166" s="648"/>
      <c r="AT166" s="437"/>
      <c r="AU166" s="388"/>
      <c r="AV166" s="388"/>
      <c r="AW166" s="484"/>
      <c r="AX166" s="648"/>
      <c r="AZ166" s="376" t="e">
        <f t="shared" si="47"/>
        <v>#N/A</v>
      </c>
      <c r="BA166" s="648"/>
    </row>
    <row r="167" spans="2:53">
      <c r="B167" s="646"/>
      <c r="C167" s="279">
        <v>21</v>
      </c>
      <c r="D167" s="538"/>
      <c r="E167" s="201"/>
      <c r="F167" s="201"/>
      <c r="G167" s="536"/>
      <c r="H167" s="648"/>
      <c r="I167" s="367" t="str">
        <f t="shared" si="49"/>
        <v>-</v>
      </c>
      <c r="J167" s="367" t="str">
        <f t="shared" si="50"/>
        <v>-</v>
      </c>
      <c r="K167" s="199" t="str">
        <f t="shared" si="51"/>
        <v>-</v>
      </c>
      <c r="L167" s="617"/>
      <c r="M167" s="198" t="e">
        <f>RANK(K167, K$147:$K$176)</f>
        <v>#VALUE!</v>
      </c>
      <c r="N167" s="635"/>
      <c r="O167" s="635"/>
      <c r="P167" s="437"/>
      <c r="Q167" s="388"/>
      <c r="R167" s="388"/>
      <c r="S167" s="484"/>
      <c r="T167" s="648"/>
      <c r="U167" s="437"/>
      <c r="V167" s="388"/>
      <c r="W167" s="388"/>
      <c r="X167" s="484"/>
      <c r="Y167" s="648"/>
      <c r="Z167" s="437"/>
      <c r="AA167" s="388"/>
      <c r="AB167" s="388"/>
      <c r="AC167" s="484"/>
      <c r="AD167" s="648"/>
      <c r="AE167" s="437"/>
      <c r="AF167" s="388"/>
      <c r="AG167" s="388"/>
      <c r="AH167" s="484"/>
      <c r="AI167" s="648"/>
      <c r="AJ167" s="437"/>
      <c r="AK167" s="388"/>
      <c r="AL167" s="388"/>
      <c r="AM167" s="484"/>
      <c r="AN167" s="648"/>
      <c r="AO167" s="437"/>
      <c r="AP167" s="388"/>
      <c r="AQ167" s="388"/>
      <c r="AR167" s="484"/>
      <c r="AS167" s="648"/>
      <c r="AT167" s="437"/>
      <c r="AU167" s="388"/>
      <c r="AV167" s="388"/>
      <c r="AW167" s="484"/>
      <c r="AX167" s="648"/>
      <c r="AZ167" s="376" t="e">
        <f t="shared" si="47"/>
        <v>#N/A</v>
      </c>
      <c r="BA167" s="648"/>
    </row>
    <row r="168" spans="2:53">
      <c r="B168" s="646"/>
      <c r="C168" s="279">
        <v>22</v>
      </c>
      <c r="D168" s="538"/>
      <c r="E168" s="201"/>
      <c r="F168" s="201"/>
      <c r="G168" s="536"/>
      <c r="H168" s="648"/>
      <c r="I168" s="367" t="str">
        <f t="shared" si="49"/>
        <v>-</v>
      </c>
      <c r="J168" s="367" t="str">
        <f t="shared" si="50"/>
        <v>-</v>
      </c>
      <c r="K168" s="199" t="str">
        <f t="shared" si="51"/>
        <v>-</v>
      </c>
      <c r="L168" s="617"/>
      <c r="M168" s="198" t="e">
        <f>RANK(K168, K$147:$K$176)</f>
        <v>#VALUE!</v>
      </c>
      <c r="N168" s="635"/>
      <c r="O168" s="635"/>
      <c r="P168" s="437"/>
      <c r="Q168" s="388"/>
      <c r="R168" s="388"/>
      <c r="S168" s="484"/>
      <c r="T168" s="648"/>
      <c r="U168" s="437"/>
      <c r="V168" s="388"/>
      <c r="W168" s="388"/>
      <c r="X168" s="484"/>
      <c r="Y168" s="648"/>
      <c r="Z168" s="437"/>
      <c r="AA168" s="388"/>
      <c r="AB168" s="388"/>
      <c r="AC168" s="484"/>
      <c r="AD168" s="648"/>
      <c r="AE168" s="437"/>
      <c r="AF168" s="388"/>
      <c r="AG168" s="388"/>
      <c r="AH168" s="484"/>
      <c r="AI168" s="648"/>
      <c r="AJ168" s="437"/>
      <c r="AK168" s="388"/>
      <c r="AL168" s="388"/>
      <c r="AM168" s="484"/>
      <c r="AN168" s="648"/>
      <c r="AO168" s="437"/>
      <c r="AP168" s="388"/>
      <c r="AQ168" s="388"/>
      <c r="AR168" s="484"/>
      <c r="AS168" s="648"/>
      <c r="AT168" s="437"/>
      <c r="AU168" s="388"/>
      <c r="AV168" s="388"/>
      <c r="AW168" s="484"/>
      <c r="AX168" s="648"/>
      <c r="AZ168" s="376" t="e">
        <f t="shared" si="47"/>
        <v>#N/A</v>
      </c>
      <c r="BA168" s="648"/>
    </row>
    <row r="169" spans="2:53">
      <c r="B169" s="646"/>
      <c r="C169" s="279">
        <v>23</v>
      </c>
      <c r="D169" s="201"/>
      <c r="E169" s="201"/>
      <c r="F169" s="201"/>
      <c r="G169" s="536"/>
      <c r="H169" s="648"/>
      <c r="I169" s="367" t="str">
        <f t="shared" si="49"/>
        <v>-</v>
      </c>
      <c r="J169" s="367" t="str">
        <f t="shared" si="50"/>
        <v>-</v>
      </c>
      <c r="K169" s="199" t="str">
        <f t="shared" si="51"/>
        <v>-</v>
      </c>
      <c r="L169" s="617"/>
      <c r="M169" s="198" t="e">
        <f>RANK(K169, K$147:$K$176)</f>
        <v>#VALUE!</v>
      </c>
      <c r="N169" s="635"/>
      <c r="O169" s="635"/>
      <c r="P169" s="437"/>
      <c r="Q169" s="388"/>
      <c r="R169" s="388"/>
      <c r="S169" s="484"/>
      <c r="T169" s="648"/>
      <c r="U169" s="437"/>
      <c r="V169" s="388"/>
      <c r="W169" s="388"/>
      <c r="X169" s="484"/>
      <c r="Y169" s="648"/>
      <c r="Z169" s="437"/>
      <c r="AA169" s="388"/>
      <c r="AB169" s="388"/>
      <c r="AC169" s="484"/>
      <c r="AD169" s="648"/>
      <c r="AE169" s="437"/>
      <c r="AF169" s="388"/>
      <c r="AG169" s="388"/>
      <c r="AH169" s="484"/>
      <c r="AI169" s="648"/>
      <c r="AJ169" s="437"/>
      <c r="AK169" s="388"/>
      <c r="AL169" s="388"/>
      <c r="AM169" s="484"/>
      <c r="AN169" s="648"/>
      <c r="AO169" s="437"/>
      <c r="AP169" s="388"/>
      <c r="AQ169" s="388"/>
      <c r="AR169" s="484"/>
      <c r="AS169" s="648"/>
      <c r="AT169" s="437"/>
      <c r="AU169" s="388"/>
      <c r="AV169" s="388"/>
      <c r="AW169" s="484"/>
      <c r="AX169" s="648"/>
      <c r="AZ169" s="376" t="e">
        <f t="shared" si="47"/>
        <v>#N/A</v>
      </c>
      <c r="BA169" s="648"/>
    </row>
    <row r="170" spans="2:53">
      <c r="B170" s="646"/>
      <c r="C170" s="279">
        <v>24</v>
      </c>
      <c r="D170" s="538"/>
      <c r="E170" s="201"/>
      <c r="F170" s="201"/>
      <c r="G170" s="536"/>
      <c r="H170" s="648"/>
      <c r="I170" s="367" t="str">
        <f t="shared" si="49"/>
        <v>-</v>
      </c>
      <c r="J170" s="367" t="str">
        <f t="shared" si="50"/>
        <v>-</v>
      </c>
      <c r="K170" s="199" t="str">
        <f t="shared" si="51"/>
        <v>-</v>
      </c>
      <c r="L170" s="617"/>
      <c r="M170" s="198" t="e">
        <f>RANK(K170, K$147:$K$176)</f>
        <v>#VALUE!</v>
      </c>
      <c r="N170" s="635"/>
      <c r="O170" s="635"/>
      <c r="P170" s="437"/>
      <c r="Q170" s="388"/>
      <c r="R170" s="388"/>
      <c r="S170" s="484"/>
      <c r="T170" s="648"/>
      <c r="U170" s="437"/>
      <c r="V170" s="388"/>
      <c r="W170" s="388"/>
      <c r="X170" s="484"/>
      <c r="Y170" s="648"/>
      <c r="Z170" s="437"/>
      <c r="AA170" s="388"/>
      <c r="AB170" s="388"/>
      <c r="AC170" s="484"/>
      <c r="AD170" s="648"/>
      <c r="AE170" s="437"/>
      <c r="AF170" s="388"/>
      <c r="AG170" s="388"/>
      <c r="AH170" s="484"/>
      <c r="AI170" s="648"/>
      <c r="AJ170" s="437"/>
      <c r="AK170" s="388"/>
      <c r="AL170" s="388"/>
      <c r="AM170" s="484"/>
      <c r="AN170" s="648"/>
      <c r="AO170" s="437"/>
      <c r="AP170" s="388"/>
      <c r="AQ170" s="388"/>
      <c r="AR170" s="484"/>
      <c r="AS170" s="648"/>
      <c r="AT170" s="437"/>
      <c r="AU170" s="388"/>
      <c r="AV170" s="388"/>
      <c r="AW170" s="484"/>
      <c r="AX170" s="648"/>
      <c r="AZ170" s="376" t="e">
        <f t="shared" si="47"/>
        <v>#N/A</v>
      </c>
      <c r="BA170" s="648"/>
    </row>
    <row r="171" spans="2:53">
      <c r="B171" s="646"/>
      <c r="C171" s="279">
        <v>25</v>
      </c>
      <c r="D171" s="201"/>
      <c r="E171" s="201"/>
      <c r="F171" s="201"/>
      <c r="G171" s="536"/>
      <c r="H171" s="648"/>
      <c r="I171" s="367" t="str">
        <f t="shared" si="49"/>
        <v>-</v>
      </c>
      <c r="J171" s="367" t="str">
        <f t="shared" si="50"/>
        <v>-</v>
      </c>
      <c r="K171" s="199" t="str">
        <f t="shared" si="51"/>
        <v>-</v>
      </c>
      <c r="L171" s="617"/>
      <c r="M171" s="198" t="e">
        <f>RANK(K171, K$147:$K$176)</f>
        <v>#VALUE!</v>
      </c>
      <c r="N171" s="635"/>
      <c r="O171" s="635"/>
      <c r="P171" s="437"/>
      <c r="Q171" s="388"/>
      <c r="R171" s="388"/>
      <c r="S171" s="484"/>
      <c r="T171" s="648"/>
      <c r="U171" s="437"/>
      <c r="V171" s="388"/>
      <c r="W171" s="388"/>
      <c r="X171" s="484"/>
      <c r="Y171" s="648"/>
      <c r="Z171" s="437"/>
      <c r="AA171" s="388"/>
      <c r="AB171" s="388"/>
      <c r="AC171" s="484"/>
      <c r="AD171" s="648"/>
      <c r="AE171" s="437"/>
      <c r="AF171" s="388"/>
      <c r="AG171" s="388"/>
      <c r="AH171" s="484"/>
      <c r="AI171" s="648"/>
      <c r="AJ171" s="437"/>
      <c r="AK171" s="388"/>
      <c r="AL171" s="388"/>
      <c r="AM171" s="484"/>
      <c r="AN171" s="648"/>
      <c r="AO171" s="437"/>
      <c r="AP171" s="388"/>
      <c r="AQ171" s="388"/>
      <c r="AR171" s="484"/>
      <c r="AS171" s="648"/>
      <c r="AT171" s="437"/>
      <c r="AU171" s="388"/>
      <c r="AV171" s="388"/>
      <c r="AW171" s="484"/>
      <c r="AX171" s="648"/>
      <c r="AZ171" s="376" t="e">
        <f t="shared" si="47"/>
        <v>#N/A</v>
      </c>
      <c r="BA171" s="648"/>
    </row>
    <row r="172" spans="2:53">
      <c r="B172" s="646"/>
      <c r="C172" s="279">
        <v>26</v>
      </c>
      <c r="D172" s="201"/>
      <c r="E172" s="201"/>
      <c r="F172" s="201"/>
      <c r="G172" s="536"/>
      <c r="H172" s="648"/>
      <c r="I172" s="367" t="str">
        <f t="shared" si="49"/>
        <v>-</v>
      </c>
      <c r="J172" s="367" t="str">
        <f t="shared" si="50"/>
        <v>-</v>
      </c>
      <c r="K172" s="199" t="str">
        <f t="shared" si="51"/>
        <v>-</v>
      </c>
      <c r="L172" s="617"/>
      <c r="M172" s="198" t="e">
        <f>RANK(K172, K$147:$K$176)</f>
        <v>#VALUE!</v>
      </c>
      <c r="N172" s="635"/>
      <c r="O172" s="635"/>
      <c r="P172" s="437"/>
      <c r="Q172" s="388"/>
      <c r="R172" s="388"/>
      <c r="S172" s="484"/>
      <c r="T172" s="648"/>
      <c r="U172" s="437"/>
      <c r="V172" s="388"/>
      <c r="W172" s="388"/>
      <c r="X172" s="484"/>
      <c r="Y172" s="648"/>
      <c r="Z172" s="437"/>
      <c r="AA172" s="388"/>
      <c r="AB172" s="388"/>
      <c r="AC172" s="484"/>
      <c r="AD172" s="648"/>
      <c r="AE172" s="437"/>
      <c r="AF172" s="388"/>
      <c r="AG172" s="388"/>
      <c r="AH172" s="484"/>
      <c r="AI172" s="648"/>
      <c r="AJ172" s="437"/>
      <c r="AK172" s="388"/>
      <c r="AL172" s="388"/>
      <c r="AM172" s="484"/>
      <c r="AN172" s="648"/>
      <c r="AO172" s="437"/>
      <c r="AP172" s="388"/>
      <c r="AQ172" s="388"/>
      <c r="AR172" s="484"/>
      <c r="AS172" s="648"/>
      <c r="AT172" s="437"/>
      <c r="AU172" s="388"/>
      <c r="AV172" s="388"/>
      <c r="AW172" s="484"/>
      <c r="AX172" s="648"/>
      <c r="AZ172" s="376" t="e">
        <f t="shared" si="47"/>
        <v>#N/A</v>
      </c>
      <c r="BA172" s="648"/>
    </row>
    <row r="173" spans="2:53">
      <c r="B173" s="646"/>
      <c r="C173" s="279">
        <v>27</v>
      </c>
      <c r="D173" s="201"/>
      <c r="E173" s="201"/>
      <c r="F173" s="201"/>
      <c r="G173" s="536"/>
      <c r="H173" s="648"/>
      <c r="I173" s="367" t="str">
        <f t="shared" si="49"/>
        <v>-</v>
      </c>
      <c r="J173" s="367" t="str">
        <f t="shared" si="50"/>
        <v>-</v>
      </c>
      <c r="K173" s="199" t="str">
        <f t="shared" si="51"/>
        <v>-</v>
      </c>
      <c r="L173" s="617"/>
      <c r="M173" s="198" t="e">
        <f>RANK(K173, K$147:$K$176)</f>
        <v>#VALUE!</v>
      </c>
      <c r="N173" s="635"/>
      <c r="O173" s="635"/>
      <c r="P173" s="437"/>
      <c r="Q173" s="388"/>
      <c r="R173" s="388"/>
      <c r="S173" s="484"/>
      <c r="T173" s="648"/>
      <c r="U173" s="437"/>
      <c r="V173" s="388"/>
      <c r="W173" s="388"/>
      <c r="X173" s="484"/>
      <c r="Y173" s="648"/>
      <c r="Z173" s="437"/>
      <c r="AA173" s="388"/>
      <c r="AB173" s="388"/>
      <c r="AC173" s="484"/>
      <c r="AD173" s="648"/>
      <c r="AE173" s="437"/>
      <c r="AF173" s="388"/>
      <c r="AG173" s="388"/>
      <c r="AH173" s="484"/>
      <c r="AI173" s="648"/>
      <c r="AJ173" s="437"/>
      <c r="AK173" s="388"/>
      <c r="AL173" s="388"/>
      <c r="AM173" s="484"/>
      <c r="AN173" s="648"/>
      <c r="AO173" s="437"/>
      <c r="AP173" s="388"/>
      <c r="AQ173" s="388"/>
      <c r="AR173" s="484"/>
      <c r="AS173" s="648"/>
      <c r="AT173" s="437"/>
      <c r="AU173" s="388"/>
      <c r="AV173" s="388"/>
      <c r="AW173" s="484"/>
      <c r="AX173" s="648"/>
      <c r="AZ173" s="376" t="e">
        <f t="shared" si="47"/>
        <v>#N/A</v>
      </c>
      <c r="BA173" s="648"/>
    </row>
    <row r="174" spans="2:53">
      <c r="B174" s="646"/>
      <c r="C174" s="279">
        <v>28</v>
      </c>
      <c r="D174" s="201"/>
      <c r="E174" s="201"/>
      <c r="F174" s="201"/>
      <c r="G174" s="201"/>
      <c r="H174" s="648"/>
      <c r="I174" s="367" t="str">
        <f t="shared" si="49"/>
        <v>-</v>
      </c>
      <c r="J174" s="367" t="str">
        <f t="shared" si="50"/>
        <v>-</v>
      </c>
      <c r="K174" s="199" t="str">
        <f t="shared" si="51"/>
        <v>-</v>
      </c>
      <c r="L174" s="617"/>
      <c r="M174" s="198" t="e">
        <f>RANK(K174, K$147:$K$176)</f>
        <v>#VALUE!</v>
      </c>
      <c r="N174" s="635"/>
      <c r="O174" s="635"/>
      <c r="P174" s="437"/>
      <c r="Q174" s="388"/>
      <c r="R174" s="388"/>
      <c r="S174" s="484"/>
      <c r="T174" s="648"/>
      <c r="U174" s="437"/>
      <c r="V174" s="388"/>
      <c r="W174" s="388"/>
      <c r="X174" s="484"/>
      <c r="Y174" s="648"/>
      <c r="Z174" s="437"/>
      <c r="AA174" s="388"/>
      <c r="AB174" s="388"/>
      <c r="AC174" s="484"/>
      <c r="AD174" s="648"/>
      <c r="AE174" s="437"/>
      <c r="AF174" s="388"/>
      <c r="AG174" s="388"/>
      <c r="AH174" s="484"/>
      <c r="AI174" s="648"/>
      <c r="AJ174" s="437"/>
      <c r="AK174" s="388"/>
      <c r="AL174" s="388"/>
      <c r="AM174" s="484"/>
      <c r="AN174" s="648"/>
      <c r="AO174" s="437"/>
      <c r="AP174" s="388"/>
      <c r="AQ174" s="388"/>
      <c r="AR174" s="484"/>
      <c r="AS174" s="648"/>
      <c r="AT174" s="437"/>
      <c r="AU174" s="388"/>
      <c r="AV174" s="388"/>
      <c r="AW174" s="484"/>
      <c r="AX174" s="648"/>
      <c r="AZ174" s="376" t="e">
        <f t="shared" si="47"/>
        <v>#N/A</v>
      </c>
      <c r="BA174" s="648"/>
    </row>
    <row r="175" spans="2:53">
      <c r="B175" s="646"/>
      <c r="C175" s="279">
        <v>29</v>
      </c>
      <c r="D175" s="201"/>
      <c r="E175" s="201"/>
      <c r="F175" s="201"/>
      <c r="G175" s="201"/>
      <c r="H175" s="648"/>
      <c r="I175" s="367" t="str">
        <f t="shared" si="49"/>
        <v>-</v>
      </c>
      <c r="J175" s="367" t="str">
        <f t="shared" si="50"/>
        <v>-</v>
      </c>
      <c r="K175" s="199" t="str">
        <f t="shared" si="51"/>
        <v>-</v>
      </c>
      <c r="L175" s="617"/>
      <c r="M175" s="198" t="e">
        <f>RANK(K175, K$147:$K$176)</f>
        <v>#VALUE!</v>
      </c>
      <c r="N175" s="635"/>
      <c r="O175" s="635"/>
      <c r="P175" s="437"/>
      <c r="Q175" s="388"/>
      <c r="R175" s="388"/>
      <c r="S175" s="484"/>
      <c r="T175" s="648"/>
      <c r="U175" s="437"/>
      <c r="V175" s="388"/>
      <c r="W175" s="388"/>
      <c r="X175" s="484"/>
      <c r="Y175" s="648"/>
      <c r="Z175" s="437"/>
      <c r="AA175" s="388"/>
      <c r="AB175" s="388"/>
      <c r="AC175" s="484"/>
      <c r="AD175" s="648"/>
      <c r="AE175" s="437"/>
      <c r="AF175" s="388"/>
      <c r="AG175" s="388"/>
      <c r="AH175" s="484"/>
      <c r="AI175" s="648"/>
      <c r="AJ175" s="437"/>
      <c r="AK175" s="388"/>
      <c r="AL175" s="388"/>
      <c r="AM175" s="484"/>
      <c r="AN175" s="648"/>
      <c r="AO175" s="437"/>
      <c r="AP175" s="388"/>
      <c r="AQ175" s="388"/>
      <c r="AR175" s="484"/>
      <c r="AS175" s="648"/>
      <c r="AT175" s="437"/>
      <c r="AU175" s="388"/>
      <c r="AV175" s="388"/>
      <c r="AW175" s="484"/>
      <c r="AX175" s="648"/>
      <c r="AZ175" s="376" t="e">
        <f t="shared" si="47"/>
        <v>#N/A</v>
      </c>
      <c r="BA175" s="648"/>
    </row>
    <row r="176" spans="2:53">
      <c r="B176" s="646"/>
      <c r="C176" s="279">
        <v>30</v>
      </c>
      <c r="D176" s="201"/>
      <c r="E176" s="201"/>
      <c r="F176" s="201"/>
      <c r="G176" s="201"/>
      <c r="H176" s="649"/>
      <c r="I176" s="367" t="str">
        <f t="shared" si="49"/>
        <v>-</v>
      </c>
      <c r="J176" s="367" t="str">
        <f t="shared" si="50"/>
        <v>-</v>
      </c>
      <c r="K176" s="199" t="str">
        <f t="shared" si="51"/>
        <v>-</v>
      </c>
      <c r="L176" s="618"/>
      <c r="M176" s="198" t="e">
        <f>RANK(K176, K$147:$K$176)</f>
        <v>#VALUE!</v>
      </c>
      <c r="N176" s="635"/>
      <c r="O176" s="635"/>
      <c r="P176" s="437"/>
      <c r="Q176" s="388"/>
      <c r="R176" s="388"/>
      <c r="S176" s="484"/>
      <c r="T176" s="649"/>
      <c r="U176" s="437"/>
      <c r="V176" s="388"/>
      <c r="W176" s="388"/>
      <c r="X176" s="484"/>
      <c r="Y176" s="649"/>
      <c r="Z176" s="437"/>
      <c r="AA176" s="388"/>
      <c r="AB176" s="388"/>
      <c r="AC176" s="484"/>
      <c r="AD176" s="649"/>
      <c r="AE176" s="437"/>
      <c r="AF176" s="388"/>
      <c r="AG176" s="388"/>
      <c r="AH176" s="484"/>
      <c r="AI176" s="649"/>
      <c r="AJ176" s="437"/>
      <c r="AK176" s="388"/>
      <c r="AL176" s="388"/>
      <c r="AM176" s="484"/>
      <c r="AN176" s="649"/>
      <c r="AO176" s="437"/>
      <c r="AP176" s="388"/>
      <c r="AQ176" s="388"/>
      <c r="AR176" s="484"/>
      <c r="AS176" s="649"/>
      <c r="AT176" s="437"/>
      <c r="AU176" s="388"/>
      <c r="AV176" s="388"/>
      <c r="AW176" s="484"/>
      <c r="AX176" s="649"/>
      <c r="AZ176" s="376" t="e">
        <f t="shared" si="47"/>
        <v>#N/A</v>
      </c>
      <c r="BA176" s="649"/>
    </row>
    <row r="177" spans="2:53" ht="15.75">
      <c r="B177" s="650" t="s">
        <v>162</v>
      </c>
      <c r="C177" s="651"/>
      <c r="D177" s="651"/>
      <c r="E177" s="651"/>
      <c r="F177" s="651"/>
      <c r="G177" s="651"/>
      <c r="H177" s="652"/>
      <c r="I177" s="207"/>
      <c r="J177" s="207"/>
      <c r="K177" s="207"/>
      <c r="L177" s="207"/>
      <c r="M177" s="206"/>
      <c r="N177" s="639" t="s">
        <v>156</v>
      </c>
      <c r="O177" s="639" t="s">
        <v>105</v>
      </c>
      <c r="P177" s="645">
        <f>P142+7</f>
        <v>46238</v>
      </c>
      <c r="Q177" s="646"/>
      <c r="R177" s="646"/>
      <c r="S177" s="646"/>
      <c r="T177" s="646"/>
      <c r="U177" s="642">
        <f>P177+1</f>
        <v>46239</v>
      </c>
      <c r="V177" s="643"/>
      <c r="W177" s="643"/>
      <c r="X177" s="643"/>
      <c r="Y177" s="644"/>
      <c r="Z177" s="642">
        <f>U177+1</f>
        <v>46240</v>
      </c>
      <c r="AA177" s="643"/>
      <c r="AB177" s="643"/>
      <c r="AC177" s="643"/>
      <c r="AD177" s="644"/>
      <c r="AE177" s="642">
        <f>Z177+1</f>
        <v>46241</v>
      </c>
      <c r="AF177" s="643"/>
      <c r="AG177" s="643"/>
      <c r="AH177" s="643"/>
      <c r="AI177" s="644"/>
      <c r="AJ177" s="642">
        <f>AE177+1</f>
        <v>46242</v>
      </c>
      <c r="AK177" s="643"/>
      <c r="AL177" s="643"/>
      <c r="AM177" s="643"/>
      <c r="AN177" s="644"/>
      <c r="AO177" s="642">
        <f>AJ177+1</f>
        <v>46243</v>
      </c>
      <c r="AP177" s="643"/>
      <c r="AQ177" s="643"/>
      <c r="AR177" s="643"/>
      <c r="AS177" s="644"/>
      <c r="AT177" s="642">
        <f>AO177+1</f>
        <v>46244</v>
      </c>
      <c r="AU177" s="643"/>
      <c r="AV177" s="643"/>
      <c r="AW177" s="643"/>
      <c r="AX177" s="644"/>
    </row>
    <row r="178" spans="2:53" ht="15.75">
      <c r="B178" s="653"/>
      <c r="C178" s="653"/>
      <c r="D178" s="653"/>
      <c r="E178" s="653"/>
      <c r="F178" s="653"/>
      <c r="G178" s="653"/>
      <c r="H178" s="653"/>
      <c r="I178" s="204"/>
      <c r="J178" s="204"/>
      <c r="K178" s="204"/>
      <c r="L178" s="204"/>
      <c r="M178" s="205"/>
      <c r="N178" s="641"/>
      <c r="O178" s="641"/>
      <c r="P178" s="645" t="s">
        <v>158</v>
      </c>
      <c r="Q178" s="646"/>
      <c r="R178" s="646"/>
      <c r="S178" s="646"/>
      <c r="T178" s="646"/>
      <c r="U178" s="645" t="s">
        <v>114</v>
      </c>
      <c r="V178" s="646"/>
      <c r="W178" s="646"/>
      <c r="X178" s="646"/>
      <c r="Y178" s="646"/>
      <c r="Z178" s="645" t="s">
        <v>159</v>
      </c>
      <c r="AA178" s="646"/>
      <c r="AB178" s="646"/>
      <c r="AC178" s="646"/>
      <c r="AD178" s="646"/>
      <c r="AE178" s="645" t="s">
        <v>157</v>
      </c>
      <c r="AF178" s="646"/>
      <c r="AG178" s="646"/>
      <c r="AH178" s="646"/>
      <c r="AI178" s="646"/>
      <c r="AJ178" s="645" t="s">
        <v>160</v>
      </c>
      <c r="AK178" s="646"/>
      <c r="AL178" s="646"/>
      <c r="AM178" s="646"/>
      <c r="AN178" s="646"/>
      <c r="AO178" s="645" t="s">
        <v>115</v>
      </c>
      <c r="AP178" s="646"/>
      <c r="AQ178" s="646"/>
      <c r="AR178" s="646"/>
      <c r="AS178" s="646"/>
      <c r="AT178" s="645" t="s">
        <v>161</v>
      </c>
      <c r="AU178" s="646"/>
      <c r="AV178" s="646"/>
      <c r="AW178" s="646"/>
      <c r="AX178" s="646"/>
    </row>
    <row r="179" spans="2:53">
      <c r="B179" s="635" t="s">
        <v>154</v>
      </c>
      <c r="C179" s="635" t="s">
        <v>382</v>
      </c>
      <c r="D179" s="635"/>
      <c r="E179" s="635" t="s">
        <v>373</v>
      </c>
      <c r="F179" s="635"/>
      <c r="G179" s="635"/>
      <c r="H179" s="636" t="s">
        <v>369</v>
      </c>
      <c r="I179" s="635" t="s">
        <v>374</v>
      </c>
      <c r="J179" s="635"/>
      <c r="K179" s="635"/>
      <c r="L179" s="636" t="s">
        <v>369</v>
      </c>
      <c r="M179" s="639" t="s">
        <v>370</v>
      </c>
      <c r="N179" s="635"/>
      <c r="O179" s="635" t="s">
        <v>375</v>
      </c>
      <c r="P179" s="632" t="s">
        <v>371</v>
      </c>
      <c r="Q179" s="633"/>
      <c r="R179" s="633"/>
      <c r="S179" s="634"/>
      <c r="T179" s="635" t="s">
        <v>369</v>
      </c>
      <c r="U179" s="632" t="s">
        <v>371</v>
      </c>
      <c r="V179" s="633"/>
      <c r="W179" s="633"/>
      <c r="X179" s="634"/>
      <c r="Y179" s="635" t="s">
        <v>369</v>
      </c>
      <c r="Z179" s="632" t="s">
        <v>371</v>
      </c>
      <c r="AA179" s="633"/>
      <c r="AB179" s="633"/>
      <c r="AC179" s="634"/>
      <c r="AD179" s="635" t="s">
        <v>369</v>
      </c>
      <c r="AE179" s="632" t="s">
        <v>371</v>
      </c>
      <c r="AF179" s="633"/>
      <c r="AG179" s="633"/>
      <c r="AH179" s="634"/>
      <c r="AI179" s="635" t="s">
        <v>369</v>
      </c>
      <c r="AJ179" s="632" t="s">
        <v>371</v>
      </c>
      <c r="AK179" s="633"/>
      <c r="AL179" s="633"/>
      <c r="AM179" s="634"/>
      <c r="AN179" s="635" t="s">
        <v>369</v>
      </c>
      <c r="AO179" s="632" t="s">
        <v>371</v>
      </c>
      <c r="AP179" s="633"/>
      <c r="AQ179" s="633"/>
      <c r="AR179" s="634"/>
      <c r="AS179" s="635" t="s">
        <v>369</v>
      </c>
      <c r="AT179" s="660" t="s">
        <v>371</v>
      </c>
      <c r="AU179" s="661"/>
      <c r="AV179" s="661"/>
      <c r="AW179" s="662"/>
      <c r="AX179" s="658" t="s">
        <v>369</v>
      </c>
      <c r="BA179" s="658" t="s">
        <v>369</v>
      </c>
    </row>
    <row r="180" spans="2:53">
      <c r="B180" s="635"/>
      <c r="C180" s="635"/>
      <c r="D180" s="635"/>
      <c r="E180" s="635" t="s">
        <v>376</v>
      </c>
      <c r="F180" s="635"/>
      <c r="G180" s="635"/>
      <c r="H180" s="637"/>
      <c r="I180" s="635" t="s">
        <v>376</v>
      </c>
      <c r="J180" s="635"/>
      <c r="K180" s="635"/>
      <c r="L180" s="637"/>
      <c r="M180" s="640"/>
      <c r="N180" s="635"/>
      <c r="O180" s="635"/>
      <c r="P180" s="632" t="s">
        <v>377</v>
      </c>
      <c r="Q180" s="633"/>
      <c r="R180" s="633"/>
      <c r="S180" s="634"/>
      <c r="T180" s="635"/>
      <c r="U180" s="632" t="s">
        <v>377</v>
      </c>
      <c r="V180" s="633"/>
      <c r="W180" s="633"/>
      <c r="X180" s="634"/>
      <c r="Y180" s="635"/>
      <c r="Z180" s="632" t="s">
        <v>377</v>
      </c>
      <c r="AA180" s="633"/>
      <c r="AB180" s="633"/>
      <c r="AC180" s="634"/>
      <c r="AD180" s="635"/>
      <c r="AE180" s="632" t="s">
        <v>377</v>
      </c>
      <c r="AF180" s="633"/>
      <c r="AG180" s="633"/>
      <c r="AH180" s="634"/>
      <c r="AI180" s="635"/>
      <c r="AJ180" s="632" t="s">
        <v>377</v>
      </c>
      <c r="AK180" s="633"/>
      <c r="AL180" s="633"/>
      <c r="AM180" s="634"/>
      <c r="AN180" s="635"/>
      <c r="AO180" s="632" t="s">
        <v>377</v>
      </c>
      <c r="AP180" s="633"/>
      <c r="AQ180" s="633"/>
      <c r="AR180" s="634"/>
      <c r="AS180" s="635"/>
      <c r="AT180" s="660" t="s">
        <v>377</v>
      </c>
      <c r="AU180" s="661"/>
      <c r="AV180" s="661"/>
      <c r="AW180" s="662"/>
      <c r="AX180" s="658"/>
      <c r="BA180" s="658"/>
    </row>
    <row r="181" spans="2:53">
      <c r="B181" s="635"/>
      <c r="C181" s="635"/>
      <c r="D181" s="635"/>
      <c r="E181" s="349" t="s">
        <v>378</v>
      </c>
      <c r="F181" s="349" t="s">
        <v>379</v>
      </c>
      <c r="G181" s="349" t="s">
        <v>380</v>
      </c>
      <c r="H181" s="638"/>
      <c r="I181" s="349" t="s">
        <v>378</v>
      </c>
      <c r="J181" s="349" t="s">
        <v>379</v>
      </c>
      <c r="K181" s="349" t="s">
        <v>380</v>
      </c>
      <c r="L181" s="638"/>
      <c r="M181" s="641"/>
      <c r="N181" s="635"/>
      <c r="O181" s="635"/>
      <c r="P181" s="349" t="s">
        <v>378</v>
      </c>
      <c r="Q181" s="349" t="s">
        <v>379</v>
      </c>
      <c r="R181" s="349" t="s">
        <v>380</v>
      </c>
      <c r="S181" s="349" t="s">
        <v>370</v>
      </c>
      <c r="T181" s="635"/>
      <c r="U181" s="349" t="s">
        <v>378</v>
      </c>
      <c r="V181" s="349" t="s">
        <v>379</v>
      </c>
      <c r="W181" s="349" t="s">
        <v>380</v>
      </c>
      <c r="X181" s="349" t="s">
        <v>370</v>
      </c>
      <c r="Y181" s="635"/>
      <c r="Z181" s="349" t="s">
        <v>378</v>
      </c>
      <c r="AA181" s="349" t="s">
        <v>379</v>
      </c>
      <c r="AB181" s="349" t="s">
        <v>380</v>
      </c>
      <c r="AC181" s="349" t="s">
        <v>370</v>
      </c>
      <c r="AD181" s="635"/>
      <c r="AE181" s="349" t="s">
        <v>378</v>
      </c>
      <c r="AF181" s="349" t="s">
        <v>379</v>
      </c>
      <c r="AG181" s="349" t="s">
        <v>380</v>
      </c>
      <c r="AH181" s="349" t="s">
        <v>370</v>
      </c>
      <c r="AI181" s="635"/>
      <c r="AJ181" s="349" t="s">
        <v>378</v>
      </c>
      <c r="AK181" s="349" t="s">
        <v>379</v>
      </c>
      <c r="AL181" s="349" t="s">
        <v>380</v>
      </c>
      <c r="AM181" s="349" t="s">
        <v>370</v>
      </c>
      <c r="AN181" s="635"/>
      <c r="AO181" s="349" t="s">
        <v>378</v>
      </c>
      <c r="AP181" s="349" t="s">
        <v>379</v>
      </c>
      <c r="AQ181" s="349" t="s">
        <v>380</v>
      </c>
      <c r="AR181" s="349" t="s">
        <v>370</v>
      </c>
      <c r="AS181" s="635"/>
      <c r="AT181" s="351" t="s">
        <v>378</v>
      </c>
      <c r="AU181" s="351" t="s">
        <v>379</v>
      </c>
      <c r="AV181" s="351" t="s">
        <v>380</v>
      </c>
      <c r="AW181" s="351" t="s">
        <v>370</v>
      </c>
      <c r="AX181" s="658"/>
      <c r="AZ181" s="378" t="s">
        <v>370</v>
      </c>
      <c r="BA181" s="658"/>
    </row>
    <row r="182" spans="2:53">
      <c r="B182" s="668" t="s">
        <v>486</v>
      </c>
      <c r="C182" s="352">
        <v>1</v>
      </c>
      <c r="D182" s="201"/>
      <c r="E182" s="201"/>
      <c r="F182" s="201"/>
      <c r="G182" s="536"/>
      <c r="H182" s="670" t="e">
        <f>AVERAGE(G182:G211)</f>
        <v>#DIV/0!</v>
      </c>
      <c r="I182" s="367" t="str">
        <f>IFERROR(AVERAGE(P182,U182,Z182,AE182,AJ182,AO182,AT182),"-")</f>
        <v>-</v>
      </c>
      <c r="J182" s="367" t="str">
        <f>IFERROR(AVERAGE(Q182,V182,AA182,AF182,AK182,AP182,AU182),"-")</f>
        <v>-</v>
      </c>
      <c r="K182" s="199" t="str">
        <f>IFERROR(AVERAGE(R182,W182,AB182,AG182,AL182,AQ182,AV182),"-")</f>
        <v>-</v>
      </c>
      <c r="L182" s="616" t="str">
        <f>IFERROR(AVERAGE(K182:K211),"-")</f>
        <v>-</v>
      </c>
      <c r="M182" s="353" t="e">
        <f>RANK(K182, K$182:$K$211)</f>
        <v>#VALUE!</v>
      </c>
      <c r="N182" s="635"/>
      <c r="O182" s="635"/>
      <c r="P182" s="528"/>
      <c r="Q182" s="530"/>
      <c r="R182" s="530"/>
      <c r="S182" s="529"/>
      <c r="T182" s="659"/>
      <c r="U182" s="528"/>
      <c r="V182" s="530"/>
      <c r="W182" s="530"/>
      <c r="X182" s="529"/>
      <c r="Y182" s="659"/>
      <c r="Z182" s="528"/>
      <c r="AA182" s="530"/>
      <c r="AB182" s="530"/>
      <c r="AC182" s="529"/>
      <c r="AD182" s="659"/>
      <c r="AE182" s="528"/>
      <c r="AF182" s="530"/>
      <c r="AG182" s="530"/>
      <c r="AH182" s="529"/>
      <c r="AI182" s="659"/>
      <c r="AJ182" s="528"/>
      <c r="AK182" s="530"/>
      <c r="AL182" s="530"/>
      <c r="AM182" s="529"/>
      <c r="AN182" s="659"/>
      <c r="AO182" s="528"/>
      <c r="AP182" s="530"/>
      <c r="AQ182" s="530"/>
      <c r="AR182" s="529"/>
      <c r="AS182" s="659"/>
      <c r="AT182" s="528"/>
      <c r="AU182" s="530"/>
      <c r="AV182" s="530"/>
      <c r="AW182" s="529"/>
      <c r="AX182" s="659"/>
      <c r="AZ182" s="354" t="e">
        <f>RANK(AY182, AY$112:AY$141)</f>
        <v>#N/A</v>
      </c>
      <c r="BA182" s="678" t="e">
        <f>AVERAGE(AY182:AY211)</f>
        <v>#DIV/0!</v>
      </c>
    </row>
    <row r="183" spans="2:53">
      <c r="B183" s="669"/>
      <c r="C183" s="352">
        <v>2</v>
      </c>
      <c r="D183" s="538"/>
      <c r="E183" s="201"/>
      <c r="F183" s="201"/>
      <c r="G183" s="536"/>
      <c r="H183" s="671"/>
      <c r="I183" s="367" t="str">
        <f t="shared" ref="I183:I211" si="52">IFERROR(AVERAGE(P183,U183,Z183,AE183,AJ183,AO183,AT183),"-")</f>
        <v>-</v>
      </c>
      <c r="J183" s="367" t="str">
        <f t="shared" ref="J183:J211" si="53">IFERROR(AVERAGE(Q183,V183,AA183,AF183,AK183,AP183,AU183),"-")</f>
        <v>-</v>
      </c>
      <c r="K183" s="199" t="str">
        <f t="shared" ref="K183:K211" si="54">IFERROR(AVERAGE(R183,W183,AB183,AG183,AL183,AQ183,AV183),"-")</f>
        <v>-</v>
      </c>
      <c r="L183" s="617"/>
      <c r="M183" s="353" t="e">
        <f>RANK(K183, K$182:$K$211)</f>
        <v>#VALUE!</v>
      </c>
      <c r="N183" s="635"/>
      <c r="O183" s="635"/>
      <c r="P183" s="528"/>
      <c r="Q183" s="530"/>
      <c r="R183" s="530"/>
      <c r="S183" s="529"/>
      <c r="T183" s="659"/>
      <c r="U183" s="528"/>
      <c r="V183" s="530"/>
      <c r="W183" s="530"/>
      <c r="X183" s="529"/>
      <c r="Y183" s="659"/>
      <c r="Z183" s="528"/>
      <c r="AA183" s="530"/>
      <c r="AB183" s="530"/>
      <c r="AC183" s="529"/>
      <c r="AD183" s="659"/>
      <c r="AE183" s="528"/>
      <c r="AF183" s="530"/>
      <c r="AG183" s="530"/>
      <c r="AH183" s="529"/>
      <c r="AI183" s="659"/>
      <c r="AJ183" s="528"/>
      <c r="AK183" s="530"/>
      <c r="AL183" s="530"/>
      <c r="AM183" s="529"/>
      <c r="AN183" s="659"/>
      <c r="AO183" s="528"/>
      <c r="AP183" s="530"/>
      <c r="AQ183" s="530"/>
      <c r="AR183" s="529"/>
      <c r="AS183" s="659"/>
      <c r="AT183" s="528"/>
      <c r="AU183" s="530"/>
      <c r="AV183" s="530"/>
      <c r="AW183" s="529"/>
      <c r="AX183" s="659"/>
      <c r="AZ183" s="354" t="e">
        <f t="shared" ref="AZ183:AZ211" si="55">RANK(AY183, AY$112:AY$141)</f>
        <v>#N/A</v>
      </c>
      <c r="BA183" s="678"/>
    </row>
    <row r="184" spans="2:53">
      <c r="B184" s="669"/>
      <c r="C184" s="352">
        <v>3</v>
      </c>
      <c r="D184" s="201"/>
      <c r="E184" s="201"/>
      <c r="F184" s="201"/>
      <c r="G184" s="536"/>
      <c r="H184" s="671"/>
      <c r="I184" s="367" t="str">
        <f t="shared" si="52"/>
        <v>-</v>
      </c>
      <c r="J184" s="367" t="str">
        <f t="shared" si="53"/>
        <v>-</v>
      </c>
      <c r="K184" s="199" t="str">
        <f t="shared" si="54"/>
        <v>-</v>
      </c>
      <c r="L184" s="617"/>
      <c r="M184" s="353" t="e">
        <f>RANK(K184, K$182:$K$211)</f>
        <v>#VALUE!</v>
      </c>
      <c r="N184" s="635"/>
      <c r="O184" s="635"/>
      <c r="P184" s="528"/>
      <c r="Q184" s="530"/>
      <c r="R184" s="530"/>
      <c r="S184" s="529"/>
      <c r="T184" s="659"/>
      <c r="U184" s="528"/>
      <c r="V184" s="530"/>
      <c r="W184" s="530"/>
      <c r="X184" s="529"/>
      <c r="Y184" s="659"/>
      <c r="Z184" s="528"/>
      <c r="AA184" s="530"/>
      <c r="AB184" s="530"/>
      <c r="AC184" s="529"/>
      <c r="AD184" s="659"/>
      <c r="AE184" s="528"/>
      <c r="AF184" s="530"/>
      <c r="AG184" s="530"/>
      <c r="AH184" s="529"/>
      <c r="AI184" s="659"/>
      <c r="AJ184" s="528"/>
      <c r="AK184" s="530"/>
      <c r="AL184" s="530"/>
      <c r="AM184" s="529"/>
      <c r="AN184" s="659"/>
      <c r="AO184" s="528"/>
      <c r="AP184" s="530"/>
      <c r="AQ184" s="530"/>
      <c r="AR184" s="529"/>
      <c r="AS184" s="659"/>
      <c r="AT184" s="528"/>
      <c r="AU184" s="530"/>
      <c r="AV184" s="530"/>
      <c r="AW184" s="529"/>
      <c r="AX184" s="659"/>
      <c r="AZ184" s="354" t="e">
        <f t="shared" si="55"/>
        <v>#N/A</v>
      </c>
      <c r="BA184" s="678"/>
    </row>
    <row r="185" spans="2:53">
      <c r="B185" s="669"/>
      <c r="C185" s="352">
        <v>4</v>
      </c>
      <c r="D185" s="201"/>
      <c r="E185" s="201"/>
      <c r="F185" s="201"/>
      <c r="G185" s="536"/>
      <c r="H185" s="671"/>
      <c r="I185" s="367" t="str">
        <f t="shared" si="52"/>
        <v>-</v>
      </c>
      <c r="J185" s="367" t="str">
        <f t="shared" si="53"/>
        <v>-</v>
      </c>
      <c r="K185" s="199" t="str">
        <f t="shared" si="54"/>
        <v>-</v>
      </c>
      <c r="L185" s="617"/>
      <c r="M185" s="353" t="e">
        <f>RANK(K185, K$182:$K$211)</f>
        <v>#VALUE!</v>
      </c>
      <c r="N185" s="635"/>
      <c r="O185" s="635"/>
      <c r="P185" s="528"/>
      <c r="Q185" s="530"/>
      <c r="R185" s="530"/>
      <c r="S185" s="529"/>
      <c r="T185" s="659"/>
      <c r="U185" s="528"/>
      <c r="V185" s="530"/>
      <c r="W185" s="530"/>
      <c r="X185" s="529"/>
      <c r="Y185" s="659"/>
      <c r="Z185" s="528"/>
      <c r="AA185" s="530"/>
      <c r="AB185" s="530"/>
      <c r="AC185" s="529"/>
      <c r="AD185" s="659"/>
      <c r="AE185" s="528"/>
      <c r="AF185" s="530"/>
      <c r="AG185" s="530"/>
      <c r="AH185" s="529"/>
      <c r="AI185" s="659"/>
      <c r="AJ185" s="528"/>
      <c r="AK185" s="530"/>
      <c r="AL185" s="530"/>
      <c r="AM185" s="529"/>
      <c r="AN185" s="659"/>
      <c r="AO185" s="528"/>
      <c r="AP185" s="530"/>
      <c r="AQ185" s="530"/>
      <c r="AR185" s="529"/>
      <c r="AS185" s="659"/>
      <c r="AT185" s="528"/>
      <c r="AU185" s="530"/>
      <c r="AV185" s="530"/>
      <c r="AW185" s="529"/>
      <c r="AX185" s="659"/>
      <c r="AZ185" s="354" t="e">
        <f t="shared" si="55"/>
        <v>#N/A</v>
      </c>
      <c r="BA185" s="678"/>
    </row>
    <row r="186" spans="2:53">
      <c r="B186" s="669"/>
      <c r="C186" s="352">
        <v>5</v>
      </c>
      <c r="D186" s="201"/>
      <c r="E186" s="201"/>
      <c r="F186" s="201"/>
      <c r="G186" s="536"/>
      <c r="H186" s="671"/>
      <c r="I186" s="367" t="str">
        <f t="shared" si="52"/>
        <v>-</v>
      </c>
      <c r="J186" s="367" t="str">
        <f t="shared" si="53"/>
        <v>-</v>
      </c>
      <c r="K186" s="199" t="str">
        <f t="shared" si="54"/>
        <v>-</v>
      </c>
      <c r="L186" s="617"/>
      <c r="M186" s="353" t="e">
        <f>RANK(K186, K$182:$K$211)</f>
        <v>#VALUE!</v>
      </c>
      <c r="N186" s="635"/>
      <c r="O186" s="635"/>
      <c r="P186" s="528"/>
      <c r="Q186" s="530"/>
      <c r="R186" s="530"/>
      <c r="S186" s="529"/>
      <c r="T186" s="659"/>
      <c r="U186" s="528"/>
      <c r="V186" s="530"/>
      <c r="W186" s="530"/>
      <c r="X186" s="529"/>
      <c r="Y186" s="659"/>
      <c r="Z186" s="528"/>
      <c r="AA186" s="530"/>
      <c r="AB186" s="530"/>
      <c r="AC186" s="529"/>
      <c r="AD186" s="659"/>
      <c r="AE186" s="528"/>
      <c r="AF186" s="530"/>
      <c r="AG186" s="530"/>
      <c r="AH186" s="529"/>
      <c r="AI186" s="659"/>
      <c r="AJ186" s="528"/>
      <c r="AK186" s="530"/>
      <c r="AL186" s="530"/>
      <c r="AM186" s="529"/>
      <c r="AN186" s="659"/>
      <c r="AO186" s="528"/>
      <c r="AP186" s="530"/>
      <c r="AQ186" s="530"/>
      <c r="AR186" s="529"/>
      <c r="AS186" s="659"/>
      <c r="AT186" s="528"/>
      <c r="AU186" s="530"/>
      <c r="AV186" s="530"/>
      <c r="AW186" s="529"/>
      <c r="AX186" s="659"/>
      <c r="AZ186" s="354" t="e">
        <f t="shared" si="55"/>
        <v>#N/A</v>
      </c>
      <c r="BA186" s="678"/>
    </row>
    <row r="187" spans="2:53">
      <c r="B187" s="669"/>
      <c r="C187" s="352">
        <v>6</v>
      </c>
      <c r="D187" s="201"/>
      <c r="E187" s="201"/>
      <c r="F187" s="201"/>
      <c r="G187" s="536"/>
      <c r="H187" s="671"/>
      <c r="I187" s="367" t="str">
        <f t="shared" si="52"/>
        <v>-</v>
      </c>
      <c r="J187" s="367" t="str">
        <f t="shared" si="53"/>
        <v>-</v>
      </c>
      <c r="K187" s="199" t="str">
        <f t="shared" si="54"/>
        <v>-</v>
      </c>
      <c r="L187" s="617"/>
      <c r="M187" s="353" t="e">
        <f>RANK(K187, K$182:$K$211)</f>
        <v>#VALUE!</v>
      </c>
      <c r="N187" s="635"/>
      <c r="O187" s="635"/>
      <c r="P187" s="528"/>
      <c r="Q187" s="530"/>
      <c r="R187" s="530"/>
      <c r="S187" s="529"/>
      <c r="T187" s="659"/>
      <c r="U187" s="528"/>
      <c r="V187" s="530"/>
      <c r="W187" s="530"/>
      <c r="X187" s="529"/>
      <c r="Y187" s="659"/>
      <c r="Z187" s="528"/>
      <c r="AA187" s="530"/>
      <c r="AB187" s="530"/>
      <c r="AC187" s="529"/>
      <c r="AD187" s="659"/>
      <c r="AE187" s="528"/>
      <c r="AF187" s="530"/>
      <c r="AG187" s="530"/>
      <c r="AH187" s="529"/>
      <c r="AI187" s="659"/>
      <c r="AJ187" s="528"/>
      <c r="AK187" s="530"/>
      <c r="AL187" s="530"/>
      <c r="AM187" s="529"/>
      <c r="AN187" s="659"/>
      <c r="AO187" s="528"/>
      <c r="AP187" s="530"/>
      <c r="AQ187" s="530"/>
      <c r="AR187" s="529"/>
      <c r="AS187" s="659"/>
      <c r="AT187" s="528"/>
      <c r="AU187" s="530"/>
      <c r="AV187" s="530"/>
      <c r="AW187" s="529"/>
      <c r="AX187" s="659"/>
      <c r="AZ187" s="354" t="e">
        <f t="shared" si="55"/>
        <v>#N/A</v>
      </c>
      <c r="BA187" s="678"/>
    </row>
    <row r="188" spans="2:53">
      <c r="B188" s="669"/>
      <c r="C188" s="352">
        <v>7</v>
      </c>
      <c r="D188" s="201"/>
      <c r="E188" s="201"/>
      <c r="F188" s="201"/>
      <c r="G188" s="536"/>
      <c r="H188" s="671"/>
      <c r="I188" s="367" t="str">
        <f t="shared" si="52"/>
        <v>-</v>
      </c>
      <c r="J188" s="367" t="str">
        <f t="shared" si="53"/>
        <v>-</v>
      </c>
      <c r="K188" s="199" t="str">
        <f t="shared" si="54"/>
        <v>-</v>
      </c>
      <c r="L188" s="617"/>
      <c r="M188" s="353" t="e">
        <f>RANK(K188, K$182:$K$211)</f>
        <v>#VALUE!</v>
      </c>
      <c r="N188" s="635"/>
      <c r="O188" s="635"/>
      <c r="P188" s="528"/>
      <c r="Q188" s="530"/>
      <c r="R188" s="530"/>
      <c r="S188" s="529"/>
      <c r="T188" s="659"/>
      <c r="U188" s="528"/>
      <c r="V188" s="530"/>
      <c r="W188" s="530"/>
      <c r="X188" s="529"/>
      <c r="Y188" s="659"/>
      <c r="Z188" s="528"/>
      <c r="AA188" s="530"/>
      <c r="AB188" s="530"/>
      <c r="AC188" s="529"/>
      <c r="AD188" s="659"/>
      <c r="AE188" s="528"/>
      <c r="AF188" s="530"/>
      <c r="AG188" s="530"/>
      <c r="AH188" s="529"/>
      <c r="AI188" s="659"/>
      <c r="AJ188" s="528"/>
      <c r="AK188" s="530"/>
      <c r="AL188" s="530"/>
      <c r="AM188" s="529"/>
      <c r="AN188" s="659"/>
      <c r="AO188" s="528"/>
      <c r="AP188" s="530"/>
      <c r="AQ188" s="530"/>
      <c r="AR188" s="529"/>
      <c r="AS188" s="659"/>
      <c r="AT188" s="528"/>
      <c r="AU188" s="530"/>
      <c r="AV188" s="530"/>
      <c r="AW188" s="529"/>
      <c r="AX188" s="659"/>
      <c r="AZ188" s="354" t="e">
        <f t="shared" si="55"/>
        <v>#N/A</v>
      </c>
      <c r="BA188" s="678"/>
    </row>
    <row r="189" spans="2:53">
      <c r="B189" s="669"/>
      <c r="C189" s="352">
        <v>8</v>
      </c>
      <c r="D189" s="201"/>
      <c r="E189" s="201"/>
      <c r="F189" s="201"/>
      <c r="G189" s="536"/>
      <c r="H189" s="671"/>
      <c r="I189" s="367" t="str">
        <f t="shared" si="52"/>
        <v>-</v>
      </c>
      <c r="J189" s="367" t="str">
        <f t="shared" si="53"/>
        <v>-</v>
      </c>
      <c r="K189" s="199" t="str">
        <f t="shared" si="54"/>
        <v>-</v>
      </c>
      <c r="L189" s="617"/>
      <c r="M189" s="353" t="e">
        <f>RANK(K189, K$182:$K$211)</f>
        <v>#VALUE!</v>
      </c>
      <c r="N189" s="635"/>
      <c r="O189" s="635"/>
      <c r="P189" s="528"/>
      <c r="Q189" s="530"/>
      <c r="R189" s="530"/>
      <c r="S189" s="529"/>
      <c r="T189" s="659"/>
      <c r="U189" s="528"/>
      <c r="V189" s="530"/>
      <c r="W189" s="530"/>
      <c r="X189" s="529"/>
      <c r="Y189" s="659"/>
      <c r="Z189" s="528"/>
      <c r="AA189" s="530"/>
      <c r="AB189" s="530"/>
      <c r="AC189" s="529"/>
      <c r="AD189" s="659"/>
      <c r="AE189" s="528"/>
      <c r="AF189" s="530"/>
      <c r="AG189" s="530"/>
      <c r="AH189" s="529"/>
      <c r="AI189" s="659"/>
      <c r="AJ189" s="528"/>
      <c r="AK189" s="530"/>
      <c r="AL189" s="530"/>
      <c r="AM189" s="529"/>
      <c r="AN189" s="659"/>
      <c r="AO189" s="528"/>
      <c r="AP189" s="530"/>
      <c r="AQ189" s="530"/>
      <c r="AR189" s="529"/>
      <c r="AS189" s="659"/>
      <c r="AT189" s="528"/>
      <c r="AU189" s="530"/>
      <c r="AV189" s="530"/>
      <c r="AW189" s="529"/>
      <c r="AX189" s="659"/>
      <c r="AZ189" s="354" t="e">
        <f t="shared" si="55"/>
        <v>#N/A</v>
      </c>
      <c r="BA189" s="678"/>
    </row>
    <row r="190" spans="2:53">
      <c r="B190" s="669"/>
      <c r="C190" s="352">
        <v>9</v>
      </c>
      <c r="D190" s="201"/>
      <c r="E190" s="201"/>
      <c r="F190" s="201"/>
      <c r="G190" s="536"/>
      <c r="H190" s="671"/>
      <c r="I190" s="367" t="str">
        <f t="shared" si="52"/>
        <v>-</v>
      </c>
      <c r="J190" s="367" t="str">
        <f t="shared" si="53"/>
        <v>-</v>
      </c>
      <c r="K190" s="199" t="str">
        <f t="shared" si="54"/>
        <v>-</v>
      </c>
      <c r="L190" s="617"/>
      <c r="M190" s="353" t="e">
        <f>RANK(K190, K$182:$K$211)</f>
        <v>#VALUE!</v>
      </c>
      <c r="N190" s="635"/>
      <c r="O190" s="635"/>
      <c r="P190" s="528"/>
      <c r="Q190" s="530"/>
      <c r="R190" s="530"/>
      <c r="S190" s="529"/>
      <c r="T190" s="659"/>
      <c r="U190" s="528"/>
      <c r="V190" s="530"/>
      <c r="W190" s="530"/>
      <c r="X190" s="529"/>
      <c r="Y190" s="659"/>
      <c r="Z190" s="528"/>
      <c r="AA190" s="530"/>
      <c r="AB190" s="530"/>
      <c r="AC190" s="529"/>
      <c r="AD190" s="659"/>
      <c r="AE190" s="528"/>
      <c r="AF190" s="530"/>
      <c r="AG190" s="530"/>
      <c r="AH190" s="529"/>
      <c r="AI190" s="659"/>
      <c r="AJ190" s="528"/>
      <c r="AK190" s="530"/>
      <c r="AL190" s="530"/>
      <c r="AM190" s="529"/>
      <c r="AN190" s="659"/>
      <c r="AO190" s="528"/>
      <c r="AP190" s="530"/>
      <c r="AQ190" s="530"/>
      <c r="AR190" s="529"/>
      <c r="AS190" s="659"/>
      <c r="AT190" s="528"/>
      <c r="AU190" s="530"/>
      <c r="AV190" s="530"/>
      <c r="AW190" s="529"/>
      <c r="AX190" s="659"/>
      <c r="AZ190" s="354" t="e">
        <f t="shared" si="55"/>
        <v>#N/A</v>
      </c>
      <c r="BA190" s="678"/>
    </row>
    <row r="191" spans="2:53">
      <c r="B191" s="669"/>
      <c r="C191" s="352">
        <v>10</v>
      </c>
      <c r="D191" s="201"/>
      <c r="E191" s="201"/>
      <c r="F191" s="201"/>
      <c r="G191" s="536"/>
      <c r="H191" s="671"/>
      <c r="I191" s="367" t="str">
        <f t="shared" si="52"/>
        <v>-</v>
      </c>
      <c r="J191" s="367" t="str">
        <f t="shared" si="53"/>
        <v>-</v>
      </c>
      <c r="K191" s="199" t="str">
        <f t="shared" si="54"/>
        <v>-</v>
      </c>
      <c r="L191" s="617"/>
      <c r="M191" s="353" t="e">
        <f>RANK(K191, K$182:$K$211)</f>
        <v>#VALUE!</v>
      </c>
      <c r="N191" s="635"/>
      <c r="O191" s="635"/>
      <c r="P191" s="528"/>
      <c r="Q191" s="530"/>
      <c r="R191" s="530"/>
      <c r="S191" s="529"/>
      <c r="T191" s="659"/>
      <c r="U191" s="528"/>
      <c r="V191" s="530"/>
      <c r="W191" s="530"/>
      <c r="X191" s="529"/>
      <c r="Y191" s="659"/>
      <c r="Z191" s="528"/>
      <c r="AA191" s="530"/>
      <c r="AB191" s="530"/>
      <c r="AC191" s="529"/>
      <c r="AD191" s="659"/>
      <c r="AE191" s="528"/>
      <c r="AF191" s="530"/>
      <c r="AG191" s="530"/>
      <c r="AH191" s="529"/>
      <c r="AI191" s="659"/>
      <c r="AJ191" s="528"/>
      <c r="AK191" s="530"/>
      <c r="AL191" s="530"/>
      <c r="AM191" s="529"/>
      <c r="AN191" s="659"/>
      <c r="AO191" s="528"/>
      <c r="AP191" s="530"/>
      <c r="AQ191" s="530"/>
      <c r="AR191" s="529"/>
      <c r="AS191" s="659"/>
      <c r="AT191" s="528"/>
      <c r="AU191" s="530"/>
      <c r="AV191" s="530"/>
      <c r="AW191" s="529"/>
      <c r="AX191" s="659"/>
      <c r="AZ191" s="354" t="e">
        <f t="shared" si="55"/>
        <v>#N/A</v>
      </c>
      <c r="BA191" s="678"/>
    </row>
    <row r="192" spans="2:53">
      <c r="B192" s="669"/>
      <c r="C192" s="352">
        <v>11</v>
      </c>
      <c r="D192" s="201"/>
      <c r="E192" s="201"/>
      <c r="F192" s="201"/>
      <c r="G192" s="536"/>
      <c r="H192" s="671"/>
      <c r="I192" s="367" t="str">
        <f t="shared" si="52"/>
        <v>-</v>
      </c>
      <c r="J192" s="367" t="str">
        <f t="shared" si="53"/>
        <v>-</v>
      </c>
      <c r="K192" s="199" t="str">
        <f t="shared" si="54"/>
        <v>-</v>
      </c>
      <c r="L192" s="617"/>
      <c r="M192" s="353" t="e">
        <f>RANK(K192, K$182:$K$211)</f>
        <v>#VALUE!</v>
      </c>
      <c r="N192" s="635"/>
      <c r="O192" s="635"/>
      <c r="P192" s="528"/>
      <c r="Q192" s="530"/>
      <c r="R192" s="530"/>
      <c r="S192" s="529"/>
      <c r="T192" s="659"/>
      <c r="U192" s="528"/>
      <c r="V192" s="530"/>
      <c r="W192" s="530"/>
      <c r="X192" s="529"/>
      <c r="Y192" s="659"/>
      <c r="Z192" s="528"/>
      <c r="AA192" s="530"/>
      <c r="AB192" s="530"/>
      <c r="AC192" s="529"/>
      <c r="AD192" s="659"/>
      <c r="AE192" s="528"/>
      <c r="AF192" s="530"/>
      <c r="AG192" s="530"/>
      <c r="AH192" s="529"/>
      <c r="AI192" s="659"/>
      <c r="AJ192" s="528"/>
      <c r="AK192" s="530"/>
      <c r="AL192" s="530"/>
      <c r="AM192" s="529"/>
      <c r="AN192" s="659"/>
      <c r="AO192" s="528"/>
      <c r="AP192" s="530"/>
      <c r="AQ192" s="530"/>
      <c r="AR192" s="529"/>
      <c r="AS192" s="659"/>
      <c r="AT192" s="528"/>
      <c r="AU192" s="530"/>
      <c r="AV192" s="530"/>
      <c r="AW192" s="529"/>
      <c r="AX192" s="659"/>
      <c r="AZ192" s="354" t="e">
        <f t="shared" si="55"/>
        <v>#N/A</v>
      </c>
      <c r="BA192" s="678"/>
    </row>
    <row r="193" spans="2:53">
      <c r="B193" s="669"/>
      <c r="C193" s="352">
        <v>12</v>
      </c>
      <c r="D193" s="538"/>
      <c r="E193" s="201"/>
      <c r="F193" s="201"/>
      <c r="G193" s="536"/>
      <c r="H193" s="671"/>
      <c r="I193" s="367" t="str">
        <f t="shared" si="52"/>
        <v>-</v>
      </c>
      <c r="J193" s="367" t="str">
        <f t="shared" si="53"/>
        <v>-</v>
      </c>
      <c r="K193" s="199" t="str">
        <f t="shared" si="54"/>
        <v>-</v>
      </c>
      <c r="L193" s="617"/>
      <c r="M193" s="353" t="e">
        <f>RANK(K193, K$182:$K$211)</f>
        <v>#VALUE!</v>
      </c>
      <c r="N193" s="635"/>
      <c r="O193" s="635"/>
      <c r="P193" s="528"/>
      <c r="Q193" s="530"/>
      <c r="R193" s="530"/>
      <c r="S193" s="529"/>
      <c r="T193" s="659"/>
      <c r="U193" s="528"/>
      <c r="V193" s="530"/>
      <c r="W193" s="530"/>
      <c r="X193" s="529"/>
      <c r="Y193" s="659"/>
      <c r="Z193" s="528"/>
      <c r="AA193" s="530"/>
      <c r="AB193" s="530"/>
      <c r="AC193" s="529"/>
      <c r="AD193" s="659"/>
      <c r="AE193" s="528"/>
      <c r="AF193" s="530"/>
      <c r="AG193" s="530"/>
      <c r="AH193" s="529"/>
      <c r="AI193" s="659"/>
      <c r="AJ193" s="528"/>
      <c r="AK193" s="530"/>
      <c r="AL193" s="530"/>
      <c r="AM193" s="529"/>
      <c r="AN193" s="659"/>
      <c r="AO193" s="528"/>
      <c r="AP193" s="530"/>
      <c r="AQ193" s="530"/>
      <c r="AR193" s="529"/>
      <c r="AS193" s="659"/>
      <c r="AT193" s="528"/>
      <c r="AU193" s="530"/>
      <c r="AV193" s="530"/>
      <c r="AW193" s="529"/>
      <c r="AX193" s="659"/>
      <c r="AZ193" s="354" t="e">
        <f t="shared" si="55"/>
        <v>#N/A</v>
      </c>
      <c r="BA193" s="678"/>
    </row>
    <row r="194" spans="2:53">
      <c r="B194" s="669"/>
      <c r="C194" s="352">
        <v>13</v>
      </c>
      <c r="D194" s="201"/>
      <c r="E194" s="201"/>
      <c r="F194" s="201"/>
      <c r="G194" s="536"/>
      <c r="H194" s="671"/>
      <c r="I194" s="367" t="str">
        <f t="shared" si="52"/>
        <v>-</v>
      </c>
      <c r="J194" s="367" t="str">
        <f t="shared" si="53"/>
        <v>-</v>
      </c>
      <c r="K194" s="199" t="str">
        <f t="shared" si="54"/>
        <v>-</v>
      </c>
      <c r="L194" s="617"/>
      <c r="M194" s="353" t="e">
        <f>RANK(K194, K$182:$K$211)</f>
        <v>#VALUE!</v>
      </c>
      <c r="N194" s="635"/>
      <c r="O194" s="635"/>
      <c r="P194" s="528"/>
      <c r="Q194" s="530"/>
      <c r="R194" s="530"/>
      <c r="S194" s="529"/>
      <c r="T194" s="659"/>
      <c r="U194" s="528"/>
      <c r="V194" s="530"/>
      <c r="W194" s="530"/>
      <c r="X194" s="529"/>
      <c r="Y194" s="659"/>
      <c r="Z194" s="528"/>
      <c r="AA194" s="530"/>
      <c r="AB194" s="530"/>
      <c r="AC194" s="529"/>
      <c r="AD194" s="659"/>
      <c r="AE194" s="528"/>
      <c r="AF194" s="530"/>
      <c r="AG194" s="530"/>
      <c r="AH194" s="529"/>
      <c r="AI194" s="659"/>
      <c r="AJ194" s="528"/>
      <c r="AK194" s="530"/>
      <c r="AL194" s="530"/>
      <c r="AM194" s="529"/>
      <c r="AN194" s="659"/>
      <c r="AO194" s="528"/>
      <c r="AP194" s="530"/>
      <c r="AQ194" s="530"/>
      <c r="AR194" s="529"/>
      <c r="AS194" s="659"/>
      <c r="AT194" s="528"/>
      <c r="AU194" s="530"/>
      <c r="AV194" s="530"/>
      <c r="AW194" s="529"/>
      <c r="AX194" s="659"/>
      <c r="AZ194" s="354" t="e">
        <f t="shared" si="55"/>
        <v>#N/A</v>
      </c>
      <c r="BA194" s="678"/>
    </row>
    <row r="195" spans="2:53">
      <c r="B195" s="669"/>
      <c r="C195" s="352">
        <v>14</v>
      </c>
      <c r="D195" s="201"/>
      <c r="E195" s="201"/>
      <c r="F195" s="201"/>
      <c r="G195" s="536"/>
      <c r="H195" s="671"/>
      <c r="I195" s="367" t="str">
        <f t="shared" si="52"/>
        <v>-</v>
      </c>
      <c r="J195" s="367" t="str">
        <f t="shared" si="53"/>
        <v>-</v>
      </c>
      <c r="K195" s="199" t="str">
        <f t="shared" si="54"/>
        <v>-</v>
      </c>
      <c r="L195" s="617"/>
      <c r="M195" s="353" t="e">
        <f>RANK(K195, K$182:$K$211)</f>
        <v>#VALUE!</v>
      </c>
      <c r="N195" s="635"/>
      <c r="O195" s="635"/>
      <c r="P195" s="528"/>
      <c r="Q195" s="530"/>
      <c r="R195" s="530"/>
      <c r="S195" s="529"/>
      <c r="T195" s="659"/>
      <c r="U195" s="528"/>
      <c r="V195" s="530"/>
      <c r="W195" s="530"/>
      <c r="X195" s="529"/>
      <c r="Y195" s="659"/>
      <c r="Z195" s="528"/>
      <c r="AA195" s="530"/>
      <c r="AB195" s="530"/>
      <c r="AC195" s="529"/>
      <c r="AD195" s="659"/>
      <c r="AE195" s="528"/>
      <c r="AF195" s="530"/>
      <c r="AG195" s="530"/>
      <c r="AH195" s="529"/>
      <c r="AI195" s="659"/>
      <c r="AJ195" s="528"/>
      <c r="AK195" s="530"/>
      <c r="AL195" s="530"/>
      <c r="AM195" s="529"/>
      <c r="AN195" s="659"/>
      <c r="AO195" s="528"/>
      <c r="AP195" s="530"/>
      <c r="AQ195" s="530"/>
      <c r="AR195" s="529"/>
      <c r="AS195" s="659"/>
      <c r="AT195" s="528"/>
      <c r="AU195" s="530"/>
      <c r="AV195" s="530"/>
      <c r="AW195" s="529"/>
      <c r="AX195" s="659"/>
      <c r="AZ195" s="354" t="e">
        <f t="shared" si="55"/>
        <v>#N/A</v>
      </c>
      <c r="BA195" s="678"/>
    </row>
    <row r="196" spans="2:53">
      <c r="B196" s="669"/>
      <c r="C196" s="352">
        <v>15</v>
      </c>
      <c r="D196" s="538"/>
      <c r="E196" s="201"/>
      <c r="F196" s="201"/>
      <c r="G196" s="536"/>
      <c r="H196" s="671"/>
      <c r="I196" s="367" t="str">
        <f t="shared" si="52"/>
        <v>-</v>
      </c>
      <c r="J196" s="367" t="str">
        <f t="shared" si="53"/>
        <v>-</v>
      </c>
      <c r="K196" s="199" t="str">
        <f t="shared" si="54"/>
        <v>-</v>
      </c>
      <c r="L196" s="617"/>
      <c r="M196" s="353" t="e">
        <f>RANK(K196, K$182:$K$211)</f>
        <v>#VALUE!</v>
      </c>
      <c r="N196" s="635"/>
      <c r="O196" s="635"/>
      <c r="P196" s="528"/>
      <c r="Q196" s="530"/>
      <c r="R196" s="530"/>
      <c r="S196" s="529"/>
      <c r="T196" s="659"/>
      <c r="U196" s="528"/>
      <c r="V196" s="530"/>
      <c r="W196" s="530"/>
      <c r="X196" s="529"/>
      <c r="Y196" s="659"/>
      <c r="Z196" s="528"/>
      <c r="AA196" s="530"/>
      <c r="AB196" s="530"/>
      <c r="AC196" s="529"/>
      <c r="AD196" s="659"/>
      <c r="AE196" s="528"/>
      <c r="AF196" s="530"/>
      <c r="AG196" s="530"/>
      <c r="AH196" s="529"/>
      <c r="AI196" s="659"/>
      <c r="AJ196" s="528"/>
      <c r="AK196" s="530"/>
      <c r="AL196" s="530"/>
      <c r="AM196" s="529"/>
      <c r="AN196" s="659"/>
      <c r="AO196" s="528"/>
      <c r="AP196" s="530"/>
      <c r="AQ196" s="530"/>
      <c r="AR196" s="529"/>
      <c r="AS196" s="659"/>
      <c r="AT196" s="528"/>
      <c r="AU196" s="530"/>
      <c r="AV196" s="530"/>
      <c r="AW196" s="529"/>
      <c r="AX196" s="659"/>
      <c r="AZ196" s="354" t="e">
        <f t="shared" si="55"/>
        <v>#N/A</v>
      </c>
      <c r="BA196" s="678"/>
    </row>
    <row r="197" spans="2:53">
      <c r="B197" s="669"/>
      <c r="C197" s="352">
        <v>16</v>
      </c>
      <c r="D197" s="201"/>
      <c r="E197" s="201"/>
      <c r="F197" s="201"/>
      <c r="G197" s="536"/>
      <c r="H197" s="671"/>
      <c r="I197" s="367" t="str">
        <f t="shared" si="52"/>
        <v>-</v>
      </c>
      <c r="J197" s="367" t="str">
        <f t="shared" si="53"/>
        <v>-</v>
      </c>
      <c r="K197" s="199" t="str">
        <f t="shared" si="54"/>
        <v>-</v>
      </c>
      <c r="L197" s="617"/>
      <c r="M197" s="353" t="e">
        <f>RANK(K197, K$182:$K$211)</f>
        <v>#VALUE!</v>
      </c>
      <c r="N197" s="635"/>
      <c r="O197" s="635"/>
      <c r="P197" s="528"/>
      <c r="Q197" s="530"/>
      <c r="R197" s="530"/>
      <c r="S197" s="529"/>
      <c r="T197" s="659"/>
      <c r="U197" s="528"/>
      <c r="V197" s="530"/>
      <c r="W197" s="530"/>
      <c r="X197" s="529"/>
      <c r="Y197" s="659"/>
      <c r="Z197" s="528"/>
      <c r="AA197" s="530"/>
      <c r="AB197" s="530"/>
      <c r="AC197" s="529"/>
      <c r="AD197" s="659"/>
      <c r="AE197" s="528"/>
      <c r="AF197" s="530"/>
      <c r="AG197" s="530"/>
      <c r="AH197" s="529"/>
      <c r="AI197" s="659"/>
      <c r="AJ197" s="528"/>
      <c r="AK197" s="530"/>
      <c r="AL197" s="530"/>
      <c r="AM197" s="529"/>
      <c r="AN197" s="659"/>
      <c r="AO197" s="528"/>
      <c r="AP197" s="530"/>
      <c r="AQ197" s="530"/>
      <c r="AR197" s="529"/>
      <c r="AS197" s="659"/>
      <c r="AT197" s="528"/>
      <c r="AU197" s="530"/>
      <c r="AV197" s="530"/>
      <c r="AW197" s="529"/>
      <c r="AX197" s="659"/>
      <c r="AZ197" s="354" t="e">
        <f t="shared" si="55"/>
        <v>#N/A</v>
      </c>
      <c r="BA197" s="678"/>
    </row>
    <row r="198" spans="2:53">
      <c r="B198" s="669"/>
      <c r="C198" s="352">
        <v>17</v>
      </c>
      <c r="D198" s="201"/>
      <c r="E198" s="201"/>
      <c r="F198" s="201"/>
      <c r="G198" s="536"/>
      <c r="H198" s="671"/>
      <c r="I198" s="367" t="str">
        <f t="shared" si="52"/>
        <v>-</v>
      </c>
      <c r="J198" s="367" t="str">
        <f t="shared" si="53"/>
        <v>-</v>
      </c>
      <c r="K198" s="199" t="str">
        <f t="shared" si="54"/>
        <v>-</v>
      </c>
      <c r="L198" s="617"/>
      <c r="M198" s="353" t="e">
        <f>RANK(K198, K$182:$K$211)</f>
        <v>#VALUE!</v>
      </c>
      <c r="N198" s="635"/>
      <c r="O198" s="635"/>
      <c r="P198" s="528"/>
      <c r="Q198" s="530"/>
      <c r="R198" s="530"/>
      <c r="S198" s="529"/>
      <c r="T198" s="659"/>
      <c r="U198" s="528"/>
      <c r="V198" s="530"/>
      <c r="W198" s="530"/>
      <c r="X198" s="529"/>
      <c r="Y198" s="659"/>
      <c r="Z198" s="528"/>
      <c r="AA198" s="530"/>
      <c r="AB198" s="530"/>
      <c r="AC198" s="529"/>
      <c r="AD198" s="659"/>
      <c r="AE198" s="528"/>
      <c r="AF198" s="530"/>
      <c r="AG198" s="530"/>
      <c r="AH198" s="529"/>
      <c r="AI198" s="659"/>
      <c r="AJ198" s="528"/>
      <c r="AK198" s="530"/>
      <c r="AL198" s="530"/>
      <c r="AM198" s="529"/>
      <c r="AN198" s="659"/>
      <c r="AO198" s="528"/>
      <c r="AP198" s="530"/>
      <c r="AQ198" s="530"/>
      <c r="AR198" s="529"/>
      <c r="AS198" s="659"/>
      <c r="AT198" s="528"/>
      <c r="AU198" s="530"/>
      <c r="AV198" s="530"/>
      <c r="AW198" s="529"/>
      <c r="AX198" s="659"/>
      <c r="AZ198" s="354" t="e">
        <f t="shared" si="55"/>
        <v>#N/A</v>
      </c>
      <c r="BA198" s="678"/>
    </row>
    <row r="199" spans="2:53">
      <c r="B199" s="669"/>
      <c r="C199" s="352">
        <v>18</v>
      </c>
      <c r="D199" s="538"/>
      <c r="E199" s="201"/>
      <c r="F199" s="201"/>
      <c r="G199" s="536"/>
      <c r="H199" s="671"/>
      <c r="I199" s="367" t="str">
        <f t="shared" si="52"/>
        <v>-</v>
      </c>
      <c r="J199" s="367" t="str">
        <f t="shared" si="53"/>
        <v>-</v>
      </c>
      <c r="K199" s="199" t="str">
        <f t="shared" si="54"/>
        <v>-</v>
      </c>
      <c r="L199" s="617"/>
      <c r="M199" s="353" t="e">
        <f>RANK(K199, K$182:$K$211)</f>
        <v>#VALUE!</v>
      </c>
      <c r="N199" s="635"/>
      <c r="O199" s="635"/>
      <c r="P199" s="528"/>
      <c r="Q199" s="530"/>
      <c r="R199" s="530"/>
      <c r="S199" s="529"/>
      <c r="T199" s="659"/>
      <c r="U199" s="528"/>
      <c r="V199" s="530"/>
      <c r="W199" s="530"/>
      <c r="X199" s="529"/>
      <c r="Y199" s="659"/>
      <c r="Z199" s="528"/>
      <c r="AA199" s="530"/>
      <c r="AB199" s="530"/>
      <c r="AC199" s="529"/>
      <c r="AD199" s="659"/>
      <c r="AE199" s="528"/>
      <c r="AF199" s="530"/>
      <c r="AG199" s="530"/>
      <c r="AH199" s="529"/>
      <c r="AI199" s="659"/>
      <c r="AJ199" s="528"/>
      <c r="AK199" s="530"/>
      <c r="AL199" s="530"/>
      <c r="AM199" s="529"/>
      <c r="AN199" s="659"/>
      <c r="AO199" s="528"/>
      <c r="AP199" s="530"/>
      <c r="AQ199" s="530"/>
      <c r="AR199" s="529"/>
      <c r="AS199" s="659"/>
      <c r="AT199" s="528"/>
      <c r="AU199" s="530"/>
      <c r="AV199" s="530"/>
      <c r="AW199" s="529"/>
      <c r="AX199" s="659"/>
      <c r="AZ199" s="354" t="e">
        <f t="shared" si="55"/>
        <v>#N/A</v>
      </c>
      <c r="BA199" s="678"/>
    </row>
    <row r="200" spans="2:53">
      <c r="B200" s="669"/>
      <c r="C200" s="352">
        <v>19</v>
      </c>
      <c r="D200" s="538"/>
      <c r="E200" s="201"/>
      <c r="F200" s="201"/>
      <c r="G200" s="536"/>
      <c r="H200" s="671"/>
      <c r="I200" s="367" t="str">
        <f t="shared" si="52"/>
        <v>-</v>
      </c>
      <c r="J200" s="367" t="str">
        <f t="shared" si="53"/>
        <v>-</v>
      </c>
      <c r="K200" s="199" t="str">
        <f t="shared" si="54"/>
        <v>-</v>
      </c>
      <c r="L200" s="617"/>
      <c r="M200" s="353" t="e">
        <f>RANK(K200, K$182:$K$211)</f>
        <v>#VALUE!</v>
      </c>
      <c r="N200" s="635"/>
      <c r="O200" s="635"/>
      <c r="P200" s="528"/>
      <c r="Q200" s="530"/>
      <c r="R200" s="530"/>
      <c r="S200" s="529"/>
      <c r="T200" s="659"/>
      <c r="U200" s="528"/>
      <c r="V200" s="530"/>
      <c r="W200" s="530"/>
      <c r="X200" s="529"/>
      <c r="Y200" s="659"/>
      <c r="Z200" s="528"/>
      <c r="AA200" s="530"/>
      <c r="AB200" s="530"/>
      <c r="AC200" s="529"/>
      <c r="AD200" s="659"/>
      <c r="AE200" s="528"/>
      <c r="AF200" s="530"/>
      <c r="AG200" s="530"/>
      <c r="AH200" s="529"/>
      <c r="AI200" s="659"/>
      <c r="AJ200" s="528"/>
      <c r="AK200" s="530"/>
      <c r="AL200" s="530"/>
      <c r="AM200" s="529"/>
      <c r="AN200" s="659"/>
      <c r="AO200" s="528"/>
      <c r="AP200" s="530"/>
      <c r="AQ200" s="530"/>
      <c r="AR200" s="529"/>
      <c r="AS200" s="659"/>
      <c r="AT200" s="528"/>
      <c r="AU200" s="530"/>
      <c r="AV200" s="530"/>
      <c r="AW200" s="529"/>
      <c r="AX200" s="659"/>
      <c r="AZ200" s="354" t="e">
        <f t="shared" si="55"/>
        <v>#N/A</v>
      </c>
      <c r="BA200" s="678"/>
    </row>
    <row r="201" spans="2:53">
      <c r="B201" s="669"/>
      <c r="C201" s="352">
        <v>20</v>
      </c>
      <c r="D201" s="538"/>
      <c r="E201" s="201"/>
      <c r="F201" s="201"/>
      <c r="G201" s="536"/>
      <c r="H201" s="671"/>
      <c r="I201" s="367" t="str">
        <f t="shared" si="52"/>
        <v>-</v>
      </c>
      <c r="J201" s="367" t="str">
        <f t="shared" si="53"/>
        <v>-</v>
      </c>
      <c r="K201" s="199" t="str">
        <f t="shared" si="54"/>
        <v>-</v>
      </c>
      <c r="L201" s="617"/>
      <c r="M201" s="353" t="e">
        <f>RANK(K201, K$182:$K$211)</f>
        <v>#VALUE!</v>
      </c>
      <c r="N201" s="635"/>
      <c r="O201" s="635"/>
      <c r="P201" s="528"/>
      <c r="Q201" s="530"/>
      <c r="R201" s="530"/>
      <c r="S201" s="529"/>
      <c r="T201" s="659"/>
      <c r="U201" s="528"/>
      <c r="V201" s="530"/>
      <c r="W201" s="530"/>
      <c r="X201" s="529"/>
      <c r="Y201" s="659"/>
      <c r="Z201" s="528"/>
      <c r="AA201" s="530"/>
      <c r="AB201" s="530"/>
      <c r="AC201" s="529"/>
      <c r="AD201" s="659"/>
      <c r="AE201" s="528"/>
      <c r="AF201" s="530"/>
      <c r="AG201" s="530"/>
      <c r="AH201" s="529"/>
      <c r="AI201" s="659"/>
      <c r="AJ201" s="528"/>
      <c r="AK201" s="530"/>
      <c r="AL201" s="530"/>
      <c r="AM201" s="529"/>
      <c r="AN201" s="659"/>
      <c r="AO201" s="528"/>
      <c r="AP201" s="530"/>
      <c r="AQ201" s="530"/>
      <c r="AR201" s="529"/>
      <c r="AS201" s="659"/>
      <c r="AT201" s="528"/>
      <c r="AU201" s="530"/>
      <c r="AV201" s="530"/>
      <c r="AW201" s="529"/>
      <c r="AX201" s="659"/>
      <c r="AZ201" s="354" t="e">
        <f t="shared" si="55"/>
        <v>#N/A</v>
      </c>
      <c r="BA201" s="678"/>
    </row>
    <row r="202" spans="2:53">
      <c r="B202" s="669"/>
      <c r="C202" s="352">
        <v>21</v>
      </c>
      <c r="D202" s="538"/>
      <c r="E202" s="201"/>
      <c r="F202" s="201"/>
      <c r="G202" s="536"/>
      <c r="H202" s="671"/>
      <c r="I202" s="367" t="str">
        <f t="shared" si="52"/>
        <v>-</v>
      </c>
      <c r="J202" s="367" t="str">
        <f t="shared" si="53"/>
        <v>-</v>
      </c>
      <c r="K202" s="199" t="str">
        <f t="shared" si="54"/>
        <v>-</v>
      </c>
      <c r="L202" s="617"/>
      <c r="M202" s="353" t="e">
        <f>RANK(K202, K$182:$K$211)</f>
        <v>#VALUE!</v>
      </c>
      <c r="N202" s="635"/>
      <c r="O202" s="635"/>
      <c r="P202" s="528"/>
      <c r="Q202" s="530"/>
      <c r="R202" s="530"/>
      <c r="S202" s="529"/>
      <c r="T202" s="659"/>
      <c r="U202" s="528"/>
      <c r="V202" s="530"/>
      <c r="W202" s="530"/>
      <c r="X202" s="529"/>
      <c r="Y202" s="659"/>
      <c r="Z202" s="528"/>
      <c r="AA202" s="530"/>
      <c r="AB202" s="530"/>
      <c r="AC202" s="529"/>
      <c r="AD202" s="659"/>
      <c r="AE202" s="528"/>
      <c r="AF202" s="530"/>
      <c r="AG202" s="530"/>
      <c r="AH202" s="529"/>
      <c r="AI202" s="659"/>
      <c r="AJ202" s="528"/>
      <c r="AK202" s="530"/>
      <c r="AL202" s="530"/>
      <c r="AM202" s="529"/>
      <c r="AN202" s="659"/>
      <c r="AO202" s="528"/>
      <c r="AP202" s="530"/>
      <c r="AQ202" s="530"/>
      <c r="AR202" s="529"/>
      <c r="AS202" s="659"/>
      <c r="AT202" s="528"/>
      <c r="AU202" s="530"/>
      <c r="AV202" s="530"/>
      <c r="AW202" s="529"/>
      <c r="AX202" s="659"/>
      <c r="AZ202" s="354" t="e">
        <f t="shared" si="55"/>
        <v>#N/A</v>
      </c>
      <c r="BA202" s="678"/>
    </row>
    <row r="203" spans="2:53">
      <c r="B203" s="669"/>
      <c r="C203" s="352">
        <v>22</v>
      </c>
      <c r="D203" s="538"/>
      <c r="E203" s="201"/>
      <c r="F203" s="201"/>
      <c r="G203" s="536"/>
      <c r="H203" s="671"/>
      <c r="I203" s="367" t="str">
        <f t="shared" si="52"/>
        <v>-</v>
      </c>
      <c r="J203" s="367" t="str">
        <f t="shared" si="53"/>
        <v>-</v>
      </c>
      <c r="K203" s="199" t="str">
        <f t="shared" si="54"/>
        <v>-</v>
      </c>
      <c r="L203" s="617"/>
      <c r="M203" s="353" t="e">
        <f>RANK(K203, K$182:$K$211)</f>
        <v>#VALUE!</v>
      </c>
      <c r="N203" s="635"/>
      <c r="O203" s="635"/>
      <c r="P203" s="528"/>
      <c r="Q203" s="530"/>
      <c r="R203" s="530"/>
      <c r="S203" s="529"/>
      <c r="T203" s="659"/>
      <c r="U203" s="528"/>
      <c r="V203" s="530"/>
      <c r="W203" s="530"/>
      <c r="X203" s="529"/>
      <c r="Y203" s="659"/>
      <c r="Z203" s="528"/>
      <c r="AA203" s="530"/>
      <c r="AB203" s="530"/>
      <c r="AC203" s="529"/>
      <c r="AD203" s="659"/>
      <c r="AE203" s="528"/>
      <c r="AF203" s="530"/>
      <c r="AG203" s="530"/>
      <c r="AH203" s="529"/>
      <c r="AI203" s="659"/>
      <c r="AJ203" s="528"/>
      <c r="AK203" s="530"/>
      <c r="AL203" s="530"/>
      <c r="AM203" s="529"/>
      <c r="AN203" s="659"/>
      <c r="AO203" s="528"/>
      <c r="AP203" s="530"/>
      <c r="AQ203" s="530"/>
      <c r="AR203" s="529"/>
      <c r="AS203" s="659"/>
      <c r="AT203" s="528"/>
      <c r="AU203" s="530"/>
      <c r="AV203" s="530"/>
      <c r="AW203" s="529"/>
      <c r="AX203" s="659"/>
      <c r="AZ203" s="354" t="e">
        <f t="shared" si="55"/>
        <v>#N/A</v>
      </c>
      <c r="BA203" s="678"/>
    </row>
    <row r="204" spans="2:53">
      <c r="B204" s="669"/>
      <c r="C204" s="352">
        <v>23</v>
      </c>
      <c r="D204" s="201"/>
      <c r="E204" s="201"/>
      <c r="F204" s="201"/>
      <c r="G204" s="536"/>
      <c r="H204" s="671"/>
      <c r="I204" s="367" t="str">
        <f t="shared" si="52"/>
        <v>-</v>
      </c>
      <c r="J204" s="367" t="str">
        <f t="shared" si="53"/>
        <v>-</v>
      </c>
      <c r="K204" s="199" t="str">
        <f t="shared" si="54"/>
        <v>-</v>
      </c>
      <c r="L204" s="617"/>
      <c r="M204" s="353" t="e">
        <f>RANK(K204, K$182:$K$211)</f>
        <v>#VALUE!</v>
      </c>
      <c r="N204" s="635"/>
      <c r="O204" s="635"/>
      <c r="P204" s="528"/>
      <c r="Q204" s="530"/>
      <c r="R204" s="530"/>
      <c r="S204" s="529"/>
      <c r="T204" s="659"/>
      <c r="U204" s="528"/>
      <c r="V204" s="530"/>
      <c r="W204" s="530"/>
      <c r="X204" s="529"/>
      <c r="Y204" s="659"/>
      <c r="Z204" s="528"/>
      <c r="AA204" s="530"/>
      <c r="AB204" s="530"/>
      <c r="AC204" s="529"/>
      <c r="AD204" s="659"/>
      <c r="AE204" s="528"/>
      <c r="AF204" s="530"/>
      <c r="AG204" s="530"/>
      <c r="AH204" s="529"/>
      <c r="AI204" s="659"/>
      <c r="AJ204" s="528"/>
      <c r="AK204" s="530"/>
      <c r="AL204" s="530"/>
      <c r="AM204" s="529"/>
      <c r="AN204" s="659"/>
      <c r="AO204" s="528"/>
      <c r="AP204" s="530"/>
      <c r="AQ204" s="530"/>
      <c r="AR204" s="529"/>
      <c r="AS204" s="659"/>
      <c r="AT204" s="528"/>
      <c r="AU204" s="530"/>
      <c r="AV204" s="530"/>
      <c r="AW204" s="529"/>
      <c r="AX204" s="659"/>
      <c r="AZ204" s="354" t="e">
        <f t="shared" si="55"/>
        <v>#N/A</v>
      </c>
      <c r="BA204" s="678"/>
    </row>
    <row r="205" spans="2:53">
      <c r="B205" s="669"/>
      <c r="C205" s="352">
        <v>24</v>
      </c>
      <c r="D205" s="538"/>
      <c r="E205" s="201"/>
      <c r="F205" s="201"/>
      <c r="G205" s="536"/>
      <c r="H205" s="671"/>
      <c r="I205" s="367" t="str">
        <f t="shared" si="52"/>
        <v>-</v>
      </c>
      <c r="J205" s="367" t="str">
        <f t="shared" si="53"/>
        <v>-</v>
      </c>
      <c r="K205" s="199" t="str">
        <f t="shared" si="54"/>
        <v>-</v>
      </c>
      <c r="L205" s="617"/>
      <c r="M205" s="353" t="e">
        <f>RANK(K205, K$182:$K$211)</f>
        <v>#VALUE!</v>
      </c>
      <c r="N205" s="635"/>
      <c r="O205" s="635"/>
      <c r="P205" s="528"/>
      <c r="Q205" s="530"/>
      <c r="R205" s="530"/>
      <c r="S205" s="529"/>
      <c r="T205" s="659"/>
      <c r="U205" s="528"/>
      <c r="V205" s="530"/>
      <c r="W205" s="530"/>
      <c r="X205" s="529"/>
      <c r="Y205" s="659"/>
      <c r="Z205" s="528"/>
      <c r="AA205" s="530"/>
      <c r="AB205" s="530"/>
      <c r="AC205" s="529"/>
      <c r="AD205" s="659"/>
      <c r="AE205" s="528"/>
      <c r="AF205" s="530"/>
      <c r="AG205" s="530"/>
      <c r="AH205" s="529"/>
      <c r="AI205" s="659"/>
      <c r="AJ205" s="528"/>
      <c r="AK205" s="530"/>
      <c r="AL205" s="530"/>
      <c r="AM205" s="529"/>
      <c r="AN205" s="659"/>
      <c r="AO205" s="528"/>
      <c r="AP205" s="530"/>
      <c r="AQ205" s="530"/>
      <c r="AR205" s="529"/>
      <c r="AS205" s="659"/>
      <c r="AT205" s="528"/>
      <c r="AU205" s="530"/>
      <c r="AV205" s="530"/>
      <c r="AW205" s="529"/>
      <c r="AX205" s="659"/>
      <c r="AZ205" s="354" t="e">
        <f t="shared" si="55"/>
        <v>#N/A</v>
      </c>
      <c r="BA205" s="678"/>
    </row>
    <row r="206" spans="2:53">
      <c r="B206" s="669"/>
      <c r="C206" s="352">
        <v>25</v>
      </c>
      <c r="D206" s="201"/>
      <c r="E206" s="201"/>
      <c r="F206" s="201"/>
      <c r="G206" s="536"/>
      <c r="H206" s="671"/>
      <c r="I206" s="367" t="str">
        <f t="shared" si="52"/>
        <v>-</v>
      </c>
      <c r="J206" s="367" t="str">
        <f t="shared" si="53"/>
        <v>-</v>
      </c>
      <c r="K206" s="199" t="str">
        <f t="shared" si="54"/>
        <v>-</v>
      </c>
      <c r="L206" s="617"/>
      <c r="M206" s="353" t="e">
        <f>RANK(K206, K$182:$K$211)</f>
        <v>#VALUE!</v>
      </c>
      <c r="N206" s="635"/>
      <c r="O206" s="635"/>
      <c r="P206" s="528"/>
      <c r="Q206" s="530"/>
      <c r="R206" s="530"/>
      <c r="S206" s="529"/>
      <c r="T206" s="659"/>
      <c r="U206" s="528"/>
      <c r="V206" s="530"/>
      <c r="W206" s="530"/>
      <c r="X206" s="529"/>
      <c r="Y206" s="659"/>
      <c r="Z206" s="528"/>
      <c r="AA206" s="530"/>
      <c r="AB206" s="530"/>
      <c r="AC206" s="529"/>
      <c r="AD206" s="659"/>
      <c r="AE206" s="528"/>
      <c r="AF206" s="530"/>
      <c r="AG206" s="530"/>
      <c r="AH206" s="529"/>
      <c r="AI206" s="659"/>
      <c r="AJ206" s="528"/>
      <c r="AK206" s="530"/>
      <c r="AL206" s="530"/>
      <c r="AM206" s="529"/>
      <c r="AN206" s="659"/>
      <c r="AO206" s="528"/>
      <c r="AP206" s="530"/>
      <c r="AQ206" s="530"/>
      <c r="AR206" s="529"/>
      <c r="AS206" s="659"/>
      <c r="AT206" s="528"/>
      <c r="AU206" s="530"/>
      <c r="AV206" s="530"/>
      <c r="AW206" s="529"/>
      <c r="AX206" s="659"/>
      <c r="AZ206" s="354" t="e">
        <f t="shared" si="55"/>
        <v>#N/A</v>
      </c>
      <c r="BA206" s="678"/>
    </row>
    <row r="207" spans="2:53">
      <c r="B207" s="669"/>
      <c r="C207" s="352">
        <v>26</v>
      </c>
      <c r="D207" s="201"/>
      <c r="E207" s="201"/>
      <c r="F207" s="201"/>
      <c r="G207" s="536"/>
      <c r="H207" s="671"/>
      <c r="I207" s="367" t="str">
        <f t="shared" si="52"/>
        <v>-</v>
      </c>
      <c r="J207" s="367" t="str">
        <f t="shared" si="53"/>
        <v>-</v>
      </c>
      <c r="K207" s="199" t="str">
        <f t="shared" si="54"/>
        <v>-</v>
      </c>
      <c r="L207" s="617"/>
      <c r="M207" s="353" t="e">
        <f>RANK(K207, K$182:$K$211)</f>
        <v>#VALUE!</v>
      </c>
      <c r="N207" s="635"/>
      <c r="O207" s="635"/>
      <c r="P207" s="528"/>
      <c r="Q207" s="530"/>
      <c r="R207" s="530"/>
      <c r="S207" s="529"/>
      <c r="T207" s="659"/>
      <c r="U207" s="528"/>
      <c r="V207" s="530"/>
      <c r="W207" s="530"/>
      <c r="X207" s="529"/>
      <c r="Y207" s="659"/>
      <c r="Z207" s="528"/>
      <c r="AA207" s="530"/>
      <c r="AB207" s="530"/>
      <c r="AC207" s="529"/>
      <c r="AD207" s="659"/>
      <c r="AE207" s="528"/>
      <c r="AF207" s="530"/>
      <c r="AG207" s="530"/>
      <c r="AH207" s="529"/>
      <c r="AI207" s="659"/>
      <c r="AJ207" s="528"/>
      <c r="AK207" s="530"/>
      <c r="AL207" s="530"/>
      <c r="AM207" s="529"/>
      <c r="AN207" s="659"/>
      <c r="AO207" s="528"/>
      <c r="AP207" s="530"/>
      <c r="AQ207" s="530"/>
      <c r="AR207" s="529"/>
      <c r="AS207" s="659"/>
      <c r="AT207" s="528"/>
      <c r="AU207" s="530"/>
      <c r="AV207" s="530"/>
      <c r="AW207" s="529"/>
      <c r="AX207" s="659"/>
      <c r="AZ207" s="354" t="e">
        <f t="shared" si="55"/>
        <v>#N/A</v>
      </c>
      <c r="BA207" s="678"/>
    </row>
    <row r="208" spans="2:53">
      <c r="B208" s="669"/>
      <c r="C208" s="352">
        <v>27</v>
      </c>
      <c r="D208" s="201"/>
      <c r="E208" s="201"/>
      <c r="F208" s="201"/>
      <c r="G208" s="536"/>
      <c r="H208" s="671"/>
      <c r="I208" s="367" t="str">
        <f t="shared" si="52"/>
        <v>-</v>
      </c>
      <c r="J208" s="367" t="str">
        <f t="shared" si="53"/>
        <v>-</v>
      </c>
      <c r="K208" s="199" t="str">
        <f t="shared" si="54"/>
        <v>-</v>
      </c>
      <c r="L208" s="617"/>
      <c r="M208" s="353" t="e">
        <f>RANK(K208, K$182:$K$211)</f>
        <v>#VALUE!</v>
      </c>
      <c r="N208" s="635"/>
      <c r="O208" s="635"/>
      <c r="P208" s="528"/>
      <c r="Q208" s="530"/>
      <c r="R208" s="530"/>
      <c r="S208" s="529"/>
      <c r="T208" s="659"/>
      <c r="U208" s="528"/>
      <c r="V208" s="530"/>
      <c r="W208" s="530"/>
      <c r="X208" s="529"/>
      <c r="Y208" s="659"/>
      <c r="Z208" s="528"/>
      <c r="AA208" s="530"/>
      <c r="AB208" s="530"/>
      <c r="AC208" s="529"/>
      <c r="AD208" s="659"/>
      <c r="AE208" s="528"/>
      <c r="AF208" s="530"/>
      <c r="AG208" s="530"/>
      <c r="AH208" s="529"/>
      <c r="AI208" s="659"/>
      <c r="AJ208" s="528"/>
      <c r="AK208" s="530"/>
      <c r="AL208" s="530"/>
      <c r="AM208" s="529"/>
      <c r="AN208" s="659"/>
      <c r="AO208" s="528"/>
      <c r="AP208" s="530"/>
      <c r="AQ208" s="530"/>
      <c r="AR208" s="529"/>
      <c r="AS208" s="659"/>
      <c r="AT208" s="528"/>
      <c r="AU208" s="530"/>
      <c r="AV208" s="530"/>
      <c r="AW208" s="529"/>
      <c r="AX208" s="659"/>
      <c r="AZ208" s="354" t="e">
        <f t="shared" si="55"/>
        <v>#N/A</v>
      </c>
      <c r="BA208" s="678"/>
    </row>
    <row r="209" spans="2:53">
      <c r="B209" s="669"/>
      <c r="C209" s="352">
        <v>28</v>
      </c>
      <c r="D209" s="201"/>
      <c r="E209" s="201"/>
      <c r="F209" s="201"/>
      <c r="G209" s="201"/>
      <c r="H209" s="671"/>
      <c r="I209" s="367" t="str">
        <f t="shared" si="52"/>
        <v>-</v>
      </c>
      <c r="J209" s="367" t="str">
        <f t="shared" si="53"/>
        <v>-</v>
      </c>
      <c r="K209" s="199" t="str">
        <f t="shared" si="54"/>
        <v>-</v>
      </c>
      <c r="L209" s="617"/>
      <c r="M209" s="353" t="e">
        <f>RANK(K209, K$182:$K$211)</f>
        <v>#VALUE!</v>
      </c>
      <c r="N209" s="635"/>
      <c r="O209" s="635"/>
      <c r="P209" s="528"/>
      <c r="Q209" s="530"/>
      <c r="R209" s="530"/>
      <c r="S209" s="529"/>
      <c r="T209" s="659"/>
      <c r="U209" s="528"/>
      <c r="V209" s="530"/>
      <c r="W209" s="530"/>
      <c r="X209" s="529"/>
      <c r="Y209" s="659"/>
      <c r="Z209" s="528"/>
      <c r="AA209" s="530"/>
      <c r="AB209" s="530"/>
      <c r="AC209" s="529"/>
      <c r="AD209" s="659"/>
      <c r="AE209" s="528"/>
      <c r="AF209" s="530"/>
      <c r="AG209" s="530"/>
      <c r="AH209" s="529"/>
      <c r="AI209" s="659"/>
      <c r="AJ209" s="528"/>
      <c r="AK209" s="530"/>
      <c r="AL209" s="530"/>
      <c r="AM209" s="529"/>
      <c r="AN209" s="659"/>
      <c r="AO209" s="528"/>
      <c r="AP209" s="530"/>
      <c r="AQ209" s="530"/>
      <c r="AR209" s="529"/>
      <c r="AS209" s="659"/>
      <c r="AT209" s="528"/>
      <c r="AU209" s="530"/>
      <c r="AV209" s="530"/>
      <c r="AW209" s="529"/>
      <c r="AX209" s="659"/>
      <c r="AZ209" s="354" t="e">
        <f t="shared" si="55"/>
        <v>#N/A</v>
      </c>
      <c r="BA209" s="678"/>
    </row>
    <row r="210" spans="2:53">
      <c r="B210" s="669"/>
      <c r="C210" s="352">
        <v>29</v>
      </c>
      <c r="D210" s="201"/>
      <c r="E210" s="201"/>
      <c r="F210" s="201"/>
      <c r="G210" s="201"/>
      <c r="H210" s="671"/>
      <c r="I210" s="367" t="str">
        <f t="shared" si="52"/>
        <v>-</v>
      </c>
      <c r="J210" s="367" t="str">
        <f t="shared" si="53"/>
        <v>-</v>
      </c>
      <c r="K210" s="199" t="str">
        <f t="shared" si="54"/>
        <v>-</v>
      </c>
      <c r="L210" s="617"/>
      <c r="M210" s="353" t="e">
        <f>RANK(K210, K$182:$K$211)</f>
        <v>#VALUE!</v>
      </c>
      <c r="N210" s="635"/>
      <c r="O210" s="635"/>
      <c r="P210" s="528"/>
      <c r="Q210" s="530"/>
      <c r="R210" s="530"/>
      <c r="S210" s="529"/>
      <c r="T210" s="659"/>
      <c r="U210" s="528"/>
      <c r="V210" s="530"/>
      <c r="W210" s="530"/>
      <c r="X210" s="529"/>
      <c r="Y210" s="659"/>
      <c r="Z210" s="528"/>
      <c r="AA210" s="530"/>
      <c r="AB210" s="530"/>
      <c r="AC210" s="529"/>
      <c r="AD210" s="659"/>
      <c r="AE210" s="528"/>
      <c r="AF210" s="530"/>
      <c r="AG210" s="530"/>
      <c r="AH210" s="529"/>
      <c r="AI210" s="659"/>
      <c r="AJ210" s="528"/>
      <c r="AK210" s="530"/>
      <c r="AL210" s="530"/>
      <c r="AM210" s="529"/>
      <c r="AN210" s="659"/>
      <c r="AO210" s="528"/>
      <c r="AP210" s="530"/>
      <c r="AQ210" s="530"/>
      <c r="AR210" s="529"/>
      <c r="AS210" s="659"/>
      <c r="AT210" s="528"/>
      <c r="AU210" s="530"/>
      <c r="AV210" s="530"/>
      <c r="AW210" s="529"/>
      <c r="AX210" s="659"/>
      <c r="AZ210" s="354" t="e">
        <f t="shared" si="55"/>
        <v>#N/A</v>
      </c>
      <c r="BA210" s="678"/>
    </row>
    <row r="211" spans="2:53">
      <c r="B211" s="669"/>
      <c r="C211" s="352">
        <v>30</v>
      </c>
      <c r="D211" s="201"/>
      <c r="E211" s="201"/>
      <c r="F211" s="201"/>
      <c r="G211" s="201"/>
      <c r="H211" s="671"/>
      <c r="I211" s="367" t="str">
        <f t="shared" si="52"/>
        <v>-</v>
      </c>
      <c r="J211" s="367" t="str">
        <f t="shared" si="53"/>
        <v>-</v>
      </c>
      <c r="K211" s="199" t="str">
        <f t="shared" si="54"/>
        <v>-</v>
      </c>
      <c r="L211" s="618"/>
      <c r="M211" s="353" t="e">
        <f>RANK(K211, K$182:$K$211)</f>
        <v>#VALUE!</v>
      </c>
      <c r="N211" s="635"/>
      <c r="O211" s="635"/>
      <c r="P211" s="528"/>
      <c r="Q211" s="530"/>
      <c r="R211" s="530"/>
      <c r="S211" s="529"/>
      <c r="T211" s="659"/>
      <c r="U211" s="528"/>
      <c r="V211" s="530"/>
      <c r="W211" s="530"/>
      <c r="X211" s="529"/>
      <c r="Y211" s="659"/>
      <c r="Z211" s="528"/>
      <c r="AA211" s="530"/>
      <c r="AB211" s="530"/>
      <c r="AC211" s="529"/>
      <c r="AD211" s="659"/>
      <c r="AE211" s="528"/>
      <c r="AF211" s="530"/>
      <c r="AG211" s="530"/>
      <c r="AH211" s="529"/>
      <c r="AI211" s="659"/>
      <c r="AJ211" s="528"/>
      <c r="AK211" s="530"/>
      <c r="AL211" s="530"/>
      <c r="AM211" s="529"/>
      <c r="AN211" s="659"/>
      <c r="AO211" s="528"/>
      <c r="AP211" s="530"/>
      <c r="AQ211" s="530"/>
      <c r="AR211" s="529"/>
      <c r="AS211" s="659"/>
      <c r="AT211" s="528"/>
      <c r="AU211" s="530"/>
      <c r="AV211" s="530"/>
      <c r="AW211" s="529"/>
      <c r="AX211" s="659"/>
      <c r="AZ211" s="354" t="e">
        <f t="shared" si="55"/>
        <v>#N/A</v>
      </c>
      <c r="BA211" s="678"/>
    </row>
    <row r="213" spans="2:53" ht="15.75">
      <c r="B213" s="672" t="s">
        <v>475</v>
      </c>
      <c r="C213" s="673"/>
      <c r="D213" s="673"/>
      <c r="E213" s="673"/>
      <c r="F213" s="673"/>
      <c r="G213" s="673"/>
      <c r="H213" s="674"/>
      <c r="I213" s="311"/>
      <c r="J213" s="311"/>
      <c r="K213" s="311"/>
      <c r="L213" s="311"/>
      <c r="M213" s="312"/>
    </row>
    <row r="214" spans="2:53" ht="15.75">
      <c r="B214" s="675"/>
      <c r="C214" s="675"/>
      <c r="D214" s="675"/>
      <c r="E214" s="675"/>
      <c r="F214" s="675"/>
      <c r="G214" s="675"/>
      <c r="H214" s="675"/>
      <c r="I214" s="313"/>
      <c r="J214" s="313"/>
      <c r="K214" s="313"/>
      <c r="L214" s="313"/>
      <c r="M214" s="314"/>
    </row>
    <row r="215" spans="2:53">
      <c r="B215" s="635" t="s">
        <v>476</v>
      </c>
      <c r="C215" s="635" t="s">
        <v>477</v>
      </c>
      <c r="D215" s="635"/>
      <c r="E215" s="635" t="s">
        <v>478</v>
      </c>
      <c r="F215" s="635"/>
      <c r="G215" s="635"/>
      <c r="H215" s="635" t="s">
        <v>479</v>
      </c>
      <c r="I215" s="676" t="s">
        <v>480</v>
      </c>
      <c r="J215" s="676"/>
      <c r="K215" s="676"/>
      <c r="L215" s="676" t="s">
        <v>479</v>
      </c>
      <c r="M215" s="676" t="s">
        <v>481</v>
      </c>
    </row>
    <row r="216" spans="2:53">
      <c r="B216" s="635"/>
      <c r="C216" s="635"/>
      <c r="D216" s="635"/>
      <c r="E216" s="635" t="s">
        <v>482</v>
      </c>
      <c r="F216" s="635"/>
      <c r="G216" s="635"/>
      <c r="H216" s="635"/>
      <c r="I216" s="676" t="s">
        <v>482</v>
      </c>
      <c r="J216" s="676"/>
      <c r="K216" s="676"/>
      <c r="L216" s="676"/>
      <c r="M216" s="676"/>
    </row>
    <row r="217" spans="2:53">
      <c r="B217" s="635"/>
      <c r="C217" s="635"/>
      <c r="D217" s="635"/>
      <c r="E217" s="308" t="s">
        <v>483</v>
      </c>
      <c r="F217" s="308" t="s">
        <v>484</v>
      </c>
      <c r="G217" s="308" t="s">
        <v>485</v>
      </c>
      <c r="H217" s="635"/>
      <c r="I217" s="315" t="s">
        <v>483</v>
      </c>
      <c r="J217" s="315" t="s">
        <v>484</v>
      </c>
      <c r="K217" s="315" t="s">
        <v>485</v>
      </c>
      <c r="L217" s="676"/>
      <c r="M217" s="676"/>
    </row>
    <row r="218" spans="2:53">
      <c r="B218" s="668" t="s">
        <v>486</v>
      </c>
      <c r="C218" s="307">
        <v>1</v>
      </c>
      <c r="D218" s="307"/>
      <c r="E218" s="307"/>
      <c r="F218" s="307"/>
      <c r="G218" s="307"/>
      <c r="H218" s="659" t="e">
        <f>AVERAGE(G218:G247)</f>
        <v>#DIV/0!</v>
      </c>
      <c r="I218" s="198" t="e">
        <f t="shared" ref="I218:K240" si="56">AVERAGEIF($D$7:$D$211,$D218,I$7:I$211)</f>
        <v>#DIV/0!</v>
      </c>
      <c r="J218" s="198" t="e">
        <f t="shared" si="56"/>
        <v>#DIV/0!</v>
      </c>
      <c r="K218" s="198" t="e">
        <f>AVERAGEIF($D$7:$D$211,$D218,K$7:K$211)</f>
        <v>#DIV/0!</v>
      </c>
      <c r="L218" s="677" t="e">
        <f>AVERAGE(K218:K247)</f>
        <v>#DIV/0!</v>
      </c>
      <c r="M218" s="198" t="e">
        <f>RANK(K218, K$218:$K$247)</f>
        <v>#DIV/0!</v>
      </c>
    </row>
    <row r="219" spans="2:53">
      <c r="B219" s="646"/>
      <c r="C219" s="307">
        <v>2</v>
      </c>
      <c r="D219" s="307"/>
      <c r="E219" s="307"/>
      <c r="F219" s="307"/>
      <c r="G219" s="364"/>
      <c r="H219" s="659"/>
      <c r="I219" s="198" t="e">
        <f t="shared" si="56"/>
        <v>#DIV/0!</v>
      </c>
      <c r="J219" s="198" t="e">
        <f t="shared" si="56"/>
        <v>#DIV/0!</v>
      </c>
      <c r="K219" s="198" t="e">
        <f t="shared" si="56"/>
        <v>#DIV/0!</v>
      </c>
      <c r="L219" s="677"/>
      <c r="M219" s="198" t="e">
        <f>RANK(K219, K$218:$K$247)</f>
        <v>#DIV/0!</v>
      </c>
    </row>
    <row r="220" spans="2:53">
      <c r="B220" s="646"/>
      <c r="C220" s="307">
        <v>3</v>
      </c>
      <c r="D220" s="307"/>
      <c r="E220" s="307"/>
      <c r="F220" s="364"/>
      <c r="G220" s="307"/>
      <c r="H220" s="659"/>
      <c r="I220" s="198" t="e">
        <f t="shared" si="56"/>
        <v>#DIV/0!</v>
      </c>
      <c r="J220" s="198" t="e">
        <f t="shared" si="56"/>
        <v>#DIV/0!</v>
      </c>
      <c r="K220" s="198" t="e">
        <f t="shared" si="56"/>
        <v>#DIV/0!</v>
      </c>
      <c r="L220" s="677"/>
      <c r="M220" s="198" t="e">
        <f>RANK(K220, K$218:$K$247)</f>
        <v>#DIV/0!</v>
      </c>
    </row>
    <row r="221" spans="2:53">
      <c r="B221" s="646"/>
      <c r="C221" s="307">
        <v>4</v>
      </c>
      <c r="D221" s="307"/>
      <c r="E221" s="307"/>
      <c r="F221" s="364"/>
      <c r="G221" s="364"/>
      <c r="H221" s="659"/>
      <c r="I221" s="198" t="e">
        <f t="shared" si="56"/>
        <v>#DIV/0!</v>
      </c>
      <c r="J221" s="198" t="e">
        <f t="shared" si="56"/>
        <v>#DIV/0!</v>
      </c>
      <c r="K221" s="198" t="e">
        <f t="shared" si="56"/>
        <v>#DIV/0!</v>
      </c>
      <c r="L221" s="677"/>
      <c r="M221" s="198" t="e">
        <f>RANK(K221, K$218:$K$247)</f>
        <v>#DIV/0!</v>
      </c>
    </row>
    <row r="222" spans="2:53">
      <c r="B222" s="646"/>
      <c r="C222" s="307">
        <v>5</v>
      </c>
      <c r="D222" s="307"/>
      <c r="E222" s="307"/>
      <c r="F222" s="364"/>
      <c r="G222" s="364"/>
      <c r="H222" s="659"/>
      <c r="I222" s="198" t="e">
        <f t="shared" si="56"/>
        <v>#DIV/0!</v>
      </c>
      <c r="J222" s="198" t="e">
        <f t="shared" si="56"/>
        <v>#DIV/0!</v>
      </c>
      <c r="K222" s="198" t="e">
        <f t="shared" si="56"/>
        <v>#DIV/0!</v>
      </c>
      <c r="L222" s="677"/>
      <c r="M222" s="198" t="e">
        <f>RANK(K222, K$218:$K$247)</f>
        <v>#DIV/0!</v>
      </c>
    </row>
    <row r="223" spans="2:53">
      <c r="B223" s="646"/>
      <c r="C223" s="307">
        <v>6</v>
      </c>
      <c r="D223" s="307"/>
      <c r="E223" s="307"/>
      <c r="F223" s="364"/>
      <c r="G223" s="364"/>
      <c r="H223" s="659"/>
      <c r="I223" s="198" t="e">
        <f t="shared" si="56"/>
        <v>#DIV/0!</v>
      </c>
      <c r="J223" s="198" t="e">
        <f t="shared" si="56"/>
        <v>#DIV/0!</v>
      </c>
      <c r="K223" s="198" t="e">
        <f t="shared" si="56"/>
        <v>#DIV/0!</v>
      </c>
      <c r="L223" s="677"/>
      <c r="M223" s="198" t="e">
        <f>RANK(K223, K$218:$K$247)</f>
        <v>#DIV/0!</v>
      </c>
    </row>
    <row r="224" spans="2:53">
      <c r="B224" s="646"/>
      <c r="C224" s="307">
        <v>7</v>
      </c>
      <c r="D224" s="363"/>
      <c r="E224" s="307"/>
      <c r="F224" s="364"/>
      <c r="G224" s="364"/>
      <c r="H224" s="659"/>
      <c r="I224" s="198" t="e">
        <f t="shared" si="56"/>
        <v>#DIV/0!</v>
      </c>
      <c r="J224" s="198" t="e">
        <f t="shared" si="56"/>
        <v>#DIV/0!</v>
      </c>
      <c r="K224" s="198" t="e">
        <f t="shared" si="56"/>
        <v>#DIV/0!</v>
      </c>
      <c r="L224" s="677"/>
      <c r="M224" s="198" t="e">
        <f>RANK(K224, K$218:$K$247)</f>
        <v>#DIV/0!</v>
      </c>
    </row>
    <row r="225" spans="2:39">
      <c r="B225" s="646"/>
      <c r="C225" s="307">
        <v>8</v>
      </c>
      <c r="D225" s="363"/>
      <c r="E225" s="307"/>
      <c r="F225" s="364"/>
      <c r="G225" s="364"/>
      <c r="H225" s="659"/>
      <c r="I225" s="198" t="e">
        <f t="shared" si="56"/>
        <v>#DIV/0!</v>
      </c>
      <c r="J225" s="198" t="e">
        <f t="shared" si="56"/>
        <v>#DIV/0!</v>
      </c>
      <c r="K225" s="198" t="e">
        <f t="shared" si="56"/>
        <v>#DIV/0!</v>
      </c>
      <c r="L225" s="677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46"/>
      <c r="C226" s="307">
        <v>9</v>
      </c>
      <c r="D226" s="307"/>
      <c r="E226" s="307"/>
      <c r="F226" s="307"/>
      <c r="G226" s="307"/>
      <c r="H226" s="659"/>
      <c r="I226" s="198" t="e">
        <f t="shared" si="56"/>
        <v>#DIV/0!</v>
      </c>
      <c r="J226" s="198" t="e">
        <f t="shared" si="56"/>
        <v>#DIV/0!</v>
      </c>
      <c r="K226" s="198" t="e">
        <f t="shared" si="56"/>
        <v>#DIV/0!</v>
      </c>
      <c r="L226" s="677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46"/>
      <c r="C227" s="307">
        <v>10</v>
      </c>
      <c r="D227" s="307"/>
      <c r="E227" s="307"/>
      <c r="F227" s="307"/>
      <c r="G227" s="307"/>
      <c r="H227" s="659"/>
      <c r="I227" s="198" t="e">
        <f t="shared" si="56"/>
        <v>#DIV/0!</v>
      </c>
      <c r="J227" s="198" t="e">
        <f t="shared" si="56"/>
        <v>#DIV/0!</v>
      </c>
      <c r="K227" s="198" t="e">
        <f t="shared" si="56"/>
        <v>#DIV/0!</v>
      </c>
      <c r="L227" s="677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46"/>
      <c r="C228" s="307">
        <v>11</v>
      </c>
      <c r="D228" s="307"/>
      <c r="E228" s="307"/>
      <c r="F228" s="307"/>
      <c r="G228" s="307"/>
      <c r="H228" s="659"/>
      <c r="I228" s="198" t="e">
        <f t="shared" si="56"/>
        <v>#DIV/0!</v>
      </c>
      <c r="J228" s="198" t="e">
        <f t="shared" si="56"/>
        <v>#DIV/0!</v>
      </c>
      <c r="K228" s="198" t="e">
        <f t="shared" si="56"/>
        <v>#DIV/0!</v>
      </c>
      <c r="L228" s="677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46"/>
      <c r="C229" s="307">
        <v>12</v>
      </c>
      <c r="D229" s="307"/>
      <c r="E229" s="307"/>
      <c r="F229" s="307"/>
      <c r="G229" s="307"/>
      <c r="H229" s="659"/>
      <c r="I229" s="198" t="e">
        <f t="shared" si="56"/>
        <v>#DIV/0!</v>
      </c>
      <c r="J229" s="198" t="e">
        <f t="shared" si="56"/>
        <v>#DIV/0!</v>
      </c>
      <c r="K229" s="198" t="e">
        <f t="shared" si="56"/>
        <v>#DIV/0!</v>
      </c>
      <c r="L229" s="677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46"/>
      <c r="C230" s="307">
        <v>13</v>
      </c>
      <c r="D230" s="307"/>
      <c r="E230" s="307"/>
      <c r="F230" s="307"/>
      <c r="G230" s="307"/>
      <c r="H230" s="659"/>
      <c r="I230" s="198" t="e">
        <f t="shared" si="56"/>
        <v>#DIV/0!</v>
      </c>
      <c r="J230" s="198" t="e">
        <f t="shared" si="56"/>
        <v>#DIV/0!</v>
      </c>
      <c r="K230" s="198" t="e">
        <f t="shared" si="56"/>
        <v>#DIV/0!</v>
      </c>
      <c r="L230" s="677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46"/>
      <c r="C231" s="307">
        <v>14</v>
      </c>
      <c r="D231" s="307"/>
      <c r="E231" s="307"/>
      <c r="F231" s="307"/>
      <c r="G231" s="307"/>
      <c r="H231" s="659"/>
      <c r="I231" s="198" t="e">
        <f t="shared" si="56"/>
        <v>#DIV/0!</v>
      </c>
      <c r="J231" s="198" t="e">
        <f t="shared" si="56"/>
        <v>#DIV/0!</v>
      </c>
      <c r="K231" s="198" t="e">
        <f t="shared" si="56"/>
        <v>#DIV/0!</v>
      </c>
      <c r="L231" s="677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46"/>
      <c r="C232" s="307">
        <v>15</v>
      </c>
      <c r="D232" s="307"/>
      <c r="E232" s="307"/>
      <c r="F232" s="307"/>
      <c r="G232" s="307"/>
      <c r="H232" s="659"/>
      <c r="I232" s="198" t="e">
        <f t="shared" si="56"/>
        <v>#DIV/0!</v>
      </c>
      <c r="J232" s="198" t="e">
        <f t="shared" si="56"/>
        <v>#DIV/0!</v>
      </c>
      <c r="K232" s="198" t="e">
        <f t="shared" si="56"/>
        <v>#DIV/0!</v>
      </c>
      <c r="L232" s="677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46"/>
      <c r="C233" s="307">
        <v>16</v>
      </c>
      <c r="D233" s="307"/>
      <c r="E233" s="307"/>
      <c r="F233" s="307"/>
      <c r="G233" s="307"/>
      <c r="H233" s="659"/>
      <c r="I233" s="198" t="e">
        <f t="shared" si="56"/>
        <v>#DIV/0!</v>
      </c>
      <c r="J233" s="198" t="e">
        <f t="shared" si="56"/>
        <v>#DIV/0!</v>
      </c>
      <c r="K233" s="198" t="e">
        <f t="shared" si="56"/>
        <v>#DIV/0!</v>
      </c>
      <c r="L233" s="677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46"/>
      <c r="C234" s="307">
        <v>17</v>
      </c>
      <c r="D234" s="307"/>
      <c r="E234" s="307"/>
      <c r="F234" s="307"/>
      <c r="G234" s="307"/>
      <c r="H234" s="659"/>
      <c r="I234" s="198" t="e">
        <f t="shared" si="56"/>
        <v>#DIV/0!</v>
      </c>
      <c r="J234" s="198" t="e">
        <f t="shared" si="56"/>
        <v>#DIV/0!</v>
      </c>
      <c r="K234" s="198" t="e">
        <f t="shared" si="56"/>
        <v>#DIV/0!</v>
      </c>
      <c r="L234" s="677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46"/>
      <c r="C235" s="307">
        <v>18</v>
      </c>
      <c r="D235" s="307"/>
      <c r="E235" s="307"/>
      <c r="F235" s="307"/>
      <c r="G235" s="307"/>
      <c r="H235" s="659"/>
      <c r="I235" s="198" t="e">
        <f t="shared" si="56"/>
        <v>#DIV/0!</v>
      </c>
      <c r="J235" s="198" t="e">
        <f t="shared" si="56"/>
        <v>#DIV/0!</v>
      </c>
      <c r="K235" s="198" t="e">
        <f t="shared" si="56"/>
        <v>#DIV/0!</v>
      </c>
      <c r="L235" s="677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46"/>
      <c r="C236" s="307">
        <v>19</v>
      </c>
      <c r="D236" s="307"/>
      <c r="E236" s="307"/>
      <c r="F236" s="307"/>
      <c r="G236" s="307"/>
      <c r="H236" s="659"/>
      <c r="I236" s="198" t="e">
        <f t="shared" si="56"/>
        <v>#DIV/0!</v>
      </c>
      <c r="J236" s="198" t="e">
        <f t="shared" si="56"/>
        <v>#DIV/0!</v>
      </c>
      <c r="K236" s="198" t="e">
        <f t="shared" si="56"/>
        <v>#DIV/0!</v>
      </c>
      <c r="L236" s="677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46"/>
      <c r="C237" s="307">
        <v>20</v>
      </c>
      <c r="D237" s="307"/>
      <c r="E237" s="307"/>
      <c r="F237" s="307"/>
      <c r="G237" s="307"/>
      <c r="H237" s="659"/>
      <c r="I237" s="198" t="e">
        <f t="shared" si="56"/>
        <v>#DIV/0!</v>
      </c>
      <c r="J237" s="198" t="e">
        <f t="shared" si="56"/>
        <v>#DIV/0!</v>
      </c>
      <c r="K237" s="198" t="e">
        <f t="shared" si="56"/>
        <v>#DIV/0!</v>
      </c>
      <c r="L237" s="677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46"/>
      <c r="C238" s="307">
        <v>21</v>
      </c>
      <c r="D238" s="307"/>
      <c r="E238" s="307"/>
      <c r="F238" s="307"/>
      <c r="G238" s="307"/>
      <c r="H238" s="659"/>
      <c r="I238" s="198" t="e">
        <f t="shared" si="56"/>
        <v>#DIV/0!</v>
      </c>
      <c r="J238" s="198" t="e">
        <f t="shared" si="56"/>
        <v>#DIV/0!</v>
      </c>
      <c r="K238" s="198" t="e">
        <f t="shared" si="56"/>
        <v>#DIV/0!</v>
      </c>
      <c r="L238" s="677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46"/>
      <c r="C239" s="307">
        <v>22</v>
      </c>
      <c r="D239" s="307"/>
      <c r="E239" s="307"/>
      <c r="F239" s="307"/>
      <c r="G239" s="307"/>
      <c r="H239" s="659"/>
      <c r="I239" s="198" t="e">
        <f t="shared" si="56"/>
        <v>#DIV/0!</v>
      </c>
      <c r="J239" s="198" t="e">
        <f t="shared" si="56"/>
        <v>#DIV/0!</v>
      </c>
      <c r="K239" s="198" t="e">
        <f t="shared" si="56"/>
        <v>#DIV/0!</v>
      </c>
      <c r="L239" s="677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46"/>
      <c r="C240" s="307">
        <v>23</v>
      </c>
      <c r="D240" s="307"/>
      <c r="E240" s="307"/>
      <c r="F240" s="307"/>
      <c r="G240" s="307"/>
      <c r="H240" s="659"/>
      <c r="I240" s="198" t="e">
        <f t="shared" si="56"/>
        <v>#DIV/0!</v>
      </c>
      <c r="J240" s="198" t="e">
        <f t="shared" si="56"/>
        <v>#DIV/0!</v>
      </c>
      <c r="K240" s="198" t="e">
        <f t="shared" si="56"/>
        <v>#DIV/0!</v>
      </c>
      <c r="L240" s="677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46"/>
      <c r="C241" s="307">
        <v>24</v>
      </c>
      <c r="D241" s="307"/>
      <c r="E241" s="307"/>
      <c r="F241" s="307"/>
      <c r="G241" s="307"/>
      <c r="H241" s="659"/>
      <c r="I241" s="198"/>
      <c r="J241" s="198"/>
      <c r="K241" s="198"/>
      <c r="L241" s="677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46"/>
      <c r="C242" s="307">
        <v>25</v>
      </c>
      <c r="D242" s="307"/>
      <c r="E242" s="307"/>
      <c r="F242" s="307"/>
      <c r="G242" s="307"/>
      <c r="H242" s="659"/>
      <c r="I242" s="198"/>
      <c r="J242" s="198"/>
      <c r="K242" s="198"/>
      <c r="L242" s="677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46"/>
      <c r="C243" s="307">
        <v>26</v>
      </c>
      <c r="D243" s="307"/>
      <c r="E243" s="307"/>
      <c r="F243" s="307"/>
      <c r="G243" s="307"/>
      <c r="H243" s="659"/>
      <c r="I243" s="198"/>
      <c r="J243" s="198"/>
      <c r="K243" s="198"/>
      <c r="L243" s="677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46"/>
      <c r="C244" s="307">
        <v>27</v>
      </c>
      <c r="D244" s="307"/>
      <c r="E244" s="307"/>
      <c r="F244" s="307"/>
      <c r="G244" s="307"/>
      <c r="H244" s="659"/>
      <c r="I244" s="198"/>
      <c r="J244" s="198"/>
      <c r="K244" s="198"/>
      <c r="L244" s="677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46"/>
      <c r="C245" s="307">
        <v>28</v>
      </c>
      <c r="D245" s="307"/>
      <c r="E245" s="307"/>
      <c r="F245" s="307"/>
      <c r="G245" s="307"/>
      <c r="H245" s="659"/>
      <c r="I245" s="198"/>
      <c r="J245" s="198"/>
      <c r="K245" s="198"/>
      <c r="L245" s="677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46"/>
      <c r="C246" s="307">
        <v>29</v>
      </c>
      <c r="D246" s="307"/>
      <c r="E246" s="307"/>
      <c r="F246" s="307"/>
      <c r="G246" s="307"/>
      <c r="H246" s="659"/>
      <c r="I246" s="198"/>
      <c r="J246" s="198"/>
      <c r="K246" s="198"/>
      <c r="L246" s="677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46"/>
      <c r="C247" s="307">
        <v>30</v>
      </c>
      <c r="D247" s="307"/>
      <c r="E247" s="307"/>
      <c r="F247" s="307"/>
      <c r="G247" s="307"/>
      <c r="H247" s="659"/>
      <c r="I247" s="198"/>
      <c r="J247" s="198"/>
      <c r="K247" s="198"/>
      <c r="L247" s="677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  <row r="250" spans="2:39">
      <c r="D250" s="364" t="s">
        <v>339</v>
      </c>
      <c r="E250" s="364">
        <v>4</v>
      </c>
      <c r="F250" s="364">
        <v>2700</v>
      </c>
      <c r="G250" s="364">
        <f>F250/E250</f>
        <v>675</v>
      </c>
      <c r="H250" s="106">
        <v>704.2</v>
      </c>
      <c r="N250" s="107"/>
      <c r="O250" s="107"/>
      <c r="P250" s="107"/>
      <c r="Q250" s="107"/>
      <c r="R250" s="107"/>
      <c r="S250" s="107"/>
      <c r="T250" s="107"/>
      <c r="X250" s="107"/>
      <c r="AC250" s="107"/>
      <c r="AH250" s="107"/>
      <c r="AM250" s="107"/>
    </row>
    <row r="251" spans="2:39">
      <c r="D251" s="364" t="s">
        <v>341</v>
      </c>
      <c r="E251" s="364">
        <v>3</v>
      </c>
      <c r="F251" s="364">
        <v>2700</v>
      </c>
      <c r="G251" s="364">
        <f t="shared" ref="G251:G255" si="57">F251/E251</f>
        <v>900</v>
      </c>
      <c r="N251" s="107"/>
      <c r="O251" s="107"/>
      <c r="P251" s="107"/>
      <c r="Q251" s="107"/>
      <c r="R251" s="107"/>
      <c r="S251" s="107"/>
      <c r="T251" s="107"/>
      <c r="X251" s="107"/>
      <c r="AC251" s="107"/>
      <c r="AH251" s="107"/>
      <c r="AM251" s="107"/>
    </row>
    <row r="252" spans="2:39">
      <c r="D252" s="364" t="s">
        <v>342</v>
      </c>
      <c r="E252" s="364">
        <v>4</v>
      </c>
      <c r="F252" s="364">
        <v>2700</v>
      </c>
      <c r="G252" s="364">
        <f t="shared" si="57"/>
        <v>675</v>
      </c>
      <c r="N252" s="107"/>
      <c r="O252" s="107"/>
      <c r="P252" s="107"/>
      <c r="Q252" s="107"/>
      <c r="R252" s="107"/>
      <c r="S252" s="107"/>
      <c r="T252" s="107"/>
      <c r="X252" s="107"/>
      <c r="AC252" s="107"/>
      <c r="AH252" s="107"/>
      <c r="AM252" s="107"/>
    </row>
    <row r="253" spans="2:39">
      <c r="D253" s="364" t="s">
        <v>511</v>
      </c>
      <c r="E253" s="364">
        <v>4</v>
      </c>
      <c r="F253" s="364">
        <v>2700</v>
      </c>
      <c r="G253" s="364">
        <f t="shared" si="57"/>
        <v>675</v>
      </c>
      <c r="N253" s="107"/>
      <c r="O253" s="107"/>
      <c r="P253" s="107"/>
      <c r="Q253" s="107"/>
      <c r="R253" s="107"/>
      <c r="S253" s="107"/>
      <c r="T253" s="107"/>
      <c r="X253" s="107"/>
      <c r="AC253" s="107"/>
      <c r="AH253" s="107"/>
      <c r="AM253" s="107"/>
    </row>
    <row r="254" spans="2:39">
      <c r="D254" s="363" t="s">
        <v>554</v>
      </c>
      <c r="E254" s="364">
        <v>4</v>
      </c>
      <c r="F254" s="364">
        <v>2600</v>
      </c>
      <c r="G254" s="364">
        <f t="shared" si="57"/>
        <v>650</v>
      </c>
      <c r="N254" s="107"/>
      <c r="O254" s="107"/>
      <c r="P254" s="107"/>
      <c r="Q254" s="107"/>
      <c r="R254" s="107"/>
      <c r="S254" s="107"/>
      <c r="T254" s="107"/>
      <c r="X254" s="107"/>
      <c r="AC254" s="107"/>
      <c r="AH254" s="107"/>
      <c r="AM254" s="107"/>
    </row>
    <row r="255" spans="2:39">
      <c r="D255" s="363" t="s">
        <v>555</v>
      </c>
      <c r="E255" s="364">
        <v>4</v>
      </c>
      <c r="F255" s="364">
        <v>2600</v>
      </c>
      <c r="G255" s="364">
        <f t="shared" si="57"/>
        <v>650</v>
      </c>
      <c r="N255" s="107"/>
      <c r="O255" s="107"/>
      <c r="P255" s="107"/>
      <c r="Q255" s="107"/>
      <c r="R255" s="107"/>
      <c r="S255" s="107"/>
      <c r="T255" s="107"/>
      <c r="X255" s="107"/>
      <c r="AC255" s="107"/>
      <c r="AH255" s="107"/>
      <c r="AM255" s="107"/>
    </row>
    <row r="257" spans="4:8" s="107" customFormat="1">
      <c r="D257" s="364" t="s">
        <v>339</v>
      </c>
      <c r="E257" s="364">
        <v>4</v>
      </c>
      <c r="F257" s="364">
        <v>3300</v>
      </c>
      <c r="G257" s="364">
        <f>F257/E257</f>
        <v>825</v>
      </c>
      <c r="H257" s="106">
        <v>845.8</v>
      </c>
    </row>
    <row r="258" spans="4:8" s="107" customFormat="1">
      <c r="D258" s="364" t="s">
        <v>341</v>
      </c>
      <c r="E258" s="364">
        <v>3</v>
      </c>
      <c r="F258" s="364">
        <v>3300</v>
      </c>
      <c r="G258" s="364">
        <f t="shared" ref="G258:G262" si="58">F258/E258</f>
        <v>1100</v>
      </c>
      <c r="H258" s="106"/>
    </row>
    <row r="259" spans="4:8" s="107" customFormat="1">
      <c r="D259" s="364" t="s">
        <v>342</v>
      </c>
      <c r="E259" s="364">
        <v>4</v>
      </c>
      <c r="F259" s="364">
        <v>3300</v>
      </c>
      <c r="G259" s="364">
        <f t="shared" si="58"/>
        <v>825</v>
      </c>
      <c r="H259" s="106"/>
    </row>
    <row r="260" spans="4:8" s="107" customFormat="1">
      <c r="D260" s="364" t="s">
        <v>511</v>
      </c>
      <c r="E260" s="364">
        <v>4</v>
      </c>
      <c r="F260" s="364">
        <v>3100</v>
      </c>
      <c r="G260" s="364">
        <f t="shared" si="58"/>
        <v>775</v>
      </c>
      <c r="H260" s="106"/>
    </row>
    <row r="261" spans="4:8" s="107" customFormat="1">
      <c r="D261" s="363" t="s">
        <v>554</v>
      </c>
      <c r="E261" s="364">
        <v>4</v>
      </c>
      <c r="F261" s="364">
        <v>3100</v>
      </c>
      <c r="G261" s="364">
        <f t="shared" si="58"/>
        <v>775</v>
      </c>
      <c r="H261" s="106"/>
    </row>
    <row r="262" spans="4:8" s="107" customFormat="1">
      <c r="D262" s="363" t="s">
        <v>555</v>
      </c>
      <c r="E262" s="364">
        <v>4</v>
      </c>
      <c r="F262" s="364">
        <v>3100</v>
      </c>
      <c r="G262" s="364">
        <f t="shared" si="58"/>
        <v>775</v>
      </c>
      <c r="H262" s="106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8" zoomScale="55" zoomScaleNormal="55" workbookViewId="0">
      <pane xSplit="15" topLeftCell="P1" activePane="topRight" state="frozen"/>
      <selection activeCell="T7" activeCellId="4" sqref="AM7:AN36 AH7:AI36 AC7:AD36 X7:Y36 S7:T36"/>
      <selection pane="topRight" activeCell="F99" sqref="F99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AVERAGE(L7,L27,L47,L87,L87,L107)</f>
        <v>147.19975574341348</v>
      </c>
    </row>
    <row r="2" spans="1:53" ht="15.75">
      <c r="A2" s="81"/>
      <c r="B2" s="650" t="s">
        <v>162</v>
      </c>
      <c r="C2" s="650"/>
      <c r="D2" s="650"/>
      <c r="E2" s="650"/>
      <c r="F2" s="650"/>
      <c r="G2" s="650"/>
      <c r="H2" s="650"/>
      <c r="I2" s="288"/>
      <c r="J2" s="288"/>
      <c r="K2" s="288"/>
      <c r="L2" s="288"/>
      <c r="M2" s="196"/>
      <c r="N2" s="639" t="s">
        <v>156</v>
      </c>
      <c r="O2" s="639" t="s">
        <v>155</v>
      </c>
      <c r="P2" s="645">
        <v>46203</v>
      </c>
      <c r="Q2" s="646"/>
      <c r="R2" s="646"/>
      <c r="S2" s="646"/>
      <c r="T2" s="646"/>
      <c r="U2" s="642">
        <f>P2+1</f>
        <v>46204</v>
      </c>
      <c r="V2" s="643"/>
      <c r="W2" s="643"/>
      <c r="X2" s="643"/>
      <c r="Y2" s="644"/>
      <c r="Z2" s="642">
        <f>U2+1</f>
        <v>46205</v>
      </c>
      <c r="AA2" s="643"/>
      <c r="AB2" s="643"/>
      <c r="AC2" s="643"/>
      <c r="AD2" s="644"/>
      <c r="AE2" s="642">
        <f>Z2+1</f>
        <v>46206</v>
      </c>
      <c r="AF2" s="643"/>
      <c r="AG2" s="643"/>
      <c r="AH2" s="643"/>
      <c r="AI2" s="644"/>
      <c r="AJ2" s="642">
        <f>AE2+1</f>
        <v>46207</v>
      </c>
      <c r="AK2" s="643"/>
      <c r="AL2" s="643"/>
      <c r="AM2" s="643"/>
      <c r="AN2" s="644"/>
      <c r="AO2" s="642">
        <f>AJ2+1</f>
        <v>46208</v>
      </c>
      <c r="AP2" s="643"/>
      <c r="AQ2" s="643"/>
      <c r="AR2" s="643"/>
      <c r="AS2" s="644"/>
      <c r="AT2" s="642">
        <f>AO2+1</f>
        <v>46209</v>
      </c>
      <c r="AU2" s="643"/>
      <c r="AV2" s="643"/>
      <c r="AW2" s="643"/>
      <c r="AX2" s="644"/>
    </row>
    <row r="3" spans="1:53" ht="15.75">
      <c r="A3" s="81"/>
      <c r="B3" s="684"/>
      <c r="C3" s="684"/>
      <c r="D3" s="684"/>
      <c r="E3" s="684"/>
      <c r="F3" s="684"/>
      <c r="G3" s="684"/>
      <c r="H3" s="684"/>
      <c r="I3" s="289"/>
      <c r="J3" s="289"/>
      <c r="K3" s="289"/>
      <c r="L3" s="289"/>
      <c r="M3" s="197"/>
      <c r="N3" s="641"/>
      <c r="O3" s="641"/>
      <c r="P3" s="645" t="s">
        <v>158</v>
      </c>
      <c r="Q3" s="646"/>
      <c r="R3" s="646"/>
      <c r="S3" s="646"/>
      <c r="T3" s="646"/>
      <c r="U3" s="645" t="s">
        <v>114</v>
      </c>
      <c r="V3" s="646"/>
      <c r="W3" s="646"/>
      <c r="X3" s="646"/>
      <c r="Y3" s="646"/>
      <c r="Z3" s="645" t="s">
        <v>159</v>
      </c>
      <c r="AA3" s="646"/>
      <c r="AB3" s="646"/>
      <c r="AC3" s="646"/>
      <c r="AD3" s="646"/>
      <c r="AE3" s="645" t="s">
        <v>157</v>
      </c>
      <c r="AF3" s="646"/>
      <c r="AG3" s="646"/>
      <c r="AH3" s="646"/>
      <c r="AI3" s="646"/>
      <c r="AJ3" s="645" t="s">
        <v>160</v>
      </c>
      <c r="AK3" s="646"/>
      <c r="AL3" s="646"/>
      <c r="AM3" s="646"/>
      <c r="AN3" s="646"/>
      <c r="AO3" s="645" t="s">
        <v>115</v>
      </c>
      <c r="AP3" s="646"/>
      <c r="AQ3" s="646"/>
      <c r="AR3" s="646"/>
      <c r="AS3" s="646"/>
      <c r="AT3" s="645" t="s">
        <v>161</v>
      </c>
      <c r="AU3" s="646"/>
      <c r="AV3" s="646"/>
      <c r="AW3" s="646"/>
      <c r="AX3" s="646"/>
    </row>
    <row r="4" spans="1:53" ht="14.25">
      <c r="A4" s="81"/>
      <c r="B4" s="635" t="s">
        <v>548</v>
      </c>
      <c r="C4" s="635" t="s">
        <v>382</v>
      </c>
      <c r="D4" s="635"/>
      <c r="E4" s="635" t="s">
        <v>373</v>
      </c>
      <c r="F4" s="635"/>
      <c r="G4" s="635"/>
      <c r="H4" s="636" t="s">
        <v>369</v>
      </c>
      <c r="I4" s="619" t="s">
        <v>374</v>
      </c>
      <c r="J4" s="619"/>
      <c r="K4" s="619"/>
      <c r="L4" s="620" t="s">
        <v>369</v>
      </c>
      <c r="M4" s="626" t="s">
        <v>370</v>
      </c>
      <c r="N4" s="635"/>
      <c r="O4" s="635" t="s">
        <v>375</v>
      </c>
      <c r="P4" s="632" t="s">
        <v>371</v>
      </c>
      <c r="Q4" s="633"/>
      <c r="R4" s="633"/>
      <c r="S4" s="634"/>
      <c r="T4" s="635" t="s">
        <v>369</v>
      </c>
      <c r="U4" s="632" t="s">
        <v>371</v>
      </c>
      <c r="V4" s="633"/>
      <c r="W4" s="633"/>
      <c r="X4" s="634"/>
      <c r="Y4" s="635" t="s">
        <v>369</v>
      </c>
      <c r="Z4" s="632" t="s">
        <v>371</v>
      </c>
      <c r="AA4" s="633"/>
      <c r="AB4" s="633"/>
      <c r="AC4" s="634"/>
      <c r="AD4" s="635" t="s">
        <v>369</v>
      </c>
      <c r="AE4" s="632" t="s">
        <v>371</v>
      </c>
      <c r="AF4" s="633"/>
      <c r="AG4" s="633"/>
      <c r="AH4" s="634"/>
      <c r="AI4" s="635" t="s">
        <v>369</v>
      </c>
      <c r="AJ4" s="632" t="s">
        <v>371</v>
      </c>
      <c r="AK4" s="633"/>
      <c r="AL4" s="633"/>
      <c r="AM4" s="634"/>
      <c r="AN4" s="635" t="s">
        <v>369</v>
      </c>
      <c r="AO4" s="632" t="s">
        <v>371</v>
      </c>
      <c r="AP4" s="633"/>
      <c r="AQ4" s="633"/>
      <c r="AR4" s="634"/>
      <c r="AS4" s="635" t="s">
        <v>369</v>
      </c>
      <c r="AT4" s="632" t="s">
        <v>371</v>
      </c>
      <c r="AU4" s="633"/>
      <c r="AV4" s="633"/>
      <c r="AW4" s="634"/>
      <c r="AX4" s="635" t="s">
        <v>369</v>
      </c>
      <c r="BA4" s="635" t="s">
        <v>369</v>
      </c>
    </row>
    <row r="5" spans="1:53" ht="14.25">
      <c r="A5" s="81"/>
      <c r="B5" s="635"/>
      <c r="C5" s="635"/>
      <c r="D5" s="635"/>
      <c r="E5" s="635" t="s">
        <v>376</v>
      </c>
      <c r="F5" s="635"/>
      <c r="G5" s="635"/>
      <c r="H5" s="637"/>
      <c r="I5" s="619" t="s">
        <v>376</v>
      </c>
      <c r="J5" s="619"/>
      <c r="K5" s="619"/>
      <c r="L5" s="621"/>
      <c r="M5" s="627"/>
      <c r="N5" s="635"/>
      <c r="O5" s="635"/>
      <c r="P5" s="632" t="s">
        <v>377</v>
      </c>
      <c r="Q5" s="633"/>
      <c r="R5" s="633"/>
      <c r="S5" s="634"/>
      <c r="T5" s="635"/>
      <c r="U5" s="632" t="s">
        <v>377</v>
      </c>
      <c r="V5" s="633"/>
      <c r="W5" s="633"/>
      <c r="X5" s="634"/>
      <c r="Y5" s="635"/>
      <c r="Z5" s="632" t="s">
        <v>377</v>
      </c>
      <c r="AA5" s="633"/>
      <c r="AB5" s="633"/>
      <c r="AC5" s="634"/>
      <c r="AD5" s="635"/>
      <c r="AE5" s="632" t="s">
        <v>377</v>
      </c>
      <c r="AF5" s="633"/>
      <c r="AG5" s="633"/>
      <c r="AH5" s="634"/>
      <c r="AI5" s="635"/>
      <c r="AJ5" s="632" t="s">
        <v>377</v>
      </c>
      <c r="AK5" s="633"/>
      <c r="AL5" s="633"/>
      <c r="AM5" s="634"/>
      <c r="AN5" s="635"/>
      <c r="AO5" s="632" t="s">
        <v>377</v>
      </c>
      <c r="AP5" s="633"/>
      <c r="AQ5" s="633"/>
      <c r="AR5" s="634"/>
      <c r="AS5" s="635"/>
      <c r="AT5" s="632" t="s">
        <v>377</v>
      </c>
      <c r="AU5" s="633"/>
      <c r="AV5" s="633"/>
      <c r="AW5" s="634"/>
      <c r="AX5" s="635"/>
      <c r="BA5" s="635"/>
    </row>
    <row r="6" spans="1:53" ht="14.25">
      <c r="A6" s="79"/>
      <c r="B6" s="635"/>
      <c r="C6" s="635"/>
      <c r="D6" s="635"/>
      <c r="E6" s="382" t="s">
        <v>378</v>
      </c>
      <c r="F6" s="382" t="s">
        <v>379</v>
      </c>
      <c r="G6" s="382" t="s">
        <v>380</v>
      </c>
      <c r="H6" s="638"/>
      <c r="I6" s="381" t="s">
        <v>378</v>
      </c>
      <c r="J6" s="381" t="s">
        <v>379</v>
      </c>
      <c r="K6" s="381" t="s">
        <v>380</v>
      </c>
      <c r="L6" s="622"/>
      <c r="M6" s="628"/>
      <c r="N6" s="635"/>
      <c r="O6" s="635"/>
      <c r="P6" s="533" t="s">
        <v>378</v>
      </c>
      <c r="Q6" s="533" t="s">
        <v>379</v>
      </c>
      <c r="R6" s="533" t="s">
        <v>380</v>
      </c>
      <c r="S6" s="533" t="s">
        <v>370</v>
      </c>
      <c r="T6" s="635"/>
      <c r="U6" s="533" t="s">
        <v>378</v>
      </c>
      <c r="V6" s="533" t="s">
        <v>379</v>
      </c>
      <c r="W6" s="533" t="s">
        <v>380</v>
      </c>
      <c r="X6" s="533" t="s">
        <v>370</v>
      </c>
      <c r="Y6" s="635"/>
      <c r="Z6" s="533" t="s">
        <v>378</v>
      </c>
      <c r="AA6" s="533" t="s">
        <v>379</v>
      </c>
      <c r="AB6" s="533" t="s">
        <v>380</v>
      </c>
      <c r="AC6" s="533" t="s">
        <v>370</v>
      </c>
      <c r="AD6" s="635"/>
      <c r="AE6" s="533" t="s">
        <v>378</v>
      </c>
      <c r="AF6" s="533" t="s">
        <v>379</v>
      </c>
      <c r="AG6" s="533" t="s">
        <v>380</v>
      </c>
      <c r="AH6" s="533" t="s">
        <v>370</v>
      </c>
      <c r="AI6" s="635"/>
      <c r="AJ6" s="533" t="s">
        <v>378</v>
      </c>
      <c r="AK6" s="533" t="s">
        <v>379</v>
      </c>
      <c r="AL6" s="533" t="s">
        <v>380</v>
      </c>
      <c r="AM6" s="533" t="s">
        <v>370</v>
      </c>
      <c r="AN6" s="635"/>
      <c r="AO6" s="533" t="s">
        <v>378</v>
      </c>
      <c r="AP6" s="533" t="s">
        <v>379</v>
      </c>
      <c r="AQ6" s="533" t="s">
        <v>380</v>
      </c>
      <c r="AR6" s="533" t="s">
        <v>370</v>
      </c>
      <c r="AS6" s="635"/>
      <c r="AT6" s="533" t="s">
        <v>378</v>
      </c>
      <c r="AU6" s="533" t="s">
        <v>379</v>
      </c>
      <c r="AV6" s="533" t="s">
        <v>380</v>
      </c>
      <c r="AW6" s="533" t="s">
        <v>370</v>
      </c>
      <c r="AX6" s="635"/>
      <c r="AZ6" s="377" t="s">
        <v>370</v>
      </c>
      <c r="BA6" s="635"/>
    </row>
    <row r="7" spans="1:53" ht="14.25">
      <c r="A7" s="81"/>
      <c r="B7" s="679" t="s">
        <v>549</v>
      </c>
      <c r="C7" s="383">
        <v>1</v>
      </c>
      <c r="D7" s="533" t="s">
        <v>576</v>
      </c>
      <c r="E7" s="535">
        <v>10</v>
      </c>
      <c r="F7" s="535">
        <v>1500</v>
      </c>
      <c r="G7" s="539">
        <v>150</v>
      </c>
      <c r="H7" s="681">
        <f>AVERAGE(G7:G21)</f>
        <v>130</v>
      </c>
      <c r="I7" s="385">
        <f t="shared" ref="I7:I21" si="0">IFERROR(AVERAGE(P7,U7,Z7,AE7,AJ7,AO7,AT7),"-")</f>
        <v>10</v>
      </c>
      <c r="J7" s="385">
        <f t="shared" ref="J7:J21" si="1">IFERROR(AVERAGE(Q7,V7,AA7,AF7,AK7,AP7,AU7),"-")</f>
        <v>1450.6530612244885</v>
      </c>
      <c r="K7" s="199">
        <f t="shared" ref="K7:K21" si="2">IFERROR(AVERAGE(R7,W7,AB7,AG7,AL7,AQ7,AV7),"-")</f>
        <v>145.06530612244887</v>
      </c>
      <c r="L7" s="616">
        <f>IFERROR(AVERAGE(K7:K21),"-")</f>
        <v>144.26807206399042</v>
      </c>
      <c r="M7" s="387">
        <f>RANK(K7, K$7:$K$21)</f>
        <v>1</v>
      </c>
      <c r="N7" s="635"/>
      <c r="O7" s="635"/>
      <c r="P7" s="535">
        <v>10</v>
      </c>
      <c r="Q7" s="539">
        <v>1421.1428571428557</v>
      </c>
      <c r="R7" s="539">
        <v>142.11428571428559</v>
      </c>
      <c r="S7" s="535">
        <v>3</v>
      </c>
      <c r="T7" s="659">
        <v>144.90952380952379</v>
      </c>
      <c r="U7" s="535">
        <v>10</v>
      </c>
      <c r="V7" s="539">
        <v>1417.7142857142844</v>
      </c>
      <c r="W7" s="539">
        <v>141.77142857142843</v>
      </c>
      <c r="X7" s="535">
        <v>3</v>
      </c>
      <c r="Y7" s="659">
        <v>148.14090354090357</v>
      </c>
      <c r="Z7" s="535">
        <v>10</v>
      </c>
      <c r="AA7" s="539">
        <v>1551.9999999999973</v>
      </c>
      <c r="AB7" s="539">
        <v>155.19999999999973</v>
      </c>
      <c r="AC7" s="535">
        <v>1</v>
      </c>
      <c r="AD7" s="659">
        <v>135.35068027210863</v>
      </c>
      <c r="AE7" s="535">
        <v>10</v>
      </c>
      <c r="AF7" s="539">
        <v>1505.9999999999973</v>
      </c>
      <c r="AG7" s="539">
        <v>150.59999999999974</v>
      </c>
      <c r="AH7" s="535">
        <v>1</v>
      </c>
      <c r="AI7" s="659">
        <v>140.26111111111109</v>
      </c>
      <c r="AJ7" s="535">
        <v>10</v>
      </c>
      <c r="AK7" s="539">
        <v>1363.9999999999975</v>
      </c>
      <c r="AL7" s="539">
        <v>136.39999999999975</v>
      </c>
      <c r="AM7" s="535">
        <v>3</v>
      </c>
      <c r="AN7" s="659">
        <v>145.85555555555558</v>
      </c>
      <c r="AO7" s="535">
        <v>10</v>
      </c>
      <c r="AP7" s="539">
        <v>1443.4285714285768</v>
      </c>
      <c r="AQ7" s="539">
        <v>144.34285714285767</v>
      </c>
      <c r="AR7" s="535">
        <v>3</v>
      </c>
      <c r="AS7" s="659">
        <v>148.16984126984147</v>
      </c>
      <c r="AT7" s="535">
        <v>10</v>
      </c>
      <c r="AU7" s="539">
        <v>1450.2857142857129</v>
      </c>
      <c r="AV7" s="539">
        <v>145.0285714285713</v>
      </c>
      <c r="AW7" s="535">
        <v>3</v>
      </c>
      <c r="AX7" s="659">
        <v>147.18888888888875</v>
      </c>
      <c r="AZ7" s="376" t="e">
        <f t="shared" ref="AZ7:AZ21" si="3">RANK(AY7, AY$7:AY$21)</f>
        <v>#N/A</v>
      </c>
      <c r="BA7" s="694" t="e">
        <f t="shared" ref="BA7" si="4">AVERAGE(AY7:AY21)</f>
        <v>#DIV/0!</v>
      </c>
    </row>
    <row r="8" spans="1:53" ht="15" customHeight="1">
      <c r="A8" s="81"/>
      <c r="B8" s="669"/>
      <c r="C8" s="383">
        <v>2</v>
      </c>
      <c r="D8" s="535" t="s">
        <v>599</v>
      </c>
      <c r="E8" s="535">
        <v>15</v>
      </c>
      <c r="F8" s="535">
        <v>1800</v>
      </c>
      <c r="G8" s="539">
        <v>120</v>
      </c>
      <c r="H8" s="682"/>
      <c r="I8" s="385">
        <f t="shared" si="0"/>
        <v>12.285714285714286</v>
      </c>
      <c r="J8" s="385">
        <f t="shared" si="1"/>
        <v>1748.1857142857136</v>
      </c>
      <c r="K8" s="199">
        <f t="shared" si="2"/>
        <v>142.70510204081629</v>
      </c>
      <c r="L8" s="617"/>
      <c r="M8" s="387">
        <f>RANK(K8, K$7:$K$21)</f>
        <v>3</v>
      </c>
      <c r="N8" s="635"/>
      <c r="O8" s="635"/>
      <c r="P8" s="535">
        <v>12</v>
      </c>
      <c r="Q8" s="539">
        <v>1768.7999999999988</v>
      </c>
      <c r="R8" s="539">
        <v>147.39999999999989</v>
      </c>
      <c r="S8" s="535">
        <v>1</v>
      </c>
      <c r="T8" s="659"/>
      <c r="U8" s="535">
        <v>12</v>
      </c>
      <c r="V8" s="539">
        <v>1779.2000000000005</v>
      </c>
      <c r="W8" s="539">
        <v>148.26666666666671</v>
      </c>
      <c r="X8" s="535">
        <v>2</v>
      </c>
      <c r="Y8" s="659"/>
      <c r="Z8" s="535">
        <v>14</v>
      </c>
      <c r="AA8" s="539">
        <v>1750.4999999999975</v>
      </c>
      <c r="AB8" s="539">
        <v>125.03571428571411</v>
      </c>
      <c r="AC8" s="535">
        <v>3</v>
      </c>
      <c r="AD8" s="659"/>
      <c r="AE8" s="535">
        <v>12</v>
      </c>
      <c r="AF8" s="539">
        <v>1511.2000000000005</v>
      </c>
      <c r="AG8" s="539">
        <v>125.93333333333338</v>
      </c>
      <c r="AH8" s="535">
        <v>3</v>
      </c>
      <c r="AI8" s="659"/>
      <c r="AJ8" s="535">
        <v>12</v>
      </c>
      <c r="AK8" s="539">
        <v>1813.9999999999991</v>
      </c>
      <c r="AL8" s="539">
        <v>151.1666666666666</v>
      </c>
      <c r="AM8" s="535">
        <v>1</v>
      </c>
      <c r="AN8" s="659"/>
      <c r="AO8" s="535">
        <v>12</v>
      </c>
      <c r="AP8" s="539">
        <v>1819.9999999999986</v>
      </c>
      <c r="AQ8" s="539">
        <v>151.66666666666654</v>
      </c>
      <c r="AR8" s="535">
        <v>1</v>
      </c>
      <c r="AS8" s="659"/>
      <c r="AT8" s="535">
        <v>12</v>
      </c>
      <c r="AU8" s="539">
        <v>1793.6000000000008</v>
      </c>
      <c r="AV8" s="539">
        <v>149.46666666666673</v>
      </c>
      <c r="AW8" s="535">
        <v>1</v>
      </c>
      <c r="AX8" s="659"/>
      <c r="AZ8" s="376" t="e">
        <f t="shared" si="3"/>
        <v>#N/A</v>
      </c>
      <c r="BA8" s="694"/>
    </row>
    <row r="9" spans="1:53" ht="14.25">
      <c r="A9" s="81"/>
      <c r="B9" s="669"/>
      <c r="C9" s="383">
        <v>3</v>
      </c>
      <c r="D9" s="535" t="s">
        <v>600</v>
      </c>
      <c r="E9" s="535">
        <v>15</v>
      </c>
      <c r="F9" s="535">
        <v>1800</v>
      </c>
      <c r="G9" s="539">
        <v>120</v>
      </c>
      <c r="H9" s="682"/>
      <c r="I9" s="385">
        <f t="shared" si="0"/>
        <v>12.285714285714286</v>
      </c>
      <c r="J9" s="385">
        <f t="shared" si="1"/>
        <v>1776.353218210362</v>
      </c>
      <c r="K9" s="199">
        <f t="shared" si="2"/>
        <v>145.03380802870606</v>
      </c>
      <c r="L9" s="617"/>
      <c r="M9" s="387">
        <f>RANK(K9, K$7:$K$21)</f>
        <v>2</v>
      </c>
      <c r="N9" s="635"/>
      <c r="O9" s="635"/>
      <c r="P9" s="535">
        <v>12</v>
      </c>
      <c r="Q9" s="539">
        <v>1742.5714285714307</v>
      </c>
      <c r="R9" s="539">
        <v>145.21428571428589</v>
      </c>
      <c r="S9" s="535">
        <v>2</v>
      </c>
      <c r="T9" s="659"/>
      <c r="U9" s="535">
        <v>12</v>
      </c>
      <c r="V9" s="539">
        <v>1852.6153846153866</v>
      </c>
      <c r="W9" s="539">
        <v>154.38461538461556</v>
      </c>
      <c r="X9" s="535">
        <v>1</v>
      </c>
      <c r="Y9" s="659"/>
      <c r="Z9" s="535">
        <v>14</v>
      </c>
      <c r="AA9" s="539">
        <v>1761.4285714285695</v>
      </c>
      <c r="AB9" s="539">
        <v>125.8163265306121</v>
      </c>
      <c r="AC9" s="535">
        <v>2</v>
      </c>
      <c r="AD9" s="659"/>
      <c r="AE9" s="535">
        <v>12</v>
      </c>
      <c r="AF9" s="539">
        <v>1731.0000000000016</v>
      </c>
      <c r="AG9" s="539">
        <v>144.25000000000014</v>
      </c>
      <c r="AH9" s="535">
        <v>2</v>
      </c>
      <c r="AI9" s="659"/>
      <c r="AJ9" s="535">
        <v>12</v>
      </c>
      <c r="AK9" s="539">
        <v>1800.0000000000036</v>
      </c>
      <c r="AL9" s="539">
        <v>150.00000000000031</v>
      </c>
      <c r="AM9" s="535">
        <v>2</v>
      </c>
      <c r="AN9" s="659"/>
      <c r="AO9" s="535">
        <v>12</v>
      </c>
      <c r="AP9" s="539">
        <v>1782.000000000002</v>
      </c>
      <c r="AQ9" s="539">
        <v>148.50000000000017</v>
      </c>
      <c r="AR9" s="535">
        <v>2</v>
      </c>
      <c r="AS9" s="659"/>
      <c r="AT9" s="535">
        <v>12</v>
      </c>
      <c r="AU9" s="539">
        <v>1764.8571428571388</v>
      </c>
      <c r="AV9" s="539">
        <v>147.07142857142824</v>
      </c>
      <c r="AW9" s="535">
        <v>2</v>
      </c>
      <c r="AX9" s="659"/>
      <c r="AZ9" s="376" t="e">
        <f t="shared" si="3"/>
        <v>#N/A</v>
      </c>
      <c r="BA9" s="694"/>
    </row>
    <row r="10" spans="1:53" ht="14.25">
      <c r="A10" s="81"/>
      <c r="B10" s="669"/>
      <c r="C10" s="383">
        <v>4</v>
      </c>
      <c r="D10" s="535"/>
      <c r="E10" s="535"/>
      <c r="F10" s="535"/>
      <c r="G10" s="539"/>
      <c r="H10" s="682"/>
      <c r="I10" s="385" t="str">
        <f t="shared" si="0"/>
        <v>-</v>
      </c>
      <c r="J10" s="385" t="str">
        <f t="shared" si="1"/>
        <v>-</v>
      </c>
      <c r="K10" s="199" t="str">
        <f t="shared" si="2"/>
        <v>-</v>
      </c>
      <c r="L10" s="617"/>
      <c r="M10" s="387" t="e">
        <f>RANK(K10, K$7:$K$21)</f>
        <v>#VALUE!</v>
      </c>
      <c r="N10" s="635"/>
      <c r="O10" s="635"/>
      <c r="P10" s="535" t="s">
        <v>592</v>
      </c>
      <c r="Q10" s="539" t="s">
        <v>592</v>
      </c>
      <c r="R10" s="539" t="s">
        <v>592</v>
      </c>
      <c r="S10" s="535"/>
      <c r="T10" s="659"/>
      <c r="U10" s="535" t="s">
        <v>592</v>
      </c>
      <c r="V10" s="539" t="s">
        <v>592</v>
      </c>
      <c r="W10" s="539" t="s">
        <v>592</v>
      </c>
      <c r="X10" s="535"/>
      <c r="Y10" s="659"/>
      <c r="Z10" s="535" t="s">
        <v>592</v>
      </c>
      <c r="AA10" s="539" t="s">
        <v>592</v>
      </c>
      <c r="AB10" s="539" t="s">
        <v>592</v>
      </c>
      <c r="AC10" s="535"/>
      <c r="AD10" s="659"/>
      <c r="AE10" s="535" t="s">
        <v>592</v>
      </c>
      <c r="AF10" s="539" t="s">
        <v>592</v>
      </c>
      <c r="AG10" s="539" t="s">
        <v>592</v>
      </c>
      <c r="AH10" s="535"/>
      <c r="AI10" s="659"/>
      <c r="AJ10" s="535" t="s">
        <v>592</v>
      </c>
      <c r="AK10" s="539" t="s">
        <v>592</v>
      </c>
      <c r="AL10" s="539" t="s">
        <v>592</v>
      </c>
      <c r="AM10" s="535"/>
      <c r="AN10" s="659"/>
      <c r="AO10" s="535" t="s">
        <v>592</v>
      </c>
      <c r="AP10" s="539" t="s">
        <v>592</v>
      </c>
      <c r="AQ10" s="539" t="s">
        <v>592</v>
      </c>
      <c r="AR10" s="535"/>
      <c r="AS10" s="659"/>
      <c r="AT10" s="535" t="s">
        <v>592</v>
      </c>
      <c r="AU10" s="539" t="s">
        <v>592</v>
      </c>
      <c r="AV10" s="539" t="s">
        <v>592</v>
      </c>
      <c r="AW10" s="535"/>
      <c r="AX10" s="659"/>
      <c r="AZ10" s="376" t="e">
        <f t="shared" si="3"/>
        <v>#N/A</v>
      </c>
      <c r="BA10" s="694"/>
    </row>
    <row r="11" spans="1:53" ht="14.25">
      <c r="A11" s="81"/>
      <c r="B11" s="669"/>
      <c r="C11" s="383">
        <v>5</v>
      </c>
      <c r="D11" s="535"/>
      <c r="E11" s="535"/>
      <c r="F11" s="535"/>
      <c r="G11" s="539"/>
      <c r="H11" s="682"/>
      <c r="I11" s="385" t="str">
        <f t="shared" si="0"/>
        <v>-</v>
      </c>
      <c r="J11" s="385" t="str">
        <f t="shared" si="1"/>
        <v>-</v>
      </c>
      <c r="K11" s="199" t="str">
        <f t="shared" si="2"/>
        <v>-</v>
      </c>
      <c r="L11" s="617"/>
      <c r="M11" s="387" t="e">
        <f>RANK(K11, K$7:$K$21)</f>
        <v>#VALUE!</v>
      </c>
      <c r="N11" s="635"/>
      <c r="O11" s="635"/>
      <c r="P11" s="535" t="s">
        <v>592</v>
      </c>
      <c r="Q11" s="539" t="s">
        <v>592</v>
      </c>
      <c r="R11" s="539" t="s">
        <v>592</v>
      </c>
      <c r="S11" s="535"/>
      <c r="T11" s="659"/>
      <c r="U11" s="535" t="s">
        <v>592</v>
      </c>
      <c r="V11" s="539" t="s">
        <v>592</v>
      </c>
      <c r="W11" s="539" t="s">
        <v>592</v>
      </c>
      <c r="X11" s="535"/>
      <c r="Y11" s="659"/>
      <c r="Z11" s="535" t="s">
        <v>592</v>
      </c>
      <c r="AA11" s="539" t="s">
        <v>592</v>
      </c>
      <c r="AB11" s="539" t="s">
        <v>592</v>
      </c>
      <c r="AC11" s="535"/>
      <c r="AD11" s="659"/>
      <c r="AE11" s="535" t="s">
        <v>592</v>
      </c>
      <c r="AF11" s="539" t="s">
        <v>592</v>
      </c>
      <c r="AG11" s="539" t="s">
        <v>592</v>
      </c>
      <c r="AH11" s="535"/>
      <c r="AI11" s="659"/>
      <c r="AJ11" s="535" t="s">
        <v>592</v>
      </c>
      <c r="AK11" s="539" t="s">
        <v>592</v>
      </c>
      <c r="AL11" s="539" t="s">
        <v>592</v>
      </c>
      <c r="AM11" s="535"/>
      <c r="AN11" s="659"/>
      <c r="AO11" s="535" t="s">
        <v>592</v>
      </c>
      <c r="AP11" s="539" t="s">
        <v>592</v>
      </c>
      <c r="AQ11" s="539" t="s">
        <v>592</v>
      </c>
      <c r="AR11" s="535"/>
      <c r="AS11" s="659"/>
      <c r="AT11" s="535" t="s">
        <v>592</v>
      </c>
      <c r="AU11" s="539" t="s">
        <v>592</v>
      </c>
      <c r="AV11" s="539" t="s">
        <v>592</v>
      </c>
      <c r="AW11" s="535"/>
      <c r="AX11" s="659"/>
      <c r="AZ11" s="376" t="e">
        <f t="shared" si="3"/>
        <v>#N/A</v>
      </c>
      <c r="BA11" s="694"/>
    </row>
    <row r="12" spans="1:53" ht="14.25">
      <c r="A12" s="81"/>
      <c r="B12" s="669"/>
      <c r="C12" s="383">
        <v>6</v>
      </c>
      <c r="D12" s="535"/>
      <c r="E12" s="535"/>
      <c r="F12" s="535"/>
      <c r="G12" s="539"/>
      <c r="H12" s="682"/>
      <c r="I12" s="385" t="str">
        <f t="shared" si="0"/>
        <v>-</v>
      </c>
      <c r="J12" s="385" t="str">
        <f t="shared" si="1"/>
        <v>-</v>
      </c>
      <c r="K12" s="199" t="str">
        <f t="shared" si="2"/>
        <v>-</v>
      </c>
      <c r="L12" s="617"/>
      <c r="M12" s="387" t="e">
        <f>RANK(K12, K$7:$K$21)</f>
        <v>#VALUE!</v>
      </c>
      <c r="N12" s="635"/>
      <c r="O12" s="635"/>
      <c r="P12" s="535" t="s">
        <v>592</v>
      </c>
      <c r="Q12" s="539" t="s">
        <v>592</v>
      </c>
      <c r="R12" s="539" t="s">
        <v>592</v>
      </c>
      <c r="S12" s="535"/>
      <c r="T12" s="659"/>
      <c r="U12" s="535" t="s">
        <v>592</v>
      </c>
      <c r="V12" s="539" t="s">
        <v>592</v>
      </c>
      <c r="W12" s="539" t="s">
        <v>592</v>
      </c>
      <c r="X12" s="535"/>
      <c r="Y12" s="659"/>
      <c r="Z12" s="535" t="s">
        <v>592</v>
      </c>
      <c r="AA12" s="539" t="s">
        <v>592</v>
      </c>
      <c r="AB12" s="539" t="s">
        <v>592</v>
      </c>
      <c r="AC12" s="535"/>
      <c r="AD12" s="659"/>
      <c r="AE12" s="535" t="s">
        <v>592</v>
      </c>
      <c r="AF12" s="539" t="s">
        <v>592</v>
      </c>
      <c r="AG12" s="539" t="s">
        <v>592</v>
      </c>
      <c r="AH12" s="535"/>
      <c r="AI12" s="659"/>
      <c r="AJ12" s="535" t="s">
        <v>592</v>
      </c>
      <c r="AK12" s="539" t="s">
        <v>592</v>
      </c>
      <c r="AL12" s="539" t="s">
        <v>592</v>
      </c>
      <c r="AM12" s="535"/>
      <c r="AN12" s="659"/>
      <c r="AO12" s="535" t="s">
        <v>592</v>
      </c>
      <c r="AP12" s="539" t="s">
        <v>592</v>
      </c>
      <c r="AQ12" s="539" t="s">
        <v>592</v>
      </c>
      <c r="AR12" s="535"/>
      <c r="AS12" s="659"/>
      <c r="AT12" s="535" t="s">
        <v>592</v>
      </c>
      <c r="AU12" s="539" t="s">
        <v>592</v>
      </c>
      <c r="AV12" s="539" t="s">
        <v>592</v>
      </c>
      <c r="AW12" s="535"/>
      <c r="AX12" s="659"/>
      <c r="AZ12" s="376" t="e">
        <f t="shared" si="3"/>
        <v>#N/A</v>
      </c>
      <c r="BA12" s="694"/>
    </row>
    <row r="13" spans="1:53" ht="14.25">
      <c r="A13" s="81"/>
      <c r="B13" s="669"/>
      <c r="C13" s="383">
        <v>7</v>
      </c>
      <c r="D13" s="535"/>
      <c r="E13" s="535"/>
      <c r="F13" s="535"/>
      <c r="G13" s="539"/>
      <c r="H13" s="682"/>
      <c r="I13" s="385" t="str">
        <f t="shared" si="0"/>
        <v>-</v>
      </c>
      <c r="J13" s="385" t="str">
        <f t="shared" si="1"/>
        <v>-</v>
      </c>
      <c r="K13" s="199" t="str">
        <f t="shared" si="2"/>
        <v>-</v>
      </c>
      <c r="L13" s="617"/>
      <c r="M13" s="387" t="e">
        <f>RANK(K13, K$7:$K$21)</f>
        <v>#VALUE!</v>
      </c>
      <c r="N13" s="635"/>
      <c r="O13" s="635"/>
      <c r="P13" s="535" t="s">
        <v>592</v>
      </c>
      <c r="Q13" s="539" t="s">
        <v>592</v>
      </c>
      <c r="R13" s="539" t="s">
        <v>592</v>
      </c>
      <c r="S13" s="535"/>
      <c r="T13" s="659"/>
      <c r="U13" s="535" t="s">
        <v>592</v>
      </c>
      <c r="V13" s="539" t="s">
        <v>592</v>
      </c>
      <c r="W13" s="539" t="s">
        <v>592</v>
      </c>
      <c r="X13" s="535"/>
      <c r="Y13" s="659"/>
      <c r="Z13" s="535" t="s">
        <v>592</v>
      </c>
      <c r="AA13" s="539" t="s">
        <v>592</v>
      </c>
      <c r="AB13" s="539" t="s">
        <v>592</v>
      </c>
      <c r="AC13" s="535"/>
      <c r="AD13" s="659"/>
      <c r="AE13" s="535" t="s">
        <v>592</v>
      </c>
      <c r="AF13" s="539" t="s">
        <v>592</v>
      </c>
      <c r="AG13" s="539" t="s">
        <v>592</v>
      </c>
      <c r="AH13" s="535"/>
      <c r="AI13" s="659"/>
      <c r="AJ13" s="535" t="s">
        <v>592</v>
      </c>
      <c r="AK13" s="539" t="s">
        <v>592</v>
      </c>
      <c r="AL13" s="539" t="s">
        <v>592</v>
      </c>
      <c r="AM13" s="535"/>
      <c r="AN13" s="659"/>
      <c r="AO13" s="535" t="s">
        <v>592</v>
      </c>
      <c r="AP13" s="539" t="s">
        <v>592</v>
      </c>
      <c r="AQ13" s="539" t="s">
        <v>592</v>
      </c>
      <c r="AR13" s="535"/>
      <c r="AS13" s="659"/>
      <c r="AT13" s="535" t="s">
        <v>592</v>
      </c>
      <c r="AU13" s="539" t="s">
        <v>592</v>
      </c>
      <c r="AV13" s="539" t="s">
        <v>592</v>
      </c>
      <c r="AW13" s="535"/>
      <c r="AX13" s="659"/>
      <c r="AZ13" s="376" t="e">
        <f t="shared" si="3"/>
        <v>#N/A</v>
      </c>
      <c r="BA13" s="694"/>
    </row>
    <row r="14" spans="1:53" ht="14.25">
      <c r="A14" s="81"/>
      <c r="B14" s="669"/>
      <c r="C14" s="383">
        <v>8</v>
      </c>
      <c r="D14" s="535"/>
      <c r="E14" s="535"/>
      <c r="F14" s="535"/>
      <c r="G14" s="539"/>
      <c r="H14" s="682"/>
      <c r="I14" s="385" t="str">
        <f t="shared" si="0"/>
        <v>-</v>
      </c>
      <c r="J14" s="385" t="str">
        <f t="shared" si="1"/>
        <v>-</v>
      </c>
      <c r="K14" s="199" t="str">
        <f t="shared" si="2"/>
        <v>-</v>
      </c>
      <c r="L14" s="617"/>
      <c r="M14" s="387" t="e">
        <f>RANK(K14, K$7:$K$21)</f>
        <v>#VALUE!</v>
      </c>
      <c r="N14" s="635"/>
      <c r="O14" s="635"/>
      <c r="P14" s="535" t="s">
        <v>592</v>
      </c>
      <c r="Q14" s="539" t="s">
        <v>592</v>
      </c>
      <c r="R14" s="539" t="s">
        <v>592</v>
      </c>
      <c r="S14" s="535"/>
      <c r="T14" s="659"/>
      <c r="U14" s="535" t="s">
        <v>592</v>
      </c>
      <c r="V14" s="539" t="s">
        <v>592</v>
      </c>
      <c r="W14" s="539" t="s">
        <v>592</v>
      </c>
      <c r="X14" s="535"/>
      <c r="Y14" s="659"/>
      <c r="Z14" s="535" t="s">
        <v>592</v>
      </c>
      <c r="AA14" s="539" t="s">
        <v>592</v>
      </c>
      <c r="AB14" s="539" t="s">
        <v>592</v>
      </c>
      <c r="AC14" s="535"/>
      <c r="AD14" s="659"/>
      <c r="AE14" s="535" t="s">
        <v>592</v>
      </c>
      <c r="AF14" s="539" t="s">
        <v>592</v>
      </c>
      <c r="AG14" s="539" t="s">
        <v>592</v>
      </c>
      <c r="AH14" s="535"/>
      <c r="AI14" s="659"/>
      <c r="AJ14" s="535" t="s">
        <v>592</v>
      </c>
      <c r="AK14" s="539" t="s">
        <v>592</v>
      </c>
      <c r="AL14" s="539" t="s">
        <v>592</v>
      </c>
      <c r="AM14" s="535"/>
      <c r="AN14" s="659"/>
      <c r="AO14" s="535" t="s">
        <v>592</v>
      </c>
      <c r="AP14" s="539" t="s">
        <v>592</v>
      </c>
      <c r="AQ14" s="539" t="s">
        <v>592</v>
      </c>
      <c r="AR14" s="535"/>
      <c r="AS14" s="659"/>
      <c r="AT14" s="535" t="s">
        <v>592</v>
      </c>
      <c r="AU14" s="539" t="s">
        <v>592</v>
      </c>
      <c r="AV14" s="539" t="s">
        <v>592</v>
      </c>
      <c r="AW14" s="535"/>
      <c r="AX14" s="659"/>
      <c r="AZ14" s="376" t="e">
        <f t="shared" si="3"/>
        <v>#N/A</v>
      </c>
      <c r="BA14" s="694"/>
    </row>
    <row r="15" spans="1:53" ht="14.25">
      <c r="A15" s="81"/>
      <c r="B15" s="669"/>
      <c r="C15" s="383">
        <v>9</v>
      </c>
      <c r="D15" s="535"/>
      <c r="E15" s="535"/>
      <c r="F15" s="535"/>
      <c r="G15" s="539"/>
      <c r="H15" s="682"/>
      <c r="I15" s="385" t="str">
        <f t="shared" si="0"/>
        <v>-</v>
      </c>
      <c r="J15" s="385" t="str">
        <f t="shared" si="1"/>
        <v>-</v>
      </c>
      <c r="K15" s="199" t="str">
        <f t="shared" si="2"/>
        <v>-</v>
      </c>
      <c r="L15" s="617"/>
      <c r="M15" s="387" t="e">
        <f>RANK(K15, K$7:$K$21)</f>
        <v>#VALUE!</v>
      </c>
      <c r="N15" s="635"/>
      <c r="O15" s="635"/>
      <c r="P15" s="535" t="s">
        <v>592</v>
      </c>
      <c r="Q15" s="539" t="s">
        <v>592</v>
      </c>
      <c r="R15" s="539" t="s">
        <v>592</v>
      </c>
      <c r="S15" s="535"/>
      <c r="T15" s="659"/>
      <c r="U15" s="535" t="s">
        <v>592</v>
      </c>
      <c r="V15" s="539" t="s">
        <v>592</v>
      </c>
      <c r="W15" s="539" t="s">
        <v>592</v>
      </c>
      <c r="X15" s="535"/>
      <c r="Y15" s="659"/>
      <c r="Z15" s="535" t="s">
        <v>592</v>
      </c>
      <c r="AA15" s="539" t="s">
        <v>592</v>
      </c>
      <c r="AB15" s="539" t="s">
        <v>592</v>
      </c>
      <c r="AC15" s="535"/>
      <c r="AD15" s="659"/>
      <c r="AE15" s="535" t="s">
        <v>592</v>
      </c>
      <c r="AF15" s="539" t="s">
        <v>592</v>
      </c>
      <c r="AG15" s="539" t="s">
        <v>592</v>
      </c>
      <c r="AH15" s="535"/>
      <c r="AI15" s="659"/>
      <c r="AJ15" s="535" t="s">
        <v>592</v>
      </c>
      <c r="AK15" s="539" t="s">
        <v>592</v>
      </c>
      <c r="AL15" s="539" t="s">
        <v>592</v>
      </c>
      <c r="AM15" s="535"/>
      <c r="AN15" s="659"/>
      <c r="AO15" s="535" t="s">
        <v>592</v>
      </c>
      <c r="AP15" s="539" t="s">
        <v>592</v>
      </c>
      <c r="AQ15" s="539" t="s">
        <v>592</v>
      </c>
      <c r="AR15" s="535"/>
      <c r="AS15" s="659"/>
      <c r="AT15" s="535" t="s">
        <v>592</v>
      </c>
      <c r="AU15" s="539" t="s">
        <v>592</v>
      </c>
      <c r="AV15" s="539" t="s">
        <v>592</v>
      </c>
      <c r="AW15" s="535"/>
      <c r="AX15" s="659"/>
      <c r="AZ15" s="376" t="e">
        <f t="shared" si="3"/>
        <v>#N/A</v>
      </c>
      <c r="BA15" s="694"/>
    </row>
    <row r="16" spans="1:53" ht="14.25">
      <c r="A16" s="81"/>
      <c r="B16" s="669"/>
      <c r="C16" s="383">
        <v>10</v>
      </c>
      <c r="D16" s="535"/>
      <c r="E16" s="535"/>
      <c r="F16" s="535"/>
      <c r="G16" s="539"/>
      <c r="H16" s="682"/>
      <c r="I16" s="385" t="str">
        <f t="shared" si="0"/>
        <v>-</v>
      </c>
      <c r="J16" s="385" t="str">
        <f t="shared" si="1"/>
        <v>-</v>
      </c>
      <c r="K16" s="199" t="str">
        <f t="shared" si="2"/>
        <v>-</v>
      </c>
      <c r="L16" s="617"/>
      <c r="M16" s="387" t="e">
        <f>RANK(K16, K$7:$K$21)</f>
        <v>#VALUE!</v>
      </c>
      <c r="N16" s="635"/>
      <c r="O16" s="635"/>
      <c r="P16" s="535" t="s">
        <v>592</v>
      </c>
      <c r="Q16" s="539" t="s">
        <v>592</v>
      </c>
      <c r="R16" s="539" t="s">
        <v>592</v>
      </c>
      <c r="S16" s="535"/>
      <c r="T16" s="659"/>
      <c r="U16" s="535" t="s">
        <v>592</v>
      </c>
      <c r="V16" s="539" t="s">
        <v>592</v>
      </c>
      <c r="W16" s="539" t="s">
        <v>592</v>
      </c>
      <c r="X16" s="535"/>
      <c r="Y16" s="659"/>
      <c r="Z16" s="535" t="s">
        <v>592</v>
      </c>
      <c r="AA16" s="539" t="s">
        <v>592</v>
      </c>
      <c r="AB16" s="539" t="s">
        <v>592</v>
      </c>
      <c r="AC16" s="535"/>
      <c r="AD16" s="659"/>
      <c r="AE16" s="535" t="s">
        <v>592</v>
      </c>
      <c r="AF16" s="539" t="s">
        <v>592</v>
      </c>
      <c r="AG16" s="539" t="s">
        <v>592</v>
      </c>
      <c r="AH16" s="535"/>
      <c r="AI16" s="659"/>
      <c r="AJ16" s="535" t="s">
        <v>592</v>
      </c>
      <c r="AK16" s="539" t="s">
        <v>592</v>
      </c>
      <c r="AL16" s="539" t="s">
        <v>592</v>
      </c>
      <c r="AM16" s="535"/>
      <c r="AN16" s="659"/>
      <c r="AO16" s="535" t="s">
        <v>592</v>
      </c>
      <c r="AP16" s="539" t="s">
        <v>592</v>
      </c>
      <c r="AQ16" s="539" t="s">
        <v>592</v>
      </c>
      <c r="AR16" s="535"/>
      <c r="AS16" s="659"/>
      <c r="AT16" s="535" t="s">
        <v>592</v>
      </c>
      <c r="AU16" s="539" t="s">
        <v>592</v>
      </c>
      <c r="AV16" s="539" t="s">
        <v>592</v>
      </c>
      <c r="AW16" s="535"/>
      <c r="AX16" s="659"/>
      <c r="AZ16" s="376" t="e">
        <f t="shared" si="3"/>
        <v>#N/A</v>
      </c>
      <c r="BA16" s="694"/>
    </row>
    <row r="17" spans="2:53">
      <c r="B17" s="669"/>
      <c r="C17" s="383">
        <v>11</v>
      </c>
      <c r="D17" s="535"/>
      <c r="E17" s="535"/>
      <c r="F17" s="535"/>
      <c r="G17" s="539"/>
      <c r="H17" s="682"/>
      <c r="I17" s="385" t="str">
        <f t="shared" si="0"/>
        <v>-</v>
      </c>
      <c r="J17" s="385" t="str">
        <f t="shared" si="1"/>
        <v>-</v>
      </c>
      <c r="K17" s="199" t="str">
        <f t="shared" si="2"/>
        <v>-</v>
      </c>
      <c r="L17" s="617"/>
      <c r="M17" s="387" t="e">
        <f>RANK(K17, K$7:$K$21)</f>
        <v>#VALUE!</v>
      </c>
      <c r="N17" s="635"/>
      <c r="O17" s="635"/>
      <c r="P17" s="535" t="s">
        <v>592</v>
      </c>
      <c r="Q17" s="539" t="s">
        <v>592</v>
      </c>
      <c r="R17" s="539" t="s">
        <v>592</v>
      </c>
      <c r="S17" s="535"/>
      <c r="T17" s="659"/>
      <c r="U17" s="535" t="s">
        <v>592</v>
      </c>
      <c r="V17" s="539" t="s">
        <v>592</v>
      </c>
      <c r="W17" s="539" t="s">
        <v>592</v>
      </c>
      <c r="X17" s="535"/>
      <c r="Y17" s="659"/>
      <c r="Z17" s="535" t="s">
        <v>592</v>
      </c>
      <c r="AA17" s="539" t="s">
        <v>592</v>
      </c>
      <c r="AB17" s="539" t="s">
        <v>592</v>
      </c>
      <c r="AC17" s="535"/>
      <c r="AD17" s="659"/>
      <c r="AE17" s="535" t="s">
        <v>592</v>
      </c>
      <c r="AF17" s="539" t="s">
        <v>592</v>
      </c>
      <c r="AG17" s="539" t="s">
        <v>592</v>
      </c>
      <c r="AH17" s="535"/>
      <c r="AI17" s="659"/>
      <c r="AJ17" s="535" t="s">
        <v>592</v>
      </c>
      <c r="AK17" s="539" t="s">
        <v>592</v>
      </c>
      <c r="AL17" s="539" t="s">
        <v>592</v>
      </c>
      <c r="AM17" s="535"/>
      <c r="AN17" s="659"/>
      <c r="AO17" s="535" t="s">
        <v>592</v>
      </c>
      <c r="AP17" s="539" t="s">
        <v>592</v>
      </c>
      <c r="AQ17" s="539" t="s">
        <v>592</v>
      </c>
      <c r="AR17" s="535"/>
      <c r="AS17" s="659"/>
      <c r="AT17" s="535" t="s">
        <v>592</v>
      </c>
      <c r="AU17" s="539" t="s">
        <v>592</v>
      </c>
      <c r="AV17" s="539" t="s">
        <v>592</v>
      </c>
      <c r="AW17" s="535"/>
      <c r="AX17" s="659"/>
      <c r="AZ17" s="376" t="e">
        <f t="shared" si="3"/>
        <v>#N/A</v>
      </c>
      <c r="BA17" s="694"/>
    </row>
    <row r="18" spans="2:53">
      <c r="B18" s="669"/>
      <c r="C18" s="383">
        <v>12</v>
      </c>
      <c r="D18" s="535"/>
      <c r="E18" s="535"/>
      <c r="F18" s="535"/>
      <c r="G18" s="539"/>
      <c r="H18" s="682"/>
      <c r="I18" s="385" t="str">
        <f t="shared" si="0"/>
        <v>-</v>
      </c>
      <c r="J18" s="385" t="str">
        <f t="shared" si="1"/>
        <v>-</v>
      </c>
      <c r="K18" s="199" t="str">
        <f t="shared" si="2"/>
        <v>-</v>
      </c>
      <c r="L18" s="617"/>
      <c r="M18" s="387" t="e">
        <f>RANK(K18, K$7:$K$21)</f>
        <v>#VALUE!</v>
      </c>
      <c r="N18" s="635"/>
      <c r="O18" s="635"/>
      <c r="P18" s="535" t="s">
        <v>592</v>
      </c>
      <c r="Q18" s="539" t="s">
        <v>592</v>
      </c>
      <c r="R18" s="539" t="s">
        <v>592</v>
      </c>
      <c r="S18" s="535"/>
      <c r="T18" s="659"/>
      <c r="U18" s="535" t="s">
        <v>592</v>
      </c>
      <c r="V18" s="539" t="s">
        <v>592</v>
      </c>
      <c r="W18" s="539" t="s">
        <v>592</v>
      </c>
      <c r="X18" s="535"/>
      <c r="Y18" s="659"/>
      <c r="Z18" s="535" t="s">
        <v>592</v>
      </c>
      <c r="AA18" s="539" t="s">
        <v>592</v>
      </c>
      <c r="AB18" s="539" t="s">
        <v>592</v>
      </c>
      <c r="AC18" s="535"/>
      <c r="AD18" s="659"/>
      <c r="AE18" s="535" t="s">
        <v>592</v>
      </c>
      <c r="AF18" s="539" t="s">
        <v>592</v>
      </c>
      <c r="AG18" s="539" t="s">
        <v>592</v>
      </c>
      <c r="AH18" s="535"/>
      <c r="AI18" s="659"/>
      <c r="AJ18" s="535" t="s">
        <v>592</v>
      </c>
      <c r="AK18" s="539" t="s">
        <v>592</v>
      </c>
      <c r="AL18" s="539" t="s">
        <v>592</v>
      </c>
      <c r="AM18" s="535"/>
      <c r="AN18" s="659"/>
      <c r="AO18" s="535" t="s">
        <v>592</v>
      </c>
      <c r="AP18" s="539" t="s">
        <v>592</v>
      </c>
      <c r="AQ18" s="539" t="s">
        <v>592</v>
      </c>
      <c r="AR18" s="535"/>
      <c r="AS18" s="659"/>
      <c r="AT18" s="535" t="s">
        <v>592</v>
      </c>
      <c r="AU18" s="539" t="s">
        <v>592</v>
      </c>
      <c r="AV18" s="539" t="s">
        <v>592</v>
      </c>
      <c r="AW18" s="535"/>
      <c r="AX18" s="659"/>
      <c r="AZ18" s="376" t="e">
        <f t="shared" si="3"/>
        <v>#N/A</v>
      </c>
      <c r="BA18" s="694"/>
    </row>
    <row r="19" spans="2:53">
      <c r="B19" s="669"/>
      <c r="C19" s="383">
        <v>13</v>
      </c>
      <c r="D19" s="535"/>
      <c r="E19" s="535"/>
      <c r="F19" s="535"/>
      <c r="G19" s="539"/>
      <c r="H19" s="682"/>
      <c r="I19" s="385" t="str">
        <f t="shared" si="0"/>
        <v>-</v>
      </c>
      <c r="J19" s="385" t="str">
        <f t="shared" si="1"/>
        <v>-</v>
      </c>
      <c r="K19" s="199" t="str">
        <f t="shared" si="2"/>
        <v>-</v>
      </c>
      <c r="L19" s="617"/>
      <c r="M19" s="387" t="e">
        <f>RANK(K19, K$7:$K$21)</f>
        <v>#VALUE!</v>
      </c>
      <c r="N19" s="635"/>
      <c r="O19" s="635"/>
      <c r="P19" s="535" t="s">
        <v>592</v>
      </c>
      <c r="Q19" s="539" t="s">
        <v>592</v>
      </c>
      <c r="R19" s="539" t="s">
        <v>592</v>
      </c>
      <c r="S19" s="535"/>
      <c r="T19" s="659"/>
      <c r="U19" s="535" t="s">
        <v>592</v>
      </c>
      <c r="V19" s="539" t="s">
        <v>592</v>
      </c>
      <c r="W19" s="539" t="s">
        <v>592</v>
      </c>
      <c r="X19" s="535"/>
      <c r="Y19" s="659"/>
      <c r="Z19" s="535" t="s">
        <v>592</v>
      </c>
      <c r="AA19" s="539" t="s">
        <v>592</v>
      </c>
      <c r="AB19" s="539" t="s">
        <v>592</v>
      </c>
      <c r="AC19" s="535"/>
      <c r="AD19" s="659"/>
      <c r="AE19" s="535" t="s">
        <v>592</v>
      </c>
      <c r="AF19" s="539" t="s">
        <v>592</v>
      </c>
      <c r="AG19" s="539" t="s">
        <v>592</v>
      </c>
      <c r="AH19" s="535"/>
      <c r="AI19" s="659"/>
      <c r="AJ19" s="535" t="s">
        <v>592</v>
      </c>
      <c r="AK19" s="539" t="s">
        <v>592</v>
      </c>
      <c r="AL19" s="539" t="s">
        <v>592</v>
      </c>
      <c r="AM19" s="535"/>
      <c r="AN19" s="659"/>
      <c r="AO19" s="535" t="s">
        <v>592</v>
      </c>
      <c r="AP19" s="539" t="s">
        <v>592</v>
      </c>
      <c r="AQ19" s="539" t="s">
        <v>592</v>
      </c>
      <c r="AR19" s="535"/>
      <c r="AS19" s="659"/>
      <c r="AT19" s="535" t="s">
        <v>592</v>
      </c>
      <c r="AU19" s="539" t="s">
        <v>592</v>
      </c>
      <c r="AV19" s="539" t="s">
        <v>592</v>
      </c>
      <c r="AW19" s="535"/>
      <c r="AX19" s="659"/>
      <c r="AZ19" s="376" t="e">
        <f t="shared" si="3"/>
        <v>#N/A</v>
      </c>
      <c r="BA19" s="694"/>
    </row>
    <row r="20" spans="2:53">
      <c r="B20" s="669"/>
      <c r="C20" s="383">
        <v>14</v>
      </c>
      <c r="D20" s="535"/>
      <c r="E20" s="535"/>
      <c r="F20" s="535"/>
      <c r="G20" s="539"/>
      <c r="H20" s="682"/>
      <c r="I20" s="385" t="str">
        <f t="shared" si="0"/>
        <v>-</v>
      </c>
      <c r="J20" s="385" t="str">
        <f t="shared" si="1"/>
        <v>-</v>
      </c>
      <c r="K20" s="199" t="str">
        <f t="shared" si="2"/>
        <v>-</v>
      </c>
      <c r="L20" s="617"/>
      <c r="M20" s="387" t="e">
        <f>RANK(K20, K$7:$K$21)</f>
        <v>#VALUE!</v>
      </c>
      <c r="N20" s="635"/>
      <c r="O20" s="635"/>
      <c r="P20" s="535" t="s">
        <v>592</v>
      </c>
      <c r="Q20" s="539" t="s">
        <v>592</v>
      </c>
      <c r="R20" s="539" t="s">
        <v>592</v>
      </c>
      <c r="S20" s="535"/>
      <c r="T20" s="659"/>
      <c r="U20" s="535" t="s">
        <v>592</v>
      </c>
      <c r="V20" s="539" t="s">
        <v>592</v>
      </c>
      <c r="W20" s="539" t="s">
        <v>592</v>
      </c>
      <c r="X20" s="535"/>
      <c r="Y20" s="659"/>
      <c r="Z20" s="535" t="s">
        <v>592</v>
      </c>
      <c r="AA20" s="539" t="s">
        <v>592</v>
      </c>
      <c r="AB20" s="539" t="s">
        <v>592</v>
      </c>
      <c r="AC20" s="535"/>
      <c r="AD20" s="659"/>
      <c r="AE20" s="535" t="s">
        <v>592</v>
      </c>
      <c r="AF20" s="539" t="s">
        <v>592</v>
      </c>
      <c r="AG20" s="539" t="s">
        <v>592</v>
      </c>
      <c r="AH20" s="535"/>
      <c r="AI20" s="659"/>
      <c r="AJ20" s="535" t="s">
        <v>592</v>
      </c>
      <c r="AK20" s="539" t="s">
        <v>592</v>
      </c>
      <c r="AL20" s="539" t="s">
        <v>592</v>
      </c>
      <c r="AM20" s="535"/>
      <c r="AN20" s="659"/>
      <c r="AO20" s="535" t="s">
        <v>592</v>
      </c>
      <c r="AP20" s="539" t="s">
        <v>592</v>
      </c>
      <c r="AQ20" s="539" t="s">
        <v>592</v>
      </c>
      <c r="AR20" s="535"/>
      <c r="AS20" s="659"/>
      <c r="AT20" s="535" t="s">
        <v>592</v>
      </c>
      <c r="AU20" s="539" t="s">
        <v>592</v>
      </c>
      <c r="AV20" s="539" t="s">
        <v>592</v>
      </c>
      <c r="AW20" s="535"/>
      <c r="AX20" s="659"/>
      <c r="AZ20" s="376" t="e">
        <f t="shared" si="3"/>
        <v>#N/A</v>
      </c>
      <c r="BA20" s="694"/>
    </row>
    <row r="21" spans="2:53">
      <c r="B21" s="669"/>
      <c r="C21" s="383">
        <v>15</v>
      </c>
      <c r="D21" s="535"/>
      <c r="E21" s="535"/>
      <c r="F21" s="535"/>
      <c r="G21" s="535"/>
      <c r="H21" s="683"/>
      <c r="I21" s="385" t="str">
        <f t="shared" si="0"/>
        <v>-</v>
      </c>
      <c r="J21" s="385" t="str">
        <f t="shared" si="1"/>
        <v>-</v>
      </c>
      <c r="K21" s="199" t="str">
        <f t="shared" si="2"/>
        <v>-</v>
      </c>
      <c r="L21" s="618"/>
      <c r="M21" s="387" t="e">
        <f>RANK(K21, K$7:$K$21)</f>
        <v>#VALUE!</v>
      </c>
      <c r="N21" s="635"/>
      <c r="O21" s="635"/>
      <c r="P21" s="535" t="s">
        <v>592</v>
      </c>
      <c r="Q21" s="539" t="s">
        <v>592</v>
      </c>
      <c r="R21" s="539" t="s">
        <v>592</v>
      </c>
      <c r="S21" s="535"/>
      <c r="T21" s="659"/>
      <c r="U21" s="535" t="s">
        <v>592</v>
      </c>
      <c r="V21" s="539" t="s">
        <v>592</v>
      </c>
      <c r="W21" s="539" t="s">
        <v>592</v>
      </c>
      <c r="X21" s="535"/>
      <c r="Y21" s="659"/>
      <c r="Z21" s="535" t="s">
        <v>592</v>
      </c>
      <c r="AA21" s="539" t="s">
        <v>592</v>
      </c>
      <c r="AB21" s="539" t="s">
        <v>592</v>
      </c>
      <c r="AC21" s="535"/>
      <c r="AD21" s="659"/>
      <c r="AE21" s="535" t="s">
        <v>592</v>
      </c>
      <c r="AF21" s="539" t="s">
        <v>592</v>
      </c>
      <c r="AG21" s="539" t="s">
        <v>592</v>
      </c>
      <c r="AH21" s="535"/>
      <c r="AI21" s="659"/>
      <c r="AJ21" s="535" t="s">
        <v>592</v>
      </c>
      <c r="AK21" s="539" t="s">
        <v>592</v>
      </c>
      <c r="AL21" s="539" t="s">
        <v>592</v>
      </c>
      <c r="AM21" s="535"/>
      <c r="AN21" s="659"/>
      <c r="AO21" s="535" t="s">
        <v>592</v>
      </c>
      <c r="AP21" s="539" t="s">
        <v>592</v>
      </c>
      <c r="AQ21" s="539" t="s">
        <v>592</v>
      </c>
      <c r="AR21" s="535"/>
      <c r="AS21" s="659"/>
      <c r="AT21" s="535" t="s">
        <v>592</v>
      </c>
      <c r="AU21" s="539" t="s">
        <v>592</v>
      </c>
      <c r="AV21" s="539" t="s">
        <v>592</v>
      </c>
      <c r="AW21" s="535"/>
      <c r="AX21" s="659"/>
      <c r="AZ21" s="376" t="e">
        <f t="shared" si="3"/>
        <v>#N/A</v>
      </c>
      <c r="BA21" s="694"/>
    </row>
    <row r="22" spans="2:53" ht="15.75">
      <c r="B22" s="666" t="s">
        <v>162</v>
      </c>
      <c r="C22" s="667"/>
      <c r="D22" s="667"/>
      <c r="E22" s="667"/>
      <c r="F22" s="667"/>
      <c r="G22" s="667"/>
      <c r="H22" s="667"/>
      <c r="I22" s="202"/>
      <c r="J22" s="202"/>
      <c r="K22" s="202"/>
      <c r="L22" s="202"/>
      <c r="M22" s="203"/>
      <c r="N22" s="639" t="s">
        <v>156</v>
      </c>
      <c r="O22" s="639" t="s">
        <v>105</v>
      </c>
      <c r="P22" s="645">
        <f>P2+7</f>
        <v>46210</v>
      </c>
      <c r="Q22" s="646"/>
      <c r="R22" s="646"/>
      <c r="S22" s="646"/>
      <c r="T22" s="646"/>
      <c r="U22" s="642">
        <f>P22+1</f>
        <v>46211</v>
      </c>
      <c r="V22" s="643"/>
      <c r="W22" s="643"/>
      <c r="X22" s="643"/>
      <c r="Y22" s="644"/>
      <c r="Z22" s="642">
        <f>U22+1</f>
        <v>46212</v>
      </c>
      <c r="AA22" s="643"/>
      <c r="AB22" s="643"/>
      <c r="AC22" s="643"/>
      <c r="AD22" s="644"/>
      <c r="AE22" s="642">
        <f>Z22+1</f>
        <v>46213</v>
      </c>
      <c r="AF22" s="643"/>
      <c r="AG22" s="643"/>
      <c r="AH22" s="643"/>
      <c r="AI22" s="644"/>
      <c r="AJ22" s="642">
        <f>AE22+1</f>
        <v>46214</v>
      </c>
      <c r="AK22" s="643"/>
      <c r="AL22" s="643"/>
      <c r="AM22" s="643"/>
      <c r="AN22" s="644"/>
      <c r="AO22" s="642">
        <f>AJ22+1</f>
        <v>46215</v>
      </c>
      <c r="AP22" s="643"/>
      <c r="AQ22" s="643"/>
      <c r="AR22" s="643"/>
      <c r="AS22" s="644"/>
      <c r="AT22" s="642">
        <f>AO22+1</f>
        <v>46216</v>
      </c>
      <c r="AU22" s="643"/>
      <c r="AV22" s="643"/>
      <c r="AW22" s="643"/>
      <c r="AX22" s="644"/>
    </row>
    <row r="23" spans="2:53" ht="15.75">
      <c r="B23" s="653"/>
      <c r="C23" s="653"/>
      <c r="D23" s="653"/>
      <c r="E23" s="653"/>
      <c r="F23" s="653"/>
      <c r="G23" s="653"/>
      <c r="H23" s="653"/>
      <c r="I23" s="204"/>
      <c r="J23" s="204"/>
      <c r="K23" s="204"/>
      <c r="L23" s="204"/>
      <c r="M23" s="205"/>
      <c r="N23" s="641"/>
      <c r="O23" s="641"/>
      <c r="P23" s="645" t="s">
        <v>317</v>
      </c>
      <c r="Q23" s="646"/>
      <c r="R23" s="646"/>
      <c r="S23" s="646"/>
      <c r="T23" s="646"/>
      <c r="U23" s="645" t="s">
        <v>318</v>
      </c>
      <c r="V23" s="646"/>
      <c r="W23" s="646"/>
      <c r="X23" s="646"/>
      <c r="Y23" s="646"/>
      <c r="Z23" s="645" t="s">
        <v>319</v>
      </c>
      <c r="AA23" s="646"/>
      <c r="AB23" s="646"/>
      <c r="AC23" s="646"/>
      <c r="AD23" s="646"/>
      <c r="AE23" s="645" t="s">
        <v>320</v>
      </c>
      <c r="AF23" s="646"/>
      <c r="AG23" s="646"/>
      <c r="AH23" s="646"/>
      <c r="AI23" s="646"/>
      <c r="AJ23" s="645" t="s">
        <v>321</v>
      </c>
      <c r="AK23" s="646"/>
      <c r="AL23" s="646"/>
      <c r="AM23" s="646"/>
      <c r="AN23" s="646"/>
      <c r="AO23" s="645" t="s">
        <v>322</v>
      </c>
      <c r="AP23" s="646"/>
      <c r="AQ23" s="646"/>
      <c r="AR23" s="646"/>
      <c r="AS23" s="646"/>
      <c r="AT23" s="645" t="s">
        <v>323</v>
      </c>
      <c r="AU23" s="646"/>
      <c r="AV23" s="646"/>
      <c r="AW23" s="646"/>
      <c r="AX23" s="646"/>
    </row>
    <row r="24" spans="2:53">
      <c r="B24" s="635" t="s">
        <v>550</v>
      </c>
      <c r="C24" s="635" t="s">
        <v>382</v>
      </c>
      <c r="D24" s="635"/>
      <c r="E24" s="635" t="s">
        <v>373</v>
      </c>
      <c r="F24" s="635"/>
      <c r="G24" s="635"/>
      <c r="H24" s="636" t="s">
        <v>369</v>
      </c>
      <c r="I24" s="635" t="s">
        <v>374</v>
      </c>
      <c r="J24" s="635"/>
      <c r="K24" s="635"/>
      <c r="L24" s="636" t="s">
        <v>369</v>
      </c>
      <c r="M24" s="639" t="s">
        <v>370</v>
      </c>
      <c r="N24" s="635"/>
      <c r="O24" s="635" t="s">
        <v>375</v>
      </c>
      <c r="P24" s="632" t="s">
        <v>371</v>
      </c>
      <c r="Q24" s="633"/>
      <c r="R24" s="633"/>
      <c r="S24" s="634"/>
      <c r="T24" s="635" t="s">
        <v>369</v>
      </c>
      <c r="U24" s="632" t="s">
        <v>371</v>
      </c>
      <c r="V24" s="633"/>
      <c r="W24" s="633"/>
      <c r="X24" s="634"/>
      <c r="Y24" s="635" t="s">
        <v>369</v>
      </c>
      <c r="Z24" s="632" t="s">
        <v>371</v>
      </c>
      <c r="AA24" s="633"/>
      <c r="AB24" s="633"/>
      <c r="AC24" s="634"/>
      <c r="AD24" s="635" t="s">
        <v>369</v>
      </c>
      <c r="AE24" s="632" t="s">
        <v>371</v>
      </c>
      <c r="AF24" s="633"/>
      <c r="AG24" s="633"/>
      <c r="AH24" s="634"/>
      <c r="AI24" s="635" t="s">
        <v>369</v>
      </c>
      <c r="AJ24" s="632" t="s">
        <v>371</v>
      </c>
      <c r="AK24" s="633"/>
      <c r="AL24" s="633"/>
      <c r="AM24" s="634"/>
      <c r="AN24" s="635" t="s">
        <v>369</v>
      </c>
      <c r="AO24" s="632" t="s">
        <v>371</v>
      </c>
      <c r="AP24" s="633"/>
      <c r="AQ24" s="633"/>
      <c r="AR24" s="634"/>
      <c r="AS24" s="635" t="s">
        <v>369</v>
      </c>
      <c r="AT24" s="632" t="s">
        <v>371</v>
      </c>
      <c r="AU24" s="633"/>
      <c r="AV24" s="633"/>
      <c r="AW24" s="634"/>
      <c r="AX24" s="635" t="s">
        <v>369</v>
      </c>
      <c r="BA24" s="635" t="s">
        <v>369</v>
      </c>
    </row>
    <row r="25" spans="2:53">
      <c r="B25" s="635"/>
      <c r="C25" s="635"/>
      <c r="D25" s="635"/>
      <c r="E25" s="635" t="s">
        <v>376</v>
      </c>
      <c r="F25" s="635"/>
      <c r="G25" s="635"/>
      <c r="H25" s="637"/>
      <c r="I25" s="635" t="s">
        <v>376</v>
      </c>
      <c r="J25" s="635"/>
      <c r="K25" s="635"/>
      <c r="L25" s="637"/>
      <c r="M25" s="640"/>
      <c r="N25" s="635"/>
      <c r="O25" s="635"/>
      <c r="P25" s="632" t="s">
        <v>377</v>
      </c>
      <c r="Q25" s="633"/>
      <c r="R25" s="633"/>
      <c r="S25" s="634"/>
      <c r="T25" s="635"/>
      <c r="U25" s="632" t="s">
        <v>377</v>
      </c>
      <c r="V25" s="633"/>
      <c r="W25" s="633"/>
      <c r="X25" s="634"/>
      <c r="Y25" s="635"/>
      <c r="Z25" s="632" t="s">
        <v>377</v>
      </c>
      <c r="AA25" s="633"/>
      <c r="AB25" s="633"/>
      <c r="AC25" s="634"/>
      <c r="AD25" s="635"/>
      <c r="AE25" s="632" t="s">
        <v>377</v>
      </c>
      <c r="AF25" s="633"/>
      <c r="AG25" s="633"/>
      <c r="AH25" s="634"/>
      <c r="AI25" s="635"/>
      <c r="AJ25" s="632" t="s">
        <v>377</v>
      </c>
      <c r="AK25" s="633"/>
      <c r="AL25" s="633"/>
      <c r="AM25" s="634"/>
      <c r="AN25" s="635"/>
      <c r="AO25" s="632" t="s">
        <v>377</v>
      </c>
      <c r="AP25" s="633"/>
      <c r="AQ25" s="633"/>
      <c r="AR25" s="634"/>
      <c r="AS25" s="635"/>
      <c r="AT25" s="632" t="s">
        <v>377</v>
      </c>
      <c r="AU25" s="633"/>
      <c r="AV25" s="633"/>
      <c r="AW25" s="634"/>
      <c r="AX25" s="635"/>
      <c r="BA25" s="635"/>
    </row>
    <row r="26" spans="2:53">
      <c r="B26" s="635"/>
      <c r="C26" s="635"/>
      <c r="D26" s="635"/>
      <c r="E26" s="382" t="s">
        <v>378</v>
      </c>
      <c r="F26" s="382" t="s">
        <v>379</v>
      </c>
      <c r="G26" s="382" t="s">
        <v>380</v>
      </c>
      <c r="H26" s="638"/>
      <c r="I26" s="382" t="s">
        <v>378</v>
      </c>
      <c r="J26" s="382" t="s">
        <v>379</v>
      </c>
      <c r="K26" s="382" t="s">
        <v>380</v>
      </c>
      <c r="L26" s="638"/>
      <c r="M26" s="641"/>
      <c r="N26" s="635"/>
      <c r="O26" s="635"/>
      <c r="P26" s="382" t="s">
        <v>378</v>
      </c>
      <c r="Q26" s="382" t="s">
        <v>379</v>
      </c>
      <c r="R26" s="382" t="s">
        <v>380</v>
      </c>
      <c r="S26" s="382" t="s">
        <v>370</v>
      </c>
      <c r="T26" s="635"/>
      <c r="U26" s="382" t="s">
        <v>378</v>
      </c>
      <c r="V26" s="382" t="s">
        <v>379</v>
      </c>
      <c r="W26" s="382" t="s">
        <v>380</v>
      </c>
      <c r="X26" s="382" t="s">
        <v>370</v>
      </c>
      <c r="Y26" s="635"/>
      <c r="Z26" s="382" t="s">
        <v>378</v>
      </c>
      <c r="AA26" s="382" t="s">
        <v>379</v>
      </c>
      <c r="AB26" s="382" t="s">
        <v>380</v>
      </c>
      <c r="AC26" s="382" t="s">
        <v>370</v>
      </c>
      <c r="AD26" s="635"/>
      <c r="AE26" s="382" t="s">
        <v>378</v>
      </c>
      <c r="AF26" s="382" t="s">
        <v>379</v>
      </c>
      <c r="AG26" s="382" t="s">
        <v>380</v>
      </c>
      <c r="AH26" s="382" t="s">
        <v>370</v>
      </c>
      <c r="AI26" s="635"/>
      <c r="AJ26" s="382" t="s">
        <v>378</v>
      </c>
      <c r="AK26" s="382" t="s">
        <v>379</v>
      </c>
      <c r="AL26" s="382" t="s">
        <v>380</v>
      </c>
      <c r="AM26" s="382" t="s">
        <v>370</v>
      </c>
      <c r="AN26" s="635"/>
      <c r="AO26" s="382" t="s">
        <v>378</v>
      </c>
      <c r="AP26" s="382" t="s">
        <v>379</v>
      </c>
      <c r="AQ26" s="382" t="s">
        <v>380</v>
      </c>
      <c r="AR26" s="382" t="s">
        <v>370</v>
      </c>
      <c r="AS26" s="635"/>
      <c r="AT26" s="382" t="s">
        <v>378</v>
      </c>
      <c r="AU26" s="382" t="s">
        <v>379</v>
      </c>
      <c r="AV26" s="382" t="s">
        <v>380</v>
      </c>
      <c r="AW26" s="382" t="s">
        <v>370</v>
      </c>
      <c r="AX26" s="635"/>
      <c r="AZ26" s="377" t="s">
        <v>370</v>
      </c>
      <c r="BA26" s="635"/>
    </row>
    <row r="27" spans="2:53">
      <c r="B27" s="679" t="s">
        <v>552</v>
      </c>
      <c r="C27" s="384">
        <v>1</v>
      </c>
      <c r="D27" s="533" t="s">
        <v>576</v>
      </c>
      <c r="E27" s="535">
        <v>10</v>
      </c>
      <c r="F27" s="535">
        <v>1500</v>
      </c>
      <c r="G27" s="539">
        <v>150</v>
      </c>
      <c r="H27" s="670">
        <f>AVERAGE(G27:G41)</f>
        <v>130</v>
      </c>
      <c r="I27" s="385">
        <f t="shared" ref="I27:I41" si="5">IFERROR(AVERAGE(P27,U27,Z27,AE27,AJ27,AO27,AT27),"-")</f>
        <v>10</v>
      </c>
      <c r="J27" s="385">
        <f t="shared" ref="J27:J41" si="6">IFERROR(AVERAGE(Q27,V27,AA27,AF27,AK27,AP27,AU27),"-")</f>
        <v>1517.5755102040819</v>
      </c>
      <c r="K27" s="199">
        <f t="shared" ref="K27:K41" si="7">IFERROR(AVERAGE(R27,W27,AB27,AG27,AL27,AQ27,AV27),"-")</f>
        <v>151.75755102040816</v>
      </c>
      <c r="L27" s="616">
        <f>IFERROR(AVERAGE(K27:K41),"-")</f>
        <v>149.18292390149531</v>
      </c>
      <c r="M27" s="389">
        <f>RANK(K27, K$27:$K$41)</f>
        <v>1</v>
      </c>
      <c r="N27" s="635"/>
      <c r="O27" s="635"/>
      <c r="P27" s="542">
        <v>10</v>
      </c>
      <c r="Q27" s="543">
        <v>1549.714285714284</v>
      </c>
      <c r="R27" s="543">
        <v>154.97142857142839</v>
      </c>
      <c r="S27" s="542">
        <f t="shared" ref="S27:S41" si="8">RANK(R27, R$27:R$41)</f>
        <v>2</v>
      </c>
      <c r="T27" s="647">
        <f t="shared" ref="T27" si="9">AVERAGE(R27:R41)</f>
        <v>154.07252747252741</v>
      </c>
      <c r="U27" s="542">
        <v>10</v>
      </c>
      <c r="V27" s="543">
        <v>1491.42857142857</v>
      </c>
      <c r="W27" s="543">
        <v>149.142857142857</v>
      </c>
      <c r="X27" s="542">
        <f t="shared" ref="X27:X41" si="10">RANK(W27, W$27:W$41)</f>
        <v>3</v>
      </c>
      <c r="Y27" s="647">
        <f t="shared" ref="Y27" si="11">AVERAGE(W27:W41)</f>
        <v>152.75531135531119</v>
      </c>
      <c r="Z27" s="542">
        <v>10</v>
      </c>
      <c r="AA27" s="543">
        <v>1486.2857142857129</v>
      </c>
      <c r="AB27" s="543">
        <v>148.62857142857129</v>
      </c>
      <c r="AC27" s="542">
        <f t="shared" ref="AC27:AC41" si="12">RANK(AB27, AB$27:AB$41)</f>
        <v>1</v>
      </c>
      <c r="AD27" s="647">
        <f t="shared" ref="AD27" si="13">AVERAGE(AB27:AB41)</f>
        <v>132.65714285714279</v>
      </c>
      <c r="AE27" s="542">
        <v>10</v>
      </c>
      <c r="AF27" s="543">
        <v>1490.0000000000014</v>
      </c>
      <c r="AG27" s="543">
        <v>149.00000000000014</v>
      </c>
      <c r="AH27" s="542">
        <f t="shared" ref="AH27:AH41" si="14">RANK(AG27, AG$27:AG$41)</f>
        <v>3</v>
      </c>
      <c r="AI27" s="647">
        <f t="shared" ref="AI27" si="15">AVERAGE(AG27:AG41)</f>
        <v>150.53787878787884</v>
      </c>
      <c r="AJ27" s="542">
        <v>10</v>
      </c>
      <c r="AK27" s="543">
        <v>1605.6000000000006</v>
      </c>
      <c r="AL27" s="543">
        <v>160.56000000000006</v>
      </c>
      <c r="AM27" s="542">
        <f t="shared" ref="AM27:AM41" si="16">RANK(AL27, AL$27:AL$41)</f>
        <v>1</v>
      </c>
      <c r="AN27" s="647">
        <f t="shared" ref="AN27" si="17">AVERAGE(AL27:AL41)</f>
        <v>153.70888888888882</v>
      </c>
      <c r="AO27" s="542">
        <v>10</v>
      </c>
      <c r="AP27" s="543">
        <v>1539.4285714285732</v>
      </c>
      <c r="AQ27" s="543">
        <v>153.94285714285732</v>
      </c>
      <c r="AR27" s="542">
        <f t="shared" ref="AR27:AR41" si="18">RANK(AQ27, AQ$27:AQ$41)</f>
        <v>2</v>
      </c>
      <c r="AS27" s="647">
        <f t="shared" ref="AS27" si="19">AVERAGE(AQ27:AQ41)</f>
        <v>153.22539682539704</v>
      </c>
      <c r="AT27" s="542">
        <v>10</v>
      </c>
      <c r="AU27" s="543">
        <v>1460.5714285714305</v>
      </c>
      <c r="AV27" s="543">
        <v>146.05714285714305</v>
      </c>
      <c r="AW27" s="542">
        <f t="shared" ref="AW27:AW41" si="20">RANK(AV27, AV$27:AV$41)</f>
        <v>2</v>
      </c>
      <c r="AX27" s="647">
        <f t="shared" ref="AX27" si="21">AVERAGE(AV27:AV41)</f>
        <v>147.32332112332134</v>
      </c>
      <c r="AY27" s="647"/>
      <c r="AZ27" s="376" t="e">
        <f t="shared" ref="AZ27:AZ41" si="22">RANK(AY27, AY$27:AY$41)</f>
        <v>#N/A</v>
      </c>
      <c r="BA27" s="647" t="e">
        <f t="shared" ref="BA27" si="23">AVERAGE(AY27:AY41)</f>
        <v>#DIV/0!</v>
      </c>
    </row>
    <row r="28" spans="2:53">
      <c r="B28" s="646"/>
      <c r="C28" s="384">
        <v>2</v>
      </c>
      <c r="D28" s="535" t="s">
        <v>599</v>
      </c>
      <c r="E28" s="535">
        <v>15</v>
      </c>
      <c r="F28" s="535">
        <v>1800</v>
      </c>
      <c r="G28" s="539">
        <v>120</v>
      </c>
      <c r="H28" s="671"/>
      <c r="I28" s="385">
        <f t="shared" si="5"/>
        <v>12.285714285714286</v>
      </c>
      <c r="J28" s="385">
        <f t="shared" si="6"/>
        <v>1765.2285714285713</v>
      </c>
      <c r="K28" s="199">
        <f t="shared" si="7"/>
        <v>144.13503401360541</v>
      </c>
      <c r="L28" s="617"/>
      <c r="M28" s="392">
        <f>RANK(K28, K$27:$K$41)</f>
        <v>3</v>
      </c>
      <c r="N28" s="635"/>
      <c r="O28" s="635"/>
      <c r="P28" s="542">
        <v>12</v>
      </c>
      <c r="Q28" s="543">
        <v>1780.8000000000006</v>
      </c>
      <c r="R28" s="543">
        <v>148.40000000000006</v>
      </c>
      <c r="S28" s="542">
        <f t="shared" si="8"/>
        <v>3</v>
      </c>
      <c r="T28" s="648"/>
      <c r="U28" s="542">
        <v>12</v>
      </c>
      <c r="V28" s="543">
        <v>1790.3999999999987</v>
      </c>
      <c r="W28" s="543">
        <v>149.1999999999999</v>
      </c>
      <c r="X28" s="542">
        <f t="shared" si="10"/>
        <v>2</v>
      </c>
      <c r="Y28" s="648"/>
      <c r="Z28" s="542">
        <v>14</v>
      </c>
      <c r="AA28" s="543">
        <v>1744.7999999999986</v>
      </c>
      <c r="AB28" s="543">
        <v>124.62857142857133</v>
      </c>
      <c r="AC28" s="542">
        <f t="shared" si="12"/>
        <v>3</v>
      </c>
      <c r="AD28" s="648"/>
      <c r="AE28" s="542">
        <v>12</v>
      </c>
      <c r="AF28" s="543">
        <v>1814.9999999999991</v>
      </c>
      <c r="AG28" s="543">
        <v>151.24999999999991</v>
      </c>
      <c r="AH28" s="542">
        <f t="shared" si="14"/>
        <v>2</v>
      </c>
      <c r="AI28" s="648"/>
      <c r="AJ28" s="542">
        <v>12</v>
      </c>
      <c r="AK28" s="543">
        <v>1735.9999999999991</v>
      </c>
      <c r="AL28" s="543">
        <v>144.6666666666666</v>
      </c>
      <c r="AM28" s="542">
        <f t="shared" si="16"/>
        <v>3</v>
      </c>
      <c r="AN28" s="648"/>
      <c r="AO28" s="542">
        <v>12</v>
      </c>
      <c r="AP28" s="543">
        <v>1760.8000000000006</v>
      </c>
      <c r="AQ28" s="543">
        <v>146.73333333333338</v>
      </c>
      <c r="AR28" s="542">
        <f t="shared" si="18"/>
        <v>3</v>
      </c>
      <c r="AS28" s="648"/>
      <c r="AT28" s="542">
        <v>12</v>
      </c>
      <c r="AU28" s="543">
        <v>1728.8000000000006</v>
      </c>
      <c r="AV28" s="543">
        <v>144.06666666666672</v>
      </c>
      <c r="AW28" s="542">
        <f t="shared" si="20"/>
        <v>3</v>
      </c>
      <c r="AX28" s="648"/>
      <c r="AY28" s="648"/>
      <c r="AZ28" s="376" t="e">
        <f t="shared" si="22"/>
        <v>#N/A</v>
      </c>
      <c r="BA28" s="648"/>
    </row>
    <row r="29" spans="2:53">
      <c r="B29" s="646"/>
      <c r="C29" s="384">
        <v>3</v>
      </c>
      <c r="D29" s="535" t="s">
        <v>600</v>
      </c>
      <c r="E29" s="535">
        <v>15</v>
      </c>
      <c r="F29" s="535">
        <v>1800</v>
      </c>
      <c r="G29" s="539">
        <v>120</v>
      </c>
      <c r="H29" s="671"/>
      <c r="I29" s="385">
        <f t="shared" si="5"/>
        <v>12.285714285714286</v>
      </c>
      <c r="J29" s="385">
        <f t="shared" si="6"/>
        <v>1855.5068931068938</v>
      </c>
      <c r="K29" s="199">
        <f t="shared" si="7"/>
        <v>151.65618667047241</v>
      </c>
      <c r="L29" s="617"/>
      <c r="M29" s="392">
        <f>RANK(K29, K$27:$K$41)</f>
        <v>2</v>
      </c>
      <c r="N29" s="635"/>
      <c r="O29" s="635"/>
      <c r="P29" s="542">
        <v>12</v>
      </c>
      <c r="Q29" s="543">
        <v>1906.1538461538457</v>
      </c>
      <c r="R29" s="543">
        <v>158.84615384615381</v>
      </c>
      <c r="S29" s="542">
        <f t="shared" si="8"/>
        <v>1</v>
      </c>
      <c r="T29" s="648"/>
      <c r="U29" s="542">
        <v>12</v>
      </c>
      <c r="V29" s="543">
        <v>1919.0769230769206</v>
      </c>
      <c r="W29" s="543">
        <v>159.92307692307671</v>
      </c>
      <c r="X29" s="542">
        <f t="shared" si="10"/>
        <v>1</v>
      </c>
      <c r="Y29" s="648"/>
      <c r="Z29" s="542">
        <v>14</v>
      </c>
      <c r="AA29" s="543">
        <v>1746.0000000000002</v>
      </c>
      <c r="AB29" s="543">
        <v>124.71428571428574</v>
      </c>
      <c r="AC29" s="542">
        <f t="shared" si="12"/>
        <v>2</v>
      </c>
      <c r="AD29" s="648"/>
      <c r="AE29" s="542">
        <v>12</v>
      </c>
      <c r="AF29" s="543">
        <v>1816.3636363636374</v>
      </c>
      <c r="AG29" s="543">
        <v>151.36363636363646</v>
      </c>
      <c r="AH29" s="542">
        <f t="shared" si="14"/>
        <v>1</v>
      </c>
      <c r="AI29" s="648"/>
      <c r="AJ29" s="542">
        <v>12</v>
      </c>
      <c r="AK29" s="543">
        <v>1870.7999999999977</v>
      </c>
      <c r="AL29" s="543">
        <v>155.89999999999981</v>
      </c>
      <c r="AM29" s="542">
        <f t="shared" si="16"/>
        <v>2</v>
      </c>
      <c r="AN29" s="648"/>
      <c r="AO29" s="542">
        <v>12</v>
      </c>
      <c r="AP29" s="543">
        <v>1908.0000000000045</v>
      </c>
      <c r="AQ29" s="543">
        <v>159.00000000000037</v>
      </c>
      <c r="AR29" s="542">
        <f t="shared" si="18"/>
        <v>1</v>
      </c>
      <c r="AS29" s="648"/>
      <c r="AT29" s="542">
        <v>12</v>
      </c>
      <c r="AU29" s="543">
        <v>1822.1538461538505</v>
      </c>
      <c r="AV29" s="543">
        <v>151.84615384615421</v>
      </c>
      <c r="AW29" s="542">
        <f t="shared" si="20"/>
        <v>1</v>
      </c>
      <c r="AX29" s="648"/>
      <c r="AY29" s="648"/>
      <c r="AZ29" s="376" t="e">
        <f t="shared" si="22"/>
        <v>#N/A</v>
      </c>
      <c r="BA29" s="648"/>
    </row>
    <row r="30" spans="2:53">
      <c r="B30" s="646"/>
      <c r="C30" s="384">
        <v>4</v>
      </c>
      <c r="D30" s="535"/>
      <c r="E30" s="535"/>
      <c r="F30" s="535"/>
      <c r="G30" s="539"/>
      <c r="H30" s="671"/>
      <c r="I30" s="385" t="str">
        <f t="shared" si="5"/>
        <v>-</v>
      </c>
      <c r="J30" s="385" t="str">
        <f t="shared" si="6"/>
        <v>-</v>
      </c>
      <c r="K30" s="199" t="str">
        <f t="shared" si="7"/>
        <v>-</v>
      </c>
      <c r="L30" s="617"/>
      <c r="M30" s="392" t="e">
        <f>RANK(K30, K$27:$K$41)</f>
        <v>#VALUE!</v>
      </c>
      <c r="N30" s="635"/>
      <c r="O30" s="635"/>
      <c r="P30" s="542" t="s">
        <v>592</v>
      </c>
      <c r="Q30" s="543" t="s">
        <v>592</v>
      </c>
      <c r="R30" s="543" t="s">
        <v>592</v>
      </c>
      <c r="S30" s="542" t="e">
        <f t="shared" si="8"/>
        <v>#VALUE!</v>
      </c>
      <c r="T30" s="648"/>
      <c r="U30" s="542" t="s">
        <v>592</v>
      </c>
      <c r="V30" s="543" t="s">
        <v>592</v>
      </c>
      <c r="W30" s="543" t="s">
        <v>592</v>
      </c>
      <c r="X30" s="542" t="e">
        <f t="shared" si="10"/>
        <v>#VALUE!</v>
      </c>
      <c r="Y30" s="648"/>
      <c r="Z30" s="542" t="s">
        <v>592</v>
      </c>
      <c r="AA30" s="543" t="s">
        <v>592</v>
      </c>
      <c r="AB30" s="543" t="s">
        <v>592</v>
      </c>
      <c r="AC30" s="542" t="e">
        <f t="shared" si="12"/>
        <v>#VALUE!</v>
      </c>
      <c r="AD30" s="648"/>
      <c r="AE30" s="542" t="s">
        <v>592</v>
      </c>
      <c r="AF30" s="543" t="s">
        <v>592</v>
      </c>
      <c r="AG30" s="543" t="s">
        <v>592</v>
      </c>
      <c r="AH30" s="542" t="e">
        <f t="shared" si="14"/>
        <v>#VALUE!</v>
      </c>
      <c r="AI30" s="648"/>
      <c r="AJ30" s="542" t="s">
        <v>592</v>
      </c>
      <c r="AK30" s="543" t="s">
        <v>592</v>
      </c>
      <c r="AL30" s="543" t="s">
        <v>592</v>
      </c>
      <c r="AM30" s="542" t="e">
        <f t="shared" si="16"/>
        <v>#VALUE!</v>
      </c>
      <c r="AN30" s="648"/>
      <c r="AO30" s="542" t="s">
        <v>592</v>
      </c>
      <c r="AP30" s="543" t="s">
        <v>592</v>
      </c>
      <c r="AQ30" s="543" t="s">
        <v>592</v>
      </c>
      <c r="AR30" s="542" t="e">
        <f t="shared" si="18"/>
        <v>#VALUE!</v>
      </c>
      <c r="AS30" s="648"/>
      <c r="AT30" s="542" t="s">
        <v>592</v>
      </c>
      <c r="AU30" s="543" t="s">
        <v>592</v>
      </c>
      <c r="AV30" s="543" t="s">
        <v>592</v>
      </c>
      <c r="AW30" s="542" t="e">
        <f t="shared" si="20"/>
        <v>#VALUE!</v>
      </c>
      <c r="AX30" s="648"/>
      <c r="AY30" s="648"/>
      <c r="AZ30" s="376" t="e">
        <f t="shared" si="22"/>
        <v>#N/A</v>
      </c>
      <c r="BA30" s="648"/>
    </row>
    <row r="31" spans="2:53">
      <c r="B31" s="646"/>
      <c r="C31" s="384">
        <v>5</v>
      </c>
      <c r="D31" s="535"/>
      <c r="E31" s="535"/>
      <c r="F31" s="535"/>
      <c r="G31" s="539"/>
      <c r="H31" s="671"/>
      <c r="I31" s="385" t="str">
        <f t="shared" si="5"/>
        <v>-</v>
      </c>
      <c r="J31" s="385" t="str">
        <f t="shared" si="6"/>
        <v>-</v>
      </c>
      <c r="K31" s="199" t="str">
        <f t="shared" si="7"/>
        <v>-</v>
      </c>
      <c r="L31" s="617"/>
      <c r="M31" s="392" t="e">
        <f>RANK(K31, K$27:$K$41)</f>
        <v>#VALUE!</v>
      </c>
      <c r="N31" s="635"/>
      <c r="O31" s="635"/>
      <c r="P31" s="542" t="s">
        <v>592</v>
      </c>
      <c r="Q31" s="543" t="s">
        <v>592</v>
      </c>
      <c r="R31" s="543" t="s">
        <v>592</v>
      </c>
      <c r="S31" s="542" t="e">
        <f t="shared" si="8"/>
        <v>#VALUE!</v>
      </c>
      <c r="T31" s="648"/>
      <c r="U31" s="542" t="s">
        <v>592</v>
      </c>
      <c r="V31" s="543" t="s">
        <v>592</v>
      </c>
      <c r="W31" s="543" t="s">
        <v>592</v>
      </c>
      <c r="X31" s="542" t="e">
        <f t="shared" si="10"/>
        <v>#VALUE!</v>
      </c>
      <c r="Y31" s="648"/>
      <c r="Z31" s="542" t="s">
        <v>592</v>
      </c>
      <c r="AA31" s="543" t="s">
        <v>592</v>
      </c>
      <c r="AB31" s="543" t="s">
        <v>592</v>
      </c>
      <c r="AC31" s="542" t="e">
        <f t="shared" si="12"/>
        <v>#VALUE!</v>
      </c>
      <c r="AD31" s="648"/>
      <c r="AE31" s="542" t="s">
        <v>592</v>
      </c>
      <c r="AF31" s="543" t="s">
        <v>592</v>
      </c>
      <c r="AG31" s="543" t="s">
        <v>592</v>
      </c>
      <c r="AH31" s="542" t="e">
        <f t="shared" si="14"/>
        <v>#VALUE!</v>
      </c>
      <c r="AI31" s="648"/>
      <c r="AJ31" s="542" t="s">
        <v>592</v>
      </c>
      <c r="AK31" s="543" t="s">
        <v>592</v>
      </c>
      <c r="AL31" s="543" t="s">
        <v>592</v>
      </c>
      <c r="AM31" s="542" t="e">
        <f t="shared" si="16"/>
        <v>#VALUE!</v>
      </c>
      <c r="AN31" s="648"/>
      <c r="AO31" s="542" t="s">
        <v>592</v>
      </c>
      <c r="AP31" s="543" t="s">
        <v>592</v>
      </c>
      <c r="AQ31" s="543" t="s">
        <v>592</v>
      </c>
      <c r="AR31" s="542" t="e">
        <f t="shared" si="18"/>
        <v>#VALUE!</v>
      </c>
      <c r="AS31" s="648"/>
      <c r="AT31" s="542" t="s">
        <v>592</v>
      </c>
      <c r="AU31" s="543" t="s">
        <v>592</v>
      </c>
      <c r="AV31" s="543" t="s">
        <v>592</v>
      </c>
      <c r="AW31" s="542" t="e">
        <f t="shared" si="20"/>
        <v>#VALUE!</v>
      </c>
      <c r="AX31" s="648"/>
      <c r="AY31" s="648"/>
      <c r="AZ31" s="376" t="e">
        <f t="shared" si="22"/>
        <v>#N/A</v>
      </c>
      <c r="BA31" s="648"/>
    </row>
    <row r="32" spans="2:53">
      <c r="B32" s="646"/>
      <c r="C32" s="384">
        <v>6</v>
      </c>
      <c r="D32" s="535"/>
      <c r="E32" s="535"/>
      <c r="F32" s="535"/>
      <c r="G32" s="539"/>
      <c r="H32" s="671"/>
      <c r="I32" s="385" t="str">
        <f t="shared" si="5"/>
        <v>-</v>
      </c>
      <c r="J32" s="385" t="str">
        <f t="shared" si="6"/>
        <v>-</v>
      </c>
      <c r="K32" s="199" t="str">
        <f t="shared" si="7"/>
        <v>-</v>
      </c>
      <c r="L32" s="617"/>
      <c r="M32" s="392" t="e">
        <f>RANK(K32, K$27:$K$41)</f>
        <v>#VALUE!</v>
      </c>
      <c r="N32" s="635"/>
      <c r="O32" s="635"/>
      <c r="P32" s="542" t="s">
        <v>592</v>
      </c>
      <c r="Q32" s="543" t="s">
        <v>592</v>
      </c>
      <c r="R32" s="543" t="s">
        <v>592</v>
      </c>
      <c r="S32" s="542" t="e">
        <f t="shared" si="8"/>
        <v>#VALUE!</v>
      </c>
      <c r="T32" s="648"/>
      <c r="U32" s="542" t="s">
        <v>592</v>
      </c>
      <c r="V32" s="543" t="s">
        <v>592</v>
      </c>
      <c r="W32" s="543" t="s">
        <v>592</v>
      </c>
      <c r="X32" s="542" t="e">
        <f t="shared" si="10"/>
        <v>#VALUE!</v>
      </c>
      <c r="Y32" s="648"/>
      <c r="Z32" s="542" t="s">
        <v>592</v>
      </c>
      <c r="AA32" s="543" t="s">
        <v>592</v>
      </c>
      <c r="AB32" s="543" t="s">
        <v>592</v>
      </c>
      <c r="AC32" s="542" t="e">
        <f t="shared" si="12"/>
        <v>#VALUE!</v>
      </c>
      <c r="AD32" s="648"/>
      <c r="AE32" s="542" t="s">
        <v>592</v>
      </c>
      <c r="AF32" s="543" t="s">
        <v>592</v>
      </c>
      <c r="AG32" s="543" t="s">
        <v>592</v>
      </c>
      <c r="AH32" s="542" t="e">
        <f t="shared" si="14"/>
        <v>#VALUE!</v>
      </c>
      <c r="AI32" s="648"/>
      <c r="AJ32" s="542" t="s">
        <v>592</v>
      </c>
      <c r="AK32" s="543" t="s">
        <v>592</v>
      </c>
      <c r="AL32" s="543" t="s">
        <v>592</v>
      </c>
      <c r="AM32" s="542" t="e">
        <f t="shared" si="16"/>
        <v>#VALUE!</v>
      </c>
      <c r="AN32" s="648"/>
      <c r="AO32" s="542" t="s">
        <v>592</v>
      </c>
      <c r="AP32" s="543" t="s">
        <v>592</v>
      </c>
      <c r="AQ32" s="543" t="s">
        <v>592</v>
      </c>
      <c r="AR32" s="542" t="e">
        <f t="shared" si="18"/>
        <v>#VALUE!</v>
      </c>
      <c r="AS32" s="648"/>
      <c r="AT32" s="542" t="s">
        <v>592</v>
      </c>
      <c r="AU32" s="543" t="s">
        <v>592</v>
      </c>
      <c r="AV32" s="543" t="s">
        <v>592</v>
      </c>
      <c r="AW32" s="542" t="e">
        <f t="shared" si="20"/>
        <v>#VALUE!</v>
      </c>
      <c r="AX32" s="648"/>
      <c r="AY32" s="648"/>
      <c r="AZ32" s="376" t="e">
        <f t="shared" si="22"/>
        <v>#N/A</v>
      </c>
      <c r="BA32" s="648"/>
    </row>
    <row r="33" spans="2:53">
      <c r="B33" s="646"/>
      <c r="C33" s="384">
        <v>7</v>
      </c>
      <c r="D33" s="535"/>
      <c r="E33" s="535"/>
      <c r="F33" s="535"/>
      <c r="G33" s="539"/>
      <c r="H33" s="671"/>
      <c r="I33" s="385" t="str">
        <f t="shared" si="5"/>
        <v>-</v>
      </c>
      <c r="J33" s="385" t="str">
        <f t="shared" si="6"/>
        <v>-</v>
      </c>
      <c r="K33" s="199" t="str">
        <f t="shared" si="7"/>
        <v>-</v>
      </c>
      <c r="L33" s="617"/>
      <c r="M33" s="392" t="e">
        <f>RANK(K33, K$27:$K$41)</f>
        <v>#VALUE!</v>
      </c>
      <c r="N33" s="635"/>
      <c r="O33" s="635"/>
      <c r="P33" s="542" t="s">
        <v>592</v>
      </c>
      <c r="Q33" s="543" t="s">
        <v>592</v>
      </c>
      <c r="R33" s="543" t="s">
        <v>592</v>
      </c>
      <c r="S33" s="542" t="e">
        <f t="shared" si="8"/>
        <v>#VALUE!</v>
      </c>
      <c r="T33" s="648"/>
      <c r="U33" s="542" t="s">
        <v>592</v>
      </c>
      <c r="V33" s="543" t="s">
        <v>592</v>
      </c>
      <c r="W33" s="543" t="s">
        <v>592</v>
      </c>
      <c r="X33" s="542" t="e">
        <f t="shared" si="10"/>
        <v>#VALUE!</v>
      </c>
      <c r="Y33" s="648"/>
      <c r="Z33" s="542" t="s">
        <v>592</v>
      </c>
      <c r="AA33" s="543" t="s">
        <v>592</v>
      </c>
      <c r="AB33" s="543" t="s">
        <v>592</v>
      </c>
      <c r="AC33" s="542" t="e">
        <f t="shared" si="12"/>
        <v>#VALUE!</v>
      </c>
      <c r="AD33" s="648"/>
      <c r="AE33" s="542" t="s">
        <v>592</v>
      </c>
      <c r="AF33" s="543" t="s">
        <v>592</v>
      </c>
      <c r="AG33" s="543" t="s">
        <v>592</v>
      </c>
      <c r="AH33" s="542" t="e">
        <f t="shared" si="14"/>
        <v>#VALUE!</v>
      </c>
      <c r="AI33" s="648"/>
      <c r="AJ33" s="542" t="s">
        <v>592</v>
      </c>
      <c r="AK33" s="543" t="s">
        <v>592</v>
      </c>
      <c r="AL33" s="543" t="s">
        <v>592</v>
      </c>
      <c r="AM33" s="542" t="e">
        <f t="shared" si="16"/>
        <v>#VALUE!</v>
      </c>
      <c r="AN33" s="648"/>
      <c r="AO33" s="542" t="s">
        <v>592</v>
      </c>
      <c r="AP33" s="543" t="s">
        <v>592</v>
      </c>
      <c r="AQ33" s="543" t="s">
        <v>592</v>
      </c>
      <c r="AR33" s="542" t="e">
        <f t="shared" si="18"/>
        <v>#VALUE!</v>
      </c>
      <c r="AS33" s="648"/>
      <c r="AT33" s="542" t="s">
        <v>592</v>
      </c>
      <c r="AU33" s="543" t="s">
        <v>592</v>
      </c>
      <c r="AV33" s="543" t="s">
        <v>592</v>
      </c>
      <c r="AW33" s="542" t="e">
        <f t="shared" si="20"/>
        <v>#VALUE!</v>
      </c>
      <c r="AX33" s="648"/>
      <c r="AY33" s="648"/>
      <c r="AZ33" s="376" t="e">
        <f t="shared" si="22"/>
        <v>#N/A</v>
      </c>
      <c r="BA33" s="648"/>
    </row>
    <row r="34" spans="2:53">
      <c r="B34" s="646"/>
      <c r="C34" s="384">
        <v>8</v>
      </c>
      <c r="D34" s="535"/>
      <c r="E34" s="535"/>
      <c r="F34" s="535"/>
      <c r="G34" s="539"/>
      <c r="H34" s="671"/>
      <c r="I34" s="385" t="str">
        <f t="shared" si="5"/>
        <v>-</v>
      </c>
      <c r="J34" s="385" t="str">
        <f t="shared" si="6"/>
        <v>-</v>
      </c>
      <c r="K34" s="199" t="str">
        <f t="shared" si="7"/>
        <v>-</v>
      </c>
      <c r="L34" s="617"/>
      <c r="M34" s="392" t="e">
        <f>RANK(K34, K$27:$K$41)</f>
        <v>#VALUE!</v>
      </c>
      <c r="N34" s="635"/>
      <c r="O34" s="635"/>
      <c r="P34" s="542" t="s">
        <v>592</v>
      </c>
      <c r="Q34" s="543" t="s">
        <v>592</v>
      </c>
      <c r="R34" s="543" t="s">
        <v>592</v>
      </c>
      <c r="S34" s="542" t="e">
        <f t="shared" si="8"/>
        <v>#VALUE!</v>
      </c>
      <c r="T34" s="648"/>
      <c r="U34" s="542" t="s">
        <v>592</v>
      </c>
      <c r="V34" s="543" t="s">
        <v>592</v>
      </c>
      <c r="W34" s="543" t="s">
        <v>592</v>
      </c>
      <c r="X34" s="542" t="e">
        <f t="shared" si="10"/>
        <v>#VALUE!</v>
      </c>
      <c r="Y34" s="648"/>
      <c r="Z34" s="542" t="s">
        <v>592</v>
      </c>
      <c r="AA34" s="543" t="s">
        <v>592</v>
      </c>
      <c r="AB34" s="543" t="s">
        <v>592</v>
      </c>
      <c r="AC34" s="542" t="e">
        <f t="shared" si="12"/>
        <v>#VALUE!</v>
      </c>
      <c r="AD34" s="648"/>
      <c r="AE34" s="542" t="s">
        <v>592</v>
      </c>
      <c r="AF34" s="543" t="s">
        <v>592</v>
      </c>
      <c r="AG34" s="543" t="s">
        <v>592</v>
      </c>
      <c r="AH34" s="542" t="e">
        <f t="shared" si="14"/>
        <v>#VALUE!</v>
      </c>
      <c r="AI34" s="648"/>
      <c r="AJ34" s="542" t="s">
        <v>592</v>
      </c>
      <c r="AK34" s="543" t="s">
        <v>592</v>
      </c>
      <c r="AL34" s="543" t="s">
        <v>592</v>
      </c>
      <c r="AM34" s="542" t="e">
        <f t="shared" si="16"/>
        <v>#VALUE!</v>
      </c>
      <c r="AN34" s="648"/>
      <c r="AO34" s="542" t="s">
        <v>592</v>
      </c>
      <c r="AP34" s="543" t="s">
        <v>592</v>
      </c>
      <c r="AQ34" s="543" t="s">
        <v>592</v>
      </c>
      <c r="AR34" s="542" t="e">
        <f t="shared" si="18"/>
        <v>#VALUE!</v>
      </c>
      <c r="AS34" s="648"/>
      <c r="AT34" s="542" t="s">
        <v>592</v>
      </c>
      <c r="AU34" s="543" t="s">
        <v>592</v>
      </c>
      <c r="AV34" s="543" t="s">
        <v>592</v>
      </c>
      <c r="AW34" s="542" t="e">
        <f t="shared" si="20"/>
        <v>#VALUE!</v>
      </c>
      <c r="AX34" s="648"/>
      <c r="AY34" s="648"/>
      <c r="AZ34" s="376" t="e">
        <f t="shared" si="22"/>
        <v>#N/A</v>
      </c>
      <c r="BA34" s="648"/>
    </row>
    <row r="35" spans="2:53">
      <c r="B35" s="646"/>
      <c r="C35" s="384">
        <v>9</v>
      </c>
      <c r="D35" s="535"/>
      <c r="E35" s="535"/>
      <c r="F35" s="535"/>
      <c r="G35" s="539"/>
      <c r="H35" s="671"/>
      <c r="I35" s="385" t="str">
        <f t="shared" si="5"/>
        <v>-</v>
      </c>
      <c r="J35" s="385" t="str">
        <f t="shared" si="6"/>
        <v>-</v>
      </c>
      <c r="K35" s="199" t="str">
        <f t="shared" si="7"/>
        <v>-</v>
      </c>
      <c r="L35" s="617"/>
      <c r="M35" s="392" t="e">
        <f>RANK(K35, K$27:$K$41)</f>
        <v>#VALUE!</v>
      </c>
      <c r="N35" s="635"/>
      <c r="O35" s="635"/>
      <c r="P35" s="542" t="s">
        <v>592</v>
      </c>
      <c r="Q35" s="543" t="s">
        <v>592</v>
      </c>
      <c r="R35" s="543" t="s">
        <v>592</v>
      </c>
      <c r="S35" s="542" t="e">
        <f t="shared" si="8"/>
        <v>#VALUE!</v>
      </c>
      <c r="T35" s="648"/>
      <c r="U35" s="542" t="s">
        <v>592</v>
      </c>
      <c r="V35" s="543" t="s">
        <v>592</v>
      </c>
      <c r="W35" s="543" t="s">
        <v>592</v>
      </c>
      <c r="X35" s="542" t="e">
        <f t="shared" si="10"/>
        <v>#VALUE!</v>
      </c>
      <c r="Y35" s="648"/>
      <c r="Z35" s="542" t="s">
        <v>592</v>
      </c>
      <c r="AA35" s="543" t="s">
        <v>592</v>
      </c>
      <c r="AB35" s="543" t="s">
        <v>592</v>
      </c>
      <c r="AC35" s="542" t="e">
        <f t="shared" si="12"/>
        <v>#VALUE!</v>
      </c>
      <c r="AD35" s="648"/>
      <c r="AE35" s="542" t="s">
        <v>592</v>
      </c>
      <c r="AF35" s="543" t="s">
        <v>592</v>
      </c>
      <c r="AG35" s="543" t="s">
        <v>592</v>
      </c>
      <c r="AH35" s="542" t="e">
        <f t="shared" si="14"/>
        <v>#VALUE!</v>
      </c>
      <c r="AI35" s="648"/>
      <c r="AJ35" s="542" t="s">
        <v>592</v>
      </c>
      <c r="AK35" s="543" t="s">
        <v>592</v>
      </c>
      <c r="AL35" s="543" t="s">
        <v>592</v>
      </c>
      <c r="AM35" s="542" t="e">
        <f t="shared" si="16"/>
        <v>#VALUE!</v>
      </c>
      <c r="AN35" s="648"/>
      <c r="AO35" s="542" t="s">
        <v>592</v>
      </c>
      <c r="AP35" s="543" t="s">
        <v>592</v>
      </c>
      <c r="AQ35" s="543" t="s">
        <v>592</v>
      </c>
      <c r="AR35" s="542" t="e">
        <f t="shared" si="18"/>
        <v>#VALUE!</v>
      </c>
      <c r="AS35" s="648"/>
      <c r="AT35" s="542" t="s">
        <v>592</v>
      </c>
      <c r="AU35" s="543" t="s">
        <v>592</v>
      </c>
      <c r="AV35" s="543" t="s">
        <v>592</v>
      </c>
      <c r="AW35" s="542" t="e">
        <f t="shared" si="20"/>
        <v>#VALUE!</v>
      </c>
      <c r="AX35" s="648"/>
      <c r="AY35" s="648"/>
      <c r="AZ35" s="376" t="e">
        <f t="shared" si="22"/>
        <v>#N/A</v>
      </c>
      <c r="BA35" s="648"/>
    </row>
    <row r="36" spans="2:53">
      <c r="B36" s="646"/>
      <c r="C36" s="384">
        <v>10</v>
      </c>
      <c r="D36" s="535"/>
      <c r="E36" s="535"/>
      <c r="F36" s="535"/>
      <c r="G36" s="539"/>
      <c r="H36" s="671"/>
      <c r="I36" s="385" t="str">
        <f t="shared" si="5"/>
        <v>-</v>
      </c>
      <c r="J36" s="385" t="str">
        <f t="shared" si="6"/>
        <v>-</v>
      </c>
      <c r="K36" s="199" t="str">
        <f t="shared" si="7"/>
        <v>-</v>
      </c>
      <c r="L36" s="617"/>
      <c r="M36" s="392" t="e">
        <f>RANK(K36, K$27:$K$41)</f>
        <v>#VALUE!</v>
      </c>
      <c r="N36" s="635"/>
      <c r="O36" s="635"/>
      <c r="P36" s="542" t="s">
        <v>592</v>
      </c>
      <c r="Q36" s="543" t="s">
        <v>592</v>
      </c>
      <c r="R36" s="543" t="s">
        <v>592</v>
      </c>
      <c r="S36" s="542" t="e">
        <f t="shared" si="8"/>
        <v>#VALUE!</v>
      </c>
      <c r="T36" s="648"/>
      <c r="U36" s="542" t="s">
        <v>592</v>
      </c>
      <c r="V36" s="543" t="s">
        <v>592</v>
      </c>
      <c r="W36" s="543" t="s">
        <v>592</v>
      </c>
      <c r="X36" s="542" t="e">
        <f t="shared" si="10"/>
        <v>#VALUE!</v>
      </c>
      <c r="Y36" s="648"/>
      <c r="Z36" s="542" t="s">
        <v>592</v>
      </c>
      <c r="AA36" s="543" t="s">
        <v>592</v>
      </c>
      <c r="AB36" s="543" t="s">
        <v>592</v>
      </c>
      <c r="AC36" s="542" t="e">
        <f t="shared" si="12"/>
        <v>#VALUE!</v>
      </c>
      <c r="AD36" s="648"/>
      <c r="AE36" s="542" t="s">
        <v>592</v>
      </c>
      <c r="AF36" s="543" t="s">
        <v>592</v>
      </c>
      <c r="AG36" s="543" t="s">
        <v>592</v>
      </c>
      <c r="AH36" s="542" t="e">
        <f t="shared" si="14"/>
        <v>#VALUE!</v>
      </c>
      <c r="AI36" s="648"/>
      <c r="AJ36" s="542" t="s">
        <v>592</v>
      </c>
      <c r="AK36" s="543" t="s">
        <v>592</v>
      </c>
      <c r="AL36" s="543" t="s">
        <v>592</v>
      </c>
      <c r="AM36" s="542" t="e">
        <f t="shared" si="16"/>
        <v>#VALUE!</v>
      </c>
      <c r="AN36" s="648"/>
      <c r="AO36" s="542" t="s">
        <v>592</v>
      </c>
      <c r="AP36" s="543" t="s">
        <v>592</v>
      </c>
      <c r="AQ36" s="543" t="s">
        <v>592</v>
      </c>
      <c r="AR36" s="542" t="e">
        <f t="shared" si="18"/>
        <v>#VALUE!</v>
      </c>
      <c r="AS36" s="648"/>
      <c r="AT36" s="542" t="s">
        <v>592</v>
      </c>
      <c r="AU36" s="543" t="s">
        <v>592</v>
      </c>
      <c r="AV36" s="543" t="s">
        <v>592</v>
      </c>
      <c r="AW36" s="542" t="e">
        <f t="shared" si="20"/>
        <v>#VALUE!</v>
      </c>
      <c r="AX36" s="648"/>
      <c r="AY36" s="648"/>
      <c r="AZ36" s="376" t="e">
        <f t="shared" si="22"/>
        <v>#N/A</v>
      </c>
      <c r="BA36" s="648"/>
    </row>
    <row r="37" spans="2:53">
      <c r="B37" s="646"/>
      <c r="C37" s="384">
        <v>11</v>
      </c>
      <c r="D37" s="535"/>
      <c r="E37" s="535"/>
      <c r="F37" s="535"/>
      <c r="G37" s="539"/>
      <c r="H37" s="671"/>
      <c r="I37" s="385" t="str">
        <f t="shared" si="5"/>
        <v>-</v>
      </c>
      <c r="J37" s="385" t="str">
        <f t="shared" si="6"/>
        <v>-</v>
      </c>
      <c r="K37" s="199" t="str">
        <f t="shared" si="7"/>
        <v>-</v>
      </c>
      <c r="L37" s="617"/>
      <c r="M37" s="392" t="e">
        <f>RANK(K37, K$27:$K$41)</f>
        <v>#VALUE!</v>
      </c>
      <c r="N37" s="635"/>
      <c r="O37" s="635"/>
      <c r="P37" s="542" t="s">
        <v>592</v>
      </c>
      <c r="Q37" s="543" t="s">
        <v>592</v>
      </c>
      <c r="R37" s="543" t="s">
        <v>592</v>
      </c>
      <c r="S37" s="542" t="e">
        <f t="shared" si="8"/>
        <v>#VALUE!</v>
      </c>
      <c r="T37" s="648"/>
      <c r="U37" s="542" t="s">
        <v>592</v>
      </c>
      <c r="V37" s="543" t="s">
        <v>592</v>
      </c>
      <c r="W37" s="543" t="s">
        <v>592</v>
      </c>
      <c r="X37" s="542" t="e">
        <f t="shared" si="10"/>
        <v>#VALUE!</v>
      </c>
      <c r="Y37" s="648"/>
      <c r="Z37" s="542" t="s">
        <v>592</v>
      </c>
      <c r="AA37" s="543" t="s">
        <v>592</v>
      </c>
      <c r="AB37" s="543" t="s">
        <v>592</v>
      </c>
      <c r="AC37" s="542" t="e">
        <f t="shared" si="12"/>
        <v>#VALUE!</v>
      </c>
      <c r="AD37" s="648"/>
      <c r="AE37" s="542" t="s">
        <v>592</v>
      </c>
      <c r="AF37" s="543" t="s">
        <v>592</v>
      </c>
      <c r="AG37" s="543" t="s">
        <v>592</v>
      </c>
      <c r="AH37" s="542" t="e">
        <f t="shared" si="14"/>
        <v>#VALUE!</v>
      </c>
      <c r="AI37" s="648"/>
      <c r="AJ37" s="542" t="s">
        <v>592</v>
      </c>
      <c r="AK37" s="543" t="s">
        <v>592</v>
      </c>
      <c r="AL37" s="543" t="s">
        <v>592</v>
      </c>
      <c r="AM37" s="542" t="e">
        <f t="shared" si="16"/>
        <v>#VALUE!</v>
      </c>
      <c r="AN37" s="648"/>
      <c r="AO37" s="542" t="s">
        <v>592</v>
      </c>
      <c r="AP37" s="543" t="s">
        <v>592</v>
      </c>
      <c r="AQ37" s="543" t="s">
        <v>592</v>
      </c>
      <c r="AR37" s="542" t="e">
        <f t="shared" si="18"/>
        <v>#VALUE!</v>
      </c>
      <c r="AS37" s="648"/>
      <c r="AT37" s="542" t="s">
        <v>592</v>
      </c>
      <c r="AU37" s="543" t="s">
        <v>592</v>
      </c>
      <c r="AV37" s="543" t="s">
        <v>592</v>
      </c>
      <c r="AW37" s="542" t="e">
        <f t="shared" si="20"/>
        <v>#VALUE!</v>
      </c>
      <c r="AX37" s="648"/>
      <c r="AY37" s="648"/>
      <c r="AZ37" s="376" t="e">
        <f t="shared" si="22"/>
        <v>#N/A</v>
      </c>
      <c r="BA37" s="648"/>
    </row>
    <row r="38" spans="2:53">
      <c r="B38" s="646"/>
      <c r="C38" s="384">
        <v>12</v>
      </c>
      <c r="D38" s="535"/>
      <c r="E38" s="535"/>
      <c r="F38" s="535"/>
      <c r="G38" s="539"/>
      <c r="H38" s="671"/>
      <c r="I38" s="385" t="str">
        <f t="shared" si="5"/>
        <v>-</v>
      </c>
      <c r="J38" s="385" t="str">
        <f t="shared" si="6"/>
        <v>-</v>
      </c>
      <c r="K38" s="199" t="str">
        <f t="shared" si="7"/>
        <v>-</v>
      </c>
      <c r="L38" s="617"/>
      <c r="M38" s="392" t="e">
        <f>RANK(K38, K$27:$K$41)</f>
        <v>#VALUE!</v>
      </c>
      <c r="N38" s="635"/>
      <c r="O38" s="635"/>
      <c r="P38" s="542" t="s">
        <v>592</v>
      </c>
      <c r="Q38" s="543" t="s">
        <v>592</v>
      </c>
      <c r="R38" s="543" t="s">
        <v>592</v>
      </c>
      <c r="S38" s="542" t="e">
        <f t="shared" si="8"/>
        <v>#VALUE!</v>
      </c>
      <c r="T38" s="648"/>
      <c r="U38" s="542" t="s">
        <v>592</v>
      </c>
      <c r="V38" s="543" t="s">
        <v>592</v>
      </c>
      <c r="W38" s="543" t="s">
        <v>592</v>
      </c>
      <c r="X38" s="542" t="e">
        <f t="shared" si="10"/>
        <v>#VALUE!</v>
      </c>
      <c r="Y38" s="648"/>
      <c r="Z38" s="542" t="s">
        <v>592</v>
      </c>
      <c r="AA38" s="543" t="s">
        <v>592</v>
      </c>
      <c r="AB38" s="543" t="s">
        <v>592</v>
      </c>
      <c r="AC38" s="542" t="e">
        <f t="shared" si="12"/>
        <v>#VALUE!</v>
      </c>
      <c r="AD38" s="648"/>
      <c r="AE38" s="542" t="s">
        <v>592</v>
      </c>
      <c r="AF38" s="543" t="s">
        <v>592</v>
      </c>
      <c r="AG38" s="543" t="s">
        <v>592</v>
      </c>
      <c r="AH38" s="542" t="e">
        <f t="shared" si="14"/>
        <v>#VALUE!</v>
      </c>
      <c r="AI38" s="648"/>
      <c r="AJ38" s="542" t="s">
        <v>592</v>
      </c>
      <c r="AK38" s="543" t="s">
        <v>592</v>
      </c>
      <c r="AL38" s="543" t="s">
        <v>592</v>
      </c>
      <c r="AM38" s="542" t="e">
        <f t="shared" si="16"/>
        <v>#VALUE!</v>
      </c>
      <c r="AN38" s="648"/>
      <c r="AO38" s="542" t="s">
        <v>592</v>
      </c>
      <c r="AP38" s="543" t="s">
        <v>592</v>
      </c>
      <c r="AQ38" s="543" t="s">
        <v>592</v>
      </c>
      <c r="AR38" s="542" t="e">
        <f t="shared" si="18"/>
        <v>#VALUE!</v>
      </c>
      <c r="AS38" s="648"/>
      <c r="AT38" s="542" t="s">
        <v>592</v>
      </c>
      <c r="AU38" s="543" t="s">
        <v>592</v>
      </c>
      <c r="AV38" s="543" t="s">
        <v>592</v>
      </c>
      <c r="AW38" s="542" t="e">
        <f t="shared" si="20"/>
        <v>#VALUE!</v>
      </c>
      <c r="AX38" s="648"/>
      <c r="AY38" s="648"/>
      <c r="AZ38" s="376" t="e">
        <f t="shared" si="22"/>
        <v>#N/A</v>
      </c>
      <c r="BA38" s="648"/>
    </row>
    <row r="39" spans="2:53">
      <c r="B39" s="646"/>
      <c r="C39" s="384">
        <v>13</v>
      </c>
      <c r="D39" s="535"/>
      <c r="E39" s="535"/>
      <c r="F39" s="535"/>
      <c r="G39" s="539"/>
      <c r="H39" s="671"/>
      <c r="I39" s="385" t="str">
        <f t="shared" si="5"/>
        <v>-</v>
      </c>
      <c r="J39" s="385" t="str">
        <f t="shared" si="6"/>
        <v>-</v>
      </c>
      <c r="K39" s="199" t="str">
        <f t="shared" si="7"/>
        <v>-</v>
      </c>
      <c r="L39" s="617"/>
      <c r="M39" s="392" t="e">
        <f>RANK(K39, K$27:$K$41)</f>
        <v>#VALUE!</v>
      </c>
      <c r="N39" s="635"/>
      <c r="O39" s="635"/>
      <c r="P39" s="542" t="s">
        <v>592</v>
      </c>
      <c r="Q39" s="543" t="s">
        <v>592</v>
      </c>
      <c r="R39" s="543" t="s">
        <v>592</v>
      </c>
      <c r="S39" s="542" t="e">
        <f t="shared" si="8"/>
        <v>#VALUE!</v>
      </c>
      <c r="T39" s="648"/>
      <c r="U39" s="542" t="s">
        <v>592</v>
      </c>
      <c r="V39" s="543" t="s">
        <v>592</v>
      </c>
      <c r="W39" s="543" t="s">
        <v>592</v>
      </c>
      <c r="X39" s="542" t="e">
        <f t="shared" si="10"/>
        <v>#VALUE!</v>
      </c>
      <c r="Y39" s="648"/>
      <c r="Z39" s="542" t="s">
        <v>592</v>
      </c>
      <c r="AA39" s="543" t="s">
        <v>592</v>
      </c>
      <c r="AB39" s="543" t="s">
        <v>592</v>
      </c>
      <c r="AC39" s="542" t="e">
        <f t="shared" si="12"/>
        <v>#VALUE!</v>
      </c>
      <c r="AD39" s="648"/>
      <c r="AE39" s="542" t="s">
        <v>592</v>
      </c>
      <c r="AF39" s="543" t="s">
        <v>592</v>
      </c>
      <c r="AG39" s="543" t="s">
        <v>592</v>
      </c>
      <c r="AH39" s="542" t="e">
        <f t="shared" si="14"/>
        <v>#VALUE!</v>
      </c>
      <c r="AI39" s="648"/>
      <c r="AJ39" s="542" t="s">
        <v>592</v>
      </c>
      <c r="AK39" s="543" t="s">
        <v>592</v>
      </c>
      <c r="AL39" s="543" t="s">
        <v>592</v>
      </c>
      <c r="AM39" s="542" t="e">
        <f t="shared" si="16"/>
        <v>#VALUE!</v>
      </c>
      <c r="AN39" s="648"/>
      <c r="AO39" s="542" t="s">
        <v>592</v>
      </c>
      <c r="AP39" s="543" t="s">
        <v>592</v>
      </c>
      <c r="AQ39" s="543" t="s">
        <v>592</v>
      </c>
      <c r="AR39" s="542" t="e">
        <f t="shared" si="18"/>
        <v>#VALUE!</v>
      </c>
      <c r="AS39" s="648"/>
      <c r="AT39" s="542" t="s">
        <v>592</v>
      </c>
      <c r="AU39" s="543" t="s">
        <v>592</v>
      </c>
      <c r="AV39" s="543" t="s">
        <v>592</v>
      </c>
      <c r="AW39" s="542" t="e">
        <f t="shared" si="20"/>
        <v>#VALUE!</v>
      </c>
      <c r="AX39" s="648"/>
      <c r="AY39" s="648"/>
      <c r="AZ39" s="376" t="e">
        <f t="shared" si="22"/>
        <v>#N/A</v>
      </c>
      <c r="BA39" s="648"/>
    </row>
    <row r="40" spans="2:53">
      <c r="B40" s="646"/>
      <c r="C40" s="384">
        <v>14</v>
      </c>
      <c r="D40" s="535"/>
      <c r="E40" s="535"/>
      <c r="F40" s="535"/>
      <c r="G40" s="539"/>
      <c r="H40" s="671"/>
      <c r="I40" s="385" t="str">
        <f t="shared" si="5"/>
        <v>-</v>
      </c>
      <c r="J40" s="385" t="str">
        <f t="shared" si="6"/>
        <v>-</v>
      </c>
      <c r="K40" s="199" t="str">
        <f t="shared" si="7"/>
        <v>-</v>
      </c>
      <c r="L40" s="617"/>
      <c r="M40" s="392" t="e">
        <f>RANK(K40, K$27:$K$41)</f>
        <v>#VALUE!</v>
      </c>
      <c r="N40" s="635"/>
      <c r="O40" s="635"/>
      <c r="P40" s="542" t="s">
        <v>592</v>
      </c>
      <c r="Q40" s="543" t="s">
        <v>592</v>
      </c>
      <c r="R40" s="543" t="s">
        <v>592</v>
      </c>
      <c r="S40" s="542" t="e">
        <f t="shared" si="8"/>
        <v>#VALUE!</v>
      </c>
      <c r="T40" s="648"/>
      <c r="U40" s="542" t="s">
        <v>592</v>
      </c>
      <c r="V40" s="543" t="s">
        <v>592</v>
      </c>
      <c r="W40" s="543" t="s">
        <v>592</v>
      </c>
      <c r="X40" s="542" t="e">
        <f t="shared" si="10"/>
        <v>#VALUE!</v>
      </c>
      <c r="Y40" s="648"/>
      <c r="Z40" s="542" t="s">
        <v>592</v>
      </c>
      <c r="AA40" s="543" t="s">
        <v>592</v>
      </c>
      <c r="AB40" s="543" t="s">
        <v>592</v>
      </c>
      <c r="AC40" s="542" t="e">
        <f t="shared" si="12"/>
        <v>#VALUE!</v>
      </c>
      <c r="AD40" s="648"/>
      <c r="AE40" s="542" t="s">
        <v>592</v>
      </c>
      <c r="AF40" s="543" t="s">
        <v>592</v>
      </c>
      <c r="AG40" s="543" t="s">
        <v>592</v>
      </c>
      <c r="AH40" s="542" t="e">
        <f t="shared" si="14"/>
        <v>#VALUE!</v>
      </c>
      <c r="AI40" s="648"/>
      <c r="AJ40" s="542" t="s">
        <v>592</v>
      </c>
      <c r="AK40" s="543" t="s">
        <v>592</v>
      </c>
      <c r="AL40" s="543" t="s">
        <v>592</v>
      </c>
      <c r="AM40" s="542" t="e">
        <f t="shared" si="16"/>
        <v>#VALUE!</v>
      </c>
      <c r="AN40" s="648"/>
      <c r="AO40" s="542" t="s">
        <v>592</v>
      </c>
      <c r="AP40" s="543" t="s">
        <v>592</v>
      </c>
      <c r="AQ40" s="543" t="s">
        <v>592</v>
      </c>
      <c r="AR40" s="542" t="e">
        <f t="shared" si="18"/>
        <v>#VALUE!</v>
      </c>
      <c r="AS40" s="648"/>
      <c r="AT40" s="542" t="s">
        <v>592</v>
      </c>
      <c r="AU40" s="543" t="s">
        <v>592</v>
      </c>
      <c r="AV40" s="543" t="s">
        <v>592</v>
      </c>
      <c r="AW40" s="542" t="e">
        <f t="shared" si="20"/>
        <v>#VALUE!</v>
      </c>
      <c r="AX40" s="648"/>
      <c r="AY40" s="648"/>
      <c r="AZ40" s="376" t="e">
        <f t="shared" si="22"/>
        <v>#N/A</v>
      </c>
      <c r="BA40" s="648"/>
    </row>
    <row r="41" spans="2:53">
      <c r="B41" s="646"/>
      <c r="C41" s="384">
        <v>15</v>
      </c>
      <c r="D41" s="535"/>
      <c r="E41" s="535"/>
      <c r="F41" s="535"/>
      <c r="G41" s="535"/>
      <c r="H41" s="680"/>
      <c r="I41" s="385" t="str">
        <f t="shared" si="5"/>
        <v>-</v>
      </c>
      <c r="J41" s="385" t="str">
        <f t="shared" si="6"/>
        <v>-</v>
      </c>
      <c r="K41" s="199" t="str">
        <f t="shared" si="7"/>
        <v>-</v>
      </c>
      <c r="L41" s="618"/>
      <c r="M41" s="392" t="e">
        <f>RANK(K41, K$27:$K$41)</f>
        <v>#VALUE!</v>
      </c>
      <c r="N41" s="635"/>
      <c r="O41" s="635"/>
      <c r="P41" s="542" t="s">
        <v>592</v>
      </c>
      <c r="Q41" s="543" t="s">
        <v>592</v>
      </c>
      <c r="R41" s="543" t="s">
        <v>592</v>
      </c>
      <c r="S41" s="542" t="e">
        <f t="shared" si="8"/>
        <v>#VALUE!</v>
      </c>
      <c r="T41" s="649"/>
      <c r="U41" s="542" t="s">
        <v>592</v>
      </c>
      <c r="V41" s="543" t="s">
        <v>592</v>
      </c>
      <c r="W41" s="543" t="s">
        <v>592</v>
      </c>
      <c r="X41" s="542" t="e">
        <f t="shared" si="10"/>
        <v>#VALUE!</v>
      </c>
      <c r="Y41" s="649"/>
      <c r="Z41" s="542" t="s">
        <v>592</v>
      </c>
      <c r="AA41" s="543" t="s">
        <v>592</v>
      </c>
      <c r="AB41" s="543" t="s">
        <v>592</v>
      </c>
      <c r="AC41" s="542" t="e">
        <f t="shared" si="12"/>
        <v>#VALUE!</v>
      </c>
      <c r="AD41" s="649"/>
      <c r="AE41" s="542" t="s">
        <v>592</v>
      </c>
      <c r="AF41" s="543" t="s">
        <v>592</v>
      </c>
      <c r="AG41" s="543" t="s">
        <v>592</v>
      </c>
      <c r="AH41" s="542" t="e">
        <f t="shared" si="14"/>
        <v>#VALUE!</v>
      </c>
      <c r="AI41" s="649"/>
      <c r="AJ41" s="542" t="s">
        <v>592</v>
      </c>
      <c r="AK41" s="543" t="s">
        <v>592</v>
      </c>
      <c r="AL41" s="543" t="s">
        <v>592</v>
      </c>
      <c r="AM41" s="542" t="e">
        <f t="shared" si="16"/>
        <v>#VALUE!</v>
      </c>
      <c r="AN41" s="649"/>
      <c r="AO41" s="542" t="s">
        <v>592</v>
      </c>
      <c r="AP41" s="543" t="s">
        <v>592</v>
      </c>
      <c r="AQ41" s="543" t="s">
        <v>592</v>
      </c>
      <c r="AR41" s="542" t="e">
        <f t="shared" si="18"/>
        <v>#VALUE!</v>
      </c>
      <c r="AS41" s="649"/>
      <c r="AT41" s="542" t="s">
        <v>592</v>
      </c>
      <c r="AU41" s="543" t="s">
        <v>592</v>
      </c>
      <c r="AV41" s="543" t="s">
        <v>592</v>
      </c>
      <c r="AW41" s="542" t="e">
        <f t="shared" si="20"/>
        <v>#VALUE!</v>
      </c>
      <c r="AX41" s="649"/>
      <c r="AY41" s="649"/>
      <c r="AZ41" s="376" t="e">
        <f t="shared" si="22"/>
        <v>#N/A</v>
      </c>
      <c r="BA41" s="649"/>
    </row>
    <row r="42" spans="2:53" ht="15.75">
      <c r="B42" s="666" t="s">
        <v>162</v>
      </c>
      <c r="C42" s="667"/>
      <c r="D42" s="667"/>
      <c r="E42" s="667"/>
      <c r="F42" s="667"/>
      <c r="G42" s="667"/>
      <c r="H42" s="667"/>
      <c r="I42" s="207"/>
      <c r="J42" s="202"/>
      <c r="K42" s="207"/>
      <c r="L42" s="207"/>
      <c r="M42" s="203"/>
      <c r="N42" s="639" t="s">
        <v>156</v>
      </c>
      <c r="O42" s="639" t="s">
        <v>105</v>
      </c>
      <c r="P42" s="645">
        <f>P22+7</f>
        <v>46217</v>
      </c>
      <c r="Q42" s="646"/>
      <c r="R42" s="646"/>
      <c r="S42" s="646"/>
      <c r="T42" s="646"/>
      <c r="U42" s="642">
        <f>P42+1</f>
        <v>46218</v>
      </c>
      <c r="V42" s="643"/>
      <c r="W42" s="643"/>
      <c r="X42" s="643"/>
      <c r="Y42" s="644"/>
      <c r="Z42" s="642">
        <f>U42+1</f>
        <v>46219</v>
      </c>
      <c r="AA42" s="643"/>
      <c r="AB42" s="643"/>
      <c r="AC42" s="643"/>
      <c r="AD42" s="644"/>
      <c r="AE42" s="642">
        <f>Z42+1</f>
        <v>46220</v>
      </c>
      <c r="AF42" s="643"/>
      <c r="AG42" s="643"/>
      <c r="AH42" s="643"/>
      <c r="AI42" s="644"/>
      <c r="AJ42" s="642">
        <f>AE42+1</f>
        <v>46221</v>
      </c>
      <c r="AK42" s="643"/>
      <c r="AL42" s="643"/>
      <c r="AM42" s="643"/>
      <c r="AN42" s="644"/>
      <c r="AO42" s="642">
        <f>AJ42+1</f>
        <v>46222</v>
      </c>
      <c r="AP42" s="643"/>
      <c r="AQ42" s="643"/>
      <c r="AR42" s="643"/>
      <c r="AS42" s="644"/>
      <c r="AT42" s="642">
        <f>AO42+1</f>
        <v>46223</v>
      </c>
      <c r="AU42" s="643"/>
      <c r="AV42" s="643"/>
      <c r="AW42" s="643"/>
      <c r="AX42" s="644"/>
    </row>
    <row r="43" spans="2:53" ht="15.75">
      <c r="B43" s="653"/>
      <c r="C43" s="653"/>
      <c r="D43" s="653"/>
      <c r="E43" s="653"/>
      <c r="F43" s="653"/>
      <c r="G43" s="653"/>
      <c r="H43" s="653"/>
      <c r="I43" s="204"/>
      <c r="J43" s="204"/>
      <c r="K43" s="204"/>
      <c r="L43" s="204"/>
      <c r="M43" s="205"/>
      <c r="N43" s="641"/>
      <c r="O43" s="641"/>
      <c r="P43" s="645" t="s">
        <v>317</v>
      </c>
      <c r="Q43" s="646"/>
      <c r="R43" s="646"/>
      <c r="S43" s="646"/>
      <c r="T43" s="646"/>
      <c r="U43" s="645" t="s">
        <v>318</v>
      </c>
      <c r="V43" s="646"/>
      <c r="W43" s="646"/>
      <c r="X43" s="646"/>
      <c r="Y43" s="646"/>
      <c r="Z43" s="645" t="s">
        <v>319</v>
      </c>
      <c r="AA43" s="646"/>
      <c r="AB43" s="646"/>
      <c r="AC43" s="646"/>
      <c r="AD43" s="646"/>
      <c r="AE43" s="645" t="s">
        <v>320</v>
      </c>
      <c r="AF43" s="646"/>
      <c r="AG43" s="646"/>
      <c r="AH43" s="646"/>
      <c r="AI43" s="646"/>
      <c r="AJ43" s="645" t="s">
        <v>321</v>
      </c>
      <c r="AK43" s="646"/>
      <c r="AL43" s="646"/>
      <c r="AM43" s="646"/>
      <c r="AN43" s="646"/>
      <c r="AO43" s="645" t="s">
        <v>322</v>
      </c>
      <c r="AP43" s="646"/>
      <c r="AQ43" s="646"/>
      <c r="AR43" s="646"/>
      <c r="AS43" s="646"/>
      <c r="AT43" s="645" t="s">
        <v>323</v>
      </c>
      <c r="AU43" s="646"/>
      <c r="AV43" s="646"/>
      <c r="AW43" s="646"/>
      <c r="AX43" s="646"/>
    </row>
    <row r="44" spans="2:53">
      <c r="B44" s="635" t="s">
        <v>473</v>
      </c>
      <c r="C44" s="635" t="s">
        <v>382</v>
      </c>
      <c r="D44" s="635"/>
      <c r="E44" s="635" t="s">
        <v>373</v>
      </c>
      <c r="F44" s="635"/>
      <c r="G44" s="635"/>
      <c r="H44" s="636" t="s">
        <v>369</v>
      </c>
      <c r="I44" s="635" t="s">
        <v>374</v>
      </c>
      <c r="J44" s="635"/>
      <c r="K44" s="635"/>
      <c r="L44" s="636" t="s">
        <v>369</v>
      </c>
      <c r="M44" s="639" t="s">
        <v>370</v>
      </c>
      <c r="N44" s="635"/>
      <c r="O44" s="635" t="s">
        <v>375</v>
      </c>
      <c r="P44" s="632" t="s">
        <v>371</v>
      </c>
      <c r="Q44" s="633"/>
      <c r="R44" s="633"/>
      <c r="S44" s="634"/>
      <c r="T44" s="635" t="s">
        <v>369</v>
      </c>
      <c r="U44" s="632" t="s">
        <v>371</v>
      </c>
      <c r="V44" s="633"/>
      <c r="W44" s="633"/>
      <c r="X44" s="634"/>
      <c r="Y44" s="635" t="s">
        <v>369</v>
      </c>
      <c r="Z44" s="632" t="s">
        <v>371</v>
      </c>
      <c r="AA44" s="633"/>
      <c r="AB44" s="633"/>
      <c r="AC44" s="634"/>
      <c r="AD44" s="635" t="s">
        <v>369</v>
      </c>
      <c r="AE44" s="632" t="s">
        <v>371</v>
      </c>
      <c r="AF44" s="633"/>
      <c r="AG44" s="633"/>
      <c r="AH44" s="634"/>
      <c r="AI44" s="635" t="s">
        <v>369</v>
      </c>
      <c r="AJ44" s="632" t="s">
        <v>371</v>
      </c>
      <c r="AK44" s="633"/>
      <c r="AL44" s="633"/>
      <c r="AM44" s="634"/>
      <c r="AN44" s="635" t="s">
        <v>369</v>
      </c>
      <c r="AO44" s="632" t="s">
        <v>371</v>
      </c>
      <c r="AP44" s="633"/>
      <c r="AQ44" s="633"/>
      <c r="AR44" s="634"/>
      <c r="AS44" s="635" t="s">
        <v>369</v>
      </c>
      <c r="AT44" s="632" t="s">
        <v>371</v>
      </c>
      <c r="AU44" s="633"/>
      <c r="AV44" s="633"/>
      <c r="AW44" s="634"/>
      <c r="AX44" s="635" t="s">
        <v>369</v>
      </c>
      <c r="BA44" s="635" t="s">
        <v>369</v>
      </c>
    </row>
    <row r="45" spans="2:53">
      <c r="B45" s="635"/>
      <c r="C45" s="635"/>
      <c r="D45" s="635"/>
      <c r="E45" s="635" t="s">
        <v>376</v>
      </c>
      <c r="F45" s="635"/>
      <c r="G45" s="635"/>
      <c r="H45" s="637"/>
      <c r="I45" s="635" t="s">
        <v>376</v>
      </c>
      <c r="J45" s="635"/>
      <c r="K45" s="635"/>
      <c r="L45" s="637"/>
      <c r="M45" s="640"/>
      <c r="N45" s="635"/>
      <c r="O45" s="635"/>
      <c r="P45" s="632" t="s">
        <v>377</v>
      </c>
      <c r="Q45" s="633"/>
      <c r="R45" s="633"/>
      <c r="S45" s="634"/>
      <c r="T45" s="635"/>
      <c r="U45" s="632" t="s">
        <v>377</v>
      </c>
      <c r="V45" s="633"/>
      <c r="W45" s="633"/>
      <c r="X45" s="634"/>
      <c r="Y45" s="635"/>
      <c r="Z45" s="632" t="s">
        <v>377</v>
      </c>
      <c r="AA45" s="633"/>
      <c r="AB45" s="633"/>
      <c r="AC45" s="634"/>
      <c r="AD45" s="635"/>
      <c r="AE45" s="632" t="s">
        <v>377</v>
      </c>
      <c r="AF45" s="633"/>
      <c r="AG45" s="633"/>
      <c r="AH45" s="634"/>
      <c r="AI45" s="635"/>
      <c r="AJ45" s="632" t="s">
        <v>377</v>
      </c>
      <c r="AK45" s="633"/>
      <c r="AL45" s="633"/>
      <c r="AM45" s="634"/>
      <c r="AN45" s="635"/>
      <c r="AO45" s="632" t="s">
        <v>377</v>
      </c>
      <c r="AP45" s="633"/>
      <c r="AQ45" s="633"/>
      <c r="AR45" s="634"/>
      <c r="AS45" s="635"/>
      <c r="AT45" s="632" t="s">
        <v>377</v>
      </c>
      <c r="AU45" s="633"/>
      <c r="AV45" s="633"/>
      <c r="AW45" s="634"/>
      <c r="AX45" s="635"/>
      <c r="BA45" s="635"/>
    </row>
    <row r="46" spans="2:53">
      <c r="B46" s="635"/>
      <c r="C46" s="635"/>
      <c r="D46" s="635"/>
      <c r="E46" s="382" t="s">
        <v>378</v>
      </c>
      <c r="F46" s="382" t="s">
        <v>379</v>
      </c>
      <c r="G46" s="382" t="s">
        <v>380</v>
      </c>
      <c r="H46" s="638"/>
      <c r="I46" s="382" t="s">
        <v>378</v>
      </c>
      <c r="J46" s="382" t="s">
        <v>379</v>
      </c>
      <c r="K46" s="382" t="s">
        <v>380</v>
      </c>
      <c r="L46" s="638"/>
      <c r="M46" s="641"/>
      <c r="N46" s="635"/>
      <c r="O46" s="635"/>
      <c r="P46" s="382" t="s">
        <v>378</v>
      </c>
      <c r="Q46" s="382" t="s">
        <v>379</v>
      </c>
      <c r="R46" s="382" t="s">
        <v>380</v>
      </c>
      <c r="S46" s="382" t="s">
        <v>370</v>
      </c>
      <c r="T46" s="635"/>
      <c r="U46" s="382" t="s">
        <v>378</v>
      </c>
      <c r="V46" s="382" t="s">
        <v>379</v>
      </c>
      <c r="W46" s="382" t="s">
        <v>380</v>
      </c>
      <c r="X46" s="382" t="s">
        <v>370</v>
      </c>
      <c r="Y46" s="635"/>
      <c r="Z46" s="382" t="s">
        <v>378</v>
      </c>
      <c r="AA46" s="382" t="s">
        <v>379</v>
      </c>
      <c r="AB46" s="382" t="s">
        <v>380</v>
      </c>
      <c r="AC46" s="382" t="s">
        <v>370</v>
      </c>
      <c r="AD46" s="635"/>
      <c r="AE46" s="382" t="s">
        <v>378</v>
      </c>
      <c r="AF46" s="382" t="s">
        <v>379</v>
      </c>
      <c r="AG46" s="382" t="s">
        <v>380</v>
      </c>
      <c r="AH46" s="382" t="s">
        <v>370</v>
      </c>
      <c r="AI46" s="635"/>
      <c r="AJ46" s="382" t="s">
        <v>378</v>
      </c>
      <c r="AK46" s="382" t="s">
        <v>379</v>
      </c>
      <c r="AL46" s="382" t="s">
        <v>380</v>
      </c>
      <c r="AM46" s="382" t="s">
        <v>370</v>
      </c>
      <c r="AN46" s="635"/>
      <c r="AO46" s="382" t="s">
        <v>378</v>
      </c>
      <c r="AP46" s="382" t="s">
        <v>379</v>
      </c>
      <c r="AQ46" s="382" t="s">
        <v>380</v>
      </c>
      <c r="AR46" s="382" t="s">
        <v>370</v>
      </c>
      <c r="AS46" s="635"/>
      <c r="AT46" s="382" t="s">
        <v>378</v>
      </c>
      <c r="AU46" s="382" t="s">
        <v>379</v>
      </c>
      <c r="AV46" s="382" t="s">
        <v>380</v>
      </c>
      <c r="AW46" s="382" t="s">
        <v>370</v>
      </c>
      <c r="AX46" s="635"/>
      <c r="AZ46" s="377" t="s">
        <v>370</v>
      </c>
      <c r="BA46" s="635"/>
    </row>
    <row r="47" spans="2:53">
      <c r="B47" s="679" t="s">
        <v>474</v>
      </c>
      <c r="C47" s="384">
        <v>1</v>
      </c>
      <c r="D47" s="533" t="s">
        <v>576</v>
      </c>
      <c r="E47" s="535">
        <v>10</v>
      </c>
      <c r="F47" s="535">
        <v>1500</v>
      </c>
      <c r="G47" s="539">
        <v>150</v>
      </c>
      <c r="H47" s="670">
        <f>AVERAGE(G47:G61)</f>
        <v>130</v>
      </c>
      <c r="I47" s="385">
        <f t="shared" ref="I47:I61" si="24">IFERROR(AVERAGE(P47,U47,Z47,AE47,AJ47,AO47,AT47),"-")</f>
        <v>10</v>
      </c>
      <c r="J47" s="385">
        <f t="shared" ref="J47:J61" si="25">IFERROR(AVERAGE(Q47,V47,AA47,AF47,AK47,AP47,AU47),"-")</f>
        <v>1465.346938775509</v>
      </c>
      <c r="K47" s="199">
        <f t="shared" ref="K47:K61" si="26">IFERROR(AVERAGE(R47,W47,AB47,AG47,AL47,AQ47,AV47),"-")</f>
        <v>146.53469387755089</v>
      </c>
      <c r="L47" s="616">
        <f>IFERROR(AVERAGE(K47:K61),"-")</f>
        <v>148.14827126475475</v>
      </c>
      <c r="M47" s="432">
        <f>RANK(K47, K$47:$K$61)</f>
        <v>3</v>
      </c>
      <c r="N47" s="635"/>
      <c r="O47" s="635"/>
      <c r="P47" s="546">
        <v>10</v>
      </c>
      <c r="Q47" s="547">
        <v>1405.7142857142844</v>
      </c>
      <c r="R47" s="547">
        <v>140.57142857142844</v>
      </c>
      <c r="S47" s="531">
        <v>3</v>
      </c>
      <c r="T47" s="659">
        <v>147.48717948717956</v>
      </c>
      <c r="U47" s="546">
        <v>10</v>
      </c>
      <c r="V47" s="547">
        <v>1625.999999999997</v>
      </c>
      <c r="W47" s="547">
        <v>162.59999999999971</v>
      </c>
      <c r="X47" s="531">
        <v>1</v>
      </c>
      <c r="Y47" s="659">
        <v>156.91825396825394</v>
      </c>
      <c r="Z47" s="546">
        <v>10</v>
      </c>
      <c r="AA47" s="547">
        <v>1357.7142857142844</v>
      </c>
      <c r="AB47" s="547">
        <v>135.77142857142843</v>
      </c>
      <c r="AC47" s="547">
        <v>3</v>
      </c>
      <c r="AD47" s="657">
        <v>136.59949281487732</v>
      </c>
      <c r="AE47" s="546">
        <v>10</v>
      </c>
      <c r="AF47" s="547">
        <v>1442.0000000000014</v>
      </c>
      <c r="AG47" s="547">
        <v>144.20000000000013</v>
      </c>
      <c r="AH47" s="547">
        <v>3</v>
      </c>
      <c r="AI47" s="657">
        <v>147.57929292929305</v>
      </c>
      <c r="AJ47" s="546">
        <v>10</v>
      </c>
      <c r="AK47" s="547">
        <v>1356.0000000000014</v>
      </c>
      <c r="AL47" s="547">
        <v>135.60000000000014</v>
      </c>
      <c r="AM47" s="547">
        <v>3</v>
      </c>
      <c r="AN47" s="657">
        <v>147.90606060606061</v>
      </c>
      <c r="AO47" s="546">
        <v>10</v>
      </c>
      <c r="AP47" s="547">
        <v>1427.9999999999986</v>
      </c>
      <c r="AQ47" s="547">
        <v>142.79999999999987</v>
      </c>
      <c r="AR47" s="547">
        <v>3</v>
      </c>
      <c r="AS47" s="657">
        <v>146.52307692307681</v>
      </c>
      <c r="AT47" s="546">
        <v>10</v>
      </c>
      <c r="AU47" s="547">
        <v>1641.999999999997</v>
      </c>
      <c r="AV47" s="547">
        <v>164.1999999999997</v>
      </c>
      <c r="AW47" s="547">
        <v>1</v>
      </c>
      <c r="AX47" s="657">
        <v>154.02454212454197</v>
      </c>
      <c r="AZ47" s="379" t="e">
        <f t="shared" ref="AZ47:AZ53" si="27">RANK(AY47, AY$47:AY$61)</f>
        <v>#N/A</v>
      </c>
      <c r="BA47" s="647" t="e">
        <f t="shared" ref="BA47" si="28">AVERAGE(AY47:AY61)</f>
        <v>#DIV/0!</v>
      </c>
    </row>
    <row r="48" spans="2:53">
      <c r="B48" s="646"/>
      <c r="C48" s="384">
        <v>2</v>
      </c>
      <c r="D48" s="535" t="s">
        <v>599</v>
      </c>
      <c r="E48" s="535">
        <v>15</v>
      </c>
      <c r="F48" s="535">
        <v>1800</v>
      </c>
      <c r="G48" s="539">
        <v>120</v>
      </c>
      <c r="H48" s="671"/>
      <c r="I48" s="385">
        <f t="shared" si="24"/>
        <v>12.142857142857142</v>
      </c>
      <c r="J48" s="385">
        <f t="shared" si="25"/>
        <v>1803.9944341372918</v>
      </c>
      <c r="K48" s="199">
        <f t="shared" si="26"/>
        <v>148.70885067313642</v>
      </c>
      <c r="L48" s="617"/>
      <c r="M48" s="432">
        <f>RANK(K48, K$47:$K$61)</f>
        <v>2</v>
      </c>
      <c r="N48" s="635"/>
      <c r="O48" s="635"/>
      <c r="P48" s="546">
        <v>12</v>
      </c>
      <c r="Q48" s="547">
        <v>1829.1428571428594</v>
      </c>
      <c r="R48" s="547">
        <v>152.42857142857162</v>
      </c>
      <c r="S48" s="531">
        <v>1</v>
      </c>
      <c r="T48" s="659"/>
      <c r="U48" s="546">
        <v>12</v>
      </c>
      <c r="V48" s="547">
        <v>1794.8571428571433</v>
      </c>
      <c r="W48" s="547">
        <v>149.57142857142861</v>
      </c>
      <c r="X48" s="531">
        <v>3</v>
      </c>
      <c r="Y48" s="659"/>
      <c r="Z48" s="546">
        <v>13</v>
      </c>
      <c r="AA48" s="547">
        <v>1773.4285714285718</v>
      </c>
      <c r="AB48" s="547">
        <v>136.41758241758245</v>
      </c>
      <c r="AC48" s="547">
        <v>2</v>
      </c>
      <c r="AD48" s="657"/>
      <c r="AE48" s="546">
        <v>12</v>
      </c>
      <c r="AF48" s="547">
        <v>1800.9999999999991</v>
      </c>
      <c r="AG48" s="547">
        <v>150.08333333333326</v>
      </c>
      <c r="AH48" s="547">
        <v>1</v>
      </c>
      <c r="AI48" s="657"/>
      <c r="AJ48" s="546">
        <v>12</v>
      </c>
      <c r="AK48" s="547">
        <v>1833.8181818181831</v>
      </c>
      <c r="AL48" s="547">
        <v>152.81818181818193</v>
      </c>
      <c r="AM48" s="547">
        <v>2</v>
      </c>
      <c r="AN48" s="657"/>
      <c r="AO48" s="546">
        <v>12</v>
      </c>
      <c r="AP48" s="547">
        <v>1800.0000000000005</v>
      </c>
      <c r="AQ48" s="547">
        <v>150.00000000000003</v>
      </c>
      <c r="AR48" s="547">
        <v>1</v>
      </c>
      <c r="AS48" s="657"/>
      <c r="AT48" s="546">
        <v>12</v>
      </c>
      <c r="AU48" s="547">
        <v>1795.714285714286</v>
      </c>
      <c r="AV48" s="547">
        <v>149.64285714285717</v>
      </c>
      <c r="AW48" s="547">
        <v>2</v>
      </c>
      <c r="AX48" s="657"/>
      <c r="AZ48" s="379" t="e">
        <f t="shared" si="27"/>
        <v>#N/A</v>
      </c>
      <c r="BA48" s="648"/>
    </row>
    <row r="49" spans="2:53">
      <c r="B49" s="646"/>
      <c r="C49" s="384">
        <v>3</v>
      </c>
      <c r="D49" s="535" t="s">
        <v>600</v>
      </c>
      <c r="E49" s="535">
        <v>15</v>
      </c>
      <c r="F49" s="535">
        <v>1800</v>
      </c>
      <c r="G49" s="539">
        <v>120</v>
      </c>
      <c r="H49" s="671"/>
      <c r="I49" s="385">
        <f t="shared" si="24"/>
        <v>12.142857142857142</v>
      </c>
      <c r="J49" s="385">
        <f t="shared" si="25"/>
        <v>1810.0737262737259</v>
      </c>
      <c r="K49" s="199">
        <f t="shared" si="26"/>
        <v>149.20126924357692</v>
      </c>
      <c r="L49" s="617"/>
      <c r="M49" s="432">
        <f>RANK(K49, K$47:$K$61)</f>
        <v>1</v>
      </c>
      <c r="N49" s="635"/>
      <c r="O49" s="635"/>
      <c r="P49" s="546">
        <v>12</v>
      </c>
      <c r="Q49" s="547">
        <v>1793.5384615384635</v>
      </c>
      <c r="R49" s="547">
        <v>149.46153846153862</v>
      </c>
      <c r="S49" s="531">
        <v>2</v>
      </c>
      <c r="T49" s="659"/>
      <c r="U49" s="546">
        <v>12</v>
      </c>
      <c r="V49" s="547">
        <v>1903.0000000000018</v>
      </c>
      <c r="W49" s="547">
        <v>158.58333333333348</v>
      </c>
      <c r="X49" s="531">
        <v>2</v>
      </c>
      <c r="Y49" s="659"/>
      <c r="Z49" s="546">
        <v>13</v>
      </c>
      <c r="AA49" s="547">
        <v>1788.9230769230746</v>
      </c>
      <c r="AB49" s="547">
        <v>137.60946745562111</v>
      </c>
      <c r="AC49" s="547">
        <v>1</v>
      </c>
      <c r="AD49" s="657"/>
      <c r="AE49" s="546">
        <v>12</v>
      </c>
      <c r="AF49" s="547">
        <v>1781.4545454545491</v>
      </c>
      <c r="AG49" s="547">
        <v>148.45454545454575</v>
      </c>
      <c r="AH49" s="547">
        <v>2</v>
      </c>
      <c r="AI49" s="657"/>
      <c r="AJ49" s="546">
        <v>12</v>
      </c>
      <c r="AK49" s="547">
        <v>1863.5999999999976</v>
      </c>
      <c r="AL49" s="547">
        <v>155.29999999999981</v>
      </c>
      <c r="AM49" s="547">
        <v>1</v>
      </c>
      <c r="AN49" s="657"/>
      <c r="AO49" s="546">
        <v>12</v>
      </c>
      <c r="AP49" s="547">
        <v>1761.230769230767</v>
      </c>
      <c r="AQ49" s="547">
        <v>146.76923076923057</v>
      </c>
      <c r="AR49" s="547">
        <v>2</v>
      </c>
      <c r="AS49" s="657"/>
      <c r="AT49" s="546">
        <v>12</v>
      </c>
      <c r="AU49" s="547">
        <v>1778.7692307692284</v>
      </c>
      <c r="AV49" s="547">
        <v>148.23076923076903</v>
      </c>
      <c r="AW49" s="547">
        <v>3</v>
      </c>
      <c r="AX49" s="657"/>
      <c r="AZ49" s="379" t="e">
        <f t="shared" si="27"/>
        <v>#N/A</v>
      </c>
      <c r="BA49" s="648"/>
    </row>
    <row r="50" spans="2:53">
      <c r="B50" s="646"/>
      <c r="C50" s="384">
        <v>4</v>
      </c>
      <c r="D50" s="535"/>
      <c r="E50" s="535"/>
      <c r="F50" s="535"/>
      <c r="G50" s="539"/>
      <c r="H50" s="671"/>
      <c r="I50" s="385" t="str">
        <f t="shared" si="24"/>
        <v>-</v>
      </c>
      <c r="J50" s="385" t="str">
        <f t="shared" si="25"/>
        <v>-</v>
      </c>
      <c r="K50" s="199" t="str">
        <f t="shared" si="26"/>
        <v>-</v>
      </c>
      <c r="L50" s="617"/>
      <c r="M50" s="432" t="e">
        <f>RANK(K50, K$47:$K$61)</f>
        <v>#VALUE!</v>
      </c>
      <c r="N50" s="635"/>
      <c r="O50" s="635"/>
      <c r="P50" s="546" t="s">
        <v>592</v>
      </c>
      <c r="Q50" s="547" t="s">
        <v>592</v>
      </c>
      <c r="R50" s="547" t="s">
        <v>592</v>
      </c>
      <c r="S50" s="531" t="e">
        <v>#VALUE!</v>
      </c>
      <c r="T50" s="659"/>
      <c r="U50" s="546" t="s">
        <v>592</v>
      </c>
      <c r="V50" s="547" t="s">
        <v>592</v>
      </c>
      <c r="W50" s="547" t="s">
        <v>592</v>
      </c>
      <c r="X50" s="531" t="e">
        <v>#VALUE!</v>
      </c>
      <c r="Y50" s="659"/>
      <c r="Z50" s="546" t="s">
        <v>592</v>
      </c>
      <c r="AA50" s="547" t="s">
        <v>592</v>
      </c>
      <c r="AB50" s="547" t="s">
        <v>592</v>
      </c>
      <c r="AC50" s="547" t="e">
        <v>#VALUE!</v>
      </c>
      <c r="AD50" s="657"/>
      <c r="AE50" s="546" t="s">
        <v>592</v>
      </c>
      <c r="AF50" s="547" t="s">
        <v>592</v>
      </c>
      <c r="AG50" s="547" t="s">
        <v>592</v>
      </c>
      <c r="AH50" s="547" t="e">
        <v>#VALUE!</v>
      </c>
      <c r="AI50" s="657"/>
      <c r="AJ50" s="546" t="s">
        <v>592</v>
      </c>
      <c r="AK50" s="547" t="s">
        <v>592</v>
      </c>
      <c r="AL50" s="547" t="s">
        <v>592</v>
      </c>
      <c r="AM50" s="547" t="e">
        <v>#VALUE!</v>
      </c>
      <c r="AN50" s="657"/>
      <c r="AO50" s="546" t="s">
        <v>592</v>
      </c>
      <c r="AP50" s="547" t="s">
        <v>592</v>
      </c>
      <c r="AQ50" s="547" t="s">
        <v>592</v>
      </c>
      <c r="AR50" s="547" t="e">
        <v>#VALUE!</v>
      </c>
      <c r="AS50" s="657"/>
      <c r="AT50" s="546" t="s">
        <v>592</v>
      </c>
      <c r="AU50" s="547" t="s">
        <v>592</v>
      </c>
      <c r="AV50" s="547" t="s">
        <v>592</v>
      </c>
      <c r="AW50" s="547" t="e">
        <v>#VALUE!</v>
      </c>
      <c r="AX50" s="657"/>
      <c r="AZ50" s="379" t="e">
        <f t="shared" si="27"/>
        <v>#N/A</v>
      </c>
      <c r="BA50" s="648"/>
    </row>
    <row r="51" spans="2:53">
      <c r="B51" s="646"/>
      <c r="C51" s="384">
        <v>5</v>
      </c>
      <c r="D51" s="535"/>
      <c r="E51" s="535"/>
      <c r="F51" s="535"/>
      <c r="G51" s="539"/>
      <c r="H51" s="671"/>
      <c r="I51" s="385" t="str">
        <f t="shared" si="24"/>
        <v>-</v>
      </c>
      <c r="J51" s="385" t="str">
        <f t="shared" si="25"/>
        <v>-</v>
      </c>
      <c r="K51" s="199" t="str">
        <f t="shared" si="26"/>
        <v>-</v>
      </c>
      <c r="L51" s="617"/>
      <c r="M51" s="432" t="e">
        <f>RANK(K51, K$47:$K$61)</f>
        <v>#VALUE!</v>
      </c>
      <c r="N51" s="635"/>
      <c r="O51" s="635"/>
      <c r="P51" s="546" t="s">
        <v>592</v>
      </c>
      <c r="Q51" s="547" t="s">
        <v>592</v>
      </c>
      <c r="R51" s="547" t="s">
        <v>592</v>
      </c>
      <c r="S51" s="531" t="e">
        <v>#VALUE!</v>
      </c>
      <c r="T51" s="659"/>
      <c r="U51" s="546" t="s">
        <v>592</v>
      </c>
      <c r="V51" s="547" t="s">
        <v>592</v>
      </c>
      <c r="W51" s="547" t="s">
        <v>592</v>
      </c>
      <c r="X51" s="531" t="e">
        <v>#VALUE!</v>
      </c>
      <c r="Y51" s="659"/>
      <c r="Z51" s="546" t="s">
        <v>592</v>
      </c>
      <c r="AA51" s="547" t="s">
        <v>592</v>
      </c>
      <c r="AB51" s="547" t="s">
        <v>592</v>
      </c>
      <c r="AC51" s="547" t="e">
        <v>#VALUE!</v>
      </c>
      <c r="AD51" s="657"/>
      <c r="AE51" s="546" t="s">
        <v>592</v>
      </c>
      <c r="AF51" s="547" t="s">
        <v>592</v>
      </c>
      <c r="AG51" s="547" t="s">
        <v>592</v>
      </c>
      <c r="AH51" s="547" t="e">
        <v>#VALUE!</v>
      </c>
      <c r="AI51" s="657"/>
      <c r="AJ51" s="546" t="s">
        <v>592</v>
      </c>
      <c r="AK51" s="547" t="s">
        <v>592</v>
      </c>
      <c r="AL51" s="547" t="s">
        <v>592</v>
      </c>
      <c r="AM51" s="547" t="e">
        <v>#VALUE!</v>
      </c>
      <c r="AN51" s="657"/>
      <c r="AO51" s="546" t="s">
        <v>592</v>
      </c>
      <c r="AP51" s="547" t="s">
        <v>592</v>
      </c>
      <c r="AQ51" s="547" t="s">
        <v>592</v>
      </c>
      <c r="AR51" s="547" t="e">
        <v>#VALUE!</v>
      </c>
      <c r="AS51" s="657"/>
      <c r="AT51" s="546" t="s">
        <v>592</v>
      </c>
      <c r="AU51" s="547" t="s">
        <v>592</v>
      </c>
      <c r="AV51" s="547" t="s">
        <v>592</v>
      </c>
      <c r="AW51" s="547" t="e">
        <v>#VALUE!</v>
      </c>
      <c r="AX51" s="657"/>
      <c r="AZ51" s="379" t="e">
        <f t="shared" si="27"/>
        <v>#N/A</v>
      </c>
      <c r="BA51" s="648"/>
    </row>
    <row r="52" spans="2:53">
      <c r="B52" s="646"/>
      <c r="C52" s="384">
        <v>6</v>
      </c>
      <c r="D52" s="535"/>
      <c r="E52" s="535"/>
      <c r="F52" s="535"/>
      <c r="G52" s="539"/>
      <c r="H52" s="671"/>
      <c r="I52" s="385" t="str">
        <f t="shared" si="24"/>
        <v>-</v>
      </c>
      <c r="J52" s="385" t="str">
        <f t="shared" si="25"/>
        <v>-</v>
      </c>
      <c r="K52" s="199" t="str">
        <f t="shared" si="26"/>
        <v>-</v>
      </c>
      <c r="L52" s="617"/>
      <c r="M52" s="432" t="e">
        <f>RANK(K52, K$47:$K$61)</f>
        <v>#VALUE!</v>
      </c>
      <c r="N52" s="635"/>
      <c r="O52" s="635"/>
      <c r="P52" s="546" t="s">
        <v>592</v>
      </c>
      <c r="Q52" s="547" t="s">
        <v>592</v>
      </c>
      <c r="R52" s="547" t="s">
        <v>592</v>
      </c>
      <c r="S52" s="531" t="e">
        <v>#VALUE!</v>
      </c>
      <c r="T52" s="659"/>
      <c r="U52" s="546" t="s">
        <v>592</v>
      </c>
      <c r="V52" s="547" t="s">
        <v>592</v>
      </c>
      <c r="W52" s="547" t="s">
        <v>592</v>
      </c>
      <c r="X52" s="531" t="e">
        <v>#VALUE!</v>
      </c>
      <c r="Y52" s="659"/>
      <c r="Z52" s="546" t="s">
        <v>592</v>
      </c>
      <c r="AA52" s="547" t="s">
        <v>592</v>
      </c>
      <c r="AB52" s="547" t="s">
        <v>592</v>
      </c>
      <c r="AC52" s="547" t="e">
        <v>#VALUE!</v>
      </c>
      <c r="AD52" s="657"/>
      <c r="AE52" s="546" t="s">
        <v>592</v>
      </c>
      <c r="AF52" s="547" t="s">
        <v>592</v>
      </c>
      <c r="AG52" s="547" t="s">
        <v>592</v>
      </c>
      <c r="AH52" s="547" t="e">
        <v>#VALUE!</v>
      </c>
      <c r="AI52" s="657"/>
      <c r="AJ52" s="546" t="s">
        <v>592</v>
      </c>
      <c r="AK52" s="547" t="s">
        <v>592</v>
      </c>
      <c r="AL52" s="547" t="s">
        <v>592</v>
      </c>
      <c r="AM52" s="547" t="e">
        <v>#VALUE!</v>
      </c>
      <c r="AN52" s="657"/>
      <c r="AO52" s="546" t="s">
        <v>592</v>
      </c>
      <c r="AP52" s="547" t="s">
        <v>592</v>
      </c>
      <c r="AQ52" s="547" t="s">
        <v>592</v>
      </c>
      <c r="AR52" s="547" t="e">
        <v>#VALUE!</v>
      </c>
      <c r="AS52" s="657"/>
      <c r="AT52" s="546" t="s">
        <v>592</v>
      </c>
      <c r="AU52" s="547" t="s">
        <v>592</v>
      </c>
      <c r="AV52" s="547" t="s">
        <v>592</v>
      </c>
      <c r="AW52" s="547" t="e">
        <v>#VALUE!</v>
      </c>
      <c r="AX52" s="657"/>
      <c r="AZ52" s="379" t="e">
        <f t="shared" si="27"/>
        <v>#N/A</v>
      </c>
      <c r="BA52" s="648"/>
    </row>
    <row r="53" spans="2:53">
      <c r="B53" s="646"/>
      <c r="C53" s="384">
        <v>7</v>
      </c>
      <c r="D53" s="535"/>
      <c r="E53" s="535"/>
      <c r="F53" s="535"/>
      <c r="G53" s="539"/>
      <c r="H53" s="671"/>
      <c r="I53" s="385" t="str">
        <f t="shared" si="24"/>
        <v>-</v>
      </c>
      <c r="J53" s="385" t="str">
        <f t="shared" si="25"/>
        <v>-</v>
      </c>
      <c r="K53" s="199" t="str">
        <f t="shared" si="26"/>
        <v>-</v>
      </c>
      <c r="L53" s="617"/>
      <c r="M53" s="432" t="e">
        <f>RANK(K53, K$47:$K$61)</f>
        <v>#VALUE!</v>
      </c>
      <c r="N53" s="635"/>
      <c r="O53" s="635"/>
      <c r="P53" s="546" t="s">
        <v>592</v>
      </c>
      <c r="Q53" s="547" t="s">
        <v>592</v>
      </c>
      <c r="R53" s="547" t="s">
        <v>592</v>
      </c>
      <c r="S53" s="531" t="e">
        <v>#VALUE!</v>
      </c>
      <c r="T53" s="659"/>
      <c r="U53" s="546" t="s">
        <v>592</v>
      </c>
      <c r="V53" s="547" t="s">
        <v>592</v>
      </c>
      <c r="W53" s="547" t="s">
        <v>592</v>
      </c>
      <c r="X53" s="531" t="e">
        <v>#VALUE!</v>
      </c>
      <c r="Y53" s="659"/>
      <c r="Z53" s="546" t="s">
        <v>592</v>
      </c>
      <c r="AA53" s="547" t="s">
        <v>592</v>
      </c>
      <c r="AB53" s="547" t="s">
        <v>592</v>
      </c>
      <c r="AC53" s="547" t="e">
        <v>#VALUE!</v>
      </c>
      <c r="AD53" s="657"/>
      <c r="AE53" s="546" t="s">
        <v>592</v>
      </c>
      <c r="AF53" s="547" t="s">
        <v>592</v>
      </c>
      <c r="AG53" s="547" t="s">
        <v>592</v>
      </c>
      <c r="AH53" s="547" t="e">
        <v>#VALUE!</v>
      </c>
      <c r="AI53" s="657"/>
      <c r="AJ53" s="546" t="s">
        <v>592</v>
      </c>
      <c r="AK53" s="547" t="s">
        <v>592</v>
      </c>
      <c r="AL53" s="547" t="s">
        <v>592</v>
      </c>
      <c r="AM53" s="547" t="e">
        <v>#VALUE!</v>
      </c>
      <c r="AN53" s="657"/>
      <c r="AO53" s="546" t="s">
        <v>592</v>
      </c>
      <c r="AP53" s="547" t="s">
        <v>592</v>
      </c>
      <c r="AQ53" s="547" t="s">
        <v>592</v>
      </c>
      <c r="AR53" s="547" t="e">
        <v>#VALUE!</v>
      </c>
      <c r="AS53" s="657"/>
      <c r="AT53" s="546" t="s">
        <v>592</v>
      </c>
      <c r="AU53" s="547" t="s">
        <v>592</v>
      </c>
      <c r="AV53" s="547" t="s">
        <v>592</v>
      </c>
      <c r="AW53" s="547" t="e">
        <v>#VALUE!</v>
      </c>
      <c r="AX53" s="657"/>
      <c r="AZ53" s="379" t="e">
        <f t="shared" si="27"/>
        <v>#N/A</v>
      </c>
      <c r="BA53" s="648"/>
    </row>
    <row r="54" spans="2:53">
      <c r="B54" s="646"/>
      <c r="C54" s="384">
        <v>8</v>
      </c>
      <c r="D54" s="535"/>
      <c r="E54" s="535"/>
      <c r="F54" s="535"/>
      <c r="G54" s="539"/>
      <c r="H54" s="671"/>
      <c r="I54" s="385" t="str">
        <f t="shared" si="24"/>
        <v>-</v>
      </c>
      <c r="J54" s="385" t="str">
        <f t="shared" si="25"/>
        <v>-</v>
      </c>
      <c r="K54" s="199" t="str">
        <f t="shared" si="26"/>
        <v>-</v>
      </c>
      <c r="L54" s="617"/>
      <c r="M54" s="432" t="e">
        <f>RANK(K54, K$47:$K$61)</f>
        <v>#VALUE!</v>
      </c>
      <c r="N54" s="635"/>
      <c r="O54" s="635"/>
      <c r="P54" s="546" t="s">
        <v>592</v>
      </c>
      <c r="Q54" s="547" t="s">
        <v>592</v>
      </c>
      <c r="R54" s="547" t="s">
        <v>592</v>
      </c>
      <c r="S54" s="531"/>
      <c r="T54" s="659"/>
      <c r="U54" s="546" t="s">
        <v>592</v>
      </c>
      <c r="V54" s="547" t="s">
        <v>592</v>
      </c>
      <c r="W54" s="547" t="s">
        <v>592</v>
      </c>
      <c r="X54" s="546"/>
      <c r="Y54" s="659"/>
      <c r="Z54" s="546" t="s">
        <v>592</v>
      </c>
      <c r="AA54" s="547" t="s">
        <v>592</v>
      </c>
      <c r="AB54" s="547" t="s">
        <v>592</v>
      </c>
      <c r="AC54" s="547"/>
      <c r="AD54" s="657"/>
      <c r="AE54" s="546" t="s">
        <v>592</v>
      </c>
      <c r="AF54" s="547" t="s">
        <v>592</v>
      </c>
      <c r="AG54" s="547" t="s">
        <v>592</v>
      </c>
      <c r="AH54" s="547"/>
      <c r="AI54" s="657"/>
      <c r="AJ54" s="546" t="s">
        <v>592</v>
      </c>
      <c r="AK54" s="547" t="s">
        <v>592</v>
      </c>
      <c r="AL54" s="547" t="s">
        <v>592</v>
      </c>
      <c r="AM54" s="547"/>
      <c r="AN54" s="657"/>
      <c r="AO54" s="546" t="s">
        <v>592</v>
      </c>
      <c r="AP54" s="547" t="s">
        <v>592</v>
      </c>
      <c r="AQ54" s="547" t="s">
        <v>592</v>
      </c>
      <c r="AR54" s="547"/>
      <c r="AS54" s="657"/>
      <c r="AT54" s="546" t="s">
        <v>592</v>
      </c>
      <c r="AU54" s="547" t="s">
        <v>592</v>
      </c>
      <c r="AV54" s="547" t="s">
        <v>592</v>
      </c>
      <c r="AW54" s="547"/>
      <c r="AX54" s="657"/>
      <c r="AZ54" s="379"/>
      <c r="BA54" s="648"/>
    </row>
    <row r="55" spans="2:53">
      <c r="B55" s="646"/>
      <c r="C55" s="384">
        <v>9</v>
      </c>
      <c r="D55" s="535"/>
      <c r="E55" s="535"/>
      <c r="F55" s="535"/>
      <c r="G55" s="539"/>
      <c r="H55" s="671"/>
      <c r="I55" s="385" t="str">
        <f t="shared" si="24"/>
        <v>-</v>
      </c>
      <c r="J55" s="385" t="str">
        <f t="shared" si="25"/>
        <v>-</v>
      </c>
      <c r="K55" s="199" t="str">
        <f t="shared" si="26"/>
        <v>-</v>
      </c>
      <c r="L55" s="617"/>
      <c r="M55" s="432" t="e">
        <f>RANK(K55, K$47:$K$61)</f>
        <v>#VALUE!</v>
      </c>
      <c r="N55" s="635"/>
      <c r="O55" s="635"/>
      <c r="P55" s="546" t="s">
        <v>592</v>
      </c>
      <c r="Q55" s="547" t="s">
        <v>592</v>
      </c>
      <c r="R55" s="547" t="s">
        <v>592</v>
      </c>
      <c r="S55" s="531"/>
      <c r="T55" s="659"/>
      <c r="U55" s="546" t="s">
        <v>592</v>
      </c>
      <c r="V55" s="547" t="s">
        <v>592</v>
      </c>
      <c r="W55" s="547" t="s">
        <v>592</v>
      </c>
      <c r="X55" s="546"/>
      <c r="Y55" s="659"/>
      <c r="Z55" s="546" t="s">
        <v>592</v>
      </c>
      <c r="AA55" s="547" t="s">
        <v>592</v>
      </c>
      <c r="AB55" s="547" t="s">
        <v>592</v>
      </c>
      <c r="AC55" s="547"/>
      <c r="AD55" s="657"/>
      <c r="AE55" s="546" t="s">
        <v>592</v>
      </c>
      <c r="AF55" s="547" t="s">
        <v>592</v>
      </c>
      <c r="AG55" s="547" t="s">
        <v>592</v>
      </c>
      <c r="AH55" s="547"/>
      <c r="AI55" s="657"/>
      <c r="AJ55" s="546" t="s">
        <v>592</v>
      </c>
      <c r="AK55" s="547" t="s">
        <v>592</v>
      </c>
      <c r="AL55" s="547" t="s">
        <v>592</v>
      </c>
      <c r="AM55" s="547"/>
      <c r="AN55" s="657"/>
      <c r="AO55" s="546" t="s">
        <v>592</v>
      </c>
      <c r="AP55" s="547" t="s">
        <v>592</v>
      </c>
      <c r="AQ55" s="547" t="s">
        <v>592</v>
      </c>
      <c r="AR55" s="547"/>
      <c r="AS55" s="657"/>
      <c r="AT55" s="546" t="s">
        <v>592</v>
      </c>
      <c r="AU55" s="547" t="s">
        <v>592</v>
      </c>
      <c r="AV55" s="547" t="s">
        <v>592</v>
      </c>
      <c r="AW55" s="547"/>
      <c r="AX55" s="657"/>
      <c r="AZ55" s="379"/>
      <c r="BA55" s="648"/>
    </row>
    <row r="56" spans="2:53">
      <c r="B56" s="646"/>
      <c r="C56" s="384">
        <v>10</v>
      </c>
      <c r="D56" s="535"/>
      <c r="E56" s="535"/>
      <c r="F56" s="535"/>
      <c r="G56" s="539"/>
      <c r="H56" s="671"/>
      <c r="I56" s="385" t="str">
        <f t="shared" si="24"/>
        <v>-</v>
      </c>
      <c r="J56" s="385" t="str">
        <f t="shared" si="25"/>
        <v>-</v>
      </c>
      <c r="K56" s="199" t="str">
        <f t="shared" si="26"/>
        <v>-</v>
      </c>
      <c r="L56" s="617"/>
      <c r="M56" s="432" t="e">
        <f>RANK(K56, K$47:$K$61)</f>
        <v>#VALUE!</v>
      </c>
      <c r="N56" s="635"/>
      <c r="O56" s="635"/>
      <c r="P56" s="546" t="s">
        <v>592</v>
      </c>
      <c r="Q56" s="547" t="s">
        <v>592</v>
      </c>
      <c r="R56" s="547" t="s">
        <v>592</v>
      </c>
      <c r="S56" s="531"/>
      <c r="T56" s="659"/>
      <c r="U56" s="546" t="s">
        <v>592</v>
      </c>
      <c r="V56" s="547" t="s">
        <v>592</v>
      </c>
      <c r="W56" s="547" t="s">
        <v>592</v>
      </c>
      <c r="X56" s="546"/>
      <c r="Y56" s="659"/>
      <c r="Z56" s="546" t="s">
        <v>592</v>
      </c>
      <c r="AA56" s="547" t="s">
        <v>592</v>
      </c>
      <c r="AB56" s="547" t="s">
        <v>592</v>
      </c>
      <c r="AC56" s="547"/>
      <c r="AD56" s="657"/>
      <c r="AE56" s="546" t="s">
        <v>592</v>
      </c>
      <c r="AF56" s="547" t="s">
        <v>592</v>
      </c>
      <c r="AG56" s="547" t="s">
        <v>592</v>
      </c>
      <c r="AH56" s="547"/>
      <c r="AI56" s="657"/>
      <c r="AJ56" s="546" t="s">
        <v>592</v>
      </c>
      <c r="AK56" s="547" t="s">
        <v>592</v>
      </c>
      <c r="AL56" s="547" t="s">
        <v>592</v>
      </c>
      <c r="AM56" s="547"/>
      <c r="AN56" s="657"/>
      <c r="AO56" s="546" t="s">
        <v>592</v>
      </c>
      <c r="AP56" s="547" t="s">
        <v>592</v>
      </c>
      <c r="AQ56" s="547" t="s">
        <v>592</v>
      </c>
      <c r="AR56" s="547"/>
      <c r="AS56" s="657"/>
      <c r="AT56" s="546" t="s">
        <v>592</v>
      </c>
      <c r="AU56" s="547" t="s">
        <v>592</v>
      </c>
      <c r="AV56" s="547" t="s">
        <v>592</v>
      </c>
      <c r="AW56" s="547"/>
      <c r="AX56" s="657"/>
      <c r="AZ56" s="379"/>
      <c r="BA56" s="648"/>
    </row>
    <row r="57" spans="2:53">
      <c r="B57" s="646"/>
      <c r="C57" s="384">
        <v>11</v>
      </c>
      <c r="D57" s="535"/>
      <c r="E57" s="535"/>
      <c r="F57" s="535"/>
      <c r="G57" s="539"/>
      <c r="H57" s="671"/>
      <c r="I57" s="385" t="str">
        <f t="shared" si="24"/>
        <v>-</v>
      </c>
      <c r="J57" s="385" t="str">
        <f t="shared" si="25"/>
        <v>-</v>
      </c>
      <c r="K57" s="199" t="str">
        <f t="shared" si="26"/>
        <v>-</v>
      </c>
      <c r="L57" s="617"/>
      <c r="M57" s="432" t="e">
        <f>RANK(K57, K$47:$K$61)</f>
        <v>#VALUE!</v>
      </c>
      <c r="N57" s="635"/>
      <c r="O57" s="635"/>
      <c r="P57" s="546" t="s">
        <v>592</v>
      </c>
      <c r="Q57" s="547" t="s">
        <v>592</v>
      </c>
      <c r="R57" s="547" t="s">
        <v>592</v>
      </c>
      <c r="S57" s="531"/>
      <c r="T57" s="659"/>
      <c r="U57" s="546" t="s">
        <v>592</v>
      </c>
      <c r="V57" s="547" t="s">
        <v>592</v>
      </c>
      <c r="W57" s="547" t="s">
        <v>592</v>
      </c>
      <c r="X57" s="546"/>
      <c r="Y57" s="659"/>
      <c r="Z57" s="546" t="s">
        <v>592</v>
      </c>
      <c r="AA57" s="547" t="s">
        <v>592</v>
      </c>
      <c r="AB57" s="547" t="s">
        <v>592</v>
      </c>
      <c r="AC57" s="547"/>
      <c r="AD57" s="657"/>
      <c r="AE57" s="546" t="s">
        <v>592</v>
      </c>
      <c r="AF57" s="547" t="s">
        <v>592</v>
      </c>
      <c r="AG57" s="547" t="s">
        <v>592</v>
      </c>
      <c r="AH57" s="547"/>
      <c r="AI57" s="657"/>
      <c r="AJ57" s="546" t="s">
        <v>592</v>
      </c>
      <c r="AK57" s="547" t="s">
        <v>592</v>
      </c>
      <c r="AL57" s="547" t="s">
        <v>592</v>
      </c>
      <c r="AM57" s="547"/>
      <c r="AN57" s="657"/>
      <c r="AO57" s="546" t="s">
        <v>592</v>
      </c>
      <c r="AP57" s="547" t="s">
        <v>592</v>
      </c>
      <c r="AQ57" s="547" t="s">
        <v>592</v>
      </c>
      <c r="AR57" s="547"/>
      <c r="AS57" s="657"/>
      <c r="AT57" s="546" t="s">
        <v>592</v>
      </c>
      <c r="AU57" s="547" t="s">
        <v>592</v>
      </c>
      <c r="AV57" s="547" t="s">
        <v>592</v>
      </c>
      <c r="AW57" s="547"/>
      <c r="AX57" s="657"/>
      <c r="AZ57" s="379"/>
      <c r="BA57" s="648"/>
    </row>
    <row r="58" spans="2:53">
      <c r="B58" s="646"/>
      <c r="C58" s="384">
        <v>12</v>
      </c>
      <c r="D58" s="535"/>
      <c r="E58" s="535"/>
      <c r="F58" s="535"/>
      <c r="G58" s="539"/>
      <c r="H58" s="671"/>
      <c r="I58" s="385" t="str">
        <f t="shared" si="24"/>
        <v>-</v>
      </c>
      <c r="J58" s="385" t="str">
        <f t="shared" si="25"/>
        <v>-</v>
      </c>
      <c r="K58" s="199" t="str">
        <f t="shared" si="26"/>
        <v>-</v>
      </c>
      <c r="L58" s="617"/>
      <c r="M58" s="432" t="e">
        <f>RANK(K58, K$47:$K$61)</f>
        <v>#VALUE!</v>
      </c>
      <c r="N58" s="635"/>
      <c r="O58" s="635"/>
      <c r="P58" s="546" t="s">
        <v>592</v>
      </c>
      <c r="Q58" s="547" t="s">
        <v>592</v>
      </c>
      <c r="R58" s="547" t="s">
        <v>592</v>
      </c>
      <c r="S58" s="531"/>
      <c r="T58" s="659"/>
      <c r="U58" s="546" t="s">
        <v>592</v>
      </c>
      <c r="V58" s="547" t="s">
        <v>592</v>
      </c>
      <c r="W58" s="547" t="s">
        <v>592</v>
      </c>
      <c r="X58" s="546"/>
      <c r="Y58" s="659"/>
      <c r="Z58" s="546" t="s">
        <v>592</v>
      </c>
      <c r="AA58" s="547" t="s">
        <v>592</v>
      </c>
      <c r="AB58" s="547" t="s">
        <v>592</v>
      </c>
      <c r="AC58" s="547"/>
      <c r="AD58" s="657"/>
      <c r="AE58" s="546" t="s">
        <v>592</v>
      </c>
      <c r="AF58" s="547" t="s">
        <v>592</v>
      </c>
      <c r="AG58" s="547" t="s">
        <v>592</v>
      </c>
      <c r="AH58" s="547"/>
      <c r="AI58" s="657"/>
      <c r="AJ58" s="546" t="s">
        <v>592</v>
      </c>
      <c r="AK58" s="547" t="s">
        <v>592</v>
      </c>
      <c r="AL58" s="547" t="s">
        <v>592</v>
      </c>
      <c r="AM58" s="547"/>
      <c r="AN58" s="657"/>
      <c r="AO58" s="546" t="s">
        <v>592</v>
      </c>
      <c r="AP58" s="547" t="s">
        <v>592</v>
      </c>
      <c r="AQ58" s="547" t="s">
        <v>592</v>
      </c>
      <c r="AR58" s="547"/>
      <c r="AS58" s="657"/>
      <c r="AT58" s="546" t="s">
        <v>592</v>
      </c>
      <c r="AU58" s="547" t="s">
        <v>592</v>
      </c>
      <c r="AV58" s="547" t="s">
        <v>592</v>
      </c>
      <c r="AW58" s="547"/>
      <c r="AX58" s="657"/>
      <c r="AZ58" s="379"/>
      <c r="BA58" s="648"/>
    </row>
    <row r="59" spans="2:53">
      <c r="B59" s="646"/>
      <c r="C59" s="384">
        <v>13</v>
      </c>
      <c r="D59" s="535"/>
      <c r="E59" s="535"/>
      <c r="F59" s="535"/>
      <c r="G59" s="539"/>
      <c r="H59" s="671"/>
      <c r="I59" s="385" t="str">
        <f t="shared" si="24"/>
        <v>-</v>
      </c>
      <c r="J59" s="385" t="str">
        <f t="shared" si="25"/>
        <v>-</v>
      </c>
      <c r="K59" s="199" t="str">
        <f t="shared" si="26"/>
        <v>-</v>
      </c>
      <c r="L59" s="617"/>
      <c r="M59" s="432" t="e">
        <f>RANK(K59, K$47:$K$61)</f>
        <v>#VALUE!</v>
      </c>
      <c r="N59" s="635"/>
      <c r="O59" s="635"/>
      <c r="P59" s="546" t="s">
        <v>592</v>
      </c>
      <c r="Q59" s="547" t="s">
        <v>592</v>
      </c>
      <c r="R59" s="547" t="s">
        <v>592</v>
      </c>
      <c r="S59" s="531"/>
      <c r="T59" s="659"/>
      <c r="U59" s="546" t="s">
        <v>592</v>
      </c>
      <c r="V59" s="547" t="s">
        <v>592</v>
      </c>
      <c r="W59" s="547" t="s">
        <v>592</v>
      </c>
      <c r="X59" s="546"/>
      <c r="Y59" s="659"/>
      <c r="Z59" s="546" t="s">
        <v>592</v>
      </c>
      <c r="AA59" s="547" t="s">
        <v>592</v>
      </c>
      <c r="AB59" s="547" t="s">
        <v>592</v>
      </c>
      <c r="AC59" s="547"/>
      <c r="AD59" s="657"/>
      <c r="AE59" s="546" t="s">
        <v>592</v>
      </c>
      <c r="AF59" s="547" t="s">
        <v>592</v>
      </c>
      <c r="AG59" s="547" t="s">
        <v>592</v>
      </c>
      <c r="AH59" s="547"/>
      <c r="AI59" s="657"/>
      <c r="AJ59" s="546" t="s">
        <v>592</v>
      </c>
      <c r="AK59" s="547" t="s">
        <v>592</v>
      </c>
      <c r="AL59" s="547" t="s">
        <v>592</v>
      </c>
      <c r="AM59" s="547"/>
      <c r="AN59" s="657"/>
      <c r="AO59" s="546" t="s">
        <v>592</v>
      </c>
      <c r="AP59" s="547" t="s">
        <v>592</v>
      </c>
      <c r="AQ59" s="547" t="s">
        <v>592</v>
      </c>
      <c r="AR59" s="547"/>
      <c r="AS59" s="657"/>
      <c r="AT59" s="546" t="s">
        <v>592</v>
      </c>
      <c r="AU59" s="547" t="s">
        <v>592</v>
      </c>
      <c r="AV59" s="547" t="s">
        <v>592</v>
      </c>
      <c r="AW59" s="547"/>
      <c r="AX59" s="657"/>
      <c r="AZ59" s="379"/>
      <c r="BA59" s="648"/>
    </row>
    <row r="60" spans="2:53">
      <c r="B60" s="646"/>
      <c r="C60" s="384">
        <v>14</v>
      </c>
      <c r="D60" s="535"/>
      <c r="E60" s="535"/>
      <c r="F60" s="535"/>
      <c r="G60" s="539"/>
      <c r="H60" s="671"/>
      <c r="I60" s="385" t="str">
        <f t="shared" si="24"/>
        <v>-</v>
      </c>
      <c r="J60" s="385" t="str">
        <f t="shared" si="25"/>
        <v>-</v>
      </c>
      <c r="K60" s="199" t="str">
        <f t="shared" si="26"/>
        <v>-</v>
      </c>
      <c r="L60" s="617"/>
      <c r="M60" s="432" t="e">
        <f>RANK(K60, K$47:$K$61)</f>
        <v>#VALUE!</v>
      </c>
      <c r="N60" s="635"/>
      <c r="O60" s="635"/>
      <c r="P60" s="546" t="s">
        <v>592</v>
      </c>
      <c r="Q60" s="547" t="s">
        <v>592</v>
      </c>
      <c r="R60" s="547" t="s">
        <v>592</v>
      </c>
      <c r="S60" s="531"/>
      <c r="T60" s="659"/>
      <c r="U60" s="546" t="s">
        <v>592</v>
      </c>
      <c r="V60" s="547" t="s">
        <v>592</v>
      </c>
      <c r="W60" s="547" t="s">
        <v>592</v>
      </c>
      <c r="X60" s="546"/>
      <c r="Y60" s="659"/>
      <c r="Z60" s="546" t="s">
        <v>592</v>
      </c>
      <c r="AA60" s="547" t="s">
        <v>592</v>
      </c>
      <c r="AB60" s="547" t="s">
        <v>592</v>
      </c>
      <c r="AC60" s="547"/>
      <c r="AD60" s="657"/>
      <c r="AE60" s="546" t="s">
        <v>592</v>
      </c>
      <c r="AF60" s="547" t="s">
        <v>592</v>
      </c>
      <c r="AG60" s="547" t="s">
        <v>592</v>
      </c>
      <c r="AH60" s="547"/>
      <c r="AI60" s="657"/>
      <c r="AJ60" s="546" t="s">
        <v>592</v>
      </c>
      <c r="AK60" s="547" t="s">
        <v>592</v>
      </c>
      <c r="AL60" s="547" t="s">
        <v>592</v>
      </c>
      <c r="AM60" s="547"/>
      <c r="AN60" s="657"/>
      <c r="AO60" s="546" t="s">
        <v>592</v>
      </c>
      <c r="AP60" s="547" t="s">
        <v>592</v>
      </c>
      <c r="AQ60" s="547" t="s">
        <v>592</v>
      </c>
      <c r="AR60" s="547"/>
      <c r="AS60" s="657"/>
      <c r="AT60" s="546" t="s">
        <v>592</v>
      </c>
      <c r="AU60" s="547" t="s">
        <v>592</v>
      </c>
      <c r="AV60" s="547" t="s">
        <v>592</v>
      </c>
      <c r="AW60" s="547"/>
      <c r="AX60" s="657"/>
      <c r="AZ60" s="379"/>
      <c r="BA60" s="648"/>
    </row>
    <row r="61" spans="2:53">
      <c r="B61" s="646"/>
      <c r="C61" s="384">
        <v>15</v>
      </c>
      <c r="D61" s="535"/>
      <c r="E61" s="535"/>
      <c r="F61" s="535"/>
      <c r="G61" s="535"/>
      <c r="H61" s="680"/>
      <c r="I61" s="385" t="str">
        <f t="shared" si="24"/>
        <v>-</v>
      </c>
      <c r="J61" s="385" t="str">
        <f t="shared" si="25"/>
        <v>-</v>
      </c>
      <c r="K61" s="199" t="str">
        <f t="shared" si="26"/>
        <v>-</v>
      </c>
      <c r="L61" s="618"/>
      <c r="M61" s="432" t="e">
        <f>RANK(K61, K$47:$K$61)</f>
        <v>#VALUE!</v>
      </c>
      <c r="N61" s="635"/>
      <c r="O61" s="635"/>
      <c r="P61" s="546" t="s">
        <v>592</v>
      </c>
      <c r="Q61" s="547" t="s">
        <v>592</v>
      </c>
      <c r="R61" s="547" t="s">
        <v>592</v>
      </c>
      <c r="S61" s="531"/>
      <c r="T61" s="659"/>
      <c r="U61" s="546" t="s">
        <v>592</v>
      </c>
      <c r="V61" s="547" t="s">
        <v>592</v>
      </c>
      <c r="W61" s="547" t="s">
        <v>592</v>
      </c>
      <c r="X61" s="546"/>
      <c r="Y61" s="659"/>
      <c r="Z61" s="546" t="s">
        <v>592</v>
      </c>
      <c r="AA61" s="547" t="s">
        <v>592</v>
      </c>
      <c r="AB61" s="547" t="s">
        <v>592</v>
      </c>
      <c r="AC61" s="547"/>
      <c r="AD61" s="657"/>
      <c r="AE61" s="546" t="s">
        <v>592</v>
      </c>
      <c r="AF61" s="547" t="s">
        <v>592</v>
      </c>
      <c r="AG61" s="547" t="s">
        <v>592</v>
      </c>
      <c r="AH61" s="547"/>
      <c r="AI61" s="657"/>
      <c r="AJ61" s="546" t="s">
        <v>592</v>
      </c>
      <c r="AK61" s="547" t="s">
        <v>592</v>
      </c>
      <c r="AL61" s="547" t="s">
        <v>592</v>
      </c>
      <c r="AM61" s="547"/>
      <c r="AN61" s="657"/>
      <c r="AO61" s="546" t="s">
        <v>592</v>
      </c>
      <c r="AP61" s="547" t="s">
        <v>592</v>
      </c>
      <c r="AQ61" s="547" t="s">
        <v>592</v>
      </c>
      <c r="AR61" s="547"/>
      <c r="AS61" s="657"/>
      <c r="AT61" s="546" t="s">
        <v>592</v>
      </c>
      <c r="AU61" s="547" t="s">
        <v>592</v>
      </c>
      <c r="AV61" s="547" t="s">
        <v>592</v>
      </c>
      <c r="AW61" s="547"/>
      <c r="AX61" s="657"/>
      <c r="AZ61" s="379"/>
      <c r="BA61" s="649"/>
    </row>
    <row r="62" spans="2:53" ht="15.75">
      <c r="B62" s="650" t="s">
        <v>162</v>
      </c>
      <c r="C62" s="651"/>
      <c r="D62" s="651"/>
      <c r="E62" s="651"/>
      <c r="F62" s="651"/>
      <c r="G62" s="651"/>
      <c r="H62" s="652"/>
      <c r="I62" s="207"/>
      <c r="J62" s="207"/>
      <c r="K62" s="207"/>
      <c r="L62" s="207"/>
      <c r="M62" s="206"/>
      <c r="N62" s="639" t="s">
        <v>156</v>
      </c>
      <c r="O62" s="639" t="s">
        <v>105</v>
      </c>
      <c r="P62" s="645">
        <f>P42+7</f>
        <v>46224</v>
      </c>
      <c r="Q62" s="646"/>
      <c r="R62" s="646"/>
      <c r="S62" s="646"/>
      <c r="T62" s="646"/>
      <c r="U62" s="642">
        <f>P62+1</f>
        <v>46225</v>
      </c>
      <c r="V62" s="643"/>
      <c r="W62" s="643"/>
      <c r="X62" s="643"/>
      <c r="Y62" s="644"/>
      <c r="Z62" s="642">
        <f>U62+1</f>
        <v>46226</v>
      </c>
      <c r="AA62" s="643"/>
      <c r="AB62" s="643"/>
      <c r="AC62" s="643"/>
      <c r="AD62" s="644"/>
      <c r="AE62" s="642">
        <f>Z62+1</f>
        <v>46227</v>
      </c>
      <c r="AF62" s="643"/>
      <c r="AG62" s="643"/>
      <c r="AH62" s="643"/>
      <c r="AI62" s="644"/>
      <c r="AJ62" s="642">
        <f>AE62+1</f>
        <v>46228</v>
      </c>
      <c r="AK62" s="643"/>
      <c r="AL62" s="643"/>
      <c r="AM62" s="643"/>
      <c r="AN62" s="644"/>
      <c r="AO62" s="642">
        <f>AJ62+1</f>
        <v>46229</v>
      </c>
      <c r="AP62" s="643"/>
      <c r="AQ62" s="643"/>
      <c r="AR62" s="643"/>
      <c r="AS62" s="644"/>
      <c r="AT62" s="642">
        <f>AO62+1</f>
        <v>46230</v>
      </c>
      <c r="AU62" s="643"/>
      <c r="AV62" s="643"/>
      <c r="AW62" s="643"/>
      <c r="AX62" s="644"/>
    </row>
    <row r="63" spans="2:53" ht="15.75">
      <c r="B63" s="653"/>
      <c r="C63" s="653"/>
      <c r="D63" s="653"/>
      <c r="E63" s="653"/>
      <c r="F63" s="653"/>
      <c r="G63" s="653"/>
      <c r="H63" s="653"/>
      <c r="I63" s="204"/>
      <c r="J63" s="204"/>
      <c r="K63" s="204"/>
      <c r="L63" s="204"/>
      <c r="M63" s="205"/>
      <c r="N63" s="641"/>
      <c r="O63" s="641"/>
      <c r="P63" s="645" t="s">
        <v>317</v>
      </c>
      <c r="Q63" s="646"/>
      <c r="R63" s="646"/>
      <c r="S63" s="646"/>
      <c r="T63" s="646"/>
      <c r="U63" s="645" t="s">
        <v>318</v>
      </c>
      <c r="V63" s="646"/>
      <c r="W63" s="646"/>
      <c r="X63" s="646"/>
      <c r="Y63" s="646"/>
      <c r="Z63" s="645" t="s">
        <v>319</v>
      </c>
      <c r="AA63" s="646"/>
      <c r="AB63" s="646"/>
      <c r="AC63" s="646"/>
      <c r="AD63" s="646"/>
      <c r="AE63" s="645" t="s">
        <v>320</v>
      </c>
      <c r="AF63" s="646"/>
      <c r="AG63" s="646"/>
      <c r="AH63" s="646"/>
      <c r="AI63" s="646"/>
      <c r="AJ63" s="645" t="s">
        <v>321</v>
      </c>
      <c r="AK63" s="646"/>
      <c r="AL63" s="646"/>
      <c r="AM63" s="646"/>
      <c r="AN63" s="646"/>
      <c r="AO63" s="645" t="s">
        <v>322</v>
      </c>
      <c r="AP63" s="646"/>
      <c r="AQ63" s="646"/>
      <c r="AR63" s="646"/>
      <c r="AS63" s="646"/>
      <c r="AT63" s="645" t="s">
        <v>323</v>
      </c>
      <c r="AU63" s="646"/>
      <c r="AV63" s="646"/>
      <c r="AW63" s="646"/>
      <c r="AX63" s="646"/>
    </row>
    <row r="64" spans="2:53">
      <c r="B64" s="635" t="s">
        <v>372</v>
      </c>
      <c r="C64" s="635" t="s">
        <v>382</v>
      </c>
      <c r="D64" s="635"/>
      <c r="E64" s="635" t="s">
        <v>373</v>
      </c>
      <c r="F64" s="635"/>
      <c r="G64" s="635"/>
      <c r="H64" s="636" t="s">
        <v>369</v>
      </c>
      <c r="I64" s="635" t="s">
        <v>374</v>
      </c>
      <c r="J64" s="635"/>
      <c r="K64" s="635"/>
      <c r="L64" s="636" t="s">
        <v>369</v>
      </c>
      <c r="M64" s="639" t="s">
        <v>370</v>
      </c>
      <c r="N64" s="635"/>
      <c r="O64" s="635" t="s">
        <v>375</v>
      </c>
      <c r="P64" s="632" t="s">
        <v>371</v>
      </c>
      <c r="Q64" s="633"/>
      <c r="R64" s="633"/>
      <c r="S64" s="634"/>
      <c r="T64" s="635" t="s">
        <v>369</v>
      </c>
      <c r="U64" s="632" t="s">
        <v>371</v>
      </c>
      <c r="V64" s="633"/>
      <c r="W64" s="633"/>
      <c r="X64" s="634"/>
      <c r="Y64" s="635" t="s">
        <v>369</v>
      </c>
      <c r="Z64" s="632" t="s">
        <v>371</v>
      </c>
      <c r="AA64" s="633"/>
      <c r="AB64" s="633"/>
      <c r="AC64" s="634"/>
      <c r="AD64" s="635" t="s">
        <v>369</v>
      </c>
      <c r="AE64" s="632" t="s">
        <v>371</v>
      </c>
      <c r="AF64" s="633"/>
      <c r="AG64" s="633"/>
      <c r="AH64" s="634"/>
      <c r="AI64" s="635" t="s">
        <v>369</v>
      </c>
      <c r="AJ64" s="632" t="s">
        <v>371</v>
      </c>
      <c r="AK64" s="633"/>
      <c r="AL64" s="633"/>
      <c r="AM64" s="634"/>
      <c r="AN64" s="635" t="s">
        <v>369</v>
      </c>
      <c r="AO64" s="632" t="s">
        <v>371</v>
      </c>
      <c r="AP64" s="633"/>
      <c r="AQ64" s="633"/>
      <c r="AR64" s="634"/>
      <c r="AS64" s="635" t="s">
        <v>369</v>
      </c>
      <c r="AT64" s="632" t="s">
        <v>371</v>
      </c>
      <c r="AU64" s="633"/>
      <c r="AV64" s="633"/>
      <c r="AW64" s="634"/>
      <c r="AX64" s="635" t="s">
        <v>369</v>
      </c>
      <c r="BA64" s="635" t="s">
        <v>369</v>
      </c>
    </row>
    <row r="65" spans="2:53">
      <c r="B65" s="635"/>
      <c r="C65" s="635"/>
      <c r="D65" s="635"/>
      <c r="E65" s="635" t="s">
        <v>376</v>
      </c>
      <c r="F65" s="635"/>
      <c r="G65" s="635"/>
      <c r="H65" s="637"/>
      <c r="I65" s="635" t="s">
        <v>376</v>
      </c>
      <c r="J65" s="635"/>
      <c r="K65" s="635"/>
      <c r="L65" s="637"/>
      <c r="M65" s="640"/>
      <c r="N65" s="635"/>
      <c r="O65" s="635"/>
      <c r="P65" s="632" t="s">
        <v>377</v>
      </c>
      <c r="Q65" s="633"/>
      <c r="R65" s="633"/>
      <c r="S65" s="634"/>
      <c r="T65" s="635"/>
      <c r="U65" s="632" t="s">
        <v>377</v>
      </c>
      <c r="V65" s="633"/>
      <c r="W65" s="633"/>
      <c r="X65" s="634"/>
      <c r="Y65" s="635"/>
      <c r="Z65" s="632" t="s">
        <v>377</v>
      </c>
      <c r="AA65" s="633"/>
      <c r="AB65" s="633"/>
      <c r="AC65" s="634"/>
      <c r="AD65" s="635"/>
      <c r="AE65" s="632" t="s">
        <v>377</v>
      </c>
      <c r="AF65" s="633"/>
      <c r="AG65" s="633"/>
      <c r="AH65" s="634"/>
      <c r="AI65" s="635"/>
      <c r="AJ65" s="632" t="s">
        <v>377</v>
      </c>
      <c r="AK65" s="633"/>
      <c r="AL65" s="633"/>
      <c r="AM65" s="634"/>
      <c r="AN65" s="635"/>
      <c r="AO65" s="632" t="s">
        <v>377</v>
      </c>
      <c r="AP65" s="633"/>
      <c r="AQ65" s="633"/>
      <c r="AR65" s="634"/>
      <c r="AS65" s="635"/>
      <c r="AT65" s="632" t="s">
        <v>377</v>
      </c>
      <c r="AU65" s="633"/>
      <c r="AV65" s="633"/>
      <c r="AW65" s="634"/>
      <c r="AX65" s="635"/>
      <c r="BA65" s="635"/>
    </row>
    <row r="66" spans="2:53">
      <c r="B66" s="635"/>
      <c r="C66" s="635"/>
      <c r="D66" s="635"/>
      <c r="E66" s="382" t="s">
        <v>378</v>
      </c>
      <c r="F66" s="382" t="s">
        <v>379</v>
      </c>
      <c r="G66" s="382" t="s">
        <v>380</v>
      </c>
      <c r="H66" s="638"/>
      <c r="I66" s="382" t="s">
        <v>378</v>
      </c>
      <c r="J66" s="382" t="s">
        <v>379</v>
      </c>
      <c r="K66" s="382" t="s">
        <v>380</v>
      </c>
      <c r="L66" s="638"/>
      <c r="M66" s="641"/>
      <c r="N66" s="635"/>
      <c r="O66" s="635"/>
      <c r="P66" s="382" t="s">
        <v>378</v>
      </c>
      <c r="Q66" s="382" t="s">
        <v>379</v>
      </c>
      <c r="R66" s="382" t="s">
        <v>380</v>
      </c>
      <c r="S66" s="382" t="s">
        <v>370</v>
      </c>
      <c r="T66" s="635"/>
      <c r="U66" s="382" t="s">
        <v>378</v>
      </c>
      <c r="V66" s="382" t="s">
        <v>379</v>
      </c>
      <c r="W66" s="382" t="s">
        <v>380</v>
      </c>
      <c r="X66" s="382" t="s">
        <v>370</v>
      </c>
      <c r="Y66" s="635"/>
      <c r="Z66" s="382" t="s">
        <v>378</v>
      </c>
      <c r="AA66" s="382" t="s">
        <v>379</v>
      </c>
      <c r="AB66" s="382" t="s">
        <v>380</v>
      </c>
      <c r="AC66" s="382" t="s">
        <v>370</v>
      </c>
      <c r="AD66" s="635"/>
      <c r="AE66" s="382" t="s">
        <v>378</v>
      </c>
      <c r="AF66" s="382" t="s">
        <v>379</v>
      </c>
      <c r="AG66" s="382" t="s">
        <v>380</v>
      </c>
      <c r="AH66" s="382" t="s">
        <v>370</v>
      </c>
      <c r="AI66" s="635"/>
      <c r="AJ66" s="382" t="s">
        <v>378</v>
      </c>
      <c r="AK66" s="382" t="s">
        <v>379</v>
      </c>
      <c r="AL66" s="382" t="s">
        <v>380</v>
      </c>
      <c r="AM66" s="382" t="s">
        <v>370</v>
      </c>
      <c r="AN66" s="635"/>
      <c r="AO66" s="382" t="s">
        <v>378</v>
      </c>
      <c r="AP66" s="382" t="s">
        <v>379</v>
      </c>
      <c r="AQ66" s="382" t="s">
        <v>380</v>
      </c>
      <c r="AR66" s="382" t="s">
        <v>370</v>
      </c>
      <c r="AS66" s="635"/>
      <c r="AT66" s="382" t="s">
        <v>378</v>
      </c>
      <c r="AU66" s="382" t="s">
        <v>379</v>
      </c>
      <c r="AV66" s="382" t="s">
        <v>380</v>
      </c>
      <c r="AW66" s="382" t="s">
        <v>370</v>
      </c>
      <c r="AX66" s="635"/>
      <c r="AZ66" s="377" t="s">
        <v>370</v>
      </c>
      <c r="BA66" s="635"/>
    </row>
    <row r="67" spans="2:53">
      <c r="B67" s="679" t="s">
        <v>389</v>
      </c>
      <c r="C67" s="384">
        <v>1</v>
      </c>
      <c r="D67" s="533" t="s">
        <v>576</v>
      </c>
      <c r="E67" s="535">
        <v>10</v>
      </c>
      <c r="F67" s="535">
        <v>1500</v>
      </c>
      <c r="G67" s="539">
        <v>150</v>
      </c>
      <c r="H67" s="670">
        <f>AVERAGE(G67:G81)</f>
        <v>127.5</v>
      </c>
      <c r="I67" s="385">
        <f t="shared" ref="I67:I81" si="29">IFERROR(AVERAGE(P67,U67,Z67,AE67,AJ67,AO67,AT67),"-")</f>
        <v>10</v>
      </c>
      <c r="J67" s="385">
        <f t="shared" ref="J67:J81" si="30">IFERROR(AVERAGE(Q67,V67,AA67,AF67,AK67,AP67,AU67),"-")</f>
        <v>1492.7836734693872</v>
      </c>
      <c r="K67" s="199">
        <f t="shared" ref="K67:K81" si="31">IFERROR(AVERAGE(R67,W67,AB67,AG67,AL67,AQ67,AV67),"-")</f>
        <v>149.27836734693872</v>
      </c>
      <c r="L67" s="616">
        <f>IFERROR(AVERAGE(K67:K81),"-")</f>
        <v>148.28257070109544</v>
      </c>
      <c r="M67" s="389">
        <f>RANK(K67, K$67:$K$81)</f>
        <v>1</v>
      </c>
      <c r="N67" s="635"/>
      <c r="O67" s="635"/>
      <c r="P67" s="555">
        <v>10</v>
      </c>
      <c r="Q67" s="556">
        <v>1545.9999999999973</v>
      </c>
      <c r="R67" s="556">
        <v>154.59999999999974</v>
      </c>
      <c r="S67" s="557">
        <f t="shared" ref="S67:S81" si="32">RANK(R67, R$67:R$81)</f>
        <v>1</v>
      </c>
      <c r="T67" s="647">
        <f t="shared" ref="T67" si="33">AVERAGE(R67:R81)</f>
        <v>152.00565476190476</v>
      </c>
      <c r="U67" s="555">
        <v>10</v>
      </c>
      <c r="V67" s="556">
        <v>1542.0000000000014</v>
      </c>
      <c r="W67" s="556">
        <v>154.20000000000013</v>
      </c>
      <c r="X67" s="557">
        <f t="shared" ref="X67:X81" si="34">RANK(W67, W$67:W$81)</f>
        <v>1</v>
      </c>
      <c r="Y67" s="647">
        <f t="shared" ref="Y67" si="35">AVERAGE(W67:W81)</f>
        <v>152.30993589743599</v>
      </c>
      <c r="Z67" s="555">
        <v>10</v>
      </c>
      <c r="AA67" s="556">
        <v>1507.9999999999975</v>
      </c>
      <c r="AB67" s="556">
        <v>150.79999999999976</v>
      </c>
      <c r="AC67" s="557">
        <f t="shared" ref="AC67:AC81" si="36">RANK(AB67, AB$67:AB$81)</f>
        <v>4</v>
      </c>
      <c r="AD67" s="647">
        <f t="shared" ref="AD67" si="37">AVERAGE(AB67:AB81)</f>
        <v>154.90352564102565</v>
      </c>
      <c r="AE67" s="555">
        <v>10</v>
      </c>
      <c r="AF67" s="556">
        <v>1336.0000000000011</v>
      </c>
      <c r="AG67" s="556">
        <v>133.60000000000011</v>
      </c>
      <c r="AH67" s="557">
        <f t="shared" ref="AH67:AH81" si="38">RANK(AG67, AG$67:AG$81)</f>
        <v>4</v>
      </c>
      <c r="AI67" s="647">
        <f t="shared" ref="AI67" si="39">AVERAGE(AG67:AG81)</f>
        <v>147.92344497607644</v>
      </c>
      <c r="AJ67" s="555">
        <v>10</v>
      </c>
      <c r="AK67" s="556">
        <v>1543.1999999999957</v>
      </c>
      <c r="AL67" s="556">
        <v>154.31999999999957</v>
      </c>
      <c r="AM67" s="557">
        <f t="shared" ref="AM67:AM81" si="40">RANK(AL67, AL$67:AL$81)</f>
        <v>1</v>
      </c>
      <c r="AN67" s="647">
        <f t="shared" ref="AN67" si="41">AVERAGE(AL67:AL81)</f>
        <v>143.96636363636347</v>
      </c>
      <c r="AO67" s="555">
        <v>10</v>
      </c>
      <c r="AP67" s="556">
        <v>1596.0000000000016</v>
      </c>
      <c r="AQ67" s="556">
        <v>159.60000000000016</v>
      </c>
      <c r="AR67" s="557">
        <f t="shared" ref="AR67:AR81" si="42">RANK(AQ67, AQ$67:AQ$81)</f>
        <v>1</v>
      </c>
      <c r="AS67" s="647">
        <f t="shared" ref="AS67" si="43">AVERAGE(AQ67:AQ81)</f>
        <v>150.20256410256417</v>
      </c>
      <c r="AT67" s="555">
        <v>10</v>
      </c>
      <c r="AU67" s="556">
        <v>1378.285714285716</v>
      </c>
      <c r="AV67" s="556">
        <v>137.82857142857159</v>
      </c>
      <c r="AW67" s="557">
        <f t="shared" ref="AW67:AW81" si="44">RANK(AV67, AV$67:AV$81)</f>
        <v>1</v>
      </c>
      <c r="AX67" s="647">
        <f t="shared" ref="AX67" si="45">AVERAGE(AV67:AV81)</f>
        <v>136.66650589229769</v>
      </c>
      <c r="AZ67" s="379" t="e">
        <f t="shared" ref="AZ67:AZ81" si="46">RANK(AY67, AY$67:AY$81)</f>
        <v>#N/A</v>
      </c>
      <c r="BA67" s="647" t="e">
        <f t="shared" ref="BA67" si="47">AVERAGE(AY67:AY81)</f>
        <v>#DIV/0!</v>
      </c>
    </row>
    <row r="68" spans="2:53">
      <c r="B68" s="646"/>
      <c r="C68" s="384">
        <v>2</v>
      </c>
      <c r="D68" s="535" t="s">
        <v>599</v>
      </c>
      <c r="E68" s="535">
        <v>15</v>
      </c>
      <c r="F68" s="535">
        <v>1800</v>
      </c>
      <c r="G68" s="539">
        <v>120</v>
      </c>
      <c r="H68" s="671"/>
      <c r="I68" s="385">
        <f t="shared" si="29"/>
        <v>12.142857142857142</v>
      </c>
      <c r="J68" s="385">
        <f t="shared" si="30"/>
        <v>1807.7507635221918</v>
      </c>
      <c r="K68" s="199">
        <f t="shared" si="31"/>
        <v>149.01402882831454</v>
      </c>
      <c r="L68" s="617"/>
      <c r="M68" s="436">
        <f>RANK(K68, K$67:$K$81)</f>
        <v>2</v>
      </c>
      <c r="N68" s="635"/>
      <c r="O68" s="635"/>
      <c r="P68" s="555">
        <v>12</v>
      </c>
      <c r="Q68" s="556">
        <v>1790.5714285714309</v>
      </c>
      <c r="R68" s="556">
        <v>149.21428571428592</v>
      </c>
      <c r="S68" s="557">
        <f t="shared" si="32"/>
        <v>4</v>
      </c>
      <c r="T68" s="648"/>
      <c r="U68" s="555">
        <v>12</v>
      </c>
      <c r="V68" s="556">
        <v>1847.0769230769226</v>
      </c>
      <c r="W68" s="556">
        <v>153.92307692307688</v>
      </c>
      <c r="X68" s="557">
        <f t="shared" si="34"/>
        <v>2</v>
      </c>
      <c r="Y68" s="648"/>
      <c r="Z68" s="555">
        <v>12</v>
      </c>
      <c r="AA68" s="556">
        <v>1854.4615384615381</v>
      </c>
      <c r="AB68" s="556">
        <v>154.53846153846152</v>
      </c>
      <c r="AC68" s="557">
        <f t="shared" si="36"/>
        <v>3</v>
      </c>
      <c r="AD68" s="648"/>
      <c r="AE68" s="555">
        <v>12</v>
      </c>
      <c r="AF68" s="556">
        <v>1851.2727272727284</v>
      </c>
      <c r="AG68" s="556">
        <v>154.27272727272737</v>
      </c>
      <c r="AH68" s="557">
        <f t="shared" si="38"/>
        <v>2</v>
      </c>
      <c r="AI68" s="648"/>
      <c r="AJ68" s="555">
        <v>12</v>
      </c>
      <c r="AK68" s="556">
        <v>1791.2727272727259</v>
      </c>
      <c r="AL68" s="556">
        <v>149.27272727272717</v>
      </c>
      <c r="AM68" s="557">
        <f t="shared" si="40"/>
        <v>3</v>
      </c>
      <c r="AN68" s="648"/>
      <c r="AO68" s="555">
        <v>12</v>
      </c>
      <c r="AP68" s="556">
        <v>1737.5999999999988</v>
      </c>
      <c r="AQ68" s="556">
        <v>144.7999999999999</v>
      </c>
      <c r="AR68" s="557">
        <f t="shared" si="42"/>
        <v>3</v>
      </c>
      <c r="AS68" s="648"/>
      <c r="AT68" s="555">
        <v>13</v>
      </c>
      <c r="AU68" s="556">
        <v>1781.9999999999982</v>
      </c>
      <c r="AV68" s="556">
        <v>137.07692307692292</v>
      </c>
      <c r="AW68" s="557">
        <f t="shared" si="44"/>
        <v>2</v>
      </c>
      <c r="AX68" s="648"/>
      <c r="AZ68" s="379" t="e">
        <f t="shared" si="46"/>
        <v>#N/A</v>
      </c>
      <c r="BA68" s="648"/>
    </row>
    <row r="69" spans="2:53">
      <c r="B69" s="646"/>
      <c r="C69" s="384">
        <v>3</v>
      </c>
      <c r="D69" s="535" t="s">
        <v>600</v>
      </c>
      <c r="E69" s="535">
        <v>15</v>
      </c>
      <c r="F69" s="535">
        <v>1800</v>
      </c>
      <c r="G69" s="539">
        <v>120</v>
      </c>
      <c r="H69" s="671"/>
      <c r="I69" s="385">
        <f t="shared" si="29"/>
        <v>12.142857142857142</v>
      </c>
      <c r="J69" s="385">
        <f t="shared" si="30"/>
        <v>1806.641758241758</v>
      </c>
      <c r="K69" s="199">
        <f t="shared" si="31"/>
        <v>148.93555931248235</v>
      </c>
      <c r="L69" s="617"/>
      <c r="M69" s="436">
        <f>RANK(K69, K$67:$K$81)</f>
        <v>3</v>
      </c>
      <c r="N69" s="635"/>
      <c r="O69" s="635"/>
      <c r="P69" s="555">
        <v>12</v>
      </c>
      <c r="Q69" s="556">
        <v>1824.0000000000018</v>
      </c>
      <c r="R69" s="556">
        <v>152.00000000000014</v>
      </c>
      <c r="S69" s="557">
        <f t="shared" si="32"/>
        <v>3</v>
      </c>
      <c r="T69" s="648"/>
      <c r="U69" s="555">
        <v>12</v>
      </c>
      <c r="V69" s="556">
        <v>1819.0000000000016</v>
      </c>
      <c r="W69" s="556">
        <v>151.58333333333346</v>
      </c>
      <c r="X69" s="557">
        <f t="shared" si="34"/>
        <v>3</v>
      </c>
      <c r="Y69" s="648"/>
      <c r="Z69" s="555">
        <v>12</v>
      </c>
      <c r="AA69" s="556">
        <v>1855.0000000000018</v>
      </c>
      <c r="AB69" s="556">
        <v>154.58333333333348</v>
      </c>
      <c r="AC69" s="557">
        <f t="shared" si="36"/>
        <v>2</v>
      </c>
      <c r="AD69" s="648"/>
      <c r="AE69" s="555">
        <v>12</v>
      </c>
      <c r="AF69" s="556">
        <v>1852.7999999999947</v>
      </c>
      <c r="AG69" s="556">
        <v>154.39999999999955</v>
      </c>
      <c r="AH69" s="557">
        <f t="shared" si="38"/>
        <v>1</v>
      </c>
      <c r="AI69" s="648"/>
      <c r="AJ69" s="555">
        <v>12</v>
      </c>
      <c r="AK69" s="556">
        <v>1799.9999999999977</v>
      </c>
      <c r="AL69" s="556">
        <v>149.9999999999998</v>
      </c>
      <c r="AM69" s="557">
        <f t="shared" si="40"/>
        <v>2</v>
      </c>
      <c r="AN69" s="648"/>
      <c r="AO69" s="555">
        <v>12</v>
      </c>
      <c r="AP69" s="556">
        <v>1728.923076923079</v>
      </c>
      <c r="AQ69" s="556">
        <v>144.07692307692324</v>
      </c>
      <c r="AR69" s="557">
        <f t="shared" si="42"/>
        <v>4</v>
      </c>
      <c r="AS69" s="648"/>
      <c r="AT69" s="555">
        <v>13</v>
      </c>
      <c r="AU69" s="556">
        <v>1766.7692307692284</v>
      </c>
      <c r="AV69" s="556">
        <v>135.90532544378681</v>
      </c>
      <c r="AW69" s="557">
        <f t="shared" si="44"/>
        <v>3</v>
      </c>
      <c r="AX69" s="648"/>
      <c r="AZ69" s="379" t="e">
        <f t="shared" si="46"/>
        <v>#N/A</v>
      </c>
      <c r="BA69" s="648"/>
    </row>
    <row r="70" spans="2:53">
      <c r="B70" s="646"/>
      <c r="C70" s="384">
        <v>4</v>
      </c>
      <c r="D70" s="535" t="s">
        <v>773</v>
      </c>
      <c r="E70" s="535">
        <v>18</v>
      </c>
      <c r="F70" s="535">
        <v>1800</v>
      </c>
      <c r="G70" s="539">
        <v>120</v>
      </c>
      <c r="H70" s="671"/>
      <c r="I70" s="385">
        <f t="shared" si="29"/>
        <v>12.142857142857142</v>
      </c>
      <c r="J70" s="385">
        <f t="shared" si="30"/>
        <v>1770.2358140311705</v>
      </c>
      <c r="K70" s="199">
        <f t="shared" si="31"/>
        <v>145.90232731664622</v>
      </c>
      <c r="L70" s="617"/>
      <c r="M70" s="436">
        <f>RANK(K70, K$67:$K$81)</f>
        <v>4</v>
      </c>
      <c r="N70" s="635"/>
      <c r="O70" s="635"/>
      <c r="P70" s="555">
        <v>12</v>
      </c>
      <c r="Q70" s="556">
        <v>1826.4999999999991</v>
      </c>
      <c r="R70" s="556">
        <v>152.20833333333326</v>
      </c>
      <c r="S70" s="557">
        <f t="shared" si="32"/>
        <v>2</v>
      </c>
      <c r="T70" s="648"/>
      <c r="U70" s="555">
        <v>12</v>
      </c>
      <c r="V70" s="556">
        <v>1794.4000000000028</v>
      </c>
      <c r="W70" s="556">
        <v>149.53333333333356</v>
      </c>
      <c r="X70" s="557">
        <f t="shared" si="34"/>
        <v>4</v>
      </c>
      <c r="Y70" s="648"/>
      <c r="Z70" s="555">
        <v>12</v>
      </c>
      <c r="AA70" s="556">
        <v>1916.3076923076944</v>
      </c>
      <c r="AB70" s="556">
        <v>159.69230769230788</v>
      </c>
      <c r="AC70" s="557">
        <f t="shared" si="36"/>
        <v>1</v>
      </c>
      <c r="AD70" s="648"/>
      <c r="AE70" s="555">
        <v>12</v>
      </c>
      <c r="AF70" s="556">
        <v>1793.0526315789446</v>
      </c>
      <c r="AG70" s="556">
        <v>149.4210526315787</v>
      </c>
      <c r="AH70" s="557">
        <f t="shared" si="38"/>
        <v>3</v>
      </c>
      <c r="AI70" s="648"/>
      <c r="AJ70" s="555">
        <v>12</v>
      </c>
      <c r="AK70" s="556">
        <v>1467.2727272727282</v>
      </c>
      <c r="AL70" s="556">
        <v>122.27272727272735</v>
      </c>
      <c r="AM70" s="557">
        <f t="shared" si="40"/>
        <v>4</v>
      </c>
      <c r="AN70" s="648"/>
      <c r="AO70" s="555">
        <v>12</v>
      </c>
      <c r="AP70" s="556">
        <v>1828.0000000000009</v>
      </c>
      <c r="AQ70" s="556">
        <v>152.3333333333334</v>
      </c>
      <c r="AR70" s="557">
        <f t="shared" si="42"/>
        <v>2</v>
      </c>
      <c r="AS70" s="648"/>
      <c r="AT70" s="555">
        <v>13</v>
      </c>
      <c r="AU70" s="556">
        <v>1766.1176470588232</v>
      </c>
      <c r="AV70" s="556">
        <v>135.85520361990947</v>
      </c>
      <c r="AW70" s="557">
        <f t="shared" si="44"/>
        <v>4</v>
      </c>
      <c r="AX70" s="648"/>
      <c r="AZ70" s="379" t="e">
        <f t="shared" si="46"/>
        <v>#N/A</v>
      </c>
      <c r="BA70" s="648"/>
    </row>
    <row r="71" spans="2:53">
      <c r="B71" s="646"/>
      <c r="C71" s="384">
        <v>5</v>
      </c>
      <c r="D71" s="535"/>
      <c r="E71" s="535"/>
      <c r="F71" s="535"/>
      <c r="G71" s="539"/>
      <c r="H71" s="671"/>
      <c r="I71" s="385" t="str">
        <f t="shared" si="29"/>
        <v>-</v>
      </c>
      <c r="J71" s="385" t="str">
        <f t="shared" si="30"/>
        <v>-</v>
      </c>
      <c r="K71" s="199" t="str">
        <f t="shared" si="31"/>
        <v>-</v>
      </c>
      <c r="L71" s="617"/>
      <c r="M71" s="436" t="e">
        <f>RANK(K71, K$67:$K$81)</f>
        <v>#VALUE!</v>
      </c>
      <c r="N71" s="635"/>
      <c r="O71" s="635"/>
      <c r="P71" s="555" t="s">
        <v>592</v>
      </c>
      <c r="Q71" s="556" t="s">
        <v>592</v>
      </c>
      <c r="R71" s="556" t="s">
        <v>592</v>
      </c>
      <c r="S71" s="557" t="e">
        <f t="shared" si="32"/>
        <v>#VALUE!</v>
      </c>
      <c r="T71" s="648"/>
      <c r="U71" s="555" t="s">
        <v>592</v>
      </c>
      <c r="V71" s="556" t="s">
        <v>592</v>
      </c>
      <c r="W71" s="556" t="s">
        <v>592</v>
      </c>
      <c r="X71" s="557" t="e">
        <f t="shared" si="34"/>
        <v>#VALUE!</v>
      </c>
      <c r="Y71" s="648"/>
      <c r="Z71" s="555" t="s">
        <v>592</v>
      </c>
      <c r="AA71" s="556" t="s">
        <v>592</v>
      </c>
      <c r="AB71" s="556" t="s">
        <v>592</v>
      </c>
      <c r="AC71" s="557" t="e">
        <f t="shared" si="36"/>
        <v>#VALUE!</v>
      </c>
      <c r="AD71" s="648"/>
      <c r="AE71" s="555" t="s">
        <v>592</v>
      </c>
      <c r="AF71" s="556" t="s">
        <v>592</v>
      </c>
      <c r="AG71" s="556" t="s">
        <v>592</v>
      </c>
      <c r="AH71" s="557" t="e">
        <f t="shared" si="38"/>
        <v>#VALUE!</v>
      </c>
      <c r="AI71" s="648"/>
      <c r="AJ71" s="555" t="s">
        <v>592</v>
      </c>
      <c r="AK71" s="556" t="s">
        <v>592</v>
      </c>
      <c r="AL71" s="556" t="s">
        <v>592</v>
      </c>
      <c r="AM71" s="557" t="e">
        <f t="shared" si="40"/>
        <v>#VALUE!</v>
      </c>
      <c r="AN71" s="648"/>
      <c r="AO71" s="555" t="s">
        <v>592</v>
      </c>
      <c r="AP71" s="556" t="s">
        <v>592</v>
      </c>
      <c r="AQ71" s="556" t="s">
        <v>592</v>
      </c>
      <c r="AR71" s="557" t="e">
        <f t="shared" si="42"/>
        <v>#VALUE!</v>
      </c>
      <c r="AS71" s="648"/>
      <c r="AT71" s="555" t="s">
        <v>592</v>
      </c>
      <c r="AU71" s="556" t="s">
        <v>592</v>
      </c>
      <c r="AV71" s="556" t="s">
        <v>592</v>
      </c>
      <c r="AW71" s="557" t="e">
        <f t="shared" si="44"/>
        <v>#VALUE!</v>
      </c>
      <c r="AX71" s="648"/>
      <c r="AZ71" s="379" t="e">
        <f t="shared" si="46"/>
        <v>#N/A</v>
      </c>
      <c r="BA71" s="648"/>
    </row>
    <row r="72" spans="2:53">
      <c r="B72" s="646"/>
      <c r="C72" s="384">
        <v>6</v>
      </c>
      <c r="D72" s="535"/>
      <c r="E72" s="535"/>
      <c r="F72" s="535"/>
      <c r="G72" s="539"/>
      <c r="H72" s="671"/>
      <c r="I72" s="385" t="str">
        <f t="shared" si="29"/>
        <v>-</v>
      </c>
      <c r="J72" s="385" t="str">
        <f t="shared" si="30"/>
        <v>-</v>
      </c>
      <c r="K72" s="199" t="str">
        <f t="shared" si="31"/>
        <v>-</v>
      </c>
      <c r="L72" s="617"/>
      <c r="M72" s="436" t="e">
        <f>RANK(K72, K$67:$K$81)</f>
        <v>#VALUE!</v>
      </c>
      <c r="N72" s="635"/>
      <c r="O72" s="635"/>
      <c r="P72" s="555" t="s">
        <v>592</v>
      </c>
      <c r="Q72" s="556" t="s">
        <v>592</v>
      </c>
      <c r="R72" s="556" t="s">
        <v>592</v>
      </c>
      <c r="S72" s="557" t="e">
        <f t="shared" si="32"/>
        <v>#VALUE!</v>
      </c>
      <c r="T72" s="648"/>
      <c r="U72" s="555" t="s">
        <v>592</v>
      </c>
      <c r="V72" s="556" t="s">
        <v>592</v>
      </c>
      <c r="W72" s="556" t="s">
        <v>592</v>
      </c>
      <c r="X72" s="557" t="e">
        <f t="shared" si="34"/>
        <v>#VALUE!</v>
      </c>
      <c r="Y72" s="648"/>
      <c r="Z72" s="555" t="s">
        <v>592</v>
      </c>
      <c r="AA72" s="556" t="s">
        <v>592</v>
      </c>
      <c r="AB72" s="556" t="s">
        <v>592</v>
      </c>
      <c r="AC72" s="557" t="e">
        <f t="shared" si="36"/>
        <v>#VALUE!</v>
      </c>
      <c r="AD72" s="648"/>
      <c r="AE72" s="555" t="s">
        <v>592</v>
      </c>
      <c r="AF72" s="556" t="s">
        <v>592</v>
      </c>
      <c r="AG72" s="556" t="s">
        <v>592</v>
      </c>
      <c r="AH72" s="557" t="e">
        <f t="shared" si="38"/>
        <v>#VALUE!</v>
      </c>
      <c r="AI72" s="648"/>
      <c r="AJ72" s="555" t="s">
        <v>592</v>
      </c>
      <c r="AK72" s="556" t="s">
        <v>592</v>
      </c>
      <c r="AL72" s="556" t="s">
        <v>592</v>
      </c>
      <c r="AM72" s="557" t="e">
        <f t="shared" si="40"/>
        <v>#VALUE!</v>
      </c>
      <c r="AN72" s="648"/>
      <c r="AO72" s="555" t="s">
        <v>592</v>
      </c>
      <c r="AP72" s="556" t="s">
        <v>592</v>
      </c>
      <c r="AQ72" s="556" t="s">
        <v>592</v>
      </c>
      <c r="AR72" s="557" t="e">
        <f t="shared" si="42"/>
        <v>#VALUE!</v>
      </c>
      <c r="AS72" s="648"/>
      <c r="AT72" s="555" t="s">
        <v>592</v>
      </c>
      <c r="AU72" s="556" t="s">
        <v>592</v>
      </c>
      <c r="AV72" s="556" t="s">
        <v>592</v>
      </c>
      <c r="AW72" s="557" t="e">
        <f t="shared" si="44"/>
        <v>#VALUE!</v>
      </c>
      <c r="AX72" s="648"/>
      <c r="AZ72" s="379" t="e">
        <f t="shared" si="46"/>
        <v>#N/A</v>
      </c>
      <c r="BA72" s="648"/>
    </row>
    <row r="73" spans="2:53">
      <c r="B73" s="646"/>
      <c r="C73" s="384">
        <v>7</v>
      </c>
      <c r="D73" s="535"/>
      <c r="E73" s="535"/>
      <c r="F73" s="535"/>
      <c r="G73" s="539"/>
      <c r="H73" s="671"/>
      <c r="I73" s="385" t="str">
        <f t="shared" si="29"/>
        <v>-</v>
      </c>
      <c r="J73" s="385" t="str">
        <f t="shared" si="30"/>
        <v>-</v>
      </c>
      <c r="K73" s="199" t="str">
        <f t="shared" si="31"/>
        <v>-</v>
      </c>
      <c r="L73" s="617"/>
      <c r="M73" s="436" t="e">
        <f>RANK(K73, K$67:$K$81)</f>
        <v>#VALUE!</v>
      </c>
      <c r="N73" s="635"/>
      <c r="O73" s="635"/>
      <c r="P73" s="555" t="s">
        <v>592</v>
      </c>
      <c r="Q73" s="556" t="s">
        <v>592</v>
      </c>
      <c r="R73" s="556" t="s">
        <v>592</v>
      </c>
      <c r="S73" s="557" t="e">
        <f t="shared" si="32"/>
        <v>#VALUE!</v>
      </c>
      <c r="T73" s="648"/>
      <c r="U73" s="555" t="s">
        <v>592</v>
      </c>
      <c r="V73" s="556" t="s">
        <v>592</v>
      </c>
      <c r="W73" s="556" t="s">
        <v>592</v>
      </c>
      <c r="X73" s="557" t="e">
        <f t="shared" si="34"/>
        <v>#VALUE!</v>
      </c>
      <c r="Y73" s="648"/>
      <c r="Z73" s="555" t="s">
        <v>592</v>
      </c>
      <c r="AA73" s="556" t="s">
        <v>592</v>
      </c>
      <c r="AB73" s="556" t="s">
        <v>592</v>
      </c>
      <c r="AC73" s="557" t="e">
        <f t="shared" si="36"/>
        <v>#VALUE!</v>
      </c>
      <c r="AD73" s="648"/>
      <c r="AE73" s="555" t="s">
        <v>592</v>
      </c>
      <c r="AF73" s="556" t="s">
        <v>592</v>
      </c>
      <c r="AG73" s="556" t="s">
        <v>592</v>
      </c>
      <c r="AH73" s="557" t="e">
        <f t="shared" si="38"/>
        <v>#VALUE!</v>
      </c>
      <c r="AI73" s="648"/>
      <c r="AJ73" s="555" t="s">
        <v>592</v>
      </c>
      <c r="AK73" s="556" t="s">
        <v>592</v>
      </c>
      <c r="AL73" s="556" t="s">
        <v>592</v>
      </c>
      <c r="AM73" s="557" t="e">
        <f t="shared" si="40"/>
        <v>#VALUE!</v>
      </c>
      <c r="AN73" s="648"/>
      <c r="AO73" s="555" t="s">
        <v>592</v>
      </c>
      <c r="AP73" s="556" t="s">
        <v>592</v>
      </c>
      <c r="AQ73" s="556" t="s">
        <v>592</v>
      </c>
      <c r="AR73" s="557" t="e">
        <f t="shared" si="42"/>
        <v>#VALUE!</v>
      </c>
      <c r="AS73" s="648"/>
      <c r="AT73" s="555" t="s">
        <v>592</v>
      </c>
      <c r="AU73" s="556" t="s">
        <v>592</v>
      </c>
      <c r="AV73" s="556" t="s">
        <v>592</v>
      </c>
      <c r="AW73" s="557" t="e">
        <f t="shared" si="44"/>
        <v>#VALUE!</v>
      </c>
      <c r="AX73" s="648"/>
      <c r="AZ73" s="379" t="e">
        <f t="shared" si="46"/>
        <v>#N/A</v>
      </c>
      <c r="BA73" s="648"/>
    </row>
    <row r="74" spans="2:53">
      <c r="B74" s="646"/>
      <c r="C74" s="384">
        <v>8</v>
      </c>
      <c r="D74" s="535"/>
      <c r="E74" s="535"/>
      <c r="F74" s="535"/>
      <c r="G74" s="539"/>
      <c r="H74" s="671"/>
      <c r="I74" s="385" t="str">
        <f t="shared" si="29"/>
        <v>-</v>
      </c>
      <c r="J74" s="385" t="str">
        <f t="shared" si="30"/>
        <v>-</v>
      </c>
      <c r="K74" s="199" t="str">
        <f t="shared" si="31"/>
        <v>-</v>
      </c>
      <c r="L74" s="617"/>
      <c r="M74" s="436" t="e">
        <f>RANK(K74, K$67:$K$81)</f>
        <v>#VALUE!</v>
      </c>
      <c r="N74" s="635"/>
      <c r="O74" s="635"/>
      <c r="P74" s="555" t="s">
        <v>592</v>
      </c>
      <c r="Q74" s="556" t="s">
        <v>592</v>
      </c>
      <c r="R74" s="556" t="s">
        <v>592</v>
      </c>
      <c r="S74" s="557" t="e">
        <f t="shared" si="32"/>
        <v>#VALUE!</v>
      </c>
      <c r="T74" s="648"/>
      <c r="U74" s="555" t="s">
        <v>592</v>
      </c>
      <c r="V74" s="556" t="s">
        <v>592</v>
      </c>
      <c r="W74" s="556" t="s">
        <v>592</v>
      </c>
      <c r="X74" s="557" t="e">
        <f t="shared" si="34"/>
        <v>#VALUE!</v>
      </c>
      <c r="Y74" s="648"/>
      <c r="Z74" s="555" t="s">
        <v>592</v>
      </c>
      <c r="AA74" s="556" t="s">
        <v>592</v>
      </c>
      <c r="AB74" s="556" t="s">
        <v>592</v>
      </c>
      <c r="AC74" s="557" t="e">
        <f t="shared" si="36"/>
        <v>#VALUE!</v>
      </c>
      <c r="AD74" s="648"/>
      <c r="AE74" s="555" t="s">
        <v>592</v>
      </c>
      <c r="AF74" s="556" t="s">
        <v>592</v>
      </c>
      <c r="AG74" s="556" t="s">
        <v>592</v>
      </c>
      <c r="AH74" s="557" t="e">
        <f t="shared" si="38"/>
        <v>#VALUE!</v>
      </c>
      <c r="AI74" s="648"/>
      <c r="AJ74" s="555" t="s">
        <v>592</v>
      </c>
      <c r="AK74" s="556" t="s">
        <v>592</v>
      </c>
      <c r="AL74" s="556" t="s">
        <v>592</v>
      </c>
      <c r="AM74" s="557" t="e">
        <f t="shared" si="40"/>
        <v>#VALUE!</v>
      </c>
      <c r="AN74" s="648"/>
      <c r="AO74" s="555" t="s">
        <v>592</v>
      </c>
      <c r="AP74" s="556" t="s">
        <v>592</v>
      </c>
      <c r="AQ74" s="556" t="s">
        <v>592</v>
      </c>
      <c r="AR74" s="557" t="e">
        <f t="shared" si="42"/>
        <v>#VALUE!</v>
      </c>
      <c r="AS74" s="648"/>
      <c r="AT74" s="555" t="s">
        <v>592</v>
      </c>
      <c r="AU74" s="556" t="s">
        <v>592</v>
      </c>
      <c r="AV74" s="556" t="s">
        <v>592</v>
      </c>
      <c r="AW74" s="557" t="e">
        <f t="shared" si="44"/>
        <v>#VALUE!</v>
      </c>
      <c r="AX74" s="648"/>
      <c r="AZ74" s="379" t="e">
        <f t="shared" si="46"/>
        <v>#N/A</v>
      </c>
      <c r="BA74" s="648"/>
    </row>
    <row r="75" spans="2:53">
      <c r="B75" s="646"/>
      <c r="C75" s="384">
        <v>9</v>
      </c>
      <c r="D75" s="535"/>
      <c r="E75" s="535"/>
      <c r="F75" s="535"/>
      <c r="G75" s="539"/>
      <c r="H75" s="671"/>
      <c r="I75" s="385" t="str">
        <f t="shared" si="29"/>
        <v>-</v>
      </c>
      <c r="J75" s="385" t="str">
        <f t="shared" si="30"/>
        <v>-</v>
      </c>
      <c r="K75" s="199" t="str">
        <f t="shared" si="31"/>
        <v>-</v>
      </c>
      <c r="L75" s="617"/>
      <c r="M75" s="436" t="e">
        <f>RANK(K75, K$67:$K$81)</f>
        <v>#VALUE!</v>
      </c>
      <c r="N75" s="635"/>
      <c r="O75" s="635"/>
      <c r="P75" s="555" t="s">
        <v>592</v>
      </c>
      <c r="Q75" s="556" t="s">
        <v>592</v>
      </c>
      <c r="R75" s="556" t="s">
        <v>592</v>
      </c>
      <c r="S75" s="557" t="e">
        <f t="shared" si="32"/>
        <v>#VALUE!</v>
      </c>
      <c r="T75" s="648"/>
      <c r="U75" s="555" t="s">
        <v>592</v>
      </c>
      <c r="V75" s="556" t="s">
        <v>592</v>
      </c>
      <c r="W75" s="556" t="s">
        <v>592</v>
      </c>
      <c r="X75" s="557" t="e">
        <f t="shared" si="34"/>
        <v>#VALUE!</v>
      </c>
      <c r="Y75" s="648"/>
      <c r="Z75" s="555" t="s">
        <v>592</v>
      </c>
      <c r="AA75" s="556" t="s">
        <v>592</v>
      </c>
      <c r="AB75" s="556" t="s">
        <v>592</v>
      </c>
      <c r="AC75" s="557" t="e">
        <f t="shared" si="36"/>
        <v>#VALUE!</v>
      </c>
      <c r="AD75" s="648"/>
      <c r="AE75" s="555" t="s">
        <v>592</v>
      </c>
      <c r="AF75" s="556" t="s">
        <v>592</v>
      </c>
      <c r="AG75" s="556" t="s">
        <v>592</v>
      </c>
      <c r="AH75" s="557" t="e">
        <f t="shared" si="38"/>
        <v>#VALUE!</v>
      </c>
      <c r="AI75" s="648"/>
      <c r="AJ75" s="555" t="s">
        <v>592</v>
      </c>
      <c r="AK75" s="556" t="s">
        <v>592</v>
      </c>
      <c r="AL75" s="556" t="s">
        <v>592</v>
      </c>
      <c r="AM75" s="557" t="e">
        <f t="shared" si="40"/>
        <v>#VALUE!</v>
      </c>
      <c r="AN75" s="648"/>
      <c r="AO75" s="555" t="s">
        <v>592</v>
      </c>
      <c r="AP75" s="556" t="s">
        <v>592</v>
      </c>
      <c r="AQ75" s="556" t="s">
        <v>592</v>
      </c>
      <c r="AR75" s="557" t="e">
        <f t="shared" si="42"/>
        <v>#VALUE!</v>
      </c>
      <c r="AS75" s="648"/>
      <c r="AT75" s="555" t="s">
        <v>592</v>
      </c>
      <c r="AU75" s="556" t="s">
        <v>592</v>
      </c>
      <c r="AV75" s="556" t="s">
        <v>592</v>
      </c>
      <c r="AW75" s="557" t="e">
        <f t="shared" si="44"/>
        <v>#VALUE!</v>
      </c>
      <c r="AX75" s="648"/>
      <c r="AZ75" s="379" t="e">
        <f t="shared" si="46"/>
        <v>#N/A</v>
      </c>
      <c r="BA75" s="648"/>
    </row>
    <row r="76" spans="2:53">
      <c r="B76" s="646"/>
      <c r="C76" s="384">
        <v>10</v>
      </c>
      <c r="D76" s="535"/>
      <c r="E76" s="535"/>
      <c r="F76" s="535"/>
      <c r="G76" s="539"/>
      <c r="H76" s="671"/>
      <c r="I76" s="385" t="str">
        <f t="shared" si="29"/>
        <v>-</v>
      </c>
      <c r="J76" s="385" t="str">
        <f t="shared" si="30"/>
        <v>-</v>
      </c>
      <c r="K76" s="199" t="str">
        <f t="shared" si="31"/>
        <v>-</v>
      </c>
      <c r="L76" s="617"/>
      <c r="M76" s="436" t="e">
        <f>RANK(K76, K$67:$K$81)</f>
        <v>#VALUE!</v>
      </c>
      <c r="N76" s="635"/>
      <c r="O76" s="635"/>
      <c r="P76" s="555" t="s">
        <v>592</v>
      </c>
      <c r="Q76" s="556" t="s">
        <v>592</v>
      </c>
      <c r="R76" s="556" t="s">
        <v>592</v>
      </c>
      <c r="S76" s="557" t="e">
        <f t="shared" si="32"/>
        <v>#VALUE!</v>
      </c>
      <c r="T76" s="648"/>
      <c r="U76" s="555" t="s">
        <v>592</v>
      </c>
      <c r="V76" s="556" t="s">
        <v>592</v>
      </c>
      <c r="W76" s="556" t="s">
        <v>592</v>
      </c>
      <c r="X76" s="557" t="e">
        <f t="shared" si="34"/>
        <v>#VALUE!</v>
      </c>
      <c r="Y76" s="648"/>
      <c r="Z76" s="555" t="s">
        <v>592</v>
      </c>
      <c r="AA76" s="556" t="s">
        <v>592</v>
      </c>
      <c r="AB76" s="556" t="s">
        <v>592</v>
      </c>
      <c r="AC76" s="557" t="e">
        <f t="shared" si="36"/>
        <v>#VALUE!</v>
      </c>
      <c r="AD76" s="648"/>
      <c r="AE76" s="555" t="s">
        <v>592</v>
      </c>
      <c r="AF76" s="556" t="s">
        <v>592</v>
      </c>
      <c r="AG76" s="556" t="s">
        <v>592</v>
      </c>
      <c r="AH76" s="557" t="e">
        <f t="shared" si="38"/>
        <v>#VALUE!</v>
      </c>
      <c r="AI76" s="648"/>
      <c r="AJ76" s="555" t="s">
        <v>592</v>
      </c>
      <c r="AK76" s="556" t="s">
        <v>592</v>
      </c>
      <c r="AL76" s="556" t="s">
        <v>592</v>
      </c>
      <c r="AM76" s="557" t="e">
        <f t="shared" si="40"/>
        <v>#VALUE!</v>
      </c>
      <c r="AN76" s="648"/>
      <c r="AO76" s="555" t="s">
        <v>592</v>
      </c>
      <c r="AP76" s="556" t="s">
        <v>592</v>
      </c>
      <c r="AQ76" s="556" t="s">
        <v>592</v>
      </c>
      <c r="AR76" s="557" t="e">
        <f t="shared" si="42"/>
        <v>#VALUE!</v>
      </c>
      <c r="AS76" s="648"/>
      <c r="AT76" s="555" t="s">
        <v>592</v>
      </c>
      <c r="AU76" s="556" t="s">
        <v>592</v>
      </c>
      <c r="AV76" s="556" t="s">
        <v>592</v>
      </c>
      <c r="AW76" s="557" t="e">
        <f t="shared" si="44"/>
        <v>#VALUE!</v>
      </c>
      <c r="AX76" s="648"/>
      <c r="AZ76" s="379" t="e">
        <f t="shared" si="46"/>
        <v>#N/A</v>
      </c>
      <c r="BA76" s="648"/>
    </row>
    <row r="77" spans="2:53">
      <c r="B77" s="646"/>
      <c r="C77" s="384">
        <v>11</v>
      </c>
      <c r="D77" s="535"/>
      <c r="E77" s="535"/>
      <c r="F77" s="535"/>
      <c r="G77" s="539"/>
      <c r="H77" s="671"/>
      <c r="I77" s="385" t="str">
        <f t="shared" si="29"/>
        <v>-</v>
      </c>
      <c r="J77" s="385" t="str">
        <f t="shared" si="30"/>
        <v>-</v>
      </c>
      <c r="K77" s="199" t="str">
        <f t="shared" si="31"/>
        <v>-</v>
      </c>
      <c r="L77" s="617"/>
      <c r="M77" s="436" t="e">
        <f>RANK(K77, K$67:$K$81)</f>
        <v>#VALUE!</v>
      </c>
      <c r="N77" s="635"/>
      <c r="O77" s="635"/>
      <c r="P77" s="555" t="s">
        <v>592</v>
      </c>
      <c r="Q77" s="556" t="s">
        <v>592</v>
      </c>
      <c r="R77" s="556" t="s">
        <v>592</v>
      </c>
      <c r="S77" s="557" t="e">
        <f t="shared" si="32"/>
        <v>#VALUE!</v>
      </c>
      <c r="T77" s="648"/>
      <c r="U77" s="555" t="s">
        <v>592</v>
      </c>
      <c r="V77" s="556" t="s">
        <v>592</v>
      </c>
      <c r="W77" s="556" t="s">
        <v>592</v>
      </c>
      <c r="X77" s="557" t="e">
        <f t="shared" si="34"/>
        <v>#VALUE!</v>
      </c>
      <c r="Y77" s="648"/>
      <c r="Z77" s="555" t="s">
        <v>592</v>
      </c>
      <c r="AA77" s="556" t="s">
        <v>592</v>
      </c>
      <c r="AB77" s="556" t="s">
        <v>592</v>
      </c>
      <c r="AC77" s="557" t="e">
        <f t="shared" si="36"/>
        <v>#VALUE!</v>
      </c>
      <c r="AD77" s="648"/>
      <c r="AE77" s="555" t="s">
        <v>592</v>
      </c>
      <c r="AF77" s="556" t="s">
        <v>592</v>
      </c>
      <c r="AG77" s="556" t="s">
        <v>592</v>
      </c>
      <c r="AH77" s="557" t="e">
        <f t="shared" si="38"/>
        <v>#VALUE!</v>
      </c>
      <c r="AI77" s="648"/>
      <c r="AJ77" s="555" t="s">
        <v>592</v>
      </c>
      <c r="AK77" s="556" t="s">
        <v>592</v>
      </c>
      <c r="AL77" s="556" t="s">
        <v>592</v>
      </c>
      <c r="AM77" s="557" t="e">
        <f t="shared" si="40"/>
        <v>#VALUE!</v>
      </c>
      <c r="AN77" s="648"/>
      <c r="AO77" s="555" t="s">
        <v>592</v>
      </c>
      <c r="AP77" s="556" t="s">
        <v>592</v>
      </c>
      <c r="AQ77" s="556" t="s">
        <v>592</v>
      </c>
      <c r="AR77" s="557" t="e">
        <f t="shared" si="42"/>
        <v>#VALUE!</v>
      </c>
      <c r="AS77" s="648"/>
      <c r="AT77" s="555" t="s">
        <v>592</v>
      </c>
      <c r="AU77" s="556" t="s">
        <v>592</v>
      </c>
      <c r="AV77" s="556" t="s">
        <v>592</v>
      </c>
      <c r="AW77" s="557" t="e">
        <f t="shared" si="44"/>
        <v>#VALUE!</v>
      </c>
      <c r="AX77" s="648"/>
      <c r="AZ77" s="379" t="e">
        <f t="shared" si="46"/>
        <v>#N/A</v>
      </c>
      <c r="BA77" s="648"/>
    </row>
    <row r="78" spans="2:53">
      <c r="B78" s="646"/>
      <c r="C78" s="384">
        <v>12</v>
      </c>
      <c r="D78" s="535"/>
      <c r="E78" s="535"/>
      <c r="F78" s="535"/>
      <c r="G78" s="539"/>
      <c r="H78" s="671"/>
      <c r="I78" s="385" t="str">
        <f t="shared" si="29"/>
        <v>-</v>
      </c>
      <c r="J78" s="385" t="str">
        <f t="shared" si="30"/>
        <v>-</v>
      </c>
      <c r="K78" s="199" t="str">
        <f t="shared" si="31"/>
        <v>-</v>
      </c>
      <c r="L78" s="617"/>
      <c r="M78" s="436" t="e">
        <f>RANK(K78, K$67:$K$81)</f>
        <v>#VALUE!</v>
      </c>
      <c r="N78" s="635"/>
      <c r="O78" s="635"/>
      <c r="P78" s="555" t="s">
        <v>592</v>
      </c>
      <c r="Q78" s="556" t="s">
        <v>592</v>
      </c>
      <c r="R78" s="556" t="s">
        <v>592</v>
      </c>
      <c r="S78" s="557" t="e">
        <f t="shared" si="32"/>
        <v>#VALUE!</v>
      </c>
      <c r="T78" s="648"/>
      <c r="U78" s="555" t="s">
        <v>592</v>
      </c>
      <c r="V78" s="556" t="s">
        <v>592</v>
      </c>
      <c r="W78" s="556" t="s">
        <v>592</v>
      </c>
      <c r="X78" s="557" t="e">
        <f t="shared" si="34"/>
        <v>#VALUE!</v>
      </c>
      <c r="Y78" s="648"/>
      <c r="Z78" s="555" t="s">
        <v>592</v>
      </c>
      <c r="AA78" s="556" t="s">
        <v>592</v>
      </c>
      <c r="AB78" s="556" t="s">
        <v>592</v>
      </c>
      <c r="AC78" s="557" t="e">
        <f t="shared" si="36"/>
        <v>#VALUE!</v>
      </c>
      <c r="AD78" s="648"/>
      <c r="AE78" s="555" t="s">
        <v>592</v>
      </c>
      <c r="AF78" s="556" t="s">
        <v>592</v>
      </c>
      <c r="AG78" s="556" t="s">
        <v>592</v>
      </c>
      <c r="AH78" s="557" t="e">
        <f t="shared" si="38"/>
        <v>#VALUE!</v>
      </c>
      <c r="AI78" s="648"/>
      <c r="AJ78" s="555" t="s">
        <v>592</v>
      </c>
      <c r="AK78" s="556" t="s">
        <v>592</v>
      </c>
      <c r="AL78" s="556" t="s">
        <v>592</v>
      </c>
      <c r="AM78" s="557" t="e">
        <f t="shared" si="40"/>
        <v>#VALUE!</v>
      </c>
      <c r="AN78" s="648"/>
      <c r="AO78" s="555" t="s">
        <v>592</v>
      </c>
      <c r="AP78" s="556" t="s">
        <v>592</v>
      </c>
      <c r="AQ78" s="556" t="s">
        <v>592</v>
      </c>
      <c r="AR78" s="557" t="e">
        <f t="shared" si="42"/>
        <v>#VALUE!</v>
      </c>
      <c r="AS78" s="648"/>
      <c r="AT78" s="555" t="s">
        <v>592</v>
      </c>
      <c r="AU78" s="556" t="s">
        <v>592</v>
      </c>
      <c r="AV78" s="556" t="s">
        <v>592</v>
      </c>
      <c r="AW78" s="557" t="e">
        <f t="shared" si="44"/>
        <v>#VALUE!</v>
      </c>
      <c r="AX78" s="648"/>
      <c r="AZ78" s="379" t="e">
        <f t="shared" si="46"/>
        <v>#N/A</v>
      </c>
      <c r="BA78" s="648"/>
    </row>
    <row r="79" spans="2:53">
      <c r="B79" s="646"/>
      <c r="C79" s="384">
        <v>13</v>
      </c>
      <c r="D79" s="535"/>
      <c r="E79" s="535"/>
      <c r="F79" s="535"/>
      <c r="G79" s="539"/>
      <c r="H79" s="671"/>
      <c r="I79" s="385" t="str">
        <f t="shared" si="29"/>
        <v>-</v>
      </c>
      <c r="J79" s="385" t="str">
        <f t="shared" si="30"/>
        <v>-</v>
      </c>
      <c r="K79" s="199" t="str">
        <f t="shared" si="31"/>
        <v>-</v>
      </c>
      <c r="L79" s="617"/>
      <c r="M79" s="436" t="e">
        <f>RANK(K79, K$67:$K$81)</f>
        <v>#VALUE!</v>
      </c>
      <c r="N79" s="635"/>
      <c r="O79" s="635"/>
      <c r="P79" s="555" t="s">
        <v>592</v>
      </c>
      <c r="Q79" s="556" t="s">
        <v>592</v>
      </c>
      <c r="R79" s="556" t="s">
        <v>592</v>
      </c>
      <c r="S79" s="557" t="e">
        <f t="shared" si="32"/>
        <v>#VALUE!</v>
      </c>
      <c r="T79" s="648"/>
      <c r="U79" s="555" t="s">
        <v>592</v>
      </c>
      <c r="V79" s="556" t="s">
        <v>592</v>
      </c>
      <c r="W79" s="556" t="s">
        <v>592</v>
      </c>
      <c r="X79" s="557" t="e">
        <f t="shared" si="34"/>
        <v>#VALUE!</v>
      </c>
      <c r="Y79" s="648"/>
      <c r="Z79" s="555" t="s">
        <v>592</v>
      </c>
      <c r="AA79" s="556" t="s">
        <v>592</v>
      </c>
      <c r="AB79" s="556" t="s">
        <v>592</v>
      </c>
      <c r="AC79" s="557" t="e">
        <f t="shared" si="36"/>
        <v>#VALUE!</v>
      </c>
      <c r="AD79" s="648"/>
      <c r="AE79" s="555" t="s">
        <v>592</v>
      </c>
      <c r="AF79" s="556" t="s">
        <v>592</v>
      </c>
      <c r="AG79" s="556" t="s">
        <v>592</v>
      </c>
      <c r="AH79" s="557" t="e">
        <f t="shared" si="38"/>
        <v>#VALUE!</v>
      </c>
      <c r="AI79" s="648"/>
      <c r="AJ79" s="555" t="s">
        <v>592</v>
      </c>
      <c r="AK79" s="556" t="s">
        <v>592</v>
      </c>
      <c r="AL79" s="556" t="s">
        <v>592</v>
      </c>
      <c r="AM79" s="557" t="e">
        <f t="shared" si="40"/>
        <v>#VALUE!</v>
      </c>
      <c r="AN79" s="648"/>
      <c r="AO79" s="555" t="s">
        <v>592</v>
      </c>
      <c r="AP79" s="556" t="s">
        <v>592</v>
      </c>
      <c r="AQ79" s="556" t="s">
        <v>592</v>
      </c>
      <c r="AR79" s="557" t="e">
        <f t="shared" si="42"/>
        <v>#VALUE!</v>
      </c>
      <c r="AS79" s="648"/>
      <c r="AT79" s="555" t="s">
        <v>592</v>
      </c>
      <c r="AU79" s="556" t="s">
        <v>592</v>
      </c>
      <c r="AV79" s="556" t="s">
        <v>592</v>
      </c>
      <c r="AW79" s="557" t="e">
        <f t="shared" si="44"/>
        <v>#VALUE!</v>
      </c>
      <c r="AX79" s="648"/>
      <c r="AZ79" s="379" t="e">
        <f t="shared" si="46"/>
        <v>#N/A</v>
      </c>
      <c r="BA79" s="648"/>
    </row>
    <row r="80" spans="2:53">
      <c r="B80" s="646"/>
      <c r="C80" s="384">
        <v>14</v>
      </c>
      <c r="D80" s="535"/>
      <c r="E80" s="535"/>
      <c r="F80" s="535"/>
      <c r="G80" s="539"/>
      <c r="H80" s="671"/>
      <c r="I80" s="385" t="str">
        <f t="shared" si="29"/>
        <v>-</v>
      </c>
      <c r="J80" s="385" t="str">
        <f t="shared" si="30"/>
        <v>-</v>
      </c>
      <c r="K80" s="199" t="str">
        <f t="shared" si="31"/>
        <v>-</v>
      </c>
      <c r="L80" s="617"/>
      <c r="M80" s="436" t="e">
        <f>RANK(K80, K$67:$K$81)</f>
        <v>#VALUE!</v>
      </c>
      <c r="N80" s="635"/>
      <c r="O80" s="635"/>
      <c r="P80" s="555" t="s">
        <v>592</v>
      </c>
      <c r="Q80" s="556" t="s">
        <v>592</v>
      </c>
      <c r="R80" s="556" t="s">
        <v>592</v>
      </c>
      <c r="S80" s="557" t="e">
        <f t="shared" si="32"/>
        <v>#VALUE!</v>
      </c>
      <c r="T80" s="648"/>
      <c r="U80" s="555" t="s">
        <v>592</v>
      </c>
      <c r="V80" s="556" t="s">
        <v>592</v>
      </c>
      <c r="W80" s="556" t="s">
        <v>592</v>
      </c>
      <c r="X80" s="557" t="e">
        <f t="shared" si="34"/>
        <v>#VALUE!</v>
      </c>
      <c r="Y80" s="648"/>
      <c r="Z80" s="555" t="s">
        <v>592</v>
      </c>
      <c r="AA80" s="556" t="s">
        <v>592</v>
      </c>
      <c r="AB80" s="556" t="s">
        <v>592</v>
      </c>
      <c r="AC80" s="557" t="e">
        <f t="shared" si="36"/>
        <v>#VALUE!</v>
      </c>
      <c r="AD80" s="648"/>
      <c r="AE80" s="555" t="s">
        <v>592</v>
      </c>
      <c r="AF80" s="556" t="s">
        <v>592</v>
      </c>
      <c r="AG80" s="556" t="s">
        <v>592</v>
      </c>
      <c r="AH80" s="557" t="e">
        <f t="shared" si="38"/>
        <v>#VALUE!</v>
      </c>
      <c r="AI80" s="648"/>
      <c r="AJ80" s="555" t="s">
        <v>592</v>
      </c>
      <c r="AK80" s="556" t="s">
        <v>592</v>
      </c>
      <c r="AL80" s="556" t="s">
        <v>592</v>
      </c>
      <c r="AM80" s="557" t="e">
        <f t="shared" si="40"/>
        <v>#VALUE!</v>
      </c>
      <c r="AN80" s="648"/>
      <c r="AO80" s="555" t="s">
        <v>592</v>
      </c>
      <c r="AP80" s="556" t="s">
        <v>592</v>
      </c>
      <c r="AQ80" s="556" t="s">
        <v>592</v>
      </c>
      <c r="AR80" s="557" t="e">
        <f t="shared" si="42"/>
        <v>#VALUE!</v>
      </c>
      <c r="AS80" s="648"/>
      <c r="AT80" s="555" t="s">
        <v>592</v>
      </c>
      <c r="AU80" s="556" t="s">
        <v>592</v>
      </c>
      <c r="AV80" s="556" t="s">
        <v>592</v>
      </c>
      <c r="AW80" s="557" t="e">
        <f t="shared" si="44"/>
        <v>#VALUE!</v>
      </c>
      <c r="AX80" s="648"/>
      <c r="AZ80" s="379" t="e">
        <f t="shared" si="46"/>
        <v>#N/A</v>
      </c>
      <c r="BA80" s="648"/>
    </row>
    <row r="81" spans="2:53">
      <c r="B81" s="646"/>
      <c r="C81" s="384">
        <v>15</v>
      </c>
      <c r="D81" s="535"/>
      <c r="E81" s="535"/>
      <c r="F81" s="535"/>
      <c r="G81" s="535"/>
      <c r="H81" s="680"/>
      <c r="I81" s="385" t="str">
        <f t="shared" si="29"/>
        <v>-</v>
      </c>
      <c r="J81" s="385" t="str">
        <f t="shared" si="30"/>
        <v>-</v>
      </c>
      <c r="K81" s="199" t="str">
        <f t="shared" si="31"/>
        <v>-</v>
      </c>
      <c r="L81" s="618"/>
      <c r="M81" s="436" t="e">
        <f>RANK(K81, K$67:$K$81)</f>
        <v>#VALUE!</v>
      </c>
      <c r="N81" s="635"/>
      <c r="O81" s="635"/>
      <c r="P81" s="557" t="s">
        <v>592</v>
      </c>
      <c r="Q81" s="531" t="s">
        <v>592</v>
      </c>
      <c r="R81" s="531" t="s">
        <v>592</v>
      </c>
      <c r="S81" s="557" t="e">
        <f t="shared" si="32"/>
        <v>#VALUE!</v>
      </c>
      <c r="T81" s="649"/>
      <c r="U81" s="557" t="s">
        <v>592</v>
      </c>
      <c r="V81" s="531" t="s">
        <v>592</v>
      </c>
      <c r="W81" s="531" t="s">
        <v>592</v>
      </c>
      <c r="X81" s="557" t="e">
        <f t="shared" si="34"/>
        <v>#VALUE!</v>
      </c>
      <c r="Y81" s="649"/>
      <c r="Z81" s="557" t="s">
        <v>592</v>
      </c>
      <c r="AA81" s="531" t="s">
        <v>592</v>
      </c>
      <c r="AB81" s="531" t="s">
        <v>592</v>
      </c>
      <c r="AC81" s="557" t="e">
        <f t="shared" si="36"/>
        <v>#VALUE!</v>
      </c>
      <c r="AD81" s="649"/>
      <c r="AE81" s="557" t="s">
        <v>592</v>
      </c>
      <c r="AF81" s="531" t="s">
        <v>592</v>
      </c>
      <c r="AG81" s="531" t="s">
        <v>592</v>
      </c>
      <c r="AH81" s="557" t="e">
        <f t="shared" si="38"/>
        <v>#VALUE!</v>
      </c>
      <c r="AI81" s="649"/>
      <c r="AJ81" s="557" t="s">
        <v>592</v>
      </c>
      <c r="AK81" s="531" t="s">
        <v>592</v>
      </c>
      <c r="AL81" s="531" t="s">
        <v>592</v>
      </c>
      <c r="AM81" s="557" t="e">
        <f t="shared" si="40"/>
        <v>#VALUE!</v>
      </c>
      <c r="AN81" s="649"/>
      <c r="AO81" s="557" t="s">
        <v>592</v>
      </c>
      <c r="AP81" s="531" t="s">
        <v>592</v>
      </c>
      <c r="AQ81" s="531" t="s">
        <v>592</v>
      </c>
      <c r="AR81" s="557" t="e">
        <f t="shared" si="42"/>
        <v>#VALUE!</v>
      </c>
      <c r="AS81" s="649"/>
      <c r="AT81" s="557" t="s">
        <v>592</v>
      </c>
      <c r="AU81" s="531" t="s">
        <v>592</v>
      </c>
      <c r="AV81" s="531" t="s">
        <v>592</v>
      </c>
      <c r="AW81" s="557" t="e">
        <f t="shared" si="44"/>
        <v>#VALUE!</v>
      </c>
      <c r="AX81" s="649"/>
      <c r="AZ81" s="379" t="e">
        <f t="shared" si="46"/>
        <v>#N/A</v>
      </c>
      <c r="BA81" s="649"/>
    </row>
    <row r="82" spans="2:53" ht="15.75">
      <c r="B82" s="650" t="s">
        <v>162</v>
      </c>
      <c r="C82" s="651"/>
      <c r="D82" s="651"/>
      <c r="E82" s="651"/>
      <c r="F82" s="651"/>
      <c r="G82" s="651"/>
      <c r="H82" s="652"/>
      <c r="I82" s="207"/>
      <c r="J82" s="207"/>
      <c r="K82" s="207"/>
      <c r="L82" s="207"/>
      <c r="M82" s="206"/>
      <c r="N82" s="639" t="s">
        <v>156</v>
      </c>
      <c r="O82" s="639" t="s">
        <v>105</v>
      </c>
      <c r="P82" s="642">
        <f>P62+7</f>
        <v>46231</v>
      </c>
      <c r="Q82" s="643"/>
      <c r="R82" s="643"/>
      <c r="S82" s="643"/>
      <c r="T82" s="644"/>
      <c r="U82" s="642">
        <f>P82+1</f>
        <v>46232</v>
      </c>
      <c r="V82" s="643"/>
      <c r="W82" s="643"/>
      <c r="X82" s="643"/>
      <c r="Y82" s="644"/>
      <c r="Z82" s="642">
        <f>U82+1</f>
        <v>46233</v>
      </c>
      <c r="AA82" s="643"/>
      <c r="AB82" s="643"/>
      <c r="AC82" s="643"/>
      <c r="AD82" s="644"/>
      <c r="AE82" s="642">
        <f>Z82+1</f>
        <v>46234</v>
      </c>
      <c r="AF82" s="643"/>
      <c r="AG82" s="643"/>
      <c r="AH82" s="643"/>
      <c r="AI82" s="644"/>
      <c r="AJ82" s="642">
        <f>AE82+1</f>
        <v>46235</v>
      </c>
      <c r="AK82" s="643"/>
      <c r="AL82" s="643"/>
      <c r="AM82" s="643"/>
      <c r="AN82" s="644"/>
      <c r="AO82" s="642">
        <f>AJ82+1</f>
        <v>46236</v>
      </c>
      <c r="AP82" s="643"/>
      <c r="AQ82" s="643"/>
      <c r="AR82" s="643"/>
      <c r="AS82" s="644"/>
      <c r="AT82" s="642">
        <f>AO82+1</f>
        <v>46237</v>
      </c>
      <c r="AU82" s="643"/>
      <c r="AV82" s="643"/>
      <c r="AW82" s="643"/>
      <c r="AX82" s="644"/>
    </row>
    <row r="83" spans="2:53" ht="15.75">
      <c r="B83" s="653"/>
      <c r="C83" s="653"/>
      <c r="D83" s="653"/>
      <c r="E83" s="653"/>
      <c r="F83" s="653"/>
      <c r="G83" s="653"/>
      <c r="H83" s="653"/>
      <c r="I83" s="204"/>
      <c r="J83" s="204"/>
      <c r="K83" s="204"/>
      <c r="L83" s="204"/>
      <c r="M83" s="205"/>
      <c r="N83" s="641"/>
      <c r="O83" s="641"/>
      <c r="P83" s="642" t="s">
        <v>317</v>
      </c>
      <c r="Q83" s="643"/>
      <c r="R83" s="643"/>
      <c r="S83" s="643"/>
      <c r="T83" s="644"/>
      <c r="U83" s="642" t="s">
        <v>318</v>
      </c>
      <c r="V83" s="643"/>
      <c r="W83" s="643"/>
      <c r="X83" s="643"/>
      <c r="Y83" s="644"/>
      <c r="Z83" s="642" t="s">
        <v>319</v>
      </c>
      <c r="AA83" s="643"/>
      <c r="AB83" s="643"/>
      <c r="AC83" s="643"/>
      <c r="AD83" s="644"/>
      <c r="AE83" s="645" t="s">
        <v>320</v>
      </c>
      <c r="AF83" s="646"/>
      <c r="AG83" s="646"/>
      <c r="AH83" s="646"/>
      <c r="AI83" s="646"/>
      <c r="AJ83" s="645" t="s">
        <v>321</v>
      </c>
      <c r="AK83" s="646"/>
      <c r="AL83" s="646"/>
      <c r="AM83" s="646"/>
      <c r="AN83" s="646"/>
      <c r="AO83" s="645" t="s">
        <v>322</v>
      </c>
      <c r="AP83" s="646"/>
      <c r="AQ83" s="646"/>
      <c r="AR83" s="646"/>
      <c r="AS83" s="646"/>
      <c r="AT83" s="645" t="s">
        <v>323</v>
      </c>
      <c r="AU83" s="646"/>
      <c r="AV83" s="646"/>
      <c r="AW83" s="646"/>
      <c r="AX83" s="646"/>
    </row>
    <row r="84" spans="2:53">
      <c r="B84" s="635" t="s">
        <v>392</v>
      </c>
      <c r="C84" s="635" t="s">
        <v>382</v>
      </c>
      <c r="D84" s="635"/>
      <c r="E84" s="635" t="s">
        <v>373</v>
      </c>
      <c r="F84" s="635"/>
      <c r="G84" s="635"/>
      <c r="H84" s="636" t="s">
        <v>369</v>
      </c>
      <c r="I84" s="635" t="s">
        <v>374</v>
      </c>
      <c r="J84" s="635"/>
      <c r="K84" s="635"/>
      <c r="L84" s="636" t="s">
        <v>369</v>
      </c>
      <c r="M84" s="639" t="s">
        <v>370</v>
      </c>
      <c r="N84" s="635"/>
      <c r="O84" s="635" t="s">
        <v>375</v>
      </c>
      <c r="P84" s="632" t="s">
        <v>371</v>
      </c>
      <c r="Q84" s="633"/>
      <c r="R84" s="633"/>
      <c r="S84" s="634"/>
      <c r="T84" s="639" t="s">
        <v>369</v>
      </c>
      <c r="U84" s="632" t="s">
        <v>371</v>
      </c>
      <c r="V84" s="633"/>
      <c r="W84" s="633"/>
      <c r="X84" s="634"/>
      <c r="Y84" s="639" t="s">
        <v>369</v>
      </c>
      <c r="Z84" s="632" t="s">
        <v>371</v>
      </c>
      <c r="AA84" s="633"/>
      <c r="AB84" s="633"/>
      <c r="AC84" s="634"/>
      <c r="AD84" s="639" t="s">
        <v>369</v>
      </c>
      <c r="AE84" s="632" t="s">
        <v>371</v>
      </c>
      <c r="AF84" s="633"/>
      <c r="AG84" s="633"/>
      <c r="AH84" s="634"/>
      <c r="AI84" s="635" t="s">
        <v>369</v>
      </c>
      <c r="AJ84" s="632" t="s">
        <v>371</v>
      </c>
      <c r="AK84" s="633"/>
      <c r="AL84" s="633"/>
      <c r="AM84" s="634"/>
      <c r="AN84" s="635" t="s">
        <v>369</v>
      </c>
      <c r="AO84" s="632" t="s">
        <v>371</v>
      </c>
      <c r="AP84" s="633"/>
      <c r="AQ84" s="633"/>
      <c r="AR84" s="634"/>
      <c r="AS84" s="635" t="s">
        <v>369</v>
      </c>
      <c r="AT84" s="632" t="s">
        <v>371</v>
      </c>
      <c r="AU84" s="633"/>
      <c r="AV84" s="633"/>
      <c r="AW84" s="634"/>
      <c r="AX84" s="635" t="s">
        <v>369</v>
      </c>
      <c r="BA84" s="635" t="s">
        <v>369</v>
      </c>
    </row>
    <row r="85" spans="2:53">
      <c r="B85" s="635"/>
      <c r="C85" s="635"/>
      <c r="D85" s="635"/>
      <c r="E85" s="635" t="s">
        <v>376</v>
      </c>
      <c r="F85" s="635"/>
      <c r="G85" s="635"/>
      <c r="H85" s="637"/>
      <c r="I85" s="635" t="s">
        <v>376</v>
      </c>
      <c r="J85" s="635"/>
      <c r="K85" s="635"/>
      <c r="L85" s="637"/>
      <c r="M85" s="640"/>
      <c r="N85" s="635"/>
      <c r="O85" s="635"/>
      <c r="P85" s="632" t="s">
        <v>377</v>
      </c>
      <c r="Q85" s="633"/>
      <c r="R85" s="633"/>
      <c r="S85" s="634"/>
      <c r="T85" s="640"/>
      <c r="U85" s="632" t="s">
        <v>377</v>
      </c>
      <c r="V85" s="633"/>
      <c r="W85" s="633"/>
      <c r="X85" s="634"/>
      <c r="Y85" s="640"/>
      <c r="Z85" s="632" t="s">
        <v>377</v>
      </c>
      <c r="AA85" s="633"/>
      <c r="AB85" s="633"/>
      <c r="AC85" s="634"/>
      <c r="AD85" s="640"/>
      <c r="AE85" s="632" t="s">
        <v>377</v>
      </c>
      <c r="AF85" s="633"/>
      <c r="AG85" s="633"/>
      <c r="AH85" s="634"/>
      <c r="AI85" s="635"/>
      <c r="AJ85" s="632" t="s">
        <v>377</v>
      </c>
      <c r="AK85" s="633"/>
      <c r="AL85" s="633"/>
      <c r="AM85" s="634"/>
      <c r="AN85" s="635"/>
      <c r="AO85" s="632" t="s">
        <v>377</v>
      </c>
      <c r="AP85" s="633"/>
      <c r="AQ85" s="633"/>
      <c r="AR85" s="634"/>
      <c r="AS85" s="635"/>
      <c r="AT85" s="632" t="s">
        <v>377</v>
      </c>
      <c r="AU85" s="633"/>
      <c r="AV85" s="633"/>
      <c r="AW85" s="634"/>
      <c r="AX85" s="635"/>
      <c r="BA85" s="635"/>
    </row>
    <row r="86" spans="2:53">
      <c r="B86" s="635"/>
      <c r="C86" s="635"/>
      <c r="D86" s="635"/>
      <c r="E86" s="382" t="s">
        <v>378</v>
      </c>
      <c r="F86" s="382" t="s">
        <v>379</v>
      </c>
      <c r="G86" s="382" t="s">
        <v>380</v>
      </c>
      <c r="H86" s="638"/>
      <c r="I86" s="382" t="s">
        <v>378</v>
      </c>
      <c r="J86" s="382" t="s">
        <v>379</v>
      </c>
      <c r="K86" s="382" t="s">
        <v>380</v>
      </c>
      <c r="L86" s="638"/>
      <c r="M86" s="641"/>
      <c r="N86" s="635"/>
      <c r="O86" s="635"/>
      <c r="P86" s="554" t="s">
        <v>378</v>
      </c>
      <c r="Q86" s="554" t="s">
        <v>379</v>
      </c>
      <c r="R86" s="554" t="s">
        <v>380</v>
      </c>
      <c r="S86" s="554" t="s">
        <v>370</v>
      </c>
      <c r="T86" s="641"/>
      <c r="U86" s="554" t="s">
        <v>378</v>
      </c>
      <c r="V86" s="554" t="s">
        <v>379</v>
      </c>
      <c r="W86" s="554" t="s">
        <v>380</v>
      </c>
      <c r="X86" s="554" t="s">
        <v>370</v>
      </c>
      <c r="Y86" s="641"/>
      <c r="Z86" s="554" t="s">
        <v>378</v>
      </c>
      <c r="AA86" s="554" t="s">
        <v>379</v>
      </c>
      <c r="AB86" s="554" t="s">
        <v>380</v>
      </c>
      <c r="AC86" s="554" t="s">
        <v>370</v>
      </c>
      <c r="AD86" s="641"/>
      <c r="AE86" s="382" t="s">
        <v>378</v>
      </c>
      <c r="AF86" s="382" t="s">
        <v>379</v>
      </c>
      <c r="AG86" s="382" t="s">
        <v>380</v>
      </c>
      <c r="AH86" s="382" t="s">
        <v>370</v>
      </c>
      <c r="AI86" s="635"/>
      <c r="AJ86" s="382" t="s">
        <v>378</v>
      </c>
      <c r="AK86" s="382" t="s">
        <v>379</v>
      </c>
      <c r="AL86" s="382" t="s">
        <v>380</v>
      </c>
      <c r="AM86" s="382" t="s">
        <v>370</v>
      </c>
      <c r="AN86" s="635"/>
      <c r="AO86" s="382" t="s">
        <v>378</v>
      </c>
      <c r="AP86" s="382" t="s">
        <v>379</v>
      </c>
      <c r="AQ86" s="382" t="s">
        <v>380</v>
      </c>
      <c r="AR86" s="382" t="s">
        <v>370</v>
      </c>
      <c r="AS86" s="635"/>
      <c r="AT86" s="382" t="s">
        <v>378</v>
      </c>
      <c r="AU86" s="382" t="s">
        <v>379</v>
      </c>
      <c r="AV86" s="382" t="s">
        <v>380</v>
      </c>
      <c r="AW86" s="382" t="s">
        <v>370</v>
      </c>
      <c r="AX86" s="635"/>
      <c r="AZ86" s="377" t="s">
        <v>370</v>
      </c>
      <c r="BA86" s="635"/>
    </row>
    <row r="87" spans="2:53">
      <c r="B87" s="679" t="s">
        <v>405</v>
      </c>
      <c r="C87" s="384">
        <v>1</v>
      </c>
      <c r="D87" s="533"/>
      <c r="E87" s="535"/>
      <c r="F87" s="535"/>
      <c r="G87" s="539"/>
      <c r="H87" s="670" t="e">
        <f>AVERAGE(G87:G101)</f>
        <v>#DIV/0!</v>
      </c>
      <c r="I87" s="385" t="str">
        <f t="shared" ref="I87:I101" si="48">IFERROR(AVERAGE(P87,U87,Z87,AE87,AJ87,AO87,AT87),"-")</f>
        <v>-</v>
      </c>
      <c r="J87" s="385" t="str">
        <f t="shared" ref="J87:J101" si="49">IFERROR(AVERAGE(Q87,V87,AA87,AF87,AK87,AP87,AU87),"-")</f>
        <v>-</v>
      </c>
      <c r="K87" s="199" t="str">
        <f t="shared" ref="K87:K101" si="50">IFERROR(AVERAGE(R87,W87,AB87,AG87,AL87,AQ87,AV87),"-")</f>
        <v>-</v>
      </c>
      <c r="L87" s="616" t="str">
        <f>IFERROR(AVERAGE(K87:K101),"-")</f>
        <v>-</v>
      </c>
      <c r="M87" s="389" t="e">
        <f>RANK(K87, K$87:$K$101)</f>
        <v>#VALUE!</v>
      </c>
      <c r="N87" s="635"/>
      <c r="O87" s="635"/>
      <c r="P87" s="555"/>
      <c r="Q87" s="556"/>
      <c r="R87" s="556"/>
      <c r="S87" s="555"/>
      <c r="T87" s="647"/>
      <c r="U87" s="555"/>
      <c r="V87" s="556"/>
      <c r="W87" s="556"/>
      <c r="X87" s="555"/>
      <c r="Y87" s="647"/>
      <c r="Z87" s="555"/>
      <c r="AA87" s="556"/>
      <c r="AB87" s="556"/>
      <c r="AC87" s="555"/>
      <c r="AD87" s="647"/>
      <c r="AE87" s="484"/>
      <c r="AF87" s="487"/>
      <c r="AG87" s="487"/>
      <c r="AH87" s="484"/>
      <c r="AI87" s="659"/>
      <c r="AJ87" s="484"/>
      <c r="AK87" s="487"/>
      <c r="AL87" s="487"/>
      <c r="AM87" s="484"/>
      <c r="AN87" s="659"/>
      <c r="AO87" s="484"/>
      <c r="AP87" s="487"/>
      <c r="AQ87" s="487"/>
      <c r="AR87" s="484"/>
      <c r="AS87" s="659"/>
      <c r="AT87" s="484"/>
      <c r="AU87" s="487"/>
      <c r="AV87" s="487"/>
      <c r="AW87" s="484"/>
      <c r="AX87" s="659"/>
      <c r="AZ87" s="376" t="e">
        <f t="shared" ref="AZ87:AZ101" si="51">RANK(AY87, AY$87:AY$101)</f>
        <v>#N/A</v>
      </c>
      <c r="BA87" s="659" t="e">
        <f t="shared" ref="BA87" si="52">AVERAGE(AY87:AY101)</f>
        <v>#DIV/0!</v>
      </c>
    </row>
    <row r="88" spans="2:53">
      <c r="B88" s="646"/>
      <c r="C88" s="384">
        <v>2</v>
      </c>
      <c r="D88" s="535"/>
      <c r="E88" s="535"/>
      <c r="F88" s="535"/>
      <c r="G88" s="539"/>
      <c r="H88" s="671"/>
      <c r="I88" s="385" t="str">
        <f t="shared" si="48"/>
        <v>-</v>
      </c>
      <c r="J88" s="385" t="str">
        <f t="shared" si="49"/>
        <v>-</v>
      </c>
      <c r="K88" s="199" t="str">
        <f t="shared" si="50"/>
        <v>-</v>
      </c>
      <c r="L88" s="617"/>
      <c r="M88" s="489" t="e">
        <f>RANK(K88, K$87:$K$101)</f>
        <v>#VALUE!</v>
      </c>
      <c r="N88" s="635"/>
      <c r="O88" s="635"/>
      <c r="P88" s="555"/>
      <c r="Q88" s="556"/>
      <c r="R88" s="556"/>
      <c r="S88" s="555"/>
      <c r="T88" s="648"/>
      <c r="U88" s="555"/>
      <c r="V88" s="556"/>
      <c r="W88" s="556"/>
      <c r="X88" s="555"/>
      <c r="Y88" s="648"/>
      <c r="Z88" s="555"/>
      <c r="AA88" s="556"/>
      <c r="AB88" s="556"/>
      <c r="AC88" s="555"/>
      <c r="AD88" s="648"/>
      <c r="AE88" s="484"/>
      <c r="AF88" s="487"/>
      <c r="AG88" s="487"/>
      <c r="AH88" s="484"/>
      <c r="AI88" s="659"/>
      <c r="AJ88" s="484"/>
      <c r="AK88" s="487"/>
      <c r="AL88" s="487"/>
      <c r="AM88" s="484"/>
      <c r="AN88" s="659"/>
      <c r="AO88" s="484"/>
      <c r="AP88" s="487"/>
      <c r="AQ88" s="487"/>
      <c r="AR88" s="484"/>
      <c r="AS88" s="659"/>
      <c r="AT88" s="484"/>
      <c r="AU88" s="487"/>
      <c r="AV88" s="487"/>
      <c r="AW88" s="484"/>
      <c r="AX88" s="659"/>
      <c r="AZ88" s="376" t="e">
        <f t="shared" si="51"/>
        <v>#N/A</v>
      </c>
      <c r="BA88" s="659"/>
    </row>
    <row r="89" spans="2:53">
      <c r="B89" s="646"/>
      <c r="C89" s="384">
        <v>3</v>
      </c>
      <c r="D89" s="535"/>
      <c r="E89" s="535"/>
      <c r="F89" s="535"/>
      <c r="G89" s="539"/>
      <c r="H89" s="671"/>
      <c r="I89" s="385" t="str">
        <f t="shared" si="48"/>
        <v>-</v>
      </c>
      <c r="J89" s="385" t="str">
        <f t="shared" si="49"/>
        <v>-</v>
      </c>
      <c r="K89" s="199" t="str">
        <f t="shared" si="50"/>
        <v>-</v>
      </c>
      <c r="L89" s="617"/>
      <c r="M89" s="489" t="e">
        <f>RANK(K89, K$87:$K$101)</f>
        <v>#VALUE!</v>
      </c>
      <c r="N89" s="635"/>
      <c r="O89" s="635"/>
      <c r="P89" s="555"/>
      <c r="Q89" s="556"/>
      <c r="R89" s="556"/>
      <c r="S89" s="555"/>
      <c r="T89" s="648"/>
      <c r="U89" s="555"/>
      <c r="V89" s="556"/>
      <c r="W89" s="556"/>
      <c r="X89" s="555"/>
      <c r="Y89" s="648"/>
      <c r="Z89" s="555"/>
      <c r="AA89" s="556"/>
      <c r="AB89" s="556"/>
      <c r="AC89" s="555"/>
      <c r="AD89" s="648"/>
      <c r="AE89" s="484"/>
      <c r="AF89" s="487"/>
      <c r="AG89" s="487"/>
      <c r="AH89" s="484"/>
      <c r="AI89" s="659"/>
      <c r="AJ89" s="484"/>
      <c r="AK89" s="487"/>
      <c r="AL89" s="487"/>
      <c r="AM89" s="484"/>
      <c r="AN89" s="659"/>
      <c r="AO89" s="484"/>
      <c r="AP89" s="487"/>
      <c r="AQ89" s="487"/>
      <c r="AR89" s="484"/>
      <c r="AS89" s="659"/>
      <c r="AT89" s="484"/>
      <c r="AU89" s="487"/>
      <c r="AV89" s="487"/>
      <c r="AW89" s="484"/>
      <c r="AX89" s="659"/>
      <c r="AZ89" s="376" t="e">
        <f t="shared" si="51"/>
        <v>#N/A</v>
      </c>
      <c r="BA89" s="659"/>
    </row>
    <row r="90" spans="2:53">
      <c r="B90" s="646"/>
      <c r="C90" s="384">
        <v>4</v>
      </c>
      <c r="D90" s="535"/>
      <c r="E90" s="535"/>
      <c r="F90" s="535"/>
      <c r="G90" s="539"/>
      <c r="H90" s="671"/>
      <c r="I90" s="385" t="str">
        <f t="shared" si="48"/>
        <v>-</v>
      </c>
      <c r="J90" s="385" t="str">
        <f t="shared" si="49"/>
        <v>-</v>
      </c>
      <c r="K90" s="199" t="str">
        <f t="shared" si="50"/>
        <v>-</v>
      </c>
      <c r="L90" s="617"/>
      <c r="M90" s="489" t="e">
        <f>RANK(K90, K$87:$K$101)</f>
        <v>#VALUE!</v>
      </c>
      <c r="N90" s="635"/>
      <c r="O90" s="635"/>
      <c r="P90" s="555"/>
      <c r="Q90" s="556"/>
      <c r="R90" s="556"/>
      <c r="S90" s="555"/>
      <c r="T90" s="648"/>
      <c r="U90" s="555"/>
      <c r="V90" s="556"/>
      <c r="W90" s="556"/>
      <c r="X90" s="555"/>
      <c r="Y90" s="648"/>
      <c r="Z90" s="555"/>
      <c r="AA90" s="556"/>
      <c r="AB90" s="556"/>
      <c r="AC90" s="555"/>
      <c r="AD90" s="648"/>
      <c r="AE90" s="484"/>
      <c r="AF90" s="487"/>
      <c r="AG90" s="487"/>
      <c r="AH90" s="484"/>
      <c r="AI90" s="659"/>
      <c r="AJ90" s="484"/>
      <c r="AK90" s="487"/>
      <c r="AL90" s="487"/>
      <c r="AM90" s="484"/>
      <c r="AN90" s="659"/>
      <c r="AO90" s="484"/>
      <c r="AP90" s="487"/>
      <c r="AQ90" s="487"/>
      <c r="AR90" s="484"/>
      <c r="AS90" s="659"/>
      <c r="AT90" s="484"/>
      <c r="AU90" s="487"/>
      <c r="AV90" s="487"/>
      <c r="AW90" s="484"/>
      <c r="AX90" s="659"/>
      <c r="AZ90" s="376" t="e">
        <f t="shared" si="51"/>
        <v>#N/A</v>
      </c>
      <c r="BA90" s="659"/>
    </row>
    <row r="91" spans="2:53">
      <c r="B91" s="646"/>
      <c r="C91" s="384">
        <v>5</v>
      </c>
      <c r="D91" s="535"/>
      <c r="E91" s="535"/>
      <c r="F91" s="535"/>
      <c r="G91" s="539"/>
      <c r="H91" s="671"/>
      <c r="I91" s="385" t="str">
        <f t="shared" si="48"/>
        <v>-</v>
      </c>
      <c r="J91" s="385" t="str">
        <f t="shared" si="49"/>
        <v>-</v>
      </c>
      <c r="K91" s="199" t="str">
        <f t="shared" si="50"/>
        <v>-</v>
      </c>
      <c r="L91" s="617"/>
      <c r="M91" s="489" t="e">
        <f>RANK(K91, K$87:$K$101)</f>
        <v>#VALUE!</v>
      </c>
      <c r="N91" s="635"/>
      <c r="O91" s="635"/>
      <c r="P91" s="555"/>
      <c r="Q91" s="556"/>
      <c r="R91" s="556"/>
      <c r="S91" s="555"/>
      <c r="T91" s="648"/>
      <c r="U91" s="555"/>
      <c r="V91" s="556"/>
      <c r="W91" s="556"/>
      <c r="X91" s="555"/>
      <c r="Y91" s="648"/>
      <c r="Z91" s="555"/>
      <c r="AA91" s="556"/>
      <c r="AB91" s="556"/>
      <c r="AC91" s="555"/>
      <c r="AD91" s="648"/>
      <c r="AE91" s="484"/>
      <c r="AF91" s="487"/>
      <c r="AG91" s="487"/>
      <c r="AH91" s="484"/>
      <c r="AI91" s="659"/>
      <c r="AJ91" s="484"/>
      <c r="AK91" s="487"/>
      <c r="AL91" s="487"/>
      <c r="AM91" s="484"/>
      <c r="AN91" s="659"/>
      <c r="AO91" s="484"/>
      <c r="AP91" s="487"/>
      <c r="AQ91" s="487"/>
      <c r="AR91" s="484"/>
      <c r="AS91" s="659"/>
      <c r="AT91" s="484"/>
      <c r="AU91" s="487"/>
      <c r="AV91" s="487"/>
      <c r="AW91" s="484"/>
      <c r="AX91" s="659"/>
      <c r="AZ91" s="376" t="e">
        <f t="shared" si="51"/>
        <v>#N/A</v>
      </c>
      <c r="BA91" s="659"/>
    </row>
    <row r="92" spans="2:53">
      <c r="B92" s="646"/>
      <c r="C92" s="384">
        <v>6</v>
      </c>
      <c r="D92" s="535"/>
      <c r="E92" s="535"/>
      <c r="F92" s="535"/>
      <c r="G92" s="539"/>
      <c r="H92" s="671"/>
      <c r="I92" s="385" t="str">
        <f t="shared" si="48"/>
        <v>-</v>
      </c>
      <c r="J92" s="385" t="str">
        <f t="shared" si="49"/>
        <v>-</v>
      </c>
      <c r="K92" s="199" t="str">
        <f t="shared" si="50"/>
        <v>-</v>
      </c>
      <c r="L92" s="617"/>
      <c r="M92" s="489" t="e">
        <f>RANK(K92, K$87:$K$101)</f>
        <v>#VALUE!</v>
      </c>
      <c r="N92" s="635"/>
      <c r="O92" s="635"/>
      <c r="P92" s="555"/>
      <c r="Q92" s="556"/>
      <c r="R92" s="556"/>
      <c r="S92" s="555"/>
      <c r="T92" s="648"/>
      <c r="U92" s="555"/>
      <c r="V92" s="556"/>
      <c r="W92" s="556"/>
      <c r="X92" s="555"/>
      <c r="Y92" s="648"/>
      <c r="Z92" s="555"/>
      <c r="AA92" s="556"/>
      <c r="AB92" s="556"/>
      <c r="AC92" s="555"/>
      <c r="AD92" s="648"/>
      <c r="AE92" s="484"/>
      <c r="AF92" s="487"/>
      <c r="AG92" s="487"/>
      <c r="AH92" s="484"/>
      <c r="AI92" s="659"/>
      <c r="AJ92" s="484"/>
      <c r="AK92" s="487"/>
      <c r="AL92" s="487"/>
      <c r="AM92" s="484"/>
      <c r="AN92" s="659"/>
      <c r="AO92" s="484"/>
      <c r="AP92" s="487"/>
      <c r="AQ92" s="487"/>
      <c r="AR92" s="484"/>
      <c r="AS92" s="659"/>
      <c r="AT92" s="484"/>
      <c r="AU92" s="487"/>
      <c r="AV92" s="487"/>
      <c r="AW92" s="484"/>
      <c r="AX92" s="659"/>
      <c r="AZ92" s="376" t="e">
        <f t="shared" si="51"/>
        <v>#N/A</v>
      </c>
      <c r="BA92" s="659"/>
    </row>
    <row r="93" spans="2:53">
      <c r="B93" s="646"/>
      <c r="C93" s="384">
        <v>7</v>
      </c>
      <c r="D93" s="535"/>
      <c r="E93" s="535"/>
      <c r="F93" s="535"/>
      <c r="G93" s="539"/>
      <c r="H93" s="671"/>
      <c r="I93" s="385" t="str">
        <f t="shared" si="48"/>
        <v>-</v>
      </c>
      <c r="J93" s="385" t="str">
        <f t="shared" si="49"/>
        <v>-</v>
      </c>
      <c r="K93" s="199" t="str">
        <f t="shared" si="50"/>
        <v>-</v>
      </c>
      <c r="L93" s="617"/>
      <c r="M93" s="489" t="e">
        <f>RANK(K93, K$87:$K$101)</f>
        <v>#VALUE!</v>
      </c>
      <c r="N93" s="635"/>
      <c r="O93" s="635"/>
      <c r="P93" s="555"/>
      <c r="Q93" s="556"/>
      <c r="R93" s="556"/>
      <c r="S93" s="555"/>
      <c r="T93" s="648"/>
      <c r="U93" s="555"/>
      <c r="V93" s="556"/>
      <c r="W93" s="556"/>
      <c r="X93" s="555"/>
      <c r="Y93" s="648"/>
      <c r="Z93" s="555"/>
      <c r="AA93" s="556"/>
      <c r="AB93" s="556"/>
      <c r="AC93" s="555"/>
      <c r="AD93" s="648"/>
      <c r="AE93" s="484"/>
      <c r="AF93" s="487"/>
      <c r="AG93" s="487"/>
      <c r="AH93" s="484"/>
      <c r="AI93" s="659"/>
      <c r="AJ93" s="484"/>
      <c r="AK93" s="487"/>
      <c r="AL93" s="487"/>
      <c r="AM93" s="484"/>
      <c r="AN93" s="659"/>
      <c r="AO93" s="484"/>
      <c r="AP93" s="487"/>
      <c r="AQ93" s="487"/>
      <c r="AR93" s="484"/>
      <c r="AS93" s="659"/>
      <c r="AT93" s="484"/>
      <c r="AU93" s="487"/>
      <c r="AV93" s="487"/>
      <c r="AW93" s="484"/>
      <c r="AX93" s="659"/>
      <c r="AZ93" s="376" t="e">
        <f t="shared" si="51"/>
        <v>#N/A</v>
      </c>
      <c r="BA93" s="659"/>
    </row>
    <row r="94" spans="2:53">
      <c r="B94" s="646"/>
      <c r="C94" s="384">
        <v>8</v>
      </c>
      <c r="D94" s="535"/>
      <c r="E94" s="535"/>
      <c r="F94" s="535"/>
      <c r="G94" s="539"/>
      <c r="H94" s="671"/>
      <c r="I94" s="385" t="str">
        <f t="shared" si="48"/>
        <v>-</v>
      </c>
      <c r="J94" s="385" t="str">
        <f t="shared" si="49"/>
        <v>-</v>
      </c>
      <c r="K94" s="199" t="str">
        <f t="shared" si="50"/>
        <v>-</v>
      </c>
      <c r="L94" s="617"/>
      <c r="M94" s="489" t="e">
        <f>RANK(K94, K$87:$K$101)</f>
        <v>#VALUE!</v>
      </c>
      <c r="N94" s="635"/>
      <c r="O94" s="635"/>
      <c r="P94" s="555"/>
      <c r="Q94" s="556"/>
      <c r="R94" s="556"/>
      <c r="S94" s="555"/>
      <c r="T94" s="648"/>
      <c r="U94" s="555"/>
      <c r="V94" s="556"/>
      <c r="W94" s="556"/>
      <c r="X94" s="555"/>
      <c r="Y94" s="648"/>
      <c r="Z94" s="555"/>
      <c r="AA94" s="556"/>
      <c r="AB94" s="556"/>
      <c r="AC94" s="555"/>
      <c r="AD94" s="648"/>
      <c r="AE94" s="484"/>
      <c r="AF94" s="487"/>
      <c r="AG94" s="487"/>
      <c r="AH94" s="484"/>
      <c r="AI94" s="659"/>
      <c r="AJ94" s="484"/>
      <c r="AK94" s="487"/>
      <c r="AL94" s="487"/>
      <c r="AM94" s="484"/>
      <c r="AN94" s="659"/>
      <c r="AO94" s="484"/>
      <c r="AP94" s="487"/>
      <c r="AQ94" s="487"/>
      <c r="AR94" s="484"/>
      <c r="AS94" s="659"/>
      <c r="AT94" s="484"/>
      <c r="AU94" s="487"/>
      <c r="AV94" s="487"/>
      <c r="AW94" s="484"/>
      <c r="AX94" s="659"/>
      <c r="AZ94" s="376" t="e">
        <f t="shared" si="51"/>
        <v>#N/A</v>
      </c>
      <c r="BA94" s="659"/>
    </row>
    <row r="95" spans="2:53">
      <c r="B95" s="646"/>
      <c r="C95" s="384">
        <v>9</v>
      </c>
      <c r="D95" s="535"/>
      <c r="E95" s="535"/>
      <c r="F95" s="535"/>
      <c r="G95" s="539"/>
      <c r="H95" s="671"/>
      <c r="I95" s="385" t="str">
        <f t="shared" si="48"/>
        <v>-</v>
      </c>
      <c r="J95" s="385" t="str">
        <f t="shared" si="49"/>
        <v>-</v>
      </c>
      <c r="K95" s="199" t="str">
        <f t="shared" si="50"/>
        <v>-</v>
      </c>
      <c r="L95" s="617"/>
      <c r="M95" s="489" t="e">
        <f>RANK(K95, K$87:$K$101)</f>
        <v>#VALUE!</v>
      </c>
      <c r="N95" s="635"/>
      <c r="O95" s="635"/>
      <c r="P95" s="555"/>
      <c r="Q95" s="556"/>
      <c r="R95" s="556"/>
      <c r="S95" s="555"/>
      <c r="T95" s="648"/>
      <c r="U95" s="555"/>
      <c r="V95" s="556"/>
      <c r="W95" s="556"/>
      <c r="X95" s="555"/>
      <c r="Y95" s="648"/>
      <c r="Z95" s="555"/>
      <c r="AA95" s="556"/>
      <c r="AB95" s="556"/>
      <c r="AC95" s="555"/>
      <c r="AD95" s="648"/>
      <c r="AE95" s="484"/>
      <c r="AF95" s="487"/>
      <c r="AG95" s="487"/>
      <c r="AH95" s="484"/>
      <c r="AI95" s="659"/>
      <c r="AJ95" s="484"/>
      <c r="AK95" s="487"/>
      <c r="AL95" s="487"/>
      <c r="AM95" s="484"/>
      <c r="AN95" s="659"/>
      <c r="AO95" s="484"/>
      <c r="AP95" s="487"/>
      <c r="AQ95" s="487"/>
      <c r="AR95" s="484"/>
      <c r="AS95" s="659"/>
      <c r="AT95" s="484"/>
      <c r="AU95" s="487"/>
      <c r="AV95" s="487"/>
      <c r="AW95" s="484"/>
      <c r="AX95" s="659"/>
      <c r="AZ95" s="376" t="e">
        <f t="shared" si="51"/>
        <v>#N/A</v>
      </c>
      <c r="BA95" s="659"/>
    </row>
    <row r="96" spans="2:53">
      <c r="B96" s="646"/>
      <c r="C96" s="384">
        <v>10</v>
      </c>
      <c r="D96" s="535"/>
      <c r="E96" s="535"/>
      <c r="F96" s="535"/>
      <c r="G96" s="539"/>
      <c r="H96" s="671"/>
      <c r="I96" s="385" t="str">
        <f t="shared" si="48"/>
        <v>-</v>
      </c>
      <c r="J96" s="385" t="str">
        <f t="shared" si="49"/>
        <v>-</v>
      </c>
      <c r="K96" s="199" t="str">
        <f t="shared" si="50"/>
        <v>-</v>
      </c>
      <c r="L96" s="617"/>
      <c r="M96" s="489" t="e">
        <f>RANK(K96, K$87:$K$101)</f>
        <v>#VALUE!</v>
      </c>
      <c r="N96" s="635"/>
      <c r="O96" s="635"/>
      <c r="P96" s="555"/>
      <c r="Q96" s="556"/>
      <c r="R96" s="556"/>
      <c r="S96" s="555"/>
      <c r="T96" s="648"/>
      <c r="U96" s="555"/>
      <c r="V96" s="556"/>
      <c r="W96" s="556"/>
      <c r="X96" s="555"/>
      <c r="Y96" s="648"/>
      <c r="Z96" s="555"/>
      <c r="AA96" s="556"/>
      <c r="AB96" s="556"/>
      <c r="AC96" s="555"/>
      <c r="AD96" s="648"/>
      <c r="AE96" s="484"/>
      <c r="AF96" s="487"/>
      <c r="AG96" s="487"/>
      <c r="AH96" s="484"/>
      <c r="AI96" s="659"/>
      <c r="AJ96" s="484"/>
      <c r="AK96" s="487"/>
      <c r="AL96" s="487"/>
      <c r="AM96" s="484"/>
      <c r="AN96" s="659"/>
      <c r="AO96" s="484"/>
      <c r="AP96" s="487"/>
      <c r="AQ96" s="487"/>
      <c r="AR96" s="484"/>
      <c r="AS96" s="659"/>
      <c r="AT96" s="484"/>
      <c r="AU96" s="487"/>
      <c r="AV96" s="487"/>
      <c r="AW96" s="484"/>
      <c r="AX96" s="659"/>
      <c r="AZ96" s="376" t="e">
        <f t="shared" si="51"/>
        <v>#N/A</v>
      </c>
      <c r="BA96" s="659"/>
    </row>
    <row r="97" spans="2:53">
      <c r="B97" s="646"/>
      <c r="C97" s="384">
        <v>11</v>
      </c>
      <c r="D97" s="535"/>
      <c r="E97" s="535"/>
      <c r="F97" s="535"/>
      <c r="G97" s="539"/>
      <c r="H97" s="671"/>
      <c r="I97" s="385" t="str">
        <f t="shared" si="48"/>
        <v>-</v>
      </c>
      <c r="J97" s="385" t="str">
        <f t="shared" si="49"/>
        <v>-</v>
      </c>
      <c r="K97" s="199" t="str">
        <f t="shared" si="50"/>
        <v>-</v>
      </c>
      <c r="L97" s="617"/>
      <c r="M97" s="489" t="e">
        <f>RANK(K97, K$87:$K$101)</f>
        <v>#VALUE!</v>
      </c>
      <c r="N97" s="635"/>
      <c r="O97" s="635"/>
      <c r="P97" s="555"/>
      <c r="Q97" s="556"/>
      <c r="R97" s="556"/>
      <c r="S97" s="555"/>
      <c r="T97" s="648"/>
      <c r="U97" s="555"/>
      <c r="V97" s="556"/>
      <c r="W97" s="556"/>
      <c r="X97" s="555"/>
      <c r="Y97" s="648"/>
      <c r="Z97" s="555"/>
      <c r="AA97" s="556"/>
      <c r="AB97" s="556"/>
      <c r="AC97" s="555"/>
      <c r="AD97" s="648"/>
      <c r="AE97" s="484"/>
      <c r="AF97" s="487"/>
      <c r="AG97" s="487"/>
      <c r="AH97" s="484"/>
      <c r="AI97" s="659"/>
      <c r="AJ97" s="484"/>
      <c r="AK97" s="487"/>
      <c r="AL97" s="487"/>
      <c r="AM97" s="484"/>
      <c r="AN97" s="659"/>
      <c r="AO97" s="484"/>
      <c r="AP97" s="487"/>
      <c r="AQ97" s="487"/>
      <c r="AR97" s="484"/>
      <c r="AS97" s="659"/>
      <c r="AT97" s="484"/>
      <c r="AU97" s="487"/>
      <c r="AV97" s="487"/>
      <c r="AW97" s="484"/>
      <c r="AX97" s="659"/>
      <c r="AZ97" s="376" t="e">
        <f t="shared" si="51"/>
        <v>#N/A</v>
      </c>
      <c r="BA97" s="659"/>
    </row>
    <row r="98" spans="2:53">
      <c r="B98" s="646"/>
      <c r="C98" s="384">
        <v>12</v>
      </c>
      <c r="D98" s="535"/>
      <c r="E98" s="535"/>
      <c r="F98" s="535"/>
      <c r="G98" s="539"/>
      <c r="H98" s="671"/>
      <c r="I98" s="385" t="str">
        <f t="shared" si="48"/>
        <v>-</v>
      </c>
      <c r="J98" s="385" t="str">
        <f t="shared" si="49"/>
        <v>-</v>
      </c>
      <c r="K98" s="199" t="str">
        <f t="shared" si="50"/>
        <v>-</v>
      </c>
      <c r="L98" s="617"/>
      <c r="M98" s="489" t="e">
        <f>RANK(K98, K$87:$K$101)</f>
        <v>#VALUE!</v>
      </c>
      <c r="N98" s="635"/>
      <c r="O98" s="635"/>
      <c r="P98" s="555"/>
      <c r="Q98" s="556"/>
      <c r="R98" s="556"/>
      <c r="S98" s="555"/>
      <c r="T98" s="648"/>
      <c r="U98" s="555"/>
      <c r="V98" s="556"/>
      <c r="W98" s="556"/>
      <c r="X98" s="555"/>
      <c r="Y98" s="648"/>
      <c r="Z98" s="555"/>
      <c r="AA98" s="556"/>
      <c r="AB98" s="556"/>
      <c r="AC98" s="555"/>
      <c r="AD98" s="648"/>
      <c r="AE98" s="484"/>
      <c r="AF98" s="487"/>
      <c r="AG98" s="487"/>
      <c r="AH98" s="484"/>
      <c r="AI98" s="659"/>
      <c r="AJ98" s="484"/>
      <c r="AK98" s="487"/>
      <c r="AL98" s="487"/>
      <c r="AM98" s="484"/>
      <c r="AN98" s="659"/>
      <c r="AO98" s="484"/>
      <c r="AP98" s="487"/>
      <c r="AQ98" s="487"/>
      <c r="AR98" s="484"/>
      <c r="AS98" s="659"/>
      <c r="AT98" s="484"/>
      <c r="AU98" s="487"/>
      <c r="AV98" s="487"/>
      <c r="AW98" s="484"/>
      <c r="AX98" s="659"/>
      <c r="AZ98" s="376" t="e">
        <f t="shared" si="51"/>
        <v>#N/A</v>
      </c>
      <c r="BA98" s="659"/>
    </row>
    <row r="99" spans="2:53">
      <c r="B99" s="646"/>
      <c r="C99" s="384">
        <v>13</v>
      </c>
      <c r="D99" s="535"/>
      <c r="E99" s="535"/>
      <c r="F99" s="535"/>
      <c r="G99" s="539"/>
      <c r="H99" s="671"/>
      <c r="I99" s="385" t="str">
        <f t="shared" si="48"/>
        <v>-</v>
      </c>
      <c r="J99" s="385" t="str">
        <f t="shared" si="49"/>
        <v>-</v>
      </c>
      <c r="K99" s="199" t="str">
        <f t="shared" si="50"/>
        <v>-</v>
      </c>
      <c r="L99" s="617"/>
      <c r="M99" s="489" t="e">
        <f>RANK(K99, K$87:$K$101)</f>
        <v>#VALUE!</v>
      </c>
      <c r="N99" s="635"/>
      <c r="O99" s="635"/>
      <c r="P99" s="555"/>
      <c r="Q99" s="556"/>
      <c r="R99" s="556"/>
      <c r="S99" s="555"/>
      <c r="T99" s="648"/>
      <c r="U99" s="555"/>
      <c r="V99" s="556"/>
      <c r="W99" s="556"/>
      <c r="X99" s="555"/>
      <c r="Y99" s="648"/>
      <c r="Z99" s="555"/>
      <c r="AA99" s="556"/>
      <c r="AB99" s="556"/>
      <c r="AC99" s="555"/>
      <c r="AD99" s="648"/>
      <c r="AE99" s="484"/>
      <c r="AF99" s="487"/>
      <c r="AG99" s="487"/>
      <c r="AH99" s="484"/>
      <c r="AI99" s="659"/>
      <c r="AJ99" s="484"/>
      <c r="AK99" s="487"/>
      <c r="AL99" s="487"/>
      <c r="AM99" s="484"/>
      <c r="AN99" s="659"/>
      <c r="AO99" s="484"/>
      <c r="AP99" s="487"/>
      <c r="AQ99" s="487"/>
      <c r="AR99" s="484"/>
      <c r="AS99" s="659"/>
      <c r="AT99" s="484"/>
      <c r="AU99" s="487"/>
      <c r="AV99" s="487"/>
      <c r="AW99" s="484"/>
      <c r="AX99" s="659"/>
      <c r="AZ99" s="376" t="e">
        <f t="shared" si="51"/>
        <v>#N/A</v>
      </c>
      <c r="BA99" s="659"/>
    </row>
    <row r="100" spans="2:53">
      <c r="B100" s="646"/>
      <c r="C100" s="384">
        <v>14</v>
      </c>
      <c r="D100" s="535"/>
      <c r="E100" s="535"/>
      <c r="F100" s="535"/>
      <c r="G100" s="539"/>
      <c r="H100" s="671"/>
      <c r="I100" s="385" t="str">
        <f t="shared" si="48"/>
        <v>-</v>
      </c>
      <c r="J100" s="385" t="str">
        <f t="shared" si="49"/>
        <v>-</v>
      </c>
      <c r="K100" s="199" t="str">
        <f t="shared" si="50"/>
        <v>-</v>
      </c>
      <c r="L100" s="617"/>
      <c r="M100" s="489" t="e">
        <f>RANK(K100, K$87:$K$101)</f>
        <v>#VALUE!</v>
      </c>
      <c r="N100" s="635"/>
      <c r="O100" s="635"/>
      <c r="P100" s="555"/>
      <c r="Q100" s="556"/>
      <c r="R100" s="556"/>
      <c r="S100" s="555"/>
      <c r="T100" s="648"/>
      <c r="U100" s="555"/>
      <c r="V100" s="556"/>
      <c r="W100" s="556"/>
      <c r="X100" s="555"/>
      <c r="Y100" s="648"/>
      <c r="Z100" s="555"/>
      <c r="AA100" s="556"/>
      <c r="AB100" s="556"/>
      <c r="AC100" s="555"/>
      <c r="AD100" s="648"/>
      <c r="AE100" s="484"/>
      <c r="AF100" s="487"/>
      <c r="AG100" s="487"/>
      <c r="AH100" s="484"/>
      <c r="AI100" s="659"/>
      <c r="AJ100" s="484"/>
      <c r="AK100" s="487"/>
      <c r="AL100" s="487"/>
      <c r="AM100" s="484"/>
      <c r="AN100" s="659"/>
      <c r="AO100" s="484"/>
      <c r="AP100" s="487"/>
      <c r="AQ100" s="487"/>
      <c r="AR100" s="484"/>
      <c r="AS100" s="659"/>
      <c r="AT100" s="484"/>
      <c r="AU100" s="487"/>
      <c r="AV100" s="487"/>
      <c r="AW100" s="484"/>
      <c r="AX100" s="659"/>
      <c r="AZ100" s="376" t="e">
        <f t="shared" si="51"/>
        <v>#N/A</v>
      </c>
      <c r="BA100" s="659"/>
    </row>
    <row r="101" spans="2:53">
      <c r="B101" s="646"/>
      <c r="C101" s="384">
        <v>15</v>
      </c>
      <c r="D101" s="535"/>
      <c r="E101" s="535"/>
      <c r="F101" s="535"/>
      <c r="G101" s="535"/>
      <c r="H101" s="680"/>
      <c r="I101" s="385" t="str">
        <f t="shared" si="48"/>
        <v>-</v>
      </c>
      <c r="J101" s="385" t="str">
        <f t="shared" si="49"/>
        <v>-</v>
      </c>
      <c r="K101" s="199" t="str">
        <f t="shared" si="50"/>
        <v>-</v>
      </c>
      <c r="L101" s="618"/>
      <c r="M101" s="489" t="e">
        <f>RANK(K101, K$87:$K$101)</f>
        <v>#VALUE!</v>
      </c>
      <c r="N101" s="635"/>
      <c r="O101" s="635"/>
      <c r="P101" s="557"/>
      <c r="Q101" s="531"/>
      <c r="R101" s="531"/>
      <c r="S101" s="555"/>
      <c r="T101" s="649"/>
      <c r="U101" s="557"/>
      <c r="V101" s="531"/>
      <c r="W101" s="531"/>
      <c r="X101" s="555"/>
      <c r="Y101" s="649"/>
      <c r="Z101" s="557"/>
      <c r="AA101" s="531"/>
      <c r="AB101" s="531"/>
      <c r="AC101" s="555"/>
      <c r="AD101" s="649"/>
      <c r="AE101" s="485"/>
      <c r="AF101" s="488"/>
      <c r="AG101" s="488"/>
      <c r="AH101" s="484"/>
      <c r="AI101" s="659"/>
      <c r="AJ101" s="485"/>
      <c r="AK101" s="488"/>
      <c r="AL101" s="488"/>
      <c r="AM101" s="484"/>
      <c r="AN101" s="659"/>
      <c r="AO101" s="485"/>
      <c r="AP101" s="488"/>
      <c r="AQ101" s="488"/>
      <c r="AR101" s="484"/>
      <c r="AS101" s="659"/>
      <c r="AT101" s="485"/>
      <c r="AU101" s="488"/>
      <c r="AV101" s="488"/>
      <c r="AW101" s="484"/>
      <c r="AX101" s="659"/>
      <c r="AZ101" s="376" t="e">
        <f t="shared" si="51"/>
        <v>#N/A</v>
      </c>
      <c r="BA101" s="659"/>
    </row>
    <row r="102" spans="2:53" ht="15.75">
      <c r="B102" s="650" t="s">
        <v>162</v>
      </c>
      <c r="C102" s="651"/>
      <c r="D102" s="651"/>
      <c r="E102" s="651"/>
      <c r="F102" s="651"/>
      <c r="G102" s="651"/>
      <c r="H102" s="652"/>
      <c r="I102" s="207"/>
      <c r="J102" s="207"/>
      <c r="K102" s="207"/>
      <c r="L102" s="207"/>
      <c r="M102" s="206"/>
      <c r="N102" s="639" t="s">
        <v>156</v>
      </c>
      <c r="O102" s="639" t="s">
        <v>105</v>
      </c>
      <c r="P102" s="645">
        <f>P82+7</f>
        <v>46238</v>
      </c>
      <c r="Q102" s="646"/>
      <c r="R102" s="646"/>
      <c r="S102" s="646"/>
      <c r="T102" s="646"/>
      <c r="U102" s="642">
        <f>P102+1</f>
        <v>46239</v>
      </c>
      <c r="V102" s="643"/>
      <c r="W102" s="643"/>
      <c r="X102" s="643"/>
      <c r="Y102" s="644"/>
      <c r="Z102" s="642">
        <f>U102+1</f>
        <v>46240</v>
      </c>
      <c r="AA102" s="643"/>
      <c r="AB102" s="643"/>
      <c r="AC102" s="643"/>
      <c r="AD102" s="644"/>
      <c r="AE102" s="642">
        <f>Z102+1</f>
        <v>46241</v>
      </c>
      <c r="AF102" s="643"/>
      <c r="AG102" s="643"/>
      <c r="AH102" s="643"/>
      <c r="AI102" s="644"/>
      <c r="AJ102" s="642">
        <f>AE102+1</f>
        <v>46242</v>
      </c>
      <c r="AK102" s="643"/>
      <c r="AL102" s="643"/>
      <c r="AM102" s="643"/>
      <c r="AN102" s="644"/>
      <c r="AO102" s="642">
        <f>AJ102+1</f>
        <v>46243</v>
      </c>
      <c r="AP102" s="643"/>
      <c r="AQ102" s="643"/>
      <c r="AR102" s="643"/>
      <c r="AS102" s="644"/>
      <c r="AT102" s="642">
        <f>AO102+1</f>
        <v>46244</v>
      </c>
      <c r="AU102" s="643"/>
      <c r="AV102" s="643"/>
      <c r="AW102" s="643"/>
      <c r="AX102" s="644"/>
    </row>
    <row r="103" spans="2:53" ht="15.75">
      <c r="B103" s="653"/>
      <c r="C103" s="653"/>
      <c r="D103" s="653"/>
      <c r="E103" s="653"/>
      <c r="F103" s="653"/>
      <c r="G103" s="653"/>
      <c r="H103" s="653"/>
      <c r="I103" s="204"/>
      <c r="J103" s="204"/>
      <c r="K103" s="204"/>
      <c r="L103" s="204"/>
      <c r="M103" s="205"/>
      <c r="N103" s="641"/>
      <c r="O103" s="641"/>
      <c r="P103" s="645" t="s">
        <v>158</v>
      </c>
      <c r="Q103" s="646"/>
      <c r="R103" s="646"/>
      <c r="S103" s="646"/>
      <c r="T103" s="646"/>
      <c r="U103" s="645" t="s">
        <v>114</v>
      </c>
      <c r="V103" s="646"/>
      <c r="W103" s="646"/>
      <c r="X103" s="646"/>
      <c r="Y103" s="646"/>
      <c r="Z103" s="645" t="s">
        <v>159</v>
      </c>
      <c r="AA103" s="646"/>
      <c r="AB103" s="646"/>
      <c r="AC103" s="646"/>
      <c r="AD103" s="646"/>
      <c r="AE103" s="645" t="s">
        <v>157</v>
      </c>
      <c r="AF103" s="646"/>
      <c r="AG103" s="646"/>
      <c r="AH103" s="646"/>
      <c r="AI103" s="646"/>
      <c r="AJ103" s="645" t="s">
        <v>160</v>
      </c>
      <c r="AK103" s="646"/>
      <c r="AL103" s="646"/>
      <c r="AM103" s="646"/>
      <c r="AN103" s="646"/>
      <c r="AO103" s="645" t="s">
        <v>115</v>
      </c>
      <c r="AP103" s="646"/>
      <c r="AQ103" s="646"/>
      <c r="AR103" s="646"/>
      <c r="AS103" s="646"/>
      <c r="AT103" s="645" t="s">
        <v>161</v>
      </c>
      <c r="AU103" s="646"/>
      <c r="AV103" s="646"/>
      <c r="AW103" s="646"/>
      <c r="AX103" s="646"/>
    </row>
    <row r="104" spans="2:53">
      <c r="B104" s="635" t="s">
        <v>520</v>
      </c>
      <c r="C104" s="635" t="s">
        <v>521</v>
      </c>
      <c r="D104" s="635"/>
      <c r="E104" s="635" t="s">
        <v>522</v>
      </c>
      <c r="F104" s="635"/>
      <c r="G104" s="635"/>
      <c r="H104" s="636" t="s">
        <v>523</v>
      </c>
      <c r="I104" s="635" t="s">
        <v>524</v>
      </c>
      <c r="J104" s="635"/>
      <c r="K104" s="635"/>
      <c r="L104" s="636" t="s">
        <v>523</v>
      </c>
      <c r="M104" s="639" t="s">
        <v>525</v>
      </c>
      <c r="N104" s="635"/>
      <c r="O104" s="635" t="s">
        <v>526</v>
      </c>
      <c r="P104" s="632" t="s">
        <v>527</v>
      </c>
      <c r="Q104" s="633"/>
      <c r="R104" s="633"/>
      <c r="S104" s="634"/>
      <c r="T104" s="635" t="s">
        <v>523</v>
      </c>
      <c r="U104" s="632" t="s">
        <v>527</v>
      </c>
      <c r="V104" s="633"/>
      <c r="W104" s="633"/>
      <c r="X104" s="634"/>
      <c r="Y104" s="635" t="s">
        <v>523</v>
      </c>
      <c r="Z104" s="632" t="s">
        <v>527</v>
      </c>
      <c r="AA104" s="633"/>
      <c r="AB104" s="633"/>
      <c r="AC104" s="634"/>
      <c r="AD104" s="635" t="s">
        <v>523</v>
      </c>
      <c r="AE104" s="632" t="s">
        <v>527</v>
      </c>
      <c r="AF104" s="633"/>
      <c r="AG104" s="633"/>
      <c r="AH104" s="634"/>
      <c r="AI104" s="635" t="s">
        <v>523</v>
      </c>
      <c r="AJ104" s="632" t="s">
        <v>527</v>
      </c>
      <c r="AK104" s="633"/>
      <c r="AL104" s="633"/>
      <c r="AM104" s="634"/>
      <c r="AN104" s="635" t="s">
        <v>523</v>
      </c>
      <c r="AO104" s="632" t="s">
        <v>527</v>
      </c>
      <c r="AP104" s="633"/>
      <c r="AQ104" s="633"/>
      <c r="AR104" s="634"/>
      <c r="AS104" s="635" t="s">
        <v>523</v>
      </c>
      <c r="AT104" s="632" t="s">
        <v>527</v>
      </c>
      <c r="AU104" s="633"/>
      <c r="AV104" s="633"/>
      <c r="AW104" s="634"/>
      <c r="AX104" s="635" t="s">
        <v>523</v>
      </c>
      <c r="BA104" s="635" t="s">
        <v>369</v>
      </c>
    </row>
    <row r="105" spans="2:53">
      <c r="B105" s="635"/>
      <c r="C105" s="635"/>
      <c r="D105" s="635"/>
      <c r="E105" s="635" t="s">
        <v>528</v>
      </c>
      <c r="F105" s="635"/>
      <c r="G105" s="635"/>
      <c r="H105" s="637"/>
      <c r="I105" s="635" t="s">
        <v>528</v>
      </c>
      <c r="J105" s="635"/>
      <c r="K105" s="635"/>
      <c r="L105" s="637"/>
      <c r="M105" s="640"/>
      <c r="N105" s="635"/>
      <c r="O105" s="635"/>
      <c r="P105" s="632" t="s">
        <v>529</v>
      </c>
      <c r="Q105" s="633"/>
      <c r="R105" s="633"/>
      <c r="S105" s="634"/>
      <c r="T105" s="635"/>
      <c r="U105" s="632" t="s">
        <v>529</v>
      </c>
      <c r="V105" s="633"/>
      <c r="W105" s="633"/>
      <c r="X105" s="634"/>
      <c r="Y105" s="635"/>
      <c r="Z105" s="632" t="s">
        <v>529</v>
      </c>
      <c r="AA105" s="633"/>
      <c r="AB105" s="633"/>
      <c r="AC105" s="634"/>
      <c r="AD105" s="635"/>
      <c r="AE105" s="632" t="s">
        <v>529</v>
      </c>
      <c r="AF105" s="633"/>
      <c r="AG105" s="633"/>
      <c r="AH105" s="634"/>
      <c r="AI105" s="635"/>
      <c r="AJ105" s="632" t="s">
        <v>529</v>
      </c>
      <c r="AK105" s="633"/>
      <c r="AL105" s="633"/>
      <c r="AM105" s="634"/>
      <c r="AN105" s="635"/>
      <c r="AO105" s="632" t="s">
        <v>529</v>
      </c>
      <c r="AP105" s="633"/>
      <c r="AQ105" s="633"/>
      <c r="AR105" s="634"/>
      <c r="AS105" s="635"/>
      <c r="AT105" s="632" t="s">
        <v>529</v>
      </c>
      <c r="AU105" s="633"/>
      <c r="AV105" s="633"/>
      <c r="AW105" s="634"/>
      <c r="AX105" s="635"/>
      <c r="BA105" s="635"/>
    </row>
    <row r="106" spans="2:53">
      <c r="B106" s="635"/>
      <c r="C106" s="635"/>
      <c r="D106" s="635"/>
      <c r="E106" s="349" t="s">
        <v>530</v>
      </c>
      <c r="F106" s="349" t="s">
        <v>531</v>
      </c>
      <c r="G106" s="349" t="s">
        <v>532</v>
      </c>
      <c r="H106" s="638"/>
      <c r="I106" s="349" t="s">
        <v>530</v>
      </c>
      <c r="J106" s="349" t="s">
        <v>531</v>
      </c>
      <c r="K106" s="349" t="s">
        <v>532</v>
      </c>
      <c r="L106" s="638"/>
      <c r="M106" s="641"/>
      <c r="N106" s="635"/>
      <c r="O106" s="635"/>
      <c r="P106" s="349" t="s">
        <v>530</v>
      </c>
      <c r="Q106" s="349" t="s">
        <v>531</v>
      </c>
      <c r="R106" s="349" t="s">
        <v>532</v>
      </c>
      <c r="S106" s="349" t="s">
        <v>525</v>
      </c>
      <c r="T106" s="635"/>
      <c r="U106" s="349" t="s">
        <v>530</v>
      </c>
      <c r="V106" s="349" t="s">
        <v>531</v>
      </c>
      <c r="W106" s="349" t="s">
        <v>532</v>
      </c>
      <c r="X106" s="349" t="s">
        <v>525</v>
      </c>
      <c r="Y106" s="635"/>
      <c r="Z106" s="349" t="s">
        <v>530</v>
      </c>
      <c r="AA106" s="349" t="s">
        <v>531</v>
      </c>
      <c r="AB106" s="349" t="s">
        <v>532</v>
      </c>
      <c r="AC106" s="349" t="s">
        <v>525</v>
      </c>
      <c r="AD106" s="635"/>
      <c r="AE106" s="349" t="s">
        <v>530</v>
      </c>
      <c r="AF106" s="349" t="s">
        <v>531</v>
      </c>
      <c r="AG106" s="349" t="s">
        <v>532</v>
      </c>
      <c r="AH106" s="349" t="s">
        <v>525</v>
      </c>
      <c r="AI106" s="635"/>
      <c r="AJ106" s="349" t="s">
        <v>530</v>
      </c>
      <c r="AK106" s="349" t="s">
        <v>531</v>
      </c>
      <c r="AL106" s="349" t="s">
        <v>532</v>
      </c>
      <c r="AM106" s="349" t="s">
        <v>525</v>
      </c>
      <c r="AN106" s="635"/>
      <c r="AO106" s="349" t="s">
        <v>530</v>
      </c>
      <c r="AP106" s="349" t="s">
        <v>531</v>
      </c>
      <c r="AQ106" s="349" t="s">
        <v>532</v>
      </c>
      <c r="AR106" s="349" t="s">
        <v>525</v>
      </c>
      <c r="AS106" s="635"/>
      <c r="AT106" s="349" t="s">
        <v>530</v>
      </c>
      <c r="AU106" s="349" t="s">
        <v>531</v>
      </c>
      <c r="AV106" s="349" t="s">
        <v>532</v>
      </c>
      <c r="AW106" s="349" t="s">
        <v>525</v>
      </c>
      <c r="AX106" s="635"/>
      <c r="AZ106" s="377" t="s">
        <v>370</v>
      </c>
      <c r="BA106" s="635"/>
    </row>
    <row r="107" spans="2:53">
      <c r="B107" s="679" t="s">
        <v>533</v>
      </c>
      <c r="C107" s="352">
        <v>1</v>
      </c>
      <c r="D107" s="527"/>
      <c r="E107" s="528"/>
      <c r="F107" s="528"/>
      <c r="G107" s="530"/>
      <c r="H107" s="670" t="e">
        <f>AVERAGE(G107:G121)</f>
        <v>#DIV/0!</v>
      </c>
      <c r="I107" s="367" t="str">
        <f t="shared" ref="I107:I121" si="53">IFERROR(AVERAGE(P107,U107,Z107,AE107,AJ107,AO107,AT107),"-")</f>
        <v>-</v>
      </c>
      <c r="J107" s="367" t="str">
        <f t="shared" ref="J107:J121" si="54">IFERROR(AVERAGE(Q107,V107,AA107,AF107,AK107,AP107,AU107),"-")</f>
        <v>-</v>
      </c>
      <c r="K107" s="199" t="str">
        <f t="shared" ref="K107:K121" si="55">IFERROR(AVERAGE(R107,W107,AB107,AG107,AL107,AQ107,AV107),"-")</f>
        <v>-</v>
      </c>
      <c r="L107" s="616" t="str">
        <f>IFERROR(AVERAGE(K107:K121),"-")</f>
        <v>-</v>
      </c>
      <c r="M107" s="353" t="e">
        <f>RANK(K107, K$107:$K$121)</f>
        <v>#VALUE!</v>
      </c>
      <c r="N107" s="635"/>
      <c r="O107" s="635"/>
      <c r="P107" s="528"/>
      <c r="Q107" s="530"/>
      <c r="R107" s="530"/>
      <c r="S107" s="528"/>
      <c r="T107" s="659"/>
      <c r="U107" s="528"/>
      <c r="V107" s="530"/>
      <c r="W107" s="530"/>
      <c r="X107" s="528"/>
      <c r="Y107" s="659"/>
      <c r="Z107" s="528"/>
      <c r="AA107" s="530"/>
      <c r="AB107" s="530"/>
      <c r="AC107" s="528"/>
      <c r="AD107" s="659"/>
      <c r="AE107" s="528"/>
      <c r="AF107" s="530"/>
      <c r="AG107" s="530"/>
      <c r="AH107" s="528"/>
      <c r="AI107" s="659"/>
      <c r="AJ107" s="528"/>
      <c r="AK107" s="530"/>
      <c r="AL107" s="530"/>
      <c r="AM107" s="528"/>
      <c r="AN107" s="659"/>
      <c r="AO107" s="528"/>
      <c r="AP107" s="530"/>
      <c r="AQ107" s="530"/>
      <c r="AR107" s="528"/>
      <c r="AS107" s="659"/>
      <c r="AT107" s="528"/>
      <c r="AU107" s="530"/>
      <c r="AV107" s="530"/>
      <c r="AW107" s="528"/>
      <c r="AX107" s="659"/>
      <c r="AZ107" s="379" t="e">
        <f t="shared" ref="AZ107:AZ121" si="56">RANK(AY107, AY$81:AY$87)</f>
        <v>#N/A</v>
      </c>
      <c r="BA107" s="694" t="e">
        <f t="shared" ref="BA107" si="57">AVERAGE(AY107:AY121)</f>
        <v>#DIV/0!</v>
      </c>
    </row>
    <row r="108" spans="2:53">
      <c r="B108" s="669"/>
      <c r="C108" s="352">
        <v>2</v>
      </c>
      <c r="D108" s="528"/>
      <c r="E108" s="528"/>
      <c r="F108" s="528"/>
      <c r="G108" s="530"/>
      <c r="H108" s="671"/>
      <c r="I108" s="367" t="str">
        <f t="shared" si="53"/>
        <v>-</v>
      </c>
      <c r="J108" s="367" t="str">
        <f t="shared" si="54"/>
        <v>-</v>
      </c>
      <c r="K108" s="199" t="str">
        <f t="shared" si="55"/>
        <v>-</v>
      </c>
      <c r="L108" s="617"/>
      <c r="M108" s="353" t="e">
        <f>RANK(K108, K$107:$K$121)</f>
        <v>#VALUE!</v>
      </c>
      <c r="N108" s="635"/>
      <c r="O108" s="635"/>
      <c r="P108" s="528"/>
      <c r="Q108" s="530"/>
      <c r="R108" s="530"/>
      <c r="S108" s="528"/>
      <c r="T108" s="659"/>
      <c r="U108" s="528"/>
      <c r="V108" s="530"/>
      <c r="W108" s="530"/>
      <c r="X108" s="528"/>
      <c r="Y108" s="659"/>
      <c r="Z108" s="528"/>
      <c r="AA108" s="530"/>
      <c r="AB108" s="530"/>
      <c r="AC108" s="528"/>
      <c r="AD108" s="659"/>
      <c r="AE108" s="528"/>
      <c r="AF108" s="530"/>
      <c r="AG108" s="530"/>
      <c r="AH108" s="528"/>
      <c r="AI108" s="659"/>
      <c r="AJ108" s="528"/>
      <c r="AK108" s="530"/>
      <c r="AL108" s="530"/>
      <c r="AM108" s="528"/>
      <c r="AN108" s="659"/>
      <c r="AO108" s="528"/>
      <c r="AP108" s="530"/>
      <c r="AQ108" s="530"/>
      <c r="AR108" s="528"/>
      <c r="AS108" s="659"/>
      <c r="AT108" s="528"/>
      <c r="AU108" s="530"/>
      <c r="AV108" s="530"/>
      <c r="AW108" s="528"/>
      <c r="AX108" s="659"/>
      <c r="AZ108" s="379" t="e">
        <f t="shared" si="56"/>
        <v>#N/A</v>
      </c>
      <c r="BA108" s="694"/>
    </row>
    <row r="109" spans="2:53">
      <c r="B109" s="669"/>
      <c r="C109" s="352">
        <v>3</v>
      </c>
      <c r="D109" s="528"/>
      <c r="E109" s="528"/>
      <c r="F109" s="528"/>
      <c r="G109" s="530"/>
      <c r="H109" s="671"/>
      <c r="I109" s="367" t="str">
        <f t="shared" si="53"/>
        <v>-</v>
      </c>
      <c r="J109" s="367" t="str">
        <f t="shared" si="54"/>
        <v>-</v>
      </c>
      <c r="K109" s="199" t="str">
        <f t="shared" si="55"/>
        <v>-</v>
      </c>
      <c r="L109" s="617"/>
      <c r="M109" s="353" t="e">
        <f>RANK(K109, K$107:$K$121)</f>
        <v>#VALUE!</v>
      </c>
      <c r="N109" s="635"/>
      <c r="O109" s="635"/>
      <c r="P109" s="528"/>
      <c r="Q109" s="530"/>
      <c r="R109" s="530"/>
      <c r="S109" s="528"/>
      <c r="T109" s="659"/>
      <c r="U109" s="528"/>
      <c r="V109" s="530"/>
      <c r="W109" s="530"/>
      <c r="X109" s="528"/>
      <c r="Y109" s="659"/>
      <c r="Z109" s="528"/>
      <c r="AA109" s="530"/>
      <c r="AB109" s="530"/>
      <c r="AC109" s="528"/>
      <c r="AD109" s="659"/>
      <c r="AE109" s="528"/>
      <c r="AF109" s="530"/>
      <c r="AG109" s="530"/>
      <c r="AH109" s="528"/>
      <c r="AI109" s="659"/>
      <c r="AJ109" s="528"/>
      <c r="AK109" s="530"/>
      <c r="AL109" s="530"/>
      <c r="AM109" s="528"/>
      <c r="AN109" s="659"/>
      <c r="AO109" s="528"/>
      <c r="AP109" s="530"/>
      <c r="AQ109" s="530"/>
      <c r="AR109" s="528"/>
      <c r="AS109" s="659"/>
      <c r="AT109" s="528"/>
      <c r="AU109" s="530"/>
      <c r="AV109" s="530"/>
      <c r="AW109" s="528"/>
      <c r="AX109" s="659"/>
      <c r="AZ109" s="379" t="e">
        <f t="shared" si="56"/>
        <v>#N/A</v>
      </c>
      <c r="BA109" s="694"/>
    </row>
    <row r="110" spans="2:53">
      <c r="B110" s="669"/>
      <c r="C110" s="352">
        <v>4</v>
      </c>
      <c r="D110" s="356"/>
      <c r="E110" s="356"/>
      <c r="F110" s="356"/>
      <c r="G110" s="181"/>
      <c r="H110" s="671"/>
      <c r="I110" s="367" t="str">
        <f t="shared" si="53"/>
        <v>-</v>
      </c>
      <c r="J110" s="367" t="str">
        <f t="shared" si="54"/>
        <v>-</v>
      </c>
      <c r="K110" s="199" t="str">
        <f t="shared" si="55"/>
        <v>-</v>
      </c>
      <c r="L110" s="617"/>
      <c r="M110" s="353" t="e">
        <f>RANK(K110, K$107:$K$121)</f>
        <v>#VALUE!</v>
      </c>
      <c r="N110" s="635"/>
      <c r="O110" s="635"/>
      <c r="P110" s="528"/>
      <c r="Q110" s="530"/>
      <c r="R110" s="530"/>
      <c r="S110" s="528"/>
      <c r="T110" s="659"/>
      <c r="U110" s="528"/>
      <c r="V110" s="530"/>
      <c r="W110" s="530"/>
      <c r="X110" s="528"/>
      <c r="Y110" s="659"/>
      <c r="Z110" s="528"/>
      <c r="AA110" s="530"/>
      <c r="AB110" s="530"/>
      <c r="AC110" s="528"/>
      <c r="AD110" s="659"/>
      <c r="AE110" s="528"/>
      <c r="AF110" s="530"/>
      <c r="AG110" s="530"/>
      <c r="AH110" s="528"/>
      <c r="AI110" s="659"/>
      <c r="AJ110" s="528"/>
      <c r="AK110" s="530"/>
      <c r="AL110" s="530"/>
      <c r="AM110" s="528"/>
      <c r="AN110" s="659"/>
      <c r="AO110" s="528"/>
      <c r="AP110" s="530"/>
      <c r="AQ110" s="530"/>
      <c r="AR110" s="528"/>
      <c r="AS110" s="659"/>
      <c r="AT110" s="528"/>
      <c r="AU110" s="530"/>
      <c r="AV110" s="530"/>
      <c r="AW110" s="528"/>
      <c r="AX110" s="659"/>
      <c r="AZ110" s="379" t="e">
        <f t="shared" si="56"/>
        <v>#N/A</v>
      </c>
      <c r="BA110" s="694"/>
    </row>
    <row r="111" spans="2:53">
      <c r="B111" s="669"/>
      <c r="C111" s="352">
        <v>5</v>
      </c>
      <c r="D111" s="356"/>
      <c r="E111" s="356"/>
      <c r="F111" s="356"/>
      <c r="G111" s="181"/>
      <c r="H111" s="671"/>
      <c r="I111" s="367" t="str">
        <f t="shared" si="53"/>
        <v>-</v>
      </c>
      <c r="J111" s="367" t="str">
        <f t="shared" si="54"/>
        <v>-</v>
      </c>
      <c r="K111" s="199" t="str">
        <f t="shared" si="55"/>
        <v>-</v>
      </c>
      <c r="L111" s="617"/>
      <c r="M111" s="353" t="e">
        <f>RANK(K111, K$107:$K$121)</f>
        <v>#VALUE!</v>
      </c>
      <c r="N111" s="635"/>
      <c r="O111" s="635"/>
      <c r="P111" s="528"/>
      <c r="Q111" s="530"/>
      <c r="R111" s="530"/>
      <c r="S111" s="528"/>
      <c r="T111" s="659"/>
      <c r="U111" s="528"/>
      <c r="V111" s="530"/>
      <c r="W111" s="530"/>
      <c r="X111" s="528"/>
      <c r="Y111" s="659"/>
      <c r="Z111" s="528"/>
      <c r="AA111" s="530"/>
      <c r="AB111" s="530"/>
      <c r="AC111" s="528"/>
      <c r="AD111" s="659"/>
      <c r="AE111" s="528"/>
      <c r="AF111" s="530"/>
      <c r="AG111" s="530"/>
      <c r="AH111" s="528"/>
      <c r="AI111" s="659"/>
      <c r="AJ111" s="528"/>
      <c r="AK111" s="530"/>
      <c r="AL111" s="530"/>
      <c r="AM111" s="528"/>
      <c r="AN111" s="659"/>
      <c r="AO111" s="528"/>
      <c r="AP111" s="530"/>
      <c r="AQ111" s="530"/>
      <c r="AR111" s="528"/>
      <c r="AS111" s="659"/>
      <c r="AT111" s="528"/>
      <c r="AU111" s="530"/>
      <c r="AV111" s="530"/>
      <c r="AW111" s="528"/>
      <c r="AX111" s="659"/>
      <c r="AZ111" s="379" t="e">
        <f t="shared" si="56"/>
        <v>#N/A</v>
      </c>
      <c r="BA111" s="694"/>
    </row>
    <row r="112" spans="2:53">
      <c r="B112" s="669"/>
      <c r="C112" s="352">
        <v>6</v>
      </c>
      <c r="D112" s="356"/>
      <c r="E112" s="356"/>
      <c r="F112" s="356"/>
      <c r="G112" s="181"/>
      <c r="H112" s="671"/>
      <c r="I112" s="367" t="str">
        <f t="shared" si="53"/>
        <v>-</v>
      </c>
      <c r="J112" s="367" t="str">
        <f t="shared" si="54"/>
        <v>-</v>
      </c>
      <c r="K112" s="199" t="str">
        <f t="shared" si="55"/>
        <v>-</v>
      </c>
      <c r="L112" s="617"/>
      <c r="M112" s="353" t="e">
        <f>RANK(K112, K$107:$K$121)</f>
        <v>#VALUE!</v>
      </c>
      <c r="N112" s="635"/>
      <c r="O112" s="635"/>
      <c r="P112" s="528"/>
      <c r="Q112" s="530"/>
      <c r="R112" s="530"/>
      <c r="S112" s="528"/>
      <c r="T112" s="659"/>
      <c r="U112" s="528"/>
      <c r="V112" s="530"/>
      <c r="W112" s="530"/>
      <c r="X112" s="528"/>
      <c r="Y112" s="659"/>
      <c r="Z112" s="528"/>
      <c r="AA112" s="530"/>
      <c r="AB112" s="530"/>
      <c r="AC112" s="528"/>
      <c r="AD112" s="659"/>
      <c r="AE112" s="528"/>
      <c r="AF112" s="530"/>
      <c r="AG112" s="530"/>
      <c r="AH112" s="528"/>
      <c r="AI112" s="659"/>
      <c r="AJ112" s="528"/>
      <c r="AK112" s="530"/>
      <c r="AL112" s="530"/>
      <c r="AM112" s="528"/>
      <c r="AN112" s="659"/>
      <c r="AO112" s="528"/>
      <c r="AP112" s="530"/>
      <c r="AQ112" s="530"/>
      <c r="AR112" s="528"/>
      <c r="AS112" s="659"/>
      <c r="AT112" s="528"/>
      <c r="AU112" s="530"/>
      <c r="AV112" s="530"/>
      <c r="AW112" s="528"/>
      <c r="AX112" s="659"/>
      <c r="AZ112" s="379" t="e">
        <f t="shared" si="56"/>
        <v>#N/A</v>
      </c>
      <c r="BA112" s="694"/>
    </row>
    <row r="113" spans="2:53">
      <c r="B113" s="669"/>
      <c r="C113" s="352">
        <v>7</v>
      </c>
      <c r="D113" s="356"/>
      <c r="E113" s="356"/>
      <c r="F113" s="356"/>
      <c r="G113" s="181"/>
      <c r="H113" s="671"/>
      <c r="I113" s="367" t="str">
        <f t="shared" si="53"/>
        <v>-</v>
      </c>
      <c r="J113" s="367" t="str">
        <f t="shared" si="54"/>
        <v>-</v>
      </c>
      <c r="K113" s="199" t="str">
        <f t="shared" si="55"/>
        <v>-</v>
      </c>
      <c r="L113" s="617"/>
      <c r="M113" s="353" t="e">
        <f>RANK(K113, K$107:$K$121)</f>
        <v>#VALUE!</v>
      </c>
      <c r="N113" s="635"/>
      <c r="O113" s="635"/>
      <c r="P113" s="528"/>
      <c r="Q113" s="530"/>
      <c r="R113" s="530"/>
      <c r="S113" s="528"/>
      <c r="T113" s="659"/>
      <c r="U113" s="528"/>
      <c r="V113" s="530"/>
      <c r="W113" s="530"/>
      <c r="X113" s="528"/>
      <c r="Y113" s="659"/>
      <c r="Z113" s="528"/>
      <c r="AA113" s="530"/>
      <c r="AB113" s="530"/>
      <c r="AC113" s="528"/>
      <c r="AD113" s="659"/>
      <c r="AE113" s="528"/>
      <c r="AF113" s="530"/>
      <c r="AG113" s="530"/>
      <c r="AH113" s="528"/>
      <c r="AI113" s="659"/>
      <c r="AJ113" s="528"/>
      <c r="AK113" s="530"/>
      <c r="AL113" s="530"/>
      <c r="AM113" s="528"/>
      <c r="AN113" s="659"/>
      <c r="AO113" s="528"/>
      <c r="AP113" s="530"/>
      <c r="AQ113" s="530"/>
      <c r="AR113" s="528"/>
      <c r="AS113" s="659"/>
      <c r="AT113" s="528"/>
      <c r="AU113" s="530"/>
      <c r="AV113" s="530"/>
      <c r="AW113" s="528"/>
      <c r="AX113" s="659"/>
      <c r="AZ113" s="379" t="e">
        <f t="shared" si="56"/>
        <v>#N/A</v>
      </c>
      <c r="BA113" s="694"/>
    </row>
    <row r="114" spans="2:53">
      <c r="B114" s="669"/>
      <c r="C114" s="352">
        <v>8</v>
      </c>
      <c r="D114" s="356"/>
      <c r="E114" s="356"/>
      <c r="F114" s="356"/>
      <c r="G114" s="181"/>
      <c r="H114" s="671"/>
      <c r="I114" s="367" t="str">
        <f t="shared" si="53"/>
        <v>-</v>
      </c>
      <c r="J114" s="367" t="str">
        <f t="shared" si="54"/>
        <v>-</v>
      </c>
      <c r="K114" s="199" t="str">
        <f t="shared" si="55"/>
        <v>-</v>
      </c>
      <c r="L114" s="617"/>
      <c r="M114" s="353" t="e">
        <f>RANK(K114, K$107:$K$121)</f>
        <v>#VALUE!</v>
      </c>
      <c r="N114" s="635"/>
      <c r="O114" s="635"/>
      <c r="P114" s="528"/>
      <c r="Q114" s="530"/>
      <c r="R114" s="530"/>
      <c r="S114" s="528"/>
      <c r="T114" s="659"/>
      <c r="U114" s="528"/>
      <c r="V114" s="530"/>
      <c r="W114" s="530"/>
      <c r="X114" s="528"/>
      <c r="Y114" s="659"/>
      <c r="Z114" s="528"/>
      <c r="AA114" s="530"/>
      <c r="AB114" s="530"/>
      <c r="AC114" s="528"/>
      <c r="AD114" s="659"/>
      <c r="AE114" s="528"/>
      <c r="AF114" s="530"/>
      <c r="AG114" s="530"/>
      <c r="AH114" s="528"/>
      <c r="AI114" s="659"/>
      <c r="AJ114" s="528"/>
      <c r="AK114" s="530"/>
      <c r="AL114" s="530"/>
      <c r="AM114" s="528"/>
      <c r="AN114" s="659"/>
      <c r="AO114" s="528"/>
      <c r="AP114" s="530"/>
      <c r="AQ114" s="530"/>
      <c r="AR114" s="528"/>
      <c r="AS114" s="659"/>
      <c r="AT114" s="528"/>
      <c r="AU114" s="530"/>
      <c r="AV114" s="530"/>
      <c r="AW114" s="528"/>
      <c r="AX114" s="659"/>
      <c r="AZ114" s="379" t="e">
        <f t="shared" si="56"/>
        <v>#N/A</v>
      </c>
      <c r="BA114" s="694"/>
    </row>
    <row r="115" spans="2:53">
      <c r="B115" s="669"/>
      <c r="C115" s="352">
        <v>9</v>
      </c>
      <c r="D115" s="356"/>
      <c r="E115" s="356"/>
      <c r="F115" s="356"/>
      <c r="G115" s="181"/>
      <c r="H115" s="671"/>
      <c r="I115" s="367" t="str">
        <f t="shared" si="53"/>
        <v>-</v>
      </c>
      <c r="J115" s="367" t="str">
        <f t="shared" si="54"/>
        <v>-</v>
      </c>
      <c r="K115" s="199" t="str">
        <f t="shared" si="55"/>
        <v>-</v>
      </c>
      <c r="L115" s="617"/>
      <c r="M115" s="353" t="e">
        <f>RANK(K115, K$107:$K$121)</f>
        <v>#VALUE!</v>
      </c>
      <c r="N115" s="635"/>
      <c r="O115" s="635"/>
      <c r="P115" s="528"/>
      <c r="Q115" s="530"/>
      <c r="R115" s="530"/>
      <c r="S115" s="528"/>
      <c r="T115" s="659"/>
      <c r="U115" s="528"/>
      <c r="V115" s="530"/>
      <c r="W115" s="530"/>
      <c r="X115" s="528"/>
      <c r="Y115" s="659"/>
      <c r="Z115" s="528"/>
      <c r="AA115" s="530"/>
      <c r="AB115" s="530"/>
      <c r="AC115" s="528"/>
      <c r="AD115" s="659"/>
      <c r="AE115" s="528"/>
      <c r="AF115" s="530"/>
      <c r="AG115" s="530"/>
      <c r="AH115" s="528"/>
      <c r="AI115" s="659"/>
      <c r="AJ115" s="528"/>
      <c r="AK115" s="530"/>
      <c r="AL115" s="530"/>
      <c r="AM115" s="528"/>
      <c r="AN115" s="659"/>
      <c r="AO115" s="528"/>
      <c r="AP115" s="530"/>
      <c r="AQ115" s="530"/>
      <c r="AR115" s="528"/>
      <c r="AS115" s="659"/>
      <c r="AT115" s="528"/>
      <c r="AU115" s="530"/>
      <c r="AV115" s="530"/>
      <c r="AW115" s="528"/>
      <c r="AX115" s="659"/>
      <c r="AZ115" s="379" t="e">
        <f t="shared" si="56"/>
        <v>#N/A</v>
      </c>
      <c r="BA115" s="694"/>
    </row>
    <row r="116" spans="2:53">
      <c r="B116" s="669"/>
      <c r="C116" s="352">
        <v>10</v>
      </c>
      <c r="D116" s="356"/>
      <c r="E116" s="356"/>
      <c r="F116" s="356"/>
      <c r="G116" s="181"/>
      <c r="H116" s="671"/>
      <c r="I116" s="367" t="str">
        <f t="shared" si="53"/>
        <v>-</v>
      </c>
      <c r="J116" s="367" t="str">
        <f t="shared" si="54"/>
        <v>-</v>
      </c>
      <c r="K116" s="199" t="str">
        <f t="shared" si="55"/>
        <v>-</v>
      </c>
      <c r="L116" s="617"/>
      <c r="M116" s="353" t="e">
        <f>RANK(K116, K$107:$K$121)</f>
        <v>#VALUE!</v>
      </c>
      <c r="N116" s="635"/>
      <c r="O116" s="635"/>
      <c r="P116" s="528"/>
      <c r="Q116" s="530"/>
      <c r="R116" s="530"/>
      <c r="S116" s="528"/>
      <c r="T116" s="659"/>
      <c r="U116" s="528"/>
      <c r="V116" s="530"/>
      <c r="W116" s="530"/>
      <c r="X116" s="528"/>
      <c r="Y116" s="659"/>
      <c r="Z116" s="528"/>
      <c r="AA116" s="530"/>
      <c r="AB116" s="530"/>
      <c r="AC116" s="528"/>
      <c r="AD116" s="659"/>
      <c r="AE116" s="528"/>
      <c r="AF116" s="530"/>
      <c r="AG116" s="530"/>
      <c r="AH116" s="528"/>
      <c r="AI116" s="659"/>
      <c r="AJ116" s="528"/>
      <c r="AK116" s="530"/>
      <c r="AL116" s="530"/>
      <c r="AM116" s="528"/>
      <c r="AN116" s="659"/>
      <c r="AO116" s="528"/>
      <c r="AP116" s="530"/>
      <c r="AQ116" s="530"/>
      <c r="AR116" s="528"/>
      <c r="AS116" s="659"/>
      <c r="AT116" s="528"/>
      <c r="AU116" s="530"/>
      <c r="AV116" s="530"/>
      <c r="AW116" s="528"/>
      <c r="AX116" s="659"/>
      <c r="AZ116" s="379" t="e">
        <f t="shared" si="56"/>
        <v>#N/A</v>
      </c>
      <c r="BA116" s="694"/>
    </row>
    <row r="117" spans="2:53">
      <c r="B117" s="669"/>
      <c r="C117" s="352">
        <v>11</v>
      </c>
      <c r="D117" s="356"/>
      <c r="E117" s="356"/>
      <c r="F117" s="356"/>
      <c r="G117" s="181"/>
      <c r="H117" s="671"/>
      <c r="I117" s="367" t="str">
        <f t="shared" si="53"/>
        <v>-</v>
      </c>
      <c r="J117" s="367" t="str">
        <f t="shared" si="54"/>
        <v>-</v>
      </c>
      <c r="K117" s="199" t="str">
        <f t="shared" si="55"/>
        <v>-</v>
      </c>
      <c r="L117" s="617"/>
      <c r="M117" s="353" t="e">
        <f>RANK(K117, K$107:$K$121)</f>
        <v>#VALUE!</v>
      </c>
      <c r="N117" s="635"/>
      <c r="O117" s="635"/>
      <c r="P117" s="528"/>
      <c r="Q117" s="530"/>
      <c r="R117" s="530"/>
      <c r="S117" s="528"/>
      <c r="T117" s="659"/>
      <c r="U117" s="528"/>
      <c r="V117" s="530"/>
      <c r="W117" s="530"/>
      <c r="X117" s="528"/>
      <c r="Y117" s="659"/>
      <c r="Z117" s="528"/>
      <c r="AA117" s="530"/>
      <c r="AB117" s="530"/>
      <c r="AC117" s="528"/>
      <c r="AD117" s="659"/>
      <c r="AE117" s="528"/>
      <c r="AF117" s="530"/>
      <c r="AG117" s="530"/>
      <c r="AH117" s="528"/>
      <c r="AI117" s="659"/>
      <c r="AJ117" s="528"/>
      <c r="AK117" s="530"/>
      <c r="AL117" s="530"/>
      <c r="AM117" s="528"/>
      <c r="AN117" s="659"/>
      <c r="AO117" s="528"/>
      <c r="AP117" s="530"/>
      <c r="AQ117" s="530"/>
      <c r="AR117" s="528"/>
      <c r="AS117" s="659"/>
      <c r="AT117" s="528"/>
      <c r="AU117" s="530"/>
      <c r="AV117" s="530"/>
      <c r="AW117" s="528"/>
      <c r="AX117" s="659"/>
      <c r="AZ117" s="379" t="e">
        <f t="shared" si="56"/>
        <v>#N/A</v>
      </c>
      <c r="BA117" s="694"/>
    </row>
    <row r="118" spans="2:53">
      <c r="B118" s="669"/>
      <c r="C118" s="352">
        <v>12</v>
      </c>
      <c r="D118" s="356"/>
      <c r="E118" s="356"/>
      <c r="F118" s="356"/>
      <c r="G118" s="181"/>
      <c r="H118" s="671"/>
      <c r="I118" s="367" t="str">
        <f t="shared" si="53"/>
        <v>-</v>
      </c>
      <c r="J118" s="367" t="str">
        <f t="shared" si="54"/>
        <v>-</v>
      </c>
      <c r="K118" s="199" t="str">
        <f t="shared" si="55"/>
        <v>-</v>
      </c>
      <c r="L118" s="617"/>
      <c r="M118" s="353" t="e">
        <f>RANK(K118, K$107:$K$121)</f>
        <v>#VALUE!</v>
      </c>
      <c r="N118" s="635"/>
      <c r="O118" s="635"/>
      <c r="P118" s="528"/>
      <c r="Q118" s="530"/>
      <c r="R118" s="530"/>
      <c r="S118" s="528"/>
      <c r="T118" s="659"/>
      <c r="U118" s="528"/>
      <c r="V118" s="530"/>
      <c r="W118" s="530"/>
      <c r="X118" s="528"/>
      <c r="Y118" s="659"/>
      <c r="Z118" s="528"/>
      <c r="AA118" s="530"/>
      <c r="AB118" s="530"/>
      <c r="AC118" s="528"/>
      <c r="AD118" s="659"/>
      <c r="AE118" s="528"/>
      <c r="AF118" s="530"/>
      <c r="AG118" s="530"/>
      <c r="AH118" s="528"/>
      <c r="AI118" s="659"/>
      <c r="AJ118" s="528"/>
      <c r="AK118" s="530"/>
      <c r="AL118" s="530"/>
      <c r="AM118" s="528"/>
      <c r="AN118" s="659"/>
      <c r="AO118" s="528"/>
      <c r="AP118" s="530"/>
      <c r="AQ118" s="530"/>
      <c r="AR118" s="528"/>
      <c r="AS118" s="659"/>
      <c r="AT118" s="528"/>
      <c r="AU118" s="530"/>
      <c r="AV118" s="530"/>
      <c r="AW118" s="528"/>
      <c r="AX118" s="659"/>
      <c r="AZ118" s="379" t="e">
        <f t="shared" si="56"/>
        <v>#N/A</v>
      </c>
      <c r="BA118" s="694"/>
    </row>
    <row r="119" spans="2:53">
      <c r="B119" s="669"/>
      <c r="C119" s="352">
        <v>13</v>
      </c>
      <c r="D119" s="356"/>
      <c r="E119" s="356"/>
      <c r="F119" s="356"/>
      <c r="G119" s="181"/>
      <c r="H119" s="671"/>
      <c r="I119" s="367" t="str">
        <f t="shared" si="53"/>
        <v>-</v>
      </c>
      <c r="J119" s="367" t="str">
        <f t="shared" si="54"/>
        <v>-</v>
      </c>
      <c r="K119" s="199" t="str">
        <f t="shared" si="55"/>
        <v>-</v>
      </c>
      <c r="L119" s="617"/>
      <c r="M119" s="353" t="e">
        <f>RANK(K119, K$107:$K$121)</f>
        <v>#VALUE!</v>
      </c>
      <c r="N119" s="635"/>
      <c r="O119" s="635"/>
      <c r="P119" s="528"/>
      <c r="Q119" s="530"/>
      <c r="R119" s="530"/>
      <c r="S119" s="528"/>
      <c r="T119" s="659"/>
      <c r="U119" s="528"/>
      <c r="V119" s="530"/>
      <c r="W119" s="530"/>
      <c r="X119" s="528"/>
      <c r="Y119" s="659"/>
      <c r="Z119" s="528"/>
      <c r="AA119" s="530"/>
      <c r="AB119" s="530"/>
      <c r="AC119" s="528"/>
      <c r="AD119" s="659"/>
      <c r="AE119" s="528"/>
      <c r="AF119" s="530"/>
      <c r="AG119" s="530"/>
      <c r="AH119" s="528"/>
      <c r="AI119" s="659"/>
      <c r="AJ119" s="528"/>
      <c r="AK119" s="530"/>
      <c r="AL119" s="530"/>
      <c r="AM119" s="528"/>
      <c r="AN119" s="659"/>
      <c r="AO119" s="528"/>
      <c r="AP119" s="530"/>
      <c r="AQ119" s="530"/>
      <c r="AR119" s="528"/>
      <c r="AS119" s="659"/>
      <c r="AT119" s="528"/>
      <c r="AU119" s="530"/>
      <c r="AV119" s="530"/>
      <c r="AW119" s="528"/>
      <c r="AX119" s="659"/>
      <c r="AZ119" s="379" t="e">
        <f t="shared" si="56"/>
        <v>#N/A</v>
      </c>
      <c r="BA119" s="694"/>
    </row>
    <row r="120" spans="2:53">
      <c r="B120" s="669"/>
      <c r="C120" s="352">
        <v>14</v>
      </c>
      <c r="D120" s="356"/>
      <c r="E120" s="356"/>
      <c r="F120" s="356"/>
      <c r="G120" s="181"/>
      <c r="H120" s="671"/>
      <c r="I120" s="367" t="str">
        <f t="shared" si="53"/>
        <v>-</v>
      </c>
      <c r="J120" s="367" t="str">
        <f t="shared" si="54"/>
        <v>-</v>
      </c>
      <c r="K120" s="199" t="str">
        <f t="shared" si="55"/>
        <v>-</v>
      </c>
      <c r="L120" s="617"/>
      <c r="M120" s="353" t="e">
        <f>RANK(K120, K$107:$K$121)</f>
        <v>#VALUE!</v>
      </c>
      <c r="N120" s="635"/>
      <c r="O120" s="635"/>
      <c r="P120" s="528"/>
      <c r="Q120" s="530"/>
      <c r="R120" s="530"/>
      <c r="S120" s="528"/>
      <c r="T120" s="659"/>
      <c r="U120" s="528"/>
      <c r="V120" s="530"/>
      <c r="W120" s="530"/>
      <c r="X120" s="528"/>
      <c r="Y120" s="659"/>
      <c r="Z120" s="528"/>
      <c r="AA120" s="530"/>
      <c r="AB120" s="530"/>
      <c r="AC120" s="528"/>
      <c r="AD120" s="659"/>
      <c r="AE120" s="528"/>
      <c r="AF120" s="530"/>
      <c r="AG120" s="530"/>
      <c r="AH120" s="528"/>
      <c r="AI120" s="659"/>
      <c r="AJ120" s="528"/>
      <c r="AK120" s="530"/>
      <c r="AL120" s="530"/>
      <c r="AM120" s="528"/>
      <c r="AN120" s="659"/>
      <c r="AO120" s="528"/>
      <c r="AP120" s="530"/>
      <c r="AQ120" s="530"/>
      <c r="AR120" s="528"/>
      <c r="AS120" s="659"/>
      <c r="AT120" s="528"/>
      <c r="AU120" s="530"/>
      <c r="AV120" s="530"/>
      <c r="AW120" s="528"/>
      <c r="AX120" s="659"/>
      <c r="AZ120" s="379" t="e">
        <f t="shared" si="56"/>
        <v>#N/A</v>
      </c>
      <c r="BA120" s="694"/>
    </row>
    <row r="121" spans="2:53">
      <c r="B121" s="669"/>
      <c r="C121" s="352">
        <v>15</v>
      </c>
      <c r="D121" s="356"/>
      <c r="E121" s="356"/>
      <c r="F121" s="356"/>
      <c r="G121" s="356"/>
      <c r="H121" s="680"/>
      <c r="I121" s="367" t="str">
        <f t="shared" si="53"/>
        <v>-</v>
      </c>
      <c r="J121" s="367" t="str">
        <f t="shared" si="54"/>
        <v>-</v>
      </c>
      <c r="K121" s="199" t="str">
        <f t="shared" si="55"/>
        <v>-</v>
      </c>
      <c r="L121" s="618"/>
      <c r="M121" s="353" t="e">
        <f>RANK(K121, K$107:$K$121)</f>
        <v>#VALUE!</v>
      </c>
      <c r="N121" s="635"/>
      <c r="O121" s="635"/>
      <c r="P121" s="528"/>
      <c r="Q121" s="530"/>
      <c r="R121" s="530"/>
      <c r="S121" s="528"/>
      <c r="T121" s="659"/>
      <c r="U121" s="528"/>
      <c r="V121" s="530"/>
      <c r="W121" s="530"/>
      <c r="X121" s="528"/>
      <c r="Y121" s="659"/>
      <c r="Z121" s="528"/>
      <c r="AA121" s="530"/>
      <c r="AB121" s="530"/>
      <c r="AC121" s="528"/>
      <c r="AD121" s="659"/>
      <c r="AE121" s="528"/>
      <c r="AF121" s="530"/>
      <c r="AG121" s="530"/>
      <c r="AH121" s="528"/>
      <c r="AI121" s="659"/>
      <c r="AJ121" s="528"/>
      <c r="AK121" s="530"/>
      <c r="AL121" s="530"/>
      <c r="AM121" s="528"/>
      <c r="AN121" s="659"/>
      <c r="AO121" s="528"/>
      <c r="AP121" s="530"/>
      <c r="AQ121" s="530"/>
      <c r="AR121" s="528"/>
      <c r="AS121" s="659"/>
      <c r="AT121" s="528"/>
      <c r="AU121" s="530"/>
      <c r="AV121" s="530"/>
      <c r="AW121" s="528"/>
      <c r="AX121" s="659"/>
      <c r="AZ121" s="379" t="e">
        <f t="shared" si="56"/>
        <v>#N/A</v>
      </c>
      <c r="BA121" s="694"/>
    </row>
    <row r="123" spans="2:53" ht="15.75">
      <c r="B123" s="672" t="s">
        <v>475</v>
      </c>
      <c r="C123" s="673"/>
      <c r="D123" s="673"/>
      <c r="E123" s="673"/>
      <c r="F123" s="673"/>
      <c r="G123" s="673"/>
      <c r="H123" s="674"/>
      <c r="I123" s="311"/>
      <c r="J123" s="311"/>
      <c r="K123" s="311"/>
      <c r="L123" s="311"/>
      <c r="M123" s="312"/>
    </row>
    <row r="124" spans="2:53" ht="15.75">
      <c r="B124" s="675"/>
      <c r="C124" s="675"/>
      <c r="D124" s="675"/>
      <c r="E124" s="675"/>
      <c r="F124" s="675"/>
      <c r="G124" s="675"/>
      <c r="H124" s="675"/>
      <c r="I124" s="313"/>
      <c r="J124" s="313"/>
      <c r="K124" s="313"/>
      <c r="L124" s="313"/>
      <c r="M124" s="314"/>
    </row>
    <row r="125" spans="2:53">
      <c r="B125" s="635" t="s">
        <v>476</v>
      </c>
      <c r="C125" s="635" t="s">
        <v>477</v>
      </c>
      <c r="D125" s="635"/>
      <c r="E125" s="635" t="s">
        <v>478</v>
      </c>
      <c r="F125" s="635"/>
      <c r="G125" s="635"/>
      <c r="H125" s="636" t="s">
        <v>479</v>
      </c>
      <c r="I125" s="676" t="s">
        <v>480</v>
      </c>
      <c r="J125" s="676"/>
      <c r="K125" s="676"/>
      <c r="L125" s="688" t="s">
        <v>479</v>
      </c>
      <c r="M125" s="691" t="s">
        <v>481</v>
      </c>
    </row>
    <row r="126" spans="2:53">
      <c r="B126" s="635"/>
      <c r="C126" s="635"/>
      <c r="D126" s="635"/>
      <c r="E126" s="635" t="s">
        <v>482</v>
      </c>
      <c r="F126" s="635"/>
      <c r="G126" s="635"/>
      <c r="H126" s="637"/>
      <c r="I126" s="676" t="s">
        <v>482</v>
      </c>
      <c r="J126" s="676"/>
      <c r="K126" s="676"/>
      <c r="L126" s="689"/>
      <c r="M126" s="692"/>
    </row>
    <row r="127" spans="2:53">
      <c r="B127" s="635"/>
      <c r="C127" s="635"/>
      <c r="D127" s="635"/>
      <c r="E127" s="308" t="s">
        <v>483</v>
      </c>
      <c r="F127" s="308" t="s">
        <v>484</v>
      </c>
      <c r="G127" s="308" t="s">
        <v>485</v>
      </c>
      <c r="H127" s="638"/>
      <c r="I127" s="315" t="s">
        <v>483</v>
      </c>
      <c r="J127" s="315" t="s">
        <v>484</v>
      </c>
      <c r="K127" s="315" t="s">
        <v>485</v>
      </c>
      <c r="L127" s="690"/>
      <c r="M127" s="693"/>
    </row>
    <row r="128" spans="2:53">
      <c r="B128" s="679" t="s">
        <v>487</v>
      </c>
      <c r="C128" s="307">
        <v>1</v>
      </c>
      <c r="D128" s="225"/>
      <c r="E128" s="181"/>
      <c r="F128" s="307"/>
      <c r="G128" s="310"/>
      <c r="H128" s="681" t="e">
        <f>AVERAGE(G128:G142)</f>
        <v>#DIV/0!</v>
      </c>
      <c r="I128" s="198" t="e">
        <f t="shared" ref="I128:K134" si="58">AVERAGEIF($D$7:$D$121,$D128,I$7:I$121)</f>
        <v>#DIV/0!</v>
      </c>
      <c r="J128" s="198" t="e">
        <f t="shared" si="58"/>
        <v>#DIV/0!</v>
      </c>
      <c r="K128" s="198" t="e">
        <f>AVERAGEIF($D$7:$D$121,$D128,K$7:K$121)</f>
        <v>#DIV/0!</v>
      </c>
      <c r="L128" s="685" t="e">
        <f>AVERAGE(K128:K142)</f>
        <v>#DIV/0!</v>
      </c>
      <c r="M128" s="198" t="e">
        <f>RANK(K128, K$128:$K$142)</f>
        <v>#DIV/0!</v>
      </c>
    </row>
    <row r="129" spans="2:39">
      <c r="B129" s="646"/>
      <c r="C129" s="307">
        <v>2</v>
      </c>
      <c r="D129" s="225"/>
      <c r="E129" s="181"/>
      <c r="F129" s="307"/>
      <c r="G129" s="310"/>
      <c r="H129" s="682"/>
      <c r="I129" s="198" t="e">
        <f t="shared" si="58"/>
        <v>#DIV/0!</v>
      </c>
      <c r="J129" s="198" t="e">
        <f t="shared" si="58"/>
        <v>#DIV/0!</v>
      </c>
      <c r="K129" s="198" t="e">
        <f t="shared" si="58"/>
        <v>#DIV/0!</v>
      </c>
      <c r="L129" s="686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6"/>
      <c r="C130" s="307">
        <v>3</v>
      </c>
      <c r="D130" s="225"/>
      <c r="E130" s="181"/>
      <c r="F130" s="307"/>
      <c r="G130" s="310"/>
      <c r="H130" s="682"/>
      <c r="I130" s="198" t="e">
        <f t="shared" si="58"/>
        <v>#DIV/0!</v>
      </c>
      <c r="J130" s="198" t="e">
        <f t="shared" si="58"/>
        <v>#DIV/0!</v>
      </c>
      <c r="K130" s="198" t="e">
        <f t="shared" si="58"/>
        <v>#DIV/0!</v>
      </c>
      <c r="L130" s="686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6"/>
      <c r="C131" s="307">
        <v>4</v>
      </c>
      <c r="D131" s="225"/>
      <c r="E131" s="181"/>
      <c r="F131" s="307"/>
      <c r="G131" s="310"/>
      <c r="H131" s="682"/>
      <c r="I131" s="198" t="e">
        <f t="shared" si="58"/>
        <v>#DIV/0!</v>
      </c>
      <c r="J131" s="198" t="e">
        <f t="shared" si="58"/>
        <v>#DIV/0!</v>
      </c>
      <c r="K131" s="198" t="e">
        <f t="shared" si="58"/>
        <v>#DIV/0!</v>
      </c>
      <c r="L131" s="686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6"/>
      <c r="C132" s="307">
        <v>5</v>
      </c>
      <c r="D132" s="225"/>
      <c r="E132" s="181"/>
      <c r="F132" s="307"/>
      <c r="G132" s="310"/>
      <c r="H132" s="682"/>
      <c r="I132" s="198" t="e">
        <f t="shared" si="58"/>
        <v>#DIV/0!</v>
      </c>
      <c r="J132" s="198" t="e">
        <f t="shared" si="58"/>
        <v>#DIV/0!</v>
      </c>
      <c r="K132" s="198" t="e">
        <f t="shared" si="58"/>
        <v>#DIV/0!</v>
      </c>
      <c r="L132" s="686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6"/>
      <c r="C133" s="307">
        <v>6</v>
      </c>
      <c r="D133" s="316"/>
      <c r="E133" s="181"/>
      <c r="F133" s="307"/>
      <c r="G133" s="310"/>
      <c r="H133" s="682"/>
      <c r="I133" s="198" t="e">
        <f t="shared" si="58"/>
        <v>#DIV/0!</v>
      </c>
      <c r="J133" s="198" t="e">
        <f t="shared" si="58"/>
        <v>#DIV/0!</v>
      </c>
      <c r="K133" s="198" t="e">
        <f t="shared" si="58"/>
        <v>#DIV/0!</v>
      </c>
      <c r="L133" s="686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6"/>
      <c r="C134" s="307">
        <v>7</v>
      </c>
      <c r="D134" s="225"/>
      <c r="E134" s="181"/>
      <c r="F134" s="307"/>
      <c r="G134" s="310"/>
      <c r="H134" s="682"/>
      <c r="I134" s="198" t="e">
        <f t="shared" si="58"/>
        <v>#DIV/0!</v>
      </c>
      <c r="J134" s="198" t="e">
        <f t="shared" si="58"/>
        <v>#DIV/0!</v>
      </c>
      <c r="K134" s="198" t="e">
        <f t="shared" si="58"/>
        <v>#DIV/0!</v>
      </c>
      <c r="L134" s="686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6"/>
      <c r="C135" s="307">
        <v>8</v>
      </c>
      <c r="D135" s="225"/>
      <c r="E135" s="181"/>
      <c r="F135" s="307"/>
      <c r="G135" s="310"/>
      <c r="H135" s="682"/>
      <c r="I135" s="198"/>
      <c r="J135" s="198"/>
      <c r="K135" s="198"/>
      <c r="L135" s="686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6"/>
      <c r="C136" s="307">
        <v>9</v>
      </c>
      <c r="D136" s="225"/>
      <c r="E136" s="307"/>
      <c r="F136" s="307"/>
      <c r="G136" s="307"/>
      <c r="H136" s="682"/>
      <c r="I136" s="198"/>
      <c r="J136" s="198"/>
      <c r="K136" s="198"/>
      <c r="L136" s="686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6"/>
      <c r="C137" s="307">
        <v>10</v>
      </c>
      <c r="D137" s="225"/>
      <c r="E137" s="307"/>
      <c r="F137" s="307"/>
      <c r="G137" s="307"/>
      <c r="H137" s="682"/>
      <c r="I137" s="198"/>
      <c r="J137" s="198"/>
      <c r="K137" s="198"/>
      <c r="L137" s="686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6"/>
      <c r="C138" s="307">
        <v>11</v>
      </c>
      <c r="D138" s="225"/>
      <c r="E138" s="307"/>
      <c r="F138" s="307"/>
      <c r="G138" s="307"/>
      <c r="H138" s="682"/>
      <c r="I138" s="198"/>
      <c r="J138" s="198"/>
      <c r="K138" s="198"/>
      <c r="L138" s="686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6"/>
      <c r="C139" s="307">
        <v>12</v>
      </c>
      <c r="D139" s="225"/>
      <c r="E139" s="307"/>
      <c r="F139" s="307"/>
      <c r="G139" s="307"/>
      <c r="H139" s="682"/>
      <c r="I139" s="198"/>
      <c r="J139" s="198"/>
      <c r="K139" s="198"/>
      <c r="L139" s="686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6"/>
      <c r="C140" s="307">
        <v>13</v>
      </c>
      <c r="D140" s="225"/>
      <c r="E140" s="307"/>
      <c r="F140" s="307"/>
      <c r="G140" s="307"/>
      <c r="H140" s="682"/>
      <c r="I140" s="198"/>
      <c r="J140" s="198"/>
      <c r="K140" s="198"/>
      <c r="L140" s="686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6"/>
      <c r="C141" s="307">
        <v>14</v>
      </c>
      <c r="D141" s="225"/>
      <c r="E141" s="307"/>
      <c r="F141" s="307"/>
      <c r="G141" s="307"/>
      <c r="H141" s="682"/>
      <c r="I141" s="198"/>
      <c r="J141" s="198"/>
      <c r="K141" s="198"/>
      <c r="L141" s="686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6"/>
      <c r="C142" s="307">
        <v>15</v>
      </c>
      <c r="D142" s="225"/>
      <c r="E142" s="307"/>
      <c r="F142" s="307"/>
      <c r="G142" s="307"/>
      <c r="H142" s="683"/>
      <c r="I142" s="198"/>
      <c r="J142" s="198"/>
      <c r="K142" s="198"/>
      <c r="L142" s="687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80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Y27:AY4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37" zoomScale="55" zoomScaleNormal="55" workbookViewId="0">
      <pane xSplit="15" topLeftCell="AI1" activePane="topRight" state="frozen"/>
      <selection activeCell="D10" sqref="D10"/>
      <selection pane="topRight" activeCell="D67" sqref="D67:D75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223.8781959206018</v>
      </c>
    </row>
    <row r="2" spans="1:53" ht="15.75">
      <c r="A2" s="81"/>
      <c r="B2" s="650" t="s">
        <v>162</v>
      </c>
      <c r="C2" s="650"/>
      <c r="D2" s="650"/>
      <c r="E2" s="650"/>
      <c r="F2" s="650"/>
      <c r="G2" s="650"/>
      <c r="H2" s="650"/>
      <c r="I2" s="288"/>
      <c r="J2" s="288"/>
      <c r="K2" s="288"/>
      <c r="L2" s="288"/>
      <c r="M2" s="196"/>
      <c r="N2" s="639" t="s">
        <v>156</v>
      </c>
      <c r="O2" s="639" t="s">
        <v>155</v>
      </c>
      <c r="P2" s="645">
        <v>46203</v>
      </c>
      <c r="Q2" s="646"/>
      <c r="R2" s="646"/>
      <c r="S2" s="646"/>
      <c r="T2" s="646"/>
      <c r="U2" s="642">
        <f>P2+1</f>
        <v>46204</v>
      </c>
      <c r="V2" s="643"/>
      <c r="W2" s="643"/>
      <c r="X2" s="643"/>
      <c r="Y2" s="644"/>
      <c r="Z2" s="642">
        <f>U2+1</f>
        <v>46205</v>
      </c>
      <c r="AA2" s="643"/>
      <c r="AB2" s="643"/>
      <c r="AC2" s="643"/>
      <c r="AD2" s="644"/>
      <c r="AE2" s="642">
        <f>Z2+1</f>
        <v>46206</v>
      </c>
      <c r="AF2" s="643"/>
      <c r="AG2" s="643"/>
      <c r="AH2" s="643"/>
      <c r="AI2" s="644"/>
      <c r="AJ2" s="642">
        <f>AE2+1</f>
        <v>46207</v>
      </c>
      <c r="AK2" s="643"/>
      <c r="AL2" s="643"/>
      <c r="AM2" s="643"/>
      <c r="AN2" s="644"/>
      <c r="AO2" s="642">
        <f>AJ2+1</f>
        <v>46208</v>
      </c>
      <c r="AP2" s="643"/>
      <c r="AQ2" s="643"/>
      <c r="AR2" s="643"/>
      <c r="AS2" s="644"/>
      <c r="AT2" s="642">
        <f>AO2+1</f>
        <v>46209</v>
      </c>
      <c r="AU2" s="643"/>
      <c r="AV2" s="643"/>
      <c r="AW2" s="643"/>
      <c r="AX2" s="644"/>
    </row>
    <row r="3" spans="1:53" ht="15.75">
      <c r="A3" s="81"/>
      <c r="B3" s="684"/>
      <c r="C3" s="684"/>
      <c r="D3" s="684"/>
      <c r="E3" s="684"/>
      <c r="F3" s="684"/>
      <c r="G3" s="684"/>
      <c r="H3" s="684"/>
      <c r="I3" s="289"/>
      <c r="J3" s="289"/>
      <c r="K3" s="289"/>
      <c r="L3" s="289"/>
      <c r="M3" s="197"/>
      <c r="N3" s="641"/>
      <c r="O3" s="641"/>
      <c r="P3" s="645" t="s">
        <v>158</v>
      </c>
      <c r="Q3" s="646"/>
      <c r="R3" s="646"/>
      <c r="S3" s="646"/>
      <c r="T3" s="646"/>
      <c r="U3" s="645" t="s">
        <v>114</v>
      </c>
      <c r="V3" s="646"/>
      <c r="W3" s="646"/>
      <c r="X3" s="646"/>
      <c r="Y3" s="646"/>
      <c r="Z3" s="645" t="s">
        <v>159</v>
      </c>
      <c r="AA3" s="646"/>
      <c r="AB3" s="646"/>
      <c r="AC3" s="646"/>
      <c r="AD3" s="646"/>
      <c r="AE3" s="645" t="s">
        <v>157</v>
      </c>
      <c r="AF3" s="646"/>
      <c r="AG3" s="646"/>
      <c r="AH3" s="646"/>
      <c r="AI3" s="646"/>
      <c r="AJ3" s="645" t="s">
        <v>160</v>
      </c>
      <c r="AK3" s="646"/>
      <c r="AL3" s="646"/>
      <c r="AM3" s="646"/>
      <c r="AN3" s="646"/>
      <c r="AO3" s="645" t="s">
        <v>115</v>
      </c>
      <c r="AP3" s="646"/>
      <c r="AQ3" s="646"/>
      <c r="AR3" s="646"/>
      <c r="AS3" s="646"/>
      <c r="AT3" s="645" t="s">
        <v>161</v>
      </c>
      <c r="AU3" s="646"/>
      <c r="AV3" s="646"/>
      <c r="AW3" s="646"/>
      <c r="AX3" s="646"/>
    </row>
    <row r="4" spans="1:53" ht="14.25">
      <c r="A4" s="81"/>
      <c r="B4" s="635" t="s">
        <v>154</v>
      </c>
      <c r="C4" s="635" t="s">
        <v>382</v>
      </c>
      <c r="D4" s="635"/>
      <c r="E4" s="635" t="s">
        <v>373</v>
      </c>
      <c r="F4" s="635"/>
      <c r="G4" s="635"/>
      <c r="H4" s="636" t="s">
        <v>369</v>
      </c>
      <c r="I4" s="619" t="s">
        <v>374</v>
      </c>
      <c r="J4" s="619"/>
      <c r="K4" s="619"/>
      <c r="L4" s="620" t="s">
        <v>369</v>
      </c>
      <c r="M4" s="626" t="s">
        <v>370</v>
      </c>
      <c r="N4" s="635"/>
      <c r="O4" s="635" t="s">
        <v>375</v>
      </c>
      <c r="P4" s="632" t="s">
        <v>371</v>
      </c>
      <c r="Q4" s="633"/>
      <c r="R4" s="633"/>
      <c r="S4" s="634"/>
      <c r="T4" s="635" t="s">
        <v>369</v>
      </c>
      <c r="U4" s="632" t="s">
        <v>371</v>
      </c>
      <c r="V4" s="633"/>
      <c r="W4" s="633"/>
      <c r="X4" s="634"/>
      <c r="Y4" s="635" t="s">
        <v>369</v>
      </c>
      <c r="Z4" s="632" t="s">
        <v>371</v>
      </c>
      <c r="AA4" s="633"/>
      <c r="AB4" s="633"/>
      <c r="AC4" s="634"/>
      <c r="AD4" s="635" t="s">
        <v>369</v>
      </c>
      <c r="AE4" s="632" t="s">
        <v>371</v>
      </c>
      <c r="AF4" s="633"/>
      <c r="AG4" s="633"/>
      <c r="AH4" s="634"/>
      <c r="AI4" s="635" t="s">
        <v>369</v>
      </c>
      <c r="AJ4" s="632" t="s">
        <v>371</v>
      </c>
      <c r="AK4" s="633"/>
      <c r="AL4" s="633"/>
      <c r="AM4" s="634"/>
      <c r="AN4" s="635" t="s">
        <v>369</v>
      </c>
      <c r="AO4" s="632" t="s">
        <v>371</v>
      </c>
      <c r="AP4" s="633"/>
      <c r="AQ4" s="633"/>
      <c r="AR4" s="634"/>
      <c r="AS4" s="635" t="s">
        <v>369</v>
      </c>
      <c r="AT4" s="632" t="s">
        <v>371</v>
      </c>
      <c r="AU4" s="633"/>
      <c r="AV4" s="633"/>
      <c r="AW4" s="634"/>
      <c r="AX4" s="635" t="s">
        <v>369</v>
      </c>
      <c r="BA4" s="635" t="s">
        <v>369</v>
      </c>
    </row>
    <row r="5" spans="1:53" ht="14.25">
      <c r="A5" s="81"/>
      <c r="B5" s="635"/>
      <c r="C5" s="635"/>
      <c r="D5" s="635"/>
      <c r="E5" s="635" t="s">
        <v>376</v>
      </c>
      <c r="F5" s="635"/>
      <c r="G5" s="635"/>
      <c r="H5" s="637"/>
      <c r="I5" s="619" t="s">
        <v>376</v>
      </c>
      <c r="J5" s="619"/>
      <c r="K5" s="619"/>
      <c r="L5" s="621"/>
      <c r="M5" s="627"/>
      <c r="N5" s="635"/>
      <c r="O5" s="635"/>
      <c r="P5" s="632" t="s">
        <v>377</v>
      </c>
      <c r="Q5" s="633"/>
      <c r="R5" s="633"/>
      <c r="S5" s="634"/>
      <c r="T5" s="635"/>
      <c r="U5" s="632" t="s">
        <v>377</v>
      </c>
      <c r="V5" s="633"/>
      <c r="W5" s="633"/>
      <c r="X5" s="634"/>
      <c r="Y5" s="635"/>
      <c r="Z5" s="632" t="s">
        <v>377</v>
      </c>
      <c r="AA5" s="633"/>
      <c r="AB5" s="633"/>
      <c r="AC5" s="634"/>
      <c r="AD5" s="635"/>
      <c r="AE5" s="632" t="s">
        <v>377</v>
      </c>
      <c r="AF5" s="633"/>
      <c r="AG5" s="633"/>
      <c r="AH5" s="634"/>
      <c r="AI5" s="635"/>
      <c r="AJ5" s="632" t="s">
        <v>377</v>
      </c>
      <c r="AK5" s="633"/>
      <c r="AL5" s="633"/>
      <c r="AM5" s="634"/>
      <c r="AN5" s="635"/>
      <c r="AO5" s="632" t="s">
        <v>377</v>
      </c>
      <c r="AP5" s="633"/>
      <c r="AQ5" s="633"/>
      <c r="AR5" s="634"/>
      <c r="AS5" s="635"/>
      <c r="AT5" s="632" t="s">
        <v>377</v>
      </c>
      <c r="AU5" s="633"/>
      <c r="AV5" s="633"/>
      <c r="AW5" s="634"/>
      <c r="AX5" s="635"/>
      <c r="BA5" s="635"/>
    </row>
    <row r="6" spans="1:53" ht="14.25">
      <c r="A6" s="79"/>
      <c r="B6" s="635"/>
      <c r="C6" s="635"/>
      <c r="D6" s="635"/>
      <c r="E6" s="382" t="s">
        <v>378</v>
      </c>
      <c r="F6" s="382" t="s">
        <v>379</v>
      </c>
      <c r="G6" s="382" t="s">
        <v>380</v>
      </c>
      <c r="H6" s="638"/>
      <c r="I6" s="381" t="s">
        <v>378</v>
      </c>
      <c r="J6" s="381" t="s">
        <v>379</v>
      </c>
      <c r="K6" s="381" t="s">
        <v>380</v>
      </c>
      <c r="L6" s="622"/>
      <c r="M6" s="628"/>
      <c r="N6" s="635"/>
      <c r="O6" s="635"/>
      <c r="P6" s="533" t="s">
        <v>378</v>
      </c>
      <c r="Q6" s="533" t="s">
        <v>379</v>
      </c>
      <c r="R6" s="533" t="s">
        <v>380</v>
      </c>
      <c r="S6" s="533" t="s">
        <v>370</v>
      </c>
      <c r="T6" s="635"/>
      <c r="U6" s="533" t="s">
        <v>378</v>
      </c>
      <c r="V6" s="533" t="s">
        <v>379</v>
      </c>
      <c r="W6" s="533" t="s">
        <v>380</v>
      </c>
      <c r="X6" s="533" t="s">
        <v>370</v>
      </c>
      <c r="Y6" s="635"/>
      <c r="Z6" s="533" t="s">
        <v>378</v>
      </c>
      <c r="AA6" s="533" t="s">
        <v>379</v>
      </c>
      <c r="AB6" s="533" t="s">
        <v>380</v>
      </c>
      <c r="AC6" s="533" t="s">
        <v>370</v>
      </c>
      <c r="AD6" s="635"/>
      <c r="AE6" s="533" t="s">
        <v>378</v>
      </c>
      <c r="AF6" s="533" t="s">
        <v>379</v>
      </c>
      <c r="AG6" s="533" t="s">
        <v>380</v>
      </c>
      <c r="AH6" s="533" t="s">
        <v>370</v>
      </c>
      <c r="AI6" s="635"/>
      <c r="AJ6" s="533" t="s">
        <v>378</v>
      </c>
      <c r="AK6" s="533" t="s">
        <v>379</v>
      </c>
      <c r="AL6" s="533" t="s">
        <v>380</v>
      </c>
      <c r="AM6" s="533" t="s">
        <v>370</v>
      </c>
      <c r="AN6" s="635"/>
      <c r="AO6" s="533" t="s">
        <v>378</v>
      </c>
      <c r="AP6" s="533" t="s">
        <v>379</v>
      </c>
      <c r="AQ6" s="533" t="s">
        <v>380</v>
      </c>
      <c r="AR6" s="533" t="s">
        <v>370</v>
      </c>
      <c r="AS6" s="635"/>
      <c r="AT6" s="533" t="s">
        <v>378</v>
      </c>
      <c r="AU6" s="533" t="s">
        <v>379</v>
      </c>
      <c r="AV6" s="533" t="s">
        <v>380</v>
      </c>
      <c r="AW6" s="533" t="s">
        <v>370</v>
      </c>
      <c r="AX6" s="635"/>
      <c r="AZ6" s="371" t="s">
        <v>370</v>
      </c>
      <c r="BA6" s="635"/>
    </row>
    <row r="7" spans="1:53" ht="14.25">
      <c r="A7" s="81"/>
      <c r="B7" s="679" t="s">
        <v>534</v>
      </c>
      <c r="C7" s="383">
        <v>1</v>
      </c>
      <c r="D7" s="355" t="s">
        <v>360</v>
      </c>
      <c r="E7" s="531">
        <v>4</v>
      </c>
      <c r="F7" s="531">
        <v>2000</v>
      </c>
      <c r="G7" s="531">
        <v>500</v>
      </c>
      <c r="H7" s="681">
        <f>AVERAGE(G7:G21)</f>
        <v>237.49259259259256</v>
      </c>
      <c r="I7" s="385">
        <f t="shared" ref="I7:I20" si="0">IFERROR(AVERAGE(P7,U7,Z7,AE7,AJ7,AO7,AT7),"-")</f>
        <v>5</v>
      </c>
      <c r="J7" s="385">
        <f t="shared" ref="J7:J20" si="1">IFERROR(AVERAGE(Q7,V7,AA7,AF7,AK7,AP7,AU7),"-")</f>
        <v>2123.9333348584446</v>
      </c>
      <c r="K7" s="199">
        <f t="shared" ref="K7:K20" si="2">IFERROR(AVERAGE(R7,W7,AB7,AG7,AL7,AQ7,AV7),"-")</f>
        <v>424.78666697168893</v>
      </c>
      <c r="L7" s="616">
        <f>IFERROR(AVERAGE(K7:K21),"-")</f>
        <v>208.38356907365815</v>
      </c>
      <c r="M7" s="387">
        <f>RANK(K7, K$7:$K$21)</f>
        <v>1</v>
      </c>
      <c r="N7" s="635"/>
      <c r="O7" s="635"/>
      <c r="P7" s="535">
        <v>5</v>
      </c>
      <c r="Q7" s="539">
        <v>2097.894736842105</v>
      </c>
      <c r="R7" s="539">
        <v>419.57894736842098</v>
      </c>
      <c r="S7" s="535">
        <v>2</v>
      </c>
      <c r="T7" s="659">
        <v>208.03628591482459</v>
      </c>
      <c r="U7" s="535">
        <v>5</v>
      </c>
      <c r="V7" s="539">
        <v>2163.5294117647068</v>
      </c>
      <c r="W7" s="539">
        <v>432.70588235294133</v>
      </c>
      <c r="X7" s="535">
        <v>1</v>
      </c>
      <c r="Y7" s="659">
        <v>206.21449669649732</v>
      </c>
      <c r="Z7" s="535">
        <v>5</v>
      </c>
      <c r="AA7" s="539">
        <v>2112.5000000000005</v>
      </c>
      <c r="AB7" s="539">
        <v>422.50000000000011</v>
      </c>
      <c r="AC7" s="535">
        <v>2</v>
      </c>
      <c r="AD7" s="659">
        <v>209.40821943209164</v>
      </c>
      <c r="AE7" s="535">
        <v>5</v>
      </c>
      <c r="AF7" s="539">
        <v>2130.0000000000009</v>
      </c>
      <c r="AG7" s="539">
        <v>426.00000000000017</v>
      </c>
      <c r="AH7" s="535">
        <v>1</v>
      </c>
      <c r="AI7" s="659">
        <v>208.40568423530354</v>
      </c>
      <c r="AJ7" s="535">
        <v>5</v>
      </c>
      <c r="AK7" s="539">
        <v>2125.3333333333335</v>
      </c>
      <c r="AL7" s="539">
        <v>425.06666666666672</v>
      </c>
      <c r="AM7" s="535">
        <v>1</v>
      </c>
      <c r="AN7" s="659">
        <v>209.19334112473439</v>
      </c>
      <c r="AO7" s="535">
        <v>5</v>
      </c>
      <c r="AP7" s="539">
        <v>2101.0344827586209</v>
      </c>
      <c r="AQ7" s="539">
        <v>420.20689655172418</v>
      </c>
      <c r="AR7" s="535">
        <v>2</v>
      </c>
      <c r="AS7" s="659">
        <v>207.87666102887138</v>
      </c>
      <c r="AT7" s="535">
        <v>5</v>
      </c>
      <c r="AU7" s="539">
        <v>2137.2413793103451</v>
      </c>
      <c r="AV7" s="539">
        <v>427.44827586206901</v>
      </c>
      <c r="AW7" s="535">
        <v>1</v>
      </c>
      <c r="AX7" s="659">
        <v>209.55029508328423</v>
      </c>
      <c r="AZ7" s="373" t="e">
        <f t="shared" ref="AZ7:AZ21" si="3">RANK(AY7, AY$7:AY$21)</f>
        <v>#N/A</v>
      </c>
      <c r="BA7" s="694" t="e">
        <f t="shared" ref="BA7" si="4">AVERAGE(AY7:AY21)</f>
        <v>#DIV/0!</v>
      </c>
    </row>
    <row r="8" spans="1:53" ht="15" customHeight="1">
      <c r="A8" s="81"/>
      <c r="B8" s="669"/>
      <c r="C8" s="383">
        <v>2</v>
      </c>
      <c r="D8" s="355" t="s">
        <v>431</v>
      </c>
      <c r="E8" s="531">
        <v>4</v>
      </c>
      <c r="F8" s="531">
        <v>2000</v>
      </c>
      <c r="G8" s="531">
        <v>500</v>
      </c>
      <c r="H8" s="682"/>
      <c r="I8" s="385">
        <f t="shared" si="0"/>
        <v>5</v>
      </c>
      <c r="J8" s="385">
        <f t="shared" si="1"/>
        <v>2117.9523109651791</v>
      </c>
      <c r="K8" s="199">
        <f t="shared" si="2"/>
        <v>423.59046219303576</v>
      </c>
      <c r="L8" s="617"/>
      <c r="M8" s="387">
        <f>RANK(K8, K$7:$K$21)</f>
        <v>2</v>
      </c>
      <c r="N8" s="635"/>
      <c r="O8" s="635"/>
      <c r="P8" s="535">
        <v>5</v>
      </c>
      <c r="Q8" s="539">
        <v>2145.2830188679236</v>
      </c>
      <c r="R8" s="539">
        <v>429.0566037735847</v>
      </c>
      <c r="S8" s="535">
        <v>1</v>
      </c>
      <c r="T8" s="659"/>
      <c r="U8" s="535">
        <v>5</v>
      </c>
      <c r="V8" s="539">
        <v>2109.6000000000008</v>
      </c>
      <c r="W8" s="539">
        <v>421.92000000000019</v>
      </c>
      <c r="X8" s="535">
        <v>2</v>
      </c>
      <c r="Y8" s="659"/>
      <c r="Z8" s="535">
        <v>5</v>
      </c>
      <c r="AA8" s="539">
        <v>2148.260869565217</v>
      </c>
      <c r="AB8" s="539">
        <v>429.65217391304338</v>
      </c>
      <c r="AC8" s="535">
        <v>1</v>
      </c>
      <c r="AD8" s="659"/>
      <c r="AE8" s="535">
        <v>5</v>
      </c>
      <c r="AF8" s="539">
        <v>2098.4210526315796</v>
      </c>
      <c r="AG8" s="539">
        <v>419.68421052631595</v>
      </c>
      <c r="AH8" s="535">
        <v>2</v>
      </c>
      <c r="AI8" s="659"/>
      <c r="AJ8" s="535">
        <v>5</v>
      </c>
      <c r="AK8" s="539">
        <v>2110.909090909091</v>
      </c>
      <c r="AL8" s="539">
        <v>422.18181818181819</v>
      </c>
      <c r="AM8" s="535">
        <v>2</v>
      </c>
      <c r="AN8" s="659"/>
      <c r="AO8" s="535">
        <v>5</v>
      </c>
      <c r="AP8" s="539">
        <v>2109.7959183673479</v>
      </c>
      <c r="AQ8" s="539">
        <v>421.95918367346957</v>
      </c>
      <c r="AR8" s="535">
        <v>1</v>
      </c>
      <c r="AS8" s="659"/>
      <c r="AT8" s="535">
        <v>5</v>
      </c>
      <c r="AU8" s="539">
        <v>2103.3962264150937</v>
      </c>
      <c r="AV8" s="539">
        <v>420.67924528301876</v>
      </c>
      <c r="AW8" s="535">
        <v>2</v>
      </c>
      <c r="AX8" s="659"/>
      <c r="AZ8" s="373" t="e">
        <f t="shared" si="3"/>
        <v>#N/A</v>
      </c>
      <c r="BA8" s="694"/>
    </row>
    <row r="9" spans="1:53" ht="14.25">
      <c r="A9" s="81"/>
      <c r="B9" s="669"/>
      <c r="C9" s="383">
        <v>3</v>
      </c>
      <c r="D9" s="355" t="s">
        <v>361</v>
      </c>
      <c r="E9" s="531">
        <v>12</v>
      </c>
      <c r="F9" s="531">
        <v>2118</v>
      </c>
      <c r="G9" s="531">
        <v>176.5</v>
      </c>
      <c r="H9" s="682"/>
      <c r="I9" s="385">
        <f t="shared" si="0"/>
        <v>12</v>
      </c>
      <c r="J9" s="385">
        <f t="shared" si="1"/>
        <v>1898.8664359790898</v>
      </c>
      <c r="K9" s="199">
        <f t="shared" si="2"/>
        <v>158.23886966492415</v>
      </c>
      <c r="L9" s="617"/>
      <c r="M9" s="387">
        <f>RANK(K9, K$7:$K$21)</f>
        <v>6</v>
      </c>
      <c r="N9" s="635"/>
      <c r="O9" s="635"/>
      <c r="P9" s="535">
        <v>12</v>
      </c>
      <c r="Q9" s="539">
        <v>1889.9999999999995</v>
      </c>
      <c r="R9" s="539">
        <v>157.49999999999997</v>
      </c>
      <c r="S9" s="535">
        <v>6</v>
      </c>
      <c r="T9" s="659"/>
      <c r="U9" s="535">
        <v>12</v>
      </c>
      <c r="V9" s="539">
        <v>1886.9565217391305</v>
      </c>
      <c r="W9" s="539">
        <v>157.24637681159422</v>
      </c>
      <c r="X9" s="535">
        <v>6</v>
      </c>
      <c r="Y9" s="659"/>
      <c r="Z9" s="535">
        <v>12</v>
      </c>
      <c r="AA9" s="539">
        <v>1913.5384615384612</v>
      </c>
      <c r="AB9" s="539">
        <v>159.46153846153842</v>
      </c>
      <c r="AC9" s="535">
        <v>6</v>
      </c>
      <c r="AD9" s="659"/>
      <c r="AE9" s="535">
        <v>12</v>
      </c>
      <c r="AF9" s="539">
        <v>1893.0000000000005</v>
      </c>
      <c r="AG9" s="539">
        <v>157.75000000000003</v>
      </c>
      <c r="AH9" s="535">
        <v>6</v>
      </c>
      <c r="AI9" s="659"/>
      <c r="AJ9" s="535">
        <v>12</v>
      </c>
      <c r="AK9" s="539">
        <v>1883.2835820895523</v>
      </c>
      <c r="AL9" s="539">
        <v>156.9402985074627</v>
      </c>
      <c r="AM9" s="535">
        <v>7</v>
      </c>
      <c r="AN9" s="659"/>
      <c r="AO9" s="535">
        <v>12</v>
      </c>
      <c r="AP9" s="539">
        <v>1896.486486486486</v>
      </c>
      <c r="AQ9" s="539">
        <v>158.04054054054049</v>
      </c>
      <c r="AR9" s="535">
        <v>6</v>
      </c>
      <c r="AS9" s="659"/>
      <c r="AT9" s="535">
        <v>12</v>
      </c>
      <c r="AU9" s="539">
        <v>1928.7999999999997</v>
      </c>
      <c r="AV9" s="539">
        <v>160.73333333333332</v>
      </c>
      <c r="AW9" s="535">
        <v>6</v>
      </c>
      <c r="AX9" s="659"/>
      <c r="AZ9" s="373" t="e">
        <f t="shared" si="3"/>
        <v>#N/A</v>
      </c>
      <c r="BA9" s="694"/>
    </row>
    <row r="10" spans="1:53" ht="14.25">
      <c r="A10" s="81"/>
      <c r="B10" s="669"/>
      <c r="C10" s="383">
        <v>4</v>
      </c>
      <c r="D10" s="355" t="s">
        <v>577</v>
      </c>
      <c r="E10" s="531">
        <v>13</v>
      </c>
      <c r="F10" s="531">
        <v>2250</v>
      </c>
      <c r="G10" s="531">
        <v>173.1</v>
      </c>
      <c r="H10" s="682"/>
      <c r="I10" s="385">
        <f t="shared" si="0"/>
        <v>13</v>
      </c>
      <c r="J10" s="385">
        <f t="shared" si="1"/>
        <v>2034.1313955614849</v>
      </c>
      <c r="K10" s="199">
        <f t="shared" si="2"/>
        <v>156.47164581242191</v>
      </c>
      <c r="L10" s="617"/>
      <c r="M10" s="387">
        <f>RANK(K10, K$7:$K$21)</f>
        <v>7</v>
      </c>
      <c r="N10" s="635"/>
      <c r="O10" s="635"/>
      <c r="P10" s="535">
        <v>13</v>
      </c>
      <c r="Q10" s="539">
        <v>2021.217391304348</v>
      </c>
      <c r="R10" s="539">
        <v>155.47826086956522</v>
      </c>
      <c r="S10" s="535">
        <v>7</v>
      </c>
      <c r="T10" s="659"/>
      <c r="U10" s="535">
        <v>13</v>
      </c>
      <c r="V10" s="539">
        <v>2003.0156250000009</v>
      </c>
      <c r="W10" s="539">
        <v>154.07812500000006</v>
      </c>
      <c r="X10" s="535">
        <v>7</v>
      </c>
      <c r="Y10" s="659"/>
      <c r="Z10" s="535">
        <v>13</v>
      </c>
      <c r="AA10" s="539">
        <v>2010.8135593220341</v>
      </c>
      <c r="AB10" s="539">
        <v>154.67796610169492</v>
      </c>
      <c r="AC10" s="535">
        <v>7</v>
      </c>
      <c r="AD10" s="659"/>
      <c r="AE10" s="535">
        <v>13</v>
      </c>
      <c r="AF10" s="539">
        <v>2044.444444444445</v>
      </c>
      <c r="AG10" s="539">
        <v>157.2649572649573</v>
      </c>
      <c r="AH10" s="535">
        <v>7</v>
      </c>
      <c r="AI10" s="659"/>
      <c r="AJ10" s="535">
        <v>13</v>
      </c>
      <c r="AK10" s="539">
        <v>2056.95652173913</v>
      </c>
      <c r="AL10" s="539">
        <v>158.22742474916384</v>
      </c>
      <c r="AM10" s="535">
        <v>6</v>
      </c>
      <c r="AN10" s="659"/>
      <c r="AO10" s="535">
        <v>13</v>
      </c>
      <c r="AP10" s="539">
        <v>2044.528301886792</v>
      </c>
      <c r="AQ10" s="539">
        <v>157.27140783744554</v>
      </c>
      <c r="AR10" s="535">
        <v>7</v>
      </c>
      <c r="AS10" s="659"/>
      <c r="AT10" s="535">
        <v>13</v>
      </c>
      <c r="AU10" s="539">
        <v>2057.9439252336447</v>
      </c>
      <c r="AV10" s="539">
        <v>158.3033788641265</v>
      </c>
      <c r="AW10" s="535">
        <v>7</v>
      </c>
      <c r="AX10" s="659"/>
      <c r="AZ10" s="373" t="e">
        <f t="shared" si="3"/>
        <v>#N/A</v>
      </c>
      <c r="BA10" s="694"/>
    </row>
    <row r="11" spans="1:53" ht="14.25">
      <c r="A11" s="81"/>
      <c r="B11" s="669"/>
      <c r="C11" s="383">
        <v>5</v>
      </c>
      <c r="D11" s="355" t="s">
        <v>362</v>
      </c>
      <c r="E11" s="531">
        <v>13</v>
      </c>
      <c r="F11" s="531">
        <v>2250</v>
      </c>
      <c r="G11" s="531">
        <v>173.1</v>
      </c>
      <c r="H11" s="682"/>
      <c r="I11" s="385">
        <f t="shared" si="0"/>
        <v>13</v>
      </c>
      <c r="J11" s="385">
        <f t="shared" si="1"/>
        <v>2167.5741347041858</v>
      </c>
      <c r="K11" s="199">
        <f t="shared" si="2"/>
        <v>166.73647190032196</v>
      </c>
      <c r="L11" s="617"/>
      <c r="M11" s="387">
        <f>RANK(K11, K$7:$K$21)</f>
        <v>5</v>
      </c>
      <c r="N11" s="635"/>
      <c r="O11" s="635"/>
      <c r="P11" s="535">
        <v>13</v>
      </c>
      <c r="Q11" s="539">
        <v>2185.3608247422685</v>
      </c>
      <c r="R11" s="539">
        <v>168.10467882632835</v>
      </c>
      <c r="S11" s="535">
        <v>5</v>
      </c>
      <c r="T11" s="659"/>
      <c r="U11" s="535">
        <v>13</v>
      </c>
      <c r="V11" s="539">
        <v>2158</v>
      </c>
      <c r="W11" s="539">
        <v>166</v>
      </c>
      <c r="X11" s="535">
        <v>5</v>
      </c>
      <c r="Y11" s="659"/>
      <c r="Z11" s="535">
        <v>13</v>
      </c>
      <c r="AA11" s="539">
        <v>2160.722891566264</v>
      </c>
      <c r="AB11" s="539">
        <v>166.20945319740491</v>
      </c>
      <c r="AC11" s="535">
        <v>5</v>
      </c>
      <c r="AD11" s="659"/>
      <c r="AE11" s="535">
        <v>13</v>
      </c>
      <c r="AF11" s="539">
        <v>2140.8333333333339</v>
      </c>
      <c r="AG11" s="539">
        <v>164.67948717948724</v>
      </c>
      <c r="AH11" s="535">
        <v>5</v>
      </c>
      <c r="AI11" s="659"/>
      <c r="AJ11" s="535">
        <v>13</v>
      </c>
      <c r="AK11" s="539">
        <v>2199.7590361445777</v>
      </c>
      <c r="AL11" s="539">
        <v>169.21223354958289</v>
      </c>
      <c r="AM11" s="535">
        <v>5</v>
      </c>
      <c r="AN11" s="659"/>
      <c r="AO11" s="535">
        <v>13</v>
      </c>
      <c r="AP11" s="539">
        <v>2179.1999999999994</v>
      </c>
      <c r="AQ11" s="539">
        <v>167.63076923076918</v>
      </c>
      <c r="AR11" s="535">
        <v>5</v>
      </c>
      <c r="AS11" s="659"/>
      <c r="AT11" s="535">
        <v>13</v>
      </c>
      <c r="AU11" s="539">
        <v>2149.1428571428564</v>
      </c>
      <c r="AV11" s="539">
        <v>165.31868131868126</v>
      </c>
      <c r="AW11" s="535">
        <v>5</v>
      </c>
      <c r="AX11" s="659"/>
      <c r="AZ11" s="373" t="e">
        <f t="shared" si="3"/>
        <v>#N/A</v>
      </c>
      <c r="BA11" s="694"/>
    </row>
    <row r="12" spans="1:53" ht="14.25">
      <c r="A12" s="81"/>
      <c r="B12" s="669"/>
      <c r="C12" s="383">
        <v>6</v>
      </c>
      <c r="D12" s="355" t="s">
        <v>363</v>
      </c>
      <c r="E12" s="531">
        <v>10</v>
      </c>
      <c r="F12" s="531">
        <v>2769</v>
      </c>
      <c r="G12" s="531">
        <v>276.89999999999998</v>
      </c>
      <c r="H12" s="682"/>
      <c r="I12" s="385">
        <f t="shared" si="0"/>
        <v>10.285714285714286</v>
      </c>
      <c r="J12" s="385">
        <f t="shared" si="1"/>
        <v>2395.1301268351917</v>
      </c>
      <c r="K12" s="199">
        <f t="shared" si="2"/>
        <v>233.59191633800424</v>
      </c>
      <c r="L12" s="617"/>
      <c r="M12" s="387">
        <f>RANK(K12, K$7:$K$21)</f>
        <v>3</v>
      </c>
      <c r="N12" s="635"/>
      <c r="O12" s="635"/>
      <c r="P12" s="535">
        <v>10</v>
      </c>
      <c r="Q12" s="539">
        <v>2256.1875000000023</v>
      </c>
      <c r="R12" s="539">
        <v>225.61875000000023</v>
      </c>
      <c r="S12" s="535">
        <v>3</v>
      </c>
      <c r="T12" s="659"/>
      <c r="U12" s="535">
        <v>12</v>
      </c>
      <c r="V12" s="539">
        <v>2486.8604651162691</v>
      </c>
      <c r="W12" s="539">
        <v>207.23837209302243</v>
      </c>
      <c r="X12" s="535">
        <v>3</v>
      </c>
      <c r="Y12" s="659"/>
      <c r="Z12" s="535">
        <v>10</v>
      </c>
      <c r="AA12" s="539">
        <v>2426.4705882352937</v>
      </c>
      <c r="AB12" s="539">
        <v>242.64705882352936</v>
      </c>
      <c r="AC12" s="535">
        <v>3</v>
      </c>
      <c r="AD12" s="659"/>
      <c r="AE12" s="535">
        <v>10</v>
      </c>
      <c r="AF12" s="539">
        <v>2395.7142857142876</v>
      </c>
      <c r="AG12" s="539">
        <v>239.57142857142875</v>
      </c>
      <c r="AH12" s="535">
        <v>3</v>
      </c>
      <c r="AI12" s="659"/>
      <c r="AJ12" s="535">
        <v>10</v>
      </c>
      <c r="AK12" s="539">
        <v>2416.0000000000027</v>
      </c>
      <c r="AL12" s="539">
        <v>241.60000000000028</v>
      </c>
      <c r="AM12" s="535">
        <v>3</v>
      </c>
      <c r="AN12" s="659"/>
      <c r="AO12" s="535">
        <v>10</v>
      </c>
      <c r="AP12" s="539">
        <v>2383.7999999999993</v>
      </c>
      <c r="AQ12" s="539">
        <v>238.37999999999994</v>
      </c>
      <c r="AR12" s="535">
        <v>3</v>
      </c>
      <c r="AS12" s="659"/>
      <c r="AT12" s="535">
        <v>10</v>
      </c>
      <c r="AU12" s="539">
        <v>2400.878048780487</v>
      </c>
      <c r="AV12" s="539">
        <v>240.0878048780487</v>
      </c>
      <c r="AW12" s="535">
        <v>3</v>
      </c>
      <c r="AX12" s="659"/>
      <c r="AZ12" s="373" t="e">
        <f t="shared" si="3"/>
        <v>#N/A</v>
      </c>
      <c r="BA12" s="694"/>
    </row>
    <row r="13" spans="1:53" ht="14.25">
      <c r="A13" s="81"/>
      <c r="B13" s="669"/>
      <c r="C13" s="383">
        <v>7</v>
      </c>
      <c r="D13" s="355" t="s">
        <v>707</v>
      </c>
      <c r="E13" s="531">
        <v>11</v>
      </c>
      <c r="F13" s="531">
        <v>2250</v>
      </c>
      <c r="G13" s="531">
        <v>204.5</v>
      </c>
      <c r="H13" s="682"/>
      <c r="I13" s="385">
        <f t="shared" si="0"/>
        <v>11</v>
      </c>
      <c r="J13" s="385">
        <f t="shared" si="1"/>
        <v>2016.1542031485747</v>
      </c>
      <c r="K13" s="199">
        <f t="shared" si="2"/>
        <v>183.28674574077948</v>
      </c>
      <c r="L13" s="617"/>
      <c r="M13" s="387">
        <f>RANK(K13, K$7:$K$21)</f>
        <v>4</v>
      </c>
      <c r="N13" s="635"/>
      <c r="O13" s="635"/>
      <c r="P13" s="535">
        <v>11</v>
      </c>
      <c r="Q13" s="539">
        <v>2046.272727272727</v>
      </c>
      <c r="R13" s="539">
        <v>186.02479338842974</v>
      </c>
      <c r="S13" s="535">
        <v>4</v>
      </c>
      <c r="T13" s="659"/>
      <c r="U13" s="535">
        <v>11</v>
      </c>
      <c r="V13" s="539">
        <v>2022.1276595744685</v>
      </c>
      <c r="W13" s="539">
        <v>183.82978723404258</v>
      </c>
      <c r="X13" s="535">
        <v>4</v>
      </c>
      <c r="Y13" s="659"/>
      <c r="Z13" s="535">
        <v>11</v>
      </c>
      <c r="AA13" s="539">
        <v>2037.1764705882349</v>
      </c>
      <c r="AB13" s="539">
        <v>185.19786096256681</v>
      </c>
      <c r="AC13" s="535">
        <v>4</v>
      </c>
      <c r="AD13" s="659"/>
      <c r="AE13" s="535">
        <v>11</v>
      </c>
      <c r="AF13" s="539">
        <v>2003.2340425531918</v>
      </c>
      <c r="AG13" s="539">
        <v>182.11218568665379</v>
      </c>
      <c r="AH13" s="535">
        <v>4</v>
      </c>
      <c r="AI13" s="659"/>
      <c r="AJ13" s="535">
        <v>11</v>
      </c>
      <c r="AK13" s="539">
        <v>1980.2105263157912</v>
      </c>
      <c r="AL13" s="539">
        <v>180.019138755981</v>
      </c>
      <c r="AM13" s="535">
        <v>4</v>
      </c>
      <c r="AN13" s="659"/>
      <c r="AO13" s="535">
        <v>11</v>
      </c>
      <c r="AP13" s="539">
        <v>1993.3714285714291</v>
      </c>
      <c r="AQ13" s="539">
        <v>181.21558441558446</v>
      </c>
      <c r="AR13" s="535">
        <v>4</v>
      </c>
      <c r="AS13" s="659"/>
      <c r="AT13" s="535">
        <v>11</v>
      </c>
      <c r="AU13" s="539">
        <v>2030.6865671641792</v>
      </c>
      <c r="AV13" s="539">
        <v>184.60786974219812</v>
      </c>
      <c r="AW13" s="535">
        <v>4</v>
      </c>
      <c r="AX13" s="659"/>
      <c r="AZ13" s="373" t="e">
        <f t="shared" si="3"/>
        <v>#N/A</v>
      </c>
      <c r="BA13" s="694"/>
    </row>
    <row r="14" spans="1:53" ht="14.25">
      <c r="A14" s="81"/>
      <c r="B14" s="669"/>
      <c r="C14" s="383">
        <v>8</v>
      </c>
      <c r="D14" s="355" t="s">
        <v>359</v>
      </c>
      <c r="E14" s="531">
        <v>18</v>
      </c>
      <c r="F14" s="531">
        <v>1200</v>
      </c>
      <c r="G14" s="531">
        <v>66.666666666666671</v>
      </c>
      <c r="H14" s="682"/>
      <c r="I14" s="385">
        <f t="shared" si="0"/>
        <v>18.428571428571427</v>
      </c>
      <c r="J14" s="385">
        <f t="shared" si="1"/>
        <v>1196.6636633699177</v>
      </c>
      <c r="K14" s="199">
        <f t="shared" si="2"/>
        <v>65.001935179447329</v>
      </c>
      <c r="L14" s="617"/>
      <c r="M14" s="387">
        <f>RANK(K14, K$7:$K$21)</f>
        <v>8</v>
      </c>
      <c r="N14" s="635"/>
      <c r="O14" s="635"/>
      <c r="P14" s="535">
        <v>18</v>
      </c>
      <c r="Q14" s="539">
        <v>1207.5000000000005</v>
      </c>
      <c r="R14" s="539">
        <v>67.083333333333357</v>
      </c>
      <c r="S14" s="535">
        <v>8</v>
      </c>
      <c r="T14" s="659"/>
      <c r="U14" s="535">
        <v>18</v>
      </c>
      <c r="V14" s="539">
        <v>1211.8604651162789</v>
      </c>
      <c r="W14" s="539">
        <v>67.32558139534882</v>
      </c>
      <c r="X14" s="535">
        <v>8</v>
      </c>
      <c r="Y14" s="659"/>
      <c r="Z14" s="535">
        <v>18</v>
      </c>
      <c r="AA14" s="539">
        <v>1191.2359550561798</v>
      </c>
      <c r="AB14" s="539">
        <v>66.17977528089888</v>
      </c>
      <c r="AC14" s="535">
        <v>8</v>
      </c>
      <c r="AD14" s="659"/>
      <c r="AE14" s="535">
        <v>18</v>
      </c>
      <c r="AF14" s="539">
        <v>1153.5999999999992</v>
      </c>
      <c r="AG14" s="539">
        <v>64.088888888888846</v>
      </c>
      <c r="AH14" s="535">
        <v>9</v>
      </c>
      <c r="AI14" s="659"/>
      <c r="AJ14" s="535">
        <v>18</v>
      </c>
      <c r="AK14" s="539">
        <v>1174.8148148148143</v>
      </c>
      <c r="AL14" s="539">
        <v>65.267489711934132</v>
      </c>
      <c r="AM14" s="535">
        <v>8</v>
      </c>
      <c r="AN14" s="659"/>
      <c r="AO14" s="535">
        <v>20</v>
      </c>
      <c r="AP14" s="539">
        <v>1226.666666666667</v>
      </c>
      <c r="AQ14" s="539">
        <v>61.33333333333335</v>
      </c>
      <c r="AR14" s="535">
        <v>9</v>
      </c>
      <c r="AS14" s="659"/>
      <c r="AT14" s="535">
        <v>19</v>
      </c>
      <c r="AU14" s="539">
        <v>1210.9677419354841</v>
      </c>
      <c r="AV14" s="539">
        <v>63.735144312393899</v>
      </c>
      <c r="AW14" s="535">
        <v>9</v>
      </c>
      <c r="AX14" s="659"/>
      <c r="AZ14" s="373" t="e">
        <f t="shared" si="3"/>
        <v>#N/A</v>
      </c>
      <c r="BA14" s="694"/>
    </row>
    <row r="15" spans="1:53" ht="14.25">
      <c r="A15" s="81"/>
      <c r="B15" s="669"/>
      <c r="C15" s="383">
        <v>9</v>
      </c>
      <c r="D15" s="355" t="s">
        <v>635</v>
      </c>
      <c r="E15" s="531">
        <v>18</v>
      </c>
      <c r="F15" s="531">
        <v>1200</v>
      </c>
      <c r="G15" s="531">
        <v>66.666666666666671</v>
      </c>
      <c r="H15" s="682"/>
      <c r="I15" s="385">
        <f t="shared" si="0"/>
        <v>18</v>
      </c>
      <c r="J15" s="385">
        <f t="shared" si="1"/>
        <v>1147.4533415213939</v>
      </c>
      <c r="K15" s="199">
        <f t="shared" si="2"/>
        <v>63.747407862299667</v>
      </c>
      <c r="L15" s="617"/>
      <c r="M15" s="387">
        <f>RANK(K15, K$7:$K$21)</f>
        <v>9</v>
      </c>
      <c r="N15" s="635"/>
      <c r="O15" s="635"/>
      <c r="P15" s="535">
        <v>18</v>
      </c>
      <c r="Q15" s="539">
        <v>1149.8617021276591</v>
      </c>
      <c r="R15" s="539">
        <v>63.881205673758842</v>
      </c>
      <c r="S15" s="535"/>
      <c r="T15" s="659"/>
      <c r="U15" s="535">
        <v>18</v>
      </c>
      <c r="V15" s="539">
        <v>1180.5542168674699</v>
      </c>
      <c r="W15" s="539">
        <v>65.586345381526101</v>
      </c>
      <c r="X15" s="535"/>
      <c r="Y15" s="659"/>
      <c r="Z15" s="535">
        <v>18</v>
      </c>
      <c r="AA15" s="539">
        <v>1046.6666666666663</v>
      </c>
      <c r="AB15" s="539">
        <v>58.148148148148124</v>
      </c>
      <c r="AC15" s="535"/>
      <c r="AD15" s="659"/>
      <c r="AE15" s="535">
        <v>18</v>
      </c>
      <c r="AF15" s="539">
        <v>1161.0000000000002</v>
      </c>
      <c r="AG15" s="539">
        <v>64.500000000000014</v>
      </c>
      <c r="AH15" s="535"/>
      <c r="AI15" s="659"/>
      <c r="AJ15" s="535">
        <v>18</v>
      </c>
      <c r="AK15" s="539">
        <v>1156.0499999999995</v>
      </c>
      <c r="AL15" s="539">
        <v>64.224999999999966</v>
      </c>
      <c r="AM15" s="535"/>
      <c r="AN15" s="659"/>
      <c r="AO15" s="535">
        <v>18</v>
      </c>
      <c r="AP15" s="539">
        <v>1167.3402061855672</v>
      </c>
      <c r="AQ15" s="539">
        <v>64.852233676975956</v>
      </c>
      <c r="AR15" s="535"/>
      <c r="AS15" s="659"/>
      <c r="AT15" s="535">
        <v>18</v>
      </c>
      <c r="AU15" s="539">
        <v>1170.7005988023955</v>
      </c>
      <c r="AV15" s="539">
        <v>65.038922155688638</v>
      </c>
      <c r="AW15" s="535"/>
      <c r="AX15" s="659"/>
      <c r="AZ15" s="373" t="e">
        <f t="shared" si="3"/>
        <v>#N/A</v>
      </c>
      <c r="BA15" s="694"/>
    </row>
    <row r="16" spans="1:53" ht="14.25">
      <c r="A16" s="81"/>
      <c r="B16" s="669"/>
      <c r="C16" s="383">
        <v>10</v>
      </c>
      <c r="D16" s="355"/>
      <c r="E16" s="531"/>
      <c r="F16" s="531"/>
      <c r="G16" s="531"/>
      <c r="H16" s="682"/>
      <c r="I16" s="385" t="str">
        <f t="shared" si="0"/>
        <v>-</v>
      </c>
      <c r="J16" s="385" t="str">
        <f t="shared" si="1"/>
        <v>-</v>
      </c>
      <c r="K16" s="199" t="str">
        <f t="shared" si="2"/>
        <v>-</v>
      </c>
      <c r="L16" s="617"/>
      <c r="M16" s="387" t="e">
        <f>RANK(K16, K$7:$K$21)</f>
        <v>#VALUE!</v>
      </c>
      <c r="N16" s="635"/>
      <c r="O16" s="635"/>
      <c r="P16" s="535" t="s">
        <v>592</v>
      </c>
      <c r="Q16" s="539" t="s">
        <v>592</v>
      </c>
      <c r="R16" s="539" t="s">
        <v>592</v>
      </c>
      <c r="S16" s="535"/>
      <c r="T16" s="659"/>
      <c r="U16" s="535" t="s">
        <v>592</v>
      </c>
      <c r="V16" s="539" t="s">
        <v>592</v>
      </c>
      <c r="W16" s="539" t="s">
        <v>592</v>
      </c>
      <c r="X16" s="535"/>
      <c r="Y16" s="659"/>
      <c r="Z16" s="535" t="s">
        <v>592</v>
      </c>
      <c r="AA16" s="539" t="s">
        <v>592</v>
      </c>
      <c r="AB16" s="539" t="s">
        <v>592</v>
      </c>
      <c r="AC16" s="535"/>
      <c r="AD16" s="659"/>
      <c r="AE16" s="535" t="s">
        <v>592</v>
      </c>
      <c r="AF16" s="539" t="s">
        <v>592</v>
      </c>
      <c r="AG16" s="539" t="s">
        <v>592</v>
      </c>
      <c r="AH16" s="535"/>
      <c r="AI16" s="659"/>
      <c r="AJ16" s="535" t="s">
        <v>592</v>
      </c>
      <c r="AK16" s="539" t="s">
        <v>592</v>
      </c>
      <c r="AL16" s="539" t="s">
        <v>592</v>
      </c>
      <c r="AM16" s="535"/>
      <c r="AN16" s="659"/>
      <c r="AO16" s="535" t="s">
        <v>592</v>
      </c>
      <c r="AP16" s="539" t="s">
        <v>592</v>
      </c>
      <c r="AQ16" s="539" t="s">
        <v>592</v>
      </c>
      <c r="AR16" s="535"/>
      <c r="AS16" s="659"/>
      <c r="AT16" s="535" t="s">
        <v>592</v>
      </c>
      <c r="AU16" s="539" t="s">
        <v>592</v>
      </c>
      <c r="AV16" s="539" t="s">
        <v>592</v>
      </c>
      <c r="AW16" s="535"/>
      <c r="AX16" s="659"/>
      <c r="AZ16" s="373" t="e">
        <f t="shared" si="3"/>
        <v>#N/A</v>
      </c>
      <c r="BA16" s="694"/>
    </row>
    <row r="17" spans="2:53">
      <c r="B17" s="669"/>
      <c r="C17" s="383">
        <v>11</v>
      </c>
      <c r="D17" s="355"/>
      <c r="E17" s="531"/>
      <c r="F17" s="531"/>
      <c r="G17" s="531"/>
      <c r="H17" s="682"/>
      <c r="I17" s="385" t="str">
        <f t="shared" si="0"/>
        <v>-</v>
      </c>
      <c r="J17" s="385" t="str">
        <f t="shared" si="1"/>
        <v>-</v>
      </c>
      <c r="K17" s="199" t="str">
        <f t="shared" si="2"/>
        <v>-</v>
      </c>
      <c r="L17" s="617"/>
      <c r="M17" s="387" t="e">
        <f>RANK(K17, K$7:$K$21)</f>
        <v>#VALUE!</v>
      </c>
      <c r="N17" s="635"/>
      <c r="O17" s="635"/>
      <c r="P17" s="535" t="s">
        <v>592</v>
      </c>
      <c r="Q17" s="539" t="s">
        <v>592</v>
      </c>
      <c r="R17" s="539" t="s">
        <v>592</v>
      </c>
      <c r="S17" s="535"/>
      <c r="T17" s="659"/>
      <c r="U17" s="535" t="s">
        <v>592</v>
      </c>
      <c r="V17" s="539" t="s">
        <v>592</v>
      </c>
      <c r="W17" s="539" t="s">
        <v>592</v>
      </c>
      <c r="X17" s="535"/>
      <c r="Y17" s="659"/>
      <c r="Z17" s="535" t="s">
        <v>592</v>
      </c>
      <c r="AA17" s="539" t="s">
        <v>592</v>
      </c>
      <c r="AB17" s="539" t="s">
        <v>592</v>
      </c>
      <c r="AC17" s="535"/>
      <c r="AD17" s="659"/>
      <c r="AE17" s="535" t="s">
        <v>592</v>
      </c>
      <c r="AF17" s="539" t="s">
        <v>592</v>
      </c>
      <c r="AG17" s="539" t="s">
        <v>592</v>
      </c>
      <c r="AH17" s="535"/>
      <c r="AI17" s="659"/>
      <c r="AJ17" s="535" t="s">
        <v>592</v>
      </c>
      <c r="AK17" s="539" t="s">
        <v>592</v>
      </c>
      <c r="AL17" s="539" t="s">
        <v>592</v>
      </c>
      <c r="AM17" s="535"/>
      <c r="AN17" s="659"/>
      <c r="AO17" s="535" t="s">
        <v>592</v>
      </c>
      <c r="AP17" s="539" t="s">
        <v>592</v>
      </c>
      <c r="AQ17" s="539" t="s">
        <v>592</v>
      </c>
      <c r="AR17" s="535"/>
      <c r="AS17" s="659"/>
      <c r="AT17" s="535" t="s">
        <v>592</v>
      </c>
      <c r="AU17" s="539" t="s">
        <v>592</v>
      </c>
      <c r="AV17" s="539" t="s">
        <v>592</v>
      </c>
      <c r="AW17" s="535"/>
      <c r="AX17" s="659"/>
      <c r="AZ17" s="373" t="e">
        <f t="shared" si="3"/>
        <v>#N/A</v>
      </c>
      <c r="BA17" s="694"/>
    </row>
    <row r="18" spans="2:53">
      <c r="B18" s="669"/>
      <c r="C18" s="383">
        <v>12</v>
      </c>
      <c r="D18" s="355"/>
      <c r="E18" s="531"/>
      <c r="F18" s="531"/>
      <c r="G18" s="531"/>
      <c r="H18" s="682"/>
      <c r="I18" s="385" t="str">
        <f t="shared" si="0"/>
        <v>-</v>
      </c>
      <c r="J18" s="385" t="str">
        <f t="shared" si="1"/>
        <v>-</v>
      </c>
      <c r="K18" s="199" t="str">
        <f t="shared" si="2"/>
        <v>-</v>
      </c>
      <c r="L18" s="617"/>
      <c r="M18" s="387" t="e">
        <f>RANK(K18, K$7:$K$21)</f>
        <v>#VALUE!</v>
      </c>
      <c r="N18" s="635"/>
      <c r="O18" s="635"/>
      <c r="P18" s="535" t="s">
        <v>592</v>
      </c>
      <c r="Q18" s="539" t="s">
        <v>592</v>
      </c>
      <c r="R18" s="539" t="s">
        <v>592</v>
      </c>
      <c r="S18" s="535"/>
      <c r="T18" s="659"/>
      <c r="U18" s="535" t="s">
        <v>592</v>
      </c>
      <c r="V18" s="539" t="s">
        <v>592</v>
      </c>
      <c r="W18" s="539" t="s">
        <v>592</v>
      </c>
      <c r="X18" s="535"/>
      <c r="Y18" s="659"/>
      <c r="Z18" s="535" t="s">
        <v>592</v>
      </c>
      <c r="AA18" s="539" t="s">
        <v>592</v>
      </c>
      <c r="AB18" s="539" t="s">
        <v>592</v>
      </c>
      <c r="AC18" s="535"/>
      <c r="AD18" s="659"/>
      <c r="AE18" s="535" t="s">
        <v>592</v>
      </c>
      <c r="AF18" s="539" t="s">
        <v>592</v>
      </c>
      <c r="AG18" s="539" t="s">
        <v>592</v>
      </c>
      <c r="AH18" s="535"/>
      <c r="AI18" s="659"/>
      <c r="AJ18" s="535" t="s">
        <v>592</v>
      </c>
      <c r="AK18" s="539" t="s">
        <v>592</v>
      </c>
      <c r="AL18" s="539" t="s">
        <v>592</v>
      </c>
      <c r="AM18" s="535"/>
      <c r="AN18" s="659"/>
      <c r="AO18" s="535" t="s">
        <v>592</v>
      </c>
      <c r="AP18" s="539" t="s">
        <v>592</v>
      </c>
      <c r="AQ18" s="539" t="s">
        <v>592</v>
      </c>
      <c r="AR18" s="535"/>
      <c r="AS18" s="659"/>
      <c r="AT18" s="535" t="s">
        <v>592</v>
      </c>
      <c r="AU18" s="539" t="s">
        <v>592</v>
      </c>
      <c r="AV18" s="539" t="s">
        <v>592</v>
      </c>
      <c r="AW18" s="535"/>
      <c r="AX18" s="659"/>
      <c r="AZ18" s="373" t="e">
        <f t="shared" si="3"/>
        <v>#N/A</v>
      </c>
      <c r="BA18" s="694"/>
    </row>
    <row r="19" spans="2:53">
      <c r="B19" s="669"/>
      <c r="C19" s="383">
        <v>13</v>
      </c>
      <c r="D19" s="355"/>
      <c r="E19" s="531"/>
      <c r="F19" s="531"/>
      <c r="G19" s="531"/>
      <c r="H19" s="682"/>
      <c r="I19" s="385" t="str">
        <f t="shared" si="0"/>
        <v>-</v>
      </c>
      <c r="J19" s="385" t="str">
        <f t="shared" si="1"/>
        <v>-</v>
      </c>
      <c r="K19" s="199" t="str">
        <f t="shared" si="2"/>
        <v>-</v>
      </c>
      <c r="L19" s="617"/>
      <c r="M19" s="387" t="e">
        <f>RANK(K19, K$7:$K$21)</f>
        <v>#VALUE!</v>
      </c>
      <c r="N19" s="635"/>
      <c r="O19" s="635"/>
      <c r="P19" s="535" t="s">
        <v>592</v>
      </c>
      <c r="Q19" s="539" t="s">
        <v>592</v>
      </c>
      <c r="R19" s="539" t="s">
        <v>592</v>
      </c>
      <c r="S19" s="535"/>
      <c r="T19" s="659"/>
      <c r="U19" s="535" t="s">
        <v>592</v>
      </c>
      <c r="V19" s="539" t="s">
        <v>592</v>
      </c>
      <c r="W19" s="539" t="s">
        <v>592</v>
      </c>
      <c r="X19" s="535"/>
      <c r="Y19" s="659"/>
      <c r="Z19" s="535" t="s">
        <v>592</v>
      </c>
      <c r="AA19" s="539" t="s">
        <v>592</v>
      </c>
      <c r="AB19" s="539" t="s">
        <v>592</v>
      </c>
      <c r="AC19" s="535"/>
      <c r="AD19" s="659"/>
      <c r="AE19" s="535" t="s">
        <v>592</v>
      </c>
      <c r="AF19" s="539" t="s">
        <v>592</v>
      </c>
      <c r="AG19" s="539" t="s">
        <v>592</v>
      </c>
      <c r="AH19" s="535"/>
      <c r="AI19" s="659"/>
      <c r="AJ19" s="535" t="s">
        <v>592</v>
      </c>
      <c r="AK19" s="539" t="s">
        <v>592</v>
      </c>
      <c r="AL19" s="539" t="s">
        <v>592</v>
      </c>
      <c r="AM19" s="535"/>
      <c r="AN19" s="659"/>
      <c r="AO19" s="535" t="s">
        <v>592</v>
      </c>
      <c r="AP19" s="539" t="s">
        <v>592</v>
      </c>
      <c r="AQ19" s="539" t="s">
        <v>592</v>
      </c>
      <c r="AR19" s="535"/>
      <c r="AS19" s="659"/>
      <c r="AT19" s="535" t="s">
        <v>592</v>
      </c>
      <c r="AU19" s="539" t="s">
        <v>592</v>
      </c>
      <c r="AV19" s="539" t="s">
        <v>592</v>
      </c>
      <c r="AW19" s="535"/>
      <c r="AX19" s="659"/>
      <c r="AZ19" s="373" t="e">
        <f t="shared" si="3"/>
        <v>#N/A</v>
      </c>
      <c r="BA19" s="694"/>
    </row>
    <row r="20" spans="2:53">
      <c r="B20" s="669"/>
      <c r="C20" s="383">
        <v>14</v>
      </c>
      <c r="D20" s="355"/>
      <c r="E20" s="531"/>
      <c r="F20" s="531"/>
      <c r="G20" s="531"/>
      <c r="H20" s="682"/>
      <c r="I20" s="385" t="str">
        <f t="shared" si="0"/>
        <v>-</v>
      </c>
      <c r="J20" s="385" t="str">
        <f t="shared" si="1"/>
        <v>-</v>
      </c>
      <c r="K20" s="199" t="str">
        <f t="shared" si="2"/>
        <v>-</v>
      </c>
      <c r="L20" s="617"/>
      <c r="M20" s="387" t="e">
        <f>RANK(K20, K$7:$K$21)</f>
        <v>#VALUE!</v>
      </c>
      <c r="N20" s="635"/>
      <c r="O20" s="635"/>
      <c r="P20" s="535" t="s">
        <v>592</v>
      </c>
      <c r="Q20" s="539" t="s">
        <v>592</v>
      </c>
      <c r="R20" s="539" t="s">
        <v>592</v>
      </c>
      <c r="S20" s="535"/>
      <c r="T20" s="659"/>
      <c r="U20" s="535" t="s">
        <v>592</v>
      </c>
      <c r="V20" s="539" t="s">
        <v>592</v>
      </c>
      <c r="W20" s="539" t="s">
        <v>592</v>
      </c>
      <c r="X20" s="535"/>
      <c r="Y20" s="659"/>
      <c r="Z20" s="535" t="s">
        <v>592</v>
      </c>
      <c r="AA20" s="539" t="s">
        <v>592</v>
      </c>
      <c r="AB20" s="539" t="s">
        <v>592</v>
      </c>
      <c r="AC20" s="535"/>
      <c r="AD20" s="659"/>
      <c r="AE20" s="535" t="s">
        <v>592</v>
      </c>
      <c r="AF20" s="539" t="s">
        <v>592</v>
      </c>
      <c r="AG20" s="539" t="s">
        <v>592</v>
      </c>
      <c r="AH20" s="535"/>
      <c r="AI20" s="659"/>
      <c r="AJ20" s="535" t="s">
        <v>592</v>
      </c>
      <c r="AK20" s="539" t="s">
        <v>592</v>
      </c>
      <c r="AL20" s="539" t="s">
        <v>592</v>
      </c>
      <c r="AM20" s="535"/>
      <c r="AN20" s="659"/>
      <c r="AO20" s="535" t="s">
        <v>592</v>
      </c>
      <c r="AP20" s="539" t="s">
        <v>592</v>
      </c>
      <c r="AQ20" s="539" t="s">
        <v>592</v>
      </c>
      <c r="AR20" s="535"/>
      <c r="AS20" s="659"/>
      <c r="AT20" s="535" t="s">
        <v>592</v>
      </c>
      <c r="AU20" s="539" t="s">
        <v>592</v>
      </c>
      <c r="AV20" s="539" t="s">
        <v>592</v>
      </c>
      <c r="AW20" s="535"/>
      <c r="AX20" s="659"/>
      <c r="AZ20" s="373" t="e">
        <f t="shared" si="3"/>
        <v>#N/A</v>
      </c>
      <c r="BA20" s="694"/>
    </row>
    <row r="21" spans="2:53">
      <c r="B21" s="669"/>
      <c r="C21" s="383">
        <v>15</v>
      </c>
      <c r="D21" s="355"/>
      <c r="E21" s="531"/>
      <c r="F21" s="531"/>
      <c r="G21" s="531"/>
      <c r="H21" s="683"/>
      <c r="I21" s="389"/>
      <c r="J21" s="389"/>
      <c r="K21" s="386"/>
      <c r="L21" s="618"/>
      <c r="M21" s="387" t="e">
        <f>RANK(K21, K$7:$K$21)</f>
        <v>#N/A</v>
      </c>
      <c r="N21" s="635"/>
      <c r="O21" s="635"/>
      <c r="P21" s="535" t="s">
        <v>592</v>
      </c>
      <c r="Q21" s="539" t="s">
        <v>592</v>
      </c>
      <c r="R21" s="539" t="s">
        <v>592</v>
      </c>
      <c r="S21" s="535"/>
      <c r="T21" s="659"/>
      <c r="U21" s="535" t="s">
        <v>592</v>
      </c>
      <c r="V21" s="539" t="s">
        <v>592</v>
      </c>
      <c r="W21" s="539" t="s">
        <v>592</v>
      </c>
      <c r="X21" s="535"/>
      <c r="Y21" s="659"/>
      <c r="Z21" s="535" t="s">
        <v>592</v>
      </c>
      <c r="AA21" s="539" t="s">
        <v>592</v>
      </c>
      <c r="AB21" s="539" t="s">
        <v>592</v>
      </c>
      <c r="AC21" s="535"/>
      <c r="AD21" s="659"/>
      <c r="AE21" s="535" t="s">
        <v>592</v>
      </c>
      <c r="AF21" s="539" t="s">
        <v>592</v>
      </c>
      <c r="AG21" s="539" t="s">
        <v>592</v>
      </c>
      <c r="AH21" s="535"/>
      <c r="AI21" s="659"/>
      <c r="AJ21" s="535" t="s">
        <v>592</v>
      </c>
      <c r="AK21" s="539" t="s">
        <v>592</v>
      </c>
      <c r="AL21" s="539" t="s">
        <v>592</v>
      </c>
      <c r="AM21" s="535"/>
      <c r="AN21" s="659"/>
      <c r="AO21" s="535" t="s">
        <v>592</v>
      </c>
      <c r="AP21" s="539" t="s">
        <v>592</v>
      </c>
      <c r="AQ21" s="539" t="s">
        <v>592</v>
      </c>
      <c r="AR21" s="535"/>
      <c r="AS21" s="659"/>
      <c r="AT21" s="535" t="s">
        <v>592</v>
      </c>
      <c r="AU21" s="539" t="s">
        <v>592</v>
      </c>
      <c r="AV21" s="539" t="s">
        <v>592</v>
      </c>
      <c r="AW21" s="535"/>
      <c r="AX21" s="659"/>
      <c r="AZ21" s="373" t="e">
        <f t="shared" si="3"/>
        <v>#N/A</v>
      </c>
      <c r="BA21" s="694"/>
    </row>
    <row r="22" spans="2:53" ht="15.75">
      <c r="B22" s="666" t="s">
        <v>162</v>
      </c>
      <c r="C22" s="667"/>
      <c r="D22" s="667"/>
      <c r="E22" s="667"/>
      <c r="F22" s="667"/>
      <c r="G22" s="667"/>
      <c r="H22" s="667"/>
      <c r="I22" s="202"/>
      <c r="J22" s="202"/>
      <c r="K22" s="202"/>
      <c r="L22" s="202"/>
      <c r="M22" s="203"/>
      <c r="N22" s="639" t="s">
        <v>156</v>
      </c>
      <c r="O22" s="639" t="s">
        <v>105</v>
      </c>
      <c r="P22" s="645">
        <f>P2+7</f>
        <v>46210</v>
      </c>
      <c r="Q22" s="646"/>
      <c r="R22" s="646"/>
      <c r="S22" s="646"/>
      <c r="T22" s="646"/>
      <c r="U22" s="642">
        <f>P22+1</f>
        <v>46211</v>
      </c>
      <c r="V22" s="643"/>
      <c r="W22" s="643"/>
      <c r="X22" s="643"/>
      <c r="Y22" s="644"/>
      <c r="Z22" s="642">
        <f>U22+1</f>
        <v>46212</v>
      </c>
      <c r="AA22" s="643"/>
      <c r="AB22" s="643"/>
      <c r="AC22" s="643"/>
      <c r="AD22" s="644"/>
      <c r="AE22" s="642">
        <f>Z22+1</f>
        <v>46213</v>
      </c>
      <c r="AF22" s="643"/>
      <c r="AG22" s="643"/>
      <c r="AH22" s="643"/>
      <c r="AI22" s="644"/>
      <c r="AJ22" s="642">
        <f>AE22+1</f>
        <v>46214</v>
      </c>
      <c r="AK22" s="643"/>
      <c r="AL22" s="643"/>
      <c r="AM22" s="643"/>
      <c r="AN22" s="644"/>
      <c r="AO22" s="642">
        <f>AJ22+1</f>
        <v>46215</v>
      </c>
      <c r="AP22" s="643"/>
      <c r="AQ22" s="643"/>
      <c r="AR22" s="643"/>
      <c r="AS22" s="644"/>
      <c r="AT22" s="642">
        <f>AO22+1</f>
        <v>46216</v>
      </c>
      <c r="AU22" s="643"/>
      <c r="AV22" s="643"/>
      <c r="AW22" s="643"/>
      <c r="AX22" s="644"/>
    </row>
    <row r="23" spans="2:53" ht="15.75">
      <c r="B23" s="653"/>
      <c r="C23" s="653"/>
      <c r="D23" s="653"/>
      <c r="E23" s="653"/>
      <c r="F23" s="653"/>
      <c r="G23" s="653"/>
      <c r="H23" s="653"/>
      <c r="I23" s="204"/>
      <c r="J23" s="204"/>
      <c r="K23" s="204"/>
      <c r="L23" s="204"/>
      <c r="M23" s="205"/>
      <c r="N23" s="641"/>
      <c r="O23" s="641"/>
      <c r="P23" s="645" t="s">
        <v>317</v>
      </c>
      <c r="Q23" s="646"/>
      <c r="R23" s="646"/>
      <c r="S23" s="646"/>
      <c r="T23" s="646"/>
      <c r="U23" s="645" t="s">
        <v>318</v>
      </c>
      <c r="V23" s="646"/>
      <c r="W23" s="646"/>
      <c r="X23" s="646"/>
      <c r="Y23" s="646"/>
      <c r="Z23" s="645" t="s">
        <v>319</v>
      </c>
      <c r="AA23" s="646"/>
      <c r="AB23" s="646"/>
      <c r="AC23" s="646"/>
      <c r="AD23" s="646"/>
      <c r="AE23" s="645" t="s">
        <v>320</v>
      </c>
      <c r="AF23" s="646"/>
      <c r="AG23" s="646"/>
      <c r="AH23" s="646"/>
      <c r="AI23" s="646"/>
      <c r="AJ23" s="645" t="s">
        <v>321</v>
      </c>
      <c r="AK23" s="646"/>
      <c r="AL23" s="646"/>
      <c r="AM23" s="646"/>
      <c r="AN23" s="646"/>
      <c r="AO23" s="645" t="s">
        <v>322</v>
      </c>
      <c r="AP23" s="646"/>
      <c r="AQ23" s="646"/>
      <c r="AR23" s="646"/>
      <c r="AS23" s="646"/>
      <c r="AT23" s="645" t="s">
        <v>323</v>
      </c>
      <c r="AU23" s="646"/>
      <c r="AV23" s="646"/>
      <c r="AW23" s="646"/>
      <c r="AX23" s="646"/>
    </row>
    <row r="24" spans="2:53">
      <c r="B24" s="635" t="s">
        <v>372</v>
      </c>
      <c r="C24" s="635" t="s">
        <v>382</v>
      </c>
      <c r="D24" s="635"/>
      <c r="E24" s="635" t="s">
        <v>373</v>
      </c>
      <c r="F24" s="635"/>
      <c r="G24" s="635"/>
      <c r="H24" s="636" t="s">
        <v>369</v>
      </c>
      <c r="I24" s="635" t="s">
        <v>374</v>
      </c>
      <c r="J24" s="635"/>
      <c r="K24" s="635"/>
      <c r="L24" s="636" t="s">
        <v>369</v>
      </c>
      <c r="M24" s="639" t="s">
        <v>370</v>
      </c>
      <c r="N24" s="635"/>
      <c r="O24" s="635" t="s">
        <v>375</v>
      </c>
      <c r="P24" s="632" t="s">
        <v>371</v>
      </c>
      <c r="Q24" s="633"/>
      <c r="R24" s="633"/>
      <c r="S24" s="634"/>
      <c r="T24" s="635" t="s">
        <v>369</v>
      </c>
      <c r="U24" s="632" t="s">
        <v>371</v>
      </c>
      <c r="V24" s="633"/>
      <c r="W24" s="633"/>
      <c r="X24" s="634"/>
      <c r="Y24" s="635" t="s">
        <v>369</v>
      </c>
      <c r="Z24" s="632" t="s">
        <v>371</v>
      </c>
      <c r="AA24" s="633"/>
      <c r="AB24" s="633"/>
      <c r="AC24" s="634"/>
      <c r="AD24" s="635" t="s">
        <v>369</v>
      </c>
      <c r="AE24" s="632" t="s">
        <v>371</v>
      </c>
      <c r="AF24" s="633"/>
      <c r="AG24" s="633"/>
      <c r="AH24" s="634"/>
      <c r="AI24" s="635" t="s">
        <v>369</v>
      </c>
      <c r="AJ24" s="632" t="s">
        <v>371</v>
      </c>
      <c r="AK24" s="633"/>
      <c r="AL24" s="633"/>
      <c r="AM24" s="634"/>
      <c r="AN24" s="635" t="s">
        <v>369</v>
      </c>
      <c r="AO24" s="632" t="s">
        <v>371</v>
      </c>
      <c r="AP24" s="633"/>
      <c r="AQ24" s="633"/>
      <c r="AR24" s="634"/>
      <c r="AS24" s="635" t="s">
        <v>369</v>
      </c>
      <c r="AT24" s="632" t="s">
        <v>371</v>
      </c>
      <c r="AU24" s="633"/>
      <c r="AV24" s="633"/>
      <c r="AW24" s="634"/>
      <c r="AX24" s="635" t="s">
        <v>369</v>
      </c>
      <c r="BA24" s="635" t="s">
        <v>551</v>
      </c>
    </row>
    <row r="25" spans="2:53">
      <c r="B25" s="635"/>
      <c r="C25" s="635"/>
      <c r="D25" s="635"/>
      <c r="E25" s="635" t="s">
        <v>376</v>
      </c>
      <c r="F25" s="635"/>
      <c r="G25" s="635"/>
      <c r="H25" s="637"/>
      <c r="I25" s="635" t="s">
        <v>376</v>
      </c>
      <c r="J25" s="635"/>
      <c r="K25" s="635"/>
      <c r="L25" s="637"/>
      <c r="M25" s="640"/>
      <c r="N25" s="635"/>
      <c r="O25" s="635"/>
      <c r="P25" s="632" t="s">
        <v>377</v>
      </c>
      <c r="Q25" s="633"/>
      <c r="R25" s="633"/>
      <c r="S25" s="634"/>
      <c r="T25" s="635"/>
      <c r="U25" s="632" t="s">
        <v>377</v>
      </c>
      <c r="V25" s="633"/>
      <c r="W25" s="633"/>
      <c r="X25" s="634"/>
      <c r="Y25" s="635"/>
      <c r="Z25" s="632" t="s">
        <v>377</v>
      </c>
      <c r="AA25" s="633"/>
      <c r="AB25" s="633"/>
      <c r="AC25" s="634"/>
      <c r="AD25" s="635"/>
      <c r="AE25" s="632" t="s">
        <v>377</v>
      </c>
      <c r="AF25" s="633"/>
      <c r="AG25" s="633"/>
      <c r="AH25" s="634"/>
      <c r="AI25" s="635"/>
      <c r="AJ25" s="632" t="s">
        <v>377</v>
      </c>
      <c r="AK25" s="633"/>
      <c r="AL25" s="633"/>
      <c r="AM25" s="634"/>
      <c r="AN25" s="635"/>
      <c r="AO25" s="632" t="s">
        <v>377</v>
      </c>
      <c r="AP25" s="633"/>
      <c r="AQ25" s="633"/>
      <c r="AR25" s="634"/>
      <c r="AS25" s="635"/>
      <c r="AT25" s="632" t="s">
        <v>377</v>
      </c>
      <c r="AU25" s="633"/>
      <c r="AV25" s="633"/>
      <c r="AW25" s="634"/>
      <c r="AX25" s="635"/>
      <c r="BA25" s="635"/>
    </row>
    <row r="26" spans="2:53">
      <c r="B26" s="635"/>
      <c r="C26" s="635"/>
      <c r="D26" s="635"/>
      <c r="E26" s="382" t="s">
        <v>378</v>
      </c>
      <c r="F26" s="382" t="s">
        <v>379</v>
      </c>
      <c r="G26" s="382" t="s">
        <v>380</v>
      </c>
      <c r="H26" s="638"/>
      <c r="I26" s="382" t="s">
        <v>378</v>
      </c>
      <c r="J26" s="382" t="s">
        <v>379</v>
      </c>
      <c r="K26" s="382" t="s">
        <v>380</v>
      </c>
      <c r="L26" s="638"/>
      <c r="M26" s="641"/>
      <c r="N26" s="635"/>
      <c r="O26" s="635"/>
      <c r="P26" s="382" t="s">
        <v>378</v>
      </c>
      <c r="Q26" s="382" t="s">
        <v>379</v>
      </c>
      <c r="R26" s="382" t="s">
        <v>380</v>
      </c>
      <c r="S26" s="382" t="s">
        <v>370</v>
      </c>
      <c r="T26" s="635"/>
      <c r="U26" s="382" t="s">
        <v>378</v>
      </c>
      <c r="V26" s="382" t="s">
        <v>379</v>
      </c>
      <c r="W26" s="382" t="s">
        <v>380</v>
      </c>
      <c r="X26" s="382" t="s">
        <v>370</v>
      </c>
      <c r="Y26" s="635"/>
      <c r="Z26" s="382" t="s">
        <v>378</v>
      </c>
      <c r="AA26" s="382" t="s">
        <v>379</v>
      </c>
      <c r="AB26" s="382" t="s">
        <v>380</v>
      </c>
      <c r="AC26" s="382" t="s">
        <v>370</v>
      </c>
      <c r="AD26" s="635"/>
      <c r="AE26" s="382" t="s">
        <v>378</v>
      </c>
      <c r="AF26" s="382" t="s">
        <v>379</v>
      </c>
      <c r="AG26" s="382" t="s">
        <v>380</v>
      </c>
      <c r="AH26" s="382" t="s">
        <v>370</v>
      </c>
      <c r="AI26" s="635"/>
      <c r="AJ26" s="382" t="s">
        <v>378</v>
      </c>
      <c r="AK26" s="382" t="s">
        <v>379</v>
      </c>
      <c r="AL26" s="382" t="s">
        <v>380</v>
      </c>
      <c r="AM26" s="382" t="s">
        <v>370</v>
      </c>
      <c r="AN26" s="635"/>
      <c r="AO26" s="382" t="s">
        <v>378</v>
      </c>
      <c r="AP26" s="382" t="s">
        <v>379</v>
      </c>
      <c r="AQ26" s="382" t="s">
        <v>380</v>
      </c>
      <c r="AR26" s="382" t="s">
        <v>370</v>
      </c>
      <c r="AS26" s="635"/>
      <c r="AT26" s="382" t="s">
        <v>378</v>
      </c>
      <c r="AU26" s="382" t="s">
        <v>379</v>
      </c>
      <c r="AV26" s="382" t="s">
        <v>380</v>
      </c>
      <c r="AW26" s="382" t="s">
        <v>370</v>
      </c>
      <c r="AX26" s="635"/>
      <c r="AZ26" s="371" t="s">
        <v>370</v>
      </c>
      <c r="BA26" s="635"/>
    </row>
    <row r="27" spans="2:53">
      <c r="B27" s="679" t="s">
        <v>381</v>
      </c>
      <c r="C27" s="384">
        <v>1</v>
      </c>
      <c r="D27" s="355" t="s">
        <v>360</v>
      </c>
      <c r="E27" s="531">
        <v>4</v>
      </c>
      <c r="F27" s="531">
        <v>2000</v>
      </c>
      <c r="G27" s="531">
        <v>500</v>
      </c>
      <c r="H27" s="670">
        <f>AVERAGE(G27:G41)</f>
        <v>237.49259259259256</v>
      </c>
      <c r="I27" s="385">
        <f t="shared" ref="I27:I40" si="5">IFERROR(AVERAGE(P27,U27,Z27,AE27,AJ27,AO27,AT27),"-")</f>
        <v>5</v>
      </c>
      <c r="J27" s="385">
        <f t="shared" ref="J27:J40" si="6">IFERROR(AVERAGE(Q27,V27,AA27,AF27,AK27,AP27,AU27),"-")</f>
        <v>2144.9602925403005</v>
      </c>
      <c r="K27" s="199">
        <f t="shared" ref="K27:K40" si="7">IFERROR(AVERAGE(R27,W27,AB27,AG27,AL27,AQ27,AV27),"-")</f>
        <v>428.9920585080601</v>
      </c>
      <c r="L27" s="616">
        <f>IFERROR(AVERAGE(K27:K41),"-")</f>
        <v>213.12431613652436</v>
      </c>
      <c r="M27" s="389">
        <f>RANK(K27, K$27:$K$41)</f>
        <v>1</v>
      </c>
      <c r="N27" s="635"/>
      <c r="O27" s="635"/>
      <c r="P27" s="542">
        <v>5</v>
      </c>
      <c r="Q27" s="543">
        <v>2174.181818181818</v>
      </c>
      <c r="R27" s="543">
        <v>434.83636363636361</v>
      </c>
      <c r="S27" s="542">
        <f t="shared" ref="S27:S41" si="8">RANK(R27, R$27:R$41)</f>
        <v>1</v>
      </c>
      <c r="T27" s="647">
        <f t="shared" ref="T27" si="9">AVERAGE(R27:R41)</f>
        <v>212.25390481430208</v>
      </c>
      <c r="U27" s="542">
        <v>5</v>
      </c>
      <c r="V27" s="543">
        <v>2109.2307692307704</v>
      </c>
      <c r="W27" s="543">
        <v>421.8461538461541</v>
      </c>
      <c r="X27" s="542">
        <f t="shared" ref="X27:X41" si="10">RANK(W27, W$27:W$41)</f>
        <v>2</v>
      </c>
      <c r="Y27" s="647">
        <f t="shared" ref="Y27" si="11">AVERAGE(W27:W41)</f>
        <v>212.08678966732566</v>
      </c>
      <c r="Z27" s="542">
        <v>5</v>
      </c>
      <c r="AA27" s="543">
        <v>2180.816326530613</v>
      </c>
      <c r="AB27" s="543">
        <v>436.16326530612258</v>
      </c>
      <c r="AC27" s="542">
        <f t="shared" ref="AC27:AC41" si="12">RANK(AB27, AB$27:AB$41)</f>
        <v>1</v>
      </c>
      <c r="AD27" s="647">
        <f t="shared" ref="AD27" si="13">AVERAGE(AB27:AB41)</f>
        <v>213.859895140964</v>
      </c>
      <c r="AE27" s="542">
        <v>5</v>
      </c>
      <c r="AF27" s="543">
        <v>2115.428571428572</v>
      </c>
      <c r="AG27" s="543">
        <v>423.0857142857144</v>
      </c>
      <c r="AH27" s="542">
        <f t="shared" ref="AH27:AH41" si="14">RANK(AG27, AG$27:AG$41)</f>
        <v>2</v>
      </c>
      <c r="AI27" s="647">
        <f t="shared" ref="AI27" si="15">AVERAGE(AG27:AG41)</f>
        <v>214.28739738233196</v>
      </c>
      <c r="AJ27" s="542">
        <v>5</v>
      </c>
      <c r="AK27" s="543">
        <v>2123.4146341463406</v>
      </c>
      <c r="AL27" s="543">
        <v>424.68292682926813</v>
      </c>
      <c r="AM27" s="542">
        <f t="shared" ref="AM27:AM41" si="16">RANK(AL27, AL$27:AL$41)</f>
        <v>2</v>
      </c>
      <c r="AN27" s="647">
        <f t="shared" ref="AN27" si="17">AVERAGE(AL27:AL41)</f>
        <v>230.76633580962849</v>
      </c>
      <c r="AO27" s="542">
        <v>5</v>
      </c>
      <c r="AP27" s="543">
        <v>2123.4146341463406</v>
      </c>
      <c r="AQ27" s="543">
        <v>424.68292682926813</v>
      </c>
      <c r="AR27" s="542">
        <f t="shared" ref="AR27:AR41" si="18">RANK(AQ27, AQ$27:AQ$41)</f>
        <v>2</v>
      </c>
      <c r="AS27" s="647">
        <f t="shared" ref="AS27" si="19">AVERAGE(AQ27:AQ41)</f>
        <v>230.76633580962849</v>
      </c>
      <c r="AT27" s="542">
        <v>5</v>
      </c>
      <c r="AU27" s="543">
        <v>2188.2352941176478</v>
      </c>
      <c r="AV27" s="543">
        <v>437.64705882352956</v>
      </c>
      <c r="AW27" s="542">
        <f t="shared" ref="AW27:AW41" si="20">RANK(AV27, AV$27:AV$41)</f>
        <v>1</v>
      </c>
      <c r="AX27" s="647">
        <f t="shared" ref="AX27" si="21">AVERAGE(AV27:AV41)</f>
        <v>232.83771350924519</v>
      </c>
      <c r="AZ27" s="372" t="e">
        <f t="shared" ref="AZ27:AZ41" si="22">RANK(AY27, AY$27:AY$41)</f>
        <v>#N/A</v>
      </c>
      <c r="BA27" s="647" t="e">
        <f t="shared" ref="BA27" si="23">AVERAGE(AY27:AY41)</f>
        <v>#DIV/0!</v>
      </c>
    </row>
    <row r="28" spans="2:53">
      <c r="B28" s="646"/>
      <c r="C28" s="384">
        <v>2</v>
      </c>
      <c r="D28" s="355" t="s">
        <v>431</v>
      </c>
      <c r="E28" s="531">
        <v>4</v>
      </c>
      <c r="F28" s="531">
        <v>2000</v>
      </c>
      <c r="G28" s="531">
        <v>500</v>
      </c>
      <c r="H28" s="671"/>
      <c r="I28" s="385">
        <f t="shared" si="5"/>
        <v>5</v>
      </c>
      <c r="J28" s="385">
        <f t="shared" si="6"/>
        <v>2138.8836636986425</v>
      </c>
      <c r="K28" s="199">
        <f t="shared" si="7"/>
        <v>427.77673273972852</v>
      </c>
      <c r="L28" s="617"/>
      <c r="M28" s="392">
        <f>RANK(K28, K$27:$K$41)</f>
        <v>2</v>
      </c>
      <c r="N28" s="635"/>
      <c r="O28" s="635"/>
      <c r="P28" s="542">
        <v>5</v>
      </c>
      <c r="Q28" s="543">
        <v>2128.301886792452</v>
      </c>
      <c r="R28" s="543">
        <v>425.66037735849039</v>
      </c>
      <c r="S28" s="542">
        <f t="shared" si="8"/>
        <v>2</v>
      </c>
      <c r="T28" s="648"/>
      <c r="U28" s="542">
        <v>5</v>
      </c>
      <c r="V28" s="543">
        <v>2132.5000000000009</v>
      </c>
      <c r="W28" s="543">
        <v>426.50000000000017</v>
      </c>
      <c r="X28" s="542">
        <f t="shared" si="10"/>
        <v>1</v>
      </c>
      <c r="Y28" s="648"/>
      <c r="Z28" s="542">
        <v>5</v>
      </c>
      <c r="AA28" s="543">
        <v>2124.5454545454545</v>
      </c>
      <c r="AB28" s="543">
        <v>424.90909090909088</v>
      </c>
      <c r="AC28" s="542">
        <f t="shared" si="12"/>
        <v>2</v>
      </c>
      <c r="AD28" s="648"/>
      <c r="AE28" s="542">
        <v>5</v>
      </c>
      <c r="AF28" s="543">
        <v>2173.7142857142862</v>
      </c>
      <c r="AG28" s="543">
        <v>434.74285714285725</v>
      </c>
      <c r="AH28" s="542">
        <f t="shared" si="14"/>
        <v>1</v>
      </c>
      <c r="AI28" s="648"/>
      <c r="AJ28" s="542">
        <v>5</v>
      </c>
      <c r="AK28" s="543">
        <v>2146.1538461538453</v>
      </c>
      <c r="AL28" s="543">
        <v>429.23076923076906</v>
      </c>
      <c r="AM28" s="542">
        <f t="shared" si="16"/>
        <v>1</v>
      </c>
      <c r="AN28" s="648"/>
      <c r="AO28" s="542">
        <v>5</v>
      </c>
      <c r="AP28" s="543">
        <v>2146.1538461538453</v>
      </c>
      <c r="AQ28" s="543">
        <v>429.23076923076906</v>
      </c>
      <c r="AR28" s="542">
        <f t="shared" si="18"/>
        <v>1</v>
      </c>
      <c r="AS28" s="648"/>
      <c r="AT28" s="542">
        <v>5</v>
      </c>
      <c r="AU28" s="543">
        <v>2120.816326530613</v>
      </c>
      <c r="AV28" s="543">
        <v>424.16326530612258</v>
      </c>
      <c r="AW28" s="542">
        <f t="shared" si="20"/>
        <v>2</v>
      </c>
      <c r="AX28" s="648"/>
      <c r="AZ28" s="372" t="e">
        <f t="shared" si="22"/>
        <v>#N/A</v>
      </c>
      <c r="BA28" s="648"/>
    </row>
    <row r="29" spans="2:53">
      <c r="B29" s="646"/>
      <c r="C29" s="384">
        <v>3</v>
      </c>
      <c r="D29" s="355" t="s">
        <v>361</v>
      </c>
      <c r="E29" s="531">
        <v>12</v>
      </c>
      <c r="F29" s="531">
        <v>2118</v>
      </c>
      <c r="G29" s="531">
        <v>176.5</v>
      </c>
      <c r="H29" s="671"/>
      <c r="I29" s="385">
        <f t="shared" si="5"/>
        <v>12</v>
      </c>
      <c r="J29" s="385">
        <f t="shared" si="6"/>
        <v>1976.6452754123989</v>
      </c>
      <c r="K29" s="199">
        <f t="shared" si="7"/>
        <v>164.7204396176999</v>
      </c>
      <c r="L29" s="617"/>
      <c r="M29" s="392">
        <f>RANK(K29, K$27:$K$41)</f>
        <v>6</v>
      </c>
      <c r="N29" s="635"/>
      <c r="O29" s="635"/>
      <c r="P29" s="542">
        <v>12</v>
      </c>
      <c r="Q29" s="543">
        <v>1957.808219178082</v>
      </c>
      <c r="R29" s="543">
        <v>163.15068493150685</v>
      </c>
      <c r="S29" s="542">
        <f t="shared" si="8"/>
        <v>6</v>
      </c>
      <c r="T29" s="648"/>
      <c r="U29" s="542">
        <v>12</v>
      </c>
      <c r="V29" s="543">
        <v>1960.0000000000002</v>
      </c>
      <c r="W29" s="543">
        <v>163.33333333333334</v>
      </c>
      <c r="X29" s="542">
        <f t="shared" si="10"/>
        <v>6</v>
      </c>
      <c r="Y29" s="648"/>
      <c r="Z29" s="542">
        <v>12</v>
      </c>
      <c r="AA29" s="543">
        <v>2000.0000000000005</v>
      </c>
      <c r="AB29" s="543">
        <v>166.66666666666671</v>
      </c>
      <c r="AC29" s="542">
        <f t="shared" si="12"/>
        <v>6</v>
      </c>
      <c r="AD29" s="648"/>
      <c r="AE29" s="542">
        <v>12</v>
      </c>
      <c r="AF29" s="543">
        <v>2002.2222222222219</v>
      </c>
      <c r="AG29" s="543">
        <v>166.85185185185182</v>
      </c>
      <c r="AH29" s="542">
        <f t="shared" si="14"/>
        <v>6</v>
      </c>
      <c r="AI29" s="648"/>
      <c r="AJ29" s="542">
        <v>12</v>
      </c>
      <c r="AK29" s="543">
        <v>1950.0000000000005</v>
      </c>
      <c r="AL29" s="543">
        <v>162.50000000000003</v>
      </c>
      <c r="AM29" s="542">
        <f t="shared" si="16"/>
        <v>6</v>
      </c>
      <c r="AN29" s="648"/>
      <c r="AO29" s="542">
        <v>12</v>
      </c>
      <c r="AP29" s="543">
        <v>1950.0000000000005</v>
      </c>
      <c r="AQ29" s="543">
        <v>162.50000000000003</v>
      </c>
      <c r="AR29" s="542">
        <f t="shared" si="18"/>
        <v>6</v>
      </c>
      <c r="AS29" s="648"/>
      <c r="AT29" s="542">
        <v>12</v>
      </c>
      <c r="AU29" s="543">
        <v>2016.4864864864871</v>
      </c>
      <c r="AV29" s="543">
        <v>168.0405405405406</v>
      </c>
      <c r="AW29" s="542">
        <f t="shared" si="20"/>
        <v>6</v>
      </c>
      <c r="AX29" s="648"/>
      <c r="AZ29" s="372" t="e">
        <f t="shared" si="22"/>
        <v>#N/A</v>
      </c>
      <c r="BA29" s="648"/>
    </row>
    <row r="30" spans="2:53">
      <c r="B30" s="646"/>
      <c r="C30" s="384">
        <v>4</v>
      </c>
      <c r="D30" s="355" t="s">
        <v>577</v>
      </c>
      <c r="E30" s="531">
        <v>13</v>
      </c>
      <c r="F30" s="531">
        <v>2250</v>
      </c>
      <c r="G30" s="531">
        <v>173.1</v>
      </c>
      <c r="H30" s="671"/>
      <c r="I30" s="385">
        <f t="shared" si="5"/>
        <v>13</v>
      </c>
      <c r="J30" s="385">
        <f t="shared" si="6"/>
        <v>2093.4663024801821</v>
      </c>
      <c r="K30" s="199">
        <f t="shared" si="7"/>
        <v>161.03586942155249</v>
      </c>
      <c r="L30" s="617"/>
      <c r="M30" s="392">
        <f>RANK(K30, K$27:$K$41)</f>
        <v>7</v>
      </c>
      <c r="N30" s="635"/>
      <c r="O30" s="635"/>
      <c r="P30" s="542">
        <v>13</v>
      </c>
      <c r="Q30" s="543">
        <v>2094.6</v>
      </c>
      <c r="R30" s="543">
        <v>161.12307692307692</v>
      </c>
      <c r="S30" s="542">
        <f t="shared" si="8"/>
        <v>7</v>
      </c>
      <c r="T30" s="648"/>
      <c r="U30" s="542">
        <v>13</v>
      </c>
      <c r="V30" s="543">
        <v>2060.2758620689647</v>
      </c>
      <c r="W30" s="543">
        <v>158.48275862068959</v>
      </c>
      <c r="X30" s="542">
        <f t="shared" si="10"/>
        <v>7</v>
      </c>
      <c r="Y30" s="648"/>
      <c r="Z30" s="542">
        <v>13</v>
      </c>
      <c r="AA30" s="543">
        <v>2083.7647058823536</v>
      </c>
      <c r="AB30" s="543">
        <v>160.28959276018105</v>
      </c>
      <c r="AC30" s="542">
        <f t="shared" si="12"/>
        <v>7</v>
      </c>
      <c r="AD30" s="648"/>
      <c r="AE30" s="542">
        <v>13</v>
      </c>
      <c r="AF30" s="543">
        <v>2105.454545454546</v>
      </c>
      <c r="AG30" s="543">
        <v>161.958041958042</v>
      </c>
      <c r="AH30" s="542">
        <f t="shared" si="14"/>
        <v>7</v>
      </c>
      <c r="AI30" s="648"/>
      <c r="AJ30" s="542">
        <v>13</v>
      </c>
      <c r="AK30" s="543">
        <v>2099.2592592592596</v>
      </c>
      <c r="AL30" s="543">
        <v>161.4814814814815</v>
      </c>
      <c r="AM30" s="542">
        <f t="shared" si="16"/>
        <v>7</v>
      </c>
      <c r="AN30" s="648"/>
      <c r="AO30" s="542">
        <v>13</v>
      </c>
      <c r="AP30" s="543">
        <v>2099.2592592592596</v>
      </c>
      <c r="AQ30" s="543">
        <v>161.4814814814815</v>
      </c>
      <c r="AR30" s="542">
        <f t="shared" si="18"/>
        <v>7</v>
      </c>
      <c r="AS30" s="648"/>
      <c r="AT30" s="542">
        <v>13</v>
      </c>
      <c r="AU30" s="543">
        <v>2111.6504854368932</v>
      </c>
      <c r="AV30" s="543">
        <v>162.43465272591487</v>
      </c>
      <c r="AW30" s="542">
        <f t="shared" si="20"/>
        <v>7</v>
      </c>
      <c r="AX30" s="648"/>
      <c r="AZ30" s="372" t="e">
        <f t="shared" si="22"/>
        <v>#N/A</v>
      </c>
      <c r="BA30" s="648"/>
    </row>
    <row r="31" spans="2:53">
      <c r="B31" s="646"/>
      <c r="C31" s="384">
        <v>5</v>
      </c>
      <c r="D31" s="355" t="s">
        <v>362</v>
      </c>
      <c r="E31" s="531">
        <v>13</v>
      </c>
      <c r="F31" s="531">
        <v>2250</v>
      </c>
      <c r="G31" s="531">
        <v>173.1</v>
      </c>
      <c r="H31" s="671"/>
      <c r="I31" s="385">
        <f t="shared" si="5"/>
        <v>13</v>
      </c>
      <c r="J31" s="385">
        <f t="shared" si="6"/>
        <v>2199.3966118193234</v>
      </c>
      <c r="K31" s="199">
        <f t="shared" si="7"/>
        <v>169.18435475533263</v>
      </c>
      <c r="L31" s="617"/>
      <c r="M31" s="392">
        <f>RANK(K31, K$27:$K$41)</f>
        <v>5</v>
      </c>
      <c r="N31" s="635"/>
      <c r="O31" s="635"/>
      <c r="P31" s="542">
        <v>13</v>
      </c>
      <c r="Q31" s="543">
        <v>2188.4210526315792</v>
      </c>
      <c r="R31" s="543">
        <v>168.34008097165994</v>
      </c>
      <c r="S31" s="542">
        <f t="shared" si="8"/>
        <v>5</v>
      </c>
      <c r="T31" s="648"/>
      <c r="U31" s="542">
        <v>13</v>
      </c>
      <c r="V31" s="543">
        <v>2202.5581395348836</v>
      </c>
      <c r="W31" s="543">
        <v>169.42754919499106</v>
      </c>
      <c r="X31" s="542">
        <f t="shared" si="10"/>
        <v>5</v>
      </c>
      <c r="Y31" s="648"/>
      <c r="Z31" s="542">
        <v>13</v>
      </c>
      <c r="AA31" s="543">
        <v>2178.0722891566256</v>
      </c>
      <c r="AB31" s="543">
        <v>167.54402224281736</v>
      </c>
      <c r="AC31" s="542">
        <f t="shared" si="12"/>
        <v>5</v>
      </c>
      <c r="AD31" s="648"/>
      <c r="AE31" s="542">
        <v>13</v>
      </c>
      <c r="AF31" s="543">
        <v>2216.363636363636</v>
      </c>
      <c r="AG31" s="543">
        <v>170.48951048951045</v>
      </c>
      <c r="AH31" s="542">
        <f t="shared" si="14"/>
        <v>5</v>
      </c>
      <c r="AI31" s="648"/>
      <c r="AJ31" s="542">
        <v>13</v>
      </c>
      <c r="AK31" s="543">
        <v>2211.1999999999994</v>
      </c>
      <c r="AL31" s="543">
        <v>170.09230769230766</v>
      </c>
      <c r="AM31" s="542">
        <f t="shared" si="16"/>
        <v>5</v>
      </c>
      <c r="AN31" s="648"/>
      <c r="AO31" s="542">
        <v>13</v>
      </c>
      <c r="AP31" s="543">
        <v>2211.1999999999994</v>
      </c>
      <c r="AQ31" s="543">
        <v>170.09230769230766</v>
      </c>
      <c r="AR31" s="542">
        <f t="shared" si="18"/>
        <v>5</v>
      </c>
      <c r="AS31" s="648"/>
      <c r="AT31" s="542">
        <v>13</v>
      </c>
      <c r="AU31" s="543">
        <v>2187.9611650485435</v>
      </c>
      <c r="AV31" s="543">
        <v>168.30470500373411</v>
      </c>
      <c r="AW31" s="542">
        <f t="shared" si="20"/>
        <v>5</v>
      </c>
      <c r="AX31" s="648"/>
      <c r="AZ31" s="372" t="e">
        <f t="shared" si="22"/>
        <v>#N/A</v>
      </c>
      <c r="BA31" s="648"/>
    </row>
    <row r="32" spans="2:53">
      <c r="B32" s="646"/>
      <c r="C32" s="384">
        <v>6</v>
      </c>
      <c r="D32" s="355" t="s">
        <v>363</v>
      </c>
      <c r="E32" s="531">
        <v>10</v>
      </c>
      <c r="F32" s="531">
        <v>2769</v>
      </c>
      <c r="G32" s="531">
        <v>276.89999999999998</v>
      </c>
      <c r="H32" s="671"/>
      <c r="I32" s="385">
        <f t="shared" si="5"/>
        <v>10</v>
      </c>
      <c r="J32" s="385">
        <f t="shared" si="6"/>
        <v>2402.3305273286019</v>
      </c>
      <c r="K32" s="199">
        <f t="shared" si="7"/>
        <v>240.23305273286019</v>
      </c>
      <c r="L32" s="617"/>
      <c r="M32" s="392">
        <f>RANK(K32, K$27:$K$41)</f>
        <v>3</v>
      </c>
      <c r="N32" s="635"/>
      <c r="O32" s="635"/>
      <c r="P32" s="542">
        <v>10</v>
      </c>
      <c r="Q32" s="543">
        <v>2379.4736842105249</v>
      </c>
      <c r="R32" s="543">
        <v>237.94736842105249</v>
      </c>
      <c r="S32" s="542">
        <f t="shared" si="8"/>
        <v>3</v>
      </c>
      <c r="T32" s="648"/>
      <c r="U32" s="542">
        <v>10</v>
      </c>
      <c r="V32" s="543">
        <v>2435.192307692309</v>
      </c>
      <c r="W32" s="543">
        <v>243.51923076923089</v>
      </c>
      <c r="X32" s="542">
        <f t="shared" si="10"/>
        <v>3</v>
      </c>
      <c r="Y32" s="648"/>
      <c r="Z32" s="542">
        <v>10</v>
      </c>
      <c r="AA32" s="543">
        <v>2452.7096774193551</v>
      </c>
      <c r="AB32" s="543">
        <v>245.27096774193552</v>
      </c>
      <c r="AC32" s="542">
        <f t="shared" si="12"/>
        <v>3</v>
      </c>
      <c r="AD32" s="648"/>
      <c r="AE32" s="542">
        <v>10</v>
      </c>
      <c r="AF32" s="543">
        <v>2371.9999999999991</v>
      </c>
      <c r="AG32" s="543">
        <v>237.1999999999999</v>
      </c>
      <c r="AH32" s="542">
        <f t="shared" si="14"/>
        <v>3</v>
      </c>
      <c r="AI32" s="648"/>
      <c r="AJ32" s="542">
        <v>10</v>
      </c>
      <c r="AK32" s="543">
        <v>2398.8461538461552</v>
      </c>
      <c r="AL32" s="543">
        <v>239.88461538461553</v>
      </c>
      <c r="AM32" s="542">
        <f t="shared" si="16"/>
        <v>3</v>
      </c>
      <c r="AN32" s="648"/>
      <c r="AO32" s="542">
        <v>10</v>
      </c>
      <c r="AP32" s="543">
        <v>2398.8461538461552</v>
      </c>
      <c r="AQ32" s="543">
        <v>239.88461538461553</v>
      </c>
      <c r="AR32" s="542">
        <f t="shared" si="18"/>
        <v>3</v>
      </c>
      <c r="AS32" s="648"/>
      <c r="AT32" s="542">
        <v>10</v>
      </c>
      <c r="AU32" s="543">
        <v>2379.2457142857138</v>
      </c>
      <c r="AV32" s="543">
        <v>237.92457142857137</v>
      </c>
      <c r="AW32" s="542">
        <f t="shared" si="20"/>
        <v>3</v>
      </c>
      <c r="AX32" s="648"/>
      <c r="AZ32" s="372" t="e">
        <f t="shared" si="22"/>
        <v>#N/A</v>
      </c>
      <c r="BA32" s="648"/>
    </row>
    <row r="33" spans="2:53">
      <c r="B33" s="646"/>
      <c r="C33" s="384">
        <v>7</v>
      </c>
      <c r="D33" s="355" t="s">
        <v>707</v>
      </c>
      <c r="E33" s="531">
        <v>11</v>
      </c>
      <c r="F33" s="531">
        <v>2250</v>
      </c>
      <c r="G33" s="531">
        <v>204.5</v>
      </c>
      <c r="H33" s="671"/>
      <c r="I33" s="385">
        <f t="shared" si="5"/>
        <v>11</v>
      </c>
      <c r="J33" s="385">
        <f t="shared" si="6"/>
        <v>2143.5126839228401</v>
      </c>
      <c r="K33" s="199">
        <f t="shared" si="7"/>
        <v>194.86478944753097</v>
      </c>
      <c r="L33" s="617"/>
      <c r="M33" s="392">
        <f>RANK(K33, K$27:$K$41)</f>
        <v>4</v>
      </c>
      <c r="N33" s="635"/>
      <c r="O33" s="635"/>
      <c r="P33" s="542">
        <v>11</v>
      </c>
      <c r="Q33" s="543">
        <v>2135.1063829787236</v>
      </c>
      <c r="R33" s="543">
        <v>194.10058027079305</v>
      </c>
      <c r="S33" s="542">
        <f t="shared" si="8"/>
        <v>4</v>
      </c>
      <c r="T33" s="648"/>
      <c r="U33" s="542">
        <v>11</v>
      </c>
      <c r="V33" s="543">
        <v>2133.2093023255807</v>
      </c>
      <c r="W33" s="543">
        <v>193.9281183932346</v>
      </c>
      <c r="X33" s="542">
        <f t="shared" si="10"/>
        <v>4</v>
      </c>
      <c r="Y33" s="648"/>
      <c r="Z33" s="542">
        <v>11</v>
      </c>
      <c r="AA33" s="543">
        <v>2153.4545454545455</v>
      </c>
      <c r="AB33" s="543">
        <v>195.76859504132233</v>
      </c>
      <c r="AC33" s="542">
        <f t="shared" si="12"/>
        <v>4</v>
      </c>
      <c r="AD33" s="648"/>
      <c r="AE33" s="542">
        <v>11</v>
      </c>
      <c r="AF33" s="543">
        <v>2179.1999999999998</v>
      </c>
      <c r="AG33" s="543">
        <v>198.1090909090909</v>
      </c>
      <c r="AH33" s="542">
        <f t="shared" si="14"/>
        <v>4</v>
      </c>
      <c r="AI33" s="648"/>
      <c r="AJ33" s="542">
        <v>11</v>
      </c>
      <c r="AK33" s="543">
        <v>2108.0000000000009</v>
      </c>
      <c r="AL33" s="543">
        <v>191.63636363636371</v>
      </c>
      <c r="AM33" s="542">
        <f t="shared" si="16"/>
        <v>4</v>
      </c>
      <c r="AN33" s="648"/>
      <c r="AO33" s="542">
        <v>11</v>
      </c>
      <c r="AP33" s="543">
        <v>2108.0000000000009</v>
      </c>
      <c r="AQ33" s="543">
        <v>191.63636363636371</v>
      </c>
      <c r="AR33" s="542">
        <f t="shared" si="18"/>
        <v>4</v>
      </c>
      <c r="AS33" s="648"/>
      <c r="AT33" s="542">
        <v>11</v>
      </c>
      <c r="AU33" s="543">
        <v>2187.6185567010316</v>
      </c>
      <c r="AV33" s="543">
        <v>198.87441424554834</v>
      </c>
      <c r="AW33" s="542">
        <f t="shared" si="20"/>
        <v>4</v>
      </c>
      <c r="AX33" s="648"/>
      <c r="AZ33" s="372" t="e">
        <f t="shared" si="22"/>
        <v>#N/A</v>
      </c>
      <c r="BA33" s="648"/>
    </row>
    <row r="34" spans="2:53">
      <c r="B34" s="646"/>
      <c r="C34" s="384">
        <v>8</v>
      </c>
      <c r="D34" s="355" t="s">
        <v>359</v>
      </c>
      <c r="E34" s="531">
        <v>18</v>
      </c>
      <c r="F34" s="531">
        <v>1200</v>
      </c>
      <c r="G34" s="531">
        <v>66.666666666666671</v>
      </c>
      <c r="H34" s="671"/>
      <c r="I34" s="385">
        <f t="shared" si="5"/>
        <v>18.714285714285715</v>
      </c>
      <c r="J34" s="385">
        <f t="shared" si="6"/>
        <v>1211.0074378308193</v>
      </c>
      <c r="K34" s="199">
        <f t="shared" si="7"/>
        <v>64.819230496386396</v>
      </c>
      <c r="L34" s="617"/>
      <c r="M34" s="392">
        <f>RANK(K34, K$27:$K$41)</f>
        <v>9</v>
      </c>
      <c r="N34" s="635"/>
      <c r="O34" s="635"/>
      <c r="P34" s="542">
        <v>20</v>
      </c>
      <c r="Q34" s="543">
        <v>1232.9032258064517</v>
      </c>
      <c r="R34" s="543">
        <v>61.645161290322584</v>
      </c>
      <c r="S34" s="542">
        <f t="shared" si="8"/>
        <v>9</v>
      </c>
      <c r="T34" s="648"/>
      <c r="U34" s="542">
        <v>19</v>
      </c>
      <c r="V34" s="543">
        <v>1228.2352941176455</v>
      </c>
      <c r="W34" s="543">
        <v>64.643962848297136</v>
      </c>
      <c r="X34" s="542">
        <f t="shared" si="10"/>
        <v>9</v>
      </c>
      <c r="Y34" s="648"/>
      <c r="Z34" s="542">
        <v>20</v>
      </c>
      <c r="AA34" s="543">
        <v>1218.9473684210516</v>
      </c>
      <c r="AB34" s="543">
        <v>60.94736842105258</v>
      </c>
      <c r="AC34" s="542">
        <f t="shared" si="12"/>
        <v>9</v>
      </c>
      <c r="AD34" s="648"/>
      <c r="AE34" s="542">
        <v>18</v>
      </c>
      <c r="AF34" s="543">
        <v>1222.9411764705867</v>
      </c>
      <c r="AG34" s="543">
        <v>67.941176470588147</v>
      </c>
      <c r="AH34" s="542">
        <f t="shared" si="14"/>
        <v>9</v>
      </c>
      <c r="AI34" s="648"/>
      <c r="AJ34" s="542">
        <v>18</v>
      </c>
      <c r="AK34" s="543">
        <v>1199.1999999999989</v>
      </c>
      <c r="AL34" s="543">
        <v>66.622222222222163</v>
      </c>
      <c r="AM34" s="542">
        <f t="shared" si="16"/>
        <v>8</v>
      </c>
      <c r="AN34" s="648"/>
      <c r="AO34" s="542">
        <v>18</v>
      </c>
      <c r="AP34" s="543">
        <v>1199.1999999999989</v>
      </c>
      <c r="AQ34" s="543">
        <v>66.622222222222163</v>
      </c>
      <c r="AR34" s="542">
        <f t="shared" si="18"/>
        <v>8</v>
      </c>
      <c r="AS34" s="648"/>
      <c r="AT34" s="542">
        <v>18</v>
      </c>
      <c r="AU34" s="543">
        <v>1175.6250000000005</v>
      </c>
      <c r="AV34" s="543">
        <v>65.312500000000028</v>
      </c>
      <c r="AW34" s="542">
        <f t="shared" si="20"/>
        <v>8</v>
      </c>
      <c r="AX34" s="648"/>
      <c r="AZ34" s="372" t="e">
        <f t="shared" si="22"/>
        <v>#N/A</v>
      </c>
      <c r="BA34" s="648"/>
    </row>
    <row r="35" spans="2:53">
      <c r="B35" s="646"/>
      <c r="C35" s="384">
        <v>9</v>
      </c>
      <c r="D35" s="355" t="s">
        <v>635</v>
      </c>
      <c r="E35" s="531">
        <v>18</v>
      </c>
      <c r="F35" s="531">
        <v>1200</v>
      </c>
      <c r="G35" s="531">
        <v>66.666666666666671</v>
      </c>
      <c r="H35" s="671"/>
      <c r="I35" s="385">
        <f t="shared" si="5"/>
        <v>18.25</v>
      </c>
      <c r="J35" s="385">
        <f t="shared" si="6"/>
        <v>1212.7320775535939</v>
      </c>
      <c r="K35" s="199">
        <f t="shared" si="7"/>
        <v>66.492317509568352</v>
      </c>
      <c r="L35" s="617"/>
      <c r="M35" s="392">
        <f>RANK(K35, K$27:$K$41)</f>
        <v>8</v>
      </c>
      <c r="N35" s="635"/>
      <c r="O35" s="635"/>
      <c r="P35" s="542">
        <v>19</v>
      </c>
      <c r="Q35" s="543">
        <v>1206.1475409836064</v>
      </c>
      <c r="R35" s="543">
        <v>63.481449525452966</v>
      </c>
      <c r="S35" s="542">
        <f t="shared" si="8"/>
        <v>8</v>
      </c>
      <c r="T35" s="648"/>
      <c r="U35" s="542">
        <v>18</v>
      </c>
      <c r="V35" s="543">
        <v>1207.7999999999997</v>
      </c>
      <c r="W35" s="543">
        <v>67.09999999999998</v>
      </c>
      <c r="X35" s="542">
        <f t="shared" si="10"/>
        <v>8</v>
      </c>
      <c r="Y35" s="648"/>
      <c r="Z35" s="542">
        <v>18</v>
      </c>
      <c r="AA35" s="543">
        <v>1209.2307692307693</v>
      </c>
      <c r="AB35" s="543">
        <v>67.179487179487182</v>
      </c>
      <c r="AC35" s="542">
        <f t="shared" si="12"/>
        <v>8</v>
      </c>
      <c r="AD35" s="648"/>
      <c r="AE35" s="542">
        <v>18</v>
      </c>
      <c r="AF35" s="543">
        <v>1227.7499999999998</v>
      </c>
      <c r="AG35" s="543">
        <v>68.208333333333314</v>
      </c>
      <c r="AH35" s="542">
        <f t="shared" si="14"/>
        <v>8</v>
      </c>
      <c r="AI35" s="648"/>
      <c r="AJ35" s="542" t="s">
        <v>592</v>
      </c>
      <c r="AK35" s="543" t="s">
        <v>592</v>
      </c>
      <c r="AL35" s="543" t="s">
        <v>592</v>
      </c>
      <c r="AM35" s="542" t="e">
        <f t="shared" si="16"/>
        <v>#VALUE!</v>
      </c>
      <c r="AN35" s="648"/>
      <c r="AO35" s="542" t="s">
        <v>592</v>
      </c>
      <c r="AP35" s="543" t="s">
        <v>592</v>
      </c>
      <c r="AQ35" s="543" t="s">
        <v>592</v>
      </c>
      <c r="AR35" s="542" t="e">
        <f t="shared" si="18"/>
        <v>#VALUE!</v>
      </c>
      <c r="AS35" s="648"/>
      <c r="AT35" s="542" t="s">
        <v>592</v>
      </c>
      <c r="AU35" s="543" t="s">
        <v>592</v>
      </c>
      <c r="AV35" s="543" t="s">
        <v>592</v>
      </c>
      <c r="AW35" s="542" t="e">
        <f t="shared" si="20"/>
        <v>#VALUE!</v>
      </c>
      <c r="AX35" s="648"/>
      <c r="AZ35" s="372" t="e">
        <f t="shared" si="22"/>
        <v>#N/A</v>
      </c>
      <c r="BA35" s="648"/>
    </row>
    <row r="36" spans="2:53">
      <c r="B36" s="646"/>
      <c r="C36" s="384">
        <v>10</v>
      </c>
      <c r="D36" s="355"/>
      <c r="E36" s="531"/>
      <c r="F36" s="531"/>
      <c r="G36" s="531"/>
      <c r="H36" s="671"/>
      <c r="I36" s="385" t="str">
        <f t="shared" si="5"/>
        <v>-</v>
      </c>
      <c r="J36" s="385" t="str">
        <f t="shared" si="6"/>
        <v>-</v>
      </c>
      <c r="K36" s="199" t="str">
        <f t="shared" si="7"/>
        <v>-</v>
      </c>
      <c r="L36" s="617"/>
      <c r="M36" s="392" t="e">
        <f>RANK(K36, K$27:$K$41)</f>
        <v>#VALUE!</v>
      </c>
      <c r="N36" s="635"/>
      <c r="O36" s="635"/>
      <c r="P36" s="542" t="s">
        <v>592</v>
      </c>
      <c r="Q36" s="543" t="s">
        <v>592</v>
      </c>
      <c r="R36" s="543" t="s">
        <v>592</v>
      </c>
      <c r="S36" s="542" t="e">
        <f t="shared" si="8"/>
        <v>#VALUE!</v>
      </c>
      <c r="T36" s="648"/>
      <c r="U36" s="542" t="s">
        <v>592</v>
      </c>
      <c r="V36" s="543" t="s">
        <v>592</v>
      </c>
      <c r="W36" s="543" t="s">
        <v>592</v>
      </c>
      <c r="X36" s="542" t="e">
        <f t="shared" si="10"/>
        <v>#VALUE!</v>
      </c>
      <c r="Y36" s="648"/>
      <c r="Z36" s="542" t="s">
        <v>592</v>
      </c>
      <c r="AA36" s="543" t="s">
        <v>592</v>
      </c>
      <c r="AB36" s="543" t="s">
        <v>592</v>
      </c>
      <c r="AC36" s="542" t="e">
        <f t="shared" si="12"/>
        <v>#VALUE!</v>
      </c>
      <c r="AD36" s="648"/>
      <c r="AE36" s="542" t="s">
        <v>592</v>
      </c>
      <c r="AF36" s="543" t="s">
        <v>592</v>
      </c>
      <c r="AG36" s="543" t="s">
        <v>592</v>
      </c>
      <c r="AH36" s="542" t="e">
        <f t="shared" si="14"/>
        <v>#VALUE!</v>
      </c>
      <c r="AI36" s="648"/>
      <c r="AJ36" s="542" t="s">
        <v>592</v>
      </c>
      <c r="AK36" s="543" t="s">
        <v>592</v>
      </c>
      <c r="AL36" s="543" t="s">
        <v>592</v>
      </c>
      <c r="AM36" s="542" t="e">
        <f t="shared" si="16"/>
        <v>#VALUE!</v>
      </c>
      <c r="AN36" s="648"/>
      <c r="AO36" s="542" t="s">
        <v>592</v>
      </c>
      <c r="AP36" s="543" t="s">
        <v>592</v>
      </c>
      <c r="AQ36" s="543" t="s">
        <v>592</v>
      </c>
      <c r="AR36" s="542" t="e">
        <f t="shared" si="18"/>
        <v>#VALUE!</v>
      </c>
      <c r="AS36" s="648"/>
      <c r="AT36" s="542" t="s">
        <v>592</v>
      </c>
      <c r="AU36" s="543" t="s">
        <v>592</v>
      </c>
      <c r="AV36" s="543" t="s">
        <v>592</v>
      </c>
      <c r="AW36" s="542" t="e">
        <f t="shared" si="20"/>
        <v>#VALUE!</v>
      </c>
      <c r="AX36" s="648"/>
      <c r="AZ36" s="372" t="e">
        <f t="shared" si="22"/>
        <v>#N/A</v>
      </c>
      <c r="BA36" s="648"/>
    </row>
    <row r="37" spans="2:53">
      <c r="B37" s="646"/>
      <c r="C37" s="384">
        <v>11</v>
      </c>
      <c r="D37" s="355"/>
      <c r="E37" s="531"/>
      <c r="F37" s="531"/>
      <c r="G37" s="531"/>
      <c r="H37" s="671"/>
      <c r="I37" s="385" t="str">
        <f t="shared" si="5"/>
        <v>-</v>
      </c>
      <c r="J37" s="385" t="str">
        <f t="shared" si="6"/>
        <v>-</v>
      </c>
      <c r="K37" s="199" t="str">
        <f t="shared" si="7"/>
        <v>-</v>
      </c>
      <c r="L37" s="617"/>
      <c r="M37" s="392" t="e">
        <f>RANK(K37, K$27:$K$41)</f>
        <v>#VALUE!</v>
      </c>
      <c r="N37" s="635"/>
      <c r="O37" s="635"/>
      <c r="P37" s="542" t="s">
        <v>592</v>
      </c>
      <c r="Q37" s="543" t="s">
        <v>592</v>
      </c>
      <c r="R37" s="543" t="s">
        <v>592</v>
      </c>
      <c r="S37" s="542" t="e">
        <f t="shared" si="8"/>
        <v>#VALUE!</v>
      </c>
      <c r="T37" s="648"/>
      <c r="U37" s="542" t="s">
        <v>592</v>
      </c>
      <c r="V37" s="543" t="s">
        <v>592</v>
      </c>
      <c r="W37" s="543" t="s">
        <v>592</v>
      </c>
      <c r="X37" s="542" t="e">
        <f t="shared" si="10"/>
        <v>#VALUE!</v>
      </c>
      <c r="Y37" s="648"/>
      <c r="Z37" s="542" t="s">
        <v>592</v>
      </c>
      <c r="AA37" s="543" t="s">
        <v>592</v>
      </c>
      <c r="AB37" s="543" t="s">
        <v>592</v>
      </c>
      <c r="AC37" s="542" t="e">
        <f t="shared" si="12"/>
        <v>#VALUE!</v>
      </c>
      <c r="AD37" s="648"/>
      <c r="AE37" s="542" t="s">
        <v>592</v>
      </c>
      <c r="AF37" s="543" t="s">
        <v>592</v>
      </c>
      <c r="AG37" s="543" t="s">
        <v>592</v>
      </c>
      <c r="AH37" s="542" t="e">
        <f t="shared" si="14"/>
        <v>#VALUE!</v>
      </c>
      <c r="AI37" s="648"/>
      <c r="AJ37" s="542" t="s">
        <v>592</v>
      </c>
      <c r="AK37" s="543" t="s">
        <v>592</v>
      </c>
      <c r="AL37" s="543" t="s">
        <v>592</v>
      </c>
      <c r="AM37" s="542" t="e">
        <f t="shared" si="16"/>
        <v>#VALUE!</v>
      </c>
      <c r="AN37" s="648"/>
      <c r="AO37" s="542" t="s">
        <v>592</v>
      </c>
      <c r="AP37" s="543" t="s">
        <v>592</v>
      </c>
      <c r="AQ37" s="543" t="s">
        <v>592</v>
      </c>
      <c r="AR37" s="542" t="e">
        <f t="shared" si="18"/>
        <v>#VALUE!</v>
      </c>
      <c r="AS37" s="648"/>
      <c r="AT37" s="542" t="s">
        <v>592</v>
      </c>
      <c r="AU37" s="543" t="s">
        <v>592</v>
      </c>
      <c r="AV37" s="543" t="s">
        <v>592</v>
      </c>
      <c r="AW37" s="542" t="e">
        <f t="shared" si="20"/>
        <v>#VALUE!</v>
      </c>
      <c r="AX37" s="648"/>
      <c r="AZ37" s="372" t="e">
        <f t="shared" si="22"/>
        <v>#N/A</v>
      </c>
      <c r="BA37" s="648"/>
    </row>
    <row r="38" spans="2:53">
      <c r="B38" s="646"/>
      <c r="C38" s="384">
        <v>12</v>
      </c>
      <c r="D38" s="355"/>
      <c r="E38" s="531"/>
      <c r="F38" s="531"/>
      <c r="G38" s="531"/>
      <c r="H38" s="671"/>
      <c r="I38" s="385" t="str">
        <f t="shared" si="5"/>
        <v>-</v>
      </c>
      <c r="J38" s="385" t="str">
        <f t="shared" si="6"/>
        <v>-</v>
      </c>
      <c r="K38" s="199" t="str">
        <f t="shared" si="7"/>
        <v>-</v>
      </c>
      <c r="L38" s="617"/>
      <c r="M38" s="392" t="e">
        <f>RANK(K38, K$27:$K$41)</f>
        <v>#VALUE!</v>
      </c>
      <c r="N38" s="635"/>
      <c r="O38" s="635"/>
      <c r="P38" s="542" t="s">
        <v>592</v>
      </c>
      <c r="Q38" s="543" t="s">
        <v>592</v>
      </c>
      <c r="R38" s="543" t="s">
        <v>592</v>
      </c>
      <c r="S38" s="542" t="e">
        <f t="shared" si="8"/>
        <v>#VALUE!</v>
      </c>
      <c r="T38" s="648"/>
      <c r="U38" s="542" t="s">
        <v>592</v>
      </c>
      <c r="V38" s="543" t="s">
        <v>592</v>
      </c>
      <c r="W38" s="543" t="s">
        <v>592</v>
      </c>
      <c r="X38" s="542" t="e">
        <f t="shared" si="10"/>
        <v>#VALUE!</v>
      </c>
      <c r="Y38" s="648"/>
      <c r="Z38" s="542" t="s">
        <v>592</v>
      </c>
      <c r="AA38" s="543" t="s">
        <v>592</v>
      </c>
      <c r="AB38" s="543" t="s">
        <v>592</v>
      </c>
      <c r="AC38" s="542" t="e">
        <f t="shared" si="12"/>
        <v>#VALUE!</v>
      </c>
      <c r="AD38" s="648"/>
      <c r="AE38" s="542" t="s">
        <v>592</v>
      </c>
      <c r="AF38" s="543" t="s">
        <v>592</v>
      </c>
      <c r="AG38" s="543" t="s">
        <v>592</v>
      </c>
      <c r="AH38" s="542" t="e">
        <f t="shared" si="14"/>
        <v>#VALUE!</v>
      </c>
      <c r="AI38" s="648"/>
      <c r="AJ38" s="542" t="s">
        <v>592</v>
      </c>
      <c r="AK38" s="543" t="s">
        <v>592</v>
      </c>
      <c r="AL38" s="543" t="s">
        <v>592</v>
      </c>
      <c r="AM38" s="542" t="e">
        <f t="shared" si="16"/>
        <v>#VALUE!</v>
      </c>
      <c r="AN38" s="648"/>
      <c r="AO38" s="542" t="s">
        <v>592</v>
      </c>
      <c r="AP38" s="543" t="s">
        <v>592</v>
      </c>
      <c r="AQ38" s="543" t="s">
        <v>592</v>
      </c>
      <c r="AR38" s="542" t="e">
        <f t="shared" si="18"/>
        <v>#VALUE!</v>
      </c>
      <c r="AS38" s="648"/>
      <c r="AT38" s="542" t="s">
        <v>592</v>
      </c>
      <c r="AU38" s="543" t="s">
        <v>592</v>
      </c>
      <c r="AV38" s="543" t="s">
        <v>592</v>
      </c>
      <c r="AW38" s="542" t="e">
        <f t="shared" si="20"/>
        <v>#VALUE!</v>
      </c>
      <c r="AX38" s="648"/>
      <c r="AZ38" s="372" t="e">
        <f t="shared" si="22"/>
        <v>#N/A</v>
      </c>
      <c r="BA38" s="648"/>
    </row>
    <row r="39" spans="2:53">
      <c r="B39" s="646"/>
      <c r="C39" s="384">
        <v>13</v>
      </c>
      <c r="D39" s="355"/>
      <c r="E39" s="531"/>
      <c r="F39" s="531"/>
      <c r="G39" s="531"/>
      <c r="H39" s="671"/>
      <c r="I39" s="385" t="str">
        <f t="shared" si="5"/>
        <v>-</v>
      </c>
      <c r="J39" s="385" t="str">
        <f t="shared" si="6"/>
        <v>-</v>
      </c>
      <c r="K39" s="199" t="str">
        <f t="shared" si="7"/>
        <v>-</v>
      </c>
      <c r="L39" s="617"/>
      <c r="M39" s="392" t="e">
        <f>RANK(K39, K$27:$K$41)</f>
        <v>#VALUE!</v>
      </c>
      <c r="N39" s="635"/>
      <c r="O39" s="635"/>
      <c r="P39" s="542" t="s">
        <v>592</v>
      </c>
      <c r="Q39" s="543" t="s">
        <v>592</v>
      </c>
      <c r="R39" s="543" t="s">
        <v>592</v>
      </c>
      <c r="S39" s="542" t="e">
        <f t="shared" si="8"/>
        <v>#VALUE!</v>
      </c>
      <c r="T39" s="648"/>
      <c r="U39" s="542" t="s">
        <v>592</v>
      </c>
      <c r="V39" s="543" t="s">
        <v>592</v>
      </c>
      <c r="W39" s="543" t="s">
        <v>592</v>
      </c>
      <c r="X39" s="542" t="e">
        <f t="shared" si="10"/>
        <v>#VALUE!</v>
      </c>
      <c r="Y39" s="648"/>
      <c r="Z39" s="542" t="s">
        <v>592</v>
      </c>
      <c r="AA39" s="543" t="s">
        <v>592</v>
      </c>
      <c r="AB39" s="543" t="s">
        <v>592</v>
      </c>
      <c r="AC39" s="542" t="e">
        <f t="shared" si="12"/>
        <v>#VALUE!</v>
      </c>
      <c r="AD39" s="648"/>
      <c r="AE39" s="542" t="s">
        <v>592</v>
      </c>
      <c r="AF39" s="543" t="s">
        <v>592</v>
      </c>
      <c r="AG39" s="543" t="s">
        <v>592</v>
      </c>
      <c r="AH39" s="542" t="e">
        <f t="shared" si="14"/>
        <v>#VALUE!</v>
      </c>
      <c r="AI39" s="648"/>
      <c r="AJ39" s="542" t="s">
        <v>592</v>
      </c>
      <c r="AK39" s="543" t="s">
        <v>592</v>
      </c>
      <c r="AL39" s="543" t="s">
        <v>592</v>
      </c>
      <c r="AM39" s="542" t="e">
        <f t="shared" si="16"/>
        <v>#VALUE!</v>
      </c>
      <c r="AN39" s="648"/>
      <c r="AO39" s="542" t="s">
        <v>592</v>
      </c>
      <c r="AP39" s="543" t="s">
        <v>592</v>
      </c>
      <c r="AQ39" s="543" t="s">
        <v>592</v>
      </c>
      <c r="AR39" s="542" t="e">
        <f t="shared" si="18"/>
        <v>#VALUE!</v>
      </c>
      <c r="AS39" s="648"/>
      <c r="AT39" s="542" t="s">
        <v>592</v>
      </c>
      <c r="AU39" s="543" t="s">
        <v>592</v>
      </c>
      <c r="AV39" s="543" t="s">
        <v>592</v>
      </c>
      <c r="AW39" s="542" t="e">
        <f t="shared" si="20"/>
        <v>#VALUE!</v>
      </c>
      <c r="AX39" s="648"/>
      <c r="AZ39" s="372" t="e">
        <f t="shared" si="22"/>
        <v>#N/A</v>
      </c>
      <c r="BA39" s="648"/>
    </row>
    <row r="40" spans="2:53">
      <c r="B40" s="646"/>
      <c r="C40" s="384">
        <v>14</v>
      </c>
      <c r="D40" s="355"/>
      <c r="E40" s="531"/>
      <c r="F40" s="531"/>
      <c r="G40" s="531"/>
      <c r="H40" s="671"/>
      <c r="I40" s="385" t="str">
        <f t="shared" si="5"/>
        <v>-</v>
      </c>
      <c r="J40" s="385" t="str">
        <f t="shared" si="6"/>
        <v>-</v>
      </c>
      <c r="K40" s="199" t="str">
        <f t="shared" si="7"/>
        <v>-</v>
      </c>
      <c r="L40" s="617"/>
      <c r="M40" s="392" t="e">
        <f>RANK(K40, K$27:$K$41)</f>
        <v>#VALUE!</v>
      </c>
      <c r="N40" s="635"/>
      <c r="O40" s="635"/>
      <c r="P40" s="542" t="s">
        <v>592</v>
      </c>
      <c r="Q40" s="543" t="s">
        <v>592</v>
      </c>
      <c r="R40" s="543" t="s">
        <v>592</v>
      </c>
      <c r="S40" s="542" t="e">
        <f t="shared" si="8"/>
        <v>#VALUE!</v>
      </c>
      <c r="T40" s="648"/>
      <c r="U40" s="542" t="s">
        <v>592</v>
      </c>
      <c r="V40" s="543" t="s">
        <v>592</v>
      </c>
      <c r="W40" s="543" t="s">
        <v>592</v>
      </c>
      <c r="X40" s="542" t="e">
        <f t="shared" si="10"/>
        <v>#VALUE!</v>
      </c>
      <c r="Y40" s="648"/>
      <c r="Z40" s="542" t="s">
        <v>592</v>
      </c>
      <c r="AA40" s="543" t="s">
        <v>592</v>
      </c>
      <c r="AB40" s="543" t="s">
        <v>592</v>
      </c>
      <c r="AC40" s="542" t="e">
        <f t="shared" si="12"/>
        <v>#VALUE!</v>
      </c>
      <c r="AD40" s="648"/>
      <c r="AE40" s="542" t="s">
        <v>592</v>
      </c>
      <c r="AF40" s="543" t="s">
        <v>592</v>
      </c>
      <c r="AG40" s="543" t="s">
        <v>592</v>
      </c>
      <c r="AH40" s="542" t="e">
        <f t="shared" si="14"/>
        <v>#VALUE!</v>
      </c>
      <c r="AI40" s="648"/>
      <c r="AJ40" s="542" t="s">
        <v>592</v>
      </c>
      <c r="AK40" s="543" t="s">
        <v>592</v>
      </c>
      <c r="AL40" s="543" t="s">
        <v>592</v>
      </c>
      <c r="AM40" s="542" t="e">
        <f t="shared" si="16"/>
        <v>#VALUE!</v>
      </c>
      <c r="AN40" s="648"/>
      <c r="AO40" s="542" t="s">
        <v>592</v>
      </c>
      <c r="AP40" s="543" t="s">
        <v>592</v>
      </c>
      <c r="AQ40" s="543" t="s">
        <v>592</v>
      </c>
      <c r="AR40" s="542" t="e">
        <f t="shared" si="18"/>
        <v>#VALUE!</v>
      </c>
      <c r="AS40" s="648"/>
      <c r="AT40" s="542" t="s">
        <v>592</v>
      </c>
      <c r="AU40" s="543" t="s">
        <v>592</v>
      </c>
      <c r="AV40" s="543" t="s">
        <v>592</v>
      </c>
      <c r="AW40" s="542" t="e">
        <f t="shared" si="20"/>
        <v>#VALUE!</v>
      </c>
      <c r="AX40" s="648"/>
      <c r="AZ40" s="372" t="e">
        <f t="shared" si="22"/>
        <v>#N/A</v>
      </c>
      <c r="BA40" s="648"/>
    </row>
    <row r="41" spans="2:53">
      <c r="B41" s="646"/>
      <c r="C41" s="384">
        <v>15</v>
      </c>
      <c r="D41" s="355"/>
      <c r="E41" s="531"/>
      <c r="F41" s="531"/>
      <c r="G41" s="531"/>
      <c r="H41" s="680"/>
      <c r="I41" s="389"/>
      <c r="J41" s="389"/>
      <c r="K41" s="386"/>
      <c r="L41" s="618"/>
      <c r="M41" s="392" t="e">
        <f>RANK(K41, K$27:$K$41)</f>
        <v>#N/A</v>
      </c>
      <c r="N41" s="635"/>
      <c r="O41" s="635"/>
      <c r="P41" s="542" t="s">
        <v>592</v>
      </c>
      <c r="Q41" s="543" t="s">
        <v>592</v>
      </c>
      <c r="R41" s="543" t="s">
        <v>592</v>
      </c>
      <c r="S41" s="542" t="e">
        <f t="shared" si="8"/>
        <v>#VALUE!</v>
      </c>
      <c r="T41" s="649"/>
      <c r="U41" s="542" t="s">
        <v>592</v>
      </c>
      <c r="V41" s="543" t="s">
        <v>592</v>
      </c>
      <c r="W41" s="543" t="s">
        <v>592</v>
      </c>
      <c r="X41" s="542" t="e">
        <f t="shared" si="10"/>
        <v>#VALUE!</v>
      </c>
      <c r="Y41" s="649"/>
      <c r="Z41" s="542" t="s">
        <v>592</v>
      </c>
      <c r="AA41" s="543" t="s">
        <v>592</v>
      </c>
      <c r="AB41" s="543" t="s">
        <v>592</v>
      </c>
      <c r="AC41" s="542" t="e">
        <f t="shared" si="12"/>
        <v>#VALUE!</v>
      </c>
      <c r="AD41" s="649"/>
      <c r="AE41" s="542" t="s">
        <v>592</v>
      </c>
      <c r="AF41" s="543" t="s">
        <v>592</v>
      </c>
      <c r="AG41" s="543" t="s">
        <v>592</v>
      </c>
      <c r="AH41" s="542" t="e">
        <f t="shared" si="14"/>
        <v>#VALUE!</v>
      </c>
      <c r="AI41" s="649"/>
      <c r="AJ41" s="542" t="s">
        <v>592</v>
      </c>
      <c r="AK41" s="543" t="s">
        <v>592</v>
      </c>
      <c r="AL41" s="543" t="s">
        <v>592</v>
      </c>
      <c r="AM41" s="542" t="e">
        <f t="shared" si="16"/>
        <v>#VALUE!</v>
      </c>
      <c r="AN41" s="649"/>
      <c r="AO41" s="542" t="s">
        <v>592</v>
      </c>
      <c r="AP41" s="543" t="s">
        <v>592</v>
      </c>
      <c r="AQ41" s="543" t="s">
        <v>592</v>
      </c>
      <c r="AR41" s="542" t="e">
        <f t="shared" si="18"/>
        <v>#VALUE!</v>
      </c>
      <c r="AS41" s="649"/>
      <c r="AT41" s="542" t="s">
        <v>592</v>
      </c>
      <c r="AU41" s="543" t="s">
        <v>592</v>
      </c>
      <c r="AV41" s="543" t="s">
        <v>592</v>
      </c>
      <c r="AW41" s="542" t="e">
        <f t="shared" si="20"/>
        <v>#VALUE!</v>
      </c>
      <c r="AX41" s="649"/>
      <c r="AZ41" s="372" t="e">
        <f t="shared" si="22"/>
        <v>#N/A</v>
      </c>
      <c r="BA41" s="649"/>
    </row>
    <row r="42" spans="2:53" ht="15.75">
      <c r="B42" s="666" t="s">
        <v>162</v>
      </c>
      <c r="C42" s="667"/>
      <c r="D42" s="667"/>
      <c r="E42" s="667"/>
      <c r="F42" s="667"/>
      <c r="G42" s="667"/>
      <c r="H42" s="667"/>
      <c r="I42" s="207"/>
      <c r="J42" s="202"/>
      <c r="K42" s="207"/>
      <c r="L42" s="207"/>
      <c r="M42" s="203"/>
      <c r="N42" s="639" t="s">
        <v>156</v>
      </c>
      <c r="O42" s="639" t="s">
        <v>105</v>
      </c>
      <c r="P42" s="645">
        <f>P22+7</f>
        <v>46217</v>
      </c>
      <c r="Q42" s="646"/>
      <c r="R42" s="646"/>
      <c r="S42" s="646"/>
      <c r="T42" s="646"/>
      <c r="U42" s="642">
        <f>P42+1</f>
        <v>46218</v>
      </c>
      <c r="V42" s="643"/>
      <c r="W42" s="643"/>
      <c r="X42" s="643"/>
      <c r="Y42" s="644"/>
      <c r="Z42" s="642">
        <f>U42+1</f>
        <v>46219</v>
      </c>
      <c r="AA42" s="643"/>
      <c r="AB42" s="643"/>
      <c r="AC42" s="643"/>
      <c r="AD42" s="644"/>
      <c r="AE42" s="642">
        <f>Z42+1</f>
        <v>46220</v>
      </c>
      <c r="AF42" s="643"/>
      <c r="AG42" s="643"/>
      <c r="AH42" s="643"/>
      <c r="AI42" s="644"/>
      <c r="AJ42" s="642">
        <f>AE42+1</f>
        <v>46221</v>
      </c>
      <c r="AK42" s="643"/>
      <c r="AL42" s="643"/>
      <c r="AM42" s="643"/>
      <c r="AN42" s="644"/>
      <c r="AO42" s="642">
        <f>AJ42+1</f>
        <v>46222</v>
      </c>
      <c r="AP42" s="643"/>
      <c r="AQ42" s="643"/>
      <c r="AR42" s="643"/>
      <c r="AS42" s="644"/>
      <c r="AT42" s="642">
        <f>AO42+1</f>
        <v>46223</v>
      </c>
      <c r="AU42" s="643"/>
      <c r="AV42" s="643"/>
      <c r="AW42" s="643"/>
      <c r="AX42" s="644"/>
    </row>
    <row r="43" spans="2:53" ht="15.75">
      <c r="B43" s="653"/>
      <c r="C43" s="653"/>
      <c r="D43" s="653"/>
      <c r="E43" s="653"/>
      <c r="F43" s="653"/>
      <c r="G43" s="653"/>
      <c r="H43" s="653"/>
      <c r="I43" s="204"/>
      <c r="J43" s="204"/>
      <c r="K43" s="204"/>
      <c r="L43" s="204"/>
      <c r="M43" s="205"/>
      <c r="N43" s="641"/>
      <c r="O43" s="641"/>
      <c r="P43" s="645" t="s">
        <v>317</v>
      </c>
      <c r="Q43" s="646"/>
      <c r="R43" s="646"/>
      <c r="S43" s="646"/>
      <c r="T43" s="646"/>
      <c r="U43" s="645" t="s">
        <v>318</v>
      </c>
      <c r="V43" s="646"/>
      <c r="W43" s="646"/>
      <c r="X43" s="646"/>
      <c r="Y43" s="646"/>
      <c r="Z43" s="645" t="s">
        <v>319</v>
      </c>
      <c r="AA43" s="646"/>
      <c r="AB43" s="646"/>
      <c r="AC43" s="646"/>
      <c r="AD43" s="646"/>
      <c r="AE43" s="645" t="s">
        <v>320</v>
      </c>
      <c r="AF43" s="646"/>
      <c r="AG43" s="646"/>
      <c r="AH43" s="646"/>
      <c r="AI43" s="646"/>
      <c r="AJ43" s="645" t="s">
        <v>321</v>
      </c>
      <c r="AK43" s="646"/>
      <c r="AL43" s="646"/>
      <c r="AM43" s="646"/>
      <c r="AN43" s="646"/>
      <c r="AO43" s="645" t="s">
        <v>322</v>
      </c>
      <c r="AP43" s="646"/>
      <c r="AQ43" s="646"/>
      <c r="AR43" s="646"/>
      <c r="AS43" s="646"/>
      <c r="AT43" s="645" t="s">
        <v>323</v>
      </c>
      <c r="AU43" s="646"/>
      <c r="AV43" s="646"/>
      <c r="AW43" s="646"/>
      <c r="AX43" s="646"/>
    </row>
    <row r="44" spans="2:53">
      <c r="B44" s="635" t="s">
        <v>372</v>
      </c>
      <c r="C44" s="635" t="s">
        <v>382</v>
      </c>
      <c r="D44" s="635"/>
      <c r="E44" s="635" t="s">
        <v>373</v>
      </c>
      <c r="F44" s="635"/>
      <c r="G44" s="635"/>
      <c r="H44" s="636" t="s">
        <v>369</v>
      </c>
      <c r="I44" s="635" t="s">
        <v>374</v>
      </c>
      <c r="J44" s="635"/>
      <c r="K44" s="635"/>
      <c r="L44" s="636" t="s">
        <v>369</v>
      </c>
      <c r="M44" s="639" t="s">
        <v>370</v>
      </c>
      <c r="N44" s="635"/>
      <c r="O44" s="635" t="s">
        <v>375</v>
      </c>
      <c r="P44" s="632" t="s">
        <v>371</v>
      </c>
      <c r="Q44" s="633"/>
      <c r="R44" s="633"/>
      <c r="S44" s="634"/>
      <c r="T44" s="635" t="s">
        <v>369</v>
      </c>
      <c r="U44" s="632" t="s">
        <v>371</v>
      </c>
      <c r="V44" s="633"/>
      <c r="W44" s="633"/>
      <c r="X44" s="634"/>
      <c r="Y44" s="635" t="s">
        <v>369</v>
      </c>
      <c r="Z44" s="632" t="s">
        <v>371</v>
      </c>
      <c r="AA44" s="633"/>
      <c r="AB44" s="633"/>
      <c r="AC44" s="634"/>
      <c r="AD44" s="635" t="s">
        <v>369</v>
      </c>
      <c r="AE44" s="632" t="s">
        <v>371</v>
      </c>
      <c r="AF44" s="633"/>
      <c r="AG44" s="633"/>
      <c r="AH44" s="634"/>
      <c r="AI44" s="635" t="s">
        <v>369</v>
      </c>
      <c r="AJ44" s="632" t="s">
        <v>371</v>
      </c>
      <c r="AK44" s="633"/>
      <c r="AL44" s="633"/>
      <c r="AM44" s="634"/>
      <c r="AN44" s="635" t="s">
        <v>369</v>
      </c>
      <c r="AO44" s="632" t="s">
        <v>371</v>
      </c>
      <c r="AP44" s="633"/>
      <c r="AQ44" s="633"/>
      <c r="AR44" s="634"/>
      <c r="AS44" s="635" t="s">
        <v>369</v>
      </c>
      <c r="AT44" s="632" t="s">
        <v>371</v>
      </c>
      <c r="AU44" s="633"/>
      <c r="AV44" s="633"/>
      <c r="AW44" s="634"/>
      <c r="AX44" s="635" t="s">
        <v>369</v>
      </c>
      <c r="BA44" s="635" t="s">
        <v>369</v>
      </c>
    </row>
    <row r="45" spans="2:53">
      <c r="B45" s="635"/>
      <c r="C45" s="635"/>
      <c r="D45" s="635"/>
      <c r="E45" s="635" t="s">
        <v>376</v>
      </c>
      <c r="F45" s="635"/>
      <c r="G45" s="635"/>
      <c r="H45" s="637"/>
      <c r="I45" s="635" t="s">
        <v>376</v>
      </c>
      <c r="J45" s="635"/>
      <c r="K45" s="635"/>
      <c r="L45" s="637"/>
      <c r="M45" s="640"/>
      <c r="N45" s="635"/>
      <c r="O45" s="635"/>
      <c r="P45" s="632" t="s">
        <v>377</v>
      </c>
      <c r="Q45" s="633"/>
      <c r="R45" s="633"/>
      <c r="S45" s="634"/>
      <c r="T45" s="635"/>
      <c r="U45" s="632" t="s">
        <v>377</v>
      </c>
      <c r="V45" s="633"/>
      <c r="W45" s="633"/>
      <c r="X45" s="634"/>
      <c r="Y45" s="635"/>
      <c r="Z45" s="632" t="s">
        <v>377</v>
      </c>
      <c r="AA45" s="633"/>
      <c r="AB45" s="633"/>
      <c r="AC45" s="634"/>
      <c r="AD45" s="635"/>
      <c r="AE45" s="632" t="s">
        <v>377</v>
      </c>
      <c r="AF45" s="633"/>
      <c r="AG45" s="633"/>
      <c r="AH45" s="634"/>
      <c r="AI45" s="635"/>
      <c r="AJ45" s="632" t="s">
        <v>377</v>
      </c>
      <c r="AK45" s="633"/>
      <c r="AL45" s="633"/>
      <c r="AM45" s="634"/>
      <c r="AN45" s="635"/>
      <c r="AO45" s="632" t="s">
        <v>377</v>
      </c>
      <c r="AP45" s="633"/>
      <c r="AQ45" s="633"/>
      <c r="AR45" s="634"/>
      <c r="AS45" s="635"/>
      <c r="AT45" s="632" t="s">
        <v>377</v>
      </c>
      <c r="AU45" s="633"/>
      <c r="AV45" s="633"/>
      <c r="AW45" s="634"/>
      <c r="AX45" s="635"/>
      <c r="BA45" s="635"/>
    </row>
    <row r="46" spans="2:53">
      <c r="B46" s="635"/>
      <c r="C46" s="635"/>
      <c r="D46" s="635"/>
      <c r="E46" s="382" t="s">
        <v>378</v>
      </c>
      <c r="F46" s="382" t="s">
        <v>379</v>
      </c>
      <c r="G46" s="382" t="s">
        <v>380</v>
      </c>
      <c r="H46" s="638"/>
      <c r="I46" s="382" t="s">
        <v>378</v>
      </c>
      <c r="J46" s="382" t="s">
        <v>379</v>
      </c>
      <c r="K46" s="382" t="s">
        <v>380</v>
      </c>
      <c r="L46" s="638"/>
      <c r="M46" s="641"/>
      <c r="N46" s="635"/>
      <c r="O46" s="635"/>
      <c r="P46" s="382" t="s">
        <v>378</v>
      </c>
      <c r="Q46" s="382" t="s">
        <v>379</v>
      </c>
      <c r="R46" s="382" t="s">
        <v>380</v>
      </c>
      <c r="S46" s="382" t="s">
        <v>370</v>
      </c>
      <c r="T46" s="635"/>
      <c r="U46" s="382" t="s">
        <v>378</v>
      </c>
      <c r="V46" s="382" t="s">
        <v>379</v>
      </c>
      <c r="W46" s="382" t="s">
        <v>380</v>
      </c>
      <c r="X46" s="382" t="s">
        <v>370</v>
      </c>
      <c r="Y46" s="635"/>
      <c r="Z46" s="382" t="s">
        <v>378</v>
      </c>
      <c r="AA46" s="382" t="s">
        <v>379</v>
      </c>
      <c r="AB46" s="382" t="s">
        <v>380</v>
      </c>
      <c r="AC46" s="382" t="s">
        <v>370</v>
      </c>
      <c r="AD46" s="635"/>
      <c r="AE46" s="382" t="s">
        <v>378</v>
      </c>
      <c r="AF46" s="382" t="s">
        <v>379</v>
      </c>
      <c r="AG46" s="382" t="s">
        <v>380</v>
      </c>
      <c r="AH46" s="382" t="s">
        <v>370</v>
      </c>
      <c r="AI46" s="635"/>
      <c r="AJ46" s="382" t="s">
        <v>378</v>
      </c>
      <c r="AK46" s="382" t="s">
        <v>379</v>
      </c>
      <c r="AL46" s="382" t="s">
        <v>380</v>
      </c>
      <c r="AM46" s="382" t="s">
        <v>370</v>
      </c>
      <c r="AN46" s="635"/>
      <c r="AO46" s="382" t="s">
        <v>378</v>
      </c>
      <c r="AP46" s="382" t="s">
        <v>379</v>
      </c>
      <c r="AQ46" s="382" t="s">
        <v>380</v>
      </c>
      <c r="AR46" s="382" t="s">
        <v>370</v>
      </c>
      <c r="AS46" s="635"/>
      <c r="AT46" s="382" t="s">
        <v>378</v>
      </c>
      <c r="AU46" s="382" t="s">
        <v>379</v>
      </c>
      <c r="AV46" s="382" t="s">
        <v>380</v>
      </c>
      <c r="AW46" s="382" t="s">
        <v>370</v>
      </c>
      <c r="AX46" s="635"/>
      <c r="AZ46" s="371" t="s">
        <v>565</v>
      </c>
      <c r="BA46" s="635"/>
    </row>
    <row r="47" spans="2:53">
      <c r="B47" s="679" t="s">
        <v>381</v>
      </c>
      <c r="C47" s="384">
        <v>1</v>
      </c>
      <c r="D47" s="355" t="s">
        <v>360</v>
      </c>
      <c r="E47" s="531">
        <v>4</v>
      </c>
      <c r="F47" s="531">
        <v>2000</v>
      </c>
      <c r="G47" s="531">
        <v>500</v>
      </c>
      <c r="H47" s="670">
        <f>AVERAGE(G47:G61)</f>
        <v>265.00582010582008</v>
      </c>
      <c r="I47" s="385">
        <f t="shared" ref="I47:I60" si="24">IFERROR(AVERAGE(P47,U47,Z47,AE47,AJ47,AO47,AT47),"-")</f>
        <v>5</v>
      </c>
      <c r="J47" s="385">
        <f t="shared" ref="J47:J60" si="25">IFERROR(AVERAGE(Q47,V47,AA47,AF47,AK47,AP47,AU47),"-")</f>
        <v>2118.8475400280872</v>
      </c>
      <c r="K47" s="199">
        <f t="shared" ref="K47:K60" si="26">IFERROR(AVERAGE(R47,W47,AB47,AG47,AL47,AQ47,AV47),"-")</f>
        <v>423.76950800561747</v>
      </c>
      <c r="L47" s="616">
        <f>IFERROR(AVERAGE(K47:K55),"-")</f>
        <v>238.50197937589826</v>
      </c>
      <c r="M47" s="432">
        <f>RANK(K47, K$47:$K$61)</f>
        <v>1</v>
      </c>
      <c r="N47" s="635"/>
      <c r="O47" s="635"/>
      <c r="P47" s="546">
        <v>5</v>
      </c>
      <c r="Q47" s="547">
        <v>2122.8000000000006</v>
      </c>
      <c r="R47" s="547">
        <v>424.56000000000012</v>
      </c>
      <c r="S47" s="547">
        <v>2</v>
      </c>
      <c r="T47" s="657">
        <v>239.62273300612495</v>
      </c>
      <c r="U47" s="546">
        <v>5</v>
      </c>
      <c r="V47" s="547">
        <v>2146.6666666666665</v>
      </c>
      <c r="W47" s="547">
        <v>429.33333333333331</v>
      </c>
      <c r="X47" s="547">
        <v>1</v>
      </c>
      <c r="Y47" s="657">
        <v>239.84911942663359</v>
      </c>
      <c r="Z47" s="546">
        <v>5</v>
      </c>
      <c r="AA47" s="547">
        <v>2097.4468085106387</v>
      </c>
      <c r="AB47" s="547">
        <v>419.48936170212772</v>
      </c>
      <c r="AC47" s="547">
        <v>1</v>
      </c>
      <c r="AD47" s="657">
        <v>236.44198828181527</v>
      </c>
      <c r="AE47" s="546">
        <v>5</v>
      </c>
      <c r="AF47" s="547">
        <v>2096.8421052631588</v>
      </c>
      <c r="AG47" s="547">
        <v>419.36842105263179</v>
      </c>
      <c r="AH47" s="547">
        <v>2</v>
      </c>
      <c r="AI47" s="657">
        <v>236.97852621536842</v>
      </c>
      <c r="AJ47" s="546">
        <v>5</v>
      </c>
      <c r="AK47" s="547">
        <v>2142.162162162163</v>
      </c>
      <c r="AL47" s="547">
        <v>428.43243243243262</v>
      </c>
      <c r="AM47" s="547">
        <v>1</v>
      </c>
      <c r="AN47" s="657">
        <v>237.73023020927127</v>
      </c>
      <c r="AO47" s="546">
        <v>5</v>
      </c>
      <c r="AP47" s="547">
        <v>2123.1578947368421</v>
      </c>
      <c r="AQ47" s="547">
        <v>424.63157894736844</v>
      </c>
      <c r="AR47" s="547">
        <v>1</v>
      </c>
      <c r="AS47" s="657">
        <v>239.5861265122299</v>
      </c>
      <c r="AT47" s="546">
        <v>5</v>
      </c>
      <c r="AU47" s="547">
        <v>2102.8571428571422</v>
      </c>
      <c r="AV47" s="547">
        <v>420.57142857142844</v>
      </c>
      <c r="AW47" s="547">
        <v>2</v>
      </c>
      <c r="AX47" s="657">
        <v>239.30513197984465</v>
      </c>
      <c r="AZ47" s="372" t="e">
        <f t="shared" ref="AZ47:AZ61" si="27">RANK(AY47, AY$47:AY$61)</f>
        <v>#N/A</v>
      </c>
      <c r="BA47" s="647" t="e">
        <f t="shared" ref="BA47" si="28">AVERAGE(AY47:AY61)</f>
        <v>#DIV/0!</v>
      </c>
    </row>
    <row r="48" spans="2:53">
      <c r="B48" s="646"/>
      <c r="C48" s="384">
        <v>2</v>
      </c>
      <c r="D48" s="355" t="s">
        <v>431</v>
      </c>
      <c r="E48" s="531">
        <v>4</v>
      </c>
      <c r="F48" s="531">
        <v>2000</v>
      </c>
      <c r="G48" s="531">
        <v>500</v>
      </c>
      <c r="H48" s="671"/>
      <c r="I48" s="385">
        <f t="shared" si="24"/>
        <v>5</v>
      </c>
      <c r="J48" s="385">
        <f t="shared" si="25"/>
        <v>2111.0930621298598</v>
      </c>
      <c r="K48" s="199">
        <f t="shared" si="26"/>
        <v>422.21861242597191</v>
      </c>
      <c r="L48" s="617"/>
      <c r="M48" s="432">
        <f>RANK(K48, K$47:$K$61)</f>
        <v>2</v>
      </c>
      <c r="N48" s="635"/>
      <c r="O48" s="635"/>
      <c r="P48" s="546">
        <v>5</v>
      </c>
      <c r="Q48" s="547">
        <v>2134.4680851063831</v>
      </c>
      <c r="R48" s="547">
        <v>426.89361702127661</v>
      </c>
      <c r="S48" s="547">
        <v>1</v>
      </c>
      <c r="T48" s="657"/>
      <c r="U48" s="546">
        <v>5</v>
      </c>
      <c r="V48" s="547">
        <v>2111.1627906976742</v>
      </c>
      <c r="W48" s="547">
        <v>422.23255813953483</v>
      </c>
      <c r="X48" s="547">
        <v>2</v>
      </c>
      <c r="Y48" s="657"/>
      <c r="Z48" s="546">
        <v>5</v>
      </c>
      <c r="AA48" s="547">
        <v>2085.6521739130435</v>
      </c>
      <c r="AB48" s="547">
        <v>417.13043478260869</v>
      </c>
      <c r="AC48" s="547">
        <v>2</v>
      </c>
      <c r="AD48" s="657"/>
      <c r="AE48" s="546">
        <v>5</v>
      </c>
      <c r="AF48" s="547">
        <v>2134.0540540540546</v>
      </c>
      <c r="AG48" s="547">
        <v>426.81081081081095</v>
      </c>
      <c r="AH48" s="547">
        <v>1</v>
      </c>
      <c r="AI48" s="657"/>
      <c r="AJ48" s="546">
        <v>5</v>
      </c>
      <c r="AK48" s="547">
        <v>2075.6756756756768</v>
      </c>
      <c r="AL48" s="547">
        <v>415.13513513513533</v>
      </c>
      <c r="AM48" s="547">
        <v>2</v>
      </c>
      <c r="AN48" s="657"/>
      <c r="AO48" s="546">
        <v>5</v>
      </c>
      <c r="AP48" s="547">
        <v>2102.3529411764698</v>
      </c>
      <c r="AQ48" s="547">
        <v>420.47058823529397</v>
      </c>
      <c r="AR48" s="547">
        <v>2</v>
      </c>
      <c r="AS48" s="657"/>
      <c r="AT48" s="546">
        <v>5</v>
      </c>
      <c r="AU48" s="547">
        <v>2134.2857142857142</v>
      </c>
      <c r="AV48" s="547">
        <v>426.85714285714283</v>
      </c>
      <c r="AW48" s="547">
        <v>1</v>
      </c>
      <c r="AX48" s="657"/>
      <c r="AZ48" s="372" t="e">
        <f t="shared" si="27"/>
        <v>#N/A</v>
      </c>
      <c r="BA48" s="648"/>
    </row>
    <row r="49" spans="2:53">
      <c r="B49" s="646"/>
      <c r="C49" s="384">
        <v>3</v>
      </c>
      <c r="D49" s="355" t="s">
        <v>361</v>
      </c>
      <c r="E49" s="531">
        <v>12</v>
      </c>
      <c r="F49" s="531">
        <v>2118</v>
      </c>
      <c r="G49" s="531">
        <v>176.5</v>
      </c>
      <c r="H49" s="671"/>
      <c r="I49" s="385">
        <f t="shared" si="24"/>
        <v>12</v>
      </c>
      <c r="J49" s="385">
        <f t="shared" si="25"/>
        <v>2056.611507708772</v>
      </c>
      <c r="K49" s="199">
        <f t="shared" si="26"/>
        <v>171.38429230906436</v>
      </c>
      <c r="L49" s="617"/>
      <c r="M49" s="432">
        <f>RANK(K49, K$47:$K$61)</f>
        <v>6</v>
      </c>
      <c r="N49" s="635"/>
      <c r="O49" s="635"/>
      <c r="P49" s="546">
        <v>12</v>
      </c>
      <c r="Q49" s="547">
        <v>2059.090909090909</v>
      </c>
      <c r="R49" s="547">
        <v>171.59090909090909</v>
      </c>
      <c r="S49" s="547">
        <v>6</v>
      </c>
      <c r="T49" s="657"/>
      <c r="U49" s="546">
        <v>12</v>
      </c>
      <c r="V49" s="547">
        <v>2075.5555555555552</v>
      </c>
      <c r="W49" s="547">
        <v>172.96296296296293</v>
      </c>
      <c r="X49" s="547">
        <v>6</v>
      </c>
      <c r="Y49" s="657"/>
      <c r="Z49" s="546">
        <v>12</v>
      </c>
      <c r="AA49" s="547">
        <v>2020.7142857142858</v>
      </c>
      <c r="AB49" s="547">
        <v>168.39285714285714</v>
      </c>
      <c r="AC49" s="547">
        <v>6</v>
      </c>
      <c r="AD49" s="657"/>
      <c r="AE49" s="546">
        <v>12</v>
      </c>
      <c r="AF49" s="547">
        <v>2070</v>
      </c>
      <c r="AG49" s="547">
        <v>172.5</v>
      </c>
      <c r="AH49" s="547">
        <v>6</v>
      </c>
      <c r="AI49" s="657"/>
      <c r="AJ49" s="546">
        <v>12</v>
      </c>
      <c r="AK49" s="547">
        <v>2052.7659574468089</v>
      </c>
      <c r="AL49" s="547">
        <v>171.06382978723408</v>
      </c>
      <c r="AM49" s="547">
        <v>6</v>
      </c>
      <c r="AN49" s="657"/>
      <c r="AO49" s="546">
        <v>12</v>
      </c>
      <c r="AP49" s="547">
        <v>2038.1538461538457</v>
      </c>
      <c r="AQ49" s="547">
        <v>169.84615384615381</v>
      </c>
      <c r="AR49" s="547">
        <v>6</v>
      </c>
      <c r="AS49" s="657"/>
      <c r="AT49" s="546">
        <v>12</v>
      </c>
      <c r="AU49" s="547">
        <v>2080.0000000000009</v>
      </c>
      <c r="AV49" s="547">
        <v>173.3333333333334</v>
      </c>
      <c r="AW49" s="547">
        <v>6</v>
      </c>
      <c r="AX49" s="657"/>
      <c r="AZ49" s="372" t="e">
        <f t="shared" si="27"/>
        <v>#N/A</v>
      </c>
      <c r="BA49" s="648"/>
    </row>
    <row r="50" spans="2:53">
      <c r="B50" s="646"/>
      <c r="C50" s="384">
        <v>4</v>
      </c>
      <c r="D50" s="355" t="s">
        <v>577</v>
      </c>
      <c r="E50" s="531">
        <v>13</v>
      </c>
      <c r="F50" s="531">
        <v>2250</v>
      </c>
      <c r="G50" s="531">
        <v>173.1</v>
      </c>
      <c r="H50" s="671"/>
      <c r="I50" s="385">
        <f t="shared" si="24"/>
        <v>13</v>
      </c>
      <c r="J50" s="385">
        <f t="shared" si="25"/>
        <v>2146.3706143111331</v>
      </c>
      <c r="K50" s="199">
        <f t="shared" si="26"/>
        <v>165.10543187008716</v>
      </c>
      <c r="L50" s="617"/>
      <c r="M50" s="432">
        <f>RANK(K50, K$47:$K$61)</f>
        <v>8</v>
      </c>
      <c r="N50" s="635"/>
      <c r="O50" s="635"/>
      <c r="P50" s="546">
        <v>13</v>
      </c>
      <c r="Q50" s="547">
        <v>2189.1147540983598</v>
      </c>
      <c r="R50" s="547">
        <v>168.39344262295074</v>
      </c>
      <c r="S50" s="547">
        <v>7</v>
      </c>
      <c r="T50" s="657"/>
      <c r="U50" s="546">
        <v>13</v>
      </c>
      <c r="V50" s="547">
        <v>2224.5294117647068</v>
      </c>
      <c r="W50" s="547">
        <v>171.11764705882359</v>
      </c>
      <c r="X50" s="547">
        <v>7</v>
      </c>
      <c r="Y50" s="657"/>
      <c r="Z50" s="546">
        <v>13</v>
      </c>
      <c r="AA50" s="547">
        <v>2073.2068965517201</v>
      </c>
      <c r="AB50" s="547">
        <v>159.47745358090154</v>
      </c>
      <c r="AC50" s="547">
        <v>8</v>
      </c>
      <c r="AD50" s="657"/>
      <c r="AE50" s="546">
        <v>13</v>
      </c>
      <c r="AF50" s="547">
        <v>2036.5714285714357</v>
      </c>
      <c r="AG50" s="547">
        <v>156.65934065934121</v>
      </c>
      <c r="AH50" s="547">
        <v>8</v>
      </c>
      <c r="AI50" s="657"/>
      <c r="AJ50" s="546">
        <v>13</v>
      </c>
      <c r="AK50" s="547">
        <v>2175.211267605634</v>
      </c>
      <c r="AL50" s="547">
        <v>167.32394366197184</v>
      </c>
      <c r="AM50" s="547">
        <v>8</v>
      </c>
      <c r="AN50" s="657"/>
      <c r="AO50" s="546">
        <v>13</v>
      </c>
      <c r="AP50" s="547">
        <v>2182.978723404256</v>
      </c>
      <c r="AQ50" s="547">
        <v>167.92144026186585</v>
      </c>
      <c r="AR50" s="547">
        <v>8</v>
      </c>
      <c r="AS50" s="657"/>
      <c r="AT50" s="546">
        <v>13</v>
      </c>
      <c r="AU50" s="547">
        <v>2142.9818181818196</v>
      </c>
      <c r="AV50" s="547">
        <v>164.84475524475536</v>
      </c>
      <c r="AW50" s="547">
        <v>8</v>
      </c>
      <c r="AX50" s="657"/>
      <c r="AZ50" s="372" t="e">
        <f t="shared" si="27"/>
        <v>#N/A</v>
      </c>
      <c r="BA50" s="648"/>
    </row>
    <row r="51" spans="2:53">
      <c r="B51" s="646"/>
      <c r="C51" s="384">
        <v>5</v>
      </c>
      <c r="D51" s="355" t="s">
        <v>362</v>
      </c>
      <c r="E51" s="531">
        <v>13</v>
      </c>
      <c r="F51" s="531">
        <v>2250</v>
      </c>
      <c r="G51" s="531">
        <v>173.1</v>
      </c>
      <c r="H51" s="671"/>
      <c r="I51" s="385">
        <f t="shared" si="24"/>
        <v>13</v>
      </c>
      <c r="J51" s="385">
        <f t="shared" si="25"/>
        <v>2160.7886553224248</v>
      </c>
      <c r="K51" s="199">
        <f t="shared" si="26"/>
        <v>166.21451194787883</v>
      </c>
      <c r="L51" s="617"/>
      <c r="M51" s="432">
        <f>RANK(K51, K$47:$K$61)</f>
        <v>7</v>
      </c>
      <c r="N51" s="635"/>
      <c r="O51" s="635"/>
      <c r="P51" s="546">
        <v>13</v>
      </c>
      <c r="Q51" s="547">
        <v>2127.3281249999995</v>
      </c>
      <c r="R51" s="547">
        <v>163.64062499999997</v>
      </c>
      <c r="S51" s="547">
        <v>8</v>
      </c>
      <c r="T51" s="657"/>
      <c r="U51" s="546">
        <v>13</v>
      </c>
      <c r="V51" s="547">
        <v>2141.454545454545</v>
      </c>
      <c r="W51" s="547">
        <v>164.72727272727269</v>
      </c>
      <c r="X51" s="547">
        <v>8</v>
      </c>
      <c r="Y51" s="657"/>
      <c r="Z51" s="546">
        <v>13</v>
      </c>
      <c r="AA51" s="547">
        <v>2104.0645161290286</v>
      </c>
      <c r="AB51" s="547">
        <v>161.85111662530988</v>
      </c>
      <c r="AC51" s="547">
        <v>7</v>
      </c>
      <c r="AD51" s="657"/>
      <c r="AE51" s="546">
        <v>13</v>
      </c>
      <c r="AF51" s="547">
        <v>2156.0000000000005</v>
      </c>
      <c r="AG51" s="547">
        <v>165.84615384615387</v>
      </c>
      <c r="AH51" s="547">
        <v>7</v>
      </c>
      <c r="AI51" s="657"/>
      <c r="AJ51" s="546">
        <v>13</v>
      </c>
      <c r="AK51" s="547">
        <v>2210.3703703703695</v>
      </c>
      <c r="AL51" s="547">
        <v>170.02849002848995</v>
      </c>
      <c r="AM51" s="547">
        <v>7</v>
      </c>
      <c r="AN51" s="657"/>
      <c r="AO51" s="546">
        <v>13</v>
      </c>
      <c r="AP51" s="547">
        <v>2190.3030303030309</v>
      </c>
      <c r="AQ51" s="547">
        <v>168.48484848484853</v>
      </c>
      <c r="AR51" s="547">
        <v>7</v>
      </c>
      <c r="AS51" s="657"/>
      <c r="AT51" s="546">
        <v>13</v>
      </c>
      <c r="AU51" s="547">
        <v>2196</v>
      </c>
      <c r="AV51" s="547">
        <v>168.92307692307693</v>
      </c>
      <c r="AW51" s="547">
        <v>7</v>
      </c>
      <c r="AX51" s="657"/>
      <c r="AZ51" s="372" t="e">
        <f t="shared" si="27"/>
        <v>#N/A</v>
      </c>
      <c r="BA51" s="648"/>
    </row>
    <row r="52" spans="2:53">
      <c r="B52" s="646"/>
      <c r="C52" s="384">
        <v>6</v>
      </c>
      <c r="D52" s="355" t="s">
        <v>363</v>
      </c>
      <c r="E52" s="531">
        <v>10</v>
      </c>
      <c r="F52" s="531">
        <v>2769</v>
      </c>
      <c r="G52" s="531">
        <v>276.89999999999998</v>
      </c>
      <c r="H52" s="671"/>
      <c r="I52" s="385">
        <f t="shared" si="24"/>
        <v>10</v>
      </c>
      <c r="J52" s="385">
        <f t="shared" si="25"/>
        <v>2379.8914896147094</v>
      </c>
      <c r="K52" s="199">
        <f t="shared" si="26"/>
        <v>237.98914896147085</v>
      </c>
      <c r="L52" s="617"/>
      <c r="M52" s="432">
        <f>RANK(K52, K$47:$K$61)</f>
        <v>4</v>
      </c>
      <c r="N52" s="635"/>
      <c r="O52" s="635"/>
      <c r="P52" s="546">
        <v>10</v>
      </c>
      <c r="Q52" s="547">
        <v>2418</v>
      </c>
      <c r="R52" s="547">
        <v>241.8</v>
      </c>
      <c r="S52" s="547">
        <v>4</v>
      </c>
      <c r="T52" s="657"/>
      <c r="U52" s="546">
        <v>10</v>
      </c>
      <c r="V52" s="547">
        <v>2372.282608695652</v>
      </c>
      <c r="W52" s="547">
        <v>237.22826086956519</v>
      </c>
      <c r="X52" s="547">
        <v>4</v>
      </c>
      <c r="Y52" s="657"/>
      <c r="Z52" s="546">
        <v>10</v>
      </c>
      <c r="AA52" s="547">
        <v>2411.4473684210511</v>
      </c>
      <c r="AB52" s="547">
        <v>241.14473684210512</v>
      </c>
      <c r="AC52" s="547">
        <v>4</v>
      </c>
      <c r="AD52" s="657"/>
      <c r="AE52" s="546">
        <v>10</v>
      </c>
      <c r="AF52" s="547">
        <v>2364.5454545454568</v>
      </c>
      <c r="AG52" s="547">
        <v>236.45454545454567</v>
      </c>
      <c r="AH52" s="547">
        <v>4</v>
      </c>
      <c r="AI52" s="657"/>
      <c r="AJ52" s="546">
        <v>10</v>
      </c>
      <c r="AK52" s="547">
        <v>2340.7499999999991</v>
      </c>
      <c r="AL52" s="547">
        <v>234.0749999999999</v>
      </c>
      <c r="AM52" s="547">
        <v>4</v>
      </c>
      <c r="AN52" s="657"/>
      <c r="AO52" s="546">
        <v>10</v>
      </c>
      <c r="AP52" s="547">
        <v>2383.025806451612</v>
      </c>
      <c r="AQ52" s="547">
        <v>238.30258064516119</v>
      </c>
      <c r="AR52" s="547">
        <v>4</v>
      </c>
      <c r="AS52" s="657"/>
      <c r="AT52" s="546">
        <v>10</v>
      </c>
      <c r="AU52" s="547">
        <v>2369.1891891891901</v>
      </c>
      <c r="AV52" s="547">
        <v>236.91891891891902</v>
      </c>
      <c r="AW52" s="547">
        <v>4</v>
      </c>
      <c r="AX52" s="657"/>
      <c r="AZ52" s="372" t="e">
        <f t="shared" si="27"/>
        <v>#N/A</v>
      </c>
      <c r="BA52" s="648"/>
    </row>
    <row r="53" spans="2:53">
      <c r="B53" s="646"/>
      <c r="C53" s="384">
        <v>7</v>
      </c>
      <c r="D53" s="355" t="s">
        <v>707</v>
      </c>
      <c r="E53" s="531">
        <v>11</v>
      </c>
      <c r="F53" s="531">
        <v>2250</v>
      </c>
      <c r="G53" s="531">
        <v>204.5</v>
      </c>
      <c r="H53" s="671"/>
      <c r="I53" s="385">
        <f t="shared" si="24"/>
        <v>11</v>
      </c>
      <c r="J53" s="385">
        <f t="shared" si="25"/>
        <v>2134.7480283170166</v>
      </c>
      <c r="K53" s="199">
        <f t="shared" si="26"/>
        <v>194.06800257427426</v>
      </c>
      <c r="L53" s="617"/>
      <c r="M53" s="432">
        <f>RANK(K53, K$47:$K$61)</f>
        <v>5</v>
      </c>
      <c r="N53" s="635"/>
      <c r="O53" s="635"/>
      <c r="P53" s="546">
        <v>11</v>
      </c>
      <c r="Q53" s="547">
        <v>2166.8571428571427</v>
      </c>
      <c r="R53" s="547">
        <v>196.98701298701297</v>
      </c>
      <c r="S53" s="547">
        <v>5</v>
      </c>
      <c r="T53" s="657"/>
      <c r="U53" s="546">
        <v>11</v>
      </c>
      <c r="V53" s="547">
        <v>2186.8536585365846</v>
      </c>
      <c r="W53" s="547">
        <v>198.80487804878041</v>
      </c>
      <c r="X53" s="547">
        <v>5</v>
      </c>
      <c r="Y53" s="657"/>
      <c r="Z53" s="546">
        <v>11</v>
      </c>
      <c r="AA53" s="547">
        <v>2110.4999999999995</v>
      </c>
      <c r="AB53" s="547">
        <v>191.86363636363632</v>
      </c>
      <c r="AC53" s="547">
        <v>5</v>
      </c>
      <c r="AD53" s="657"/>
      <c r="AE53" s="546">
        <v>11</v>
      </c>
      <c r="AF53" s="547">
        <v>2082.8571428571381</v>
      </c>
      <c r="AG53" s="547">
        <v>189.35064935064892</v>
      </c>
      <c r="AH53" s="547">
        <v>5</v>
      </c>
      <c r="AI53" s="657"/>
      <c r="AJ53" s="546">
        <v>11</v>
      </c>
      <c r="AK53" s="547">
        <v>2082.3428571428549</v>
      </c>
      <c r="AL53" s="547">
        <v>189.30389610389591</v>
      </c>
      <c r="AM53" s="547">
        <v>5</v>
      </c>
      <c r="AN53" s="657"/>
      <c r="AO53" s="546">
        <v>11</v>
      </c>
      <c r="AP53" s="547">
        <v>2194.7142857142862</v>
      </c>
      <c r="AQ53" s="547">
        <v>199.51948051948057</v>
      </c>
      <c r="AR53" s="547">
        <v>5</v>
      </c>
      <c r="AS53" s="657"/>
      <c r="AT53" s="546">
        <v>11</v>
      </c>
      <c r="AU53" s="547">
        <v>2119.1111111111122</v>
      </c>
      <c r="AV53" s="547">
        <v>192.64646464646475</v>
      </c>
      <c r="AW53" s="547">
        <v>5</v>
      </c>
      <c r="AX53" s="657"/>
      <c r="AZ53" s="372" t="e">
        <f t="shared" si="27"/>
        <v>#N/A</v>
      </c>
      <c r="BA53" s="648"/>
    </row>
    <row r="54" spans="2:53">
      <c r="B54" s="646"/>
      <c r="C54" s="384">
        <v>8</v>
      </c>
      <c r="D54" s="355" t="s">
        <v>359</v>
      </c>
      <c r="E54" s="531">
        <v>18</v>
      </c>
      <c r="F54" s="531">
        <v>1200</v>
      </c>
      <c r="G54" s="531">
        <v>66.666666666666671</v>
      </c>
      <c r="H54" s="671"/>
      <c r="I54" s="385">
        <f t="shared" si="24"/>
        <v>18.714285714285715</v>
      </c>
      <c r="J54" s="385">
        <f t="shared" si="25"/>
        <v>1205.474941360668</v>
      </c>
      <c r="K54" s="199">
        <f t="shared" si="26"/>
        <v>64.434422602636886</v>
      </c>
      <c r="L54" s="617"/>
      <c r="M54" s="432">
        <f>RANK(K54, K$47:$K$61)</f>
        <v>9</v>
      </c>
      <c r="N54" s="635"/>
      <c r="O54" s="635"/>
      <c r="P54" s="546">
        <v>19</v>
      </c>
      <c r="Q54" s="547">
        <v>1206</v>
      </c>
      <c r="R54" s="547">
        <v>63.473684210526315</v>
      </c>
      <c r="S54" s="547">
        <v>9</v>
      </c>
      <c r="T54" s="657"/>
      <c r="U54" s="546">
        <v>19</v>
      </c>
      <c r="V54" s="547">
        <v>1219.5180722891562</v>
      </c>
      <c r="W54" s="547">
        <v>64.185161699429273</v>
      </c>
      <c r="X54" s="547">
        <v>9</v>
      </c>
      <c r="Y54" s="657"/>
      <c r="Z54" s="546">
        <v>19</v>
      </c>
      <c r="AA54" s="547">
        <v>1210.2439024390239</v>
      </c>
      <c r="AB54" s="547">
        <v>63.697047496790731</v>
      </c>
      <c r="AC54" s="547">
        <v>9</v>
      </c>
      <c r="AD54" s="657"/>
      <c r="AE54" s="546">
        <v>19</v>
      </c>
      <c r="AF54" s="547">
        <v>1208.5714285714273</v>
      </c>
      <c r="AG54" s="547">
        <v>63.609022556390912</v>
      </c>
      <c r="AH54" s="547">
        <v>9</v>
      </c>
      <c r="AI54" s="657"/>
      <c r="AJ54" s="546">
        <v>19</v>
      </c>
      <c r="AK54" s="547">
        <v>1227.8260869565204</v>
      </c>
      <c r="AL54" s="547">
        <v>64.622425629290547</v>
      </c>
      <c r="AM54" s="547">
        <v>9</v>
      </c>
      <c r="AN54" s="657"/>
      <c r="AO54" s="546">
        <v>18</v>
      </c>
      <c r="AP54" s="547">
        <v>1170.3030303030307</v>
      </c>
      <c r="AQ54" s="547">
        <v>65.016835016835046</v>
      </c>
      <c r="AR54" s="547">
        <v>9</v>
      </c>
      <c r="AS54" s="657"/>
      <c r="AT54" s="546">
        <v>18</v>
      </c>
      <c r="AU54" s="547">
        <v>1195.862068965517</v>
      </c>
      <c r="AV54" s="547">
        <v>66.436781609195393</v>
      </c>
      <c r="AW54" s="547">
        <v>9</v>
      </c>
      <c r="AX54" s="657"/>
      <c r="AZ54" s="372" t="e">
        <f t="shared" si="27"/>
        <v>#N/A</v>
      </c>
      <c r="BA54" s="648"/>
    </row>
    <row r="55" spans="2:53">
      <c r="B55" s="646"/>
      <c r="C55" s="384">
        <v>9</v>
      </c>
      <c r="D55" s="355" t="s">
        <v>725</v>
      </c>
      <c r="E55" s="531">
        <v>7</v>
      </c>
      <c r="F55" s="531">
        <v>2200</v>
      </c>
      <c r="G55" s="531">
        <v>314.28571428571428</v>
      </c>
      <c r="H55" s="671"/>
      <c r="I55" s="385">
        <f t="shared" si="24"/>
        <v>7</v>
      </c>
      <c r="J55" s="385">
        <f t="shared" si="25"/>
        <v>2109.3371858025794</v>
      </c>
      <c r="K55" s="199">
        <f t="shared" si="26"/>
        <v>301.33388368608269</v>
      </c>
      <c r="L55" s="617"/>
      <c r="M55" s="432">
        <f>RANK(K55, K$47:$K$61)</f>
        <v>3</v>
      </c>
      <c r="N55" s="635"/>
      <c r="O55" s="635"/>
      <c r="P55" s="546">
        <v>7</v>
      </c>
      <c r="Q55" s="547">
        <v>2094.8571428571422</v>
      </c>
      <c r="R55" s="547">
        <v>299.26530612244886</v>
      </c>
      <c r="S55" s="547">
        <v>3</v>
      </c>
      <c r="T55" s="657"/>
      <c r="U55" s="546">
        <v>7</v>
      </c>
      <c r="V55" s="547">
        <v>2086.3500000000004</v>
      </c>
      <c r="W55" s="547">
        <v>298.05000000000007</v>
      </c>
      <c r="X55" s="547">
        <v>3</v>
      </c>
      <c r="Y55" s="657"/>
      <c r="Z55" s="546">
        <v>7</v>
      </c>
      <c r="AA55" s="547">
        <v>2134.5187499999993</v>
      </c>
      <c r="AB55" s="547">
        <v>304.93124999999992</v>
      </c>
      <c r="AC55" s="547">
        <v>3</v>
      </c>
      <c r="AD55" s="657"/>
      <c r="AE55" s="546">
        <v>7</v>
      </c>
      <c r="AF55" s="547">
        <v>2115.4545454545455</v>
      </c>
      <c r="AG55" s="547">
        <v>302.20779220779224</v>
      </c>
      <c r="AH55" s="547">
        <v>3</v>
      </c>
      <c r="AI55" s="657"/>
      <c r="AJ55" s="546">
        <v>7</v>
      </c>
      <c r="AK55" s="547">
        <v>2097.1084337349389</v>
      </c>
      <c r="AL55" s="547">
        <v>299.5869191049913</v>
      </c>
      <c r="AM55" s="547">
        <v>3</v>
      </c>
      <c r="AN55" s="657"/>
      <c r="AO55" s="546">
        <v>7</v>
      </c>
      <c r="AP55" s="547">
        <v>2114.5714285714289</v>
      </c>
      <c r="AQ55" s="547">
        <v>302.08163265306126</v>
      </c>
      <c r="AR55" s="547">
        <v>3</v>
      </c>
      <c r="AS55" s="657"/>
      <c r="AT55" s="546">
        <v>7</v>
      </c>
      <c r="AU55" s="547">
        <v>2122.4999999999995</v>
      </c>
      <c r="AV55" s="547">
        <v>303.21428571428567</v>
      </c>
      <c r="AW55" s="547">
        <v>3</v>
      </c>
      <c r="AX55" s="657"/>
      <c r="AZ55" s="372" t="e">
        <f t="shared" si="27"/>
        <v>#N/A</v>
      </c>
      <c r="BA55" s="648"/>
    </row>
    <row r="56" spans="2:53">
      <c r="B56" s="646"/>
      <c r="C56" s="384">
        <v>10</v>
      </c>
      <c r="D56" s="355"/>
      <c r="E56" s="531"/>
      <c r="F56" s="531"/>
      <c r="G56" s="531"/>
      <c r="H56" s="671"/>
      <c r="I56" s="385" t="str">
        <f t="shared" si="24"/>
        <v>-</v>
      </c>
      <c r="J56" s="385" t="str">
        <f t="shared" si="25"/>
        <v>-</v>
      </c>
      <c r="K56" s="199" t="str">
        <f t="shared" si="26"/>
        <v>-</v>
      </c>
      <c r="L56" s="617"/>
      <c r="M56" s="432" t="e">
        <f>RANK(K56, K$47:$K$61)</f>
        <v>#VALUE!</v>
      </c>
      <c r="N56" s="635"/>
      <c r="O56" s="635"/>
      <c r="P56" s="546" t="s">
        <v>592</v>
      </c>
      <c r="Q56" s="547" t="s">
        <v>592</v>
      </c>
      <c r="R56" s="547" t="s">
        <v>592</v>
      </c>
      <c r="S56" s="547" t="e">
        <v>#VALUE!</v>
      </c>
      <c r="T56" s="657"/>
      <c r="U56" s="546" t="s">
        <v>592</v>
      </c>
      <c r="V56" s="547" t="s">
        <v>592</v>
      </c>
      <c r="W56" s="547" t="s">
        <v>592</v>
      </c>
      <c r="X56" s="547" t="e">
        <v>#VALUE!</v>
      </c>
      <c r="Y56" s="657"/>
      <c r="Z56" s="546" t="s">
        <v>592</v>
      </c>
      <c r="AA56" s="547" t="s">
        <v>592</v>
      </c>
      <c r="AB56" s="547" t="s">
        <v>592</v>
      </c>
      <c r="AC56" s="547" t="e">
        <v>#VALUE!</v>
      </c>
      <c r="AD56" s="657"/>
      <c r="AE56" s="546" t="s">
        <v>592</v>
      </c>
      <c r="AF56" s="547" t="s">
        <v>592</v>
      </c>
      <c r="AG56" s="547" t="s">
        <v>592</v>
      </c>
      <c r="AH56" s="547" t="e">
        <v>#VALUE!</v>
      </c>
      <c r="AI56" s="657"/>
      <c r="AJ56" s="546" t="s">
        <v>592</v>
      </c>
      <c r="AK56" s="547" t="s">
        <v>592</v>
      </c>
      <c r="AL56" s="547" t="s">
        <v>592</v>
      </c>
      <c r="AM56" s="547" t="e">
        <v>#VALUE!</v>
      </c>
      <c r="AN56" s="657"/>
      <c r="AO56" s="546" t="s">
        <v>592</v>
      </c>
      <c r="AP56" s="547" t="s">
        <v>592</v>
      </c>
      <c r="AQ56" s="547" t="s">
        <v>592</v>
      </c>
      <c r="AR56" s="547" t="e">
        <v>#VALUE!</v>
      </c>
      <c r="AS56" s="657"/>
      <c r="AT56" s="546" t="s">
        <v>592</v>
      </c>
      <c r="AU56" s="547" t="s">
        <v>592</v>
      </c>
      <c r="AV56" s="547" t="s">
        <v>592</v>
      </c>
      <c r="AW56" s="547" t="e">
        <v>#VALUE!</v>
      </c>
      <c r="AX56" s="657"/>
      <c r="AZ56" s="372" t="e">
        <f t="shared" si="27"/>
        <v>#N/A</v>
      </c>
      <c r="BA56" s="648"/>
    </row>
    <row r="57" spans="2:53">
      <c r="B57" s="646"/>
      <c r="C57" s="384">
        <v>11</v>
      </c>
      <c r="D57" s="355"/>
      <c r="E57" s="531"/>
      <c r="F57" s="531"/>
      <c r="G57" s="531"/>
      <c r="H57" s="671"/>
      <c r="I57" s="385" t="str">
        <f t="shared" si="24"/>
        <v>-</v>
      </c>
      <c r="J57" s="385" t="str">
        <f t="shared" si="25"/>
        <v>-</v>
      </c>
      <c r="K57" s="199" t="str">
        <f t="shared" si="26"/>
        <v>-</v>
      </c>
      <c r="L57" s="617"/>
      <c r="M57" s="432" t="e">
        <f>RANK(K57, K$47:$K$61)</f>
        <v>#VALUE!</v>
      </c>
      <c r="N57" s="635"/>
      <c r="O57" s="635"/>
      <c r="P57" s="546" t="s">
        <v>592</v>
      </c>
      <c r="Q57" s="547" t="s">
        <v>592</v>
      </c>
      <c r="R57" s="547" t="s">
        <v>592</v>
      </c>
      <c r="S57" s="547" t="e">
        <v>#VALUE!</v>
      </c>
      <c r="T57" s="657"/>
      <c r="U57" s="546" t="s">
        <v>592</v>
      </c>
      <c r="V57" s="547" t="s">
        <v>592</v>
      </c>
      <c r="W57" s="547" t="s">
        <v>592</v>
      </c>
      <c r="X57" s="547" t="e">
        <v>#VALUE!</v>
      </c>
      <c r="Y57" s="657"/>
      <c r="Z57" s="546" t="s">
        <v>592</v>
      </c>
      <c r="AA57" s="547" t="s">
        <v>592</v>
      </c>
      <c r="AB57" s="547" t="s">
        <v>592</v>
      </c>
      <c r="AC57" s="547" t="e">
        <v>#VALUE!</v>
      </c>
      <c r="AD57" s="657"/>
      <c r="AE57" s="546" t="s">
        <v>592</v>
      </c>
      <c r="AF57" s="547" t="s">
        <v>592</v>
      </c>
      <c r="AG57" s="547" t="s">
        <v>592</v>
      </c>
      <c r="AH57" s="547" t="e">
        <v>#VALUE!</v>
      </c>
      <c r="AI57" s="657"/>
      <c r="AJ57" s="546" t="s">
        <v>592</v>
      </c>
      <c r="AK57" s="547" t="s">
        <v>592</v>
      </c>
      <c r="AL57" s="547" t="s">
        <v>592</v>
      </c>
      <c r="AM57" s="547" t="e">
        <v>#VALUE!</v>
      </c>
      <c r="AN57" s="657"/>
      <c r="AO57" s="546" t="s">
        <v>592</v>
      </c>
      <c r="AP57" s="547" t="s">
        <v>592</v>
      </c>
      <c r="AQ57" s="547" t="s">
        <v>592</v>
      </c>
      <c r="AR57" s="547" t="e">
        <v>#VALUE!</v>
      </c>
      <c r="AS57" s="657"/>
      <c r="AT57" s="546" t="s">
        <v>592</v>
      </c>
      <c r="AU57" s="547" t="s">
        <v>592</v>
      </c>
      <c r="AV57" s="547" t="s">
        <v>592</v>
      </c>
      <c r="AW57" s="547" t="e">
        <v>#VALUE!</v>
      </c>
      <c r="AX57" s="657"/>
      <c r="AZ57" s="372" t="e">
        <f t="shared" si="27"/>
        <v>#N/A</v>
      </c>
      <c r="BA57" s="648"/>
    </row>
    <row r="58" spans="2:53">
      <c r="B58" s="646"/>
      <c r="C58" s="384">
        <v>12</v>
      </c>
      <c r="D58" s="355"/>
      <c r="E58" s="531"/>
      <c r="F58" s="531"/>
      <c r="G58" s="531"/>
      <c r="H58" s="671"/>
      <c r="I58" s="385" t="str">
        <f t="shared" si="24"/>
        <v>-</v>
      </c>
      <c r="J58" s="385" t="str">
        <f t="shared" si="25"/>
        <v>-</v>
      </c>
      <c r="K58" s="199" t="str">
        <f t="shared" si="26"/>
        <v>-</v>
      </c>
      <c r="L58" s="617"/>
      <c r="M58" s="432" t="e">
        <f>RANK(K58, K$47:$K$61)</f>
        <v>#VALUE!</v>
      </c>
      <c r="N58" s="635"/>
      <c r="O58" s="635"/>
      <c r="P58" s="546" t="s">
        <v>592</v>
      </c>
      <c r="Q58" s="547" t="s">
        <v>592</v>
      </c>
      <c r="R58" s="547" t="s">
        <v>592</v>
      </c>
      <c r="S58" s="547" t="e">
        <v>#VALUE!</v>
      </c>
      <c r="T58" s="657"/>
      <c r="U58" s="546" t="s">
        <v>592</v>
      </c>
      <c r="V58" s="547" t="s">
        <v>592</v>
      </c>
      <c r="W58" s="547" t="s">
        <v>592</v>
      </c>
      <c r="X58" s="547" t="e">
        <v>#VALUE!</v>
      </c>
      <c r="Y58" s="657"/>
      <c r="Z58" s="546" t="s">
        <v>592</v>
      </c>
      <c r="AA58" s="547" t="s">
        <v>592</v>
      </c>
      <c r="AB58" s="547" t="s">
        <v>592</v>
      </c>
      <c r="AC58" s="547" t="e">
        <v>#VALUE!</v>
      </c>
      <c r="AD58" s="657"/>
      <c r="AE58" s="546" t="s">
        <v>592</v>
      </c>
      <c r="AF58" s="547" t="s">
        <v>592</v>
      </c>
      <c r="AG58" s="547" t="s">
        <v>592</v>
      </c>
      <c r="AH58" s="547" t="e">
        <v>#VALUE!</v>
      </c>
      <c r="AI58" s="657"/>
      <c r="AJ58" s="546" t="s">
        <v>592</v>
      </c>
      <c r="AK58" s="547" t="s">
        <v>592</v>
      </c>
      <c r="AL58" s="547" t="s">
        <v>592</v>
      </c>
      <c r="AM58" s="547" t="e">
        <v>#VALUE!</v>
      </c>
      <c r="AN58" s="657"/>
      <c r="AO58" s="546" t="s">
        <v>592</v>
      </c>
      <c r="AP58" s="547" t="s">
        <v>592</v>
      </c>
      <c r="AQ58" s="547" t="s">
        <v>592</v>
      </c>
      <c r="AR58" s="547" t="e">
        <v>#VALUE!</v>
      </c>
      <c r="AS58" s="657"/>
      <c r="AT58" s="546" t="s">
        <v>592</v>
      </c>
      <c r="AU58" s="547" t="s">
        <v>592</v>
      </c>
      <c r="AV58" s="547" t="s">
        <v>592</v>
      </c>
      <c r="AW58" s="547" t="e">
        <v>#VALUE!</v>
      </c>
      <c r="AX58" s="657"/>
      <c r="AZ58" s="372" t="e">
        <f t="shared" si="27"/>
        <v>#N/A</v>
      </c>
      <c r="BA58" s="648"/>
    </row>
    <row r="59" spans="2:53">
      <c r="B59" s="646"/>
      <c r="C59" s="384">
        <v>13</v>
      </c>
      <c r="D59" s="355"/>
      <c r="E59" s="531"/>
      <c r="F59" s="531"/>
      <c r="G59" s="531"/>
      <c r="H59" s="671"/>
      <c r="I59" s="385" t="str">
        <f t="shared" si="24"/>
        <v>-</v>
      </c>
      <c r="J59" s="385" t="str">
        <f t="shared" si="25"/>
        <v>-</v>
      </c>
      <c r="K59" s="199" t="str">
        <f t="shared" si="26"/>
        <v>-</v>
      </c>
      <c r="L59" s="617"/>
      <c r="M59" s="432" t="e">
        <f>RANK(K59, K$47:$K$61)</f>
        <v>#VALUE!</v>
      </c>
      <c r="N59" s="635"/>
      <c r="O59" s="635"/>
      <c r="P59" s="546" t="s">
        <v>592</v>
      </c>
      <c r="Q59" s="547" t="s">
        <v>592</v>
      </c>
      <c r="R59" s="547" t="s">
        <v>592</v>
      </c>
      <c r="S59" s="547"/>
      <c r="T59" s="657"/>
      <c r="U59" s="546" t="s">
        <v>592</v>
      </c>
      <c r="V59" s="547" t="s">
        <v>592</v>
      </c>
      <c r="W59" s="547" t="s">
        <v>592</v>
      </c>
      <c r="X59" s="546"/>
      <c r="Y59" s="657"/>
      <c r="Z59" s="546" t="s">
        <v>592</v>
      </c>
      <c r="AA59" s="547" t="s">
        <v>592</v>
      </c>
      <c r="AB59" s="547" t="s">
        <v>592</v>
      </c>
      <c r="AC59" s="547"/>
      <c r="AD59" s="657"/>
      <c r="AE59" s="546" t="s">
        <v>592</v>
      </c>
      <c r="AF59" s="547" t="s">
        <v>592</v>
      </c>
      <c r="AG59" s="547" t="s">
        <v>592</v>
      </c>
      <c r="AH59" s="547"/>
      <c r="AI59" s="657"/>
      <c r="AJ59" s="546" t="s">
        <v>592</v>
      </c>
      <c r="AK59" s="547" t="s">
        <v>592</v>
      </c>
      <c r="AL59" s="547" t="s">
        <v>592</v>
      </c>
      <c r="AM59" s="547"/>
      <c r="AN59" s="657"/>
      <c r="AO59" s="546" t="s">
        <v>592</v>
      </c>
      <c r="AP59" s="547" t="s">
        <v>592</v>
      </c>
      <c r="AQ59" s="547" t="s">
        <v>592</v>
      </c>
      <c r="AR59" s="547"/>
      <c r="AS59" s="657"/>
      <c r="AT59" s="546" t="s">
        <v>592</v>
      </c>
      <c r="AU59" s="547" t="s">
        <v>592</v>
      </c>
      <c r="AV59" s="547" t="s">
        <v>592</v>
      </c>
      <c r="AW59" s="547"/>
      <c r="AX59" s="657"/>
      <c r="AZ59" s="372" t="e">
        <f t="shared" si="27"/>
        <v>#N/A</v>
      </c>
      <c r="BA59" s="648"/>
    </row>
    <row r="60" spans="2:53">
      <c r="B60" s="646"/>
      <c r="C60" s="384">
        <v>14</v>
      </c>
      <c r="D60" s="355"/>
      <c r="E60" s="531"/>
      <c r="F60" s="531"/>
      <c r="G60" s="531"/>
      <c r="H60" s="671"/>
      <c r="I60" s="385" t="str">
        <f t="shared" si="24"/>
        <v>-</v>
      </c>
      <c r="J60" s="385" t="str">
        <f t="shared" si="25"/>
        <v>-</v>
      </c>
      <c r="K60" s="199" t="str">
        <f t="shared" si="26"/>
        <v>-</v>
      </c>
      <c r="L60" s="617"/>
      <c r="M60" s="432" t="e">
        <f>RANK(K60, K$47:$K$61)</f>
        <v>#VALUE!</v>
      </c>
      <c r="N60" s="635"/>
      <c r="O60" s="635"/>
      <c r="P60" s="546" t="s">
        <v>592</v>
      </c>
      <c r="Q60" s="547" t="s">
        <v>592</v>
      </c>
      <c r="R60" s="547" t="s">
        <v>592</v>
      </c>
      <c r="S60" s="547"/>
      <c r="T60" s="657"/>
      <c r="U60" s="546" t="s">
        <v>592</v>
      </c>
      <c r="V60" s="547" t="s">
        <v>592</v>
      </c>
      <c r="W60" s="547" t="s">
        <v>592</v>
      </c>
      <c r="X60" s="546"/>
      <c r="Y60" s="657"/>
      <c r="Z60" s="546" t="s">
        <v>592</v>
      </c>
      <c r="AA60" s="547" t="s">
        <v>592</v>
      </c>
      <c r="AB60" s="547" t="s">
        <v>592</v>
      </c>
      <c r="AC60" s="547"/>
      <c r="AD60" s="657"/>
      <c r="AE60" s="546" t="s">
        <v>592</v>
      </c>
      <c r="AF60" s="547" t="s">
        <v>592</v>
      </c>
      <c r="AG60" s="547" t="s">
        <v>592</v>
      </c>
      <c r="AH60" s="547"/>
      <c r="AI60" s="657"/>
      <c r="AJ60" s="546" t="s">
        <v>592</v>
      </c>
      <c r="AK60" s="547" t="s">
        <v>592</v>
      </c>
      <c r="AL60" s="547" t="s">
        <v>592</v>
      </c>
      <c r="AM60" s="547"/>
      <c r="AN60" s="657"/>
      <c r="AO60" s="546" t="s">
        <v>592</v>
      </c>
      <c r="AP60" s="547" t="s">
        <v>592</v>
      </c>
      <c r="AQ60" s="547" t="s">
        <v>592</v>
      </c>
      <c r="AR60" s="547"/>
      <c r="AS60" s="657"/>
      <c r="AT60" s="546" t="s">
        <v>592</v>
      </c>
      <c r="AU60" s="547" t="s">
        <v>592</v>
      </c>
      <c r="AV60" s="547" t="s">
        <v>592</v>
      </c>
      <c r="AW60" s="547"/>
      <c r="AX60" s="657"/>
      <c r="AZ60" s="372" t="e">
        <f t="shared" si="27"/>
        <v>#N/A</v>
      </c>
      <c r="BA60" s="648"/>
    </row>
    <row r="61" spans="2:53">
      <c r="B61" s="646"/>
      <c r="C61" s="384">
        <v>15</v>
      </c>
      <c r="D61" s="355"/>
      <c r="E61" s="531"/>
      <c r="F61" s="531"/>
      <c r="G61" s="531"/>
      <c r="H61" s="680"/>
      <c r="I61" s="389"/>
      <c r="J61" s="389"/>
      <c r="K61" s="386"/>
      <c r="L61" s="618"/>
      <c r="M61" s="432" t="e">
        <f>RANK(K61, K$47:$K$61)</f>
        <v>#N/A</v>
      </c>
      <c r="N61" s="635"/>
      <c r="O61" s="635"/>
      <c r="P61" s="546" t="s">
        <v>592</v>
      </c>
      <c r="Q61" s="547" t="s">
        <v>592</v>
      </c>
      <c r="R61" s="547" t="s">
        <v>592</v>
      </c>
      <c r="S61" s="547"/>
      <c r="T61" s="657"/>
      <c r="U61" s="546" t="s">
        <v>592</v>
      </c>
      <c r="V61" s="547" t="s">
        <v>592</v>
      </c>
      <c r="W61" s="547" t="s">
        <v>592</v>
      </c>
      <c r="X61" s="546"/>
      <c r="Y61" s="657"/>
      <c r="Z61" s="546" t="s">
        <v>592</v>
      </c>
      <c r="AA61" s="547" t="s">
        <v>592</v>
      </c>
      <c r="AB61" s="547" t="s">
        <v>592</v>
      </c>
      <c r="AC61" s="547"/>
      <c r="AD61" s="657"/>
      <c r="AE61" s="546" t="s">
        <v>592</v>
      </c>
      <c r="AF61" s="547" t="s">
        <v>592</v>
      </c>
      <c r="AG61" s="547" t="s">
        <v>592</v>
      </c>
      <c r="AH61" s="547"/>
      <c r="AI61" s="657"/>
      <c r="AJ61" s="546" t="s">
        <v>592</v>
      </c>
      <c r="AK61" s="547" t="s">
        <v>592</v>
      </c>
      <c r="AL61" s="547" t="s">
        <v>592</v>
      </c>
      <c r="AM61" s="547"/>
      <c r="AN61" s="657"/>
      <c r="AO61" s="546" t="s">
        <v>592</v>
      </c>
      <c r="AP61" s="547" t="s">
        <v>592</v>
      </c>
      <c r="AQ61" s="547" t="s">
        <v>592</v>
      </c>
      <c r="AR61" s="547"/>
      <c r="AS61" s="657"/>
      <c r="AT61" s="546" t="s">
        <v>592</v>
      </c>
      <c r="AU61" s="547" t="s">
        <v>592</v>
      </c>
      <c r="AV61" s="547" t="s">
        <v>592</v>
      </c>
      <c r="AW61" s="547"/>
      <c r="AX61" s="657"/>
      <c r="AZ61" s="372" t="e">
        <f t="shared" si="27"/>
        <v>#N/A</v>
      </c>
      <c r="BA61" s="649"/>
    </row>
    <row r="62" spans="2:53" ht="15.75">
      <c r="B62" s="650" t="s">
        <v>162</v>
      </c>
      <c r="C62" s="651"/>
      <c r="D62" s="651"/>
      <c r="E62" s="651"/>
      <c r="F62" s="651"/>
      <c r="G62" s="651"/>
      <c r="H62" s="652"/>
      <c r="I62" s="207"/>
      <c r="J62" s="207"/>
      <c r="K62" s="207"/>
      <c r="L62" s="207"/>
      <c r="M62" s="206"/>
      <c r="N62" s="639" t="s">
        <v>156</v>
      </c>
      <c r="O62" s="639" t="s">
        <v>105</v>
      </c>
      <c r="P62" s="645">
        <f>P42+7</f>
        <v>46224</v>
      </c>
      <c r="Q62" s="646"/>
      <c r="R62" s="646"/>
      <c r="S62" s="646"/>
      <c r="T62" s="646"/>
      <c r="U62" s="642">
        <f>P62+1</f>
        <v>46225</v>
      </c>
      <c r="V62" s="643"/>
      <c r="W62" s="643"/>
      <c r="X62" s="643"/>
      <c r="Y62" s="644"/>
      <c r="Z62" s="642">
        <f>U62+1</f>
        <v>46226</v>
      </c>
      <c r="AA62" s="643"/>
      <c r="AB62" s="643"/>
      <c r="AC62" s="643"/>
      <c r="AD62" s="644"/>
      <c r="AE62" s="642">
        <f>Z62+1</f>
        <v>46227</v>
      </c>
      <c r="AF62" s="643"/>
      <c r="AG62" s="643"/>
      <c r="AH62" s="643"/>
      <c r="AI62" s="644"/>
      <c r="AJ62" s="642">
        <f>AE62+1</f>
        <v>46228</v>
      </c>
      <c r="AK62" s="643"/>
      <c r="AL62" s="643"/>
      <c r="AM62" s="643"/>
      <c r="AN62" s="644"/>
      <c r="AO62" s="642">
        <f>AJ62+1</f>
        <v>46229</v>
      </c>
      <c r="AP62" s="643"/>
      <c r="AQ62" s="643"/>
      <c r="AR62" s="643"/>
      <c r="AS62" s="644"/>
      <c r="AT62" s="642">
        <f>AO62+1</f>
        <v>46230</v>
      </c>
      <c r="AU62" s="643"/>
      <c r="AV62" s="643"/>
      <c r="AW62" s="643"/>
      <c r="AX62" s="644"/>
    </row>
    <row r="63" spans="2:53" ht="15.75">
      <c r="B63" s="653"/>
      <c r="C63" s="653"/>
      <c r="D63" s="653"/>
      <c r="E63" s="653"/>
      <c r="F63" s="653"/>
      <c r="G63" s="653"/>
      <c r="H63" s="653"/>
      <c r="I63" s="204"/>
      <c r="J63" s="204"/>
      <c r="K63" s="204"/>
      <c r="L63" s="204"/>
      <c r="M63" s="205"/>
      <c r="N63" s="641"/>
      <c r="O63" s="641"/>
      <c r="P63" s="645" t="s">
        <v>317</v>
      </c>
      <c r="Q63" s="646"/>
      <c r="R63" s="646"/>
      <c r="S63" s="646"/>
      <c r="T63" s="646"/>
      <c r="U63" s="645" t="s">
        <v>318</v>
      </c>
      <c r="V63" s="646"/>
      <c r="W63" s="646"/>
      <c r="X63" s="646"/>
      <c r="Y63" s="646"/>
      <c r="Z63" s="645" t="s">
        <v>319</v>
      </c>
      <c r="AA63" s="646"/>
      <c r="AB63" s="646"/>
      <c r="AC63" s="646"/>
      <c r="AD63" s="646"/>
      <c r="AE63" s="645" t="s">
        <v>320</v>
      </c>
      <c r="AF63" s="646"/>
      <c r="AG63" s="646"/>
      <c r="AH63" s="646"/>
      <c r="AI63" s="646"/>
      <c r="AJ63" s="645" t="s">
        <v>321</v>
      </c>
      <c r="AK63" s="646"/>
      <c r="AL63" s="646"/>
      <c r="AM63" s="646"/>
      <c r="AN63" s="646"/>
      <c r="AO63" s="645" t="s">
        <v>322</v>
      </c>
      <c r="AP63" s="646"/>
      <c r="AQ63" s="646"/>
      <c r="AR63" s="646"/>
      <c r="AS63" s="646"/>
      <c r="AT63" s="645" t="s">
        <v>323</v>
      </c>
      <c r="AU63" s="646"/>
      <c r="AV63" s="646"/>
      <c r="AW63" s="646"/>
      <c r="AX63" s="646"/>
    </row>
    <row r="64" spans="2:53">
      <c r="B64" s="635" t="s">
        <v>372</v>
      </c>
      <c r="C64" s="635" t="s">
        <v>382</v>
      </c>
      <c r="D64" s="635"/>
      <c r="E64" s="635" t="s">
        <v>373</v>
      </c>
      <c r="F64" s="635"/>
      <c r="G64" s="635"/>
      <c r="H64" s="636" t="s">
        <v>369</v>
      </c>
      <c r="I64" s="635" t="s">
        <v>374</v>
      </c>
      <c r="J64" s="635"/>
      <c r="K64" s="635"/>
      <c r="L64" s="636" t="s">
        <v>369</v>
      </c>
      <c r="M64" s="639" t="s">
        <v>370</v>
      </c>
      <c r="N64" s="635"/>
      <c r="O64" s="635" t="s">
        <v>375</v>
      </c>
      <c r="P64" s="632" t="s">
        <v>371</v>
      </c>
      <c r="Q64" s="633"/>
      <c r="R64" s="633"/>
      <c r="S64" s="634"/>
      <c r="T64" s="635" t="s">
        <v>369</v>
      </c>
      <c r="U64" s="632" t="s">
        <v>371</v>
      </c>
      <c r="V64" s="633"/>
      <c r="W64" s="633"/>
      <c r="X64" s="634"/>
      <c r="Y64" s="635" t="s">
        <v>369</v>
      </c>
      <c r="Z64" s="632" t="s">
        <v>371</v>
      </c>
      <c r="AA64" s="633"/>
      <c r="AB64" s="633"/>
      <c r="AC64" s="634"/>
      <c r="AD64" s="635" t="s">
        <v>369</v>
      </c>
      <c r="AE64" s="632" t="s">
        <v>371</v>
      </c>
      <c r="AF64" s="633"/>
      <c r="AG64" s="633"/>
      <c r="AH64" s="634"/>
      <c r="AI64" s="635" t="s">
        <v>369</v>
      </c>
      <c r="AJ64" s="632" t="s">
        <v>371</v>
      </c>
      <c r="AK64" s="633"/>
      <c r="AL64" s="633"/>
      <c r="AM64" s="634"/>
      <c r="AN64" s="635" t="s">
        <v>369</v>
      </c>
      <c r="AO64" s="632" t="s">
        <v>371</v>
      </c>
      <c r="AP64" s="633"/>
      <c r="AQ64" s="633"/>
      <c r="AR64" s="634"/>
      <c r="AS64" s="635" t="s">
        <v>369</v>
      </c>
      <c r="AT64" s="632" t="s">
        <v>371</v>
      </c>
      <c r="AU64" s="633"/>
      <c r="AV64" s="633"/>
      <c r="AW64" s="634"/>
      <c r="AX64" s="635" t="s">
        <v>369</v>
      </c>
      <c r="BA64" s="635" t="s">
        <v>369</v>
      </c>
    </row>
    <row r="65" spans="2:53">
      <c r="B65" s="635"/>
      <c r="C65" s="635"/>
      <c r="D65" s="635"/>
      <c r="E65" s="635" t="s">
        <v>376</v>
      </c>
      <c r="F65" s="635"/>
      <c r="G65" s="635"/>
      <c r="H65" s="637"/>
      <c r="I65" s="635" t="s">
        <v>376</v>
      </c>
      <c r="J65" s="635"/>
      <c r="K65" s="635"/>
      <c r="L65" s="637"/>
      <c r="M65" s="640"/>
      <c r="N65" s="635"/>
      <c r="O65" s="635"/>
      <c r="P65" s="632" t="s">
        <v>377</v>
      </c>
      <c r="Q65" s="633"/>
      <c r="R65" s="633"/>
      <c r="S65" s="634"/>
      <c r="T65" s="635"/>
      <c r="U65" s="632" t="s">
        <v>377</v>
      </c>
      <c r="V65" s="633"/>
      <c r="W65" s="633"/>
      <c r="X65" s="634"/>
      <c r="Y65" s="635"/>
      <c r="Z65" s="632" t="s">
        <v>377</v>
      </c>
      <c r="AA65" s="633"/>
      <c r="AB65" s="633"/>
      <c r="AC65" s="634"/>
      <c r="AD65" s="635"/>
      <c r="AE65" s="632" t="s">
        <v>377</v>
      </c>
      <c r="AF65" s="633"/>
      <c r="AG65" s="633"/>
      <c r="AH65" s="634"/>
      <c r="AI65" s="635"/>
      <c r="AJ65" s="632" t="s">
        <v>377</v>
      </c>
      <c r="AK65" s="633"/>
      <c r="AL65" s="633"/>
      <c r="AM65" s="634"/>
      <c r="AN65" s="635"/>
      <c r="AO65" s="632" t="s">
        <v>377</v>
      </c>
      <c r="AP65" s="633"/>
      <c r="AQ65" s="633"/>
      <c r="AR65" s="634"/>
      <c r="AS65" s="635"/>
      <c r="AT65" s="632" t="s">
        <v>377</v>
      </c>
      <c r="AU65" s="633"/>
      <c r="AV65" s="633"/>
      <c r="AW65" s="634"/>
      <c r="AX65" s="635"/>
      <c r="BA65" s="635"/>
    </row>
    <row r="66" spans="2:53">
      <c r="B66" s="635"/>
      <c r="C66" s="635"/>
      <c r="D66" s="635"/>
      <c r="E66" s="382" t="s">
        <v>378</v>
      </c>
      <c r="F66" s="382" t="s">
        <v>379</v>
      </c>
      <c r="G66" s="382" t="s">
        <v>380</v>
      </c>
      <c r="H66" s="638"/>
      <c r="I66" s="382" t="s">
        <v>378</v>
      </c>
      <c r="J66" s="382" t="s">
        <v>379</v>
      </c>
      <c r="K66" s="382" t="s">
        <v>380</v>
      </c>
      <c r="L66" s="638"/>
      <c r="M66" s="641"/>
      <c r="N66" s="635"/>
      <c r="O66" s="635"/>
      <c r="P66" s="382" t="s">
        <v>378</v>
      </c>
      <c r="Q66" s="382" t="s">
        <v>379</v>
      </c>
      <c r="R66" s="382" t="s">
        <v>380</v>
      </c>
      <c r="S66" s="382" t="s">
        <v>370</v>
      </c>
      <c r="T66" s="635"/>
      <c r="U66" s="382" t="s">
        <v>378</v>
      </c>
      <c r="V66" s="382" t="s">
        <v>379</v>
      </c>
      <c r="W66" s="382" t="s">
        <v>380</v>
      </c>
      <c r="X66" s="382" t="s">
        <v>370</v>
      </c>
      <c r="Y66" s="635"/>
      <c r="Z66" s="382" t="s">
        <v>378</v>
      </c>
      <c r="AA66" s="382" t="s">
        <v>379</v>
      </c>
      <c r="AB66" s="382" t="s">
        <v>380</v>
      </c>
      <c r="AC66" s="382" t="s">
        <v>370</v>
      </c>
      <c r="AD66" s="635"/>
      <c r="AE66" s="382" t="s">
        <v>378</v>
      </c>
      <c r="AF66" s="382" t="s">
        <v>379</v>
      </c>
      <c r="AG66" s="382" t="s">
        <v>380</v>
      </c>
      <c r="AH66" s="382" t="s">
        <v>370</v>
      </c>
      <c r="AI66" s="635"/>
      <c r="AJ66" s="382" t="s">
        <v>378</v>
      </c>
      <c r="AK66" s="382" t="s">
        <v>379</v>
      </c>
      <c r="AL66" s="382" t="s">
        <v>380</v>
      </c>
      <c r="AM66" s="382" t="s">
        <v>370</v>
      </c>
      <c r="AN66" s="635"/>
      <c r="AO66" s="382" t="s">
        <v>378</v>
      </c>
      <c r="AP66" s="382" t="s">
        <v>379</v>
      </c>
      <c r="AQ66" s="382" t="s">
        <v>380</v>
      </c>
      <c r="AR66" s="382" t="s">
        <v>370</v>
      </c>
      <c r="AS66" s="635"/>
      <c r="AT66" s="382" t="s">
        <v>378</v>
      </c>
      <c r="AU66" s="382" t="s">
        <v>379</v>
      </c>
      <c r="AV66" s="382" t="s">
        <v>380</v>
      </c>
      <c r="AW66" s="382" t="s">
        <v>370</v>
      </c>
      <c r="AX66" s="635"/>
      <c r="AZ66" s="371" t="s">
        <v>370</v>
      </c>
      <c r="BA66" s="635"/>
    </row>
    <row r="67" spans="2:53">
      <c r="B67" s="679" t="s">
        <v>381</v>
      </c>
      <c r="C67" s="384">
        <v>1</v>
      </c>
      <c r="D67" s="355" t="s">
        <v>360</v>
      </c>
      <c r="E67" s="531">
        <v>4</v>
      </c>
      <c r="F67" s="531">
        <v>2000</v>
      </c>
      <c r="G67" s="531">
        <v>500</v>
      </c>
      <c r="H67" s="670">
        <f>AVERAGE(G67:G81)</f>
        <v>265.00582010582008</v>
      </c>
      <c r="I67" s="385">
        <f t="shared" ref="I67:I80" si="29">IFERROR(AVERAGE(P67,U67,Z67,AE67,AJ67,AO67,AT67),"-")</f>
        <v>5</v>
      </c>
      <c r="J67" s="385">
        <f t="shared" ref="J67:J80" si="30">IFERROR(AVERAGE(Q67,V67,AA67,AF67,AK67,AP67,AU67),"-")</f>
        <v>2083.8354034922104</v>
      </c>
      <c r="K67" s="199">
        <f t="shared" ref="K67:K80" si="31">IFERROR(AVERAGE(R67,W67,AB67,AG67,AL67,AQ67,AV67),"-")</f>
        <v>416.76708069844204</v>
      </c>
      <c r="L67" s="616">
        <f>IFERROR(AVERAGE(K67:K81),"-")</f>
        <v>235.50291909632642</v>
      </c>
      <c r="M67" s="389">
        <f>RANK(K67, K$67:$K$81)</f>
        <v>2</v>
      </c>
      <c r="N67" s="635"/>
      <c r="O67" s="635"/>
      <c r="P67" s="555">
        <v>5</v>
      </c>
      <c r="Q67" s="556">
        <v>2047.9245283018861</v>
      </c>
      <c r="R67" s="556">
        <v>409.58490566037722</v>
      </c>
      <c r="S67" s="555">
        <f t="shared" ref="S67:S81" si="32">RANK(R67, R$67:R$81)</f>
        <v>2</v>
      </c>
      <c r="T67" s="647">
        <f t="shared" ref="T67" si="33">AVERAGE(R67:R81)</f>
        <v>233.74511114317986</v>
      </c>
      <c r="U67" s="555">
        <v>5</v>
      </c>
      <c r="V67" s="556">
        <v>2124</v>
      </c>
      <c r="W67" s="556">
        <v>424.8</v>
      </c>
      <c r="X67" s="555">
        <f t="shared" ref="X67:X81" si="34">RANK(W67, W$67:W$81)</f>
        <v>1</v>
      </c>
      <c r="Y67" s="647">
        <f t="shared" ref="Y67" si="35">AVERAGE(W67:W81)</f>
        <v>237.75860907977827</v>
      </c>
      <c r="Z67" s="555">
        <v>5</v>
      </c>
      <c r="AA67" s="556">
        <v>2058.7500000000005</v>
      </c>
      <c r="AB67" s="556">
        <v>411.75000000000011</v>
      </c>
      <c r="AC67" s="555">
        <f t="shared" ref="AC67:AC81" si="36">RANK(AB67, AB$67:AB$81)</f>
        <v>2</v>
      </c>
      <c r="AD67" s="647">
        <f t="shared" ref="AD67" si="37">AVERAGE(AB67:AB81)</f>
        <v>235.20956721756173</v>
      </c>
      <c r="AE67" s="555">
        <v>5</v>
      </c>
      <c r="AF67" s="556">
        <v>2038.4210526315796</v>
      </c>
      <c r="AG67" s="556">
        <v>407.68421052631595</v>
      </c>
      <c r="AH67" s="555">
        <f t="shared" ref="AH67:AH81" si="38">RANK(AG67, AG$67:AG$81)</f>
        <v>2</v>
      </c>
      <c r="AI67" s="647">
        <f t="shared" ref="AI67" si="39">AVERAGE(AG67:AG81)</f>
        <v>234.84720093178566</v>
      </c>
      <c r="AJ67" s="555">
        <v>5</v>
      </c>
      <c r="AK67" s="556">
        <v>2156.8421052631588</v>
      </c>
      <c r="AL67" s="556">
        <v>431.36842105263179</v>
      </c>
      <c r="AM67" s="555">
        <f t="shared" ref="AM67:AM81" si="40">RANK(AL67, AL$67:AL$81)</f>
        <v>1</v>
      </c>
      <c r="AN67" s="647">
        <f t="shared" ref="AN67" si="41">AVERAGE(AL67:AL81)</f>
        <v>237.46394730185233</v>
      </c>
      <c r="AO67" s="555">
        <v>5</v>
      </c>
      <c r="AP67" s="556">
        <v>2086.0714285714289</v>
      </c>
      <c r="AQ67" s="556">
        <v>417.21428571428578</v>
      </c>
      <c r="AR67" s="555">
        <f t="shared" ref="AR67:AR81" si="42">RANK(AQ67, AQ$67:AQ$81)</f>
        <v>2</v>
      </c>
      <c r="AS67" s="647">
        <f t="shared" ref="AS67" si="43">AVERAGE(AQ67:AQ81)</f>
        <v>234.9418292737985</v>
      </c>
      <c r="AT67" s="555">
        <v>5</v>
      </c>
      <c r="AU67" s="556">
        <v>2074.8387096774186</v>
      </c>
      <c r="AV67" s="556">
        <v>414.96774193548373</v>
      </c>
      <c r="AW67" s="555">
        <f t="shared" ref="AW67:AW81" si="44">RANK(AV67, AV$67:AV$81)</f>
        <v>2</v>
      </c>
      <c r="AX67" s="647">
        <f t="shared" ref="AX67" si="45">AVERAGE(AV67:AV81)</f>
        <v>234.5541687263287</v>
      </c>
      <c r="AZ67" s="372" t="e">
        <f t="shared" ref="AZ67:AZ81" si="46">RANK(AY67, AY$67:AY$81)</f>
        <v>#N/A</v>
      </c>
      <c r="BA67" s="647" t="e">
        <f t="shared" ref="BA67" si="47">AVERAGE(AY67:AY81)</f>
        <v>#DIV/0!</v>
      </c>
    </row>
    <row r="68" spans="2:53">
      <c r="B68" s="646"/>
      <c r="C68" s="384">
        <v>2</v>
      </c>
      <c r="D68" s="355" t="s">
        <v>431</v>
      </c>
      <c r="E68" s="531">
        <v>4</v>
      </c>
      <c r="F68" s="531">
        <v>2000</v>
      </c>
      <c r="G68" s="531">
        <v>500</v>
      </c>
      <c r="H68" s="671"/>
      <c r="I68" s="385">
        <f t="shared" si="29"/>
        <v>5</v>
      </c>
      <c r="J68" s="385">
        <f t="shared" si="30"/>
        <v>2092.2370266838348</v>
      </c>
      <c r="K68" s="199">
        <f t="shared" si="31"/>
        <v>418.44740533676696</v>
      </c>
      <c r="L68" s="617"/>
      <c r="M68" s="389">
        <f>RANK(K68, K$67:$K$81)</f>
        <v>1</v>
      </c>
      <c r="N68" s="635"/>
      <c r="O68" s="635"/>
      <c r="P68" s="555">
        <v>5</v>
      </c>
      <c r="Q68" s="556">
        <v>2097.5000000000005</v>
      </c>
      <c r="R68" s="556">
        <v>419.50000000000011</v>
      </c>
      <c r="S68" s="555">
        <f t="shared" si="32"/>
        <v>1</v>
      </c>
      <c r="T68" s="648"/>
      <c r="U68" s="555">
        <v>5</v>
      </c>
      <c r="V68" s="556">
        <v>2085.333333333333</v>
      </c>
      <c r="W68" s="556">
        <v>417.06666666666661</v>
      </c>
      <c r="X68" s="555">
        <f t="shared" si="34"/>
        <v>2</v>
      </c>
      <c r="Y68" s="648"/>
      <c r="Z68" s="555">
        <v>5</v>
      </c>
      <c r="AA68" s="556">
        <v>2088.260869565217</v>
      </c>
      <c r="AB68" s="556">
        <v>417.65217391304338</v>
      </c>
      <c r="AC68" s="555">
        <f t="shared" si="36"/>
        <v>1</v>
      </c>
      <c r="AD68" s="648"/>
      <c r="AE68" s="555">
        <v>5</v>
      </c>
      <c r="AF68" s="556">
        <v>2098.4210526315796</v>
      </c>
      <c r="AG68" s="556">
        <v>419.68421052631595</v>
      </c>
      <c r="AH68" s="555">
        <f t="shared" si="38"/>
        <v>1</v>
      </c>
      <c r="AI68" s="648"/>
      <c r="AJ68" s="555">
        <v>5</v>
      </c>
      <c r="AK68" s="556">
        <v>2098.4210526315796</v>
      </c>
      <c r="AL68" s="556">
        <v>419.68421052631595</v>
      </c>
      <c r="AM68" s="555">
        <f t="shared" si="40"/>
        <v>2</v>
      </c>
      <c r="AN68" s="648"/>
      <c r="AO68" s="555">
        <v>5</v>
      </c>
      <c r="AP68" s="556">
        <v>2098.7755102040824</v>
      </c>
      <c r="AQ68" s="556">
        <v>419.7551020408165</v>
      </c>
      <c r="AR68" s="555">
        <f t="shared" si="42"/>
        <v>1</v>
      </c>
      <c r="AS68" s="648"/>
      <c r="AT68" s="555">
        <v>5</v>
      </c>
      <c r="AU68" s="556">
        <v>2078.9473684210525</v>
      </c>
      <c r="AV68" s="556">
        <v>415.78947368421052</v>
      </c>
      <c r="AW68" s="555">
        <f t="shared" si="44"/>
        <v>1</v>
      </c>
      <c r="AX68" s="648"/>
      <c r="AZ68" s="372" t="e">
        <f t="shared" si="46"/>
        <v>#N/A</v>
      </c>
      <c r="BA68" s="648"/>
    </row>
    <row r="69" spans="2:53">
      <c r="B69" s="646"/>
      <c r="C69" s="384">
        <v>3</v>
      </c>
      <c r="D69" s="355" t="s">
        <v>361</v>
      </c>
      <c r="E69" s="531">
        <v>12</v>
      </c>
      <c r="F69" s="531">
        <v>2118</v>
      </c>
      <c r="G69" s="531">
        <v>176.5</v>
      </c>
      <c r="H69" s="671"/>
      <c r="I69" s="385">
        <f t="shared" si="29"/>
        <v>12</v>
      </c>
      <c r="J69" s="385">
        <f t="shared" si="30"/>
        <v>2014.2056551759799</v>
      </c>
      <c r="K69" s="199">
        <f t="shared" si="31"/>
        <v>167.85047126466498</v>
      </c>
      <c r="L69" s="617"/>
      <c r="M69" s="389">
        <f>RANK(K69, K$67:$K$81)</f>
        <v>6</v>
      </c>
      <c r="N69" s="635"/>
      <c r="O69" s="635"/>
      <c r="P69" s="555">
        <v>12</v>
      </c>
      <c r="Q69" s="556">
        <v>2021.0526315789473</v>
      </c>
      <c r="R69" s="556">
        <v>168.42105263157893</v>
      </c>
      <c r="S69" s="555">
        <f t="shared" si="32"/>
        <v>6</v>
      </c>
      <c r="T69" s="648"/>
      <c r="U69" s="555">
        <v>12</v>
      </c>
      <c r="V69" s="556">
        <v>2038.8888888888885</v>
      </c>
      <c r="W69" s="556">
        <v>169.90740740740736</v>
      </c>
      <c r="X69" s="555">
        <f t="shared" si="34"/>
        <v>6</v>
      </c>
      <c r="Y69" s="648"/>
      <c r="Z69" s="555">
        <v>12</v>
      </c>
      <c r="AA69" s="556">
        <v>1999.6363636363633</v>
      </c>
      <c r="AB69" s="556">
        <v>166.6363636363636</v>
      </c>
      <c r="AC69" s="555">
        <f t="shared" si="36"/>
        <v>6</v>
      </c>
      <c r="AD69" s="648"/>
      <c r="AE69" s="555">
        <v>12</v>
      </c>
      <c r="AF69" s="556">
        <v>2010.0000000000005</v>
      </c>
      <c r="AG69" s="556">
        <v>167.50000000000003</v>
      </c>
      <c r="AH69" s="555">
        <f t="shared" si="38"/>
        <v>6</v>
      </c>
      <c r="AI69" s="648"/>
      <c r="AJ69" s="555">
        <v>12</v>
      </c>
      <c r="AK69" s="556">
        <v>2009.36170212766</v>
      </c>
      <c r="AL69" s="556">
        <v>167.44680851063833</v>
      </c>
      <c r="AM69" s="555">
        <f t="shared" si="40"/>
        <v>6</v>
      </c>
      <c r="AN69" s="648"/>
      <c r="AO69" s="555">
        <v>12</v>
      </c>
      <c r="AP69" s="556">
        <v>1987.9999999999991</v>
      </c>
      <c r="AQ69" s="556">
        <v>165.6666666666666</v>
      </c>
      <c r="AR69" s="555">
        <f t="shared" si="42"/>
        <v>6</v>
      </c>
      <c r="AS69" s="648"/>
      <c r="AT69" s="555">
        <v>12</v>
      </c>
      <c r="AU69" s="556">
        <v>2032.4999999999995</v>
      </c>
      <c r="AV69" s="556">
        <v>169.37499999999997</v>
      </c>
      <c r="AW69" s="555">
        <f t="shared" si="44"/>
        <v>6</v>
      </c>
      <c r="AX69" s="648"/>
      <c r="AZ69" s="372" t="e">
        <f t="shared" si="46"/>
        <v>#N/A</v>
      </c>
      <c r="BA69" s="648"/>
    </row>
    <row r="70" spans="2:53">
      <c r="B70" s="646"/>
      <c r="C70" s="384">
        <v>4</v>
      </c>
      <c r="D70" s="355" t="s">
        <v>577</v>
      </c>
      <c r="E70" s="531">
        <v>13</v>
      </c>
      <c r="F70" s="531">
        <v>2250</v>
      </c>
      <c r="G70" s="531">
        <v>173.1</v>
      </c>
      <c r="H70" s="671"/>
      <c r="I70" s="385">
        <f t="shared" si="29"/>
        <v>13</v>
      </c>
      <c r="J70" s="385">
        <f t="shared" si="30"/>
        <v>2125.9339172117866</v>
      </c>
      <c r="K70" s="199">
        <f t="shared" si="31"/>
        <v>163.53337824706051</v>
      </c>
      <c r="L70" s="617"/>
      <c r="M70" s="389">
        <f>RANK(K70, K$67:$K$81)</f>
        <v>7</v>
      </c>
      <c r="N70" s="635"/>
      <c r="O70" s="635"/>
      <c r="P70" s="555">
        <v>13</v>
      </c>
      <c r="Q70" s="556">
        <v>2114.117647058823</v>
      </c>
      <c r="R70" s="556">
        <v>162.62443438914022</v>
      </c>
      <c r="S70" s="555">
        <f t="shared" si="32"/>
        <v>7</v>
      </c>
      <c r="T70" s="648"/>
      <c r="U70" s="555">
        <v>13</v>
      </c>
      <c r="V70" s="556">
        <v>2142.439024390243</v>
      </c>
      <c r="W70" s="556">
        <v>164.80300187617254</v>
      </c>
      <c r="X70" s="555">
        <f t="shared" si="34"/>
        <v>8</v>
      </c>
      <c r="Y70" s="648"/>
      <c r="Z70" s="555">
        <v>13</v>
      </c>
      <c r="AA70" s="556">
        <v>2158.5542168674692</v>
      </c>
      <c r="AB70" s="556">
        <v>166.0426320667284</v>
      </c>
      <c r="AC70" s="555">
        <f t="shared" si="36"/>
        <v>7</v>
      </c>
      <c r="AD70" s="648"/>
      <c r="AE70" s="555">
        <v>13</v>
      </c>
      <c r="AF70" s="556">
        <v>2173.5211267605637</v>
      </c>
      <c r="AG70" s="556">
        <v>167.19393282773567</v>
      </c>
      <c r="AH70" s="555">
        <f t="shared" si="38"/>
        <v>7</v>
      </c>
      <c r="AI70" s="648"/>
      <c r="AJ70" s="555">
        <v>13</v>
      </c>
      <c r="AK70" s="556">
        <v>2145.4054054054063</v>
      </c>
      <c r="AL70" s="556">
        <v>165.03118503118509</v>
      </c>
      <c r="AM70" s="555">
        <f t="shared" si="40"/>
        <v>7</v>
      </c>
      <c r="AN70" s="648"/>
      <c r="AO70" s="555">
        <v>13</v>
      </c>
      <c r="AP70" s="556">
        <v>2086.4999999999991</v>
      </c>
      <c r="AQ70" s="556">
        <v>160.49999999999994</v>
      </c>
      <c r="AR70" s="555">
        <f t="shared" si="42"/>
        <v>7</v>
      </c>
      <c r="AS70" s="648"/>
      <c r="AT70" s="555">
        <v>13</v>
      </c>
      <c r="AU70" s="556">
        <v>2061.0000000000009</v>
      </c>
      <c r="AV70" s="556">
        <v>158.5384615384616</v>
      </c>
      <c r="AW70" s="555">
        <f t="shared" si="44"/>
        <v>8</v>
      </c>
      <c r="AX70" s="648"/>
      <c r="AZ70" s="372" t="e">
        <f t="shared" si="46"/>
        <v>#N/A</v>
      </c>
      <c r="BA70" s="648"/>
    </row>
    <row r="71" spans="2:53">
      <c r="B71" s="646"/>
      <c r="C71" s="384">
        <v>5</v>
      </c>
      <c r="D71" s="355" t="s">
        <v>362</v>
      </c>
      <c r="E71" s="531">
        <v>13</v>
      </c>
      <c r="F71" s="531">
        <v>2250</v>
      </c>
      <c r="G71" s="531">
        <v>173.1</v>
      </c>
      <c r="H71" s="671"/>
      <c r="I71" s="385">
        <f t="shared" si="29"/>
        <v>13</v>
      </c>
      <c r="J71" s="385">
        <f t="shared" si="30"/>
        <v>2115.9170773394781</v>
      </c>
      <c r="K71" s="199">
        <f t="shared" si="31"/>
        <v>162.76285210303675</v>
      </c>
      <c r="L71" s="617"/>
      <c r="M71" s="389">
        <f>RANK(K71, K$67:$K$81)</f>
        <v>8</v>
      </c>
      <c r="N71" s="635"/>
      <c r="O71" s="635"/>
      <c r="P71" s="555">
        <v>13</v>
      </c>
      <c r="Q71" s="556">
        <v>2113.4042553191484</v>
      </c>
      <c r="R71" s="556">
        <v>162.56955810147295</v>
      </c>
      <c r="S71" s="555">
        <f t="shared" si="32"/>
        <v>8</v>
      </c>
      <c r="T71" s="648"/>
      <c r="U71" s="555">
        <v>13</v>
      </c>
      <c r="V71" s="556">
        <v>2164.1379310344832</v>
      </c>
      <c r="W71" s="556">
        <v>166.47214854111411</v>
      </c>
      <c r="X71" s="555">
        <f t="shared" si="34"/>
        <v>7</v>
      </c>
      <c r="Y71" s="648"/>
      <c r="Z71" s="555">
        <v>13</v>
      </c>
      <c r="AA71" s="556">
        <v>2106.8965517241386</v>
      </c>
      <c r="AB71" s="556">
        <v>162.06896551724142</v>
      </c>
      <c r="AC71" s="555">
        <f t="shared" si="36"/>
        <v>8</v>
      </c>
      <c r="AD71" s="648"/>
      <c r="AE71" s="555">
        <v>13</v>
      </c>
      <c r="AF71" s="556">
        <v>2146.8493150684935</v>
      </c>
      <c r="AG71" s="556">
        <v>165.14225500526874</v>
      </c>
      <c r="AH71" s="555">
        <f t="shared" si="38"/>
        <v>8</v>
      </c>
      <c r="AI71" s="648"/>
      <c r="AJ71" s="555">
        <v>13</v>
      </c>
      <c r="AK71" s="556">
        <v>2137.6923076923085</v>
      </c>
      <c r="AL71" s="556">
        <v>164.43786982248528</v>
      </c>
      <c r="AM71" s="555">
        <f t="shared" si="40"/>
        <v>8</v>
      </c>
      <c r="AN71" s="648"/>
      <c r="AO71" s="555">
        <v>13</v>
      </c>
      <c r="AP71" s="556">
        <v>2077.6363636363649</v>
      </c>
      <c r="AQ71" s="556">
        <v>159.81818181818193</v>
      </c>
      <c r="AR71" s="555">
        <f t="shared" si="42"/>
        <v>8</v>
      </c>
      <c r="AS71" s="648"/>
      <c r="AT71" s="555">
        <v>13</v>
      </c>
      <c r="AU71" s="556">
        <v>2064.8028169014087</v>
      </c>
      <c r="AV71" s="556">
        <v>158.83098591549299</v>
      </c>
      <c r="AW71" s="555">
        <f t="shared" si="44"/>
        <v>7</v>
      </c>
      <c r="AX71" s="648"/>
      <c r="AZ71" s="372" t="e">
        <f t="shared" si="46"/>
        <v>#N/A</v>
      </c>
      <c r="BA71" s="648"/>
    </row>
    <row r="72" spans="2:53">
      <c r="B72" s="646"/>
      <c r="C72" s="384">
        <v>6</v>
      </c>
      <c r="D72" s="355" t="s">
        <v>363</v>
      </c>
      <c r="E72" s="531">
        <v>10</v>
      </c>
      <c r="F72" s="531">
        <v>2769</v>
      </c>
      <c r="G72" s="531">
        <v>276.89999999999998</v>
      </c>
      <c r="H72" s="671"/>
      <c r="I72" s="385">
        <f t="shared" si="29"/>
        <v>10</v>
      </c>
      <c r="J72" s="385">
        <f t="shared" si="30"/>
        <v>2338.9039680830115</v>
      </c>
      <c r="K72" s="199">
        <f t="shared" si="31"/>
        <v>233.89039680830115</v>
      </c>
      <c r="L72" s="617"/>
      <c r="M72" s="389">
        <f>RANK(K72, K$67:$K$81)</f>
        <v>4</v>
      </c>
      <c r="N72" s="635"/>
      <c r="O72" s="635"/>
      <c r="P72" s="555">
        <v>10</v>
      </c>
      <c r="Q72" s="556">
        <v>2298.3333333333317</v>
      </c>
      <c r="R72" s="556">
        <v>229.83333333333317</v>
      </c>
      <c r="S72" s="555">
        <f t="shared" si="32"/>
        <v>4</v>
      </c>
      <c r="T72" s="648"/>
      <c r="U72" s="555">
        <v>10</v>
      </c>
      <c r="V72" s="556">
        <v>2398.9090909090883</v>
      </c>
      <c r="W72" s="556">
        <v>239.89090909090882</v>
      </c>
      <c r="X72" s="555">
        <f t="shared" si="34"/>
        <v>4</v>
      </c>
      <c r="Y72" s="648"/>
      <c r="Z72" s="555">
        <v>10</v>
      </c>
      <c r="AA72" s="556">
        <v>2346.4615384615327</v>
      </c>
      <c r="AB72" s="556">
        <v>234.64615384615325</v>
      </c>
      <c r="AC72" s="555">
        <f t="shared" si="36"/>
        <v>4</v>
      </c>
      <c r="AD72" s="648"/>
      <c r="AE72" s="555">
        <v>10</v>
      </c>
      <c r="AF72" s="556">
        <v>2307.692307692309</v>
      </c>
      <c r="AG72" s="556">
        <v>230.76923076923089</v>
      </c>
      <c r="AH72" s="555">
        <f t="shared" si="38"/>
        <v>4</v>
      </c>
      <c r="AI72" s="648"/>
      <c r="AJ72" s="555">
        <v>10</v>
      </c>
      <c r="AK72" s="556">
        <v>2345.0322580645184</v>
      </c>
      <c r="AL72" s="556">
        <v>234.50322580645184</v>
      </c>
      <c r="AM72" s="555">
        <f t="shared" si="40"/>
        <v>4</v>
      </c>
      <c r="AN72" s="648"/>
      <c r="AO72" s="555">
        <v>10</v>
      </c>
      <c r="AP72" s="556">
        <v>2336.8421052631561</v>
      </c>
      <c r="AQ72" s="556">
        <v>233.68421052631561</v>
      </c>
      <c r="AR72" s="555">
        <f t="shared" si="42"/>
        <v>4</v>
      </c>
      <c r="AS72" s="648"/>
      <c r="AT72" s="555">
        <v>10</v>
      </c>
      <c r="AU72" s="556">
        <v>2339.0571428571443</v>
      </c>
      <c r="AV72" s="556">
        <v>233.90571428571442</v>
      </c>
      <c r="AW72" s="555">
        <f t="shared" si="44"/>
        <v>4</v>
      </c>
      <c r="AX72" s="648"/>
      <c r="AZ72" s="372" t="e">
        <f t="shared" si="46"/>
        <v>#N/A</v>
      </c>
      <c r="BA72" s="648"/>
    </row>
    <row r="73" spans="2:53">
      <c r="B73" s="646"/>
      <c r="C73" s="384">
        <v>7</v>
      </c>
      <c r="D73" s="355" t="s">
        <v>707</v>
      </c>
      <c r="E73" s="531">
        <v>11</v>
      </c>
      <c r="F73" s="531">
        <v>2250</v>
      </c>
      <c r="G73" s="531">
        <v>204.5</v>
      </c>
      <c r="H73" s="671"/>
      <c r="I73" s="385">
        <f t="shared" si="29"/>
        <v>11</v>
      </c>
      <c r="J73" s="385">
        <f t="shared" si="30"/>
        <v>2116.9217580456593</v>
      </c>
      <c r="K73" s="199">
        <f t="shared" si="31"/>
        <v>192.44743254960537</v>
      </c>
      <c r="L73" s="617"/>
      <c r="M73" s="389">
        <f>RANK(K73, K$67:$K$81)</f>
        <v>5</v>
      </c>
      <c r="N73" s="635"/>
      <c r="O73" s="635"/>
      <c r="P73" s="555">
        <v>11</v>
      </c>
      <c r="Q73" s="556">
        <v>2058.4615384615377</v>
      </c>
      <c r="R73" s="556">
        <v>187.13286713286706</v>
      </c>
      <c r="S73" s="555">
        <f t="shared" si="32"/>
        <v>5</v>
      </c>
      <c r="T73" s="648"/>
      <c r="U73" s="555">
        <v>11</v>
      </c>
      <c r="V73" s="556">
        <v>2152.4999999999982</v>
      </c>
      <c r="W73" s="556">
        <v>195.68181818181802</v>
      </c>
      <c r="X73" s="555">
        <f t="shared" si="34"/>
        <v>5</v>
      </c>
      <c r="Y73" s="648"/>
      <c r="Z73" s="555">
        <v>11</v>
      </c>
      <c r="AA73" s="556">
        <v>2185.199999999998</v>
      </c>
      <c r="AB73" s="556">
        <v>198.65454545454529</v>
      </c>
      <c r="AC73" s="555">
        <f t="shared" si="36"/>
        <v>5</v>
      </c>
      <c r="AD73" s="648"/>
      <c r="AE73" s="555">
        <v>11</v>
      </c>
      <c r="AF73" s="556">
        <v>2127.6164383561645</v>
      </c>
      <c r="AG73" s="556">
        <v>193.41967621419678</v>
      </c>
      <c r="AH73" s="555">
        <f t="shared" si="38"/>
        <v>5</v>
      </c>
      <c r="AI73" s="648"/>
      <c r="AJ73" s="555">
        <v>11</v>
      </c>
      <c r="AK73" s="556">
        <v>1993.9999999999984</v>
      </c>
      <c r="AL73" s="556">
        <v>181.27272727272714</v>
      </c>
      <c r="AM73" s="555">
        <f t="shared" si="40"/>
        <v>5</v>
      </c>
      <c r="AN73" s="648"/>
      <c r="AO73" s="555">
        <v>11</v>
      </c>
      <c r="AP73" s="556">
        <v>2185.7777777777792</v>
      </c>
      <c r="AQ73" s="556">
        <v>198.70707070707084</v>
      </c>
      <c r="AR73" s="555">
        <f t="shared" si="42"/>
        <v>5</v>
      </c>
      <c r="AS73" s="648"/>
      <c r="AT73" s="555">
        <v>11</v>
      </c>
      <c r="AU73" s="556">
        <v>2114.8965517241377</v>
      </c>
      <c r="AV73" s="556">
        <v>192.26332288401252</v>
      </c>
      <c r="AW73" s="555">
        <f t="shared" si="44"/>
        <v>5</v>
      </c>
      <c r="AX73" s="648"/>
      <c r="AZ73" s="372" t="e">
        <f t="shared" si="46"/>
        <v>#N/A</v>
      </c>
      <c r="BA73" s="648"/>
    </row>
    <row r="74" spans="2:53">
      <c r="B74" s="646"/>
      <c r="C74" s="384">
        <v>8</v>
      </c>
      <c r="D74" s="355" t="s">
        <v>359</v>
      </c>
      <c r="E74" s="531">
        <v>18</v>
      </c>
      <c r="F74" s="531">
        <v>1200</v>
      </c>
      <c r="G74" s="531">
        <v>66.666666666666671</v>
      </c>
      <c r="H74" s="671"/>
      <c r="I74" s="385">
        <f t="shared" si="29"/>
        <v>18.142857142857142</v>
      </c>
      <c r="J74" s="385">
        <f t="shared" si="30"/>
        <v>1196.8935863460822</v>
      </c>
      <c r="K74" s="199">
        <f t="shared" si="31"/>
        <v>65.979802416052181</v>
      </c>
      <c r="L74" s="617"/>
      <c r="M74" s="389">
        <f>RANK(K74, K$67:$K$81)</f>
        <v>9</v>
      </c>
      <c r="N74" s="635"/>
      <c r="O74" s="635"/>
      <c r="P74" s="555">
        <v>18</v>
      </c>
      <c r="Q74" s="556">
        <v>1180.76923076923</v>
      </c>
      <c r="R74" s="556">
        <v>65.598290598290561</v>
      </c>
      <c r="S74" s="555">
        <f t="shared" si="32"/>
        <v>9</v>
      </c>
      <c r="T74" s="648"/>
      <c r="U74" s="555">
        <v>19</v>
      </c>
      <c r="V74" s="556">
        <v>1231.1999999999991</v>
      </c>
      <c r="W74" s="556">
        <v>64.799999999999955</v>
      </c>
      <c r="X74" s="555">
        <f t="shared" si="34"/>
        <v>9</v>
      </c>
      <c r="Y74" s="648"/>
      <c r="Z74" s="555">
        <v>18</v>
      </c>
      <c r="AA74" s="556">
        <v>1214.1666666666658</v>
      </c>
      <c r="AB74" s="556">
        <v>67.453703703703653</v>
      </c>
      <c r="AC74" s="555">
        <f t="shared" si="36"/>
        <v>9</v>
      </c>
      <c r="AD74" s="648"/>
      <c r="AE74" s="555">
        <v>18</v>
      </c>
      <c r="AF74" s="556">
        <v>1155.4285714285729</v>
      </c>
      <c r="AG74" s="556">
        <v>64.190476190476275</v>
      </c>
      <c r="AH74" s="555">
        <f t="shared" si="38"/>
        <v>9</v>
      </c>
      <c r="AI74" s="648"/>
      <c r="AJ74" s="555">
        <v>18</v>
      </c>
      <c r="AK74" s="556">
        <v>1183.7142857142871</v>
      </c>
      <c r="AL74" s="556">
        <v>65.761904761904844</v>
      </c>
      <c r="AM74" s="555">
        <f t="shared" si="40"/>
        <v>9</v>
      </c>
      <c r="AN74" s="648"/>
      <c r="AO74" s="555">
        <v>18</v>
      </c>
      <c r="AP74" s="556">
        <v>1198.5185185185182</v>
      </c>
      <c r="AQ74" s="556">
        <v>66.584362139917687</v>
      </c>
      <c r="AR74" s="555">
        <f t="shared" si="42"/>
        <v>9</v>
      </c>
      <c r="AS74" s="648"/>
      <c r="AT74" s="555">
        <v>18</v>
      </c>
      <c r="AU74" s="556">
        <v>1214.4578313253007</v>
      </c>
      <c r="AV74" s="556">
        <v>67.469879518072261</v>
      </c>
      <c r="AW74" s="555">
        <f t="shared" si="44"/>
        <v>9</v>
      </c>
      <c r="AX74" s="648"/>
      <c r="AZ74" s="372" t="e">
        <f t="shared" si="46"/>
        <v>#N/A</v>
      </c>
      <c r="BA74" s="648"/>
    </row>
    <row r="75" spans="2:53">
      <c r="B75" s="646"/>
      <c r="C75" s="384">
        <v>9</v>
      </c>
      <c r="D75" s="355" t="s">
        <v>725</v>
      </c>
      <c r="E75" s="531">
        <v>7</v>
      </c>
      <c r="F75" s="531">
        <v>2200</v>
      </c>
      <c r="G75" s="531">
        <v>314.28571428571428</v>
      </c>
      <c r="H75" s="671"/>
      <c r="I75" s="385">
        <f t="shared" si="29"/>
        <v>7</v>
      </c>
      <c r="J75" s="385">
        <f t="shared" si="30"/>
        <v>2084.9321671010553</v>
      </c>
      <c r="K75" s="199">
        <f t="shared" si="31"/>
        <v>297.84745244300791</v>
      </c>
      <c r="L75" s="617"/>
      <c r="M75" s="389">
        <f>RANK(K75, K$67:$K$81)</f>
        <v>3</v>
      </c>
      <c r="N75" s="635"/>
      <c r="O75" s="635"/>
      <c r="P75" s="555">
        <v>7</v>
      </c>
      <c r="Q75" s="556">
        <v>2089.090909090909</v>
      </c>
      <c r="R75" s="556">
        <v>298.44155844155841</v>
      </c>
      <c r="S75" s="555">
        <f t="shared" si="32"/>
        <v>3</v>
      </c>
      <c r="T75" s="648"/>
      <c r="U75" s="555">
        <v>7</v>
      </c>
      <c r="V75" s="556">
        <v>2074.8387096774186</v>
      </c>
      <c r="W75" s="556">
        <v>296.40552995391693</v>
      </c>
      <c r="X75" s="555">
        <f t="shared" si="34"/>
        <v>3</v>
      </c>
      <c r="Y75" s="648"/>
      <c r="Z75" s="555">
        <v>7</v>
      </c>
      <c r="AA75" s="556">
        <v>2043.8709677419349</v>
      </c>
      <c r="AB75" s="556">
        <v>291.98156682027644</v>
      </c>
      <c r="AC75" s="555">
        <f t="shared" si="36"/>
        <v>3</v>
      </c>
      <c r="AD75" s="648"/>
      <c r="AE75" s="555">
        <v>7</v>
      </c>
      <c r="AF75" s="556">
        <v>2086.2857142857147</v>
      </c>
      <c r="AG75" s="556">
        <v>298.04081632653066</v>
      </c>
      <c r="AH75" s="555">
        <f t="shared" si="38"/>
        <v>3</v>
      </c>
      <c r="AI75" s="648"/>
      <c r="AJ75" s="555">
        <v>7</v>
      </c>
      <c r="AK75" s="556">
        <v>2153.6842105263163</v>
      </c>
      <c r="AL75" s="556">
        <v>307.66917293233092</v>
      </c>
      <c r="AM75" s="555">
        <f t="shared" si="40"/>
        <v>3</v>
      </c>
      <c r="AN75" s="648"/>
      <c r="AO75" s="555">
        <v>7</v>
      </c>
      <c r="AP75" s="556">
        <v>2047.8260869565217</v>
      </c>
      <c r="AQ75" s="556">
        <v>292.54658385093165</v>
      </c>
      <c r="AR75" s="555">
        <f t="shared" si="42"/>
        <v>3</v>
      </c>
      <c r="AS75" s="648"/>
      <c r="AT75" s="555">
        <v>7</v>
      </c>
      <c r="AU75" s="556">
        <v>2098.9285714285711</v>
      </c>
      <c r="AV75" s="556">
        <v>299.84693877551018</v>
      </c>
      <c r="AW75" s="555">
        <f t="shared" si="44"/>
        <v>3</v>
      </c>
      <c r="AX75" s="648"/>
      <c r="AZ75" s="372" t="e">
        <f t="shared" si="46"/>
        <v>#N/A</v>
      </c>
      <c r="BA75" s="648"/>
    </row>
    <row r="76" spans="2:53">
      <c r="B76" s="646"/>
      <c r="C76" s="384">
        <v>10</v>
      </c>
      <c r="D76" s="355"/>
      <c r="E76" s="531"/>
      <c r="F76" s="531"/>
      <c r="G76" s="531"/>
      <c r="H76" s="671"/>
      <c r="I76" s="385" t="str">
        <f t="shared" si="29"/>
        <v>-</v>
      </c>
      <c r="J76" s="385" t="str">
        <f t="shared" si="30"/>
        <v>-</v>
      </c>
      <c r="K76" s="199" t="str">
        <f t="shared" si="31"/>
        <v>-</v>
      </c>
      <c r="L76" s="617"/>
      <c r="M76" s="389" t="e">
        <f>RANK(K76, K$67:$K$81)</f>
        <v>#VALUE!</v>
      </c>
      <c r="N76" s="635"/>
      <c r="O76" s="635"/>
      <c r="P76" s="555" t="s">
        <v>592</v>
      </c>
      <c r="Q76" s="556" t="s">
        <v>592</v>
      </c>
      <c r="R76" s="556" t="s">
        <v>592</v>
      </c>
      <c r="S76" s="555" t="e">
        <f t="shared" si="32"/>
        <v>#VALUE!</v>
      </c>
      <c r="T76" s="648"/>
      <c r="U76" s="555" t="s">
        <v>592</v>
      </c>
      <c r="V76" s="556" t="s">
        <v>592</v>
      </c>
      <c r="W76" s="556" t="s">
        <v>592</v>
      </c>
      <c r="X76" s="555" t="e">
        <f t="shared" si="34"/>
        <v>#VALUE!</v>
      </c>
      <c r="Y76" s="648"/>
      <c r="Z76" s="555" t="s">
        <v>592</v>
      </c>
      <c r="AA76" s="556" t="s">
        <v>592</v>
      </c>
      <c r="AB76" s="556" t="s">
        <v>592</v>
      </c>
      <c r="AC76" s="555" t="e">
        <f t="shared" si="36"/>
        <v>#VALUE!</v>
      </c>
      <c r="AD76" s="648"/>
      <c r="AE76" s="555" t="s">
        <v>592</v>
      </c>
      <c r="AF76" s="556" t="s">
        <v>592</v>
      </c>
      <c r="AG76" s="556" t="s">
        <v>592</v>
      </c>
      <c r="AH76" s="555" t="e">
        <f t="shared" si="38"/>
        <v>#VALUE!</v>
      </c>
      <c r="AI76" s="648"/>
      <c r="AJ76" s="555" t="s">
        <v>592</v>
      </c>
      <c r="AK76" s="556" t="s">
        <v>592</v>
      </c>
      <c r="AL76" s="556" t="s">
        <v>592</v>
      </c>
      <c r="AM76" s="555" t="e">
        <f t="shared" si="40"/>
        <v>#VALUE!</v>
      </c>
      <c r="AN76" s="648"/>
      <c r="AO76" s="555" t="s">
        <v>592</v>
      </c>
      <c r="AP76" s="556" t="s">
        <v>592</v>
      </c>
      <c r="AQ76" s="556" t="s">
        <v>592</v>
      </c>
      <c r="AR76" s="555" t="e">
        <f t="shared" si="42"/>
        <v>#VALUE!</v>
      </c>
      <c r="AS76" s="648"/>
      <c r="AT76" s="555" t="s">
        <v>592</v>
      </c>
      <c r="AU76" s="556" t="s">
        <v>592</v>
      </c>
      <c r="AV76" s="556" t="s">
        <v>592</v>
      </c>
      <c r="AW76" s="555" t="e">
        <f t="shared" si="44"/>
        <v>#VALUE!</v>
      </c>
      <c r="AX76" s="648"/>
      <c r="AZ76" s="372" t="e">
        <f t="shared" si="46"/>
        <v>#N/A</v>
      </c>
      <c r="BA76" s="648"/>
    </row>
    <row r="77" spans="2:53">
      <c r="B77" s="646"/>
      <c r="C77" s="384">
        <v>11</v>
      </c>
      <c r="D77" s="355"/>
      <c r="E77" s="531"/>
      <c r="F77" s="531"/>
      <c r="G77" s="531"/>
      <c r="H77" s="671"/>
      <c r="I77" s="385" t="str">
        <f t="shared" si="29"/>
        <v>-</v>
      </c>
      <c r="J77" s="385" t="str">
        <f t="shared" si="30"/>
        <v>-</v>
      </c>
      <c r="K77" s="199" t="str">
        <f t="shared" si="31"/>
        <v>-</v>
      </c>
      <c r="L77" s="617"/>
      <c r="M77" s="389" t="e">
        <f>RANK(K77, K$67:$K$81)</f>
        <v>#VALUE!</v>
      </c>
      <c r="N77" s="635"/>
      <c r="O77" s="635"/>
      <c r="P77" s="555" t="s">
        <v>592</v>
      </c>
      <c r="Q77" s="556" t="s">
        <v>592</v>
      </c>
      <c r="R77" s="556" t="s">
        <v>592</v>
      </c>
      <c r="S77" s="555" t="e">
        <f t="shared" si="32"/>
        <v>#VALUE!</v>
      </c>
      <c r="T77" s="648"/>
      <c r="U77" s="555" t="s">
        <v>592</v>
      </c>
      <c r="V77" s="556" t="s">
        <v>592</v>
      </c>
      <c r="W77" s="556" t="s">
        <v>592</v>
      </c>
      <c r="X77" s="555" t="e">
        <f t="shared" si="34"/>
        <v>#VALUE!</v>
      </c>
      <c r="Y77" s="648"/>
      <c r="Z77" s="555" t="s">
        <v>592</v>
      </c>
      <c r="AA77" s="556" t="s">
        <v>592</v>
      </c>
      <c r="AB77" s="556" t="s">
        <v>592</v>
      </c>
      <c r="AC77" s="555" t="e">
        <f t="shared" si="36"/>
        <v>#VALUE!</v>
      </c>
      <c r="AD77" s="648"/>
      <c r="AE77" s="555" t="s">
        <v>592</v>
      </c>
      <c r="AF77" s="556" t="s">
        <v>592</v>
      </c>
      <c r="AG77" s="556" t="s">
        <v>592</v>
      </c>
      <c r="AH77" s="555" t="e">
        <f t="shared" si="38"/>
        <v>#VALUE!</v>
      </c>
      <c r="AI77" s="648"/>
      <c r="AJ77" s="555" t="s">
        <v>592</v>
      </c>
      <c r="AK77" s="556" t="s">
        <v>592</v>
      </c>
      <c r="AL77" s="556" t="s">
        <v>592</v>
      </c>
      <c r="AM77" s="555" t="e">
        <f t="shared" si="40"/>
        <v>#VALUE!</v>
      </c>
      <c r="AN77" s="648"/>
      <c r="AO77" s="555" t="s">
        <v>592</v>
      </c>
      <c r="AP77" s="556" t="s">
        <v>592</v>
      </c>
      <c r="AQ77" s="556" t="s">
        <v>592</v>
      </c>
      <c r="AR77" s="555" t="e">
        <f t="shared" si="42"/>
        <v>#VALUE!</v>
      </c>
      <c r="AS77" s="648"/>
      <c r="AT77" s="555" t="s">
        <v>592</v>
      </c>
      <c r="AU77" s="556" t="s">
        <v>592</v>
      </c>
      <c r="AV77" s="556" t="s">
        <v>592</v>
      </c>
      <c r="AW77" s="555" t="e">
        <f t="shared" si="44"/>
        <v>#VALUE!</v>
      </c>
      <c r="AX77" s="648"/>
      <c r="AZ77" s="372" t="e">
        <f t="shared" si="46"/>
        <v>#N/A</v>
      </c>
      <c r="BA77" s="648"/>
    </row>
    <row r="78" spans="2:53">
      <c r="B78" s="646"/>
      <c r="C78" s="384">
        <v>12</v>
      </c>
      <c r="D78" s="355"/>
      <c r="E78" s="531"/>
      <c r="F78" s="531"/>
      <c r="G78" s="531"/>
      <c r="H78" s="671"/>
      <c r="I78" s="385" t="str">
        <f t="shared" si="29"/>
        <v>-</v>
      </c>
      <c r="J78" s="385" t="str">
        <f t="shared" si="30"/>
        <v>-</v>
      </c>
      <c r="K78" s="199" t="str">
        <f t="shared" si="31"/>
        <v>-</v>
      </c>
      <c r="L78" s="617"/>
      <c r="M78" s="389" t="e">
        <f>RANK(K78, K$67:$K$81)</f>
        <v>#VALUE!</v>
      </c>
      <c r="N78" s="635"/>
      <c r="O78" s="635"/>
      <c r="P78" s="555" t="s">
        <v>592</v>
      </c>
      <c r="Q78" s="556" t="s">
        <v>592</v>
      </c>
      <c r="R78" s="556" t="s">
        <v>592</v>
      </c>
      <c r="S78" s="555" t="e">
        <f t="shared" si="32"/>
        <v>#VALUE!</v>
      </c>
      <c r="T78" s="648"/>
      <c r="U78" s="555" t="s">
        <v>592</v>
      </c>
      <c r="V78" s="556" t="s">
        <v>592</v>
      </c>
      <c r="W78" s="556" t="s">
        <v>592</v>
      </c>
      <c r="X78" s="555" t="e">
        <f t="shared" si="34"/>
        <v>#VALUE!</v>
      </c>
      <c r="Y78" s="648"/>
      <c r="Z78" s="555" t="s">
        <v>592</v>
      </c>
      <c r="AA78" s="556" t="s">
        <v>592</v>
      </c>
      <c r="AB78" s="556" t="s">
        <v>592</v>
      </c>
      <c r="AC78" s="555" t="e">
        <f t="shared" si="36"/>
        <v>#VALUE!</v>
      </c>
      <c r="AD78" s="648"/>
      <c r="AE78" s="555" t="s">
        <v>592</v>
      </c>
      <c r="AF78" s="556" t="s">
        <v>592</v>
      </c>
      <c r="AG78" s="556" t="s">
        <v>592</v>
      </c>
      <c r="AH78" s="555" t="e">
        <f t="shared" si="38"/>
        <v>#VALUE!</v>
      </c>
      <c r="AI78" s="648"/>
      <c r="AJ78" s="555" t="s">
        <v>592</v>
      </c>
      <c r="AK78" s="556" t="s">
        <v>592</v>
      </c>
      <c r="AL78" s="556" t="s">
        <v>592</v>
      </c>
      <c r="AM78" s="555" t="e">
        <f t="shared" si="40"/>
        <v>#VALUE!</v>
      </c>
      <c r="AN78" s="648"/>
      <c r="AO78" s="555" t="s">
        <v>592</v>
      </c>
      <c r="AP78" s="556" t="s">
        <v>592</v>
      </c>
      <c r="AQ78" s="556" t="s">
        <v>592</v>
      </c>
      <c r="AR78" s="555" t="e">
        <f t="shared" si="42"/>
        <v>#VALUE!</v>
      </c>
      <c r="AS78" s="648"/>
      <c r="AT78" s="555" t="s">
        <v>592</v>
      </c>
      <c r="AU78" s="556" t="s">
        <v>592</v>
      </c>
      <c r="AV78" s="556" t="s">
        <v>592</v>
      </c>
      <c r="AW78" s="555" t="e">
        <f t="shared" si="44"/>
        <v>#VALUE!</v>
      </c>
      <c r="AX78" s="648"/>
      <c r="AZ78" s="372" t="e">
        <f t="shared" si="46"/>
        <v>#N/A</v>
      </c>
      <c r="BA78" s="648"/>
    </row>
    <row r="79" spans="2:53">
      <c r="B79" s="646"/>
      <c r="C79" s="384">
        <v>13</v>
      </c>
      <c r="D79" s="355"/>
      <c r="E79" s="531"/>
      <c r="F79" s="531"/>
      <c r="G79" s="531"/>
      <c r="H79" s="671"/>
      <c r="I79" s="385" t="str">
        <f t="shared" si="29"/>
        <v>-</v>
      </c>
      <c r="J79" s="385" t="str">
        <f t="shared" si="30"/>
        <v>-</v>
      </c>
      <c r="K79" s="199" t="str">
        <f t="shared" si="31"/>
        <v>-</v>
      </c>
      <c r="L79" s="617"/>
      <c r="M79" s="389" t="e">
        <f>RANK(K79, K$67:$K$81)</f>
        <v>#VALUE!</v>
      </c>
      <c r="N79" s="635"/>
      <c r="O79" s="635"/>
      <c r="P79" s="555" t="s">
        <v>592</v>
      </c>
      <c r="Q79" s="556" t="s">
        <v>592</v>
      </c>
      <c r="R79" s="556" t="s">
        <v>592</v>
      </c>
      <c r="S79" s="555" t="e">
        <f t="shared" si="32"/>
        <v>#VALUE!</v>
      </c>
      <c r="T79" s="648"/>
      <c r="U79" s="555" t="s">
        <v>592</v>
      </c>
      <c r="V79" s="556" t="s">
        <v>592</v>
      </c>
      <c r="W79" s="556" t="s">
        <v>592</v>
      </c>
      <c r="X79" s="555" t="e">
        <f t="shared" si="34"/>
        <v>#VALUE!</v>
      </c>
      <c r="Y79" s="648"/>
      <c r="Z79" s="555" t="s">
        <v>592</v>
      </c>
      <c r="AA79" s="556" t="s">
        <v>592</v>
      </c>
      <c r="AB79" s="556" t="s">
        <v>592</v>
      </c>
      <c r="AC79" s="555" t="e">
        <f t="shared" si="36"/>
        <v>#VALUE!</v>
      </c>
      <c r="AD79" s="648"/>
      <c r="AE79" s="555" t="s">
        <v>592</v>
      </c>
      <c r="AF79" s="556" t="s">
        <v>592</v>
      </c>
      <c r="AG79" s="556" t="s">
        <v>592</v>
      </c>
      <c r="AH79" s="555" t="e">
        <f t="shared" si="38"/>
        <v>#VALUE!</v>
      </c>
      <c r="AI79" s="648"/>
      <c r="AJ79" s="555" t="s">
        <v>592</v>
      </c>
      <c r="AK79" s="556" t="s">
        <v>592</v>
      </c>
      <c r="AL79" s="556" t="s">
        <v>592</v>
      </c>
      <c r="AM79" s="555" t="e">
        <f t="shared" si="40"/>
        <v>#VALUE!</v>
      </c>
      <c r="AN79" s="648"/>
      <c r="AO79" s="555" t="s">
        <v>592</v>
      </c>
      <c r="AP79" s="556" t="s">
        <v>592</v>
      </c>
      <c r="AQ79" s="556" t="s">
        <v>592</v>
      </c>
      <c r="AR79" s="555" t="e">
        <f t="shared" si="42"/>
        <v>#VALUE!</v>
      </c>
      <c r="AS79" s="648"/>
      <c r="AT79" s="555" t="s">
        <v>592</v>
      </c>
      <c r="AU79" s="556" t="s">
        <v>592</v>
      </c>
      <c r="AV79" s="556" t="s">
        <v>592</v>
      </c>
      <c r="AW79" s="555" t="e">
        <f t="shared" si="44"/>
        <v>#VALUE!</v>
      </c>
      <c r="AX79" s="648"/>
      <c r="AZ79" s="372" t="e">
        <f t="shared" si="46"/>
        <v>#N/A</v>
      </c>
      <c r="BA79" s="648"/>
    </row>
    <row r="80" spans="2:53">
      <c r="B80" s="646"/>
      <c r="C80" s="384">
        <v>14</v>
      </c>
      <c r="D80" s="355"/>
      <c r="E80" s="531"/>
      <c r="F80" s="531"/>
      <c r="G80" s="531"/>
      <c r="H80" s="671"/>
      <c r="I80" s="385" t="str">
        <f t="shared" si="29"/>
        <v>-</v>
      </c>
      <c r="J80" s="385" t="str">
        <f t="shared" si="30"/>
        <v>-</v>
      </c>
      <c r="K80" s="199" t="str">
        <f t="shared" si="31"/>
        <v>-</v>
      </c>
      <c r="L80" s="617"/>
      <c r="M80" s="389" t="e">
        <f>RANK(K80, K$67:$K$81)</f>
        <v>#VALUE!</v>
      </c>
      <c r="N80" s="635"/>
      <c r="O80" s="635"/>
      <c r="P80" s="555" t="s">
        <v>592</v>
      </c>
      <c r="Q80" s="556" t="s">
        <v>592</v>
      </c>
      <c r="R80" s="556" t="s">
        <v>592</v>
      </c>
      <c r="S80" s="555" t="e">
        <f t="shared" si="32"/>
        <v>#VALUE!</v>
      </c>
      <c r="T80" s="648"/>
      <c r="U80" s="555" t="s">
        <v>592</v>
      </c>
      <c r="V80" s="556" t="s">
        <v>592</v>
      </c>
      <c r="W80" s="556" t="s">
        <v>592</v>
      </c>
      <c r="X80" s="555" t="e">
        <f t="shared" si="34"/>
        <v>#VALUE!</v>
      </c>
      <c r="Y80" s="648"/>
      <c r="Z80" s="555" t="s">
        <v>592</v>
      </c>
      <c r="AA80" s="556" t="s">
        <v>592</v>
      </c>
      <c r="AB80" s="556" t="s">
        <v>592</v>
      </c>
      <c r="AC80" s="555" t="e">
        <f t="shared" si="36"/>
        <v>#VALUE!</v>
      </c>
      <c r="AD80" s="648"/>
      <c r="AE80" s="555" t="s">
        <v>592</v>
      </c>
      <c r="AF80" s="556" t="s">
        <v>592</v>
      </c>
      <c r="AG80" s="556" t="s">
        <v>592</v>
      </c>
      <c r="AH80" s="555" t="e">
        <f t="shared" si="38"/>
        <v>#VALUE!</v>
      </c>
      <c r="AI80" s="648"/>
      <c r="AJ80" s="555" t="s">
        <v>592</v>
      </c>
      <c r="AK80" s="556" t="s">
        <v>592</v>
      </c>
      <c r="AL80" s="556" t="s">
        <v>592</v>
      </c>
      <c r="AM80" s="555" t="e">
        <f t="shared" si="40"/>
        <v>#VALUE!</v>
      </c>
      <c r="AN80" s="648"/>
      <c r="AO80" s="555" t="s">
        <v>592</v>
      </c>
      <c r="AP80" s="556" t="s">
        <v>592</v>
      </c>
      <c r="AQ80" s="556" t="s">
        <v>592</v>
      </c>
      <c r="AR80" s="555" t="e">
        <f t="shared" si="42"/>
        <v>#VALUE!</v>
      </c>
      <c r="AS80" s="648"/>
      <c r="AT80" s="555" t="s">
        <v>592</v>
      </c>
      <c r="AU80" s="556" t="s">
        <v>592</v>
      </c>
      <c r="AV80" s="556" t="s">
        <v>592</v>
      </c>
      <c r="AW80" s="555" t="e">
        <f t="shared" si="44"/>
        <v>#VALUE!</v>
      </c>
      <c r="AX80" s="648"/>
      <c r="AZ80" s="372" t="e">
        <f t="shared" si="46"/>
        <v>#N/A</v>
      </c>
      <c r="BA80" s="648"/>
    </row>
    <row r="81" spans="2:53">
      <c r="B81" s="646"/>
      <c r="C81" s="384">
        <v>15</v>
      </c>
      <c r="D81" s="355"/>
      <c r="E81" s="531"/>
      <c r="F81" s="531"/>
      <c r="G81" s="531"/>
      <c r="H81" s="680"/>
      <c r="I81" s="389"/>
      <c r="J81" s="389"/>
      <c r="K81" s="386"/>
      <c r="L81" s="618"/>
      <c r="M81" s="389" t="e">
        <f>RANK(K81, K$67:$K$81)</f>
        <v>#N/A</v>
      </c>
      <c r="N81" s="635"/>
      <c r="O81" s="635"/>
      <c r="P81" s="555" t="s">
        <v>592</v>
      </c>
      <c r="Q81" s="556" t="s">
        <v>592</v>
      </c>
      <c r="R81" s="556" t="s">
        <v>592</v>
      </c>
      <c r="S81" s="555" t="e">
        <f t="shared" si="32"/>
        <v>#VALUE!</v>
      </c>
      <c r="T81" s="649"/>
      <c r="U81" s="555" t="s">
        <v>592</v>
      </c>
      <c r="V81" s="556" t="s">
        <v>592</v>
      </c>
      <c r="W81" s="556" t="s">
        <v>592</v>
      </c>
      <c r="X81" s="555" t="e">
        <f t="shared" si="34"/>
        <v>#VALUE!</v>
      </c>
      <c r="Y81" s="649"/>
      <c r="Z81" s="555" t="s">
        <v>592</v>
      </c>
      <c r="AA81" s="556" t="s">
        <v>592</v>
      </c>
      <c r="AB81" s="556" t="s">
        <v>592</v>
      </c>
      <c r="AC81" s="555" t="e">
        <f t="shared" si="36"/>
        <v>#VALUE!</v>
      </c>
      <c r="AD81" s="649"/>
      <c r="AE81" s="555" t="s">
        <v>592</v>
      </c>
      <c r="AF81" s="556" t="s">
        <v>592</v>
      </c>
      <c r="AG81" s="556" t="s">
        <v>592</v>
      </c>
      <c r="AH81" s="555" t="e">
        <f t="shared" si="38"/>
        <v>#VALUE!</v>
      </c>
      <c r="AI81" s="649"/>
      <c r="AJ81" s="555" t="s">
        <v>592</v>
      </c>
      <c r="AK81" s="556" t="s">
        <v>592</v>
      </c>
      <c r="AL81" s="556" t="s">
        <v>592</v>
      </c>
      <c r="AM81" s="555" t="e">
        <f t="shared" si="40"/>
        <v>#VALUE!</v>
      </c>
      <c r="AN81" s="649"/>
      <c r="AO81" s="555" t="s">
        <v>592</v>
      </c>
      <c r="AP81" s="556" t="s">
        <v>592</v>
      </c>
      <c r="AQ81" s="556" t="s">
        <v>592</v>
      </c>
      <c r="AR81" s="555" t="e">
        <f t="shared" si="42"/>
        <v>#VALUE!</v>
      </c>
      <c r="AS81" s="649"/>
      <c r="AT81" s="555" t="s">
        <v>592</v>
      </c>
      <c r="AU81" s="556" t="s">
        <v>592</v>
      </c>
      <c r="AV81" s="556" t="s">
        <v>592</v>
      </c>
      <c r="AW81" s="555" t="e">
        <f t="shared" si="44"/>
        <v>#VALUE!</v>
      </c>
      <c r="AX81" s="649"/>
      <c r="AZ81" s="372" t="e">
        <f t="shared" si="46"/>
        <v>#N/A</v>
      </c>
      <c r="BA81" s="649"/>
    </row>
    <row r="82" spans="2:53" ht="15.75">
      <c r="B82" s="650" t="s">
        <v>162</v>
      </c>
      <c r="C82" s="651"/>
      <c r="D82" s="651"/>
      <c r="E82" s="651"/>
      <c r="F82" s="651"/>
      <c r="G82" s="651"/>
      <c r="H82" s="652"/>
      <c r="I82" s="207"/>
      <c r="J82" s="207"/>
      <c r="K82" s="207"/>
      <c r="L82" s="207"/>
      <c r="M82" s="206"/>
      <c r="N82" s="639" t="s">
        <v>156</v>
      </c>
      <c r="O82" s="639" t="s">
        <v>105</v>
      </c>
      <c r="P82" s="645">
        <f>P62+7</f>
        <v>46231</v>
      </c>
      <c r="Q82" s="646"/>
      <c r="R82" s="646"/>
      <c r="S82" s="646"/>
      <c r="T82" s="646"/>
      <c r="U82" s="642">
        <f>P82+1</f>
        <v>46232</v>
      </c>
      <c r="V82" s="643"/>
      <c r="W82" s="643"/>
      <c r="X82" s="643"/>
      <c r="Y82" s="644"/>
      <c r="Z82" s="642">
        <f>U82+1</f>
        <v>46233</v>
      </c>
      <c r="AA82" s="643"/>
      <c r="AB82" s="643"/>
      <c r="AC82" s="643"/>
      <c r="AD82" s="644"/>
      <c r="AE82" s="642">
        <f>Z82+1</f>
        <v>46234</v>
      </c>
      <c r="AF82" s="643"/>
      <c r="AG82" s="643"/>
      <c r="AH82" s="643"/>
      <c r="AI82" s="644"/>
      <c r="AJ82" s="642">
        <f>AE82+1</f>
        <v>46235</v>
      </c>
      <c r="AK82" s="643"/>
      <c r="AL82" s="643"/>
      <c r="AM82" s="643"/>
      <c r="AN82" s="644"/>
      <c r="AO82" s="642">
        <f>AJ82+1</f>
        <v>46236</v>
      </c>
      <c r="AP82" s="643"/>
      <c r="AQ82" s="643"/>
      <c r="AR82" s="643"/>
      <c r="AS82" s="644"/>
      <c r="AT82" s="642">
        <f>AO82+1</f>
        <v>46237</v>
      </c>
      <c r="AU82" s="643"/>
      <c r="AV82" s="643"/>
      <c r="AW82" s="643"/>
      <c r="AX82" s="644"/>
    </row>
    <row r="83" spans="2:53" ht="15.75">
      <c r="B83" s="653"/>
      <c r="C83" s="653"/>
      <c r="D83" s="653"/>
      <c r="E83" s="653"/>
      <c r="F83" s="653"/>
      <c r="G83" s="653"/>
      <c r="H83" s="653"/>
      <c r="I83" s="204"/>
      <c r="J83" s="204"/>
      <c r="K83" s="204"/>
      <c r="L83" s="204"/>
      <c r="M83" s="205"/>
      <c r="N83" s="641"/>
      <c r="O83" s="641"/>
      <c r="P83" s="645" t="s">
        <v>317</v>
      </c>
      <c r="Q83" s="646"/>
      <c r="R83" s="646"/>
      <c r="S83" s="646"/>
      <c r="T83" s="646"/>
      <c r="U83" s="645" t="s">
        <v>318</v>
      </c>
      <c r="V83" s="646"/>
      <c r="W83" s="646"/>
      <c r="X83" s="646"/>
      <c r="Y83" s="646"/>
      <c r="Z83" s="645" t="s">
        <v>319</v>
      </c>
      <c r="AA83" s="646"/>
      <c r="AB83" s="646"/>
      <c r="AC83" s="646"/>
      <c r="AD83" s="646"/>
      <c r="AE83" s="645" t="s">
        <v>320</v>
      </c>
      <c r="AF83" s="646"/>
      <c r="AG83" s="646"/>
      <c r="AH83" s="646"/>
      <c r="AI83" s="646"/>
      <c r="AJ83" s="645" t="s">
        <v>321</v>
      </c>
      <c r="AK83" s="646"/>
      <c r="AL83" s="646"/>
      <c r="AM83" s="646"/>
      <c r="AN83" s="646"/>
      <c r="AO83" s="645" t="s">
        <v>322</v>
      </c>
      <c r="AP83" s="646"/>
      <c r="AQ83" s="646"/>
      <c r="AR83" s="646"/>
      <c r="AS83" s="646"/>
      <c r="AT83" s="645" t="s">
        <v>323</v>
      </c>
      <c r="AU83" s="646"/>
      <c r="AV83" s="646"/>
      <c r="AW83" s="646"/>
      <c r="AX83" s="646"/>
    </row>
    <row r="84" spans="2:53">
      <c r="B84" s="635" t="s">
        <v>392</v>
      </c>
      <c r="C84" s="635" t="s">
        <v>382</v>
      </c>
      <c r="D84" s="635"/>
      <c r="E84" s="635" t="s">
        <v>373</v>
      </c>
      <c r="F84" s="635"/>
      <c r="G84" s="635"/>
      <c r="H84" s="636" t="s">
        <v>369</v>
      </c>
      <c r="I84" s="635" t="s">
        <v>374</v>
      </c>
      <c r="J84" s="635"/>
      <c r="K84" s="635"/>
      <c r="L84" s="636" t="s">
        <v>369</v>
      </c>
      <c r="M84" s="639" t="s">
        <v>370</v>
      </c>
      <c r="N84" s="635"/>
      <c r="O84" s="635" t="s">
        <v>375</v>
      </c>
      <c r="P84" s="632" t="s">
        <v>371</v>
      </c>
      <c r="Q84" s="633"/>
      <c r="R84" s="633"/>
      <c r="S84" s="634"/>
      <c r="T84" s="635" t="s">
        <v>369</v>
      </c>
      <c r="U84" s="632" t="s">
        <v>371</v>
      </c>
      <c r="V84" s="633"/>
      <c r="W84" s="633"/>
      <c r="X84" s="634"/>
      <c r="Y84" s="635" t="s">
        <v>369</v>
      </c>
      <c r="Z84" s="632" t="s">
        <v>371</v>
      </c>
      <c r="AA84" s="633"/>
      <c r="AB84" s="633"/>
      <c r="AC84" s="634"/>
      <c r="AD84" s="635" t="s">
        <v>369</v>
      </c>
      <c r="AE84" s="632" t="s">
        <v>371</v>
      </c>
      <c r="AF84" s="633"/>
      <c r="AG84" s="633"/>
      <c r="AH84" s="634"/>
      <c r="AI84" s="635" t="s">
        <v>369</v>
      </c>
      <c r="AJ84" s="632" t="s">
        <v>371</v>
      </c>
      <c r="AK84" s="633"/>
      <c r="AL84" s="633"/>
      <c r="AM84" s="634"/>
      <c r="AN84" s="635" t="s">
        <v>369</v>
      </c>
      <c r="AO84" s="632" t="s">
        <v>371</v>
      </c>
      <c r="AP84" s="633"/>
      <c r="AQ84" s="633"/>
      <c r="AR84" s="634"/>
      <c r="AS84" s="635" t="s">
        <v>369</v>
      </c>
      <c r="AT84" s="632" t="s">
        <v>371</v>
      </c>
      <c r="AU84" s="633"/>
      <c r="AV84" s="633"/>
      <c r="AW84" s="634"/>
      <c r="AX84" s="635" t="s">
        <v>369</v>
      </c>
      <c r="BA84" s="635" t="s">
        <v>369</v>
      </c>
    </row>
    <row r="85" spans="2:53">
      <c r="B85" s="635"/>
      <c r="C85" s="635"/>
      <c r="D85" s="635"/>
      <c r="E85" s="635" t="s">
        <v>376</v>
      </c>
      <c r="F85" s="635"/>
      <c r="G85" s="635"/>
      <c r="H85" s="637"/>
      <c r="I85" s="635" t="s">
        <v>376</v>
      </c>
      <c r="J85" s="635"/>
      <c r="K85" s="635"/>
      <c r="L85" s="637"/>
      <c r="M85" s="640"/>
      <c r="N85" s="635"/>
      <c r="O85" s="635"/>
      <c r="P85" s="632" t="s">
        <v>377</v>
      </c>
      <c r="Q85" s="633"/>
      <c r="R85" s="633"/>
      <c r="S85" s="634"/>
      <c r="T85" s="635"/>
      <c r="U85" s="632" t="s">
        <v>377</v>
      </c>
      <c r="V85" s="633"/>
      <c r="W85" s="633"/>
      <c r="X85" s="634"/>
      <c r="Y85" s="635"/>
      <c r="Z85" s="632" t="s">
        <v>377</v>
      </c>
      <c r="AA85" s="633"/>
      <c r="AB85" s="633"/>
      <c r="AC85" s="634"/>
      <c r="AD85" s="635"/>
      <c r="AE85" s="632" t="s">
        <v>377</v>
      </c>
      <c r="AF85" s="633"/>
      <c r="AG85" s="633"/>
      <c r="AH85" s="634"/>
      <c r="AI85" s="635"/>
      <c r="AJ85" s="632" t="s">
        <v>377</v>
      </c>
      <c r="AK85" s="633"/>
      <c r="AL85" s="633"/>
      <c r="AM85" s="634"/>
      <c r="AN85" s="635"/>
      <c r="AO85" s="632" t="s">
        <v>377</v>
      </c>
      <c r="AP85" s="633"/>
      <c r="AQ85" s="633"/>
      <c r="AR85" s="634"/>
      <c r="AS85" s="635"/>
      <c r="AT85" s="632" t="s">
        <v>377</v>
      </c>
      <c r="AU85" s="633"/>
      <c r="AV85" s="633"/>
      <c r="AW85" s="634"/>
      <c r="AX85" s="635"/>
      <c r="BA85" s="635"/>
    </row>
    <row r="86" spans="2:53">
      <c r="B86" s="635"/>
      <c r="C86" s="635"/>
      <c r="D86" s="635"/>
      <c r="E86" s="382" t="s">
        <v>378</v>
      </c>
      <c r="F86" s="382" t="s">
        <v>379</v>
      </c>
      <c r="G86" s="382" t="s">
        <v>380</v>
      </c>
      <c r="H86" s="638"/>
      <c r="I86" s="382" t="s">
        <v>378</v>
      </c>
      <c r="J86" s="382" t="s">
        <v>379</v>
      </c>
      <c r="K86" s="382" t="s">
        <v>380</v>
      </c>
      <c r="L86" s="638"/>
      <c r="M86" s="641"/>
      <c r="N86" s="635"/>
      <c r="O86" s="635"/>
      <c r="P86" s="382" t="s">
        <v>378</v>
      </c>
      <c r="Q86" s="382" t="s">
        <v>379</v>
      </c>
      <c r="R86" s="382" t="s">
        <v>380</v>
      </c>
      <c r="S86" s="382" t="s">
        <v>370</v>
      </c>
      <c r="T86" s="635"/>
      <c r="U86" s="382" t="s">
        <v>378</v>
      </c>
      <c r="V86" s="382" t="s">
        <v>379</v>
      </c>
      <c r="W86" s="382" t="s">
        <v>380</v>
      </c>
      <c r="X86" s="382" t="s">
        <v>370</v>
      </c>
      <c r="Y86" s="635"/>
      <c r="Z86" s="382" t="s">
        <v>378</v>
      </c>
      <c r="AA86" s="382" t="s">
        <v>379</v>
      </c>
      <c r="AB86" s="382" t="s">
        <v>380</v>
      </c>
      <c r="AC86" s="382" t="s">
        <v>370</v>
      </c>
      <c r="AD86" s="635"/>
      <c r="AE86" s="382" t="s">
        <v>378</v>
      </c>
      <c r="AF86" s="382" t="s">
        <v>379</v>
      </c>
      <c r="AG86" s="382" t="s">
        <v>380</v>
      </c>
      <c r="AH86" s="382" t="s">
        <v>370</v>
      </c>
      <c r="AI86" s="635"/>
      <c r="AJ86" s="382" t="s">
        <v>378</v>
      </c>
      <c r="AK86" s="382" t="s">
        <v>379</v>
      </c>
      <c r="AL86" s="382" t="s">
        <v>380</v>
      </c>
      <c r="AM86" s="382" t="s">
        <v>370</v>
      </c>
      <c r="AN86" s="635"/>
      <c r="AO86" s="382" t="s">
        <v>378</v>
      </c>
      <c r="AP86" s="382" t="s">
        <v>379</v>
      </c>
      <c r="AQ86" s="382" t="s">
        <v>380</v>
      </c>
      <c r="AR86" s="382" t="s">
        <v>370</v>
      </c>
      <c r="AS86" s="635"/>
      <c r="AT86" s="382" t="s">
        <v>378</v>
      </c>
      <c r="AU86" s="382" t="s">
        <v>379</v>
      </c>
      <c r="AV86" s="382" t="s">
        <v>380</v>
      </c>
      <c r="AW86" s="382" t="s">
        <v>370</v>
      </c>
      <c r="AX86" s="635"/>
      <c r="AZ86" s="371" t="s">
        <v>370</v>
      </c>
      <c r="BA86" s="635"/>
    </row>
    <row r="87" spans="2:53">
      <c r="B87" s="679" t="s">
        <v>406</v>
      </c>
      <c r="C87" s="384">
        <v>1</v>
      </c>
      <c r="D87" s="355"/>
      <c r="E87" s="531"/>
      <c r="F87" s="531"/>
      <c r="G87" s="531"/>
      <c r="H87" s="670" t="e">
        <f>AVERAGE(G87:G101)</f>
        <v>#DIV/0!</v>
      </c>
      <c r="I87" s="385" t="str">
        <f t="shared" ref="I87:I100" si="48">IFERROR(AVERAGE(P87,U87,Z87,AE87,AJ87,AO87,AT87),"-")</f>
        <v>-</v>
      </c>
      <c r="J87" s="385" t="str">
        <f t="shared" ref="J87:J100" si="49">IFERROR(AVERAGE(Q87,V87,AA87,AF87,AK87,AP87,AU87),"-")</f>
        <v>-</v>
      </c>
      <c r="K87" s="199" t="str">
        <f t="shared" ref="K87:K100" si="50">IFERROR(AVERAGE(R87,W87,AB87,AG87,AL87,AQ87,AV87),"-")</f>
        <v>-</v>
      </c>
      <c r="L87" s="616" t="str">
        <f>IFERROR(AVERAGE(K87:K101),"-")</f>
        <v>-</v>
      </c>
      <c r="M87" s="389" t="e">
        <f>RANK(K87, K$87:$K$101)</f>
        <v>#VALUE!</v>
      </c>
      <c r="N87" s="635"/>
      <c r="O87" s="635"/>
      <c r="P87" s="484"/>
      <c r="Q87" s="487"/>
      <c r="R87" s="487"/>
      <c r="S87" s="484"/>
      <c r="T87" s="659"/>
      <c r="U87" s="484"/>
      <c r="V87" s="487"/>
      <c r="W87" s="487"/>
      <c r="X87" s="484"/>
      <c r="Y87" s="659"/>
      <c r="Z87" s="484"/>
      <c r="AA87" s="487"/>
      <c r="AB87" s="487"/>
      <c r="AC87" s="484"/>
      <c r="AD87" s="659"/>
      <c r="AE87" s="484"/>
      <c r="AF87" s="487"/>
      <c r="AG87" s="487"/>
      <c r="AH87" s="484"/>
      <c r="AI87" s="659"/>
      <c r="AJ87" s="484"/>
      <c r="AK87" s="487"/>
      <c r="AL87" s="487"/>
      <c r="AM87" s="484"/>
      <c r="AN87" s="659"/>
      <c r="AO87" s="484"/>
      <c r="AP87" s="487"/>
      <c r="AQ87" s="487"/>
      <c r="AR87" s="484"/>
      <c r="AS87" s="659"/>
      <c r="AT87" s="484"/>
      <c r="AU87" s="487"/>
      <c r="AV87" s="487"/>
      <c r="AW87" s="484"/>
      <c r="AX87" s="659"/>
      <c r="AZ87" s="372" t="e">
        <f t="shared" ref="AZ87:AZ101" si="51">RANK(AY87, AY$87:AY$101)</f>
        <v>#N/A</v>
      </c>
      <c r="BA87" s="659" t="e">
        <f t="shared" ref="BA87" si="52">AVERAGE(AY87:AY101)</f>
        <v>#DIV/0!</v>
      </c>
    </row>
    <row r="88" spans="2:53">
      <c r="B88" s="646"/>
      <c r="C88" s="384">
        <v>2</v>
      </c>
      <c r="D88" s="355"/>
      <c r="E88" s="531"/>
      <c r="F88" s="531"/>
      <c r="G88" s="531"/>
      <c r="H88" s="671"/>
      <c r="I88" s="385" t="str">
        <f t="shared" si="48"/>
        <v>-</v>
      </c>
      <c r="J88" s="385" t="str">
        <f t="shared" si="49"/>
        <v>-</v>
      </c>
      <c r="K88" s="199" t="str">
        <f t="shared" si="50"/>
        <v>-</v>
      </c>
      <c r="L88" s="617"/>
      <c r="M88" s="438" t="e">
        <f>RANK(K88, K$87:$K$101)</f>
        <v>#VALUE!</v>
      </c>
      <c r="N88" s="635"/>
      <c r="O88" s="635"/>
      <c r="P88" s="484"/>
      <c r="Q88" s="487"/>
      <c r="R88" s="487"/>
      <c r="S88" s="484"/>
      <c r="T88" s="659"/>
      <c r="U88" s="484"/>
      <c r="V88" s="487"/>
      <c r="W88" s="487"/>
      <c r="X88" s="484"/>
      <c r="Y88" s="659"/>
      <c r="Z88" s="484"/>
      <c r="AA88" s="487"/>
      <c r="AB88" s="487"/>
      <c r="AC88" s="484"/>
      <c r="AD88" s="659"/>
      <c r="AE88" s="484"/>
      <c r="AF88" s="487"/>
      <c r="AG88" s="487"/>
      <c r="AH88" s="484"/>
      <c r="AI88" s="659"/>
      <c r="AJ88" s="484"/>
      <c r="AK88" s="487"/>
      <c r="AL88" s="487"/>
      <c r="AM88" s="484"/>
      <c r="AN88" s="659"/>
      <c r="AO88" s="484"/>
      <c r="AP88" s="487"/>
      <c r="AQ88" s="487"/>
      <c r="AR88" s="484"/>
      <c r="AS88" s="659"/>
      <c r="AT88" s="484"/>
      <c r="AU88" s="487"/>
      <c r="AV88" s="487"/>
      <c r="AW88" s="484"/>
      <c r="AX88" s="659"/>
      <c r="AZ88" s="372" t="e">
        <f t="shared" si="51"/>
        <v>#N/A</v>
      </c>
      <c r="BA88" s="659"/>
    </row>
    <row r="89" spans="2:53">
      <c r="B89" s="646"/>
      <c r="C89" s="384">
        <v>3</v>
      </c>
      <c r="D89" s="355"/>
      <c r="E89" s="531"/>
      <c r="F89" s="531"/>
      <c r="G89" s="531"/>
      <c r="H89" s="671"/>
      <c r="I89" s="385" t="str">
        <f t="shared" si="48"/>
        <v>-</v>
      </c>
      <c r="J89" s="385" t="str">
        <f t="shared" si="49"/>
        <v>-</v>
      </c>
      <c r="K89" s="199" t="str">
        <f t="shared" si="50"/>
        <v>-</v>
      </c>
      <c r="L89" s="617"/>
      <c r="M89" s="438" t="e">
        <f>RANK(K89, K$87:$K$101)</f>
        <v>#VALUE!</v>
      </c>
      <c r="N89" s="635"/>
      <c r="O89" s="635"/>
      <c r="P89" s="484"/>
      <c r="Q89" s="487"/>
      <c r="R89" s="487"/>
      <c r="S89" s="484"/>
      <c r="T89" s="659"/>
      <c r="U89" s="484"/>
      <c r="V89" s="487"/>
      <c r="W89" s="487"/>
      <c r="X89" s="484"/>
      <c r="Y89" s="659"/>
      <c r="Z89" s="484"/>
      <c r="AA89" s="487"/>
      <c r="AB89" s="487"/>
      <c r="AC89" s="484"/>
      <c r="AD89" s="659"/>
      <c r="AE89" s="484"/>
      <c r="AF89" s="487"/>
      <c r="AG89" s="487"/>
      <c r="AH89" s="484"/>
      <c r="AI89" s="659"/>
      <c r="AJ89" s="484"/>
      <c r="AK89" s="487"/>
      <c r="AL89" s="487"/>
      <c r="AM89" s="484"/>
      <c r="AN89" s="659"/>
      <c r="AO89" s="484"/>
      <c r="AP89" s="487"/>
      <c r="AQ89" s="487"/>
      <c r="AR89" s="484"/>
      <c r="AS89" s="659"/>
      <c r="AT89" s="484"/>
      <c r="AU89" s="487"/>
      <c r="AV89" s="487"/>
      <c r="AW89" s="484"/>
      <c r="AX89" s="659"/>
      <c r="AZ89" s="372" t="e">
        <f t="shared" si="51"/>
        <v>#N/A</v>
      </c>
      <c r="BA89" s="659"/>
    </row>
    <row r="90" spans="2:53">
      <c r="B90" s="646"/>
      <c r="C90" s="384">
        <v>4</v>
      </c>
      <c r="D90" s="355"/>
      <c r="E90" s="531"/>
      <c r="F90" s="531"/>
      <c r="G90" s="531"/>
      <c r="H90" s="671"/>
      <c r="I90" s="385" t="str">
        <f t="shared" si="48"/>
        <v>-</v>
      </c>
      <c r="J90" s="385" t="str">
        <f t="shared" si="49"/>
        <v>-</v>
      </c>
      <c r="K90" s="199" t="str">
        <f t="shared" si="50"/>
        <v>-</v>
      </c>
      <c r="L90" s="617"/>
      <c r="M90" s="438" t="e">
        <f>RANK(K90, K$87:$K$101)</f>
        <v>#VALUE!</v>
      </c>
      <c r="N90" s="635"/>
      <c r="O90" s="635"/>
      <c r="P90" s="484"/>
      <c r="Q90" s="487"/>
      <c r="R90" s="487"/>
      <c r="S90" s="484"/>
      <c r="T90" s="659"/>
      <c r="U90" s="484"/>
      <c r="V90" s="487"/>
      <c r="W90" s="487"/>
      <c r="X90" s="484"/>
      <c r="Y90" s="659"/>
      <c r="Z90" s="484"/>
      <c r="AA90" s="487"/>
      <c r="AB90" s="487"/>
      <c r="AC90" s="484"/>
      <c r="AD90" s="659"/>
      <c r="AE90" s="484"/>
      <c r="AF90" s="487"/>
      <c r="AG90" s="487"/>
      <c r="AH90" s="484"/>
      <c r="AI90" s="659"/>
      <c r="AJ90" s="484"/>
      <c r="AK90" s="487"/>
      <c r="AL90" s="487"/>
      <c r="AM90" s="484"/>
      <c r="AN90" s="659"/>
      <c r="AO90" s="484"/>
      <c r="AP90" s="487"/>
      <c r="AQ90" s="487"/>
      <c r="AR90" s="484"/>
      <c r="AS90" s="659"/>
      <c r="AT90" s="484"/>
      <c r="AU90" s="487"/>
      <c r="AV90" s="487"/>
      <c r="AW90" s="484"/>
      <c r="AX90" s="659"/>
      <c r="AZ90" s="372" t="e">
        <f t="shared" si="51"/>
        <v>#N/A</v>
      </c>
      <c r="BA90" s="659"/>
    </row>
    <row r="91" spans="2:53">
      <c r="B91" s="646"/>
      <c r="C91" s="384">
        <v>5</v>
      </c>
      <c r="D91" s="355"/>
      <c r="E91" s="531"/>
      <c r="F91" s="531"/>
      <c r="G91" s="531"/>
      <c r="H91" s="671"/>
      <c r="I91" s="385" t="str">
        <f t="shared" si="48"/>
        <v>-</v>
      </c>
      <c r="J91" s="385" t="str">
        <f t="shared" si="49"/>
        <v>-</v>
      </c>
      <c r="K91" s="199" t="str">
        <f t="shared" si="50"/>
        <v>-</v>
      </c>
      <c r="L91" s="617"/>
      <c r="M91" s="438" t="e">
        <f>RANK(K91, K$87:$K$101)</f>
        <v>#VALUE!</v>
      </c>
      <c r="N91" s="635"/>
      <c r="O91" s="635"/>
      <c r="P91" s="484"/>
      <c r="Q91" s="487"/>
      <c r="R91" s="487"/>
      <c r="S91" s="484"/>
      <c r="T91" s="659"/>
      <c r="U91" s="484"/>
      <c r="V91" s="487"/>
      <c r="W91" s="487"/>
      <c r="X91" s="484"/>
      <c r="Y91" s="659"/>
      <c r="Z91" s="484"/>
      <c r="AA91" s="487"/>
      <c r="AB91" s="487"/>
      <c r="AC91" s="484"/>
      <c r="AD91" s="659"/>
      <c r="AE91" s="484"/>
      <c r="AF91" s="487"/>
      <c r="AG91" s="487"/>
      <c r="AH91" s="484"/>
      <c r="AI91" s="659"/>
      <c r="AJ91" s="484"/>
      <c r="AK91" s="487"/>
      <c r="AL91" s="487"/>
      <c r="AM91" s="484"/>
      <c r="AN91" s="659"/>
      <c r="AO91" s="484"/>
      <c r="AP91" s="487"/>
      <c r="AQ91" s="487"/>
      <c r="AR91" s="484"/>
      <c r="AS91" s="659"/>
      <c r="AT91" s="484"/>
      <c r="AU91" s="487"/>
      <c r="AV91" s="487"/>
      <c r="AW91" s="484"/>
      <c r="AX91" s="659"/>
      <c r="AZ91" s="372" t="e">
        <f t="shared" si="51"/>
        <v>#N/A</v>
      </c>
      <c r="BA91" s="659"/>
    </row>
    <row r="92" spans="2:53">
      <c r="B92" s="646"/>
      <c r="C92" s="384">
        <v>6</v>
      </c>
      <c r="D92" s="355"/>
      <c r="E92" s="531"/>
      <c r="F92" s="531"/>
      <c r="G92" s="531"/>
      <c r="H92" s="671"/>
      <c r="I92" s="385" t="str">
        <f t="shared" si="48"/>
        <v>-</v>
      </c>
      <c r="J92" s="385" t="str">
        <f t="shared" si="49"/>
        <v>-</v>
      </c>
      <c r="K92" s="199" t="str">
        <f t="shared" si="50"/>
        <v>-</v>
      </c>
      <c r="L92" s="617"/>
      <c r="M92" s="438" t="e">
        <f>RANK(K92, K$87:$K$101)</f>
        <v>#VALUE!</v>
      </c>
      <c r="N92" s="635"/>
      <c r="O92" s="635"/>
      <c r="P92" s="484"/>
      <c r="Q92" s="487"/>
      <c r="R92" s="487"/>
      <c r="S92" s="484"/>
      <c r="T92" s="659"/>
      <c r="U92" s="484"/>
      <c r="V92" s="487"/>
      <c r="W92" s="487"/>
      <c r="X92" s="484"/>
      <c r="Y92" s="659"/>
      <c r="Z92" s="484"/>
      <c r="AA92" s="487"/>
      <c r="AB92" s="487"/>
      <c r="AC92" s="484"/>
      <c r="AD92" s="659"/>
      <c r="AE92" s="484"/>
      <c r="AF92" s="487"/>
      <c r="AG92" s="487"/>
      <c r="AH92" s="484"/>
      <c r="AI92" s="659"/>
      <c r="AJ92" s="484"/>
      <c r="AK92" s="487"/>
      <c r="AL92" s="487"/>
      <c r="AM92" s="484"/>
      <c r="AN92" s="659"/>
      <c r="AO92" s="484"/>
      <c r="AP92" s="487"/>
      <c r="AQ92" s="487"/>
      <c r="AR92" s="484"/>
      <c r="AS92" s="659"/>
      <c r="AT92" s="484"/>
      <c r="AU92" s="487"/>
      <c r="AV92" s="487"/>
      <c r="AW92" s="484"/>
      <c r="AX92" s="659"/>
      <c r="AZ92" s="372" t="e">
        <f t="shared" si="51"/>
        <v>#N/A</v>
      </c>
      <c r="BA92" s="659"/>
    </row>
    <row r="93" spans="2:53">
      <c r="B93" s="646"/>
      <c r="C93" s="384">
        <v>7</v>
      </c>
      <c r="D93" s="355"/>
      <c r="E93" s="531"/>
      <c r="F93" s="531"/>
      <c r="G93" s="531"/>
      <c r="H93" s="671"/>
      <c r="I93" s="385" t="str">
        <f t="shared" si="48"/>
        <v>-</v>
      </c>
      <c r="J93" s="385" t="str">
        <f t="shared" si="49"/>
        <v>-</v>
      </c>
      <c r="K93" s="199" t="str">
        <f t="shared" si="50"/>
        <v>-</v>
      </c>
      <c r="L93" s="617"/>
      <c r="M93" s="438" t="e">
        <f>RANK(K93, K$87:$K$101)</f>
        <v>#VALUE!</v>
      </c>
      <c r="N93" s="635"/>
      <c r="O93" s="635"/>
      <c r="P93" s="484"/>
      <c r="Q93" s="487"/>
      <c r="R93" s="487"/>
      <c r="S93" s="484"/>
      <c r="T93" s="659"/>
      <c r="U93" s="484"/>
      <c r="V93" s="487"/>
      <c r="W93" s="487"/>
      <c r="X93" s="484"/>
      <c r="Y93" s="659"/>
      <c r="Z93" s="484"/>
      <c r="AA93" s="487"/>
      <c r="AB93" s="487"/>
      <c r="AC93" s="484"/>
      <c r="AD93" s="659"/>
      <c r="AE93" s="484"/>
      <c r="AF93" s="487"/>
      <c r="AG93" s="487"/>
      <c r="AH93" s="484"/>
      <c r="AI93" s="659"/>
      <c r="AJ93" s="484"/>
      <c r="AK93" s="487"/>
      <c r="AL93" s="487"/>
      <c r="AM93" s="484"/>
      <c r="AN93" s="659"/>
      <c r="AO93" s="484"/>
      <c r="AP93" s="487"/>
      <c r="AQ93" s="487"/>
      <c r="AR93" s="484"/>
      <c r="AS93" s="659"/>
      <c r="AT93" s="484"/>
      <c r="AU93" s="487"/>
      <c r="AV93" s="487"/>
      <c r="AW93" s="484"/>
      <c r="AX93" s="659"/>
      <c r="AZ93" s="372" t="e">
        <f t="shared" si="51"/>
        <v>#N/A</v>
      </c>
      <c r="BA93" s="659"/>
    </row>
    <row r="94" spans="2:53">
      <c r="B94" s="646"/>
      <c r="C94" s="384">
        <v>8</v>
      </c>
      <c r="D94" s="355"/>
      <c r="E94" s="531"/>
      <c r="F94" s="531"/>
      <c r="G94" s="531"/>
      <c r="H94" s="671"/>
      <c r="I94" s="385" t="str">
        <f t="shared" si="48"/>
        <v>-</v>
      </c>
      <c r="J94" s="385" t="str">
        <f t="shared" si="49"/>
        <v>-</v>
      </c>
      <c r="K94" s="199" t="str">
        <f t="shared" si="50"/>
        <v>-</v>
      </c>
      <c r="L94" s="617"/>
      <c r="M94" s="438" t="e">
        <f>RANK(K94, K$87:$K$101)</f>
        <v>#VALUE!</v>
      </c>
      <c r="N94" s="635"/>
      <c r="O94" s="635"/>
      <c r="P94" s="484"/>
      <c r="Q94" s="487"/>
      <c r="R94" s="487"/>
      <c r="S94" s="484"/>
      <c r="T94" s="659"/>
      <c r="U94" s="484"/>
      <c r="V94" s="487"/>
      <c r="W94" s="487"/>
      <c r="X94" s="484"/>
      <c r="Y94" s="659"/>
      <c r="Z94" s="484"/>
      <c r="AA94" s="487"/>
      <c r="AB94" s="487"/>
      <c r="AC94" s="484"/>
      <c r="AD94" s="659"/>
      <c r="AE94" s="484"/>
      <c r="AF94" s="487"/>
      <c r="AG94" s="487"/>
      <c r="AH94" s="484"/>
      <c r="AI94" s="659"/>
      <c r="AJ94" s="484"/>
      <c r="AK94" s="487"/>
      <c r="AL94" s="487"/>
      <c r="AM94" s="484"/>
      <c r="AN94" s="659"/>
      <c r="AO94" s="484"/>
      <c r="AP94" s="487"/>
      <c r="AQ94" s="487"/>
      <c r="AR94" s="484"/>
      <c r="AS94" s="659"/>
      <c r="AT94" s="484"/>
      <c r="AU94" s="487"/>
      <c r="AV94" s="487"/>
      <c r="AW94" s="484"/>
      <c r="AX94" s="659"/>
      <c r="AZ94" s="372" t="e">
        <f t="shared" si="51"/>
        <v>#N/A</v>
      </c>
      <c r="BA94" s="659"/>
    </row>
    <row r="95" spans="2:53">
      <c r="B95" s="646"/>
      <c r="C95" s="384">
        <v>9</v>
      </c>
      <c r="D95" s="355"/>
      <c r="E95" s="531"/>
      <c r="F95" s="531"/>
      <c r="G95" s="531"/>
      <c r="H95" s="671"/>
      <c r="I95" s="385" t="str">
        <f t="shared" si="48"/>
        <v>-</v>
      </c>
      <c r="J95" s="385" t="str">
        <f t="shared" si="49"/>
        <v>-</v>
      </c>
      <c r="K95" s="199" t="str">
        <f t="shared" si="50"/>
        <v>-</v>
      </c>
      <c r="L95" s="617"/>
      <c r="M95" s="438" t="e">
        <f>RANK(K95, K$87:$K$101)</f>
        <v>#VALUE!</v>
      </c>
      <c r="N95" s="635"/>
      <c r="O95" s="635"/>
      <c r="P95" s="484"/>
      <c r="Q95" s="487"/>
      <c r="R95" s="487"/>
      <c r="S95" s="484"/>
      <c r="T95" s="659"/>
      <c r="U95" s="484"/>
      <c r="V95" s="487"/>
      <c r="W95" s="487"/>
      <c r="X95" s="484"/>
      <c r="Y95" s="659"/>
      <c r="Z95" s="484"/>
      <c r="AA95" s="487"/>
      <c r="AB95" s="487"/>
      <c r="AC95" s="484"/>
      <c r="AD95" s="659"/>
      <c r="AE95" s="484"/>
      <c r="AF95" s="487"/>
      <c r="AG95" s="487"/>
      <c r="AH95" s="484"/>
      <c r="AI95" s="659"/>
      <c r="AJ95" s="484"/>
      <c r="AK95" s="487"/>
      <c r="AL95" s="487"/>
      <c r="AM95" s="484"/>
      <c r="AN95" s="659"/>
      <c r="AO95" s="484"/>
      <c r="AP95" s="487"/>
      <c r="AQ95" s="487"/>
      <c r="AR95" s="484"/>
      <c r="AS95" s="659"/>
      <c r="AT95" s="484"/>
      <c r="AU95" s="487"/>
      <c r="AV95" s="487"/>
      <c r="AW95" s="484"/>
      <c r="AX95" s="659"/>
      <c r="AZ95" s="372" t="e">
        <f t="shared" si="51"/>
        <v>#N/A</v>
      </c>
      <c r="BA95" s="659"/>
    </row>
    <row r="96" spans="2:53">
      <c r="B96" s="646"/>
      <c r="C96" s="384">
        <v>10</v>
      </c>
      <c r="D96" s="355"/>
      <c r="E96" s="531"/>
      <c r="F96" s="531"/>
      <c r="G96" s="531"/>
      <c r="H96" s="671"/>
      <c r="I96" s="385" t="str">
        <f t="shared" si="48"/>
        <v>-</v>
      </c>
      <c r="J96" s="385" t="str">
        <f t="shared" si="49"/>
        <v>-</v>
      </c>
      <c r="K96" s="199" t="str">
        <f t="shared" si="50"/>
        <v>-</v>
      </c>
      <c r="L96" s="617"/>
      <c r="M96" s="438" t="e">
        <f>RANK(K96, K$87:$K$101)</f>
        <v>#VALUE!</v>
      </c>
      <c r="N96" s="635"/>
      <c r="O96" s="635"/>
      <c r="P96" s="484"/>
      <c r="Q96" s="487"/>
      <c r="R96" s="487"/>
      <c r="S96" s="484"/>
      <c r="T96" s="659"/>
      <c r="U96" s="484"/>
      <c r="V96" s="487"/>
      <c r="W96" s="487"/>
      <c r="X96" s="484"/>
      <c r="Y96" s="659"/>
      <c r="Z96" s="484"/>
      <c r="AA96" s="487"/>
      <c r="AB96" s="487"/>
      <c r="AC96" s="484"/>
      <c r="AD96" s="659"/>
      <c r="AE96" s="484"/>
      <c r="AF96" s="487"/>
      <c r="AG96" s="487"/>
      <c r="AH96" s="484"/>
      <c r="AI96" s="659"/>
      <c r="AJ96" s="484"/>
      <c r="AK96" s="487"/>
      <c r="AL96" s="487"/>
      <c r="AM96" s="484"/>
      <c r="AN96" s="659"/>
      <c r="AO96" s="484"/>
      <c r="AP96" s="487"/>
      <c r="AQ96" s="487"/>
      <c r="AR96" s="484"/>
      <c r="AS96" s="659"/>
      <c r="AT96" s="484"/>
      <c r="AU96" s="487"/>
      <c r="AV96" s="487"/>
      <c r="AW96" s="484"/>
      <c r="AX96" s="659"/>
      <c r="AZ96" s="372" t="e">
        <f t="shared" si="51"/>
        <v>#N/A</v>
      </c>
      <c r="BA96" s="659"/>
    </row>
    <row r="97" spans="2:53">
      <c r="B97" s="646"/>
      <c r="C97" s="384">
        <v>11</v>
      </c>
      <c r="D97" s="355"/>
      <c r="E97" s="531"/>
      <c r="F97" s="531"/>
      <c r="G97" s="531"/>
      <c r="H97" s="671"/>
      <c r="I97" s="385" t="str">
        <f t="shared" si="48"/>
        <v>-</v>
      </c>
      <c r="J97" s="385" t="str">
        <f t="shared" si="49"/>
        <v>-</v>
      </c>
      <c r="K97" s="199" t="str">
        <f t="shared" si="50"/>
        <v>-</v>
      </c>
      <c r="L97" s="617"/>
      <c r="M97" s="438" t="e">
        <f>RANK(K97, K$87:$K$101)</f>
        <v>#VALUE!</v>
      </c>
      <c r="N97" s="635"/>
      <c r="O97" s="635"/>
      <c r="P97" s="484"/>
      <c r="Q97" s="487"/>
      <c r="R97" s="487"/>
      <c r="S97" s="484"/>
      <c r="T97" s="659"/>
      <c r="U97" s="484"/>
      <c r="V97" s="487"/>
      <c r="W97" s="487"/>
      <c r="X97" s="484"/>
      <c r="Y97" s="659"/>
      <c r="Z97" s="484"/>
      <c r="AA97" s="487"/>
      <c r="AB97" s="487"/>
      <c r="AC97" s="484"/>
      <c r="AD97" s="659"/>
      <c r="AE97" s="484"/>
      <c r="AF97" s="487"/>
      <c r="AG97" s="487"/>
      <c r="AH97" s="484"/>
      <c r="AI97" s="659"/>
      <c r="AJ97" s="484"/>
      <c r="AK97" s="487"/>
      <c r="AL97" s="487"/>
      <c r="AM97" s="484"/>
      <c r="AN97" s="659"/>
      <c r="AO97" s="484"/>
      <c r="AP97" s="487"/>
      <c r="AQ97" s="487"/>
      <c r="AR97" s="484"/>
      <c r="AS97" s="659"/>
      <c r="AT97" s="484"/>
      <c r="AU97" s="487"/>
      <c r="AV97" s="487"/>
      <c r="AW97" s="484"/>
      <c r="AX97" s="659"/>
      <c r="AZ97" s="372" t="e">
        <f t="shared" si="51"/>
        <v>#N/A</v>
      </c>
      <c r="BA97" s="659"/>
    </row>
    <row r="98" spans="2:53">
      <c r="B98" s="646"/>
      <c r="C98" s="384">
        <v>12</v>
      </c>
      <c r="D98" s="355"/>
      <c r="E98" s="531"/>
      <c r="F98" s="531"/>
      <c r="G98" s="531"/>
      <c r="H98" s="671"/>
      <c r="I98" s="385" t="str">
        <f t="shared" si="48"/>
        <v>-</v>
      </c>
      <c r="J98" s="385" t="str">
        <f t="shared" si="49"/>
        <v>-</v>
      </c>
      <c r="K98" s="199" t="str">
        <f t="shared" si="50"/>
        <v>-</v>
      </c>
      <c r="L98" s="617"/>
      <c r="M98" s="438" t="e">
        <f>RANK(K98, K$87:$K$101)</f>
        <v>#VALUE!</v>
      </c>
      <c r="N98" s="635"/>
      <c r="O98" s="635"/>
      <c r="P98" s="484"/>
      <c r="Q98" s="487"/>
      <c r="R98" s="487"/>
      <c r="S98" s="484"/>
      <c r="T98" s="659"/>
      <c r="U98" s="484"/>
      <c r="V98" s="487"/>
      <c r="W98" s="487"/>
      <c r="X98" s="484"/>
      <c r="Y98" s="659"/>
      <c r="Z98" s="484"/>
      <c r="AA98" s="487"/>
      <c r="AB98" s="487"/>
      <c r="AC98" s="484"/>
      <c r="AD98" s="659"/>
      <c r="AE98" s="484"/>
      <c r="AF98" s="487"/>
      <c r="AG98" s="487"/>
      <c r="AH98" s="484"/>
      <c r="AI98" s="659"/>
      <c r="AJ98" s="484"/>
      <c r="AK98" s="487"/>
      <c r="AL98" s="487"/>
      <c r="AM98" s="484"/>
      <c r="AN98" s="659"/>
      <c r="AO98" s="484"/>
      <c r="AP98" s="487"/>
      <c r="AQ98" s="487"/>
      <c r="AR98" s="484"/>
      <c r="AS98" s="659"/>
      <c r="AT98" s="484"/>
      <c r="AU98" s="487"/>
      <c r="AV98" s="487"/>
      <c r="AW98" s="484"/>
      <c r="AX98" s="659"/>
      <c r="AZ98" s="372" t="e">
        <f t="shared" si="51"/>
        <v>#N/A</v>
      </c>
      <c r="BA98" s="659"/>
    </row>
    <row r="99" spans="2:53">
      <c r="B99" s="646"/>
      <c r="C99" s="384">
        <v>13</v>
      </c>
      <c r="D99" s="355"/>
      <c r="E99" s="531"/>
      <c r="F99" s="531"/>
      <c r="G99" s="531"/>
      <c r="H99" s="671"/>
      <c r="I99" s="385" t="str">
        <f t="shared" si="48"/>
        <v>-</v>
      </c>
      <c r="J99" s="385" t="str">
        <f t="shared" si="49"/>
        <v>-</v>
      </c>
      <c r="K99" s="199" t="str">
        <f t="shared" si="50"/>
        <v>-</v>
      </c>
      <c r="L99" s="617"/>
      <c r="M99" s="438" t="e">
        <f>RANK(K99, K$87:$K$101)</f>
        <v>#VALUE!</v>
      </c>
      <c r="N99" s="635"/>
      <c r="O99" s="635"/>
      <c r="P99" s="484"/>
      <c r="Q99" s="487"/>
      <c r="R99" s="487"/>
      <c r="S99" s="484"/>
      <c r="T99" s="659"/>
      <c r="U99" s="484"/>
      <c r="V99" s="487"/>
      <c r="W99" s="487"/>
      <c r="X99" s="484"/>
      <c r="Y99" s="659"/>
      <c r="Z99" s="484"/>
      <c r="AA99" s="487"/>
      <c r="AB99" s="487"/>
      <c r="AC99" s="484"/>
      <c r="AD99" s="659"/>
      <c r="AE99" s="484"/>
      <c r="AF99" s="487"/>
      <c r="AG99" s="487"/>
      <c r="AH99" s="484"/>
      <c r="AI99" s="659"/>
      <c r="AJ99" s="484"/>
      <c r="AK99" s="487"/>
      <c r="AL99" s="487"/>
      <c r="AM99" s="484"/>
      <c r="AN99" s="659"/>
      <c r="AO99" s="484"/>
      <c r="AP99" s="487"/>
      <c r="AQ99" s="487"/>
      <c r="AR99" s="484"/>
      <c r="AS99" s="659"/>
      <c r="AT99" s="484"/>
      <c r="AU99" s="487"/>
      <c r="AV99" s="487"/>
      <c r="AW99" s="484"/>
      <c r="AX99" s="659"/>
      <c r="AZ99" s="372" t="e">
        <f t="shared" si="51"/>
        <v>#N/A</v>
      </c>
      <c r="BA99" s="659"/>
    </row>
    <row r="100" spans="2:53">
      <c r="B100" s="646"/>
      <c r="C100" s="384">
        <v>14</v>
      </c>
      <c r="D100" s="355"/>
      <c r="E100" s="531"/>
      <c r="F100" s="531"/>
      <c r="G100" s="531"/>
      <c r="H100" s="671"/>
      <c r="I100" s="385" t="str">
        <f t="shared" si="48"/>
        <v>-</v>
      </c>
      <c r="J100" s="385" t="str">
        <f t="shared" si="49"/>
        <v>-</v>
      </c>
      <c r="K100" s="199" t="str">
        <f t="shared" si="50"/>
        <v>-</v>
      </c>
      <c r="L100" s="617"/>
      <c r="M100" s="438" t="e">
        <f>RANK(K100, K$87:$K$101)</f>
        <v>#VALUE!</v>
      </c>
      <c r="N100" s="635"/>
      <c r="O100" s="635"/>
      <c r="P100" s="484"/>
      <c r="Q100" s="487"/>
      <c r="R100" s="487"/>
      <c r="S100" s="484"/>
      <c r="T100" s="659"/>
      <c r="U100" s="484"/>
      <c r="V100" s="487"/>
      <c r="W100" s="487"/>
      <c r="X100" s="484"/>
      <c r="Y100" s="659"/>
      <c r="Z100" s="484"/>
      <c r="AA100" s="487"/>
      <c r="AB100" s="487"/>
      <c r="AC100" s="484"/>
      <c r="AD100" s="659"/>
      <c r="AE100" s="484"/>
      <c r="AF100" s="487"/>
      <c r="AG100" s="487"/>
      <c r="AH100" s="484"/>
      <c r="AI100" s="659"/>
      <c r="AJ100" s="484"/>
      <c r="AK100" s="487"/>
      <c r="AL100" s="487"/>
      <c r="AM100" s="484"/>
      <c r="AN100" s="659"/>
      <c r="AO100" s="484"/>
      <c r="AP100" s="487"/>
      <c r="AQ100" s="487"/>
      <c r="AR100" s="484"/>
      <c r="AS100" s="659"/>
      <c r="AT100" s="484"/>
      <c r="AU100" s="487"/>
      <c r="AV100" s="487"/>
      <c r="AW100" s="484"/>
      <c r="AX100" s="659"/>
      <c r="AZ100" s="372" t="e">
        <f t="shared" si="51"/>
        <v>#N/A</v>
      </c>
      <c r="BA100" s="659"/>
    </row>
    <row r="101" spans="2:53">
      <c r="B101" s="646"/>
      <c r="C101" s="384">
        <v>15</v>
      </c>
      <c r="D101" s="355"/>
      <c r="E101" s="531"/>
      <c r="F101" s="531"/>
      <c r="G101" s="531"/>
      <c r="H101" s="680"/>
      <c r="I101" s="389"/>
      <c r="J101" s="389"/>
      <c r="K101" s="386"/>
      <c r="L101" s="618"/>
      <c r="M101" s="438" t="e">
        <f>RANK(K101, K$87:$K$101)</f>
        <v>#N/A</v>
      </c>
      <c r="N101" s="635"/>
      <c r="O101" s="635"/>
      <c r="P101" s="484"/>
      <c r="Q101" s="487"/>
      <c r="R101" s="487"/>
      <c r="S101" s="484"/>
      <c r="T101" s="659"/>
      <c r="U101" s="484"/>
      <c r="V101" s="487"/>
      <c r="W101" s="487"/>
      <c r="X101" s="484"/>
      <c r="Y101" s="659"/>
      <c r="Z101" s="484"/>
      <c r="AA101" s="487"/>
      <c r="AB101" s="487"/>
      <c r="AC101" s="484"/>
      <c r="AD101" s="659"/>
      <c r="AE101" s="484"/>
      <c r="AF101" s="487"/>
      <c r="AG101" s="487"/>
      <c r="AH101" s="484"/>
      <c r="AI101" s="659"/>
      <c r="AJ101" s="484"/>
      <c r="AK101" s="487"/>
      <c r="AL101" s="487"/>
      <c r="AM101" s="484"/>
      <c r="AN101" s="659"/>
      <c r="AO101" s="484"/>
      <c r="AP101" s="487"/>
      <c r="AQ101" s="487"/>
      <c r="AR101" s="484"/>
      <c r="AS101" s="659"/>
      <c r="AT101" s="484"/>
      <c r="AU101" s="487"/>
      <c r="AV101" s="487"/>
      <c r="AW101" s="484"/>
      <c r="AX101" s="659"/>
      <c r="AZ101" s="372" t="e">
        <f t="shared" si="51"/>
        <v>#N/A</v>
      </c>
      <c r="BA101" s="659"/>
    </row>
    <row r="102" spans="2:53" ht="15.75">
      <c r="B102" s="650" t="s">
        <v>162</v>
      </c>
      <c r="C102" s="651"/>
      <c r="D102" s="651"/>
      <c r="E102" s="651"/>
      <c r="F102" s="651"/>
      <c r="G102" s="651"/>
      <c r="H102" s="652"/>
      <c r="I102" s="207"/>
      <c r="J102" s="207"/>
      <c r="K102" s="207"/>
      <c r="L102" s="207"/>
      <c r="M102" s="206"/>
      <c r="N102" s="639" t="s">
        <v>156</v>
      </c>
      <c r="O102" s="639" t="s">
        <v>105</v>
      </c>
      <c r="P102" s="645">
        <f>P82+7</f>
        <v>46238</v>
      </c>
      <c r="Q102" s="646"/>
      <c r="R102" s="646"/>
      <c r="S102" s="646"/>
      <c r="T102" s="646"/>
      <c r="U102" s="642">
        <f>P102+1</f>
        <v>46239</v>
      </c>
      <c r="V102" s="643"/>
      <c r="W102" s="643"/>
      <c r="X102" s="643"/>
      <c r="Y102" s="644"/>
      <c r="Z102" s="642">
        <f>U102+1</f>
        <v>46240</v>
      </c>
      <c r="AA102" s="643"/>
      <c r="AB102" s="643"/>
      <c r="AC102" s="643"/>
      <c r="AD102" s="644"/>
      <c r="AE102" s="642">
        <f>Z102+1</f>
        <v>46241</v>
      </c>
      <c r="AF102" s="643"/>
      <c r="AG102" s="643"/>
      <c r="AH102" s="643"/>
      <c r="AI102" s="644"/>
      <c r="AJ102" s="642">
        <f>AE102+1</f>
        <v>46242</v>
      </c>
      <c r="AK102" s="643"/>
      <c r="AL102" s="643"/>
      <c r="AM102" s="643"/>
      <c r="AN102" s="644"/>
      <c r="AO102" s="642">
        <f>AJ102+1</f>
        <v>46243</v>
      </c>
      <c r="AP102" s="643"/>
      <c r="AQ102" s="643"/>
      <c r="AR102" s="643"/>
      <c r="AS102" s="644"/>
      <c r="AT102" s="642">
        <f>AO102+1</f>
        <v>46244</v>
      </c>
      <c r="AU102" s="643"/>
      <c r="AV102" s="643"/>
      <c r="AW102" s="643"/>
      <c r="AX102" s="644"/>
    </row>
    <row r="103" spans="2:53" ht="15.75">
      <c r="B103" s="653"/>
      <c r="C103" s="653"/>
      <c r="D103" s="653"/>
      <c r="E103" s="653"/>
      <c r="F103" s="653"/>
      <c r="G103" s="653"/>
      <c r="H103" s="653"/>
      <c r="I103" s="204"/>
      <c r="J103" s="204"/>
      <c r="K103" s="204"/>
      <c r="L103" s="204"/>
      <c r="M103" s="205"/>
      <c r="N103" s="641"/>
      <c r="O103" s="641"/>
      <c r="P103" s="645" t="s">
        <v>158</v>
      </c>
      <c r="Q103" s="646"/>
      <c r="R103" s="646"/>
      <c r="S103" s="646"/>
      <c r="T103" s="646"/>
      <c r="U103" s="645" t="s">
        <v>114</v>
      </c>
      <c r="V103" s="646"/>
      <c r="W103" s="646"/>
      <c r="X103" s="646"/>
      <c r="Y103" s="646"/>
      <c r="Z103" s="645" t="s">
        <v>159</v>
      </c>
      <c r="AA103" s="646"/>
      <c r="AB103" s="646"/>
      <c r="AC103" s="646"/>
      <c r="AD103" s="646"/>
      <c r="AE103" s="645" t="s">
        <v>157</v>
      </c>
      <c r="AF103" s="646"/>
      <c r="AG103" s="646"/>
      <c r="AH103" s="646"/>
      <c r="AI103" s="646"/>
      <c r="AJ103" s="645" t="s">
        <v>160</v>
      </c>
      <c r="AK103" s="646"/>
      <c r="AL103" s="646"/>
      <c r="AM103" s="646"/>
      <c r="AN103" s="646"/>
      <c r="AO103" s="645" t="s">
        <v>115</v>
      </c>
      <c r="AP103" s="646"/>
      <c r="AQ103" s="646"/>
      <c r="AR103" s="646"/>
      <c r="AS103" s="646"/>
      <c r="AT103" s="645" t="s">
        <v>161</v>
      </c>
      <c r="AU103" s="646"/>
      <c r="AV103" s="646"/>
      <c r="AW103" s="646"/>
      <c r="AX103" s="646"/>
    </row>
    <row r="104" spans="2:53">
      <c r="B104" s="635" t="s">
        <v>520</v>
      </c>
      <c r="C104" s="635" t="s">
        <v>521</v>
      </c>
      <c r="D104" s="635"/>
      <c r="E104" s="635" t="s">
        <v>522</v>
      </c>
      <c r="F104" s="635"/>
      <c r="G104" s="635"/>
      <c r="H104" s="636" t="s">
        <v>523</v>
      </c>
      <c r="I104" s="635" t="s">
        <v>524</v>
      </c>
      <c r="J104" s="635"/>
      <c r="K104" s="635"/>
      <c r="L104" s="636" t="s">
        <v>369</v>
      </c>
      <c r="M104" s="639" t="s">
        <v>525</v>
      </c>
      <c r="N104" s="635"/>
      <c r="O104" s="635" t="s">
        <v>526</v>
      </c>
      <c r="P104" s="632" t="s">
        <v>527</v>
      </c>
      <c r="Q104" s="633"/>
      <c r="R104" s="633"/>
      <c r="S104" s="634"/>
      <c r="T104" s="635" t="s">
        <v>523</v>
      </c>
      <c r="U104" s="632" t="s">
        <v>527</v>
      </c>
      <c r="V104" s="633"/>
      <c r="W104" s="633"/>
      <c r="X104" s="634"/>
      <c r="Y104" s="635" t="s">
        <v>523</v>
      </c>
      <c r="Z104" s="632" t="s">
        <v>527</v>
      </c>
      <c r="AA104" s="633"/>
      <c r="AB104" s="633"/>
      <c r="AC104" s="634"/>
      <c r="AD104" s="635" t="s">
        <v>523</v>
      </c>
      <c r="AE104" s="632" t="s">
        <v>527</v>
      </c>
      <c r="AF104" s="633"/>
      <c r="AG104" s="633"/>
      <c r="AH104" s="634"/>
      <c r="AI104" s="635" t="s">
        <v>523</v>
      </c>
      <c r="AJ104" s="632" t="s">
        <v>527</v>
      </c>
      <c r="AK104" s="633"/>
      <c r="AL104" s="633"/>
      <c r="AM104" s="634"/>
      <c r="AN104" s="635" t="s">
        <v>523</v>
      </c>
      <c r="AO104" s="632" t="s">
        <v>527</v>
      </c>
      <c r="AP104" s="633"/>
      <c r="AQ104" s="633"/>
      <c r="AR104" s="634"/>
      <c r="AS104" s="635" t="s">
        <v>523</v>
      </c>
      <c r="AT104" s="632" t="s">
        <v>527</v>
      </c>
      <c r="AU104" s="633"/>
      <c r="AV104" s="633"/>
      <c r="AW104" s="634"/>
      <c r="AX104" s="635" t="s">
        <v>523</v>
      </c>
      <c r="BA104" s="635" t="s">
        <v>369</v>
      </c>
    </row>
    <row r="105" spans="2:53">
      <c r="B105" s="635"/>
      <c r="C105" s="635"/>
      <c r="D105" s="635"/>
      <c r="E105" s="635" t="s">
        <v>528</v>
      </c>
      <c r="F105" s="635"/>
      <c r="G105" s="635"/>
      <c r="H105" s="637"/>
      <c r="I105" s="635" t="s">
        <v>528</v>
      </c>
      <c r="J105" s="635"/>
      <c r="K105" s="635"/>
      <c r="L105" s="637"/>
      <c r="M105" s="640"/>
      <c r="N105" s="635"/>
      <c r="O105" s="635"/>
      <c r="P105" s="632" t="s">
        <v>529</v>
      </c>
      <c r="Q105" s="633"/>
      <c r="R105" s="633"/>
      <c r="S105" s="634"/>
      <c r="T105" s="635"/>
      <c r="U105" s="632" t="s">
        <v>529</v>
      </c>
      <c r="V105" s="633"/>
      <c r="W105" s="633"/>
      <c r="X105" s="634"/>
      <c r="Y105" s="635"/>
      <c r="Z105" s="632" t="s">
        <v>529</v>
      </c>
      <c r="AA105" s="633"/>
      <c r="AB105" s="633"/>
      <c r="AC105" s="634"/>
      <c r="AD105" s="635"/>
      <c r="AE105" s="632" t="s">
        <v>529</v>
      </c>
      <c r="AF105" s="633"/>
      <c r="AG105" s="633"/>
      <c r="AH105" s="634"/>
      <c r="AI105" s="635"/>
      <c r="AJ105" s="632" t="s">
        <v>529</v>
      </c>
      <c r="AK105" s="633"/>
      <c r="AL105" s="633"/>
      <c r="AM105" s="634"/>
      <c r="AN105" s="635"/>
      <c r="AO105" s="632" t="s">
        <v>529</v>
      </c>
      <c r="AP105" s="633"/>
      <c r="AQ105" s="633"/>
      <c r="AR105" s="634"/>
      <c r="AS105" s="635"/>
      <c r="AT105" s="632" t="s">
        <v>529</v>
      </c>
      <c r="AU105" s="633"/>
      <c r="AV105" s="633"/>
      <c r="AW105" s="634"/>
      <c r="AX105" s="635"/>
      <c r="BA105" s="635"/>
    </row>
    <row r="106" spans="2:53">
      <c r="B106" s="635"/>
      <c r="C106" s="635"/>
      <c r="D106" s="635"/>
      <c r="E106" s="349" t="s">
        <v>530</v>
      </c>
      <c r="F106" s="349" t="s">
        <v>531</v>
      </c>
      <c r="G106" s="349" t="s">
        <v>532</v>
      </c>
      <c r="H106" s="638"/>
      <c r="I106" s="349" t="s">
        <v>530</v>
      </c>
      <c r="J106" s="349" t="s">
        <v>531</v>
      </c>
      <c r="K106" s="349" t="s">
        <v>532</v>
      </c>
      <c r="L106" s="638"/>
      <c r="M106" s="641"/>
      <c r="N106" s="635"/>
      <c r="O106" s="635"/>
      <c r="P106" s="349" t="s">
        <v>530</v>
      </c>
      <c r="Q106" s="349" t="s">
        <v>531</v>
      </c>
      <c r="R106" s="349" t="s">
        <v>532</v>
      </c>
      <c r="S106" s="349" t="s">
        <v>525</v>
      </c>
      <c r="T106" s="635"/>
      <c r="U106" s="349" t="s">
        <v>530</v>
      </c>
      <c r="V106" s="349" t="s">
        <v>531</v>
      </c>
      <c r="W106" s="349" t="s">
        <v>532</v>
      </c>
      <c r="X106" s="349" t="s">
        <v>525</v>
      </c>
      <c r="Y106" s="635"/>
      <c r="Z106" s="349" t="s">
        <v>530</v>
      </c>
      <c r="AA106" s="349" t="s">
        <v>531</v>
      </c>
      <c r="AB106" s="349" t="s">
        <v>532</v>
      </c>
      <c r="AC106" s="349" t="s">
        <v>525</v>
      </c>
      <c r="AD106" s="635"/>
      <c r="AE106" s="349" t="s">
        <v>530</v>
      </c>
      <c r="AF106" s="349" t="s">
        <v>531</v>
      </c>
      <c r="AG106" s="349" t="s">
        <v>532</v>
      </c>
      <c r="AH106" s="349" t="s">
        <v>525</v>
      </c>
      <c r="AI106" s="635"/>
      <c r="AJ106" s="349" t="s">
        <v>530</v>
      </c>
      <c r="AK106" s="349" t="s">
        <v>531</v>
      </c>
      <c r="AL106" s="349" t="s">
        <v>532</v>
      </c>
      <c r="AM106" s="349" t="s">
        <v>525</v>
      </c>
      <c r="AN106" s="635"/>
      <c r="AO106" s="349" t="s">
        <v>530</v>
      </c>
      <c r="AP106" s="349" t="s">
        <v>531</v>
      </c>
      <c r="AQ106" s="349" t="s">
        <v>532</v>
      </c>
      <c r="AR106" s="349" t="s">
        <v>525</v>
      </c>
      <c r="AS106" s="635"/>
      <c r="AT106" s="349" t="s">
        <v>530</v>
      </c>
      <c r="AU106" s="349" t="s">
        <v>531</v>
      </c>
      <c r="AV106" s="349" t="s">
        <v>532</v>
      </c>
      <c r="AW106" s="349" t="s">
        <v>525</v>
      </c>
      <c r="AX106" s="635"/>
      <c r="AZ106" s="371" t="s">
        <v>525</v>
      </c>
      <c r="BA106" s="635"/>
    </row>
    <row r="107" spans="2:53">
      <c r="B107" s="679" t="s">
        <v>534</v>
      </c>
      <c r="C107" s="352">
        <v>1</v>
      </c>
      <c r="D107" s="355"/>
      <c r="E107" s="353"/>
      <c r="F107" s="353"/>
      <c r="G107" s="353"/>
      <c r="H107" s="670" t="e">
        <f>AVERAGE(G107:G121)</f>
        <v>#DIV/0!</v>
      </c>
      <c r="I107" s="367" t="str">
        <f t="shared" ref="I107:I120" si="53">IFERROR(AVERAGE(P107,U107,Z107,AE107,AJ107,AO107,AT107),"-")</f>
        <v>-</v>
      </c>
      <c r="J107" s="367" t="str">
        <f t="shared" ref="J107:J120" si="54">IFERROR(AVERAGE(Q107,V107,AA107,AF107,AK107,AP107,AU107),"-")</f>
        <v>-</v>
      </c>
      <c r="K107" s="199" t="str">
        <f t="shared" ref="K107:K120" si="55">IFERROR(AVERAGE(R107,W107,AB107,AG107,AL107,AQ107,AV107),"-")</f>
        <v>-</v>
      </c>
      <c r="L107" s="616" t="str">
        <f>IFERROR(AVERAGE(K107:K121),"-")</f>
        <v>-</v>
      </c>
      <c r="M107" s="353" t="e">
        <f>RANK(K107, K$107:$K$121)</f>
        <v>#VALUE!</v>
      </c>
      <c r="N107" s="635"/>
      <c r="O107" s="635"/>
      <c r="P107" s="528"/>
      <c r="Q107" s="530"/>
      <c r="R107" s="530"/>
      <c r="S107" s="528"/>
      <c r="T107" s="659"/>
      <c r="U107" s="528"/>
      <c r="V107" s="530"/>
      <c r="W107" s="530"/>
      <c r="X107" s="528"/>
      <c r="Y107" s="659"/>
      <c r="Z107" s="528"/>
      <c r="AA107" s="530"/>
      <c r="AB107" s="530"/>
      <c r="AC107" s="528"/>
      <c r="AD107" s="659"/>
      <c r="AE107" s="528"/>
      <c r="AF107" s="530"/>
      <c r="AG107" s="530"/>
      <c r="AH107" s="528"/>
      <c r="AI107" s="659"/>
      <c r="AJ107" s="528"/>
      <c r="AK107" s="530"/>
      <c r="AL107" s="530"/>
      <c r="AM107" s="528"/>
      <c r="AN107" s="659"/>
      <c r="AO107" s="528"/>
      <c r="AP107" s="530"/>
      <c r="AQ107" s="530"/>
      <c r="AR107" s="528"/>
      <c r="AS107" s="659"/>
      <c r="AT107" s="528"/>
      <c r="AU107" s="530"/>
      <c r="AV107" s="530"/>
      <c r="AW107" s="528"/>
      <c r="AX107" s="659"/>
      <c r="AZ107" s="373" t="e">
        <f t="shared" ref="AZ107:AZ121" si="56">RANK(AY107, AY$67:AY$81)</f>
        <v>#N/A</v>
      </c>
      <c r="BA107" s="694" t="e">
        <f t="shared" ref="BA107" si="57">AVERAGE(AY107:AY121)</f>
        <v>#DIV/0!</v>
      </c>
    </row>
    <row r="108" spans="2:53">
      <c r="B108" s="669"/>
      <c r="C108" s="352">
        <v>2</v>
      </c>
      <c r="D108" s="355"/>
      <c r="E108" s="353"/>
      <c r="F108" s="353"/>
      <c r="G108" s="353"/>
      <c r="H108" s="671"/>
      <c r="I108" s="367" t="str">
        <f t="shared" si="53"/>
        <v>-</v>
      </c>
      <c r="J108" s="367" t="str">
        <f t="shared" si="54"/>
        <v>-</v>
      </c>
      <c r="K108" s="199" t="str">
        <f t="shared" si="55"/>
        <v>-</v>
      </c>
      <c r="L108" s="617"/>
      <c r="M108" s="531" t="e">
        <f>RANK(K108, K$107:$K$121)</f>
        <v>#VALUE!</v>
      </c>
      <c r="N108" s="635"/>
      <c r="O108" s="635"/>
      <c r="P108" s="528"/>
      <c r="Q108" s="530"/>
      <c r="R108" s="530"/>
      <c r="S108" s="528"/>
      <c r="T108" s="659"/>
      <c r="U108" s="528"/>
      <c r="V108" s="530"/>
      <c r="W108" s="530"/>
      <c r="X108" s="528"/>
      <c r="Y108" s="659"/>
      <c r="Z108" s="528"/>
      <c r="AA108" s="530"/>
      <c r="AB108" s="530"/>
      <c r="AC108" s="528"/>
      <c r="AD108" s="659"/>
      <c r="AE108" s="528"/>
      <c r="AF108" s="530"/>
      <c r="AG108" s="530"/>
      <c r="AH108" s="528"/>
      <c r="AI108" s="659"/>
      <c r="AJ108" s="528"/>
      <c r="AK108" s="530"/>
      <c r="AL108" s="530"/>
      <c r="AM108" s="528"/>
      <c r="AN108" s="659"/>
      <c r="AO108" s="528"/>
      <c r="AP108" s="530"/>
      <c r="AQ108" s="530"/>
      <c r="AR108" s="528"/>
      <c r="AS108" s="659"/>
      <c r="AT108" s="528"/>
      <c r="AU108" s="530"/>
      <c r="AV108" s="530"/>
      <c r="AW108" s="528"/>
      <c r="AX108" s="659"/>
      <c r="AZ108" s="373" t="e">
        <f t="shared" si="56"/>
        <v>#N/A</v>
      </c>
      <c r="BA108" s="694"/>
    </row>
    <row r="109" spans="2:53">
      <c r="B109" s="669"/>
      <c r="C109" s="352">
        <v>3</v>
      </c>
      <c r="D109" s="355"/>
      <c r="E109" s="353"/>
      <c r="F109" s="353"/>
      <c r="G109" s="353"/>
      <c r="H109" s="671"/>
      <c r="I109" s="367" t="str">
        <f t="shared" si="53"/>
        <v>-</v>
      </c>
      <c r="J109" s="367" t="str">
        <f t="shared" si="54"/>
        <v>-</v>
      </c>
      <c r="K109" s="199" t="str">
        <f t="shared" si="55"/>
        <v>-</v>
      </c>
      <c r="L109" s="617"/>
      <c r="M109" s="531" t="e">
        <f>RANK(K109, K$107:$K$121)</f>
        <v>#VALUE!</v>
      </c>
      <c r="N109" s="635"/>
      <c r="O109" s="635"/>
      <c r="P109" s="528"/>
      <c r="Q109" s="530"/>
      <c r="R109" s="530"/>
      <c r="S109" s="528"/>
      <c r="T109" s="659"/>
      <c r="U109" s="528"/>
      <c r="V109" s="530"/>
      <c r="W109" s="530"/>
      <c r="X109" s="528"/>
      <c r="Y109" s="659"/>
      <c r="Z109" s="528"/>
      <c r="AA109" s="530"/>
      <c r="AB109" s="530"/>
      <c r="AC109" s="528"/>
      <c r="AD109" s="659"/>
      <c r="AE109" s="528"/>
      <c r="AF109" s="530"/>
      <c r="AG109" s="530"/>
      <c r="AH109" s="528"/>
      <c r="AI109" s="659"/>
      <c r="AJ109" s="528"/>
      <c r="AK109" s="530"/>
      <c r="AL109" s="530"/>
      <c r="AM109" s="528"/>
      <c r="AN109" s="659"/>
      <c r="AO109" s="528"/>
      <c r="AP109" s="530"/>
      <c r="AQ109" s="530"/>
      <c r="AR109" s="528"/>
      <c r="AS109" s="659"/>
      <c r="AT109" s="528"/>
      <c r="AU109" s="530"/>
      <c r="AV109" s="530"/>
      <c r="AW109" s="528"/>
      <c r="AX109" s="659"/>
      <c r="AZ109" s="373" t="e">
        <f t="shared" si="56"/>
        <v>#N/A</v>
      </c>
      <c r="BA109" s="694"/>
    </row>
    <row r="110" spans="2:53">
      <c r="B110" s="669"/>
      <c r="C110" s="352">
        <v>4</v>
      </c>
      <c r="D110" s="355"/>
      <c r="E110" s="353"/>
      <c r="F110" s="353"/>
      <c r="G110" s="353"/>
      <c r="H110" s="671"/>
      <c r="I110" s="367" t="str">
        <f t="shared" si="53"/>
        <v>-</v>
      </c>
      <c r="J110" s="367" t="str">
        <f t="shared" si="54"/>
        <v>-</v>
      </c>
      <c r="K110" s="199" t="str">
        <f t="shared" si="55"/>
        <v>-</v>
      </c>
      <c r="L110" s="617"/>
      <c r="M110" s="531" t="e">
        <f>RANK(K110, K$107:$K$121)</f>
        <v>#VALUE!</v>
      </c>
      <c r="N110" s="635"/>
      <c r="O110" s="635"/>
      <c r="P110" s="528"/>
      <c r="Q110" s="530"/>
      <c r="R110" s="530"/>
      <c r="S110" s="528"/>
      <c r="T110" s="659"/>
      <c r="U110" s="528"/>
      <c r="V110" s="530"/>
      <c r="W110" s="530"/>
      <c r="X110" s="528"/>
      <c r="Y110" s="659"/>
      <c r="Z110" s="528"/>
      <c r="AA110" s="530"/>
      <c r="AB110" s="530"/>
      <c r="AC110" s="528"/>
      <c r="AD110" s="659"/>
      <c r="AE110" s="528"/>
      <c r="AF110" s="530"/>
      <c r="AG110" s="530"/>
      <c r="AH110" s="528"/>
      <c r="AI110" s="659"/>
      <c r="AJ110" s="528"/>
      <c r="AK110" s="530"/>
      <c r="AL110" s="530"/>
      <c r="AM110" s="528"/>
      <c r="AN110" s="659"/>
      <c r="AO110" s="528"/>
      <c r="AP110" s="530"/>
      <c r="AQ110" s="530"/>
      <c r="AR110" s="528"/>
      <c r="AS110" s="659"/>
      <c r="AT110" s="528"/>
      <c r="AU110" s="530"/>
      <c r="AV110" s="530"/>
      <c r="AW110" s="528"/>
      <c r="AX110" s="659"/>
      <c r="AZ110" s="373" t="e">
        <f t="shared" si="56"/>
        <v>#N/A</v>
      </c>
      <c r="BA110" s="694"/>
    </row>
    <row r="111" spans="2:53">
      <c r="B111" s="669"/>
      <c r="C111" s="352">
        <v>5</v>
      </c>
      <c r="D111" s="355"/>
      <c r="E111" s="353"/>
      <c r="F111" s="353"/>
      <c r="G111" s="353"/>
      <c r="H111" s="671"/>
      <c r="I111" s="367" t="str">
        <f t="shared" si="53"/>
        <v>-</v>
      </c>
      <c r="J111" s="367" t="str">
        <f t="shared" si="54"/>
        <v>-</v>
      </c>
      <c r="K111" s="199" t="str">
        <f t="shared" si="55"/>
        <v>-</v>
      </c>
      <c r="L111" s="617"/>
      <c r="M111" s="531" t="e">
        <f>RANK(K111, K$107:$K$121)</f>
        <v>#VALUE!</v>
      </c>
      <c r="N111" s="635"/>
      <c r="O111" s="635"/>
      <c r="P111" s="528"/>
      <c r="Q111" s="530"/>
      <c r="R111" s="530"/>
      <c r="S111" s="528"/>
      <c r="T111" s="659"/>
      <c r="U111" s="528"/>
      <c r="V111" s="530"/>
      <c r="W111" s="530"/>
      <c r="X111" s="528"/>
      <c r="Y111" s="659"/>
      <c r="Z111" s="528"/>
      <c r="AA111" s="530"/>
      <c r="AB111" s="530"/>
      <c r="AC111" s="528"/>
      <c r="AD111" s="659"/>
      <c r="AE111" s="528"/>
      <c r="AF111" s="530"/>
      <c r="AG111" s="530"/>
      <c r="AH111" s="528"/>
      <c r="AI111" s="659"/>
      <c r="AJ111" s="528"/>
      <c r="AK111" s="530"/>
      <c r="AL111" s="530"/>
      <c r="AM111" s="528"/>
      <c r="AN111" s="659"/>
      <c r="AO111" s="528"/>
      <c r="AP111" s="530"/>
      <c r="AQ111" s="530"/>
      <c r="AR111" s="528"/>
      <c r="AS111" s="659"/>
      <c r="AT111" s="528"/>
      <c r="AU111" s="530"/>
      <c r="AV111" s="530"/>
      <c r="AW111" s="528"/>
      <c r="AX111" s="659"/>
      <c r="AZ111" s="373" t="e">
        <f t="shared" si="56"/>
        <v>#N/A</v>
      </c>
      <c r="BA111" s="694"/>
    </row>
    <row r="112" spans="2:53">
      <c r="B112" s="669"/>
      <c r="C112" s="352">
        <v>6</v>
      </c>
      <c r="D112" s="355"/>
      <c r="E112" s="353"/>
      <c r="F112" s="353"/>
      <c r="G112" s="353"/>
      <c r="H112" s="671"/>
      <c r="I112" s="367" t="str">
        <f t="shared" si="53"/>
        <v>-</v>
      </c>
      <c r="J112" s="367" t="str">
        <f t="shared" si="54"/>
        <v>-</v>
      </c>
      <c r="K112" s="199" t="str">
        <f t="shared" si="55"/>
        <v>-</v>
      </c>
      <c r="L112" s="617"/>
      <c r="M112" s="531" t="e">
        <f>RANK(K112, K$107:$K$121)</f>
        <v>#VALUE!</v>
      </c>
      <c r="N112" s="635"/>
      <c r="O112" s="635"/>
      <c r="P112" s="528"/>
      <c r="Q112" s="530"/>
      <c r="R112" s="530"/>
      <c r="S112" s="528"/>
      <c r="T112" s="659"/>
      <c r="U112" s="528"/>
      <c r="V112" s="530"/>
      <c r="W112" s="530"/>
      <c r="X112" s="528"/>
      <c r="Y112" s="659"/>
      <c r="Z112" s="528"/>
      <c r="AA112" s="530"/>
      <c r="AB112" s="530"/>
      <c r="AC112" s="528"/>
      <c r="AD112" s="659"/>
      <c r="AE112" s="528"/>
      <c r="AF112" s="530"/>
      <c r="AG112" s="530"/>
      <c r="AH112" s="528"/>
      <c r="AI112" s="659"/>
      <c r="AJ112" s="528"/>
      <c r="AK112" s="530"/>
      <c r="AL112" s="530"/>
      <c r="AM112" s="528"/>
      <c r="AN112" s="659"/>
      <c r="AO112" s="528"/>
      <c r="AP112" s="530"/>
      <c r="AQ112" s="530"/>
      <c r="AR112" s="528"/>
      <c r="AS112" s="659"/>
      <c r="AT112" s="528"/>
      <c r="AU112" s="530"/>
      <c r="AV112" s="530"/>
      <c r="AW112" s="528"/>
      <c r="AX112" s="659"/>
      <c r="AZ112" s="373" t="e">
        <f t="shared" si="56"/>
        <v>#N/A</v>
      </c>
      <c r="BA112" s="694"/>
    </row>
    <row r="113" spans="2:53">
      <c r="B113" s="669"/>
      <c r="C113" s="352">
        <v>7</v>
      </c>
      <c r="D113" s="355"/>
      <c r="E113" s="353"/>
      <c r="F113" s="353"/>
      <c r="G113" s="353"/>
      <c r="H113" s="671"/>
      <c r="I113" s="367" t="str">
        <f t="shared" si="53"/>
        <v>-</v>
      </c>
      <c r="J113" s="367" t="str">
        <f t="shared" si="54"/>
        <v>-</v>
      </c>
      <c r="K113" s="199" t="str">
        <f t="shared" si="55"/>
        <v>-</v>
      </c>
      <c r="L113" s="617"/>
      <c r="M113" s="531" t="e">
        <f>RANK(K113, K$107:$K$121)</f>
        <v>#VALUE!</v>
      </c>
      <c r="N113" s="635"/>
      <c r="O113" s="635"/>
      <c r="P113" s="528"/>
      <c r="Q113" s="530"/>
      <c r="R113" s="530"/>
      <c r="S113" s="528"/>
      <c r="T113" s="659"/>
      <c r="U113" s="528"/>
      <c r="V113" s="530"/>
      <c r="W113" s="530"/>
      <c r="X113" s="528"/>
      <c r="Y113" s="659"/>
      <c r="Z113" s="528"/>
      <c r="AA113" s="530"/>
      <c r="AB113" s="530"/>
      <c r="AC113" s="528"/>
      <c r="AD113" s="659"/>
      <c r="AE113" s="528"/>
      <c r="AF113" s="530"/>
      <c r="AG113" s="530"/>
      <c r="AH113" s="528"/>
      <c r="AI113" s="659"/>
      <c r="AJ113" s="528"/>
      <c r="AK113" s="530"/>
      <c r="AL113" s="530"/>
      <c r="AM113" s="528"/>
      <c r="AN113" s="659"/>
      <c r="AO113" s="528"/>
      <c r="AP113" s="530"/>
      <c r="AQ113" s="530"/>
      <c r="AR113" s="528"/>
      <c r="AS113" s="659"/>
      <c r="AT113" s="528"/>
      <c r="AU113" s="530"/>
      <c r="AV113" s="530"/>
      <c r="AW113" s="528"/>
      <c r="AX113" s="659"/>
      <c r="AZ113" s="373" t="e">
        <f t="shared" si="56"/>
        <v>#N/A</v>
      </c>
      <c r="BA113" s="694"/>
    </row>
    <row r="114" spans="2:53">
      <c r="B114" s="669"/>
      <c r="C114" s="352">
        <v>8</v>
      </c>
      <c r="D114" s="355"/>
      <c r="E114" s="353"/>
      <c r="F114" s="353"/>
      <c r="G114" s="353"/>
      <c r="H114" s="671"/>
      <c r="I114" s="367" t="str">
        <f t="shared" si="53"/>
        <v>-</v>
      </c>
      <c r="J114" s="367" t="str">
        <f t="shared" si="54"/>
        <v>-</v>
      </c>
      <c r="K114" s="199" t="str">
        <f t="shared" si="55"/>
        <v>-</v>
      </c>
      <c r="L114" s="617"/>
      <c r="M114" s="531" t="e">
        <f>RANK(K114, K$107:$K$121)</f>
        <v>#VALUE!</v>
      </c>
      <c r="N114" s="635"/>
      <c r="O114" s="635"/>
      <c r="P114" s="528"/>
      <c r="Q114" s="530"/>
      <c r="R114" s="530"/>
      <c r="S114" s="528"/>
      <c r="T114" s="659"/>
      <c r="U114" s="528"/>
      <c r="V114" s="530"/>
      <c r="W114" s="530"/>
      <c r="X114" s="528"/>
      <c r="Y114" s="659"/>
      <c r="Z114" s="528"/>
      <c r="AA114" s="530"/>
      <c r="AB114" s="530"/>
      <c r="AC114" s="528"/>
      <c r="AD114" s="659"/>
      <c r="AE114" s="528"/>
      <c r="AF114" s="530"/>
      <c r="AG114" s="530"/>
      <c r="AH114" s="528"/>
      <c r="AI114" s="659"/>
      <c r="AJ114" s="528"/>
      <c r="AK114" s="530"/>
      <c r="AL114" s="530"/>
      <c r="AM114" s="528"/>
      <c r="AN114" s="659"/>
      <c r="AO114" s="528"/>
      <c r="AP114" s="530"/>
      <c r="AQ114" s="530"/>
      <c r="AR114" s="528"/>
      <c r="AS114" s="659"/>
      <c r="AT114" s="528"/>
      <c r="AU114" s="530"/>
      <c r="AV114" s="530"/>
      <c r="AW114" s="528"/>
      <c r="AX114" s="659"/>
      <c r="AZ114" s="373" t="e">
        <f t="shared" si="56"/>
        <v>#N/A</v>
      </c>
      <c r="BA114" s="694"/>
    </row>
    <row r="115" spans="2:53">
      <c r="B115" s="669"/>
      <c r="C115" s="352">
        <v>9</v>
      </c>
      <c r="D115" s="355"/>
      <c r="E115" s="353"/>
      <c r="F115" s="353"/>
      <c r="G115" s="353"/>
      <c r="H115" s="671"/>
      <c r="I115" s="367" t="str">
        <f t="shared" si="53"/>
        <v>-</v>
      </c>
      <c r="J115" s="367" t="str">
        <f t="shared" si="54"/>
        <v>-</v>
      </c>
      <c r="K115" s="199" t="str">
        <f t="shared" si="55"/>
        <v>-</v>
      </c>
      <c r="L115" s="617"/>
      <c r="M115" s="531" t="e">
        <f>RANK(K115, K$107:$K$121)</f>
        <v>#VALUE!</v>
      </c>
      <c r="N115" s="635"/>
      <c r="O115" s="635"/>
      <c r="P115" s="528"/>
      <c r="Q115" s="530"/>
      <c r="R115" s="530"/>
      <c r="S115" s="528"/>
      <c r="T115" s="659"/>
      <c r="U115" s="528"/>
      <c r="V115" s="530"/>
      <c r="W115" s="530"/>
      <c r="X115" s="528"/>
      <c r="Y115" s="659"/>
      <c r="Z115" s="528"/>
      <c r="AA115" s="530"/>
      <c r="AB115" s="530"/>
      <c r="AC115" s="528"/>
      <c r="AD115" s="659"/>
      <c r="AE115" s="528"/>
      <c r="AF115" s="530"/>
      <c r="AG115" s="530"/>
      <c r="AH115" s="528"/>
      <c r="AI115" s="659"/>
      <c r="AJ115" s="528"/>
      <c r="AK115" s="530"/>
      <c r="AL115" s="530"/>
      <c r="AM115" s="528"/>
      <c r="AN115" s="659"/>
      <c r="AO115" s="528"/>
      <c r="AP115" s="530"/>
      <c r="AQ115" s="530"/>
      <c r="AR115" s="528"/>
      <c r="AS115" s="659"/>
      <c r="AT115" s="528"/>
      <c r="AU115" s="530"/>
      <c r="AV115" s="530"/>
      <c r="AW115" s="528"/>
      <c r="AX115" s="659"/>
      <c r="AZ115" s="373" t="e">
        <f t="shared" si="56"/>
        <v>#N/A</v>
      </c>
      <c r="BA115" s="694"/>
    </row>
    <row r="116" spans="2:53">
      <c r="B116" s="669"/>
      <c r="C116" s="352">
        <v>10</v>
      </c>
      <c r="D116" s="355"/>
      <c r="E116" s="353"/>
      <c r="F116" s="353"/>
      <c r="G116" s="353"/>
      <c r="H116" s="671"/>
      <c r="I116" s="367" t="str">
        <f t="shared" si="53"/>
        <v>-</v>
      </c>
      <c r="J116" s="367" t="str">
        <f t="shared" si="54"/>
        <v>-</v>
      </c>
      <c r="K116" s="199" t="str">
        <f t="shared" si="55"/>
        <v>-</v>
      </c>
      <c r="L116" s="617"/>
      <c r="M116" s="531" t="e">
        <f>RANK(K116, K$107:$K$121)</f>
        <v>#VALUE!</v>
      </c>
      <c r="N116" s="635"/>
      <c r="O116" s="635"/>
      <c r="P116" s="528"/>
      <c r="Q116" s="530"/>
      <c r="R116" s="530"/>
      <c r="S116" s="528"/>
      <c r="T116" s="659"/>
      <c r="U116" s="528"/>
      <c r="V116" s="530"/>
      <c r="W116" s="530"/>
      <c r="X116" s="528"/>
      <c r="Y116" s="659"/>
      <c r="Z116" s="528"/>
      <c r="AA116" s="530"/>
      <c r="AB116" s="530"/>
      <c r="AC116" s="528"/>
      <c r="AD116" s="659"/>
      <c r="AE116" s="528"/>
      <c r="AF116" s="530"/>
      <c r="AG116" s="530"/>
      <c r="AH116" s="528"/>
      <c r="AI116" s="659"/>
      <c r="AJ116" s="528"/>
      <c r="AK116" s="530"/>
      <c r="AL116" s="530"/>
      <c r="AM116" s="528"/>
      <c r="AN116" s="659"/>
      <c r="AO116" s="528"/>
      <c r="AP116" s="530"/>
      <c r="AQ116" s="530"/>
      <c r="AR116" s="528"/>
      <c r="AS116" s="659"/>
      <c r="AT116" s="528"/>
      <c r="AU116" s="530"/>
      <c r="AV116" s="530"/>
      <c r="AW116" s="528"/>
      <c r="AX116" s="659"/>
      <c r="AZ116" s="373" t="e">
        <f t="shared" si="56"/>
        <v>#N/A</v>
      </c>
      <c r="BA116" s="694"/>
    </row>
    <row r="117" spans="2:53">
      <c r="B117" s="669"/>
      <c r="C117" s="352">
        <v>11</v>
      </c>
      <c r="D117" s="355"/>
      <c r="E117" s="353"/>
      <c r="F117" s="353"/>
      <c r="G117" s="353"/>
      <c r="H117" s="671"/>
      <c r="I117" s="367" t="str">
        <f t="shared" si="53"/>
        <v>-</v>
      </c>
      <c r="J117" s="367" t="str">
        <f t="shared" si="54"/>
        <v>-</v>
      </c>
      <c r="K117" s="199" t="str">
        <f t="shared" si="55"/>
        <v>-</v>
      </c>
      <c r="L117" s="617"/>
      <c r="M117" s="531" t="e">
        <f>RANK(K117, K$107:$K$121)</f>
        <v>#VALUE!</v>
      </c>
      <c r="N117" s="635"/>
      <c r="O117" s="635"/>
      <c r="P117" s="528"/>
      <c r="Q117" s="530"/>
      <c r="R117" s="530"/>
      <c r="S117" s="528"/>
      <c r="T117" s="659"/>
      <c r="U117" s="528"/>
      <c r="V117" s="530"/>
      <c r="W117" s="530"/>
      <c r="X117" s="528"/>
      <c r="Y117" s="659"/>
      <c r="Z117" s="528"/>
      <c r="AA117" s="530"/>
      <c r="AB117" s="530"/>
      <c r="AC117" s="528"/>
      <c r="AD117" s="659"/>
      <c r="AE117" s="528"/>
      <c r="AF117" s="530"/>
      <c r="AG117" s="530"/>
      <c r="AH117" s="528"/>
      <c r="AI117" s="659"/>
      <c r="AJ117" s="528"/>
      <c r="AK117" s="530"/>
      <c r="AL117" s="530"/>
      <c r="AM117" s="528"/>
      <c r="AN117" s="659"/>
      <c r="AO117" s="528"/>
      <c r="AP117" s="530"/>
      <c r="AQ117" s="530"/>
      <c r="AR117" s="528"/>
      <c r="AS117" s="659"/>
      <c r="AT117" s="528"/>
      <c r="AU117" s="530"/>
      <c r="AV117" s="530"/>
      <c r="AW117" s="528"/>
      <c r="AX117" s="659"/>
      <c r="AZ117" s="373" t="e">
        <f t="shared" si="56"/>
        <v>#N/A</v>
      </c>
      <c r="BA117" s="694"/>
    </row>
    <row r="118" spans="2:53">
      <c r="B118" s="669"/>
      <c r="C118" s="352">
        <v>12</v>
      </c>
      <c r="D118" s="355"/>
      <c r="E118" s="353"/>
      <c r="F118" s="353"/>
      <c r="G118" s="353"/>
      <c r="H118" s="671"/>
      <c r="I118" s="367" t="str">
        <f t="shared" si="53"/>
        <v>-</v>
      </c>
      <c r="J118" s="367" t="str">
        <f t="shared" si="54"/>
        <v>-</v>
      </c>
      <c r="K118" s="199" t="str">
        <f t="shared" si="55"/>
        <v>-</v>
      </c>
      <c r="L118" s="617"/>
      <c r="M118" s="531" t="e">
        <f>RANK(K118, K$107:$K$121)</f>
        <v>#VALUE!</v>
      </c>
      <c r="N118" s="635"/>
      <c r="O118" s="635"/>
      <c r="P118" s="528"/>
      <c r="Q118" s="530"/>
      <c r="R118" s="530"/>
      <c r="S118" s="528"/>
      <c r="T118" s="659"/>
      <c r="U118" s="528"/>
      <c r="V118" s="530"/>
      <c r="W118" s="530"/>
      <c r="X118" s="528"/>
      <c r="Y118" s="659"/>
      <c r="Z118" s="528"/>
      <c r="AA118" s="530"/>
      <c r="AB118" s="530"/>
      <c r="AC118" s="528"/>
      <c r="AD118" s="659"/>
      <c r="AE118" s="528"/>
      <c r="AF118" s="530"/>
      <c r="AG118" s="530"/>
      <c r="AH118" s="528"/>
      <c r="AI118" s="659"/>
      <c r="AJ118" s="528"/>
      <c r="AK118" s="530"/>
      <c r="AL118" s="530"/>
      <c r="AM118" s="528"/>
      <c r="AN118" s="659"/>
      <c r="AO118" s="528"/>
      <c r="AP118" s="530"/>
      <c r="AQ118" s="530"/>
      <c r="AR118" s="528"/>
      <c r="AS118" s="659"/>
      <c r="AT118" s="528"/>
      <c r="AU118" s="530"/>
      <c r="AV118" s="530"/>
      <c r="AW118" s="528"/>
      <c r="AX118" s="659"/>
      <c r="AZ118" s="373" t="e">
        <f t="shared" si="56"/>
        <v>#N/A</v>
      </c>
      <c r="BA118" s="694"/>
    </row>
    <row r="119" spans="2:53">
      <c r="B119" s="669"/>
      <c r="C119" s="352">
        <v>13</v>
      </c>
      <c r="D119" s="355"/>
      <c r="E119" s="353"/>
      <c r="F119" s="353"/>
      <c r="G119" s="353"/>
      <c r="H119" s="671"/>
      <c r="I119" s="367" t="str">
        <f t="shared" si="53"/>
        <v>-</v>
      </c>
      <c r="J119" s="367" t="str">
        <f t="shared" si="54"/>
        <v>-</v>
      </c>
      <c r="K119" s="199" t="str">
        <f t="shared" si="55"/>
        <v>-</v>
      </c>
      <c r="L119" s="617"/>
      <c r="M119" s="531" t="e">
        <f>RANK(K119, K$107:$K$121)</f>
        <v>#VALUE!</v>
      </c>
      <c r="N119" s="635"/>
      <c r="O119" s="635"/>
      <c r="P119" s="528"/>
      <c r="Q119" s="530"/>
      <c r="R119" s="530"/>
      <c r="S119" s="528"/>
      <c r="T119" s="659"/>
      <c r="U119" s="528"/>
      <c r="V119" s="530"/>
      <c r="W119" s="530"/>
      <c r="X119" s="528"/>
      <c r="Y119" s="659"/>
      <c r="Z119" s="528"/>
      <c r="AA119" s="530"/>
      <c r="AB119" s="530"/>
      <c r="AC119" s="528"/>
      <c r="AD119" s="659"/>
      <c r="AE119" s="528"/>
      <c r="AF119" s="530"/>
      <c r="AG119" s="530"/>
      <c r="AH119" s="528"/>
      <c r="AI119" s="659"/>
      <c r="AJ119" s="528"/>
      <c r="AK119" s="530"/>
      <c r="AL119" s="530"/>
      <c r="AM119" s="528"/>
      <c r="AN119" s="659"/>
      <c r="AO119" s="528"/>
      <c r="AP119" s="530"/>
      <c r="AQ119" s="530"/>
      <c r="AR119" s="528"/>
      <c r="AS119" s="659"/>
      <c r="AT119" s="528"/>
      <c r="AU119" s="530"/>
      <c r="AV119" s="530"/>
      <c r="AW119" s="528"/>
      <c r="AX119" s="659"/>
      <c r="AZ119" s="373" t="e">
        <f t="shared" si="56"/>
        <v>#N/A</v>
      </c>
      <c r="BA119" s="694"/>
    </row>
    <row r="120" spans="2:53">
      <c r="B120" s="669"/>
      <c r="C120" s="352">
        <v>14</v>
      </c>
      <c r="D120" s="355"/>
      <c r="E120" s="353"/>
      <c r="F120" s="353"/>
      <c r="G120" s="353"/>
      <c r="H120" s="671"/>
      <c r="I120" s="367" t="str">
        <f t="shared" si="53"/>
        <v>-</v>
      </c>
      <c r="J120" s="367" t="str">
        <f t="shared" si="54"/>
        <v>-</v>
      </c>
      <c r="K120" s="199" t="str">
        <f t="shared" si="55"/>
        <v>-</v>
      </c>
      <c r="L120" s="617"/>
      <c r="M120" s="531" t="e">
        <f>RANK(K120, K$107:$K$121)</f>
        <v>#VALUE!</v>
      </c>
      <c r="N120" s="635"/>
      <c r="O120" s="635"/>
      <c r="P120" s="528"/>
      <c r="Q120" s="530"/>
      <c r="R120" s="530"/>
      <c r="S120" s="528"/>
      <c r="T120" s="659"/>
      <c r="U120" s="528"/>
      <c r="V120" s="530"/>
      <c r="W120" s="530"/>
      <c r="X120" s="528"/>
      <c r="Y120" s="659"/>
      <c r="Z120" s="528"/>
      <c r="AA120" s="530"/>
      <c r="AB120" s="530"/>
      <c r="AC120" s="528"/>
      <c r="AD120" s="659"/>
      <c r="AE120" s="528"/>
      <c r="AF120" s="530"/>
      <c r="AG120" s="530"/>
      <c r="AH120" s="528"/>
      <c r="AI120" s="659"/>
      <c r="AJ120" s="528"/>
      <c r="AK120" s="530"/>
      <c r="AL120" s="530"/>
      <c r="AM120" s="528"/>
      <c r="AN120" s="659"/>
      <c r="AO120" s="528"/>
      <c r="AP120" s="530"/>
      <c r="AQ120" s="530"/>
      <c r="AR120" s="528"/>
      <c r="AS120" s="659"/>
      <c r="AT120" s="528"/>
      <c r="AU120" s="530"/>
      <c r="AV120" s="530"/>
      <c r="AW120" s="528"/>
      <c r="AX120" s="659"/>
      <c r="AZ120" s="373" t="e">
        <f t="shared" si="56"/>
        <v>#N/A</v>
      </c>
      <c r="BA120" s="694"/>
    </row>
    <row r="121" spans="2:53">
      <c r="B121" s="669"/>
      <c r="C121" s="352">
        <v>15</v>
      </c>
      <c r="D121" s="355"/>
      <c r="E121" s="353"/>
      <c r="F121" s="353"/>
      <c r="G121" s="353"/>
      <c r="H121" s="680"/>
      <c r="I121" s="370"/>
      <c r="J121" s="370"/>
      <c r="K121" s="368"/>
      <c r="L121" s="618"/>
      <c r="M121" s="531" t="e">
        <f>RANK(K121, K$107:$K$121)</f>
        <v>#N/A</v>
      </c>
      <c r="N121" s="635"/>
      <c r="O121" s="635"/>
      <c r="P121" s="528"/>
      <c r="Q121" s="530"/>
      <c r="R121" s="530"/>
      <c r="S121" s="528"/>
      <c r="T121" s="659"/>
      <c r="U121" s="528"/>
      <c r="V121" s="530"/>
      <c r="W121" s="530"/>
      <c r="X121" s="528"/>
      <c r="Y121" s="659"/>
      <c r="Z121" s="528"/>
      <c r="AA121" s="530"/>
      <c r="AB121" s="530"/>
      <c r="AC121" s="528"/>
      <c r="AD121" s="659"/>
      <c r="AE121" s="528"/>
      <c r="AF121" s="530"/>
      <c r="AG121" s="530"/>
      <c r="AH121" s="528"/>
      <c r="AI121" s="659"/>
      <c r="AJ121" s="528"/>
      <c r="AK121" s="530"/>
      <c r="AL121" s="530"/>
      <c r="AM121" s="528"/>
      <c r="AN121" s="659"/>
      <c r="AO121" s="528"/>
      <c r="AP121" s="530"/>
      <c r="AQ121" s="530"/>
      <c r="AR121" s="528"/>
      <c r="AS121" s="659"/>
      <c r="AT121" s="528"/>
      <c r="AU121" s="530"/>
      <c r="AV121" s="530"/>
      <c r="AW121" s="528"/>
      <c r="AX121" s="659"/>
      <c r="AZ121" s="373" t="e">
        <f t="shared" si="56"/>
        <v>#N/A</v>
      </c>
      <c r="BA121" s="694"/>
    </row>
    <row r="123" spans="2:53" ht="15.75">
      <c r="B123" s="672" t="s">
        <v>488</v>
      </c>
      <c r="C123" s="673"/>
      <c r="D123" s="673"/>
      <c r="E123" s="673"/>
      <c r="F123" s="673"/>
      <c r="G123" s="673"/>
      <c r="H123" s="674"/>
      <c r="I123" s="311"/>
      <c r="J123" s="311"/>
      <c r="K123" s="311"/>
      <c r="L123" s="311"/>
      <c r="M123" s="312"/>
    </row>
    <row r="124" spans="2:53" ht="15.75">
      <c r="B124" s="675"/>
      <c r="C124" s="675"/>
      <c r="D124" s="675"/>
      <c r="E124" s="675"/>
      <c r="F124" s="675"/>
      <c r="G124" s="675"/>
      <c r="H124" s="675"/>
      <c r="I124" s="313"/>
      <c r="J124" s="313"/>
      <c r="K124" s="313"/>
      <c r="L124" s="313"/>
      <c r="M124" s="314"/>
    </row>
    <row r="125" spans="2:53">
      <c r="B125" s="635" t="s">
        <v>154</v>
      </c>
      <c r="C125" s="635" t="s">
        <v>382</v>
      </c>
      <c r="D125" s="635"/>
      <c r="E125" s="635" t="s">
        <v>373</v>
      </c>
      <c r="F125" s="635"/>
      <c r="G125" s="635"/>
      <c r="H125" s="636" t="s">
        <v>369</v>
      </c>
      <c r="I125" s="676" t="s">
        <v>374</v>
      </c>
      <c r="J125" s="676"/>
      <c r="K125" s="676"/>
      <c r="L125" s="688" t="s">
        <v>369</v>
      </c>
      <c r="M125" s="691" t="s">
        <v>370</v>
      </c>
    </row>
    <row r="126" spans="2:53">
      <c r="B126" s="635"/>
      <c r="C126" s="635"/>
      <c r="D126" s="635"/>
      <c r="E126" s="635" t="s">
        <v>376</v>
      </c>
      <c r="F126" s="635"/>
      <c r="G126" s="635"/>
      <c r="H126" s="637"/>
      <c r="I126" s="676" t="s">
        <v>376</v>
      </c>
      <c r="J126" s="676"/>
      <c r="K126" s="676"/>
      <c r="L126" s="689"/>
      <c r="M126" s="692"/>
    </row>
    <row r="127" spans="2:53">
      <c r="B127" s="635"/>
      <c r="C127" s="635"/>
      <c r="D127" s="635"/>
      <c r="E127" s="308" t="s">
        <v>378</v>
      </c>
      <c r="F127" s="308" t="s">
        <v>379</v>
      </c>
      <c r="G127" s="308" t="s">
        <v>380</v>
      </c>
      <c r="H127" s="638"/>
      <c r="I127" s="315" t="s">
        <v>378</v>
      </c>
      <c r="J127" s="315" t="s">
        <v>379</v>
      </c>
      <c r="K127" s="315" t="s">
        <v>380</v>
      </c>
      <c r="L127" s="690"/>
      <c r="M127" s="693"/>
    </row>
    <row r="128" spans="2:53">
      <c r="B128" s="679" t="s">
        <v>381</v>
      </c>
      <c r="C128" s="307">
        <v>1</v>
      </c>
      <c r="D128" s="225"/>
      <c r="E128" s="181"/>
      <c r="F128" s="307"/>
      <c r="G128" s="310"/>
      <c r="H128" s="681" t="e">
        <f>AVERAGE(G128:G142)</f>
        <v>#DIV/0!</v>
      </c>
      <c r="I128" s="198" t="e">
        <f t="shared" ref="I128:J138" si="58">AVERAGEIF($D$7:$D$121,$D128,I$7:I$121)</f>
        <v>#DIV/0!</v>
      </c>
      <c r="J128" s="198" t="e">
        <f t="shared" si="58"/>
        <v>#DIV/0!</v>
      </c>
      <c r="K128" s="198" t="e">
        <f t="shared" ref="K128:K138" si="59">AVERAGEIF($D$7:$D$121,$D128,K$7:K$121)</f>
        <v>#DIV/0!</v>
      </c>
      <c r="L128" s="685" t="e">
        <f>AVERAGE(K128:K142)</f>
        <v>#DIV/0!</v>
      </c>
      <c r="M128" s="198" t="e">
        <f>RANK(K128, K$128:$K$142)</f>
        <v>#DIV/0!</v>
      </c>
    </row>
    <row r="129" spans="2:39">
      <c r="B129" s="646"/>
      <c r="C129" s="307">
        <v>2</v>
      </c>
      <c r="D129" s="225"/>
      <c r="E129" s="181"/>
      <c r="F129" s="307"/>
      <c r="G129" s="310"/>
      <c r="H129" s="682"/>
      <c r="I129" s="198" t="e">
        <f t="shared" si="58"/>
        <v>#DIV/0!</v>
      </c>
      <c r="J129" s="198" t="e">
        <f t="shared" si="58"/>
        <v>#DIV/0!</v>
      </c>
      <c r="K129" s="198" t="e">
        <f t="shared" si="59"/>
        <v>#DIV/0!</v>
      </c>
      <c r="L129" s="686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6"/>
      <c r="C130" s="307">
        <v>3</v>
      </c>
      <c r="D130" s="225"/>
      <c r="E130" s="181"/>
      <c r="F130" s="307"/>
      <c r="G130" s="310"/>
      <c r="H130" s="682"/>
      <c r="I130" s="198" t="e">
        <f t="shared" si="58"/>
        <v>#DIV/0!</v>
      </c>
      <c r="J130" s="198" t="e">
        <f t="shared" si="58"/>
        <v>#DIV/0!</v>
      </c>
      <c r="K130" s="198" t="e">
        <f t="shared" si="59"/>
        <v>#DIV/0!</v>
      </c>
      <c r="L130" s="686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6"/>
      <c r="C131" s="307">
        <v>4</v>
      </c>
      <c r="D131" s="225"/>
      <c r="E131" s="181"/>
      <c r="F131" s="307"/>
      <c r="G131" s="310"/>
      <c r="H131" s="682"/>
      <c r="I131" s="198" t="e">
        <f t="shared" si="58"/>
        <v>#DIV/0!</v>
      </c>
      <c r="J131" s="198" t="e">
        <f t="shared" si="58"/>
        <v>#DIV/0!</v>
      </c>
      <c r="K131" s="198" t="e">
        <f t="shared" si="59"/>
        <v>#DIV/0!</v>
      </c>
      <c r="L131" s="686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6"/>
      <c r="C132" s="307">
        <v>5</v>
      </c>
      <c r="D132" s="225"/>
      <c r="E132" s="181"/>
      <c r="F132" s="307"/>
      <c r="G132" s="310"/>
      <c r="H132" s="682"/>
      <c r="I132" s="198" t="e">
        <f t="shared" si="58"/>
        <v>#DIV/0!</v>
      </c>
      <c r="J132" s="198" t="e">
        <f t="shared" si="58"/>
        <v>#DIV/0!</v>
      </c>
      <c r="K132" s="198" t="e">
        <f t="shared" si="59"/>
        <v>#DIV/0!</v>
      </c>
      <c r="L132" s="686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6"/>
      <c r="C133" s="307">
        <v>6</v>
      </c>
      <c r="D133" s="316"/>
      <c r="E133" s="181"/>
      <c r="F133" s="307"/>
      <c r="G133" s="310"/>
      <c r="H133" s="682"/>
      <c r="I133" s="198" t="e">
        <f t="shared" si="58"/>
        <v>#DIV/0!</v>
      </c>
      <c r="J133" s="198" t="e">
        <f t="shared" si="58"/>
        <v>#DIV/0!</v>
      </c>
      <c r="K133" s="198" t="e">
        <f t="shared" si="59"/>
        <v>#DIV/0!</v>
      </c>
      <c r="L133" s="686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6"/>
      <c r="C134" s="307">
        <v>7</v>
      </c>
      <c r="D134" s="225"/>
      <c r="E134" s="181"/>
      <c r="F134" s="307"/>
      <c r="G134" s="310"/>
      <c r="H134" s="682"/>
      <c r="I134" s="198" t="e">
        <f t="shared" si="58"/>
        <v>#DIV/0!</v>
      </c>
      <c r="J134" s="198" t="e">
        <f t="shared" si="58"/>
        <v>#DIV/0!</v>
      </c>
      <c r="K134" s="198" t="e">
        <f t="shared" si="59"/>
        <v>#DIV/0!</v>
      </c>
      <c r="L134" s="686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6"/>
      <c r="C135" s="307">
        <v>8</v>
      </c>
      <c r="D135" s="225"/>
      <c r="E135" s="181"/>
      <c r="F135" s="307"/>
      <c r="G135" s="310"/>
      <c r="H135" s="682"/>
      <c r="I135" s="198" t="e">
        <f t="shared" si="58"/>
        <v>#DIV/0!</v>
      </c>
      <c r="J135" s="198" t="e">
        <f t="shared" si="58"/>
        <v>#DIV/0!</v>
      </c>
      <c r="K135" s="198" t="e">
        <f t="shared" si="59"/>
        <v>#DIV/0!</v>
      </c>
      <c r="L135" s="686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6"/>
      <c r="C136" s="307">
        <v>9</v>
      </c>
      <c r="D136" s="225"/>
      <c r="E136" s="307"/>
      <c r="F136" s="307"/>
      <c r="G136" s="307"/>
      <c r="H136" s="682"/>
      <c r="I136" s="198" t="e">
        <f t="shared" si="58"/>
        <v>#DIV/0!</v>
      </c>
      <c r="J136" s="198" t="e">
        <f t="shared" si="58"/>
        <v>#DIV/0!</v>
      </c>
      <c r="K136" s="198" t="e">
        <f t="shared" si="59"/>
        <v>#DIV/0!</v>
      </c>
      <c r="L136" s="686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6"/>
      <c r="C137" s="307">
        <v>10</v>
      </c>
      <c r="D137" s="225"/>
      <c r="E137" s="307"/>
      <c r="F137" s="307"/>
      <c r="G137" s="307"/>
      <c r="H137" s="682"/>
      <c r="I137" s="198" t="e">
        <f t="shared" si="58"/>
        <v>#DIV/0!</v>
      </c>
      <c r="J137" s="198" t="e">
        <f t="shared" si="58"/>
        <v>#DIV/0!</v>
      </c>
      <c r="K137" s="198" t="e">
        <f t="shared" si="59"/>
        <v>#DIV/0!</v>
      </c>
      <c r="L137" s="686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6"/>
      <c r="C138" s="307">
        <v>11</v>
      </c>
      <c r="D138" s="225"/>
      <c r="E138" s="307"/>
      <c r="F138" s="307"/>
      <c r="G138" s="307"/>
      <c r="H138" s="682"/>
      <c r="I138" s="198" t="e">
        <f t="shared" si="58"/>
        <v>#DIV/0!</v>
      </c>
      <c r="J138" s="198" t="e">
        <f t="shared" si="58"/>
        <v>#DIV/0!</v>
      </c>
      <c r="K138" s="198" t="e">
        <f t="shared" si="59"/>
        <v>#DIV/0!</v>
      </c>
      <c r="L138" s="686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6"/>
      <c r="C139" s="307">
        <v>12</v>
      </c>
      <c r="D139" s="225"/>
      <c r="E139" s="307"/>
      <c r="F139" s="307"/>
      <c r="G139" s="307"/>
      <c r="H139" s="682"/>
      <c r="I139" s="198"/>
      <c r="J139" s="198"/>
      <c r="K139" s="198"/>
      <c r="L139" s="686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6"/>
      <c r="C140" s="307">
        <v>13</v>
      </c>
      <c r="D140" s="225"/>
      <c r="E140" s="307"/>
      <c r="F140" s="307"/>
      <c r="G140" s="307"/>
      <c r="H140" s="682"/>
      <c r="I140" s="198"/>
      <c r="J140" s="198"/>
      <c r="K140" s="198"/>
      <c r="L140" s="686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6"/>
      <c r="C141" s="307">
        <v>14</v>
      </c>
      <c r="D141" s="225"/>
      <c r="E141" s="307"/>
      <c r="F141" s="307"/>
      <c r="G141" s="307"/>
      <c r="H141" s="682"/>
      <c r="I141" s="198"/>
      <c r="J141" s="198"/>
      <c r="K141" s="198"/>
      <c r="L141" s="686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6"/>
      <c r="C142" s="307">
        <v>15</v>
      </c>
      <c r="D142" s="225"/>
      <c r="E142" s="307"/>
      <c r="F142" s="307"/>
      <c r="G142" s="307"/>
      <c r="H142" s="683"/>
      <c r="I142" s="198"/>
      <c r="J142" s="198"/>
      <c r="K142" s="198"/>
      <c r="L142" s="687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43" zoomScale="55" zoomScaleNormal="55" workbookViewId="0">
      <pane xSplit="15" topLeftCell="S1" activePane="topRight" state="frozen"/>
      <selection activeCell="D10" sqref="D10"/>
      <selection pane="topRight" activeCell="V68" sqref="V68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152.66231598723107</v>
      </c>
    </row>
    <row r="2" spans="1:53" ht="15.75">
      <c r="A2" s="81"/>
      <c r="B2" s="650" t="s">
        <v>162</v>
      </c>
      <c r="C2" s="650"/>
      <c r="D2" s="650"/>
      <c r="E2" s="650"/>
      <c r="F2" s="650"/>
      <c r="G2" s="650"/>
      <c r="H2" s="650"/>
      <c r="I2" s="288"/>
      <c r="J2" s="288"/>
      <c r="K2" s="288"/>
      <c r="L2" s="288"/>
      <c r="M2" s="196"/>
      <c r="N2" s="639" t="s">
        <v>156</v>
      </c>
      <c r="O2" s="639" t="s">
        <v>155</v>
      </c>
      <c r="P2" s="645">
        <v>46203</v>
      </c>
      <c r="Q2" s="646"/>
      <c r="R2" s="646"/>
      <c r="S2" s="646"/>
      <c r="T2" s="646"/>
      <c r="U2" s="642">
        <f>P2+1</f>
        <v>46204</v>
      </c>
      <c r="V2" s="643"/>
      <c r="W2" s="643"/>
      <c r="X2" s="643"/>
      <c r="Y2" s="644"/>
      <c r="Z2" s="642">
        <f>U2+1</f>
        <v>46205</v>
      </c>
      <c r="AA2" s="643"/>
      <c r="AB2" s="643"/>
      <c r="AC2" s="643"/>
      <c r="AD2" s="644"/>
      <c r="AE2" s="642">
        <f>Z2+1</f>
        <v>46206</v>
      </c>
      <c r="AF2" s="643"/>
      <c r="AG2" s="643"/>
      <c r="AH2" s="643"/>
      <c r="AI2" s="644"/>
      <c r="AJ2" s="642">
        <f>AE2+1</f>
        <v>46207</v>
      </c>
      <c r="AK2" s="643"/>
      <c r="AL2" s="643"/>
      <c r="AM2" s="643"/>
      <c r="AN2" s="644"/>
      <c r="AO2" s="642">
        <f>AJ2+1</f>
        <v>46208</v>
      </c>
      <c r="AP2" s="643"/>
      <c r="AQ2" s="643"/>
      <c r="AR2" s="643"/>
      <c r="AS2" s="644"/>
      <c r="AT2" s="642">
        <f>AO2+1</f>
        <v>46209</v>
      </c>
      <c r="AU2" s="643"/>
      <c r="AV2" s="643"/>
      <c r="AW2" s="643"/>
      <c r="AX2" s="644"/>
    </row>
    <row r="3" spans="1:53" ht="15.75">
      <c r="A3" s="81"/>
      <c r="B3" s="684"/>
      <c r="C3" s="684"/>
      <c r="D3" s="684"/>
      <c r="E3" s="684"/>
      <c r="F3" s="684"/>
      <c r="G3" s="684"/>
      <c r="H3" s="684"/>
      <c r="I3" s="289"/>
      <c r="J3" s="289"/>
      <c r="K3" s="289"/>
      <c r="L3" s="289"/>
      <c r="M3" s="197"/>
      <c r="N3" s="641"/>
      <c r="O3" s="641"/>
      <c r="P3" s="645" t="s">
        <v>158</v>
      </c>
      <c r="Q3" s="646"/>
      <c r="R3" s="646"/>
      <c r="S3" s="646"/>
      <c r="T3" s="646"/>
      <c r="U3" s="645" t="s">
        <v>114</v>
      </c>
      <c r="V3" s="646"/>
      <c r="W3" s="646"/>
      <c r="X3" s="646"/>
      <c r="Y3" s="646"/>
      <c r="Z3" s="645" t="s">
        <v>159</v>
      </c>
      <c r="AA3" s="646"/>
      <c r="AB3" s="646"/>
      <c r="AC3" s="646"/>
      <c r="AD3" s="646"/>
      <c r="AE3" s="645" t="s">
        <v>157</v>
      </c>
      <c r="AF3" s="646"/>
      <c r="AG3" s="646"/>
      <c r="AH3" s="646"/>
      <c r="AI3" s="646"/>
      <c r="AJ3" s="645" t="s">
        <v>160</v>
      </c>
      <c r="AK3" s="646"/>
      <c r="AL3" s="646"/>
      <c r="AM3" s="646"/>
      <c r="AN3" s="646"/>
      <c r="AO3" s="645" t="s">
        <v>115</v>
      </c>
      <c r="AP3" s="646"/>
      <c r="AQ3" s="646"/>
      <c r="AR3" s="646"/>
      <c r="AS3" s="646"/>
      <c r="AT3" s="645" t="s">
        <v>161</v>
      </c>
      <c r="AU3" s="646"/>
      <c r="AV3" s="646"/>
      <c r="AW3" s="646"/>
      <c r="AX3" s="646"/>
    </row>
    <row r="4" spans="1:53" ht="14.25">
      <c r="A4" s="81"/>
      <c r="B4" s="635" t="s">
        <v>392</v>
      </c>
      <c r="C4" s="635" t="s">
        <v>382</v>
      </c>
      <c r="D4" s="635"/>
      <c r="E4" s="635" t="s">
        <v>373</v>
      </c>
      <c r="F4" s="635"/>
      <c r="G4" s="635"/>
      <c r="H4" s="636" t="s">
        <v>369</v>
      </c>
      <c r="I4" s="619" t="s">
        <v>374</v>
      </c>
      <c r="J4" s="619"/>
      <c r="K4" s="619"/>
      <c r="L4" s="620" t="s">
        <v>369</v>
      </c>
      <c r="M4" s="626" t="s">
        <v>370</v>
      </c>
      <c r="N4" s="635"/>
      <c r="O4" s="635" t="s">
        <v>375</v>
      </c>
      <c r="P4" s="632" t="s">
        <v>371</v>
      </c>
      <c r="Q4" s="633"/>
      <c r="R4" s="633"/>
      <c r="S4" s="634"/>
      <c r="T4" s="635" t="s">
        <v>369</v>
      </c>
      <c r="U4" s="632" t="s">
        <v>371</v>
      </c>
      <c r="V4" s="633"/>
      <c r="W4" s="633"/>
      <c r="X4" s="634"/>
      <c r="Y4" s="635" t="s">
        <v>369</v>
      </c>
      <c r="Z4" s="632" t="s">
        <v>371</v>
      </c>
      <c r="AA4" s="633"/>
      <c r="AB4" s="633"/>
      <c r="AC4" s="634"/>
      <c r="AD4" s="635" t="s">
        <v>369</v>
      </c>
      <c r="AE4" s="632" t="s">
        <v>371</v>
      </c>
      <c r="AF4" s="633"/>
      <c r="AG4" s="633"/>
      <c r="AH4" s="634"/>
      <c r="AI4" s="635" t="s">
        <v>369</v>
      </c>
      <c r="AJ4" s="632" t="s">
        <v>371</v>
      </c>
      <c r="AK4" s="633"/>
      <c r="AL4" s="633"/>
      <c r="AM4" s="634"/>
      <c r="AN4" s="635" t="s">
        <v>369</v>
      </c>
      <c r="AO4" s="632" t="s">
        <v>371</v>
      </c>
      <c r="AP4" s="633"/>
      <c r="AQ4" s="633"/>
      <c r="AR4" s="634"/>
      <c r="AS4" s="635" t="s">
        <v>369</v>
      </c>
      <c r="AT4" s="632" t="s">
        <v>371</v>
      </c>
      <c r="AU4" s="633"/>
      <c r="AV4" s="633"/>
      <c r="AW4" s="634"/>
      <c r="AX4" s="635" t="s">
        <v>369</v>
      </c>
      <c r="BA4" s="635" t="s">
        <v>369</v>
      </c>
    </row>
    <row r="5" spans="1:53" ht="14.25">
      <c r="A5" s="81"/>
      <c r="B5" s="635"/>
      <c r="C5" s="635"/>
      <c r="D5" s="635"/>
      <c r="E5" s="635" t="s">
        <v>376</v>
      </c>
      <c r="F5" s="635"/>
      <c r="G5" s="635"/>
      <c r="H5" s="637"/>
      <c r="I5" s="619" t="s">
        <v>376</v>
      </c>
      <c r="J5" s="619"/>
      <c r="K5" s="619"/>
      <c r="L5" s="621"/>
      <c r="M5" s="627"/>
      <c r="N5" s="635"/>
      <c r="O5" s="635"/>
      <c r="P5" s="632" t="s">
        <v>377</v>
      </c>
      <c r="Q5" s="633"/>
      <c r="R5" s="633"/>
      <c r="S5" s="634"/>
      <c r="T5" s="635"/>
      <c r="U5" s="632" t="s">
        <v>377</v>
      </c>
      <c r="V5" s="633"/>
      <c r="W5" s="633"/>
      <c r="X5" s="634"/>
      <c r="Y5" s="635"/>
      <c r="Z5" s="632" t="s">
        <v>377</v>
      </c>
      <c r="AA5" s="633"/>
      <c r="AB5" s="633"/>
      <c r="AC5" s="634"/>
      <c r="AD5" s="635"/>
      <c r="AE5" s="632" t="s">
        <v>377</v>
      </c>
      <c r="AF5" s="633"/>
      <c r="AG5" s="633"/>
      <c r="AH5" s="634"/>
      <c r="AI5" s="635"/>
      <c r="AJ5" s="632" t="s">
        <v>377</v>
      </c>
      <c r="AK5" s="633"/>
      <c r="AL5" s="633"/>
      <c r="AM5" s="634"/>
      <c r="AN5" s="635"/>
      <c r="AO5" s="632" t="s">
        <v>377</v>
      </c>
      <c r="AP5" s="633"/>
      <c r="AQ5" s="633"/>
      <c r="AR5" s="634"/>
      <c r="AS5" s="635"/>
      <c r="AT5" s="632" t="s">
        <v>377</v>
      </c>
      <c r="AU5" s="633"/>
      <c r="AV5" s="633"/>
      <c r="AW5" s="634"/>
      <c r="AX5" s="635"/>
      <c r="BA5" s="635"/>
    </row>
    <row r="6" spans="1:53" ht="14.25">
      <c r="A6" s="79"/>
      <c r="B6" s="635"/>
      <c r="C6" s="635"/>
      <c r="D6" s="635"/>
      <c r="E6" s="382" t="s">
        <v>378</v>
      </c>
      <c r="F6" s="382" t="s">
        <v>379</v>
      </c>
      <c r="G6" s="382" t="s">
        <v>380</v>
      </c>
      <c r="H6" s="638"/>
      <c r="I6" s="381" t="s">
        <v>378</v>
      </c>
      <c r="J6" s="381" t="s">
        <v>379</v>
      </c>
      <c r="K6" s="381" t="s">
        <v>380</v>
      </c>
      <c r="L6" s="622"/>
      <c r="M6" s="628"/>
      <c r="N6" s="635"/>
      <c r="O6" s="635"/>
      <c r="P6" s="533" t="s">
        <v>378</v>
      </c>
      <c r="Q6" s="533" t="s">
        <v>379</v>
      </c>
      <c r="R6" s="533" t="s">
        <v>380</v>
      </c>
      <c r="S6" s="533" t="s">
        <v>370</v>
      </c>
      <c r="T6" s="635"/>
      <c r="U6" s="533" t="s">
        <v>378</v>
      </c>
      <c r="V6" s="533" t="s">
        <v>379</v>
      </c>
      <c r="W6" s="533" t="s">
        <v>380</v>
      </c>
      <c r="X6" s="533" t="s">
        <v>370</v>
      </c>
      <c r="Y6" s="635"/>
      <c r="Z6" s="533" t="s">
        <v>378</v>
      </c>
      <c r="AA6" s="533" t="s">
        <v>379</v>
      </c>
      <c r="AB6" s="533" t="s">
        <v>380</v>
      </c>
      <c r="AC6" s="533" t="s">
        <v>370</v>
      </c>
      <c r="AD6" s="635"/>
      <c r="AE6" s="533" t="s">
        <v>378</v>
      </c>
      <c r="AF6" s="533" t="s">
        <v>379</v>
      </c>
      <c r="AG6" s="533" t="s">
        <v>380</v>
      </c>
      <c r="AH6" s="533" t="s">
        <v>370</v>
      </c>
      <c r="AI6" s="635"/>
      <c r="AJ6" s="533" t="s">
        <v>378</v>
      </c>
      <c r="AK6" s="533" t="s">
        <v>379</v>
      </c>
      <c r="AL6" s="533" t="s">
        <v>380</v>
      </c>
      <c r="AM6" s="533" t="s">
        <v>370</v>
      </c>
      <c r="AN6" s="635"/>
      <c r="AO6" s="533" t="s">
        <v>378</v>
      </c>
      <c r="AP6" s="533" t="s">
        <v>379</v>
      </c>
      <c r="AQ6" s="533" t="s">
        <v>380</v>
      </c>
      <c r="AR6" s="533" t="s">
        <v>370</v>
      </c>
      <c r="AS6" s="635"/>
      <c r="AT6" s="533" t="s">
        <v>378</v>
      </c>
      <c r="AU6" s="533" t="s">
        <v>379</v>
      </c>
      <c r="AV6" s="533" t="s">
        <v>380</v>
      </c>
      <c r="AW6" s="533" t="s">
        <v>370</v>
      </c>
      <c r="AX6" s="635"/>
      <c r="AZ6" s="371" t="s">
        <v>370</v>
      </c>
      <c r="BA6" s="635"/>
    </row>
    <row r="7" spans="1:53" ht="14.25">
      <c r="A7" s="81"/>
      <c r="B7" s="635" t="s">
        <v>407</v>
      </c>
      <c r="C7" s="383">
        <v>1</v>
      </c>
      <c r="D7" s="225" t="s">
        <v>708</v>
      </c>
      <c r="E7" s="539">
        <v>15</v>
      </c>
      <c r="F7" s="535">
        <v>2000</v>
      </c>
      <c r="G7" s="534">
        <v>100</v>
      </c>
      <c r="H7" s="681">
        <f>AVERAGE(G7:G21)</f>
        <v>100</v>
      </c>
      <c r="I7" s="385">
        <f t="shared" ref="I7:I20" si="0">IFERROR(AVERAGE(P7,U7,Z7,AE7,AJ7,AO7,AT7),"-")</f>
        <v>15</v>
      </c>
      <c r="J7" s="385">
        <f t="shared" ref="J7:J20" si="1">IFERROR(AVERAGE(Q7,V7,AA7,AF7,AK7,AP7,AU7),"-")</f>
        <v>1986.0385291614396</v>
      </c>
      <c r="K7" s="199">
        <f t="shared" ref="K7:K20" si="2">IFERROR(AVERAGE(R7,W7,AB7,AG7,AL7,AQ7,AV7),"-")</f>
        <v>132.40256861076264</v>
      </c>
      <c r="L7" s="616">
        <f>IFERROR(AVERAGE(K7:K21),"-")</f>
        <v>132.40256861076264</v>
      </c>
      <c r="M7" s="387">
        <f>RANK(K7, K$7:$K$21)</f>
        <v>1</v>
      </c>
      <c r="N7" s="635"/>
      <c r="O7" s="635"/>
      <c r="P7" s="535">
        <v>15</v>
      </c>
      <c r="Q7" s="539">
        <v>1999.2941176470588</v>
      </c>
      <c r="R7" s="539">
        <v>133.28627450980392</v>
      </c>
      <c r="S7" s="535">
        <v>1</v>
      </c>
      <c r="T7" s="659">
        <v>133.28627450980392</v>
      </c>
      <c r="U7" s="535">
        <v>15</v>
      </c>
      <c r="V7" s="539">
        <v>1986.4000000000005</v>
      </c>
      <c r="W7" s="539">
        <v>132.4266666666667</v>
      </c>
      <c r="X7" s="535">
        <v>1</v>
      </c>
      <c r="Y7" s="659">
        <v>132.4266666666667</v>
      </c>
      <c r="Z7" s="535">
        <v>15</v>
      </c>
      <c r="AA7" s="539">
        <v>1968.8888888888889</v>
      </c>
      <c r="AB7" s="539">
        <v>131.25925925925927</v>
      </c>
      <c r="AC7" s="535">
        <v>1</v>
      </c>
      <c r="AD7" s="659">
        <v>131.25925925925927</v>
      </c>
      <c r="AE7" s="535">
        <v>15</v>
      </c>
      <c r="AF7" s="539">
        <v>2031.999999999998</v>
      </c>
      <c r="AG7" s="539">
        <v>135.46666666666653</v>
      </c>
      <c r="AH7" s="535">
        <v>1</v>
      </c>
      <c r="AI7" s="659">
        <v>135.46666666666653</v>
      </c>
      <c r="AJ7" s="535">
        <v>15</v>
      </c>
      <c r="AK7" s="539">
        <v>1959.6923076923074</v>
      </c>
      <c r="AL7" s="539">
        <v>130.64615384615382</v>
      </c>
      <c r="AM7" s="535">
        <v>1</v>
      </c>
      <c r="AN7" s="659">
        <v>130.64615384615382</v>
      </c>
      <c r="AO7" s="535">
        <v>15</v>
      </c>
      <c r="AP7" s="539">
        <v>2000.516129032258</v>
      </c>
      <c r="AQ7" s="539">
        <v>133.36774193548388</v>
      </c>
      <c r="AR7" s="535">
        <v>1</v>
      </c>
      <c r="AS7" s="659">
        <v>133.36774193548388</v>
      </c>
      <c r="AT7" s="535">
        <v>15</v>
      </c>
      <c r="AU7" s="539">
        <v>1955.4782608695666</v>
      </c>
      <c r="AV7" s="539">
        <v>130.36521739130444</v>
      </c>
      <c r="AW7" s="535">
        <v>1</v>
      </c>
      <c r="AX7" s="659">
        <v>130.36521739130444</v>
      </c>
      <c r="AZ7" s="372" t="e">
        <f t="shared" ref="AZ7:AZ21" si="3">RANK(AY7, AY$7:AY$21)</f>
        <v>#N/A</v>
      </c>
      <c r="BA7" s="659" t="e">
        <f t="shared" ref="BA7" si="4">AVERAGE(AY7:AY21)</f>
        <v>#DIV/0!</v>
      </c>
    </row>
    <row r="8" spans="1:53" ht="15" customHeight="1">
      <c r="A8" s="81"/>
      <c r="B8" s="646"/>
      <c r="C8" s="383">
        <v>2</v>
      </c>
      <c r="D8" s="225"/>
      <c r="E8" s="539"/>
      <c r="F8" s="535"/>
      <c r="G8" s="534"/>
      <c r="H8" s="682"/>
      <c r="I8" s="385" t="str">
        <f t="shared" si="0"/>
        <v>-</v>
      </c>
      <c r="J8" s="385" t="str">
        <f t="shared" si="1"/>
        <v>-</v>
      </c>
      <c r="K8" s="199" t="str">
        <f t="shared" si="2"/>
        <v>-</v>
      </c>
      <c r="L8" s="617"/>
      <c r="M8" s="387" t="e">
        <f>RANK(K8, K$7:$K$21)</f>
        <v>#VALUE!</v>
      </c>
      <c r="N8" s="635"/>
      <c r="O8" s="635"/>
      <c r="P8" s="535" t="s">
        <v>592</v>
      </c>
      <c r="Q8" s="539" t="s">
        <v>592</v>
      </c>
      <c r="R8" s="539" t="s">
        <v>592</v>
      </c>
      <c r="S8" s="535" t="e">
        <v>#VALUE!</v>
      </c>
      <c r="T8" s="659"/>
      <c r="U8" s="535" t="s">
        <v>592</v>
      </c>
      <c r="V8" s="539" t="s">
        <v>592</v>
      </c>
      <c r="W8" s="539" t="s">
        <v>592</v>
      </c>
      <c r="X8" s="535" t="e">
        <v>#VALUE!</v>
      </c>
      <c r="Y8" s="659"/>
      <c r="Z8" s="535" t="s">
        <v>592</v>
      </c>
      <c r="AA8" s="539" t="s">
        <v>592</v>
      </c>
      <c r="AB8" s="539" t="s">
        <v>592</v>
      </c>
      <c r="AC8" s="535" t="e">
        <v>#VALUE!</v>
      </c>
      <c r="AD8" s="659"/>
      <c r="AE8" s="535" t="s">
        <v>592</v>
      </c>
      <c r="AF8" s="539" t="s">
        <v>592</v>
      </c>
      <c r="AG8" s="539" t="s">
        <v>592</v>
      </c>
      <c r="AH8" s="535" t="e">
        <v>#VALUE!</v>
      </c>
      <c r="AI8" s="659"/>
      <c r="AJ8" s="535" t="s">
        <v>592</v>
      </c>
      <c r="AK8" s="539" t="s">
        <v>592</v>
      </c>
      <c r="AL8" s="539" t="s">
        <v>592</v>
      </c>
      <c r="AM8" s="535" t="e">
        <v>#VALUE!</v>
      </c>
      <c r="AN8" s="659"/>
      <c r="AO8" s="535" t="s">
        <v>592</v>
      </c>
      <c r="AP8" s="539" t="s">
        <v>592</v>
      </c>
      <c r="AQ8" s="539" t="s">
        <v>592</v>
      </c>
      <c r="AR8" s="535" t="e">
        <v>#VALUE!</v>
      </c>
      <c r="AS8" s="659"/>
      <c r="AT8" s="535" t="s">
        <v>592</v>
      </c>
      <c r="AU8" s="539" t="s">
        <v>592</v>
      </c>
      <c r="AV8" s="539" t="s">
        <v>592</v>
      </c>
      <c r="AW8" s="535" t="e">
        <v>#VALUE!</v>
      </c>
      <c r="AX8" s="659"/>
      <c r="AZ8" s="372" t="e">
        <f t="shared" si="3"/>
        <v>#N/A</v>
      </c>
      <c r="BA8" s="659"/>
    </row>
    <row r="9" spans="1:53" ht="14.25">
      <c r="A9" s="81"/>
      <c r="B9" s="646"/>
      <c r="C9" s="383">
        <v>3</v>
      </c>
      <c r="D9" s="225"/>
      <c r="E9" s="539"/>
      <c r="F9" s="535"/>
      <c r="G9" s="534"/>
      <c r="H9" s="682"/>
      <c r="I9" s="385" t="str">
        <f t="shared" si="0"/>
        <v>-</v>
      </c>
      <c r="J9" s="385" t="str">
        <f t="shared" si="1"/>
        <v>-</v>
      </c>
      <c r="K9" s="199" t="str">
        <f t="shared" si="2"/>
        <v>-</v>
      </c>
      <c r="L9" s="617"/>
      <c r="M9" s="387" t="e">
        <f>RANK(K9, K$7:$K$21)</f>
        <v>#VALUE!</v>
      </c>
      <c r="N9" s="635"/>
      <c r="O9" s="635"/>
      <c r="P9" s="535" t="s">
        <v>592</v>
      </c>
      <c r="Q9" s="539" t="s">
        <v>592</v>
      </c>
      <c r="R9" s="539" t="s">
        <v>592</v>
      </c>
      <c r="S9" s="535" t="e">
        <v>#VALUE!</v>
      </c>
      <c r="T9" s="659"/>
      <c r="U9" s="535" t="s">
        <v>592</v>
      </c>
      <c r="V9" s="539" t="s">
        <v>592</v>
      </c>
      <c r="W9" s="539" t="s">
        <v>592</v>
      </c>
      <c r="X9" s="535" t="e">
        <v>#VALUE!</v>
      </c>
      <c r="Y9" s="659"/>
      <c r="Z9" s="535" t="s">
        <v>592</v>
      </c>
      <c r="AA9" s="539" t="s">
        <v>592</v>
      </c>
      <c r="AB9" s="539" t="s">
        <v>592</v>
      </c>
      <c r="AC9" s="535" t="e">
        <v>#VALUE!</v>
      </c>
      <c r="AD9" s="659"/>
      <c r="AE9" s="535" t="s">
        <v>592</v>
      </c>
      <c r="AF9" s="539" t="s">
        <v>592</v>
      </c>
      <c r="AG9" s="539" t="s">
        <v>592</v>
      </c>
      <c r="AH9" s="535" t="e">
        <v>#VALUE!</v>
      </c>
      <c r="AI9" s="659"/>
      <c r="AJ9" s="535" t="s">
        <v>592</v>
      </c>
      <c r="AK9" s="539" t="s">
        <v>592</v>
      </c>
      <c r="AL9" s="539" t="s">
        <v>592</v>
      </c>
      <c r="AM9" s="535" t="e">
        <v>#VALUE!</v>
      </c>
      <c r="AN9" s="659"/>
      <c r="AO9" s="535" t="s">
        <v>592</v>
      </c>
      <c r="AP9" s="539" t="s">
        <v>592</v>
      </c>
      <c r="AQ9" s="539" t="s">
        <v>592</v>
      </c>
      <c r="AR9" s="535" t="e">
        <v>#VALUE!</v>
      </c>
      <c r="AS9" s="659"/>
      <c r="AT9" s="535" t="s">
        <v>592</v>
      </c>
      <c r="AU9" s="539" t="s">
        <v>592</v>
      </c>
      <c r="AV9" s="539" t="s">
        <v>592</v>
      </c>
      <c r="AW9" s="535" t="e">
        <v>#VALUE!</v>
      </c>
      <c r="AX9" s="659"/>
      <c r="AZ9" s="372" t="e">
        <f t="shared" si="3"/>
        <v>#N/A</v>
      </c>
      <c r="BA9" s="659"/>
    </row>
    <row r="10" spans="1:53" ht="14.25">
      <c r="A10" s="81"/>
      <c r="B10" s="646"/>
      <c r="C10" s="383">
        <v>4</v>
      </c>
      <c r="D10" s="225"/>
      <c r="E10" s="539"/>
      <c r="F10" s="535"/>
      <c r="G10" s="534"/>
      <c r="H10" s="682"/>
      <c r="I10" s="385" t="str">
        <f t="shared" si="0"/>
        <v>-</v>
      </c>
      <c r="J10" s="385" t="str">
        <f t="shared" si="1"/>
        <v>-</v>
      </c>
      <c r="K10" s="199" t="str">
        <f t="shared" si="2"/>
        <v>-</v>
      </c>
      <c r="L10" s="617"/>
      <c r="M10" s="387" t="e">
        <f>RANK(K10, K$7:$K$21)</f>
        <v>#VALUE!</v>
      </c>
      <c r="N10" s="635"/>
      <c r="O10" s="635"/>
      <c r="P10" s="535" t="s">
        <v>592</v>
      </c>
      <c r="Q10" s="539" t="s">
        <v>592</v>
      </c>
      <c r="R10" s="539" t="s">
        <v>592</v>
      </c>
      <c r="S10" s="535" t="e">
        <v>#VALUE!</v>
      </c>
      <c r="T10" s="659"/>
      <c r="U10" s="535" t="s">
        <v>592</v>
      </c>
      <c r="V10" s="539" t="s">
        <v>592</v>
      </c>
      <c r="W10" s="539" t="s">
        <v>592</v>
      </c>
      <c r="X10" s="535" t="e">
        <v>#VALUE!</v>
      </c>
      <c r="Y10" s="659"/>
      <c r="Z10" s="535" t="s">
        <v>592</v>
      </c>
      <c r="AA10" s="539" t="s">
        <v>592</v>
      </c>
      <c r="AB10" s="539" t="s">
        <v>592</v>
      </c>
      <c r="AC10" s="535" t="e">
        <v>#VALUE!</v>
      </c>
      <c r="AD10" s="659"/>
      <c r="AE10" s="535" t="s">
        <v>592</v>
      </c>
      <c r="AF10" s="539" t="s">
        <v>592</v>
      </c>
      <c r="AG10" s="539" t="s">
        <v>592</v>
      </c>
      <c r="AH10" s="535" t="e">
        <v>#VALUE!</v>
      </c>
      <c r="AI10" s="659"/>
      <c r="AJ10" s="535" t="s">
        <v>592</v>
      </c>
      <c r="AK10" s="539" t="s">
        <v>592</v>
      </c>
      <c r="AL10" s="539" t="s">
        <v>592</v>
      </c>
      <c r="AM10" s="535" t="e">
        <v>#VALUE!</v>
      </c>
      <c r="AN10" s="659"/>
      <c r="AO10" s="535" t="s">
        <v>592</v>
      </c>
      <c r="AP10" s="539" t="s">
        <v>592</v>
      </c>
      <c r="AQ10" s="539" t="s">
        <v>592</v>
      </c>
      <c r="AR10" s="535" t="e">
        <v>#VALUE!</v>
      </c>
      <c r="AS10" s="659"/>
      <c r="AT10" s="535" t="s">
        <v>592</v>
      </c>
      <c r="AU10" s="539" t="s">
        <v>592</v>
      </c>
      <c r="AV10" s="539" t="s">
        <v>592</v>
      </c>
      <c r="AW10" s="535" t="e">
        <v>#VALUE!</v>
      </c>
      <c r="AX10" s="659"/>
      <c r="AZ10" s="372" t="e">
        <f t="shared" si="3"/>
        <v>#N/A</v>
      </c>
      <c r="BA10" s="659"/>
    </row>
    <row r="11" spans="1:53" ht="14.25">
      <c r="A11" s="81"/>
      <c r="B11" s="646"/>
      <c r="C11" s="383">
        <v>5</v>
      </c>
      <c r="D11" s="225"/>
      <c r="E11" s="539"/>
      <c r="F11" s="535"/>
      <c r="G11" s="534"/>
      <c r="H11" s="682"/>
      <c r="I11" s="385" t="str">
        <f t="shared" si="0"/>
        <v>-</v>
      </c>
      <c r="J11" s="385" t="str">
        <f t="shared" si="1"/>
        <v>-</v>
      </c>
      <c r="K11" s="199" t="str">
        <f t="shared" si="2"/>
        <v>-</v>
      </c>
      <c r="L11" s="617"/>
      <c r="M11" s="387" t="e">
        <f>RANK(K11, K$7:$K$21)</f>
        <v>#VALUE!</v>
      </c>
      <c r="N11" s="635"/>
      <c r="O11" s="635"/>
      <c r="P11" s="535" t="s">
        <v>592</v>
      </c>
      <c r="Q11" s="539" t="s">
        <v>592</v>
      </c>
      <c r="R11" s="539" t="s">
        <v>592</v>
      </c>
      <c r="S11" s="535"/>
      <c r="T11" s="659"/>
      <c r="U11" s="535" t="s">
        <v>592</v>
      </c>
      <c r="V11" s="539" t="s">
        <v>592</v>
      </c>
      <c r="W11" s="539" t="s">
        <v>592</v>
      </c>
      <c r="X11" s="535"/>
      <c r="Y11" s="659"/>
      <c r="Z11" s="535" t="s">
        <v>592</v>
      </c>
      <c r="AA11" s="539" t="s">
        <v>592</v>
      </c>
      <c r="AB11" s="539" t="s">
        <v>592</v>
      </c>
      <c r="AC11" s="535"/>
      <c r="AD11" s="659"/>
      <c r="AE11" s="535" t="s">
        <v>592</v>
      </c>
      <c r="AF11" s="539" t="s">
        <v>592</v>
      </c>
      <c r="AG11" s="539" t="s">
        <v>592</v>
      </c>
      <c r="AH11" s="535"/>
      <c r="AI11" s="659"/>
      <c r="AJ11" s="535" t="s">
        <v>592</v>
      </c>
      <c r="AK11" s="539" t="s">
        <v>592</v>
      </c>
      <c r="AL11" s="539" t="s">
        <v>592</v>
      </c>
      <c r="AM11" s="535"/>
      <c r="AN11" s="659"/>
      <c r="AO11" s="535" t="s">
        <v>592</v>
      </c>
      <c r="AP11" s="539" t="s">
        <v>592</v>
      </c>
      <c r="AQ11" s="539" t="s">
        <v>592</v>
      </c>
      <c r="AR11" s="535"/>
      <c r="AS11" s="659"/>
      <c r="AT11" s="535" t="s">
        <v>592</v>
      </c>
      <c r="AU11" s="539" t="s">
        <v>592</v>
      </c>
      <c r="AV11" s="539" t="s">
        <v>592</v>
      </c>
      <c r="AW11" s="535"/>
      <c r="AX11" s="659"/>
      <c r="AZ11" s="372" t="e">
        <f t="shared" si="3"/>
        <v>#N/A</v>
      </c>
      <c r="BA11" s="659"/>
    </row>
    <row r="12" spans="1:53" ht="14.25">
      <c r="A12" s="81"/>
      <c r="B12" s="646"/>
      <c r="C12" s="383">
        <v>6</v>
      </c>
      <c r="D12" s="225"/>
      <c r="E12" s="539"/>
      <c r="F12" s="535"/>
      <c r="G12" s="534"/>
      <c r="H12" s="682"/>
      <c r="I12" s="385" t="str">
        <f t="shared" si="0"/>
        <v>-</v>
      </c>
      <c r="J12" s="385" t="str">
        <f t="shared" si="1"/>
        <v>-</v>
      </c>
      <c r="K12" s="199" t="str">
        <f t="shared" si="2"/>
        <v>-</v>
      </c>
      <c r="L12" s="617"/>
      <c r="M12" s="387" t="e">
        <f>RANK(K12, K$7:$K$21)</f>
        <v>#VALUE!</v>
      </c>
      <c r="N12" s="635"/>
      <c r="O12" s="635"/>
      <c r="P12" s="535" t="s">
        <v>592</v>
      </c>
      <c r="Q12" s="539" t="s">
        <v>592</v>
      </c>
      <c r="R12" s="539" t="s">
        <v>592</v>
      </c>
      <c r="S12" s="535"/>
      <c r="T12" s="659"/>
      <c r="U12" s="535" t="s">
        <v>592</v>
      </c>
      <c r="V12" s="539" t="s">
        <v>592</v>
      </c>
      <c r="W12" s="539" t="s">
        <v>592</v>
      </c>
      <c r="X12" s="535"/>
      <c r="Y12" s="659"/>
      <c r="Z12" s="535" t="s">
        <v>592</v>
      </c>
      <c r="AA12" s="539" t="s">
        <v>592</v>
      </c>
      <c r="AB12" s="539" t="s">
        <v>592</v>
      </c>
      <c r="AC12" s="535"/>
      <c r="AD12" s="659"/>
      <c r="AE12" s="535" t="s">
        <v>592</v>
      </c>
      <c r="AF12" s="539" t="s">
        <v>592</v>
      </c>
      <c r="AG12" s="539" t="s">
        <v>592</v>
      </c>
      <c r="AH12" s="535"/>
      <c r="AI12" s="659"/>
      <c r="AJ12" s="535" t="s">
        <v>592</v>
      </c>
      <c r="AK12" s="539" t="s">
        <v>592</v>
      </c>
      <c r="AL12" s="539" t="s">
        <v>592</v>
      </c>
      <c r="AM12" s="535"/>
      <c r="AN12" s="659"/>
      <c r="AO12" s="535" t="s">
        <v>592</v>
      </c>
      <c r="AP12" s="539" t="s">
        <v>592</v>
      </c>
      <c r="AQ12" s="539" t="s">
        <v>592</v>
      </c>
      <c r="AR12" s="535"/>
      <c r="AS12" s="659"/>
      <c r="AT12" s="535" t="s">
        <v>592</v>
      </c>
      <c r="AU12" s="539" t="s">
        <v>592</v>
      </c>
      <c r="AV12" s="539" t="s">
        <v>592</v>
      </c>
      <c r="AW12" s="535"/>
      <c r="AX12" s="659"/>
      <c r="AZ12" s="372" t="e">
        <f t="shared" si="3"/>
        <v>#N/A</v>
      </c>
      <c r="BA12" s="659"/>
    </row>
    <row r="13" spans="1:53" ht="14.25">
      <c r="A13" s="81"/>
      <c r="B13" s="646"/>
      <c r="C13" s="383">
        <v>7</v>
      </c>
      <c r="D13" s="225"/>
      <c r="E13" s="539"/>
      <c r="F13" s="535"/>
      <c r="G13" s="534"/>
      <c r="H13" s="682"/>
      <c r="I13" s="385" t="str">
        <f t="shared" si="0"/>
        <v>-</v>
      </c>
      <c r="J13" s="385" t="str">
        <f t="shared" si="1"/>
        <v>-</v>
      </c>
      <c r="K13" s="199" t="str">
        <f t="shared" si="2"/>
        <v>-</v>
      </c>
      <c r="L13" s="617"/>
      <c r="M13" s="387" t="e">
        <f>RANK(K13, K$7:$K$21)</f>
        <v>#VALUE!</v>
      </c>
      <c r="N13" s="635"/>
      <c r="O13" s="635"/>
      <c r="P13" s="535" t="s">
        <v>592</v>
      </c>
      <c r="Q13" s="539" t="s">
        <v>592</v>
      </c>
      <c r="R13" s="539" t="s">
        <v>592</v>
      </c>
      <c r="S13" s="535"/>
      <c r="T13" s="659"/>
      <c r="U13" s="535" t="s">
        <v>592</v>
      </c>
      <c r="V13" s="539" t="s">
        <v>592</v>
      </c>
      <c r="W13" s="539" t="s">
        <v>592</v>
      </c>
      <c r="X13" s="535"/>
      <c r="Y13" s="659"/>
      <c r="Z13" s="535" t="s">
        <v>592</v>
      </c>
      <c r="AA13" s="539" t="s">
        <v>592</v>
      </c>
      <c r="AB13" s="539" t="s">
        <v>592</v>
      </c>
      <c r="AC13" s="535"/>
      <c r="AD13" s="659"/>
      <c r="AE13" s="535" t="s">
        <v>592</v>
      </c>
      <c r="AF13" s="539" t="s">
        <v>592</v>
      </c>
      <c r="AG13" s="539" t="s">
        <v>592</v>
      </c>
      <c r="AH13" s="535"/>
      <c r="AI13" s="659"/>
      <c r="AJ13" s="535" t="s">
        <v>592</v>
      </c>
      <c r="AK13" s="539" t="s">
        <v>592</v>
      </c>
      <c r="AL13" s="539" t="s">
        <v>592</v>
      </c>
      <c r="AM13" s="535"/>
      <c r="AN13" s="659"/>
      <c r="AO13" s="535" t="s">
        <v>592</v>
      </c>
      <c r="AP13" s="539" t="s">
        <v>592</v>
      </c>
      <c r="AQ13" s="539" t="s">
        <v>592</v>
      </c>
      <c r="AR13" s="535"/>
      <c r="AS13" s="659"/>
      <c r="AT13" s="535" t="s">
        <v>592</v>
      </c>
      <c r="AU13" s="539" t="s">
        <v>592</v>
      </c>
      <c r="AV13" s="539" t="s">
        <v>592</v>
      </c>
      <c r="AW13" s="535"/>
      <c r="AX13" s="659"/>
      <c r="AZ13" s="372" t="e">
        <f t="shared" si="3"/>
        <v>#N/A</v>
      </c>
      <c r="BA13" s="659"/>
    </row>
    <row r="14" spans="1:53" ht="14.25">
      <c r="A14" s="81"/>
      <c r="B14" s="646"/>
      <c r="C14" s="383">
        <v>8</v>
      </c>
      <c r="D14" s="225"/>
      <c r="E14" s="539"/>
      <c r="F14" s="535"/>
      <c r="G14" s="534"/>
      <c r="H14" s="682"/>
      <c r="I14" s="385" t="str">
        <f t="shared" si="0"/>
        <v>-</v>
      </c>
      <c r="J14" s="385" t="str">
        <f t="shared" si="1"/>
        <v>-</v>
      </c>
      <c r="K14" s="199" t="str">
        <f t="shared" si="2"/>
        <v>-</v>
      </c>
      <c r="L14" s="617"/>
      <c r="M14" s="387" t="e">
        <f>RANK(K14, K$7:$K$21)</f>
        <v>#VALUE!</v>
      </c>
      <c r="N14" s="635"/>
      <c r="O14" s="635"/>
      <c r="P14" s="535" t="s">
        <v>592</v>
      </c>
      <c r="Q14" s="539" t="s">
        <v>592</v>
      </c>
      <c r="R14" s="539" t="s">
        <v>592</v>
      </c>
      <c r="S14" s="535"/>
      <c r="T14" s="659"/>
      <c r="U14" s="535" t="s">
        <v>592</v>
      </c>
      <c r="V14" s="539" t="s">
        <v>592</v>
      </c>
      <c r="W14" s="539" t="s">
        <v>592</v>
      </c>
      <c r="X14" s="535"/>
      <c r="Y14" s="659"/>
      <c r="Z14" s="535" t="s">
        <v>592</v>
      </c>
      <c r="AA14" s="539" t="s">
        <v>592</v>
      </c>
      <c r="AB14" s="539" t="s">
        <v>592</v>
      </c>
      <c r="AC14" s="535"/>
      <c r="AD14" s="659"/>
      <c r="AE14" s="535" t="s">
        <v>592</v>
      </c>
      <c r="AF14" s="539" t="s">
        <v>592</v>
      </c>
      <c r="AG14" s="539" t="s">
        <v>592</v>
      </c>
      <c r="AH14" s="535"/>
      <c r="AI14" s="659"/>
      <c r="AJ14" s="535" t="s">
        <v>592</v>
      </c>
      <c r="AK14" s="539" t="s">
        <v>592</v>
      </c>
      <c r="AL14" s="539" t="s">
        <v>592</v>
      </c>
      <c r="AM14" s="535"/>
      <c r="AN14" s="659"/>
      <c r="AO14" s="535" t="s">
        <v>592</v>
      </c>
      <c r="AP14" s="539" t="s">
        <v>592</v>
      </c>
      <c r="AQ14" s="539" t="s">
        <v>592</v>
      </c>
      <c r="AR14" s="535"/>
      <c r="AS14" s="659"/>
      <c r="AT14" s="535" t="s">
        <v>592</v>
      </c>
      <c r="AU14" s="539" t="s">
        <v>592</v>
      </c>
      <c r="AV14" s="539" t="s">
        <v>592</v>
      </c>
      <c r="AW14" s="535"/>
      <c r="AX14" s="659"/>
      <c r="AZ14" s="372" t="e">
        <f t="shared" si="3"/>
        <v>#N/A</v>
      </c>
      <c r="BA14" s="659"/>
    </row>
    <row r="15" spans="1:53" ht="14.25">
      <c r="A15" s="81"/>
      <c r="B15" s="646"/>
      <c r="C15" s="383">
        <v>9</v>
      </c>
      <c r="D15" s="225"/>
      <c r="E15" s="539"/>
      <c r="F15" s="535"/>
      <c r="G15" s="534"/>
      <c r="H15" s="682"/>
      <c r="I15" s="385" t="str">
        <f t="shared" si="0"/>
        <v>-</v>
      </c>
      <c r="J15" s="385" t="str">
        <f t="shared" si="1"/>
        <v>-</v>
      </c>
      <c r="K15" s="199" t="str">
        <f t="shared" si="2"/>
        <v>-</v>
      </c>
      <c r="L15" s="617"/>
      <c r="M15" s="387" t="e">
        <f>RANK(K15, K$7:$K$21)</f>
        <v>#VALUE!</v>
      </c>
      <c r="N15" s="635"/>
      <c r="O15" s="635"/>
      <c r="P15" s="535" t="s">
        <v>592</v>
      </c>
      <c r="Q15" s="539" t="s">
        <v>592</v>
      </c>
      <c r="R15" s="539" t="s">
        <v>592</v>
      </c>
      <c r="S15" s="535"/>
      <c r="T15" s="659"/>
      <c r="U15" s="535" t="s">
        <v>592</v>
      </c>
      <c r="V15" s="539" t="s">
        <v>592</v>
      </c>
      <c r="W15" s="539" t="s">
        <v>592</v>
      </c>
      <c r="X15" s="535"/>
      <c r="Y15" s="659"/>
      <c r="Z15" s="535" t="s">
        <v>592</v>
      </c>
      <c r="AA15" s="539" t="s">
        <v>592</v>
      </c>
      <c r="AB15" s="539" t="s">
        <v>592</v>
      </c>
      <c r="AC15" s="535"/>
      <c r="AD15" s="659"/>
      <c r="AE15" s="535" t="s">
        <v>592</v>
      </c>
      <c r="AF15" s="539" t="s">
        <v>592</v>
      </c>
      <c r="AG15" s="539" t="s">
        <v>592</v>
      </c>
      <c r="AH15" s="535"/>
      <c r="AI15" s="659"/>
      <c r="AJ15" s="535" t="s">
        <v>592</v>
      </c>
      <c r="AK15" s="539" t="s">
        <v>592</v>
      </c>
      <c r="AL15" s="539" t="s">
        <v>592</v>
      </c>
      <c r="AM15" s="535"/>
      <c r="AN15" s="659"/>
      <c r="AO15" s="535" t="s">
        <v>592</v>
      </c>
      <c r="AP15" s="539" t="s">
        <v>592</v>
      </c>
      <c r="AQ15" s="539" t="s">
        <v>592</v>
      </c>
      <c r="AR15" s="535"/>
      <c r="AS15" s="659"/>
      <c r="AT15" s="535" t="s">
        <v>592</v>
      </c>
      <c r="AU15" s="539" t="s">
        <v>592</v>
      </c>
      <c r="AV15" s="539" t="s">
        <v>592</v>
      </c>
      <c r="AW15" s="535"/>
      <c r="AX15" s="659"/>
      <c r="AZ15" s="372" t="e">
        <f t="shared" si="3"/>
        <v>#N/A</v>
      </c>
      <c r="BA15" s="659"/>
    </row>
    <row r="16" spans="1:53" ht="14.25">
      <c r="A16" s="81"/>
      <c r="B16" s="646"/>
      <c r="C16" s="383">
        <v>10</v>
      </c>
      <c r="D16" s="225"/>
      <c r="E16" s="539"/>
      <c r="F16" s="535"/>
      <c r="G16" s="534"/>
      <c r="H16" s="682"/>
      <c r="I16" s="385" t="str">
        <f t="shared" si="0"/>
        <v>-</v>
      </c>
      <c r="J16" s="385" t="str">
        <f t="shared" si="1"/>
        <v>-</v>
      </c>
      <c r="K16" s="199" t="str">
        <f t="shared" si="2"/>
        <v>-</v>
      </c>
      <c r="L16" s="617"/>
      <c r="M16" s="387" t="e">
        <f>RANK(K16, K$7:$K$21)</f>
        <v>#VALUE!</v>
      </c>
      <c r="N16" s="635"/>
      <c r="O16" s="635"/>
      <c r="P16" s="535" t="s">
        <v>592</v>
      </c>
      <c r="Q16" s="539" t="s">
        <v>592</v>
      </c>
      <c r="R16" s="539" t="s">
        <v>592</v>
      </c>
      <c r="S16" s="535"/>
      <c r="T16" s="659"/>
      <c r="U16" s="535" t="s">
        <v>592</v>
      </c>
      <c r="V16" s="539" t="s">
        <v>592</v>
      </c>
      <c r="W16" s="539" t="s">
        <v>592</v>
      </c>
      <c r="X16" s="535"/>
      <c r="Y16" s="659"/>
      <c r="Z16" s="535" t="s">
        <v>592</v>
      </c>
      <c r="AA16" s="539" t="s">
        <v>592</v>
      </c>
      <c r="AB16" s="539" t="s">
        <v>592</v>
      </c>
      <c r="AC16" s="535"/>
      <c r="AD16" s="659"/>
      <c r="AE16" s="535" t="s">
        <v>592</v>
      </c>
      <c r="AF16" s="539" t="s">
        <v>592</v>
      </c>
      <c r="AG16" s="539" t="s">
        <v>592</v>
      </c>
      <c r="AH16" s="535"/>
      <c r="AI16" s="659"/>
      <c r="AJ16" s="535" t="s">
        <v>592</v>
      </c>
      <c r="AK16" s="539" t="s">
        <v>592</v>
      </c>
      <c r="AL16" s="539" t="s">
        <v>592</v>
      </c>
      <c r="AM16" s="535"/>
      <c r="AN16" s="659"/>
      <c r="AO16" s="535" t="s">
        <v>592</v>
      </c>
      <c r="AP16" s="539" t="s">
        <v>592</v>
      </c>
      <c r="AQ16" s="539" t="s">
        <v>592</v>
      </c>
      <c r="AR16" s="535"/>
      <c r="AS16" s="659"/>
      <c r="AT16" s="535" t="s">
        <v>592</v>
      </c>
      <c r="AU16" s="539" t="s">
        <v>592</v>
      </c>
      <c r="AV16" s="539" t="s">
        <v>592</v>
      </c>
      <c r="AW16" s="535"/>
      <c r="AX16" s="659"/>
      <c r="AZ16" s="372" t="e">
        <f t="shared" si="3"/>
        <v>#N/A</v>
      </c>
      <c r="BA16" s="659"/>
    </row>
    <row r="17" spans="2:53">
      <c r="B17" s="646"/>
      <c r="C17" s="383">
        <v>11</v>
      </c>
      <c r="D17" s="225"/>
      <c r="E17" s="539"/>
      <c r="F17" s="535"/>
      <c r="G17" s="534"/>
      <c r="H17" s="682"/>
      <c r="I17" s="385" t="str">
        <f t="shared" si="0"/>
        <v>-</v>
      </c>
      <c r="J17" s="385" t="str">
        <f t="shared" si="1"/>
        <v>-</v>
      </c>
      <c r="K17" s="199" t="str">
        <f t="shared" si="2"/>
        <v>-</v>
      </c>
      <c r="L17" s="617"/>
      <c r="M17" s="387" t="e">
        <f>RANK(K17, K$7:$K$21)</f>
        <v>#VALUE!</v>
      </c>
      <c r="N17" s="635"/>
      <c r="O17" s="635"/>
      <c r="P17" s="535" t="s">
        <v>592</v>
      </c>
      <c r="Q17" s="539" t="s">
        <v>592</v>
      </c>
      <c r="R17" s="539" t="s">
        <v>592</v>
      </c>
      <c r="S17" s="535"/>
      <c r="T17" s="659"/>
      <c r="U17" s="535" t="s">
        <v>592</v>
      </c>
      <c r="V17" s="539" t="s">
        <v>592</v>
      </c>
      <c r="W17" s="539" t="s">
        <v>592</v>
      </c>
      <c r="X17" s="535"/>
      <c r="Y17" s="659"/>
      <c r="Z17" s="535" t="s">
        <v>592</v>
      </c>
      <c r="AA17" s="539" t="s">
        <v>592</v>
      </c>
      <c r="AB17" s="539" t="s">
        <v>592</v>
      </c>
      <c r="AC17" s="535"/>
      <c r="AD17" s="659"/>
      <c r="AE17" s="535" t="s">
        <v>592</v>
      </c>
      <c r="AF17" s="539" t="s">
        <v>592</v>
      </c>
      <c r="AG17" s="539" t="s">
        <v>592</v>
      </c>
      <c r="AH17" s="535"/>
      <c r="AI17" s="659"/>
      <c r="AJ17" s="535" t="s">
        <v>592</v>
      </c>
      <c r="AK17" s="539" t="s">
        <v>592</v>
      </c>
      <c r="AL17" s="539" t="s">
        <v>592</v>
      </c>
      <c r="AM17" s="535"/>
      <c r="AN17" s="659"/>
      <c r="AO17" s="535" t="s">
        <v>592</v>
      </c>
      <c r="AP17" s="539" t="s">
        <v>592</v>
      </c>
      <c r="AQ17" s="539" t="s">
        <v>592</v>
      </c>
      <c r="AR17" s="535"/>
      <c r="AS17" s="659"/>
      <c r="AT17" s="535" t="s">
        <v>592</v>
      </c>
      <c r="AU17" s="539" t="s">
        <v>592</v>
      </c>
      <c r="AV17" s="539" t="s">
        <v>592</v>
      </c>
      <c r="AW17" s="535"/>
      <c r="AX17" s="659"/>
      <c r="AZ17" s="372" t="e">
        <f t="shared" si="3"/>
        <v>#N/A</v>
      </c>
      <c r="BA17" s="659"/>
    </row>
    <row r="18" spans="2:53">
      <c r="B18" s="646"/>
      <c r="C18" s="383">
        <v>12</v>
      </c>
      <c r="D18" s="225"/>
      <c r="E18" s="539"/>
      <c r="F18" s="535"/>
      <c r="G18" s="534"/>
      <c r="H18" s="682"/>
      <c r="I18" s="385" t="str">
        <f t="shared" si="0"/>
        <v>-</v>
      </c>
      <c r="J18" s="385" t="str">
        <f t="shared" si="1"/>
        <v>-</v>
      </c>
      <c r="K18" s="199" t="str">
        <f t="shared" si="2"/>
        <v>-</v>
      </c>
      <c r="L18" s="617"/>
      <c r="M18" s="387" t="e">
        <f>RANK(K18, K$7:$K$21)</f>
        <v>#VALUE!</v>
      </c>
      <c r="N18" s="635"/>
      <c r="O18" s="635"/>
      <c r="P18" s="535" t="s">
        <v>592</v>
      </c>
      <c r="Q18" s="539" t="s">
        <v>592</v>
      </c>
      <c r="R18" s="539" t="s">
        <v>592</v>
      </c>
      <c r="S18" s="535"/>
      <c r="T18" s="659"/>
      <c r="U18" s="535" t="s">
        <v>592</v>
      </c>
      <c r="V18" s="539" t="s">
        <v>592</v>
      </c>
      <c r="W18" s="539" t="s">
        <v>592</v>
      </c>
      <c r="X18" s="535"/>
      <c r="Y18" s="659"/>
      <c r="Z18" s="535" t="s">
        <v>592</v>
      </c>
      <c r="AA18" s="539" t="s">
        <v>592</v>
      </c>
      <c r="AB18" s="539" t="s">
        <v>592</v>
      </c>
      <c r="AC18" s="535"/>
      <c r="AD18" s="659"/>
      <c r="AE18" s="535" t="s">
        <v>592</v>
      </c>
      <c r="AF18" s="539" t="s">
        <v>592</v>
      </c>
      <c r="AG18" s="539" t="s">
        <v>592</v>
      </c>
      <c r="AH18" s="535"/>
      <c r="AI18" s="659"/>
      <c r="AJ18" s="535" t="s">
        <v>592</v>
      </c>
      <c r="AK18" s="539" t="s">
        <v>592</v>
      </c>
      <c r="AL18" s="539" t="s">
        <v>592</v>
      </c>
      <c r="AM18" s="535"/>
      <c r="AN18" s="659"/>
      <c r="AO18" s="535" t="s">
        <v>592</v>
      </c>
      <c r="AP18" s="539" t="s">
        <v>592</v>
      </c>
      <c r="AQ18" s="539" t="s">
        <v>592</v>
      </c>
      <c r="AR18" s="535"/>
      <c r="AS18" s="659"/>
      <c r="AT18" s="535" t="s">
        <v>592</v>
      </c>
      <c r="AU18" s="539" t="s">
        <v>592</v>
      </c>
      <c r="AV18" s="539" t="s">
        <v>592</v>
      </c>
      <c r="AW18" s="535"/>
      <c r="AX18" s="659"/>
      <c r="AZ18" s="372" t="e">
        <f t="shared" si="3"/>
        <v>#N/A</v>
      </c>
      <c r="BA18" s="659"/>
    </row>
    <row r="19" spans="2:53">
      <c r="B19" s="646"/>
      <c r="C19" s="383">
        <v>13</v>
      </c>
      <c r="D19" s="225"/>
      <c r="E19" s="539"/>
      <c r="F19" s="535"/>
      <c r="G19" s="534"/>
      <c r="H19" s="682"/>
      <c r="I19" s="385" t="str">
        <f t="shared" si="0"/>
        <v>-</v>
      </c>
      <c r="J19" s="385" t="str">
        <f t="shared" si="1"/>
        <v>-</v>
      </c>
      <c r="K19" s="199" t="str">
        <f t="shared" si="2"/>
        <v>-</v>
      </c>
      <c r="L19" s="617"/>
      <c r="M19" s="387" t="e">
        <f>RANK(K19, K$7:$K$21)</f>
        <v>#VALUE!</v>
      </c>
      <c r="N19" s="635"/>
      <c r="O19" s="635"/>
      <c r="P19" s="535" t="s">
        <v>592</v>
      </c>
      <c r="Q19" s="539" t="s">
        <v>592</v>
      </c>
      <c r="R19" s="539" t="s">
        <v>592</v>
      </c>
      <c r="S19" s="535"/>
      <c r="T19" s="659"/>
      <c r="U19" s="535" t="s">
        <v>592</v>
      </c>
      <c r="V19" s="539" t="s">
        <v>592</v>
      </c>
      <c r="W19" s="539" t="s">
        <v>592</v>
      </c>
      <c r="X19" s="535"/>
      <c r="Y19" s="659"/>
      <c r="Z19" s="535" t="s">
        <v>592</v>
      </c>
      <c r="AA19" s="539" t="s">
        <v>592</v>
      </c>
      <c r="AB19" s="539" t="s">
        <v>592</v>
      </c>
      <c r="AC19" s="535"/>
      <c r="AD19" s="659"/>
      <c r="AE19" s="535" t="s">
        <v>592</v>
      </c>
      <c r="AF19" s="539" t="s">
        <v>592</v>
      </c>
      <c r="AG19" s="539" t="s">
        <v>592</v>
      </c>
      <c r="AH19" s="535"/>
      <c r="AI19" s="659"/>
      <c r="AJ19" s="535" t="s">
        <v>592</v>
      </c>
      <c r="AK19" s="539" t="s">
        <v>592</v>
      </c>
      <c r="AL19" s="539" t="s">
        <v>592</v>
      </c>
      <c r="AM19" s="535"/>
      <c r="AN19" s="659"/>
      <c r="AO19" s="535" t="s">
        <v>592</v>
      </c>
      <c r="AP19" s="539" t="s">
        <v>592</v>
      </c>
      <c r="AQ19" s="539" t="s">
        <v>592</v>
      </c>
      <c r="AR19" s="535"/>
      <c r="AS19" s="659"/>
      <c r="AT19" s="535" t="s">
        <v>592</v>
      </c>
      <c r="AU19" s="539" t="s">
        <v>592</v>
      </c>
      <c r="AV19" s="539" t="s">
        <v>592</v>
      </c>
      <c r="AW19" s="535"/>
      <c r="AX19" s="659"/>
      <c r="AZ19" s="372" t="e">
        <f t="shared" si="3"/>
        <v>#N/A</v>
      </c>
      <c r="BA19" s="659"/>
    </row>
    <row r="20" spans="2:53">
      <c r="B20" s="646"/>
      <c r="C20" s="383">
        <v>14</v>
      </c>
      <c r="D20" s="225"/>
      <c r="E20" s="539"/>
      <c r="F20" s="535"/>
      <c r="G20" s="534"/>
      <c r="H20" s="682"/>
      <c r="I20" s="385" t="str">
        <f t="shared" si="0"/>
        <v>-</v>
      </c>
      <c r="J20" s="385" t="str">
        <f t="shared" si="1"/>
        <v>-</v>
      </c>
      <c r="K20" s="199" t="str">
        <f t="shared" si="2"/>
        <v>-</v>
      </c>
      <c r="L20" s="617"/>
      <c r="M20" s="387" t="e">
        <f>RANK(K20, K$7:$K$21)</f>
        <v>#VALUE!</v>
      </c>
      <c r="N20" s="635"/>
      <c r="O20" s="635"/>
      <c r="P20" s="535" t="s">
        <v>592</v>
      </c>
      <c r="Q20" s="539" t="s">
        <v>592</v>
      </c>
      <c r="R20" s="539" t="s">
        <v>592</v>
      </c>
      <c r="S20" s="535"/>
      <c r="T20" s="659"/>
      <c r="U20" s="535" t="s">
        <v>592</v>
      </c>
      <c r="V20" s="539" t="s">
        <v>592</v>
      </c>
      <c r="W20" s="539" t="s">
        <v>592</v>
      </c>
      <c r="X20" s="535"/>
      <c r="Y20" s="659"/>
      <c r="Z20" s="535" t="s">
        <v>592</v>
      </c>
      <c r="AA20" s="539" t="s">
        <v>592</v>
      </c>
      <c r="AB20" s="539" t="s">
        <v>592</v>
      </c>
      <c r="AC20" s="535"/>
      <c r="AD20" s="659"/>
      <c r="AE20" s="535" t="s">
        <v>592</v>
      </c>
      <c r="AF20" s="539" t="s">
        <v>592</v>
      </c>
      <c r="AG20" s="539" t="s">
        <v>592</v>
      </c>
      <c r="AH20" s="535"/>
      <c r="AI20" s="659"/>
      <c r="AJ20" s="535" t="s">
        <v>592</v>
      </c>
      <c r="AK20" s="539" t="s">
        <v>592</v>
      </c>
      <c r="AL20" s="539" t="s">
        <v>592</v>
      </c>
      <c r="AM20" s="535"/>
      <c r="AN20" s="659"/>
      <c r="AO20" s="535" t="s">
        <v>592</v>
      </c>
      <c r="AP20" s="539" t="s">
        <v>592</v>
      </c>
      <c r="AQ20" s="539" t="s">
        <v>592</v>
      </c>
      <c r="AR20" s="535"/>
      <c r="AS20" s="659"/>
      <c r="AT20" s="535" t="s">
        <v>592</v>
      </c>
      <c r="AU20" s="539" t="s">
        <v>592</v>
      </c>
      <c r="AV20" s="539" t="s">
        <v>592</v>
      </c>
      <c r="AW20" s="535"/>
      <c r="AX20" s="659"/>
      <c r="AZ20" s="372" t="e">
        <f t="shared" si="3"/>
        <v>#N/A</v>
      </c>
      <c r="BA20" s="659"/>
    </row>
    <row r="21" spans="2:53">
      <c r="B21" s="646"/>
      <c r="C21" s="383">
        <v>15</v>
      </c>
      <c r="D21" s="225"/>
      <c r="E21" s="539"/>
      <c r="F21" s="535"/>
      <c r="G21" s="534"/>
      <c r="H21" s="683"/>
      <c r="I21" s="201"/>
      <c r="J21" s="201"/>
      <c r="K21" s="201"/>
      <c r="L21" s="618"/>
      <c r="M21" s="390" t="e">
        <f>RANK(K21, K$7:$K$21)</f>
        <v>#N/A</v>
      </c>
      <c r="N21" s="635"/>
      <c r="O21" s="635"/>
      <c r="P21" s="535" t="s">
        <v>592</v>
      </c>
      <c r="Q21" s="539" t="s">
        <v>592</v>
      </c>
      <c r="R21" s="539" t="s">
        <v>592</v>
      </c>
      <c r="S21" s="535"/>
      <c r="T21" s="659"/>
      <c r="U21" s="535" t="s">
        <v>592</v>
      </c>
      <c r="V21" s="539" t="s">
        <v>592</v>
      </c>
      <c r="W21" s="539" t="s">
        <v>592</v>
      </c>
      <c r="X21" s="535"/>
      <c r="Y21" s="659"/>
      <c r="Z21" s="535" t="s">
        <v>592</v>
      </c>
      <c r="AA21" s="539" t="s">
        <v>592</v>
      </c>
      <c r="AB21" s="539" t="s">
        <v>592</v>
      </c>
      <c r="AC21" s="535"/>
      <c r="AD21" s="659"/>
      <c r="AE21" s="535" t="s">
        <v>592</v>
      </c>
      <c r="AF21" s="539" t="s">
        <v>592</v>
      </c>
      <c r="AG21" s="539" t="s">
        <v>592</v>
      </c>
      <c r="AH21" s="535"/>
      <c r="AI21" s="659"/>
      <c r="AJ21" s="535" t="s">
        <v>592</v>
      </c>
      <c r="AK21" s="539" t="s">
        <v>592</v>
      </c>
      <c r="AL21" s="539" t="s">
        <v>592</v>
      </c>
      <c r="AM21" s="535"/>
      <c r="AN21" s="659"/>
      <c r="AO21" s="535" t="s">
        <v>592</v>
      </c>
      <c r="AP21" s="539" t="s">
        <v>592</v>
      </c>
      <c r="AQ21" s="539" t="s">
        <v>592</v>
      </c>
      <c r="AR21" s="535"/>
      <c r="AS21" s="659"/>
      <c r="AT21" s="535" t="s">
        <v>592</v>
      </c>
      <c r="AU21" s="539" t="s">
        <v>592</v>
      </c>
      <c r="AV21" s="539" t="s">
        <v>592</v>
      </c>
      <c r="AW21" s="535"/>
      <c r="AX21" s="659"/>
      <c r="AZ21" s="372" t="e">
        <f t="shared" si="3"/>
        <v>#N/A</v>
      </c>
      <c r="BA21" s="659"/>
    </row>
    <row r="22" spans="2:53" ht="15.75">
      <c r="B22" s="666" t="s">
        <v>162</v>
      </c>
      <c r="C22" s="667"/>
      <c r="D22" s="667"/>
      <c r="E22" s="667"/>
      <c r="F22" s="667"/>
      <c r="G22" s="667"/>
      <c r="H22" s="667"/>
      <c r="I22" s="202"/>
      <c r="J22" s="202"/>
      <c r="K22" s="202"/>
      <c r="L22" s="202"/>
      <c r="M22" s="203"/>
      <c r="N22" s="639" t="s">
        <v>156</v>
      </c>
      <c r="O22" s="639" t="s">
        <v>105</v>
      </c>
      <c r="P22" s="645">
        <f>P2+7</f>
        <v>46210</v>
      </c>
      <c r="Q22" s="646"/>
      <c r="R22" s="646"/>
      <c r="S22" s="646"/>
      <c r="T22" s="646"/>
      <c r="U22" s="642">
        <f>P22+1</f>
        <v>46211</v>
      </c>
      <c r="V22" s="643"/>
      <c r="W22" s="643"/>
      <c r="X22" s="643"/>
      <c r="Y22" s="644"/>
      <c r="Z22" s="642">
        <f>U22+1</f>
        <v>46212</v>
      </c>
      <c r="AA22" s="643"/>
      <c r="AB22" s="643"/>
      <c r="AC22" s="643"/>
      <c r="AD22" s="644"/>
      <c r="AE22" s="642">
        <f>Z22+1</f>
        <v>46213</v>
      </c>
      <c r="AF22" s="643"/>
      <c r="AG22" s="643"/>
      <c r="AH22" s="643"/>
      <c r="AI22" s="644"/>
      <c r="AJ22" s="642">
        <f>AE22+1</f>
        <v>46214</v>
      </c>
      <c r="AK22" s="643"/>
      <c r="AL22" s="643"/>
      <c r="AM22" s="643"/>
      <c r="AN22" s="644"/>
      <c r="AO22" s="642">
        <f>AJ22+1</f>
        <v>46215</v>
      </c>
      <c r="AP22" s="643"/>
      <c r="AQ22" s="643"/>
      <c r="AR22" s="643"/>
      <c r="AS22" s="644"/>
      <c r="AT22" s="642">
        <f>AO22+1</f>
        <v>46216</v>
      </c>
      <c r="AU22" s="643"/>
      <c r="AV22" s="643"/>
      <c r="AW22" s="643"/>
      <c r="AX22" s="644"/>
    </row>
    <row r="23" spans="2:53" ht="15.75">
      <c r="B23" s="653"/>
      <c r="C23" s="653"/>
      <c r="D23" s="653"/>
      <c r="E23" s="653"/>
      <c r="F23" s="653"/>
      <c r="G23" s="653"/>
      <c r="H23" s="653"/>
      <c r="I23" s="204"/>
      <c r="J23" s="204"/>
      <c r="K23" s="204"/>
      <c r="L23" s="204"/>
      <c r="M23" s="205"/>
      <c r="N23" s="641"/>
      <c r="O23" s="641"/>
      <c r="P23" s="645" t="s">
        <v>317</v>
      </c>
      <c r="Q23" s="646"/>
      <c r="R23" s="646"/>
      <c r="S23" s="646"/>
      <c r="T23" s="646"/>
      <c r="U23" s="645" t="s">
        <v>318</v>
      </c>
      <c r="V23" s="646"/>
      <c r="W23" s="646"/>
      <c r="X23" s="646"/>
      <c r="Y23" s="646"/>
      <c r="Z23" s="645" t="s">
        <v>319</v>
      </c>
      <c r="AA23" s="646"/>
      <c r="AB23" s="646"/>
      <c r="AC23" s="646"/>
      <c r="AD23" s="646"/>
      <c r="AE23" s="645" t="s">
        <v>320</v>
      </c>
      <c r="AF23" s="646"/>
      <c r="AG23" s="646"/>
      <c r="AH23" s="646"/>
      <c r="AI23" s="646"/>
      <c r="AJ23" s="645" t="s">
        <v>321</v>
      </c>
      <c r="AK23" s="646"/>
      <c r="AL23" s="646"/>
      <c r="AM23" s="646"/>
      <c r="AN23" s="646"/>
      <c r="AO23" s="645" t="s">
        <v>322</v>
      </c>
      <c r="AP23" s="646"/>
      <c r="AQ23" s="646"/>
      <c r="AR23" s="646"/>
      <c r="AS23" s="646"/>
      <c r="AT23" s="645" t="s">
        <v>323</v>
      </c>
      <c r="AU23" s="646"/>
      <c r="AV23" s="646"/>
      <c r="AW23" s="646"/>
      <c r="AX23" s="646"/>
    </row>
    <row r="24" spans="2:53">
      <c r="B24" s="635" t="s">
        <v>154</v>
      </c>
      <c r="C24" s="635" t="s">
        <v>382</v>
      </c>
      <c r="D24" s="635"/>
      <c r="E24" s="635" t="s">
        <v>373</v>
      </c>
      <c r="F24" s="635"/>
      <c r="G24" s="635"/>
      <c r="H24" s="636" t="s">
        <v>369</v>
      </c>
      <c r="I24" s="619" t="s">
        <v>374</v>
      </c>
      <c r="J24" s="619"/>
      <c r="K24" s="619"/>
      <c r="L24" s="620" t="s">
        <v>369</v>
      </c>
      <c r="M24" s="626" t="s">
        <v>370</v>
      </c>
      <c r="N24" s="635"/>
      <c r="O24" s="635" t="s">
        <v>375</v>
      </c>
      <c r="P24" s="632" t="s">
        <v>371</v>
      </c>
      <c r="Q24" s="633"/>
      <c r="R24" s="633"/>
      <c r="S24" s="634"/>
      <c r="T24" s="635" t="s">
        <v>369</v>
      </c>
      <c r="U24" s="632" t="s">
        <v>371</v>
      </c>
      <c r="V24" s="633"/>
      <c r="W24" s="633"/>
      <c r="X24" s="634"/>
      <c r="Y24" s="635" t="s">
        <v>369</v>
      </c>
      <c r="Z24" s="632" t="s">
        <v>371</v>
      </c>
      <c r="AA24" s="633"/>
      <c r="AB24" s="633"/>
      <c r="AC24" s="634"/>
      <c r="AD24" s="635" t="s">
        <v>369</v>
      </c>
      <c r="AE24" s="632" t="s">
        <v>371</v>
      </c>
      <c r="AF24" s="633"/>
      <c r="AG24" s="633"/>
      <c r="AH24" s="634"/>
      <c r="AI24" s="635" t="s">
        <v>369</v>
      </c>
      <c r="AJ24" s="632" t="s">
        <v>371</v>
      </c>
      <c r="AK24" s="633"/>
      <c r="AL24" s="633"/>
      <c r="AM24" s="634"/>
      <c r="AN24" s="635" t="s">
        <v>369</v>
      </c>
      <c r="AO24" s="632" t="s">
        <v>371</v>
      </c>
      <c r="AP24" s="633"/>
      <c r="AQ24" s="633"/>
      <c r="AR24" s="634"/>
      <c r="AS24" s="635" t="s">
        <v>369</v>
      </c>
      <c r="AT24" s="632" t="s">
        <v>371</v>
      </c>
      <c r="AU24" s="633"/>
      <c r="AV24" s="633"/>
      <c r="AW24" s="634"/>
      <c r="AX24" s="635" t="s">
        <v>369</v>
      </c>
      <c r="BA24" s="635" t="s">
        <v>369</v>
      </c>
    </row>
    <row r="25" spans="2:53">
      <c r="B25" s="635"/>
      <c r="C25" s="635"/>
      <c r="D25" s="635"/>
      <c r="E25" s="635" t="s">
        <v>376</v>
      </c>
      <c r="F25" s="635"/>
      <c r="G25" s="635"/>
      <c r="H25" s="637"/>
      <c r="I25" s="619" t="s">
        <v>376</v>
      </c>
      <c r="J25" s="619"/>
      <c r="K25" s="619"/>
      <c r="L25" s="621"/>
      <c r="M25" s="627"/>
      <c r="N25" s="635"/>
      <c r="O25" s="635"/>
      <c r="P25" s="632" t="s">
        <v>377</v>
      </c>
      <c r="Q25" s="633"/>
      <c r="R25" s="633"/>
      <c r="S25" s="634"/>
      <c r="T25" s="635"/>
      <c r="U25" s="632" t="s">
        <v>377</v>
      </c>
      <c r="V25" s="633"/>
      <c r="W25" s="633"/>
      <c r="X25" s="634"/>
      <c r="Y25" s="635"/>
      <c r="Z25" s="632" t="s">
        <v>377</v>
      </c>
      <c r="AA25" s="633"/>
      <c r="AB25" s="633"/>
      <c r="AC25" s="634"/>
      <c r="AD25" s="635"/>
      <c r="AE25" s="632" t="s">
        <v>377</v>
      </c>
      <c r="AF25" s="633"/>
      <c r="AG25" s="633"/>
      <c r="AH25" s="634"/>
      <c r="AI25" s="635"/>
      <c r="AJ25" s="632" t="s">
        <v>377</v>
      </c>
      <c r="AK25" s="633"/>
      <c r="AL25" s="633"/>
      <c r="AM25" s="634"/>
      <c r="AN25" s="635"/>
      <c r="AO25" s="632" t="s">
        <v>377</v>
      </c>
      <c r="AP25" s="633"/>
      <c r="AQ25" s="633"/>
      <c r="AR25" s="634"/>
      <c r="AS25" s="635"/>
      <c r="AT25" s="632" t="s">
        <v>377</v>
      </c>
      <c r="AU25" s="633"/>
      <c r="AV25" s="633"/>
      <c r="AW25" s="634"/>
      <c r="AX25" s="635"/>
      <c r="BA25" s="635"/>
    </row>
    <row r="26" spans="2:53">
      <c r="B26" s="635"/>
      <c r="C26" s="635"/>
      <c r="D26" s="635"/>
      <c r="E26" s="382" t="s">
        <v>378</v>
      </c>
      <c r="F26" s="382" t="s">
        <v>379</v>
      </c>
      <c r="G26" s="382" t="s">
        <v>380</v>
      </c>
      <c r="H26" s="638"/>
      <c r="I26" s="381" t="s">
        <v>378</v>
      </c>
      <c r="J26" s="381" t="s">
        <v>379</v>
      </c>
      <c r="K26" s="381" t="s">
        <v>380</v>
      </c>
      <c r="L26" s="622"/>
      <c r="M26" s="628"/>
      <c r="N26" s="635"/>
      <c r="O26" s="635"/>
      <c r="P26" s="382" t="s">
        <v>378</v>
      </c>
      <c r="Q26" s="382" t="s">
        <v>379</v>
      </c>
      <c r="R26" s="382" t="s">
        <v>380</v>
      </c>
      <c r="S26" s="382" t="s">
        <v>370</v>
      </c>
      <c r="T26" s="635"/>
      <c r="U26" s="382" t="s">
        <v>378</v>
      </c>
      <c r="V26" s="382" t="s">
        <v>379</v>
      </c>
      <c r="W26" s="382" t="s">
        <v>380</v>
      </c>
      <c r="X26" s="382" t="s">
        <v>370</v>
      </c>
      <c r="Y26" s="635"/>
      <c r="Z26" s="382" t="s">
        <v>378</v>
      </c>
      <c r="AA26" s="382" t="s">
        <v>379</v>
      </c>
      <c r="AB26" s="382" t="s">
        <v>380</v>
      </c>
      <c r="AC26" s="382" t="s">
        <v>370</v>
      </c>
      <c r="AD26" s="635"/>
      <c r="AE26" s="382" t="s">
        <v>378</v>
      </c>
      <c r="AF26" s="382" t="s">
        <v>379</v>
      </c>
      <c r="AG26" s="382" t="s">
        <v>380</v>
      </c>
      <c r="AH26" s="382" t="s">
        <v>370</v>
      </c>
      <c r="AI26" s="635"/>
      <c r="AJ26" s="382" t="s">
        <v>378</v>
      </c>
      <c r="AK26" s="382" t="s">
        <v>379</v>
      </c>
      <c r="AL26" s="382" t="s">
        <v>380</v>
      </c>
      <c r="AM26" s="382" t="s">
        <v>370</v>
      </c>
      <c r="AN26" s="635"/>
      <c r="AO26" s="382" t="s">
        <v>378</v>
      </c>
      <c r="AP26" s="382" t="s">
        <v>379</v>
      </c>
      <c r="AQ26" s="382" t="s">
        <v>380</v>
      </c>
      <c r="AR26" s="382" t="s">
        <v>370</v>
      </c>
      <c r="AS26" s="635"/>
      <c r="AT26" s="382" t="s">
        <v>378</v>
      </c>
      <c r="AU26" s="382" t="s">
        <v>379</v>
      </c>
      <c r="AV26" s="382" t="s">
        <v>380</v>
      </c>
      <c r="AW26" s="382" t="s">
        <v>370</v>
      </c>
      <c r="AX26" s="635"/>
      <c r="AZ26" s="371" t="s">
        <v>370</v>
      </c>
      <c r="BA26" s="635"/>
    </row>
    <row r="27" spans="2:53">
      <c r="B27" s="635" t="s">
        <v>383</v>
      </c>
      <c r="C27" s="383">
        <v>1</v>
      </c>
      <c r="D27" s="225" t="s">
        <v>708</v>
      </c>
      <c r="E27" s="539">
        <v>15</v>
      </c>
      <c r="F27" s="535">
        <v>2000</v>
      </c>
      <c r="G27" s="534">
        <v>100</v>
      </c>
      <c r="H27" s="681">
        <f>AVERAGE(G27:G41)</f>
        <v>100</v>
      </c>
      <c r="I27" s="385">
        <f t="shared" ref="I27:I40" si="5">IFERROR(AVERAGE(P27,U27,Z27,AE27,AJ27,AO27,AT27),"-")</f>
        <v>15</v>
      </c>
      <c r="J27" s="385">
        <f t="shared" ref="J27:J40" si="6">IFERROR(AVERAGE(Q27,V27,AA27,AF27,AK27,AP27,AU27),"-")</f>
        <v>2023.0384753901567</v>
      </c>
      <c r="K27" s="199">
        <f t="shared" ref="K27:K40" si="7">IFERROR(AVERAGE(R27,W27,AB27,AG27,AL27,AQ27,AV27),"-")</f>
        <v>134.86923169267709</v>
      </c>
      <c r="L27" s="616">
        <f>IFERROR(AVERAGE(K27:K41),"-")</f>
        <v>147.87748186955736</v>
      </c>
      <c r="M27" s="387">
        <f>RANK(K27, K$24:$K$41)</f>
        <v>2</v>
      </c>
      <c r="N27" s="635"/>
      <c r="O27" s="635"/>
      <c r="P27" s="542">
        <v>15</v>
      </c>
      <c r="Q27" s="543">
        <v>1943.1428571428594</v>
      </c>
      <c r="R27" s="543">
        <v>129.54285714285729</v>
      </c>
      <c r="S27" s="542">
        <f t="shared" ref="S27:S41" si="8">RANK(R27, R$27:R$41)</f>
        <v>2</v>
      </c>
      <c r="T27" s="647">
        <f t="shared" ref="T27" si="9">AVERAGE(R27:R41)</f>
        <v>139.91714285714289</v>
      </c>
      <c r="U27" s="542">
        <v>15</v>
      </c>
      <c r="V27" s="543">
        <v>2001.8823529411779</v>
      </c>
      <c r="W27" s="543">
        <v>133.45882352941186</v>
      </c>
      <c r="X27" s="542">
        <f t="shared" ref="X27:X41" si="10">RANK(W27, W$27:W$41)</f>
        <v>2</v>
      </c>
      <c r="Y27" s="647">
        <f t="shared" ref="Y27" si="11">AVERAGE(W27:W41)</f>
        <v>142.32941176470592</v>
      </c>
      <c r="Z27" s="542">
        <v>15</v>
      </c>
      <c r="AA27" s="543">
        <v>2038.8000000000006</v>
      </c>
      <c r="AB27" s="543">
        <v>135.92000000000004</v>
      </c>
      <c r="AC27" s="542">
        <f t="shared" ref="AC27:AC41" si="12">RANK(AB27, AB$27:AB$41)</f>
        <v>1</v>
      </c>
      <c r="AD27" s="647">
        <f t="shared" ref="AD27" si="13">AVERAGE(AB27:AB41)</f>
        <v>126.22573426573427</v>
      </c>
      <c r="AE27" s="542">
        <v>15</v>
      </c>
      <c r="AF27" s="543">
        <v>2048.4000000000005</v>
      </c>
      <c r="AG27" s="543">
        <v>136.56000000000003</v>
      </c>
      <c r="AH27" s="542">
        <f t="shared" ref="AH27:AH41" si="14">RANK(AG27, AG$27:AG$41)</f>
        <v>2</v>
      </c>
      <c r="AI27" s="647">
        <f t="shared" ref="AI27" si="15">AVERAGE(AG27:AG41)</f>
        <v>144.77999999999997</v>
      </c>
      <c r="AJ27" s="542">
        <v>15</v>
      </c>
      <c r="AK27" s="543">
        <v>2033.6470588235293</v>
      </c>
      <c r="AL27" s="543">
        <v>135.57647058823528</v>
      </c>
      <c r="AM27" s="542">
        <f t="shared" ref="AM27:AM41" si="16">RANK(AL27, AL$27:AL$41)</f>
        <v>2</v>
      </c>
      <c r="AN27" s="647">
        <f t="shared" ref="AN27" si="17">AVERAGE(AL27:AL41)</f>
        <v>168.53368983957239</v>
      </c>
      <c r="AO27" s="542">
        <v>15</v>
      </c>
      <c r="AP27" s="543">
        <v>2037.7499999999995</v>
      </c>
      <c r="AQ27" s="543">
        <v>135.84999999999997</v>
      </c>
      <c r="AR27" s="542">
        <f t="shared" ref="AR27:AR41" si="18">RANK(AQ27, AQ$27:AQ$41)</f>
        <v>2</v>
      </c>
      <c r="AS27" s="647">
        <f t="shared" ref="AS27" si="19">AVERAGE(AQ27:AQ41)</f>
        <v>168.99396551724141</v>
      </c>
      <c r="AT27" s="542">
        <v>15</v>
      </c>
      <c r="AU27" s="543">
        <v>2057.6470588235293</v>
      </c>
      <c r="AV27" s="543">
        <v>137.17647058823528</v>
      </c>
      <c r="AW27" s="542">
        <f t="shared" ref="AW27:AW41" si="20">RANK(AV27, AV$27:AV$41)</f>
        <v>2</v>
      </c>
      <c r="AX27" s="647">
        <f t="shared" ref="AX27" si="21">AVERAGE(AV27:AV41)</f>
        <v>144.36242884250476</v>
      </c>
      <c r="AZ27" s="372" t="e">
        <f t="shared" ref="AZ27:AZ41" si="22">RANK(AY27, AY$27:AY$41)</f>
        <v>#N/A</v>
      </c>
      <c r="BA27" s="647" t="e">
        <f t="shared" ref="BA27" si="23">AVERAGE(AY27:AY41)</f>
        <v>#DIV/0!</v>
      </c>
    </row>
    <row r="28" spans="2:53">
      <c r="B28" s="646"/>
      <c r="C28" s="383">
        <v>2</v>
      </c>
      <c r="D28" s="225" t="s">
        <v>722</v>
      </c>
      <c r="E28" s="539">
        <v>13</v>
      </c>
      <c r="F28" s="535">
        <v>2000</v>
      </c>
      <c r="G28" s="534">
        <v>100</v>
      </c>
      <c r="H28" s="682"/>
      <c r="I28" s="385">
        <f t="shared" si="5"/>
        <v>10.428571428571429</v>
      </c>
      <c r="J28" s="385">
        <f t="shared" si="6"/>
        <v>1658.7993784064345</v>
      </c>
      <c r="K28" s="199">
        <f t="shared" si="7"/>
        <v>160.88573204643762</v>
      </c>
      <c r="L28" s="617"/>
      <c r="M28" s="391">
        <f>RANK(K28, K$24:$K$41)</f>
        <v>1</v>
      </c>
      <c r="N28" s="635"/>
      <c r="O28" s="635"/>
      <c r="P28" s="542">
        <v>10</v>
      </c>
      <c r="Q28" s="543">
        <v>1502.9142857142854</v>
      </c>
      <c r="R28" s="543">
        <v>150.29142857142853</v>
      </c>
      <c r="S28" s="542">
        <f t="shared" si="8"/>
        <v>1</v>
      </c>
      <c r="T28" s="648"/>
      <c r="U28" s="542">
        <v>10</v>
      </c>
      <c r="V28" s="543">
        <v>1512.0000000000002</v>
      </c>
      <c r="W28" s="543">
        <v>151.20000000000002</v>
      </c>
      <c r="X28" s="542">
        <f t="shared" si="10"/>
        <v>1</v>
      </c>
      <c r="Y28" s="648"/>
      <c r="Z28" s="542">
        <v>13</v>
      </c>
      <c r="AA28" s="543">
        <v>1514.9090909090903</v>
      </c>
      <c r="AB28" s="543">
        <v>116.53146853146849</v>
      </c>
      <c r="AC28" s="542">
        <f t="shared" si="12"/>
        <v>2</v>
      </c>
      <c r="AD28" s="648"/>
      <c r="AE28" s="542">
        <v>10</v>
      </c>
      <c r="AF28" s="543">
        <v>1529.9999999999993</v>
      </c>
      <c r="AG28" s="543">
        <v>152.99999999999994</v>
      </c>
      <c r="AH28" s="542">
        <f t="shared" si="14"/>
        <v>1</v>
      </c>
      <c r="AI28" s="648"/>
      <c r="AJ28" s="542">
        <v>10</v>
      </c>
      <c r="AK28" s="543">
        <v>2014.9090909090951</v>
      </c>
      <c r="AL28" s="543">
        <v>201.4909090909095</v>
      </c>
      <c r="AM28" s="542">
        <f t="shared" si="16"/>
        <v>1</v>
      </c>
      <c r="AN28" s="648"/>
      <c r="AO28" s="542">
        <v>10</v>
      </c>
      <c r="AP28" s="543">
        <v>2021.3793103448281</v>
      </c>
      <c r="AQ28" s="543">
        <v>202.13793103448282</v>
      </c>
      <c r="AR28" s="542">
        <f t="shared" si="18"/>
        <v>1</v>
      </c>
      <c r="AS28" s="648"/>
      <c r="AT28" s="542">
        <v>10</v>
      </c>
      <c r="AU28" s="543">
        <v>1515.4838709677426</v>
      </c>
      <c r="AV28" s="543">
        <v>151.54838709677426</v>
      </c>
      <c r="AW28" s="542">
        <f t="shared" si="20"/>
        <v>1</v>
      </c>
      <c r="AX28" s="648"/>
      <c r="AZ28" s="372" t="e">
        <f t="shared" si="22"/>
        <v>#N/A</v>
      </c>
      <c r="BA28" s="648"/>
    </row>
    <row r="29" spans="2:53">
      <c r="B29" s="646"/>
      <c r="C29" s="383">
        <v>3</v>
      </c>
      <c r="D29" s="225"/>
      <c r="E29" s="539"/>
      <c r="F29" s="535"/>
      <c r="G29" s="534"/>
      <c r="H29" s="682"/>
      <c r="I29" s="385" t="str">
        <f t="shared" si="5"/>
        <v>-</v>
      </c>
      <c r="J29" s="385" t="str">
        <f t="shared" si="6"/>
        <v>-</v>
      </c>
      <c r="K29" s="199" t="str">
        <f t="shared" si="7"/>
        <v>-</v>
      </c>
      <c r="L29" s="617"/>
      <c r="M29" s="391" t="e">
        <f>RANK(K29, K$24:$K$41)</f>
        <v>#VALUE!</v>
      </c>
      <c r="N29" s="635"/>
      <c r="O29" s="635"/>
      <c r="P29" s="542" t="s">
        <v>592</v>
      </c>
      <c r="Q29" s="543" t="s">
        <v>592</v>
      </c>
      <c r="R29" s="543" t="s">
        <v>592</v>
      </c>
      <c r="S29" s="542" t="e">
        <f t="shared" si="8"/>
        <v>#VALUE!</v>
      </c>
      <c r="T29" s="648"/>
      <c r="U29" s="542" t="s">
        <v>592</v>
      </c>
      <c r="V29" s="543" t="s">
        <v>592</v>
      </c>
      <c r="W29" s="543" t="s">
        <v>592</v>
      </c>
      <c r="X29" s="542" t="e">
        <f t="shared" si="10"/>
        <v>#VALUE!</v>
      </c>
      <c r="Y29" s="648"/>
      <c r="Z29" s="542" t="s">
        <v>592</v>
      </c>
      <c r="AA29" s="543" t="s">
        <v>592</v>
      </c>
      <c r="AB29" s="543" t="s">
        <v>592</v>
      </c>
      <c r="AC29" s="542" t="e">
        <f t="shared" si="12"/>
        <v>#VALUE!</v>
      </c>
      <c r="AD29" s="648"/>
      <c r="AE29" s="542" t="s">
        <v>592</v>
      </c>
      <c r="AF29" s="543" t="s">
        <v>592</v>
      </c>
      <c r="AG29" s="543" t="s">
        <v>592</v>
      </c>
      <c r="AH29" s="542" t="e">
        <f t="shared" si="14"/>
        <v>#VALUE!</v>
      </c>
      <c r="AI29" s="648"/>
      <c r="AJ29" s="542" t="s">
        <v>592</v>
      </c>
      <c r="AK29" s="543" t="s">
        <v>592</v>
      </c>
      <c r="AL29" s="543" t="s">
        <v>592</v>
      </c>
      <c r="AM29" s="542" t="e">
        <f t="shared" si="16"/>
        <v>#VALUE!</v>
      </c>
      <c r="AN29" s="648"/>
      <c r="AO29" s="542" t="s">
        <v>592</v>
      </c>
      <c r="AP29" s="543" t="s">
        <v>592</v>
      </c>
      <c r="AQ29" s="543" t="s">
        <v>592</v>
      </c>
      <c r="AR29" s="542" t="e">
        <f t="shared" si="18"/>
        <v>#VALUE!</v>
      </c>
      <c r="AS29" s="648"/>
      <c r="AT29" s="542" t="s">
        <v>592</v>
      </c>
      <c r="AU29" s="543" t="s">
        <v>592</v>
      </c>
      <c r="AV29" s="543" t="s">
        <v>592</v>
      </c>
      <c r="AW29" s="542" t="e">
        <f t="shared" si="20"/>
        <v>#VALUE!</v>
      </c>
      <c r="AX29" s="648"/>
      <c r="AZ29" s="372" t="e">
        <f t="shared" si="22"/>
        <v>#N/A</v>
      </c>
      <c r="BA29" s="648"/>
    </row>
    <row r="30" spans="2:53">
      <c r="B30" s="646"/>
      <c r="C30" s="383">
        <v>4</v>
      </c>
      <c r="D30" s="225"/>
      <c r="E30" s="539"/>
      <c r="F30" s="535"/>
      <c r="G30" s="534"/>
      <c r="H30" s="682"/>
      <c r="I30" s="385" t="str">
        <f t="shared" si="5"/>
        <v>-</v>
      </c>
      <c r="J30" s="385" t="str">
        <f t="shared" si="6"/>
        <v>-</v>
      </c>
      <c r="K30" s="199" t="str">
        <f t="shared" si="7"/>
        <v>-</v>
      </c>
      <c r="L30" s="617"/>
      <c r="M30" s="391" t="e">
        <f>RANK(K30, K$24:$K$41)</f>
        <v>#VALUE!</v>
      </c>
      <c r="N30" s="635"/>
      <c r="O30" s="635"/>
      <c r="P30" s="542" t="s">
        <v>592</v>
      </c>
      <c r="Q30" s="543" t="s">
        <v>592</v>
      </c>
      <c r="R30" s="543" t="s">
        <v>592</v>
      </c>
      <c r="S30" s="542" t="e">
        <f t="shared" si="8"/>
        <v>#VALUE!</v>
      </c>
      <c r="T30" s="648"/>
      <c r="U30" s="542" t="s">
        <v>592</v>
      </c>
      <c r="V30" s="543" t="s">
        <v>592</v>
      </c>
      <c r="W30" s="543" t="s">
        <v>592</v>
      </c>
      <c r="X30" s="542" t="e">
        <f t="shared" si="10"/>
        <v>#VALUE!</v>
      </c>
      <c r="Y30" s="648"/>
      <c r="Z30" s="542" t="s">
        <v>592</v>
      </c>
      <c r="AA30" s="543" t="s">
        <v>592</v>
      </c>
      <c r="AB30" s="543" t="s">
        <v>592</v>
      </c>
      <c r="AC30" s="542" t="e">
        <f t="shared" si="12"/>
        <v>#VALUE!</v>
      </c>
      <c r="AD30" s="648"/>
      <c r="AE30" s="542" t="s">
        <v>592</v>
      </c>
      <c r="AF30" s="543" t="s">
        <v>592</v>
      </c>
      <c r="AG30" s="543" t="s">
        <v>592</v>
      </c>
      <c r="AH30" s="542" t="e">
        <f t="shared" si="14"/>
        <v>#VALUE!</v>
      </c>
      <c r="AI30" s="648"/>
      <c r="AJ30" s="542" t="s">
        <v>592</v>
      </c>
      <c r="AK30" s="543" t="s">
        <v>592</v>
      </c>
      <c r="AL30" s="543" t="s">
        <v>592</v>
      </c>
      <c r="AM30" s="542" t="e">
        <f t="shared" si="16"/>
        <v>#VALUE!</v>
      </c>
      <c r="AN30" s="648"/>
      <c r="AO30" s="542" t="s">
        <v>592</v>
      </c>
      <c r="AP30" s="543" t="s">
        <v>592</v>
      </c>
      <c r="AQ30" s="543" t="s">
        <v>592</v>
      </c>
      <c r="AR30" s="542" t="e">
        <f t="shared" si="18"/>
        <v>#VALUE!</v>
      </c>
      <c r="AS30" s="648"/>
      <c r="AT30" s="542" t="s">
        <v>592</v>
      </c>
      <c r="AU30" s="543" t="s">
        <v>592</v>
      </c>
      <c r="AV30" s="543" t="s">
        <v>592</v>
      </c>
      <c r="AW30" s="542" t="e">
        <f t="shared" si="20"/>
        <v>#VALUE!</v>
      </c>
      <c r="AX30" s="648"/>
      <c r="AZ30" s="372" t="e">
        <f t="shared" si="22"/>
        <v>#N/A</v>
      </c>
      <c r="BA30" s="648"/>
    </row>
    <row r="31" spans="2:53">
      <c r="B31" s="646"/>
      <c r="C31" s="383">
        <v>5</v>
      </c>
      <c r="D31" s="225"/>
      <c r="E31" s="539"/>
      <c r="F31" s="535"/>
      <c r="G31" s="534"/>
      <c r="H31" s="682"/>
      <c r="I31" s="385" t="str">
        <f t="shared" si="5"/>
        <v>-</v>
      </c>
      <c r="J31" s="385" t="str">
        <f t="shared" si="6"/>
        <v>-</v>
      </c>
      <c r="K31" s="199" t="str">
        <f t="shared" si="7"/>
        <v>-</v>
      </c>
      <c r="L31" s="617"/>
      <c r="M31" s="391" t="e">
        <f>RANK(K31, K$24:$K$41)</f>
        <v>#VALUE!</v>
      </c>
      <c r="N31" s="635"/>
      <c r="O31" s="635"/>
      <c r="P31" s="542" t="s">
        <v>592</v>
      </c>
      <c r="Q31" s="543" t="s">
        <v>592</v>
      </c>
      <c r="R31" s="543" t="s">
        <v>592</v>
      </c>
      <c r="S31" s="542" t="e">
        <f t="shared" si="8"/>
        <v>#VALUE!</v>
      </c>
      <c r="T31" s="648"/>
      <c r="U31" s="542" t="s">
        <v>592</v>
      </c>
      <c r="V31" s="543" t="s">
        <v>592</v>
      </c>
      <c r="W31" s="543" t="s">
        <v>592</v>
      </c>
      <c r="X31" s="542" t="e">
        <f t="shared" si="10"/>
        <v>#VALUE!</v>
      </c>
      <c r="Y31" s="648"/>
      <c r="Z31" s="542" t="s">
        <v>592</v>
      </c>
      <c r="AA31" s="543" t="s">
        <v>592</v>
      </c>
      <c r="AB31" s="543" t="s">
        <v>592</v>
      </c>
      <c r="AC31" s="542" t="e">
        <f t="shared" si="12"/>
        <v>#VALUE!</v>
      </c>
      <c r="AD31" s="648"/>
      <c r="AE31" s="542" t="s">
        <v>592</v>
      </c>
      <c r="AF31" s="543" t="s">
        <v>592</v>
      </c>
      <c r="AG31" s="543" t="s">
        <v>592</v>
      </c>
      <c r="AH31" s="542" t="e">
        <f t="shared" si="14"/>
        <v>#VALUE!</v>
      </c>
      <c r="AI31" s="648"/>
      <c r="AJ31" s="542" t="s">
        <v>592</v>
      </c>
      <c r="AK31" s="543" t="s">
        <v>592</v>
      </c>
      <c r="AL31" s="543" t="s">
        <v>592</v>
      </c>
      <c r="AM31" s="542" t="e">
        <f t="shared" si="16"/>
        <v>#VALUE!</v>
      </c>
      <c r="AN31" s="648"/>
      <c r="AO31" s="542" t="s">
        <v>592</v>
      </c>
      <c r="AP31" s="543" t="s">
        <v>592</v>
      </c>
      <c r="AQ31" s="543" t="s">
        <v>592</v>
      </c>
      <c r="AR31" s="542" t="e">
        <f t="shared" si="18"/>
        <v>#VALUE!</v>
      </c>
      <c r="AS31" s="648"/>
      <c r="AT31" s="542" t="s">
        <v>592</v>
      </c>
      <c r="AU31" s="543" t="s">
        <v>592</v>
      </c>
      <c r="AV31" s="543" t="s">
        <v>592</v>
      </c>
      <c r="AW31" s="542" t="e">
        <f t="shared" si="20"/>
        <v>#VALUE!</v>
      </c>
      <c r="AX31" s="648"/>
      <c r="AZ31" s="372" t="e">
        <f t="shared" si="22"/>
        <v>#N/A</v>
      </c>
      <c r="BA31" s="648"/>
    </row>
    <row r="32" spans="2:53">
      <c r="B32" s="646"/>
      <c r="C32" s="383">
        <v>6</v>
      </c>
      <c r="D32" s="225"/>
      <c r="E32" s="539"/>
      <c r="F32" s="535"/>
      <c r="G32" s="534"/>
      <c r="H32" s="682"/>
      <c r="I32" s="385" t="str">
        <f t="shared" si="5"/>
        <v>-</v>
      </c>
      <c r="J32" s="385" t="str">
        <f t="shared" si="6"/>
        <v>-</v>
      </c>
      <c r="K32" s="199" t="str">
        <f t="shared" si="7"/>
        <v>-</v>
      </c>
      <c r="L32" s="617"/>
      <c r="M32" s="391" t="e">
        <f>RANK(K32, K$24:$K$41)</f>
        <v>#VALUE!</v>
      </c>
      <c r="N32" s="635"/>
      <c r="O32" s="635"/>
      <c r="P32" s="542" t="s">
        <v>592</v>
      </c>
      <c r="Q32" s="543" t="s">
        <v>592</v>
      </c>
      <c r="R32" s="543" t="s">
        <v>592</v>
      </c>
      <c r="S32" s="542" t="e">
        <f t="shared" si="8"/>
        <v>#VALUE!</v>
      </c>
      <c r="T32" s="648"/>
      <c r="U32" s="542" t="s">
        <v>592</v>
      </c>
      <c r="V32" s="543" t="s">
        <v>592</v>
      </c>
      <c r="W32" s="543" t="s">
        <v>592</v>
      </c>
      <c r="X32" s="542" t="e">
        <f t="shared" si="10"/>
        <v>#VALUE!</v>
      </c>
      <c r="Y32" s="648"/>
      <c r="Z32" s="542" t="s">
        <v>592</v>
      </c>
      <c r="AA32" s="543" t="s">
        <v>592</v>
      </c>
      <c r="AB32" s="543" t="s">
        <v>592</v>
      </c>
      <c r="AC32" s="542" t="e">
        <f t="shared" si="12"/>
        <v>#VALUE!</v>
      </c>
      <c r="AD32" s="648"/>
      <c r="AE32" s="542" t="s">
        <v>592</v>
      </c>
      <c r="AF32" s="543" t="s">
        <v>592</v>
      </c>
      <c r="AG32" s="543" t="s">
        <v>592</v>
      </c>
      <c r="AH32" s="542" t="e">
        <f t="shared" si="14"/>
        <v>#VALUE!</v>
      </c>
      <c r="AI32" s="648"/>
      <c r="AJ32" s="542" t="s">
        <v>592</v>
      </c>
      <c r="AK32" s="543" t="s">
        <v>592</v>
      </c>
      <c r="AL32" s="543" t="s">
        <v>592</v>
      </c>
      <c r="AM32" s="542" t="e">
        <f t="shared" si="16"/>
        <v>#VALUE!</v>
      </c>
      <c r="AN32" s="648"/>
      <c r="AO32" s="542" t="s">
        <v>592</v>
      </c>
      <c r="AP32" s="543" t="s">
        <v>592</v>
      </c>
      <c r="AQ32" s="543" t="s">
        <v>592</v>
      </c>
      <c r="AR32" s="542" t="e">
        <f t="shared" si="18"/>
        <v>#VALUE!</v>
      </c>
      <c r="AS32" s="648"/>
      <c r="AT32" s="542" t="s">
        <v>592</v>
      </c>
      <c r="AU32" s="543" t="s">
        <v>592</v>
      </c>
      <c r="AV32" s="543" t="s">
        <v>592</v>
      </c>
      <c r="AW32" s="542" t="e">
        <f t="shared" si="20"/>
        <v>#VALUE!</v>
      </c>
      <c r="AX32" s="648"/>
      <c r="AZ32" s="372" t="e">
        <f t="shared" si="22"/>
        <v>#N/A</v>
      </c>
      <c r="BA32" s="648"/>
    </row>
    <row r="33" spans="2:53">
      <c r="B33" s="646"/>
      <c r="C33" s="383">
        <v>7</v>
      </c>
      <c r="D33" s="225"/>
      <c r="E33" s="539"/>
      <c r="F33" s="535"/>
      <c r="G33" s="534"/>
      <c r="H33" s="682"/>
      <c r="I33" s="385" t="str">
        <f t="shared" si="5"/>
        <v>-</v>
      </c>
      <c r="J33" s="385" t="str">
        <f t="shared" si="6"/>
        <v>-</v>
      </c>
      <c r="K33" s="199" t="str">
        <f t="shared" si="7"/>
        <v>-</v>
      </c>
      <c r="L33" s="617"/>
      <c r="M33" s="391" t="e">
        <f>RANK(K33, K$24:$K$41)</f>
        <v>#VALUE!</v>
      </c>
      <c r="N33" s="635"/>
      <c r="O33" s="635"/>
      <c r="P33" s="542" t="s">
        <v>592</v>
      </c>
      <c r="Q33" s="543" t="s">
        <v>592</v>
      </c>
      <c r="R33" s="543" t="s">
        <v>592</v>
      </c>
      <c r="S33" s="542" t="e">
        <f t="shared" si="8"/>
        <v>#VALUE!</v>
      </c>
      <c r="T33" s="648"/>
      <c r="U33" s="542" t="s">
        <v>592</v>
      </c>
      <c r="V33" s="543" t="s">
        <v>592</v>
      </c>
      <c r="W33" s="543" t="s">
        <v>592</v>
      </c>
      <c r="X33" s="542" t="e">
        <f t="shared" si="10"/>
        <v>#VALUE!</v>
      </c>
      <c r="Y33" s="648"/>
      <c r="Z33" s="542" t="s">
        <v>592</v>
      </c>
      <c r="AA33" s="543" t="s">
        <v>592</v>
      </c>
      <c r="AB33" s="543" t="s">
        <v>592</v>
      </c>
      <c r="AC33" s="542" t="e">
        <f t="shared" si="12"/>
        <v>#VALUE!</v>
      </c>
      <c r="AD33" s="648"/>
      <c r="AE33" s="542" t="s">
        <v>592</v>
      </c>
      <c r="AF33" s="543" t="s">
        <v>592</v>
      </c>
      <c r="AG33" s="543" t="s">
        <v>592</v>
      </c>
      <c r="AH33" s="542" t="e">
        <f t="shared" si="14"/>
        <v>#VALUE!</v>
      </c>
      <c r="AI33" s="648"/>
      <c r="AJ33" s="542" t="s">
        <v>592</v>
      </c>
      <c r="AK33" s="543" t="s">
        <v>592</v>
      </c>
      <c r="AL33" s="543" t="s">
        <v>592</v>
      </c>
      <c r="AM33" s="542" t="e">
        <f t="shared" si="16"/>
        <v>#VALUE!</v>
      </c>
      <c r="AN33" s="648"/>
      <c r="AO33" s="542" t="s">
        <v>592</v>
      </c>
      <c r="AP33" s="543" t="s">
        <v>592</v>
      </c>
      <c r="AQ33" s="543" t="s">
        <v>592</v>
      </c>
      <c r="AR33" s="542" t="e">
        <f t="shared" si="18"/>
        <v>#VALUE!</v>
      </c>
      <c r="AS33" s="648"/>
      <c r="AT33" s="542" t="s">
        <v>592</v>
      </c>
      <c r="AU33" s="543" t="s">
        <v>592</v>
      </c>
      <c r="AV33" s="543" t="s">
        <v>592</v>
      </c>
      <c r="AW33" s="542" t="e">
        <f t="shared" si="20"/>
        <v>#VALUE!</v>
      </c>
      <c r="AX33" s="648"/>
      <c r="AZ33" s="372" t="e">
        <f t="shared" si="22"/>
        <v>#N/A</v>
      </c>
      <c r="BA33" s="648"/>
    </row>
    <row r="34" spans="2:53">
      <c r="B34" s="646"/>
      <c r="C34" s="383">
        <v>8</v>
      </c>
      <c r="D34" s="225"/>
      <c r="E34" s="539"/>
      <c r="F34" s="535"/>
      <c r="G34" s="534"/>
      <c r="H34" s="682"/>
      <c r="I34" s="385" t="str">
        <f t="shared" si="5"/>
        <v>-</v>
      </c>
      <c r="J34" s="385" t="str">
        <f t="shared" si="6"/>
        <v>-</v>
      </c>
      <c r="K34" s="199" t="str">
        <f t="shared" si="7"/>
        <v>-</v>
      </c>
      <c r="L34" s="617"/>
      <c r="M34" s="391" t="e">
        <f>RANK(K34, K$24:$K$41)</f>
        <v>#VALUE!</v>
      </c>
      <c r="N34" s="635"/>
      <c r="O34" s="635"/>
      <c r="P34" s="542" t="s">
        <v>592</v>
      </c>
      <c r="Q34" s="543" t="s">
        <v>592</v>
      </c>
      <c r="R34" s="543" t="s">
        <v>592</v>
      </c>
      <c r="S34" s="542" t="e">
        <f t="shared" si="8"/>
        <v>#VALUE!</v>
      </c>
      <c r="T34" s="648"/>
      <c r="U34" s="542" t="s">
        <v>592</v>
      </c>
      <c r="V34" s="543" t="s">
        <v>592</v>
      </c>
      <c r="W34" s="543" t="s">
        <v>592</v>
      </c>
      <c r="X34" s="542" t="e">
        <f t="shared" si="10"/>
        <v>#VALUE!</v>
      </c>
      <c r="Y34" s="648"/>
      <c r="Z34" s="542" t="s">
        <v>592</v>
      </c>
      <c r="AA34" s="543" t="s">
        <v>592</v>
      </c>
      <c r="AB34" s="543" t="s">
        <v>592</v>
      </c>
      <c r="AC34" s="542" t="e">
        <f t="shared" si="12"/>
        <v>#VALUE!</v>
      </c>
      <c r="AD34" s="648"/>
      <c r="AE34" s="542" t="s">
        <v>592</v>
      </c>
      <c r="AF34" s="543" t="s">
        <v>592</v>
      </c>
      <c r="AG34" s="543" t="s">
        <v>592</v>
      </c>
      <c r="AH34" s="542" t="e">
        <f t="shared" si="14"/>
        <v>#VALUE!</v>
      </c>
      <c r="AI34" s="648"/>
      <c r="AJ34" s="542" t="s">
        <v>592</v>
      </c>
      <c r="AK34" s="543" t="s">
        <v>592</v>
      </c>
      <c r="AL34" s="543" t="s">
        <v>592</v>
      </c>
      <c r="AM34" s="542" t="e">
        <f t="shared" si="16"/>
        <v>#VALUE!</v>
      </c>
      <c r="AN34" s="648"/>
      <c r="AO34" s="542" t="s">
        <v>592</v>
      </c>
      <c r="AP34" s="543" t="s">
        <v>592</v>
      </c>
      <c r="AQ34" s="543" t="s">
        <v>592</v>
      </c>
      <c r="AR34" s="542" t="e">
        <f t="shared" si="18"/>
        <v>#VALUE!</v>
      </c>
      <c r="AS34" s="648"/>
      <c r="AT34" s="542" t="s">
        <v>592</v>
      </c>
      <c r="AU34" s="543" t="s">
        <v>592</v>
      </c>
      <c r="AV34" s="543" t="s">
        <v>592</v>
      </c>
      <c r="AW34" s="542" t="e">
        <f t="shared" si="20"/>
        <v>#VALUE!</v>
      </c>
      <c r="AX34" s="648"/>
      <c r="AZ34" s="372" t="e">
        <f t="shared" si="22"/>
        <v>#N/A</v>
      </c>
      <c r="BA34" s="648"/>
    </row>
    <row r="35" spans="2:53">
      <c r="B35" s="646"/>
      <c r="C35" s="383">
        <v>9</v>
      </c>
      <c r="D35" s="225"/>
      <c r="E35" s="539"/>
      <c r="F35" s="535"/>
      <c r="G35" s="534"/>
      <c r="H35" s="682"/>
      <c r="I35" s="385" t="str">
        <f t="shared" si="5"/>
        <v>-</v>
      </c>
      <c r="J35" s="385" t="str">
        <f t="shared" si="6"/>
        <v>-</v>
      </c>
      <c r="K35" s="199" t="str">
        <f t="shared" si="7"/>
        <v>-</v>
      </c>
      <c r="L35" s="617"/>
      <c r="M35" s="391" t="e">
        <f>RANK(K35, K$24:$K$41)</f>
        <v>#VALUE!</v>
      </c>
      <c r="N35" s="635"/>
      <c r="O35" s="635"/>
      <c r="P35" s="542" t="s">
        <v>592</v>
      </c>
      <c r="Q35" s="543" t="s">
        <v>592</v>
      </c>
      <c r="R35" s="543" t="s">
        <v>592</v>
      </c>
      <c r="S35" s="542" t="e">
        <f t="shared" si="8"/>
        <v>#VALUE!</v>
      </c>
      <c r="T35" s="648"/>
      <c r="U35" s="542" t="s">
        <v>592</v>
      </c>
      <c r="V35" s="543" t="s">
        <v>592</v>
      </c>
      <c r="W35" s="543" t="s">
        <v>592</v>
      </c>
      <c r="X35" s="542" t="e">
        <f t="shared" si="10"/>
        <v>#VALUE!</v>
      </c>
      <c r="Y35" s="648"/>
      <c r="Z35" s="542" t="s">
        <v>592</v>
      </c>
      <c r="AA35" s="543" t="s">
        <v>592</v>
      </c>
      <c r="AB35" s="543" t="s">
        <v>592</v>
      </c>
      <c r="AC35" s="542" t="e">
        <f t="shared" si="12"/>
        <v>#VALUE!</v>
      </c>
      <c r="AD35" s="648"/>
      <c r="AE35" s="542" t="s">
        <v>592</v>
      </c>
      <c r="AF35" s="543" t="s">
        <v>592</v>
      </c>
      <c r="AG35" s="543" t="s">
        <v>592</v>
      </c>
      <c r="AH35" s="542" t="e">
        <f t="shared" si="14"/>
        <v>#VALUE!</v>
      </c>
      <c r="AI35" s="648"/>
      <c r="AJ35" s="542" t="s">
        <v>592</v>
      </c>
      <c r="AK35" s="543" t="s">
        <v>592</v>
      </c>
      <c r="AL35" s="543" t="s">
        <v>592</v>
      </c>
      <c r="AM35" s="542" t="e">
        <f t="shared" si="16"/>
        <v>#VALUE!</v>
      </c>
      <c r="AN35" s="648"/>
      <c r="AO35" s="542" t="s">
        <v>592</v>
      </c>
      <c r="AP35" s="543" t="s">
        <v>592</v>
      </c>
      <c r="AQ35" s="543" t="s">
        <v>592</v>
      </c>
      <c r="AR35" s="542" t="e">
        <f t="shared" si="18"/>
        <v>#VALUE!</v>
      </c>
      <c r="AS35" s="648"/>
      <c r="AT35" s="542" t="s">
        <v>592</v>
      </c>
      <c r="AU35" s="543" t="s">
        <v>592</v>
      </c>
      <c r="AV35" s="543" t="s">
        <v>592</v>
      </c>
      <c r="AW35" s="542" t="e">
        <f t="shared" si="20"/>
        <v>#VALUE!</v>
      </c>
      <c r="AX35" s="648"/>
      <c r="AZ35" s="372" t="e">
        <f t="shared" si="22"/>
        <v>#N/A</v>
      </c>
      <c r="BA35" s="648"/>
    </row>
    <row r="36" spans="2:53">
      <c r="B36" s="646"/>
      <c r="C36" s="383">
        <v>10</v>
      </c>
      <c r="D36" s="225"/>
      <c r="E36" s="539"/>
      <c r="F36" s="535"/>
      <c r="G36" s="534"/>
      <c r="H36" s="682"/>
      <c r="I36" s="385" t="str">
        <f t="shared" si="5"/>
        <v>-</v>
      </c>
      <c r="J36" s="385" t="str">
        <f t="shared" si="6"/>
        <v>-</v>
      </c>
      <c r="K36" s="199" t="str">
        <f t="shared" si="7"/>
        <v>-</v>
      </c>
      <c r="L36" s="617"/>
      <c r="M36" s="391" t="e">
        <f>RANK(K36, K$24:$K$41)</f>
        <v>#VALUE!</v>
      </c>
      <c r="N36" s="635"/>
      <c r="O36" s="635"/>
      <c r="P36" s="542" t="s">
        <v>592</v>
      </c>
      <c r="Q36" s="543" t="s">
        <v>592</v>
      </c>
      <c r="R36" s="543" t="s">
        <v>592</v>
      </c>
      <c r="S36" s="542" t="e">
        <f t="shared" si="8"/>
        <v>#VALUE!</v>
      </c>
      <c r="T36" s="648"/>
      <c r="U36" s="542" t="s">
        <v>592</v>
      </c>
      <c r="V36" s="543" t="s">
        <v>592</v>
      </c>
      <c r="W36" s="543" t="s">
        <v>592</v>
      </c>
      <c r="X36" s="542" t="e">
        <f t="shared" si="10"/>
        <v>#VALUE!</v>
      </c>
      <c r="Y36" s="648"/>
      <c r="Z36" s="542" t="s">
        <v>592</v>
      </c>
      <c r="AA36" s="543" t="s">
        <v>592</v>
      </c>
      <c r="AB36" s="543" t="s">
        <v>592</v>
      </c>
      <c r="AC36" s="542" t="e">
        <f t="shared" si="12"/>
        <v>#VALUE!</v>
      </c>
      <c r="AD36" s="648"/>
      <c r="AE36" s="542" t="s">
        <v>592</v>
      </c>
      <c r="AF36" s="543" t="s">
        <v>592</v>
      </c>
      <c r="AG36" s="543" t="s">
        <v>592</v>
      </c>
      <c r="AH36" s="542" t="e">
        <f t="shared" si="14"/>
        <v>#VALUE!</v>
      </c>
      <c r="AI36" s="648"/>
      <c r="AJ36" s="542" t="s">
        <v>592</v>
      </c>
      <c r="AK36" s="543" t="s">
        <v>592</v>
      </c>
      <c r="AL36" s="543" t="s">
        <v>592</v>
      </c>
      <c r="AM36" s="542" t="e">
        <f t="shared" si="16"/>
        <v>#VALUE!</v>
      </c>
      <c r="AN36" s="648"/>
      <c r="AO36" s="542" t="s">
        <v>592</v>
      </c>
      <c r="AP36" s="543" t="s">
        <v>592</v>
      </c>
      <c r="AQ36" s="543" t="s">
        <v>592</v>
      </c>
      <c r="AR36" s="542" t="e">
        <f t="shared" si="18"/>
        <v>#VALUE!</v>
      </c>
      <c r="AS36" s="648"/>
      <c r="AT36" s="542" t="s">
        <v>592</v>
      </c>
      <c r="AU36" s="543" t="s">
        <v>592</v>
      </c>
      <c r="AV36" s="543" t="s">
        <v>592</v>
      </c>
      <c r="AW36" s="542" t="e">
        <f t="shared" si="20"/>
        <v>#VALUE!</v>
      </c>
      <c r="AX36" s="648"/>
      <c r="AZ36" s="372" t="e">
        <f t="shared" si="22"/>
        <v>#N/A</v>
      </c>
      <c r="BA36" s="648"/>
    </row>
    <row r="37" spans="2:53">
      <c r="B37" s="646"/>
      <c r="C37" s="383">
        <v>11</v>
      </c>
      <c r="D37" s="225"/>
      <c r="E37" s="539"/>
      <c r="F37" s="535"/>
      <c r="G37" s="534"/>
      <c r="H37" s="682"/>
      <c r="I37" s="385" t="str">
        <f t="shared" si="5"/>
        <v>-</v>
      </c>
      <c r="J37" s="385" t="str">
        <f t="shared" si="6"/>
        <v>-</v>
      </c>
      <c r="K37" s="199" t="str">
        <f t="shared" si="7"/>
        <v>-</v>
      </c>
      <c r="L37" s="617"/>
      <c r="M37" s="391" t="e">
        <f>RANK(K37, K$24:$K$41)</f>
        <v>#VALUE!</v>
      </c>
      <c r="N37" s="635"/>
      <c r="O37" s="635"/>
      <c r="P37" s="542" t="s">
        <v>592</v>
      </c>
      <c r="Q37" s="543" t="s">
        <v>592</v>
      </c>
      <c r="R37" s="543" t="s">
        <v>592</v>
      </c>
      <c r="S37" s="542" t="e">
        <f t="shared" si="8"/>
        <v>#VALUE!</v>
      </c>
      <c r="T37" s="648"/>
      <c r="U37" s="542" t="s">
        <v>592</v>
      </c>
      <c r="V37" s="543" t="s">
        <v>592</v>
      </c>
      <c r="W37" s="543" t="s">
        <v>592</v>
      </c>
      <c r="X37" s="542" t="e">
        <f t="shared" si="10"/>
        <v>#VALUE!</v>
      </c>
      <c r="Y37" s="648"/>
      <c r="Z37" s="542" t="s">
        <v>592</v>
      </c>
      <c r="AA37" s="543" t="s">
        <v>592</v>
      </c>
      <c r="AB37" s="543" t="s">
        <v>592</v>
      </c>
      <c r="AC37" s="542" t="e">
        <f t="shared" si="12"/>
        <v>#VALUE!</v>
      </c>
      <c r="AD37" s="648"/>
      <c r="AE37" s="542" t="s">
        <v>592</v>
      </c>
      <c r="AF37" s="543" t="s">
        <v>592</v>
      </c>
      <c r="AG37" s="543" t="s">
        <v>592</v>
      </c>
      <c r="AH37" s="542" t="e">
        <f t="shared" si="14"/>
        <v>#VALUE!</v>
      </c>
      <c r="AI37" s="648"/>
      <c r="AJ37" s="542" t="s">
        <v>592</v>
      </c>
      <c r="AK37" s="543" t="s">
        <v>592</v>
      </c>
      <c r="AL37" s="543" t="s">
        <v>592</v>
      </c>
      <c r="AM37" s="542" t="e">
        <f t="shared" si="16"/>
        <v>#VALUE!</v>
      </c>
      <c r="AN37" s="648"/>
      <c r="AO37" s="542" t="s">
        <v>592</v>
      </c>
      <c r="AP37" s="543" t="s">
        <v>592</v>
      </c>
      <c r="AQ37" s="543" t="s">
        <v>592</v>
      </c>
      <c r="AR37" s="542" t="e">
        <f t="shared" si="18"/>
        <v>#VALUE!</v>
      </c>
      <c r="AS37" s="648"/>
      <c r="AT37" s="542" t="s">
        <v>592</v>
      </c>
      <c r="AU37" s="543" t="s">
        <v>592</v>
      </c>
      <c r="AV37" s="543" t="s">
        <v>592</v>
      </c>
      <c r="AW37" s="542" t="e">
        <f t="shared" si="20"/>
        <v>#VALUE!</v>
      </c>
      <c r="AX37" s="648"/>
      <c r="AZ37" s="372" t="e">
        <f t="shared" si="22"/>
        <v>#N/A</v>
      </c>
      <c r="BA37" s="648"/>
    </row>
    <row r="38" spans="2:53">
      <c r="B38" s="646"/>
      <c r="C38" s="383">
        <v>12</v>
      </c>
      <c r="D38" s="225"/>
      <c r="E38" s="539"/>
      <c r="F38" s="535"/>
      <c r="G38" s="534"/>
      <c r="H38" s="682"/>
      <c r="I38" s="385" t="str">
        <f t="shared" si="5"/>
        <v>-</v>
      </c>
      <c r="J38" s="385" t="str">
        <f t="shared" si="6"/>
        <v>-</v>
      </c>
      <c r="K38" s="199" t="str">
        <f t="shared" si="7"/>
        <v>-</v>
      </c>
      <c r="L38" s="617"/>
      <c r="M38" s="391" t="e">
        <f>RANK(K38, K$24:$K$41)</f>
        <v>#VALUE!</v>
      </c>
      <c r="N38" s="635"/>
      <c r="O38" s="635"/>
      <c r="P38" s="542" t="s">
        <v>592</v>
      </c>
      <c r="Q38" s="543" t="s">
        <v>592</v>
      </c>
      <c r="R38" s="543" t="s">
        <v>592</v>
      </c>
      <c r="S38" s="542" t="e">
        <f t="shared" si="8"/>
        <v>#VALUE!</v>
      </c>
      <c r="T38" s="648"/>
      <c r="U38" s="542" t="s">
        <v>592</v>
      </c>
      <c r="V38" s="543" t="s">
        <v>592</v>
      </c>
      <c r="W38" s="543" t="s">
        <v>592</v>
      </c>
      <c r="X38" s="542" t="e">
        <f t="shared" si="10"/>
        <v>#VALUE!</v>
      </c>
      <c r="Y38" s="648"/>
      <c r="Z38" s="542" t="s">
        <v>592</v>
      </c>
      <c r="AA38" s="543" t="s">
        <v>592</v>
      </c>
      <c r="AB38" s="543" t="s">
        <v>592</v>
      </c>
      <c r="AC38" s="542" t="e">
        <f t="shared" si="12"/>
        <v>#VALUE!</v>
      </c>
      <c r="AD38" s="648"/>
      <c r="AE38" s="542" t="s">
        <v>592</v>
      </c>
      <c r="AF38" s="543" t="s">
        <v>592</v>
      </c>
      <c r="AG38" s="543" t="s">
        <v>592</v>
      </c>
      <c r="AH38" s="542" t="e">
        <f t="shared" si="14"/>
        <v>#VALUE!</v>
      </c>
      <c r="AI38" s="648"/>
      <c r="AJ38" s="542" t="s">
        <v>592</v>
      </c>
      <c r="AK38" s="543" t="s">
        <v>592</v>
      </c>
      <c r="AL38" s="543" t="s">
        <v>592</v>
      </c>
      <c r="AM38" s="542" t="e">
        <f t="shared" si="16"/>
        <v>#VALUE!</v>
      </c>
      <c r="AN38" s="648"/>
      <c r="AO38" s="542" t="s">
        <v>592</v>
      </c>
      <c r="AP38" s="543" t="s">
        <v>592</v>
      </c>
      <c r="AQ38" s="543" t="s">
        <v>592</v>
      </c>
      <c r="AR38" s="542" t="e">
        <f t="shared" si="18"/>
        <v>#VALUE!</v>
      </c>
      <c r="AS38" s="648"/>
      <c r="AT38" s="542" t="s">
        <v>592</v>
      </c>
      <c r="AU38" s="543" t="s">
        <v>592</v>
      </c>
      <c r="AV38" s="543" t="s">
        <v>592</v>
      </c>
      <c r="AW38" s="542" t="e">
        <f t="shared" si="20"/>
        <v>#VALUE!</v>
      </c>
      <c r="AX38" s="648"/>
      <c r="AZ38" s="372" t="e">
        <f t="shared" si="22"/>
        <v>#N/A</v>
      </c>
      <c r="BA38" s="648"/>
    </row>
    <row r="39" spans="2:53">
      <c r="B39" s="646"/>
      <c r="C39" s="383">
        <v>13</v>
      </c>
      <c r="D39" s="225"/>
      <c r="E39" s="539"/>
      <c r="F39" s="535"/>
      <c r="G39" s="534"/>
      <c r="H39" s="682"/>
      <c r="I39" s="385" t="str">
        <f t="shared" si="5"/>
        <v>-</v>
      </c>
      <c r="J39" s="385" t="str">
        <f t="shared" si="6"/>
        <v>-</v>
      </c>
      <c r="K39" s="199" t="str">
        <f t="shared" si="7"/>
        <v>-</v>
      </c>
      <c r="L39" s="617"/>
      <c r="M39" s="391" t="e">
        <f>RANK(K39, K$24:$K$41)</f>
        <v>#VALUE!</v>
      </c>
      <c r="N39" s="635"/>
      <c r="O39" s="635"/>
      <c r="P39" s="542" t="s">
        <v>592</v>
      </c>
      <c r="Q39" s="543" t="s">
        <v>592</v>
      </c>
      <c r="R39" s="543" t="s">
        <v>592</v>
      </c>
      <c r="S39" s="542" t="e">
        <f t="shared" si="8"/>
        <v>#VALUE!</v>
      </c>
      <c r="T39" s="648"/>
      <c r="U39" s="542" t="s">
        <v>592</v>
      </c>
      <c r="V39" s="543" t="s">
        <v>592</v>
      </c>
      <c r="W39" s="543" t="s">
        <v>592</v>
      </c>
      <c r="X39" s="542" t="e">
        <f t="shared" si="10"/>
        <v>#VALUE!</v>
      </c>
      <c r="Y39" s="648"/>
      <c r="Z39" s="542" t="s">
        <v>592</v>
      </c>
      <c r="AA39" s="543" t="s">
        <v>592</v>
      </c>
      <c r="AB39" s="543" t="s">
        <v>592</v>
      </c>
      <c r="AC39" s="542" t="e">
        <f t="shared" si="12"/>
        <v>#VALUE!</v>
      </c>
      <c r="AD39" s="648"/>
      <c r="AE39" s="542" t="s">
        <v>592</v>
      </c>
      <c r="AF39" s="543" t="s">
        <v>592</v>
      </c>
      <c r="AG39" s="543" t="s">
        <v>592</v>
      </c>
      <c r="AH39" s="542" t="e">
        <f t="shared" si="14"/>
        <v>#VALUE!</v>
      </c>
      <c r="AI39" s="648"/>
      <c r="AJ39" s="542" t="s">
        <v>592</v>
      </c>
      <c r="AK39" s="543" t="s">
        <v>592</v>
      </c>
      <c r="AL39" s="543" t="s">
        <v>592</v>
      </c>
      <c r="AM39" s="542" t="e">
        <f t="shared" si="16"/>
        <v>#VALUE!</v>
      </c>
      <c r="AN39" s="648"/>
      <c r="AO39" s="542" t="s">
        <v>592</v>
      </c>
      <c r="AP39" s="543" t="s">
        <v>592</v>
      </c>
      <c r="AQ39" s="543" t="s">
        <v>592</v>
      </c>
      <c r="AR39" s="542" t="e">
        <f t="shared" si="18"/>
        <v>#VALUE!</v>
      </c>
      <c r="AS39" s="648"/>
      <c r="AT39" s="542" t="s">
        <v>592</v>
      </c>
      <c r="AU39" s="543" t="s">
        <v>592</v>
      </c>
      <c r="AV39" s="543" t="s">
        <v>592</v>
      </c>
      <c r="AW39" s="542" t="e">
        <f t="shared" si="20"/>
        <v>#VALUE!</v>
      </c>
      <c r="AX39" s="648"/>
      <c r="AZ39" s="372" t="e">
        <f t="shared" si="22"/>
        <v>#N/A</v>
      </c>
      <c r="BA39" s="648"/>
    </row>
    <row r="40" spans="2:53">
      <c r="B40" s="646"/>
      <c r="C40" s="383">
        <v>14</v>
      </c>
      <c r="D40" s="225"/>
      <c r="E40" s="539"/>
      <c r="F40" s="535"/>
      <c r="G40" s="534"/>
      <c r="H40" s="682"/>
      <c r="I40" s="385" t="str">
        <f t="shared" si="5"/>
        <v>-</v>
      </c>
      <c r="J40" s="385" t="str">
        <f t="shared" si="6"/>
        <v>-</v>
      </c>
      <c r="K40" s="199" t="str">
        <f t="shared" si="7"/>
        <v>-</v>
      </c>
      <c r="L40" s="617"/>
      <c r="M40" s="391" t="e">
        <f>RANK(K40, K$24:$K$41)</f>
        <v>#VALUE!</v>
      </c>
      <c r="N40" s="635"/>
      <c r="O40" s="635"/>
      <c r="P40" s="542" t="s">
        <v>592</v>
      </c>
      <c r="Q40" s="543" t="s">
        <v>592</v>
      </c>
      <c r="R40" s="543" t="s">
        <v>592</v>
      </c>
      <c r="S40" s="542" t="e">
        <f t="shared" si="8"/>
        <v>#VALUE!</v>
      </c>
      <c r="T40" s="648"/>
      <c r="U40" s="542" t="s">
        <v>592</v>
      </c>
      <c r="V40" s="543" t="s">
        <v>592</v>
      </c>
      <c r="W40" s="543" t="s">
        <v>592</v>
      </c>
      <c r="X40" s="542" t="e">
        <f t="shared" si="10"/>
        <v>#VALUE!</v>
      </c>
      <c r="Y40" s="648"/>
      <c r="Z40" s="542" t="s">
        <v>592</v>
      </c>
      <c r="AA40" s="543" t="s">
        <v>592</v>
      </c>
      <c r="AB40" s="543" t="s">
        <v>592</v>
      </c>
      <c r="AC40" s="542" t="e">
        <f t="shared" si="12"/>
        <v>#VALUE!</v>
      </c>
      <c r="AD40" s="648"/>
      <c r="AE40" s="542" t="s">
        <v>592</v>
      </c>
      <c r="AF40" s="543" t="s">
        <v>592</v>
      </c>
      <c r="AG40" s="543" t="s">
        <v>592</v>
      </c>
      <c r="AH40" s="542" t="e">
        <f t="shared" si="14"/>
        <v>#VALUE!</v>
      </c>
      <c r="AI40" s="648"/>
      <c r="AJ40" s="542" t="s">
        <v>592</v>
      </c>
      <c r="AK40" s="543" t="s">
        <v>592</v>
      </c>
      <c r="AL40" s="543" t="s">
        <v>592</v>
      </c>
      <c r="AM40" s="542" t="e">
        <f t="shared" si="16"/>
        <v>#VALUE!</v>
      </c>
      <c r="AN40" s="648"/>
      <c r="AO40" s="542" t="s">
        <v>592</v>
      </c>
      <c r="AP40" s="543" t="s">
        <v>592</v>
      </c>
      <c r="AQ40" s="543" t="s">
        <v>592</v>
      </c>
      <c r="AR40" s="542" t="e">
        <f t="shared" si="18"/>
        <v>#VALUE!</v>
      </c>
      <c r="AS40" s="648"/>
      <c r="AT40" s="542" t="s">
        <v>592</v>
      </c>
      <c r="AU40" s="543" t="s">
        <v>592</v>
      </c>
      <c r="AV40" s="543" t="s">
        <v>592</v>
      </c>
      <c r="AW40" s="542" t="e">
        <f t="shared" si="20"/>
        <v>#VALUE!</v>
      </c>
      <c r="AX40" s="648"/>
      <c r="AZ40" s="372" t="e">
        <f t="shared" si="22"/>
        <v>#N/A</v>
      </c>
      <c r="BA40" s="648"/>
    </row>
    <row r="41" spans="2:53">
      <c r="B41" s="646"/>
      <c r="C41" s="383">
        <v>15</v>
      </c>
      <c r="D41" s="225"/>
      <c r="E41" s="539"/>
      <c r="F41" s="535"/>
      <c r="G41" s="534"/>
      <c r="H41" s="683"/>
      <c r="I41" s="201"/>
      <c r="J41" s="201"/>
      <c r="K41" s="201"/>
      <c r="L41" s="618"/>
      <c r="M41" s="390" t="e">
        <f>RANK(K41, K$24:$K$41)</f>
        <v>#N/A</v>
      </c>
      <c r="N41" s="635"/>
      <c r="O41" s="635"/>
      <c r="P41" s="542" t="s">
        <v>592</v>
      </c>
      <c r="Q41" s="543" t="s">
        <v>592</v>
      </c>
      <c r="R41" s="543" t="s">
        <v>592</v>
      </c>
      <c r="S41" s="542" t="e">
        <f t="shared" si="8"/>
        <v>#VALUE!</v>
      </c>
      <c r="T41" s="649"/>
      <c r="U41" s="542" t="s">
        <v>592</v>
      </c>
      <c r="V41" s="543" t="s">
        <v>592</v>
      </c>
      <c r="W41" s="543" t="s">
        <v>592</v>
      </c>
      <c r="X41" s="542" t="e">
        <f t="shared" si="10"/>
        <v>#VALUE!</v>
      </c>
      <c r="Y41" s="649"/>
      <c r="Z41" s="542" t="s">
        <v>592</v>
      </c>
      <c r="AA41" s="543" t="s">
        <v>592</v>
      </c>
      <c r="AB41" s="543" t="s">
        <v>592</v>
      </c>
      <c r="AC41" s="542" t="e">
        <f t="shared" si="12"/>
        <v>#VALUE!</v>
      </c>
      <c r="AD41" s="649"/>
      <c r="AE41" s="542" t="s">
        <v>592</v>
      </c>
      <c r="AF41" s="543" t="s">
        <v>592</v>
      </c>
      <c r="AG41" s="543" t="s">
        <v>592</v>
      </c>
      <c r="AH41" s="542" t="e">
        <f t="shared" si="14"/>
        <v>#VALUE!</v>
      </c>
      <c r="AI41" s="649"/>
      <c r="AJ41" s="542" t="s">
        <v>592</v>
      </c>
      <c r="AK41" s="543" t="s">
        <v>592</v>
      </c>
      <c r="AL41" s="543" t="s">
        <v>592</v>
      </c>
      <c r="AM41" s="542" t="e">
        <f t="shared" si="16"/>
        <v>#VALUE!</v>
      </c>
      <c r="AN41" s="649"/>
      <c r="AO41" s="542" t="s">
        <v>592</v>
      </c>
      <c r="AP41" s="543" t="s">
        <v>592</v>
      </c>
      <c r="AQ41" s="543" t="s">
        <v>592</v>
      </c>
      <c r="AR41" s="542" t="e">
        <f t="shared" si="18"/>
        <v>#VALUE!</v>
      </c>
      <c r="AS41" s="649"/>
      <c r="AT41" s="542" t="s">
        <v>592</v>
      </c>
      <c r="AU41" s="543" t="s">
        <v>592</v>
      </c>
      <c r="AV41" s="543" t="s">
        <v>592</v>
      </c>
      <c r="AW41" s="542" t="e">
        <f t="shared" si="20"/>
        <v>#VALUE!</v>
      </c>
      <c r="AX41" s="649"/>
      <c r="AZ41" s="372" t="e">
        <f t="shared" si="22"/>
        <v>#N/A</v>
      </c>
      <c r="BA41" s="649"/>
    </row>
    <row r="42" spans="2:53" ht="15.75">
      <c r="B42" s="666" t="s">
        <v>162</v>
      </c>
      <c r="C42" s="667"/>
      <c r="D42" s="667"/>
      <c r="E42" s="667"/>
      <c r="F42" s="667"/>
      <c r="G42" s="667"/>
      <c r="H42" s="667"/>
      <c r="I42" s="207"/>
      <c r="J42" s="202"/>
      <c r="K42" s="207"/>
      <c r="L42" s="207"/>
      <c r="M42" s="203"/>
      <c r="N42" s="639" t="s">
        <v>156</v>
      </c>
      <c r="O42" s="639" t="s">
        <v>105</v>
      </c>
      <c r="P42" s="645">
        <f>P22+7</f>
        <v>46217</v>
      </c>
      <c r="Q42" s="646"/>
      <c r="R42" s="646"/>
      <c r="S42" s="646"/>
      <c r="T42" s="646"/>
      <c r="U42" s="642">
        <f>P42+1</f>
        <v>46218</v>
      </c>
      <c r="V42" s="643"/>
      <c r="W42" s="643"/>
      <c r="X42" s="643"/>
      <c r="Y42" s="644"/>
      <c r="Z42" s="642">
        <f>U42+1</f>
        <v>46219</v>
      </c>
      <c r="AA42" s="643"/>
      <c r="AB42" s="643"/>
      <c r="AC42" s="643"/>
      <c r="AD42" s="644"/>
      <c r="AE42" s="642">
        <f>Z42+1</f>
        <v>46220</v>
      </c>
      <c r="AF42" s="643"/>
      <c r="AG42" s="643"/>
      <c r="AH42" s="643"/>
      <c r="AI42" s="644"/>
      <c r="AJ42" s="642">
        <f>AE42+1</f>
        <v>46221</v>
      </c>
      <c r="AK42" s="643"/>
      <c r="AL42" s="643"/>
      <c r="AM42" s="643"/>
      <c r="AN42" s="644"/>
      <c r="AO42" s="642">
        <f>AJ42+1</f>
        <v>46222</v>
      </c>
      <c r="AP42" s="643"/>
      <c r="AQ42" s="643"/>
      <c r="AR42" s="643"/>
      <c r="AS42" s="644"/>
      <c r="AT42" s="642">
        <f>AO42+1</f>
        <v>46223</v>
      </c>
      <c r="AU42" s="643"/>
      <c r="AV42" s="643"/>
      <c r="AW42" s="643"/>
      <c r="AX42" s="644"/>
    </row>
    <row r="43" spans="2:53" ht="15.75">
      <c r="B43" s="653"/>
      <c r="C43" s="653"/>
      <c r="D43" s="653"/>
      <c r="E43" s="653"/>
      <c r="F43" s="653"/>
      <c r="G43" s="653"/>
      <c r="H43" s="653"/>
      <c r="I43" s="204"/>
      <c r="J43" s="204"/>
      <c r="K43" s="204"/>
      <c r="L43" s="204"/>
      <c r="M43" s="205"/>
      <c r="N43" s="641"/>
      <c r="O43" s="641"/>
      <c r="P43" s="645" t="s">
        <v>317</v>
      </c>
      <c r="Q43" s="646"/>
      <c r="R43" s="646"/>
      <c r="S43" s="646"/>
      <c r="T43" s="646"/>
      <c r="U43" s="645" t="s">
        <v>318</v>
      </c>
      <c r="V43" s="646"/>
      <c r="W43" s="646"/>
      <c r="X43" s="646"/>
      <c r="Y43" s="646"/>
      <c r="Z43" s="645" t="s">
        <v>319</v>
      </c>
      <c r="AA43" s="646"/>
      <c r="AB43" s="646"/>
      <c r="AC43" s="646"/>
      <c r="AD43" s="646"/>
      <c r="AE43" s="645" t="s">
        <v>320</v>
      </c>
      <c r="AF43" s="646"/>
      <c r="AG43" s="646"/>
      <c r="AH43" s="646"/>
      <c r="AI43" s="646"/>
      <c r="AJ43" s="645" t="s">
        <v>321</v>
      </c>
      <c r="AK43" s="646"/>
      <c r="AL43" s="646"/>
      <c r="AM43" s="646"/>
      <c r="AN43" s="646"/>
      <c r="AO43" s="645" t="s">
        <v>322</v>
      </c>
      <c r="AP43" s="646"/>
      <c r="AQ43" s="646"/>
      <c r="AR43" s="646"/>
      <c r="AS43" s="646"/>
      <c r="AT43" s="645" t="s">
        <v>323</v>
      </c>
      <c r="AU43" s="646"/>
      <c r="AV43" s="646"/>
      <c r="AW43" s="646"/>
      <c r="AX43" s="646"/>
    </row>
    <row r="44" spans="2:53">
      <c r="B44" s="635" t="s">
        <v>456</v>
      </c>
      <c r="C44" s="635" t="s">
        <v>382</v>
      </c>
      <c r="D44" s="635"/>
      <c r="E44" s="635" t="s">
        <v>373</v>
      </c>
      <c r="F44" s="635"/>
      <c r="G44" s="635"/>
      <c r="H44" s="636" t="s">
        <v>369</v>
      </c>
      <c r="I44" s="619" t="s">
        <v>374</v>
      </c>
      <c r="J44" s="619"/>
      <c r="K44" s="619"/>
      <c r="L44" s="620" t="s">
        <v>369</v>
      </c>
      <c r="M44" s="626" t="s">
        <v>370</v>
      </c>
      <c r="N44" s="635"/>
      <c r="O44" s="635" t="s">
        <v>375</v>
      </c>
      <c r="P44" s="632" t="s">
        <v>371</v>
      </c>
      <c r="Q44" s="633"/>
      <c r="R44" s="633"/>
      <c r="S44" s="634"/>
      <c r="T44" s="635" t="s">
        <v>369</v>
      </c>
      <c r="U44" s="632" t="s">
        <v>371</v>
      </c>
      <c r="V44" s="633"/>
      <c r="W44" s="633"/>
      <c r="X44" s="634"/>
      <c r="Y44" s="635" t="s">
        <v>369</v>
      </c>
      <c r="Z44" s="632" t="s">
        <v>371</v>
      </c>
      <c r="AA44" s="633"/>
      <c r="AB44" s="633"/>
      <c r="AC44" s="634"/>
      <c r="AD44" s="635" t="s">
        <v>369</v>
      </c>
      <c r="AE44" s="632" t="s">
        <v>371</v>
      </c>
      <c r="AF44" s="633"/>
      <c r="AG44" s="633"/>
      <c r="AH44" s="634"/>
      <c r="AI44" s="635" t="s">
        <v>369</v>
      </c>
      <c r="AJ44" s="632" t="s">
        <v>371</v>
      </c>
      <c r="AK44" s="633"/>
      <c r="AL44" s="633"/>
      <c r="AM44" s="634"/>
      <c r="AN44" s="635" t="s">
        <v>369</v>
      </c>
      <c r="AO44" s="632" t="s">
        <v>371</v>
      </c>
      <c r="AP44" s="633"/>
      <c r="AQ44" s="633"/>
      <c r="AR44" s="634"/>
      <c r="AS44" s="635" t="s">
        <v>369</v>
      </c>
      <c r="AT44" s="632" t="s">
        <v>371</v>
      </c>
      <c r="AU44" s="633"/>
      <c r="AV44" s="633"/>
      <c r="AW44" s="634"/>
      <c r="AX44" s="635" t="s">
        <v>369</v>
      </c>
      <c r="BA44" s="635" t="s">
        <v>369</v>
      </c>
    </row>
    <row r="45" spans="2:53">
      <c r="B45" s="635"/>
      <c r="C45" s="635"/>
      <c r="D45" s="635"/>
      <c r="E45" s="635" t="s">
        <v>376</v>
      </c>
      <c r="F45" s="635"/>
      <c r="G45" s="635"/>
      <c r="H45" s="637"/>
      <c r="I45" s="619" t="s">
        <v>376</v>
      </c>
      <c r="J45" s="619"/>
      <c r="K45" s="619"/>
      <c r="L45" s="621"/>
      <c r="M45" s="627"/>
      <c r="N45" s="635"/>
      <c r="O45" s="635"/>
      <c r="P45" s="632" t="s">
        <v>377</v>
      </c>
      <c r="Q45" s="633"/>
      <c r="R45" s="633"/>
      <c r="S45" s="634"/>
      <c r="T45" s="635"/>
      <c r="U45" s="632" t="s">
        <v>377</v>
      </c>
      <c r="V45" s="633"/>
      <c r="W45" s="633"/>
      <c r="X45" s="634"/>
      <c r="Y45" s="635"/>
      <c r="Z45" s="632" t="s">
        <v>377</v>
      </c>
      <c r="AA45" s="633"/>
      <c r="AB45" s="633"/>
      <c r="AC45" s="634"/>
      <c r="AD45" s="635"/>
      <c r="AE45" s="632" t="s">
        <v>377</v>
      </c>
      <c r="AF45" s="633"/>
      <c r="AG45" s="633"/>
      <c r="AH45" s="634"/>
      <c r="AI45" s="635"/>
      <c r="AJ45" s="632" t="s">
        <v>377</v>
      </c>
      <c r="AK45" s="633"/>
      <c r="AL45" s="633"/>
      <c r="AM45" s="634"/>
      <c r="AN45" s="635"/>
      <c r="AO45" s="632" t="s">
        <v>377</v>
      </c>
      <c r="AP45" s="633"/>
      <c r="AQ45" s="633"/>
      <c r="AR45" s="634"/>
      <c r="AS45" s="635"/>
      <c r="AT45" s="632" t="s">
        <v>377</v>
      </c>
      <c r="AU45" s="633"/>
      <c r="AV45" s="633"/>
      <c r="AW45" s="634"/>
      <c r="AX45" s="635"/>
      <c r="BA45" s="635"/>
    </row>
    <row r="46" spans="2:53">
      <c r="B46" s="635"/>
      <c r="C46" s="635"/>
      <c r="D46" s="635"/>
      <c r="E46" s="382" t="s">
        <v>378</v>
      </c>
      <c r="F46" s="382" t="s">
        <v>379</v>
      </c>
      <c r="G46" s="382" t="s">
        <v>380</v>
      </c>
      <c r="H46" s="638"/>
      <c r="I46" s="381" t="s">
        <v>378</v>
      </c>
      <c r="J46" s="381" t="s">
        <v>379</v>
      </c>
      <c r="K46" s="381" t="s">
        <v>380</v>
      </c>
      <c r="L46" s="622"/>
      <c r="M46" s="628"/>
      <c r="N46" s="635"/>
      <c r="O46" s="635"/>
      <c r="P46" s="382" t="s">
        <v>378</v>
      </c>
      <c r="Q46" s="382" t="s">
        <v>379</v>
      </c>
      <c r="R46" s="382" t="s">
        <v>380</v>
      </c>
      <c r="S46" s="382" t="s">
        <v>370</v>
      </c>
      <c r="T46" s="635"/>
      <c r="U46" s="382" t="s">
        <v>378</v>
      </c>
      <c r="V46" s="382" t="s">
        <v>379</v>
      </c>
      <c r="W46" s="382" t="s">
        <v>380</v>
      </c>
      <c r="X46" s="382" t="s">
        <v>370</v>
      </c>
      <c r="Y46" s="635"/>
      <c r="Z46" s="382" t="s">
        <v>378</v>
      </c>
      <c r="AA46" s="382" t="s">
        <v>379</v>
      </c>
      <c r="AB46" s="382" t="s">
        <v>380</v>
      </c>
      <c r="AC46" s="382" t="s">
        <v>370</v>
      </c>
      <c r="AD46" s="635"/>
      <c r="AE46" s="382" t="s">
        <v>378</v>
      </c>
      <c r="AF46" s="382" t="s">
        <v>379</v>
      </c>
      <c r="AG46" s="382" t="s">
        <v>380</v>
      </c>
      <c r="AH46" s="382" t="s">
        <v>370</v>
      </c>
      <c r="AI46" s="635"/>
      <c r="AJ46" s="382" t="s">
        <v>378</v>
      </c>
      <c r="AK46" s="382" t="s">
        <v>379</v>
      </c>
      <c r="AL46" s="382" t="s">
        <v>380</v>
      </c>
      <c r="AM46" s="382" t="s">
        <v>370</v>
      </c>
      <c r="AN46" s="635"/>
      <c r="AO46" s="382" t="s">
        <v>378</v>
      </c>
      <c r="AP46" s="382" t="s">
        <v>379</v>
      </c>
      <c r="AQ46" s="382" t="s">
        <v>380</v>
      </c>
      <c r="AR46" s="382" t="s">
        <v>370</v>
      </c>
      <c r="AS46" s="635"/>
      <c r="AT46" s="382" t="s">
        <v>378</v>
      </c>
      <c r="AU46" s="382" t="s">
        <v>379</v>
      </c>
      <c r="AV46" s="382" t="s">
        <v>380</v>
      </c>
      <c r="AW46" s="382" t="s">
        <v>370</v>
      </c>
      <c r="AX46" s="635"/>
      <c r="AZ46" s="371" t="s">
        <v>370</v>
      </c>
      <c r="BA46" s="635"/>
    </row>
    <row r="47" spans="2:53">
      <c r="B47" s="635" t="s">
        <v>469</v>
      </c>
      <c r="C47" s="383">
        <v>1</v>
      </c>
      <c r="D47" s="225" t="s">
        <v>708</v>
      </c>
      <c r="E47" s="539">
        <v>15</v>
      </c>
      <c r="F47" s="535">
        <v>2000</v>
      </c>
      <c r="G47" s="534">
        <v>100</v>
      </c>
      <c r="H47" s="681">
        <f>AVERAGE(G47:G61)</f>
        <v>100</v>
      </c>
      <c r="I47" s="385">
        <f t="shared" ref="I47:I60" si="24">IFERROR(AVERAGE(P47,U47,Z47,AE47,AJ47,AO47,AT47),"-")</f>
        <v>15</v>
      </c>
      <c r="J47" s="385">
        <f t="shared" ref="J47:J60" si="25">IFERROR(AVERAGE(Q47,V47,AA47,AF47,AK47,AP47,AU47),"-")</f>
        <v>2028.7929499072347</v>
      </c>
      <c r="K47" s="199">
        <f t="shared" ref="K47:K60" si="26">IFERROR(AVERAGE(R47,W47,AB47,AG47,AL47,AQ47,AV47),"-")</f>
        <v>135.25286332714902</v>
      </c>
      <c r="L47" s="616">
        <f>IFERROR(AVERAGE(K47:K61),"-")</f>
        <v>167.4566121203726</v>
      </c>
      <c r="M47" s="387">
        <f>RANK(K47, K$47:$K$61)</f>
        <v>2</v>
      </c>
      <c r="N47" s="635"/>
      <c r="O47" s="635"/>
      <c r="P47" s="546">
        <v>15</v>
      </c>
      <c r="Q47" s="547">
        <v>2056.2857142857147</v>
      </c>
      <c r="R47" s="547">
        <v>137.08571428571432</v>
      </c>
      <c r="S47" s="546">
        <v>2</v>
      </c>
      <c r="T47" s="659">
        <v>166.00535714285724</v>
      </c>
      <c r="U47" s="546">
        <v>15</v>
      </c>
      <c r="V47" s="547">
        <v>1975.1999999999985</v>
      </c>
      <c r="W47" s="547">
        <v>131.67999999999989</v>
      </c>
      <c r="X47" s="546">
        <v>2</v>
      </c>
      <c r="Y47" s="657">
        <v>165.76307692307674</v>
      </c>
      <c r="Z47" s="546">
        <v>15</v>
      </c>
      <c r="AA47" s="547">
        <v>2054.0000000000018</v>
      </c>
      <c r="AB47" s="547">
        <v>136.93333333333345</v>
      </c>
      <c r="AC47" s="546">
        <v>2</v>
      </c>
      <c r="AD47" s="657">
        <v>171.02666666666664</v>
      </c>
      <c r="AE47" s="546">
        <v>15</v>
      </c>
      <c r="AF47" s="547">
        <v>2080</v>
      </c>
      <c r="AG47" s="547">
        <v>138.66666666666666</v>
      </c>
      <c r="AH47" s="546">
        <v>2</v>
      </c>
      <c r="AI47" s="657">
        <v>170.66666666666657</v>
      </c>
      <c r="AJ47" s="546">
        <v>15</v>
      </c>
      <c r="AK47" s="547">
        <v>2079.4285714285693</v>
      </c>
      <c r="AL47" s="547">
        <v>138.62857142857129</v>
      </c>
      <c r="AM47" s="546">
        <v>2</v>
      </c>
      <c r="AN47" s="657">
        <v>167.8642857142857</v>
      </c>
      <c r="AO47" s="546">
        <v>15</v>
      </c>
      <c r="AP47" s="547">
        <v>1975.6363636363621</v>
      </c>
      <c r="AQ47" s="547">
        <v>131.7090909090908</v>
      </c>
      <c r="AR47" s="546">
        <v>2</v>
      </c>
      <c r="AS47" s="657">
        <v>166.33689839572185</v>
      </c>
      <c r="AT47" s="546">
        <v>15</v>
      </c>
      <c r="AU47" s="547">
        <v>1980.9999999999991</v>
      </c>
      <c r="AV47" s="547">
        <v>132.06666666666661</v>
      </c>
      <c r="AW47" s="546">
        <v>2</v>
      </c>
      <c r="AX47" s="657">
        <v>164.5333333333333</v>
      </c>
      <c r="AZ47" s="372" t="e">
        <f t="shared" ref="AZ47:AZ61" si="27">RANK(AY47, AY$47:AY$61)</f>
        <v>#N/A</v>
      </c>
      <c r="BA47" s="647" t="e">
        <f t="shared" ref="BA47" si="28">AVERAGE(AY47:AY61)</f>
        <v>#DIV/0!</v>
      </c>
    </row>
    <row r="48" spans="2:53">
      <c r="B48" s="646"/>
      <c r="C48" s="383">
        <v>2</v>
      </c>
      <c r="D48" s="225" t="s">
        <v>722</v>
      </c>
      <c r="E48" s="539">
        <v>13</v>
      </c>
      <c r="F48" s="535">
        <v>2000</v>
      </c>
      <c r="G48" s="534">
        <v>100</v>
      </c>
      <c r="H48" s="682"/>
      <c r="I48" s="385">
        <f t="shared" si="24"/>
        <v>10</v>
      </c>
      <c r="J48" s="385">
        <f t="shared" si="25"/>
        <v>1996.6036091359613</v>
      </c>
      <c r="K48" s="199">
        <f t="shared" si="26"/>
        <v>199.66036091359615</v>
      </c>
      <c r="L48" s="617"/>
      <c r="M48" s="431">
        <f>RANK(K48, K$47:$K$61)</f>
        <v>1</v>
      </c>
      <c r="N48" s="635"/>
      <c r="O48" s="635"/>
      <c r="P48" s="546">
        <v>10</v>
      </c>
      <c r="Q48" s="547">
        <v>1949.2500000000011</v>
      </c>
      <c r="R48" s="547">
        <v>194.92500000000013</v>
      </c>
      <c r="S48" s="546">
        <v>1</v>
      </c>
      <c r="T48" s="659"/>
      <c r="U48" s="546">
        <v>10</v>
      </c>
      <c r="V48" s="547">
        <v>1998.4615384615358</v>
      </c>
      <c r="W48" s="547">
        <v>199.84615384615358</v>
      </c>
      <c r="X48" s="546">
        <v>1</v>
      </c>
      <c r="Y48" s="657"/>
      <c r="Z48" s="546">
        <v>10</v>
      </c>
      <c r="AA48" s="547">
        <v>2051.1999999999985</v>
      </c>
      <c r="AB48" s="547">
        <v>205.11999999999983</v>
      </c>
      <c r="AC48" s="546">
        <v>1</v>
      </c>
      <c r="AD48" s="657"/>
      <c r="AE48" s="546">
        <v>10</v>
      </c>
      <c r="AF48" s="547">
        <v>2026.6666666666647</v>
      </c>
      <c r="AG48" s="547">
        <v>202.66666666666646</v>
      </c>
      <c r="AH48" s="546">
        <v>1</v>
      </c>
      <c r="AI48" s="657"/>
      <c r="AJ48" s="546">
        <v>10</v>
      </c>
      <c r="AK48" s="547">
        <v>1971.0000000000009</v>
      </c>
      <c r="AL48" s="547">
        <v>197.10000000000008</v>
      </c>
      <c r="AM48" s="546">
        <v>1</v>
      </c>
      <c r="AN48" s="657"/>
      <c r="AO48" s="546">
        <v>10</v>
      </c>
      <c r="AP48" s="547">
        <v>2009.6470588235288</v>
      </c>
      <c r="AQ48" s="547">
        <v>200.96470588235289</v>
      </c>
      <c r="AR48" s="546">
        <v>1</v>
      </c>
      <c r="AS48" s="657"/>
      <c r="AT48" s="546">
        <v>10</v>
      </c>
      <c r="AU48" s="547">
        <v>1970.0000000000002</v>
      </c>
      <c r="AV48" s="547">
        <v>197.00000000000003</v>
      </c>
      <c r="AW48" s="546">
        <v>1</v>
      </c>
      <c r="AX48" s="657"/>
      <c r="AZ48" s="372" t="e">
        <f t="shared" si="27"/>
        <v>#N/A</v>
      </c>
      <c r="BA48" s="648"/>
    </row>
    <row r="49" spans="2:53">
      <c r="B49" s="646"/>
      <c r="C49" s="383">
        <v>3</v>
      </c>
      <c r="D49" s="225"/>
      <c r="E49" s="539"/>
      <c r="F49" s="535"/>
      <c r="G49" s="534"/>
      <c r="H49" s="682"/>
      <c r="I49" s="385" t="str">
        <f t="shared" si="24"/>
        <v>-</v>
      </c>
      <c r="J49" s="385" t="str">
        <f t="shared" si="25"/>
        <v>-</v>
      </c>
      <c r="K49" s="199" t="str">
        <f t="shared" si="26"/>
        <v>-</v>
      </c>
      <c r="L49" s="617"/>
      <c r="M49" s="431" t="e">
        <f>RANK(K49, K$47:$K$61)</f>
        <v>#VALUE!</v>
      </c>
      <c r="N49" s="635"/>
      <c r="O49" s="635"/>
      <c r="P49" s="546" t="s">
        <v>592</v>
      </c>
      <c r="Q49" s="547" t="s">
        <v>592</v>
      </c>
      <c r="R49" s="547" t="s">
        <v>592</v>
      </c>
      <c r="S49" s="546" t="e">
        <v>#VALUE!</v>
      </c>
      <c r="T49" s="659"/>
      <c r="U49" s="546" t="s">
        <v>592</v>
      </c>
      <c r="V49" s="547" t="s">
        <v>592</v>
      </c>
      <c r="W49" s="547" t="s">
        <v>592</v>
      </c>
      <c r="X49" s="546" t="e">
        <v>#VALUE!</v>
      </c>
      <c r="Y49" s="657"/>
      <c r="Z49" s="546" t="s">
        <v>592</v>
      </c>
      <c r="AA49" s="547" t="s">
        <v>592</v>
      </c>
      <c r="AB49" s="547" t="s">
        <v>592</v>
      </c>
      <c r="AC49" s="546" t="e">
        <v>#VALUE!</v>
      </c>
      <c r="AD49" s="657"/>
      <c r="AE49" s="546" t="s">
        <v>592</v>
      </c>
      <c r="AF49" s="547" t="s">
        <v>592</v>
      </c>
      <c r="AG49" s="547" t="s">
        <v>592</v>
      </c>
      <c r="AH49" s="546" t="e">
        <v>#VALUE!</v>
      </c>
      <c r="AI49" s="657"/>
      <c r="AJ49" s="546" t="s">
        <v>592</v>
      </c>
      <c r="AK49" s="547" t="s">
        <v>592</v>
      </c>
      <c r="AL49" s="547" t="s">
        <v>592</v>
      </c>
      <c r="AM49" s="546" t="e">
        <v>#VALUE!</v>
      </c>
      <c r="AN49" s="657"/>
      <c r="AO49" s="546" t="s">
        <v>592</v>
      </c>
      <c r="AP49" s="547" t="s">
        <v>592</v>
      </c>
      <c r="AQ49" s="547" t="s">
        <v>592</v>
      </c>
      <c r="AR49" s="546" t="e">
        <v>#VALUE!</v>
      </c>
      <c r="AS49" s="657"/>
      <c r="AT49" s="546" t="s">
        <v>592</v>
      </c>
      <c r="AU49" s="547" t="s">
        <v>592</v>
      </c>
      <c r="AV49" s="547" t="s">
        <v>592</v>
      </c>
      <c r="AW49" s="546" t="e">
        <v>#VALUE!</v>
      </c>
      <c r="AX49" s="657"/>
      <c r="AZ49" s="372" t="e">
        <f t="shared" si="27"/>
        <v>#N/A</v>
      </c>
      <c r="BA49" s="648"/>
    </row>
    <row r="50" spans="2:53">
      <c r="B50" s="646"/>
      <c r="C50" s="383">
        <v>4</v>
      </c>
      <c r="D50" s="225"/>
      <c r="E50" s="539"/>
      <c r="F50" s="535"/>
      <c r="G50" s="534"/>
      <c r="H50" s="682"/>
      <c r="I50" s="385" t="str">
        <f t="shared" si="24"/>
        <v>-</v>
      </c>
      <c r="J50" s="385" t="str">
        <f t="shared" si="25"/>
        <v>-</v>
      </c>
      <c r="K50" s="199" t="str">
        <f t="shared" si="26"/>
        <v>-</v>
      </c>
      <c r="L50" s="617"/>
      <c r="M50" s="431" t="e">
        <f>RANK(K50, K$47:$K$61)</f>
        <v>#VALUE!</v>
      </c>
      <c r="N50" s="635"/>
      <c r="O50" s="635"/>
      <c r="P50" s="546" t="s">
        <v>592</v>
      </c>
      <c r="Q50" s="547" t="s">
        <v>592</v>
      </c>
      <c r="R50" s="547" t="s">
        <v>592</v>
      </c>
      <c r="S50" s="546" t="e">
        <v>#VALUE!</v>
      </c>
      <c r="T50" s="659"/>
      <c r="U50" s="546" t="s">
        <v>592</v>
      </c>
      <c r="V50" s="547" t="s">
        <v>592</v>
      </c>
      <c r="W50" s="547" t="s">
        <v>592</v>
      </c>
      <c r="X50" s="546" t="e">
        <v>#VALUE!</v>
      </c>
      <c r="Y50" s="657"/>
      <c r="Z50" s="546" t="s">
        <v>592</v>
      </c>
      <c r="AA50" s="547" t="s">
        <v>592</v>
      </c>
      <c r="AB50" s="547" t="s">
        <v>592</v>
      </c>
      <c r="AC50" s="546" t="e">
        <v>#VALUE!</v>
      </c>
      <c r="AD50" s="657"/>
      <c r="AE50" s="546" t="s">
        <v>592</v>
      </c>
      <c r="AF50" s="547" t="s">
        <v>592</v>
      </c>
      <c r="AG50" s="547" t="s">
        <v>592</v>
      </c>
      <c r="AH50" s="546" t="e">
        <v>#VALUE!</v>
      </c>
      <c r="AI50" s="657"/>
      <c r="AJ50" s="546" t="s">
        <v>592</v>
      </c>
      <c r="AK50" s="547" t="s">
        <v>592</v>
      </c>
      <c r="AL50" s="547" t="s">
        <v>592</v>
      </c>
      <c r="AM50" s="546" t="e">
        <v>#VALUE!</v>
      </c>
      <c r="AN50" s="657"/>
      <c r="AO50" s="546" t="s">
        <v>592</v>
      </c>
      <c r="AP50" s="547" t="s">
        <v>592</v>
      </c>
      <c r="AQ50" s="547" t="s">
        <v>592</v>
      </c>
      <c r="AR50" s="546" t="e">
        <v>#VALUE!</v>
      </c>
      <c r="AS50" s="657"/>
      <c r="AT50" s="546" t="s">
        <v>592</v>
      </c>
      <c r="AU50" s="547" t="s">
        <v>592</v>
      </c>
      <c r="AV50" s="547" t="s">
        <v>592</v>
      </c>
      <c r="AW50" s="546" t="e">
        <v>#VALUE!</v>
      </c>
      <c r="AX50" s="657"/>
      <c r="AZ50" s="372" t="e">
        <f t="shared" si="27"/>
        <v>#N/A</v>
      </c>
      <c r="BA50" s="648"/>
    </row>
    <row r="51" spans="2:53">
      <c r="B51" s="646"/>
      <c r="C51" s="383">
        <v>5</v>
      </c>
      <c r="D51" s="225"/>
      <c r="E51" s="539"/>
      <c r="F51" s="535"/>
      <c r="G51" s="534"/>
      <c r="H51" s="682"/>
      <c r="I51" s="385" t="str">
        <f t="shared" si="24"/>
        <v>-</v>
      </c>
      <c r="J51" s="385" t="str">
        <f t="shared" si="25"/>
        <v>-</v>
      </c>
      <c r="K51" s="199" t="str">
        <f t="shared" si="26"/>
        <v>-</v>
      </c>
      <c r="L51" s="617"/>
      <c r="M51" s="431" t="e">
        <f>RANK(K51, K$47:$K$61)</f>
        <v>#VALUE!</v>
      </c>
      <c r="N51" s="635"/>
      <c r="O51" s="635"/>
      <c r="P51" s="546" t="s">
        <v>592</v>
      </c>
      <c r="Q51" s="547" t="s">
        <v>592</v>
      </c>
      <c r="R51" s="547" t="s">
        <v>592</v>
      </c>
      <c r="S51" s="546" t="e">
        <v>#VALUE!</v>
      </c>
      <c r="T51" s="659"/>
      <c r="U51" s="546" t="s">
        <v>592</v>
      </c>
      <c r="V51" s="547" t="s">
        <v>592</v>
      </c>
      <c r="W51" s="547" t="s">
        <v>592</v>
      </c>
      <c r="X51" s="546" t="e">
        <v>#VALUE!</v>
      </c>
      <c r="Y51" s="657"/>
      <c r="Z51" s="546" t="s">
        <v>592</v>
      </c>
      <c r="AA51" s="547" t="s">
        <v>592</v>
      </c>
      <c r="AB51" s="547" t="s">
        <v>592</v>
      </c>
      <c r="AC51" s="546" t="e">
        <v>#VALUE!</v>
      </c>
      <c r="AD51" s="657"/>
      <c r="AE51" s="546" t="s">
        <v>592</v>
      </c>
      <c r="AF51" s="547" t="s">
        <v>592</v>
      </c>
      <c r="AG51" s="547" t="s">
        <v>592</v>
      </c>
      <c r="AH51" s="546" t="e">
        <v>#VALUE!</v>
      </c>
      <c r="AI51" s="657"/>
      <c r="AJ51" s="546" t="s">
        <v>592</v>
      </c>
      <c r="AK51" s="547" t="s">
        <v>592</v>
      </c>
      <c r="AL51" s="547" t="s">
        <v>592</v>
      </c>
      <c r="AM51" s="546" t="e">
        <v>#VALUE!</v>
      </c>
      <c r="AN51" s="657"/>
      <c r="AO51" s="546" t="s">
        <v>592</v>
      </c>
      <c r="AP51" s="547" t="s">
        <v>592</v>
      </c>
      <c r="AQ51" s="547" t="s">
        <v>592</v>
      </c>
      <c r="AR51" s="546" t="e">
        <v>#VALUE!</v>
      </c>
      <c r="AS51" s="657"/>
      <c r="AT51" s="546" t="s">
        <v>592</v>
      </c>
      <c r="AU51" s="547" t="s">
        <v>592</v>
      </c>
      <c r="AV51" s="547" t="s">
        <v>592</v>
      </c>
      <c r="AW51" s="546" t="e">
        <v>#VALUE!</v>
      </c>
      <c r="AX51" s="657"/>
      <c r="AZ51" s="372" t="e">
        <f t="shared" si="27"/>
        <v>#N/A</v>
      </c>
      <c r="BA51" s="648"/>
    </row>
    <row r="52" spans="2:53">
      <c r="B52" s="646"/>
      <c r="C52" s="383">
        <v>6</v>
      </c>
      <c r="D52" s="225"/>
      <c r="E52" s="539"/>
      <c r="F52" s="535"/>
      <c r="G52" s="534"/>
      <c r="H52" s="682"/>
      <c r="I52" s="385" t="str">
        <f t="shared" si="24"/>
        <v>-</v>
      </c>
      <c r="J52" s="385" t="str">
        <f t="shared" si="25"/>
        <v>-</v>
      </c>
      <c r="K52" s="199" t="str">
        <f t="shared" si="26"/>
        <v>-</v>
      </c>
      <c r="L52" s="617"/>
      <c r="M52" s="431" t="e">
        <f>RANK(K52, K$47:$K$61)</f>
        <v>#VALUE!</v>
      </c>
      <c r="N52" s="635"/>
      <c r="O52" s="635"/>
      <c r="P52" s="546" t="s">
        <v>592</v>
      </c>
      <c r="Q52" s="547" t="s">
        <v>592</v>
      </c>
      <c r="R52" s="547" t="s">
        <v>592</v>
      </c>
      <c r="S52" s="546" t="e">
        <v>#VALUE!</v>
      </c>
      <c r="T52" s="659"/>
      <c r="U52" s="546" t="s">
        <v>592</v>
      </c>
      <c r="V52" s="547" t="s">
        <v>592</v>
      </c>
      <c r="W52" s="547" t="s">
        <v>592</v>
      </c>
      <c r="X52" s="546" t="e">
        <v>#VALUE!</v>
      </c>
      <c r="Y52" s="657"/>
      <c r="Z52" s="546" t="s">
        <v>592</v>
      </c>
      <c r="AA52" s="547" t="s">
        <v>592</v>
      </c>
      <c r="AB52" s="547" t="s">
        <v>592</v>
      </c>
      <c r="AC52" s="546" t="e">
        <v>#VALUE!</v>
      </c>
      <c r="AD52" s="657"/>
      <c r="AE52" s="546" t="s">
        <v>592</v>
      </c>
      <c r="AF52" s="547" t="s">
        <v>592</v>
      </c>
      <c r="AG52" s="547" t="s">
        <v>592</v>
      </c>
      <c r="AH52" s="546" t="e">
        <v>#VALUE!</v>
      </c>
      <c r="AI52" s="657"/>
      <c r="AJ52" s="546" t="s">
        <v>592</v>
      </c>
      <c r="AK52" s="547" t="s">
        <v>592</v>
      </c>
      <c r="AL52" s="547" t="s">
        <v>592</v>
      </c>
      <c r="AM52" s="546" t="e">
        <v>#VALUE!</v>
      </c>
      <c r="AN52" s="657"/>
      <c r="AO52" s="546" t="s">
        <v>592</v>
      </c>
      <c r="AP52" s="547" t="s">
        <v>592</v>
      </c>
      <c r="AQ52" s="547" t="s">
        <v>592</v>
      </c>
      <c r="AR52" s="546" t="e">
        <v>#VALUE!</v>
      </c>
      <c r="AS52" s="657"/>
      <c r="AT52" s="546" t="s">
        <v>592</v>
      </c>
      <c r="AU52" s="547" t="s">
        <v>592</v>
      </c>
      <c r="AV52" s="547" t="s">
        <v>592</v>
      </c>
      <c r="AW52" s="546" t="e">
        <v>#VALUE!</v>
      </c>
      <c r="AX52" s="657"/>
      <c r="AZ52" s="372" t="e">
        <f t="shared" si="27"/>
        <v>#N/A</v>
      </c>
      <c r="BA52" s="648"/>
    </row>
    <row r="53" spans="2:53">
      <c r="B53" s="646"/>
      <c r="C53" s="383">
        <v>7</v>
      </c>
      <c r="D53" s="225"/>
      <c r="E53" s="539"/>
      <c r="F53" s="535"/>
      <c r="G53" s="534"/>
      <c r="H53" s="682"/>
      <c r="I53" s="385" t="str">
        <f t="shared" si="24"/>
        <v>-</v>
      </c>
      <c r="J53" s="385" t="str">
        <f t="shared" si="25"/>
        <v>-</v>
      </c>
      <c r="K53" s="199" t="str">
        <f t="shared" si="26"/>
        <v>-</v>
      </c>
      <c r="L53" s="617"/>
      <c r="M53" s="431" t="e">
        <f>RANK(K53, K$47:$K$61)</f>
        <v>#VALUE!</v>
      </c>
      <c r="N53" s="635"/>
      <c r="O53" s="635"/>
      <c r="P53" s="546" t="s">
        <v>592</v>
      </c>
      <c r="Q53" s="547" t="s">
        <v>592</v>
      </c>
      <c r="R53" s="547" t="s">
        <v>592</v>
      </c>
      <c r="S53" s="546" t="e">
        <v>#VALUE!</v>
      </c>
      <c r="T53" s="659"/>
      <c r="U53" s="546" t="s">
        <v>592</v>
      </c>
      <c r="V53" s="547" t="s">
        <v>592</v>
      </c>
      <c r="W53" s="547" t="s">
        <v>592</v>
      </c>
      <c r="X53" s="546" t="e">
        <v>#VALUE!</v>
      </c>
      <c r="Y53" s="657"/>
      <c r="Z53" s="546" t="s">
        <v>592</v>
      </c>
      <c r="AA53" s="547" t="s">
        <v>592</v>
      </c>
      <c r="AB53" s="547" t="s">
        <v>592</v>
      </c>
      <c r="AC53" s="546" t="e">
        <v>#VALUE!</v>
      </c>
      <c r="AD53" s="657"/>
      <c r="AE53" s="546" t="s">
        <v>592</v>
      </c>
      <c r="AF53" s="547" t="s">
        <v>592</v>
      </c>
      <c r="AG53" s="547" t="s">
        <v>592</v>
      </c>
      <c r="AH53" s="546" t="e">
        <v>#VALUE!</v>
      </c>
      <c r="AI53" s="657"/>
      <c r="AJ53" s="546" t="s">
        <v>592</v>
      </c>
      <c r="AK53" s="547" t="s">
        <v>592</v>
      </c>
      <c r="AL53" s="547" t="s">
        <v>592</v>
      </c>
      <c r="AM53" s="546" t="e">
        <v>#VALUE!</v>
      </c>
      <c r="AN53" s="657"/>
      <c r="AO53" s="546" t="s">
        <v>592</v>
      </c>
      <c r="AP53" s="547" t="s">
        <v>592</v>
      </c>
      <c r="AQ53" s="547" t="s">
        <v>592</v>
      </c>
      <c r="AR53" s="546" t="e">
        <v>#VALUE!</v>
      </c>
      <c r="AS53" s="657"/>
      <c r="AT53" s="546" t="s">
        <v>592</v>
      </c>
      <c r="AU53" s="547" t="s">
        <v>592</v>
      </c>
      <c r="AV53" s="547" t="s">
        <v>592</v>
      </c>
      <c r="AW53" s="546" t="e">
        <v>#VALUE!</v>
      </c>
      <c r="AX53" s="657"/>
      <c r="AZ53" s="372" t="e">
        <f t="shared" si="27"/>
        <v>#N/A</v>
      </c>
      <c r="BA53" s="648"/>
    </row>
    <row r="54" spans="2:53">
      <c r="B54" s="646"/>
      <c r="C54" s="383">
        <v>8</v>
      </c>
      <c r="D54" s="225"/>
      <c r="E54" s="539"/>
      <c r="F54" s="535"/>
      <c r="G54" s="534"/>
      <c r="H54" s="682"/>
      <c r="I54" s="385" t="str">
        <f t="shared" si="24"/>
        <v>-</v>
      </c>
      <c r="J54" s="385" t="str">
        <f t="shared" si="25"/>
        <v>-</v>
      </c>
      <c r="K54" s="199" t="str">
        <f t="shared" si="26"/>
        <v>-</v>
      </c>
      <c r="L54" s="617"/>
      <c r="M54" s="431" t="e">
        <f>RANK(K54, K$47:$K$61)</f>
        <v>#VALUE!</v>
      </c>
      <c r="N54" s="635"/>
      <c r="O54" s="635"/>
      <c r="P54" s="546" t="s">
        <v>592</v>
      </c>
      <c r="Q54" s="547" t="s">
        <v>592</v>
      </c>
      <c r="R54" s="547" t="s">
        <v>592</v>
      </c>
      <c r="S54" s="546"/>
      <c r="T54" s="659"/>
      <c r="U54" s="546" t="s">
        <v>592</v>
      </c>
      <c r="V54" s="547" t="s">
        <v>592</v>
      </c>
      <c r="W54" s="547" t="s">
        <v>592</v>
      </c>
      <c r="X54" s="546"/>
      <c r="Y54" s="657"/>
      <c r="Z54" s="546" t="s">
        <v>592</v>
      </c>
      <c r="AA54" s="547" t="s">
        <v>592</v>
      </c>
      <c r="AB54" s="547" t="s">
        <v>592</v>
      </c>
      <c r="AC54" s="546"/>
      <c r="AD54" s="657"/>
      <c r="AE54" s="546" t="s">
        <v>592</v>
      </c>
      <c r="AF54" s="547" t="s">
        <v>592</v>
      </c>
      <c r="AG54" s="547" t="s">
        <v>592</v>
      </c>
      <c r="AH54" s="546"/>
      <c r="AI54" s="657"/>
      <c r="AJ54" s="546" t="s">
        <v>592</v>
      </c>
      <c r="AK54" s="547" t="s">
        <v>592</v>
      </c>
      <c r="AL54" s="547" t="s">
        <v>592</v>
      </c>
      <c r="AM54" s="546"/>
      <c r="AN54" s="657"/>
      <c r="AO54" s="546" t="s">
        <v>592</v>
      </c>
      <c r="AP54" s="547" t="s">
        <v>592</v>
      </c>
      <c r="AQ54" s="547" t="s">
        <v>592</v>
      </c>
      <c r="AR54" s="546"/>
      <c r="AS54" s="657"/>
      <c r="AT54" s="546" t="s">
        <v>592</v>
      </c>
      <c r="AU54" s="547" t="s">
        <v>592</v>
      </c>
      <c r="AV54" s="547" t="s">
        <v>592</v>
      </c>
      <c r="AW54" s="546"/>
      <c r="AX54" s="657"/>
      <c r="AZ54" s="372" t="e">
        <f t="shared" si="27"/>
        <v>#N/A</v>
      </c>
      <c r="BA54" s="648"/>
    </row>
    <row r="55" spans="2:53">
      <c r="B55" s="646"/>
      <c r="C55" s="383">
        <v>9</v>
      </c>
      <c r="D55" s="225"/>
      <c r="E55" s="539"/>
      <c r="F55" s="535"/>
      <c r="G55" s="534"/>
      <c r="H55" s="682"/>
      <c r="I55" s="385" t="str">
        <f t="shared" si="24"/>
        <v>-</v>
      </c>
      <c r="J55" s="385" t="str">
        <f t="shared" si="25"/>
        <v>-</v>
      </c>
      <c r="K55" s="199" t="str">
        <f t="shared" si="26"/>
        <v>-</v>
      </c>
      <c r="L55" s="617"/>
      <c r="M55" s="431" t="e">
        <f>RANK(K55, K$47:$K$61)</f>
        <v>#VALUE!</v>
      </c>
      <c r="N55" s="635"/>
      <c r="O55" s="635"/>
      <c r="P55" s="546" t="s">
        <v>592</v>
      </c>
      <c r="Q55" s="547" t="s">
        <v>592</v>
      </c>
      <c r="R55" s="547" t="s">
        <v>592</v>
      </c>
      <c r="S55" s="546"/>
      <c r="T55" s="659"/>
      <c r="U55" s="546" t="s">
        <v>592</v>
      </c>
      <c r="V55" s="547" t="s">
        <v>592</v>
      </c>
      <c r="W55" s="547" t="s">
        <v>592</v>
      </c>
      <c r="X55" s="546"/>
      <c r="Y55" s="657"/>
      <c r="Z55" s="546" t="s">
        <v>592</v>
      </c>
      <c r="AA55" s="547" t="s">
        <v>592</v>
      </c>
      <c r="AB55" s="547" t="s">
        <v>592</v>
      </c>
      <c r="AC55" s="546"/>
      <c r="AD55" s="657"/>
      <c r="AE55" s="546" t="s">
        <v>592</v>
      </c>
      <c r="AF55" s="547" t="s">
        <v>592</v>
      </c>
      <c r="AG55" s="547" t="s">
        <v>592</v>
      </c>
      <c r="AH55" s="546"/>
      <c r="AI55" s="657"/>
      <c r="AJ55" s="546" t="s">
        <v>592</v>
      </c>
      <c r="AK55" s="547" t="s">
        <v>592</v>
      </c>
      <c r="AL55" s="547" t="s">
        <v>592</v>
      </c>
      <c r="AM55" s="546"/>
      <c r="AN55" s="657"/>
      <c r="AO55" s="546" t="s">
        <v>592</v>
      </c>
      <c r="AP55" s="547" t="s">
        <v>592</v>
      </c>
      <c r="AQ55" s="547" t="s">
        <v>592</v>
      </c>
      <c r="AR55" s="546"/>
      <c r="AS55" s="657"/>
      <c r="AT55" s="546" t="s">
        <v>592</v>
      </c>
      <c r="AU55" s="547" t="s">
        <v>592</v>
      </c>
      <c r="AV55" s="547" t="s">
        <v>592</v>
      </c>
      <c r="AW55" s="546"/>
      <c r="AX55" s="657"/>
      <c r="AZ55" s="372" t="e">
        <f t="shared" si="27"/>
        <v>#N/A</v>
      </c>
      <c r="BA55" s="648"/>
    </row>
    <row r="56" spans="2:53">
      <c r="B56" s="646"/>
      <c r="C56" s="383">
        <v>10</v>
      </c>
      <c r="D56" s="225"/>
      <c r="E56" s="539"/>
      <c r="F56" s="535"/>
      <c r="G56" s="534"/>
      <c r="H56" s="682"/>
      <c r="I56" s="385" t="str">
        <f t="shared" si="24"/>
        <v>-</v>
      </c>
      <c r="J56" s="385" t="str">
        <f t="shared" si="25"/>
        <v>-</v>
      </c>
      <c r="K56" s="199" t="str">
        <f t="shared" si="26"/>
        <v>-</v>
      </c>
      <c r="L56" s="617"/>
      <c r="M56" s="431" t="e">
        <f>RANK(K56, K$47:$K$61)</f>
        <v>#VALUE!</v>
      </c>
      <c r="N56" s="635"/>
      <c r="O56" s="635"/>
      <c r="P56" s="546" t="s">
        <v>592</v>
      </c>
      <c r="Q56" s="547" t="s">
        <v>592</v>
      </c>
      <c r="R56" s="547" t="s">
        <v>592</v>
      </c>
      <c r="S56" s="546"/>
      <c r="T56" s="659"/>
      <c r="U56" s="546" t="s">
        <v>592</v>
      </c>
      <c r="V56" s="547" t="s">
        <v>592</v>
      </c>
      <c r="W56" s="547" t="s">
        <v>592</v>
      </c>
      <c r="X56" s="546"/>
      <c r="Y56" s="657"/>
      <c r="Z56" s="546" t="s">
        <v>592</v>
      </c>
      <c r="AA56" s="547" t="s">
        <v>592</v>
      </c>
      <c r="AB56" s="547" t="s">
        <v>592</v>
      </c>
      <c r="AC56" s="546"/>
      <c r="AD56" s="657"/>
      <c r="AE56" s="546" t="s">
        <v>592</v>
      </c>
      <c r="AF56" s="547" t="s">
        <v>592</v>
      </c>
      <c r="AG56" s="547" t="s">
        <v>592</v>
      </c>
      <c r="AH56" s="546"/>
      <c r="AI56" s="657"/>
      <c r="AJ56" s="546" t="s">
        <v>592</v>
      </c>
      <c r="AK56" s="547" t="s">
        <v>592</v>
      </c>
      <c r="AL56" s="547" t="s">
        <v>592</v>
      </c>
      <c r="AM56" s="546"/>
      <c r="AN56" s="657"/>
      <c r="AO56" s="546" t="s">
        <v>592</v>
      </c>
      <c r="AP56" s="547" t="s">
        <v>592</v>
      </c>
      <c r="AQ56" s="547" t="s">
        <v>592</v>
      </c>
      <c r="AR56" s="546"/>
      <c r="AS56" s="657"/>
      <c r="AT56" s="546" t="s">
        <v>592</v>
      </c>
      <c r="AU56" s="547" t="s">
        <v>592</v>
      </c>
      <c r="AV56" s="547" t="s">
        <v>592</v>
      </c>
      <c r="AW56" s="546"/>
      <c r="AX56" s="657"/>
      <c r="AZ56" s="372" t="e">
        <f t="shared" si="27"/>
        <v>#N/A</v>
      </c>
      <c r="BA56" s="648"/>
    </row>
    <row r="57" spans="2:53">
      <c r="B57" s="646"/>
      <c r="C57" s="383">
        <v>11</v>
      </c>
      <c r="D57" s="225"/>
      <c r="E57" s="539"/>
      <c r="F57" s="535"/>
      <c r="G57" s="534"/>
      <c r="H57" s="682"/>
      <c r="I57" s="385" t="str">
        <f t="shared" si="24"/>
        <v>-</v>
      </c>
      <c r="J57" s="385" t="str">
        <f t="shared" si="25"/>
        <v>-</v>
      </c>
      <c r="K57" s="199" t="str">
        <f t="shared" si="26"/>
        <v>-</v>
      </c>
      <c r="L57" s="617"/>
      <c r="M57" s="431" t="e">
        <f>RANK(K57, K$47:$K$61)</f>
        <v>#VALUE!</v>
      </c>
      <c r="N57" s="635"/>
      <c r="O57" s="635"/>
      <c r="P57" s="546" t="s">
        <v>592</v>
      </c>
      <c r="Q57" s="547" t="s">
        <v>592</v>
      </c>
      <c r="R57" s="547" t="s">
        <v>592</v>
      </c>
      <c r="S57" s="546"/>
      <c r="T57" s="659"/>
      <c r="U57" s="546" t="s">
        <v>592</v>
      </c>
      <c r="V57" s="547" t="s">
        <v>592</v>
      </c>
      <c r="W57" s="547" t="s">
        <v>592</v>
      </c>
      <c r="X57" s="546"/>
      <c r="Y57" s="657"/>
      <c r="Z57" s="546" t="s">
        <v>592</v>
      </c>
      <c r="AA57" s="547" t="s">
        <v>592</v>
      </c>
      <c r="AB57" s="547" t="s">
        <v>592</v>
      </c>
      <c r="AC57" s="546"/>
      <c r="AD57" s="657"/>
      <c r="AE57" s="546" t="s">
        <v>592</v>
      </c>
      <c r="AF57" s="547" t="s">
        <v>592</v>
      </c>
      <c r="AG57" s="547" t="s">
        <v>592</v>
      </c>
      <c r="AH57" s="546"/>
      <c r="AI57" s="657"/>
      <c r="AJ57" s="546" t="s">
        <v>592</v>
      </c>
      <c r="AK57" s="547" t="s">
        <v>592</v>
      </c>
      <c r="AL57" s="547" t="s">
        <v>592</v>
      </c>
      <c r="AM57" s="546"/>
      <c r="AN57" s="657"/>
      <c r="AO57" s="546" t="s">
        <v>592</v>
      </c>
      <c r="AP57" s="547" t="s">
        <v>592</v>
      </c>
      <c r="AQ57" s="547" t="s">
        <v>592</v>
      </c>
      <c r="AR57" s="546"/>
      <c r="AS57" s="657"/>
      <c r="AT57" s="546" t="s">
        <v>592</v>
      </c>
      <c r="AU57" s="547" t="s">
        <v>592</v>
      </c>
      <c r="AV57" s="547" t="s">
        <v>592</v>
      </c>
      <c r="AW57" s="546"/>
      <c r="AX57" s="657"/>
      <c r="AZ57" s="372" t="e">
        <f t="shared" si="27"/>
        <v>#N/A</v>
      </c>
      <c r="BA57" s="648"/>
    </row>
    <row r="58" spans="2:53">
      <c r="B58" s="646"/>
      <c r="C58" s="383">
        <v>12</v>
      </c>
      <c r="D58" s="225"/>
      <c r="E58" s="539"/>
      <c r="F58" s="535"/>
      <c r="G58" s="534"/>
      <c r="H58" s="682"/>
      <c r="I58" s="385" t="str">
        <f t="shared" si="24"/>
        <v>-</v>
      </c>
      <c r="J58" s="385" t="str">
        <f t="shared" si="25"/>
        <v>-</v>
      </c>
      <c r="K58" s="199" t="str">
        <f t="shared" si="26"/>
        <v>-</v>
      </c>
      <c r="L58" s="617"/>
      <c r="M58" s="431" t="e">
        <f>RANK(K58, K$47:$K$61)</f>
        <v>#VALUE!</v>
      </c>
      <c r="N58" s="635"/>
      <c r="O58" s="635"/>
      <c r="P58" s="546" t="s">
        <v>592</v>
      </c>
      <c r="Q58" s="547" t="s">
        <v>592</v>
      </c>
      <c r="R58" s="547" t="s">
        <v>592</v>
      </c>
      <c r="S58" s="546"/>
      <c r="T58" s="659"/>
      <c r="U58" s="546" t="s">
        <v>592</v>
      </c>
      <c r="V58" s="547" t="s">
        <v>592</v>
      </c>
      <c r="W58" s="547" t="s">
        <v>592</v>
      </c>
      <c r="X58" s="546"/>
      <c r="Y58" s="657"/>
      <c r="Z58" s="546" t="s">
        <v>592</v>
      </c>
      <c r="AA58" s="547" t="s">
        <v>592</v>
      </c>
      <c r="AB58" s="547" t="s">
        <v>592</v>
      </c>
      <c r="AC58" s="546"/>
      <c r="AD58" s="657"/>
      <c r="AE58" s="546" t="s">
        <v>592</v>
      </c>
      <c r="AF58" s="547" t="s">
        <v>592</v>
      </c>
      <c r="AG58" s="547" t="s">
        <v>592</v>
      </c>
      <c r="AH58" s="546"/>
      <c r="AI58" s="657"/>
      <c r="AJ58" s="546" t="s">
        <v>592</v>
      </c>
      <c r="AK58" s="547" t="s">
        <v>592</v>
      </c>
      <c r="AL58" s="547" t="s">
        <v>592</v>
      </c>
      <c r="AM58" s="546"/>
      <c r="AN58" s="657"/>
      <c r="AO58" s="546" t="s">
        <v>592</v>
      </c>
      <c r="AP58" s="547" t="s">
        <v>592</v>
      </c>
      <c r="AQ58" s="547" t="s">
        <v>592</v>
      </c>
      <c r="AR58" s="546"/>
      <c r="AS58" s="657"/>
      <c r="AT58" s="546" t="s">
        <v>592</v>
      </c>
      <c r="AU58" s="547" t="s">
        <v>592</v>
      </c>
      <c r="AV58" s="547" t="s">
        <v>592</v>
      </c>
      <c r="AW58" s="546"/>
      <c r="AX58" s="657"/>
      <c r="AZ58" s="372" t="e">
        <f t="shared" si="27"/>
        <v>#N/A</v>
      </c>
      <c r="BA58" s="648"/>
    </row>
    <row r="59" spans="2:53">
      <c r="B59" s="646"/>
      <c r="C59" s="383">
        <v>13</v>
      </c>
      <c r="D59" s="225"/>
      <c r="E59" s="539"/>
      <c r="F59" s="535"/>
      <c r="G59" s="534"/>
      <c r="H59" s="682"/>
      <c r="I59" s="385" t="str">
        <f t="shared" si="24"/>
        <v>-</v>
      </c>
      <c r="J59" s="385" t="str">
        <f t="shared" si="25"/>
        <v>-</v>
      </c>
      <c r="K59" s="199" t="str">
        <f t="shared" si="26"/>
        <v>-</v>
      </c>
      <c r="L59" s="617"/>
      <c r="M59" s="431" t="e">
        <f>RANK(K59, K$47:$K$61)</f>
        <v>#VALUE!</v>
      </c>
      <c r="N59" s="635"/>
      <c r="O59" s="635"/>
      <c r="P59" s="546" t="s">
        <v>592</v>
      </c>
      <c r="Q59" s="547" t="s">
        <v>592</v>
      </c>
      <c r="R59" s="547" t="s">
        <v>592</v>
      </c>
      <c r="S59" s="546"/>
      <c r="T59" s="659"/>
      <c r="U59" s="546" t="s">
        <v>592</v>
      </c>
      <c r="V59" s="547" t="s">
        <v>592</v>
      </c>
      <c r="W59" s="547" t="s">
        <v>592</v>
      </c>
      <c r="X59" s="547"/>
      <c r="Y59" s="657"/>
      <c r="Z59" s="546" t="s">
        <v>592</v>
      </c>
      <c r="AA59" s="547" t="s">
        <v>592</v>
      </c>
      <c r="AB59" s="547" t="s">
        <v>592</v>
      </c>
      <c r="AC59" s="547"/>
      <c r="AD59" s="657"/>
      <c r="AE59" s="546" t="s">
        <v>592</v>
      </c>
      <c r="AF59" s="547" t="s">
        <v>592</v>
      </c>
      <c r="AG59" s="547" t="s">
        <v>592</v>
      </c>
      <c r="AH59" s="547"/>
      <c r="AI59" s="657"/>
      <c r="AJ59" s="546" t="s">
        <v>592</v>
      </c>
      <c r="AK59" s="547" t="s">
        <v>592</v>
      </c>
      <c r="AL59" s="547" t="s">
        <v>592</v>
      </c>
      <c r="AM59" s="547"/>
      <c r="AN59" s="657"/>
      <c r="AO59" s="546" t="s">
        <v>592</v>
      </c>
      <c r="AP59" s="547" t="s">
        <v>592</v>
      </c>
      <c r="AQ59" s="547" t="s">
        <v>592</v>
      </c>
      <c r="AR59" s="547"/>
      <c r="AS59" s="657"/>
      <c r="AT59" s="546" t="s">
        <v>592</v>
      </c>
      <c r="AU59" s="547" t="s">
        <v>592</v>
      </c>
      <c r="AV59" s="547" t="s">
        <v>592</v>
      </c>
      <c r="AW59" s="547"/>
      <c r="AX59" s="657"/>
      <c r="AZ59" s="372" t="e">
        <f t="shared" si="27"/>
        <v>#N/A</v>
      </c>
      <c r="BA59" s="648"/>
    </row>
    <row r="60" spans="2:53">
      <c r="B60" s="646"/>
      <c r="C60" s="383">
        <v>14</v>
      </c>
      <c r="D60" s="225"/>
      <c r="E60" s="539"/>
      <c r="F60" s="535"/>
      <c r="G60" s="534"/>
      <c r="H60" s="682"/>
      <c r="I60" s="385" t="str">
        <f t="shared" si="24"/>
        <v>-</v>
      </c>
      <c r="J60" s="385" t="str">
        <f t="shared" si="25"/>
        <v>-</v>
      </c>
      <c r="K60" s="199" t="str">
        <f t="shared" si="26"/>
        <v>-</v>
      </c>
      <c r="L60" s="617"/>
      <c r="M60" s="431" t="e">
        <f>RANK(K60, K$47:$K$61)</f>
        <v>#VALUE!</v>
      </c>
      <c r="N60" s="635"/>
      <c r="O60" s="635"/>
      <c r="P60" s="546" t="s">
        <v>592</v>
      </c>
      <c r="Q60" s="547" t="s">
        <v>592</v>
      </c>
      <c r="R60" s="547" t="s">
        <v>592</v>
      </c>
      <c r="S60" s="546"/>
      <c r="T60" s="659"/>
      <c r="U60" s="546" t="s">
        <v>592</v>
      </c>
      <c r="V60" s="547" t="s">
        <v>592</v>
      </c>
      <c r="W60" s="547" t="s">
        <v>592</v>
      </c>
      <c r="X60" s="547"/>
      <c r="Y60" s="657"/>
      <c r="Z60" s="546" t="s">
        <v>592</v>
      </c>
      <c r="AA60" s="547" t="s">
        <v>592</v>
      </c>
      <c r="AB60" s="547" t="s">
        <v>592</v>
      </c>
      <c r="AC60" s="547"/>
      <c r="AD60" s="657"/>
      <c r="AE60" s="546" t="s">
        <v>592</v>
      </c>
      <c r="AF60" s="547" t="s">
        <v>592</v>
      </c>
      <c r="AG60" s="547" t="s">
        <v>592</v>
      </c>
      <c r="AH60" s="547"/>
      <c r="AI60" s="657"/>
      <c r="AJ60" s="546" t="s">
        <v>592</v>
      </c>
      <c r="AK60" s="547" t="s">
        <v>592</v>
      </c>
      <c r="AL60" s="547" t="s">
        <v>592</v>
      </c>
      <c r="AM60" s="547"/>
      <c r="AN60" s="657"/>
      <c r="AO60" s="546" t="s">
        <v>592</v>
      </c>
      <c r="AP60" s="547" t="s">
        <v>592</v>
      </c>
      <c r="AQ60" s="547" t="s">
        <v>592</v>
      </c>
      <c r="AR60" s="547"/>
      <c r="AS60" s="657"/>
      <c r="AT60" s="546" t="s">
        <v>592</v>
      </c>
      <c r="AU60" s="547" t="s">
        <v>592</v>
      </c>
      <c r="AV60" s="547" t="s">
        <v>592</v>
      </c>
      <c r="AW60" s="547"/>
      <c r="AX60" s="657"/>
      <c r="AZ60" s="372" t="e">
        <f t="shared" si="27"/>
        <v>#N/A</v>
      </c>
      <c r="BA60" s="648"/>
    </row>
    <row r="61" spans="2:53">
      <c r="B61" s="646"/>
      <c r="C61" s="383">
        <v>15</v>
      </c>
      <c r="D61" s="225"/>
      <c r="E61" s="539"/>
      <c r="F61" s="535"/>
      <c r="G61" s="534"/>
      <c r="H61" s="683"/>
      <c r="I61" s="201"/>
      <c r="J61" s="201"/>
      <c r="K61" s="201"/>
      <c r="L61" s="618"/>
      <c r="M61" s="431" t="e">
        <f>RANK(K61, K$47:$K$61)</f>
        <v>#N/A</v>
      </c>
      <c r="N61" s="635"/>
      <c r="O61" s="635"/>
      <c r="P61" s="546" t="s">
        <v>592</v>
      </c>
      <c r="Q61" s="547" t="s">
        <v>592</v>
      </c>
      <c r="R61" s="547" t="s">
        <v>592</v>
      </c>
      <c r="S61" s="546"/>
      <c r="T61" s="659"/>
      <c r="U61" s="546" t="s">
        <v>592</v>
      </c>
      <c r="V61" s="547" t="s">
        <v>592</v>
      </c>
      <c r="W61" s="547" t="s">
        <v>592</v>
      </c>
      <c r="X61" s="547"/>
      <c r="Y61" s="657"/>
      <c r="Z61" s="546" t="s">
        <v>592</v>
      </c>
      <c r="AA61" s="547" t="s">
        <v>592</v>
      </c>
      <c r="AB61" s="547" t="s">
        <v>592</v>
      </c>
      <c r="AC61" s="547"/>
      <c r="AD61" s="657"/>
      <c r="AE61" s="546" t="s">
        <v>592</v>
      </c>
      <c r="AF61" s="547" t="s">
        <v>592</v>
      </c>
      <c r="AG61" s="547" t="s">
        <v>592</v>
      </c>
      <c r="AH61" s="547"/>
      <c r="AI61" s="657"/>
      <c r="AJ61" s="546" t="s">
        <v>592</v>
      </c>
      <c r="AK61" s="547" t="s">
        <v>592</v>
      </c>
      <c r="AL61" s="547" t="s">
        <v>592</v>
      </c>
      <c r="AM61" s="547"/>
      <c r="AN61" s="657"/>
      <c r="AO61" s="546" t="s">
        <v>592</v>
      </c>
      <c r="AP61" s="547" t="s">
        <v>592</v>
      </c>
      <c r="AQ61" s="547" t="s">
        <v>592</v>
      </c>
      <c r="AR61" s="547"/>
      <c r="AS61" s="657"/>
      <c r="AT61" s="546" t="s">
        <v>592</v>
      </c>
      <c r="AU61" s="547" t="s">
        <v>592</v>
      </c>
      <c r="AV61" s="547" t="s">
        <v>592</v>
      </c>
      <c r="AW61" s="547"/>
      <c r="AX61" s="657"/>
      <c r="AZ61" s="372" t="e">
        <f t="shared" si="27"/>
        <v>#N/A</v>
      </c>
      <c r="BA61" s="649"/>
    </row>
    <row r="62" spans="2:53" ht="15.75">
      <c r="B62" s="650" t="s">
        <v>162</v>
      </c>
      <c r="C62" s="651"/>
      <c r="D62" s="651"/>
      <c r="E62" s="651"/>
      <c r="F62" s="651"/>
      <c r="G62" s="651"/>
      <c r="H62" s="652"/>
      <c r="I62" s="207"/>
      <c r="J62" s="207"/>
      <c r="K62" s="207"/>
      <c r="L62" s="207"/>
      <c r="M62" s="206"/>
      <c r="N62" s="639" t="s">
        <v>156</v>
      </c>
      <c r="O62" s="639" t="s">
        <v>105</v>
      </c>
      <c r="P62" s="645">
        <f>P42+7</f>
        <v>46224</v>
      </c>
      <c r="Q62" s="646"/>
      <c r="R62" s="646"/>
      <c r="S62" s="646"/>
      <c r="T62" s="646"/>
      <c r="U62" s="642">
        <f>P62+1</f>
        <v>46225</v>
      </c>
      <c r="V62" s="643"/>
      <c r="W62" s="643"/>
      <c r="X62" s="643"/>
      <c r="Y62" s="644"/>
      <c r="Z62" s="642">
        <f>U62+1</f>
        <v>46226</v>
      </c>
      <c r="AA62" s="643"/>
      <c r="AB62" s="643"/>
      <c r="AC62" s="643"/>
      <c r="AD62" s="644"/>
      <c r="AE62" s="642">
        <f>Z62+1</f>
        <v>46227</v>
      </c>
      <c r="AF62" s="643"/>
      <c r="AG62" s="643"/>
      <c r="AH62" s="643"/>
      <c r="AI62" s="644"/>
      <c r="AJ62" s="642">
        <f>AE62+1</f>
        <v>46228</v>
      </c>
      <c r="AK62" s="643"/>
      <c r="AL62" s="643"/>
      <c r="AM62" s="643"/>
      <c r="AN62" s="644"/>
      <c r="AO62" s="642">
        <f>AJ62+1</f>
        <v>46229</v>
      </c>
      <c r="AP62" s="643"/>
      <c r="AQ62" s="643"/>
      <c r="AR62" s="643"/>
      <c r="AS62" s="644"/>
      <c r="AT62" s="642">
        <f>AO62+1</f>
        <v>46230</v>
      </c>
      <c r="AU62" s="643"/>
      <c r="AV62" s="643"/>
      <c r="AW62" s="643"/>
      <c r="AX62" s="644"/>
    </row>
    <row r="63" spans="2:53" ht="15.75">
      <c r="B63" s="653"/>
      <c r="C63" s="653"/>
      <c r="D63" s="653"/>
      <c r="E63" s="653"/>
      <c r="F63" s="653"/>
      <c r="G63" s="653"/>
      <c r="H63" s="653"/>
      <c r="I63" s="204"/>
      <c r="J63" s="204"/>
      <c r="K63" s="204"/>
      <c r="L63" s="204"/>
      <c r="M63" s="205"/>
      <c r="N63" s="641"/>
      <c r="O63" s="641"/>
      <c r="P63" s="645" t="s">
        <v>317</v>
      </c>
      <c r="Q63" s="646"/>
      <c r="R63" s="646"/>
      <c r="S63" s="646"/>
      <c r="T63" s="646"/>
      <c r="U63" s="645" t="s">
        <v>318</v>
      </c>
      <c r="V63" s="646"/>
      <c r="W63" s="646"/>
      <c r="X63" s="646"/>
      <c r="Y63" s="646"/>
      <c r="Z63" s="645" t="s">
        <v>319</v>
      </c>
      <c r="AA63" s="646"/>
      <c r="AB63" s="646"/>
      <c r="AC63" s="646"/>
      <c r="AD63" s="646"/>
      <c r="AE63" s="645" t="s">
        <v>320</v>
      </c>
      <c r="AF63" s="646"/>
      <c r="AG63" s="646"/>
      <c r="AH63" s="646"/>
      <c r="AI63" s="646"/>
      <c r="AJ63" s="645" t="s">
        <v>321</v>
      </c>
      <c r="AK63" s="646"/>
      <c r="AL63" s="646"/>
      <c r="AM63" s="646"/>
      <c r="AN63" s="646"/>
      <c r="AO63" s="645" t="s">
        <v>322</v>
      </c>
      <c r="AP63" s="646"/>
      <c r="AQ63" s="646"/>
      <c r="AR63" s="646"/>
      <c r="AS63" s="646"/>
      <c r="AT63" s="645" t="s">
        <v>323</v>
      </c>
      <c r="AU63" s="646"/>
      <c r="AV63" s="646"/>
      <c r="AW63" s="646"/>
      <c r="AX63" s="646"/>
    </row>
    <row r="64" spans="2:53">
      <c r="B64" s="635" t="s">
        <v>372</v>
      </c>
      <c r="C64" s="635" t="s">
        <v>382</v>
      </c>
      <c r="D64" s="635"/>
      <c r="E64" s="635" t="s">
        <v>373</v>
      </c>
      <c r="F64" s="635"/>
      <c r="G64" s="635"/>
      <c r="H64" s="636" t="s">
        <v>369</v>
      </c>
      <c r="I64" s="619" t="s">
        <v>374</v>
      </c>
      <c r="J64" s="619"/>
      <c r="K64" s="619"/>
      <c r="L64" s="620" t="s">
        <v>369</v>
      </c>
      <c r="M64" s="626" t="s">
        <v>370</v>
      </c>
      <c r="N64" s="635"/>
      <c r="O64" s="635" t="s">
        <v>375</v>
      </c>
      <c r="P64" s="632" t="s">
        <v>371</v>
      </c>
      <c r="Q64" s="633"/>
      <c r="R64" s="633"/>
      <c r="S64" s="634"/>
      <c r="T64" s="635" t="s">
        <v>369</v>
      </c>
      <c r="U64" s="632" t="s">
        <v>371</v>
      </c>
      <c r="V64" s="633"/>
      <c r="W64" s="633"/>
      <c r="X64" s="634"/>
      <c r="Y64" s="635" t="s">
        <v>369</v>
      </c>
      <c r="Z64" s="632" t="s">
        <v>371</v>
      </c>
      <c r="AA64" s="633"/>
      <c r="AB64" s="633"/>
      <c r="AC64" s="634"/>
      <c r="AD64" s="635" t="s">
        <v>369</v>
      </c>
      <c r="AE64" s="632" t="s">
        <v>371</v>
      </c>
      <c r="AF64" s="633"/>
      <c r="AG64" s="633"/>
      <c r="AH64" s="634"/>
      <c r="AI64" s="635" t="s">
        <v>369</v>
      </c>
      <c r="AJ64" s="632" t="s">
        <v>371</v>
      </c>
      <c r="AK64" s="633"/>
      <c r="AL64" s="633"/>
      <c r="AM64" s="634"/>
      <c r="AN64" s="635" t="s">
        <v>369</v>
      </c>
      <c r="AO64" s="632" t="s">
        <v>371</v>
      </c>
      <c r="AP64" s="633"/>
      <c r="AQ64" s="633"/>
      <c r="AR64" s="634"/>
      <c r="AS64" s="635" t="s">
        <v>369</v>
      </c>
      <c r="AT64" s="632" t="s">
        <v>371</v>
      </c>
      <c r="AU64" s="633"/>
      <c r="AV64" s="633"/>
      <c r="AW64" s="634"/>
      <c r="AX64" s="635" t="s">
        <v>369</v>
      </c>
      <c r="BA64" s="635" t="s">
        <v>369</v>
      </c>
    </row>
    <row r="65" spans="2:53">
      <c r="B65" s="635"/>
      <c r="C65" s="635"/>
      <c r="D65" s="635"/>
      <c r="E65" s="635" t="s">
        <v>376</v>
      </c>
      <c r="F65" s="635"/>
      <c r="G65" s="635"/>
      <c r="H65" s="637"/>
      <c r="I65" s="619" t="s">
        <v>376</v>
      </c>
      <c r="J65" s="619"/>
      <c r="K65" s="619"/>
      <c r="L65" s="621"/>
      <c r="M65" s="627"/>
      <c r="N65" s="635"/>
      <c r="O65" s="635"/>
      <c r="P65" s="632" t="s">
        <v>377</v>
      </c>
      <c r="Q65" s="633"/>
      <c r="R65" s="633"/>
      <c r="S65" s="634"/>
      <c r="T65" s="635"/>
      <c r="U65" s="632" t="s">
        <v>377</v>
      </c>
      <c r="V65" s="633"/>
      <c r="W65" s="633"/>
      <c r="X65" s="634"/>
      <c r="Y65" s="635"/>
      <c r="Z65" s="632" t="s">
        <v>377</v>
      </c>
      <c r="AA65" s="633"/>
      <c r="AB65" s="633"/>
      <c r="AC65" s="634"/>
      <c r="AD65" s="635"/>
      <c r="AE65" s="632" t="s">
        <v>377</v>
      </c>
      <c r="AF65" s="633"/>
      <c r="AG65" s="633"/>
      <c r="AH65" s="634"/>
      <c r="AI65" s="635"/>
      <c r="AJ65" s="632" t="s">
        <v>377</v>
      </c>
      <c r="AK65" s="633"/>
      <c r="AL65" s="633"/>
      <c r="AM65" s="634"/>
      <c r="AN65" s="635"/>
      <c r="AO65" s="632" t="s">
        <v>377</v>
      </c>
      <c r="AP65" s="633"/>
      <c r="AQ65" s="633"/>
      <c r="AR65" s="634"/>
      <c r="AS65" s="635"/>
      <c r="AT65" s="632" t="s">
        <v>377</v>
      </c>
      <c r="AU65" s="633"/>
      <c r="AV65" s="633"/>
      <c r="AW65" s="634"/>
      <c r="AX65" s="635"/>
      <c r="BA65" s="635"/>
    </row>
    <row r="66" spans="2:53">
      <c r="B66" s="635"/>
      <c r="C66" s="635"/>
      <c r="D66" s="635"/>
      <c r="E66" s="382" t="s">
        <v>378</v>
      </c>
      <c r="F66" s="382" t="s">
        <v>379</v>
      </c>
      <c r="G66" s="382" t="s">
        <v>380</v>
      </c>
      <c r="H66" s="638"/>
      <c r="I66" s="381" t="s">
        <v>378</v>
      </c>
      <c r="J66" s="381" t="s">
        <v>379</v>
      </c>
      <c r="K66" s="381" t="s">
        <v>380</v>
      </c>
      <c r="L66" s="622"/>
      <c r="M66" s="628"/>
      <c r="N66" s="635"/>
      <c r="O66" s="635"/>
      <c r="P66" s="382" t="s">
        <v>378</v>
      </c>
      <c r="Q66" s="382" t="s">
        <v>379</v>
      </c>
      <c r="R66" s="382" t="s">
        <v>380</v>
      </c>
      <c r="S66" s="382" t="s">
        <v>370</v>
      </c>
      <c r="T66" s="635"/>
      <c r="U66" s="382" t="s">
        <v>378</v>
      </c>
      <c r="V66" s="382" t="s">
        <v>379</v>
      </c>
      <c r="W66" s="382" t="s">
        <v>380</v>
      </c>
      <c r="X66" s="382" t="s">
        <v>370</v>
      </c>
      <c r="Y66" s="635"/>
      <c r="Z66" s="382" t="s">
        <v>378</v>
      </c>
      <c r="AA66" s="382" t="s">
        <v>379</v>
      </c>
      <c r="AB66" s="382" t="s">
        <v>380</v>
      </c>
      <c r="AC66" s="382" t="s">
        <v>370</v>
      </c>
      <c r="AD66" s="635"/>
      <c r="AE66" s="382" t="s">
        <v>378</v>
      </c>
      <c r="AF66" s="382" t="s">
        <v>379</v>
      </c>
      <c r="AG66" s="382" t="s">
        <v>380</v>
      </c>
      <c r="AH66" s="382" t="s">
        <v>370</v>
      </c>
      <c r="AI66" s="635"/>
      <c r="AJ66" s="382" t="s">
        <v>378</v>
      </c>
      <c r="AK66" s="382" t="s">
        <v>379</v>
      </c>
      <c r="AL66" s="382" t="s">
        <v>380</v>
      </c>
      <c r="AM66" s="382" t="s">
        <v>370</v>
      </c>
      <c r="AN66" s="635"/>
      <c r="AO66" s="382" t="s">
        <v>378</v>
      </c>
      <c r="AP66" s="382" t="s">
        <v>379</v>
      </c>
      <c r="AQ66" s="382" t="s">
        <v>380</v>
      </c>
      <c r="AR66" s="382" t="s">
        <v>370</v>
      </c>
      <c r="AS66" s="635"/>
      <c r="AT66" s="382" t="s">
        <v>378</v>
      </c>
      <c r="AU66" s="382" t="s">
        <v>379</v>
      </c>
      <c r="AV66" s="382" t="s">
        <v>380</v>
      </c>
      <c r="AW66" s="382" t="s">
        <v>370</v>
      </c>
      <c r="AX66" s="635"/>
      <c r="AZ66" s="371" t="s">
        <v>370</v>
      </c>
      <c r="BA66" s="635"/>
    </row>
    <row r="67" spans="2:53">
      <c r="B67" s="635" t="s">
        <v>383</v>
      </c>
      <c r="C67" s="383">
        <v>1</v>
      </c>
      <c r="D67" s="225" t="s">
        <v>708</v>
      </c>
      <c r="E67" s="539">
        <v>15</v>
      </c>
      <c r="F67" s="535">
        <v>2000</v>
      </c>
      <c r="G67" s="534">
        <v>100</v>
      </c>
      <c r="H67" s="681">
        <f>AVERAGE(G67:G81)</f>
        <v>100</v>
      </c>
      <c r="I67" s="385">
        <f t="shared" ref="I67:I80" si="29">IFERROR(AVERAGE(P67,U67,Z67,AE67,AJ67,AO67,AT67),"-")</f>
        <v>15</v>
      </c>
      <c r="J67" s="385">
        <f t="shared" ref="J67:J80" si="30">IFERROR(AVERAGE(Q67,V67,AA67,AF67,AK67,AP67,AU67),"-")</f>
        <v>1949.8886827458259</v>
      </c>
      <c r="K67" s="199">
        <f t="shared" ref="K67:K80" si="31">IFERROR(AVERAGE(R67,W67,AB67,AG67,AL67,AQ67,AV67),"-")</f>
        <v>129.99257884972172</v>
      </c>
      <c r="L67" s="616">
        <f>IFERROR(AVERAGE(K67:K81),"-")</f>
        <v>162.91260134823159</v>
      </c>
      <c r="M67" s="387">
        <f>RANK(K67, K$67:$K$81)</f>
        <v>2</v>
      </c>
      <c r="N67" s="635"/>
      <c r="O67" s="635"/>
      <c r="P67" s="555">
        <v>15</v>
      </c>
      <c r="Q67" s="556">
        <v>2070.666666666667</v>
      </c>
      <c r="R67" s="556">
        <v>138.04444444444445</v>
      </c>
      <c r="S67" s="555">
        <f t="shared" ref="S67:S81" si="32">RANK(R67, R$67:R$81)</f>
        <v>2</v>
      </c>
      <c r="T67" s="647">
        <f t="shared" ref="T67" si="33">AVERAGE(R67:R81)</f>
        <v>165.42222222222227</v>
      </c>
      <c r="U67" s="555">
        <v>15</v>
      </c>
      <c r="V67" s="556">
        <v>2080</v>
      </c>
      <c r="W67" s="556">
        <v>138.66666666666666</v>
      </c>
      <c r="X67" s="555">
        <f t="shared" ref="X67:X81" si="34">RANK(W67, W$67:W$81)</f>
        <v>2</v>
      </c>
      <c r="Y67" s="647">
        <f t="shared" ref="Y67" si="35">AVERAGE(W67:W81)</f>
        <v>168.47450980392148</v>
      </c>
      <c r="Z67" s="555">
        <v>15</v>
      </c>
      <c r="AA67" s="556">
        <v>1895.9999999999975</v>
      </c>
      <c r="AB67" s="556">
        <v>126.39999999999984</v>
      </c>
      <c r="AC67" s="555">
        <f t="shared" ref="AC67:AC81" si="36">RANK(AB67, AB$67:AB$81)</f>
        <v>2</v>
      </c>
      <c r="AD67" s="647">
        <f t="shared" ref="AD67" si="37">AVERAGE(AB67:AB81)</f>
        <v>160.23999999999984</v>
      </c>
      <c r="AE67" s="555">
        <v>15</v>
      </c>
      <c r="AF67" s="556">
        <v>1950.8571428571454</v>
      </c>
      <c r="AG67" s="556">
        <v>130.05714285714302</v>
      </c>
      <c r="AH67" s="555">
        <f t="shared" ref="AH67:AH81" si="38">RANK(AG67, AG$67:AG$81)</f>
        <v>2</v>
      </c>
      <c r="AI67" s="647">
        <f t="shared" ref="AI67" si="39">AVERAGE(AG67:AG81)</f>
        <v>165.88311688311703</v>
      </c>
      <c r="AJ67" s="555">
        <v>15</v>
      </c>
      <c r="AK67" s="556">
        <v>1842.0000000000016</v>
      </c>
      <c r="AL67" s="556">
        <v>122.80000000000011</v>
      </c>
      <c r="AM67" s="555">
        <f t="shared" ref="AM67:AM81" si="40">RANK(AL67, AL$67:AL$81)</f>
        <v>2</v>
      </c>
      <c r="AN67" s="647">
        <f t="shared" ref="AN67" si="41">AVERAGE(AL67:AL81)</f>
        <v>160.34000000000009</v>
      </c>
      <c r="AO67" s="555">
        <v>15</v>
      </c>
      <c r="AP67" s="556">
        <v>1849.3333333333335</v>
      </c>
      <c r="AQ67" s="556">
        <v>123.28888888888891</v>
      </c>
      <c r="AR67" s="555">
        <f t="shared" ref="AR67:AR81" si="42">RANK(AQ67, AQ$67:AQ$81)</f>
        <v>2</v>
      </c>
      <c r="AS67" s="647">
        <f t="shared" ref="AS67" si="43">AVERAGE(AQ67:AQ81)</f>
        <v>157.18290598290611</v>
      </c>
      <c r="AT67" s="555">
        <v>15</v>
      </c>
      <c r="AU67" s="556">
        <v>1960.3636363636351</v>
      </c>
      <c r="AV67" s="556">
        <v>130.690909090909</v>
      </c>
      <c r="AW67" s="555">
        <f t="shared" ref="AW67:AW81" si="44">RANK(AV67, AV$67:AV$81)</f>
        <v>2</v>
      </c>
      <c r="AX67" s="647">
        <f t="shared" ref="AX67" si="45">AVERAGE(AV67:AV81)</f>
        <v>162.8454545454544</v>
      </c>
      <c r="AZ67" s="372" t="e">
        <f t="shared" ref="AZ67:AZ81" si="46">RANK(AY67, AY$67:AY$81)</f>
        <v>#N/A</v>
      </c>
      <c r="BA67" s="647" t="e">
        <f t="shared" ref="BA67" si="47">AVERAGE(AY67:AY81)</f>
        <v>#DIV/0!</v>
      </c>
    </row>
    <row r="68" spans="2:53">
      <c r="B68" s="646"/>
      <c r="C68" s="383">
        <v>2</v>
      </c>
      <c r="D68" s="225" t="s">
        <v>722</v>
      </c>
      <c r="E68" s="539">
        <v>13</v>
      </c>
      <c r="F68" s="535">
        <v>2000</v>
      </c>
      <c r="G68" s="534">
        <v>100</v>
      </c>
      <c r="H68" s="682"/>
      <c r="I68" s="385">
        <f t="shared" si="29"/>
        <v>10</v>
      </c>
      <c r="J68" s="385">
        <f t="shared" si="30"/>
        <v>1958.3262384674149</v>
      </c>
      <c r="K68" s="199">
        <f t="shared" si="31"/>
        <v>195.83262384674148</v>
      </c>
      <c r="L68" s="617"/>
      <c r="M68" s="387" t="e">
        <f>RANK(K68, K$87:$K$101)</f>
        <v>#N/A</v>
      </c>
      <c r="N68" s="635"/>
      <c r="O68" s="635"/>
      <c r="P68" s="555">
        <v>10</v>
      </c>
      <c r="Q68" s="556">
        <v>1928.0000000000009</v>
      </c>
      <c r="R68" s="556">
        <v>192.8000000000001</v>
      </c>
      <c r="S68" s="555">
        <f t="shared" si="32"/>
        <v>1</v>
      </c>
      <c r="T68" s="648"/>
      <c r="U68" s="555">
        <v>10</v>
      </c>
      <c r="V68" s="556">
        <v>1982.8235294117626</v>
      </c>
      <c r="W68" s="556">
        <v>198.28235294117627</v>
      </c>
      <c r="X68" s="555">
        <f t="shared" si="34"/>
        <v>1</v>
      </c>
      <c r="Y68" s="648"/>
      <c r="Z68" s="555">
        <v>10</v>
      </c>
      <c r="AA68" s="556">
        <v>1940.7999999999986</v>
      </c>
      <c r="AB68" s="556">
        <v>194.07999999999987</v>
      </c>
      <c r="AC68" s="555">
        <f t="shared" si="36"/>
        <v>1</v>
      </c>
      <c r="AD68" s="648"/>
      <c r="AE68" s="555">
        <v>10</v>
      </c>
      <c r="AF68" s="556">
        <v>2017.0909090909104</v>
      </c>
      <c r="AG68" s="556">
        <v>201.70909090909103</v>
      </c>
      <c r="AH68" s="555">
        <f t="shared" si="38"/>
        <v>1</v>
      </c>
      <c r="AI68" s="648"/>
      <c r="AJ68" s="555">
        <v>10</v>
      </c>
      <c r="AK68" s="556">
        <v>1978.8000000000006</v>
      </c>
      <c r="AL68" s="556">
        <v>197.88000000000005</v>
      </c>
      <c r="AM68" s="555">
        <f t="shared" si="40"/>
        <v>1</v>
      </c>
      <c r="AN68" s="648"/>
      <c r="AO68" s="555">
        <v>10</v>
      </c>
      <c r="AP68" s="556">
        <v>1910.769230769233</v>
      </c>
      <c r="AQ68" s="556">
        <v>191.07692307692329</v>
      </c>
      <c r="AR68" s="555">
        <f t="shared" si="42"/>
        <v>1</v>
      </c>
      <c r="AS68" s="648"/>
      <c r="AT68" s="555">
        <v>10</v>
      </c>
      <c r="AU68" s="556">
        <v>1949.999999999998</v>
      </c>
      <c r="AV68" s="556">
        <v>194.9999999999998</v>
      </c>
      <c r="AW68" s="555">
        <f t="shared" si="44"/>
        <v>1</v>
      </c>
      <c r="AX68" s="648"/>
      <c r="AZ68" s="372" t="e">
        <f t="shared" si="46"/>
        <v>#N/A</v>
      </c>
      <c r="BA68" s="648"/>
    </row>
    <row r="69" spans="2:53">
      <c r="B69" s="646"/>
      <c r="C69" s="383">
        <v>3</v>
      </c>
      <c r="D69" s="225"/>
      <c r="E69" s="539"/>
      <c r="F69" s="535"/>
      <c r="G69" s="534"/>
      <c r="H69" s="682"/>
      <c r="I69" s="385" t="str">
        <f t="shared" si="29"/>
        <v>-</v>
      </c>
      <c r="J69" s="385" t="str">
        <f t="shared" si="30"/>
        <v>-</v>
      </c>
      <c r="K69" s="199" t="str">
        <f t="shared" si="31"/>
        <v>-</v>
      </c>
      <c r="L69" s="617"/>
      <c r="M69" s="387" t="e">
        <f>RANK(K69, K$87:$K$101)</f>
        <v>#VALUE!</v>
      </c>
      <c r="N69" s="635"/>
      <c r="O69" s="635"/>
      <c r="P69" s="555" t="s">
        <v>592</v>
      </c>
      <c r="Q69" s="556" t="s">
        <v>592</v>
      </c>
      <c r="R69" s="556" t="s">
        <v>592</v>
      </c>
      <c r="S69" s="555" t="e">
        <f t="shared" si="32"/>
        <v>#VALUE!</v>
      </c>
      <c r="T69" s="648"/>
      <c r="U69" s="555" t="s">
        <v>592</v>
      </c>
      <c r="V69" s="556" t="s">
        <v>592</v>
      </c>
      <c r="W69" s="556" t="s">
        <v>592</v>
      </c>
      <c r="X69" s="555" t="e">
        <f t="shared" si="34"/>
        <v>#VALUE!</v>
      </c>
      <c r="Y69" s="648"/>
      <c r="Z69" s="555" t="s">
        <v>592</v>
      </c>
      <c r="AA69" s="556" t="s">
        <v>592</v>
      </c>
      <c r="AB69" s="556" t="s">
        <v>592</v>
      </c>
      <c r="AC69" s="555" t="e">
        <f t="shared" si="36"/>
        <v>#VALUE!</v>
      </c>
      <c r="AD69" s="648"/>
      <c r="AE69" s="555" t="s">
        <v>592</v>
      </c>
      <c r="AF69" s="556" t="s">
        <v>592</v>
      </c>
      <c r="AG69" s="556" t="s">
        <v>592</v>
      </c>
      <c r="AH69" s="555" t="e">
        <f t="shared" si="38"/>
        <v>#VALUE!</v>
      </c>
      <c r="AI69" s="648"/>
      <c r="AJ69" s="555" t="s">
        <v>592</v>
      </c>
      <c r="AK69" s="556" t="s">
        <v>592</v>
      </c>
      <c r="AL69" s="556" t="s">
        <v>592</v>
      </c>
      <c r="AM69" s="555" t="e">
        <f t="shared" si="40"/>
        <v>#VALUE!</v>
      </c>
      <c r="AN69" s="648"/>
      <c r="AO69" s="555" t="s">
        <v>592</v>
      </c>
      <c r="AP69" s="556" t="s">
        <v>592</v>
      </c>
      <c r="AQ69" s="556" t="s">
        <v>592</v>
      </c>
      <c r="AR69" s="555" t="e">
        <f t="shared" si="42"/>
        <v>#VALUE!</v>
      </c>
      <c r="AS69" s="648"/>
      <c r="AT69" s="555" t="s">
        <v>592</v>
      </c>
      <c r="AU69" s="556" t="s">
        <v>592</v>
      </c>
      <c r="AV69" s="556" t="s">
        <v>592</v>
      </c>
      <c r="AW69" s="555" t="e">
        <f t="shared" si="44"/>
        <v>#VALUE!</v>
      </c>
      <c r="AX69" s="648"/>
      <c r="AZ69" s="372" t="e">
        <f t="shared" si="46"/>
        <v>#N/A</v>
      </c>
      <c r="BA69" s="648"/>
    </row>
    <row r="70" spans="2:53">
      <c r="B70" s="646"/>
      <c r="C70" s="383">
        <v>4</v>
      </c>
      <c r="D70" s="225"/>
      <c r="E70" s="539"/>
      <c r="F70" s="535"/>
      <c r="G70" s="534"/>
      <c r="H70" s="682"/>
      <c r="I70" s="385" t="str">
        <f t="shared" si="29"/>
        <v>-</v>
      </c>
      <c r="J70" s="385" t="str">
        <f t="shared" si="30"/>
        <v>-</v>
      </c>
      <c r="K70" s="199" t="str">
        <f t="shared" si="31"/>
        <v>-</v>
      </c>
      <c r="L70" s="617"/>
      <c r="M70" s="387" t="e">
        <f>RANK(K70, K$87:$K$101)</f>
        <v>#VALUE!</v>
      </c>
      <c r="N70" s="635"/>
      <c r="O70" s="635"/>
      <c r="P70" s="555" t="s">
        <v>592</v>
      </c>
      <c r="Q70" s="556" t="s">
        <v>592</v>
      </c>
      <c r="R70" s="556" t="s">
        <v>592</v>
      </c>
      <c r="S70" s="555" t="e">
        <f t="shared" si="32"/>
        <v>#VALUE!</v>
      </c>
      <c r="T70" s="648"/>
      <c r="U70" s="555" t="s">
        <v>592</v>
      </c>
      <c r="V70" s="556" t="s">
        <v>592</v>
      </c>
      <c r="W70" s="556" t="s">
        <v>592</v>
      </c>
      <c r="X70" s="555" t="e">
        <f t="shared" si="34"/>
        <v>#VALUE!</v>
      </c>
      <c r="Y70" s="648"/>
      <c r="Z70" s="555" t="s">
        <v>592</v>
      </c>
      <c r="AA70" s="556" t="s">
        <v>592</v>
      </c>
      <c r="AB70" s="556" t="s">
        <v>592</v>
      </c>
      <c r="AC70" s="555" t="e">
        <f t="shared" si="36"/>
        <v>#VALUE!</v>
      </c>
      <c r="AD70" s="648"/>
      <c r="AE70" s="555" t="s">
        <v>592</v>
      </c>
      <c r="AF70" s="556" t="s">
        <v>592</v>
      </c>
      <c r="AG70" s="556" t="s">
        <v>592</v>
      </c>
      <c r="AH70" s="555" t="e">
        <f t="shared" si="38"/>
        <v>#VALUE!</v>
      </c>
      <c r="AI70" s="648"/>
      <c r="AJ70" s="555" t="s">
        <v>592</v>
      </c>
      <c r="AK70" s="556" t="s">
        <v>592</v>
      </c>
      <c r="AL70" s="556" t="s">
        <v>592</v>
      </c>
      <c r="AM70" s="555" t="e">
        <f t="shared" si="40"/>
        <v>#VALUE!</v>
      </c>
      <c r="AN70" s="648"/>
      <c r="AO70" s="555" t="s">
        <v>592</v>
      </c>
      <c r="AP70" s="556" t="s">
        <v>592</v>
      </c>
      <c r="AQ70" s="556" t="s">
        <v>592</v>
      </c>
      <c r="AR70" s="555" t="e">
        <f t="shared" si="42"/>
        <v>#VALUE!</v>
      </c>
      <c r="AS70" s="648"/>
      <c r="AT70" s="555" t="s">
        <v>592</v>
      </c>
      <c r="AU70" s="556" t="s">
        <v>592</v>
      </c>
      <c r="AV70" s="556" t="s">
        <v>592</v>
      </c>
      <c r="AW70" s="555" t="e">
        <f t="shared" si="44"/>
        <v>#VALUE!</v>
      </c>
      <c r="AX70" s="648"/>
      <c r="AZ70" s="372" t="e">
        <f t="shared" si="46"/>
        <v>#N/A</v>
      </c>
      <c r="BA70" s="648"/>
    </row>
    <row r="71" spans="2:53">
      <c r="B71" s="646"/>
      <c r="C71" s="383">
        <v>5</v>
      </c>
      <c r="D71" s="225"/>
      <c r="E71" s="539"/>
      <c r="F71" s="535"/>
      <c r="G71" s="534"/>
      <c r="H71" s="682"/>
      <c r="I71" s="385" t="str">
        <f t="shared" si="29"/>
        <v>-</v>
      </c>
      <c r="J71" s="385" t="str">
        <f t="shared" si="30"/>
        <v>-</v>
      </c>
      <c r="K71" s="199" t="str">
        <f t="shared" si="31"/>
        <v>-</v>
      </c>
      <c r="L71" s="617"/>
      <c r="M71" s="387" t="e">
        <f>RANK(K71, K$87:$K$101)</f>
        <v>#VALUE!</v>
      </c>
      <c r="N71" s="635"/>
      <c r="O71" s="635"/>
      <c r="P71" s="555" t="s">
        <v>592</v>
      </c>
      <c r="Q71" s="556" t="s">
        <v>592</v>
      </c>
      <c r="R71" s="556" t="s">
        <v>592</v>
      </c>
      <c r="S71" s="555" t="e">
        <f t="shared" si="32"/>
        <v>#VALUE!</v>
      </c>
      <c r="T71" s="648"/>
      <c r="U71" s="555" t="s">
        <v>592</v>
      </c>
      <c r="V71" s="556" t="s">
        <v>592</v>
      </c>
      <c r="W71" s="556" t="s">
        <v>592</v>
      </c>
      <c r="X71" s="555" t="e">
        <f t="shared" si="34"/>
        <v>#VALUE!</v>
      </c>
      <c r="Y71" s="648"/>
      <c r="Z71" s="555" t="s">
        <v>592</v>
      </c>
      <c r="AA71" s="556" t="s">
        <v>592</v>
      </c>
      <c r="AB71" s="556" t="s">
        <v>592</v>
      </c>
      <c r="AC71" s="555" t="e">
        <f t="shared" si="36"/>
        <v>#VALUE!</v>
      </c>
      <c r="AD71" s="648"/>
      <c r="AE71" s="555" t="s">
        <v>592</v>
      </c>
      <c r="AF71" s="556" t="s">
        <v>592</v>
      </c>
      <c r="AG71" s="556" t="s">
        <v>592</v>
      </c>
      <c r="AH71" s="555" t="e">
        <f t="shared" si="38"/>
        <v>#VALUE!</v>
      </c>
      <c r="AI71" s="648"/>
      <c r="AJ71" s="555" t="s">
        <v>592</v>
      </c>
      <c r="AK71" s="556" t="s">
        <v>592</v>
      </c>
      <c r="AL71" s="556" t="s">
        <v>592</v>
      </c>
      <c r="AM71" s="555" t="e">
        <f t="shared" si="40"/>
        <v>#VALUE!</v>
      </c>
      <c r="AN71" s="648"/>
      <c r="AO71" s="555" t="s">
        <v>592</v>
      </c>
      <c r="AP71" s="556" t="s">
        <v>592</v>
      </c>
      <c r="AQ71" s="556" t="s">
        <v>592</v>
      </c>
      <c r="AR71" s="555" t="e">
        <f t="shared" si="42"/>
        <v>#VALUE!</v>
      </c>
      <c r="AS71" s="648"/>
      <c r="AT71" s="555" t="s">
        <v>592</v>
      </c>
      <c r="AU71" s="556" t="s">
        <v>592</v>
      </c>
      <c r="AV71" s="556" t="s">
        <v>592</v>
      </c>
      <c r="AW71" s="555" t="e">
        <f t="shared" si="44"/>
        <v>#VALUE!</v>
      </c>
      <c r="AX71" s="648"/>
      <c r="AZ71" s="372" t="e">
        <f t="shared" si="46"/>
        <v>#N/A</v>
      </c>
      <c r="BA71" s="648"/>
    </row>
    <row r="72" spans="2:53">
      <c r="B72" s="646"/>
      <c r="C72" s="383">
        <v>6</v>
      </c>
      <c r="D72" s="225"/>
      <c r="E72" s="539"/>
      <c r="F72" s="535"/>
      <c r="G72" s="534"/>
      <c r="H72" s="682"/>
      <c r="I72" s="385" t="str">
        <f t="shared" si="29"/>
        <v>-</v>
      </c>
      <c r="J72" s="385" t="str">
        <f t="shared" si="30"/>
        <v>-</v>
      </c>
      <c r="K72" s="199" t="str">
        <f t="shared" si="31"/>
        <v>-</v>
      </c>
      <c r="L72" s="617"/>
      <c r="M72" s="387" t="e">
        <f>RANK(K72, K$87:$K$101)</f>
        <v>#VALUE!</v>
      </c>
      <c r="N72" s="635"/>
      <c r="O72" s="635"/>
      <c r="P72" s="555" t="s">
        <v>592</v>
      </c>
      <c r="Q72" s="556" t="s">
        <v>592</v>
      </c>
      <c r="R72" s="556" t="s">
        <v>592</v>
      </c>
      <c r="S72" s="555" t="e">
        <f t="shared" si="32"/>
        <v>#VALUE!</v>
      </c>
      <c r="T72" s="648"/>
      <c r="U72" s="555" t="s">
        <v>592</v>
      </c>
      <c r="V72" s="556" t="s">
        <v>592</v>
      </c>
      <c r="W72" s="556" t="s">
        <v>592</v>
      </c>
      <c r="X72" s="555" t="e">
        <f t="shared" si="34"/>
        <v>#VALUE!</v>
      </c>
      <c r="Y72" s="648"/>
      <c r="Z72" s="555" t="s">
        <v>592</v>
      </c>
      <c r="AA72" s="556" t="s">
        <v>592</v>
      </c>
      <c r="AB72" s="556" t="s">
        <v>592</v>
      </c>
      <c r="AC72" s="555" t="e">
        <f t="shared" si="36"/>
        <v>#VALUE!</v>
      </c>
      <c r="AD72" s="648"/>
      <c r="AE72" s="555" t="s">
        <v>592</v>
      </c>
      <c r="AF72" s="556" t="s">
        <v>592</v>
      </c>
      <c r="AG72" s="556" t="s">
        <v>592</v>
      </c>
      <c r="AH72" s="555" t="e">
        <f t="shared" si="38"/>
        <v>#VALUE!</v>
      </c>
      <c r="AI72" s="648"/>
      <c r="AJ72" s="555" t="s">
        <v>592</v>
      </c>
      <c r="AK72" s="556" t="s">
        <v>592</v>
      </c>
      <c r="AL72" s="556" t="s">
        <v>592</v>
      </c>
      <c r="AM72" s="555" t="e">
        <f t="shared" si="40"/>
        <v>#VALUE!</v>
      </c>
      <c r="AN72" s="648"/>
      <c r="AO72" s="555" t="s">
        <v>592</v>
      </c>
      <c r="AP72" s="556" t="s">
        <v>592</v>
      </c>
      <c r="AQ72" s="556" t="s">
        <v>592</v>
      </c>
      <c r="AR72" s="555" t="e">
        <f t="shared" si="42"/>
        <v>#VALUE!</v>
      </c>
      <c r="AS72" s="648"/>
      <c r="AT72" s="555" t="s">
        <v>592</v>
      </c>
      <c r="AU72" s="556" t="s">
        <v>592</v>
      </c>
      <c r="AV72" s="556" t="s">
        <v>592</v>
      </c>
      <c r="AW72" s="555" t="e">
        <f t="shared" si="44"/>
        <v>#VALUE!</v>
      </c>
      <c r="AX72" s="648"/>
      <c r="AZ72" s="372" t="e">
        <f t="shared" si="46"/>
        <v>#N/A</v>
      </c>
      <c r="BA72" s="648"/>
    </row>
    <row r="73" spans="2:53">
      <c r="B73" s="646"/>
      <c r="C73" s="383">
        <v>7</v>
      </c>
      <c r="D73" s="225"/>
      <c r="E73" s="539"/>
      <c r="F73" s="535"/>
      <c r="G73" s="534"/>
      <c r="H73" s="682"/>
      <c r="I73" s="385" t="str">
        <f t="shared" si="29"/>
        <v>-</v>
      </c>
      <c r="J73" s="385" t="str">
        <f t="shared" si="30"/>
        <v>-</v>
      </c>
      <c r="K73" s="199" t="str">
        <f t="shared" si="31"/>
        <v>-</v>
      </c>
      <c r="L73" s="617"/>
      <c r="M73" s="387" t="e">
        <f>RANK(K73, K$87:$K$101)</f>
        <v>#VALUE!</v>
      </c>
      <c r="N73" s="635"/>
      <c r="O73" s="635"/>
      <c r="P73" s="555" t="s">
        <v>592</v>
      </c>
      <c r="Q73" s="556" t="s">
        <v>592</v>
      </c>
      <c r="R73" s="556" t="s">
        <v>592</v>
      </c>
      <c r="S73" s="555" t="e">
        <f t="shared" si="32"/>
        <v>#VALUE!</v>
      </c>
      <c r="T73" s="648"/>
      <c r="U73" s="555" t="s">
        <v>592</v>
      </c>
      <c r="V73" s="556" t="s">
        <v>592</v>
      </c>
      <c r="W73" s="556" t="s">
        <v>592</v>
      </c>
      <c r="X73" s="555" t="e">
        <f t="shared" si="34"/>
        <v>#VALUE!</v>
      </c>
      <c r="Y73" s="648"/>
      <c r="Z73" s="555" t="s">
        <v>592</v>
      </c>
      <c r="AA73" s="556" t="s">
        <v>592</v>
      </c>
      <c r="AB73" s="556" t="s">
        <v>592</v>
      </c>
      <c r="AC73" s="555" t="e">
        <f t="shared" si="36"/>
        <v>#VALUE!</v>
      </c>
      <c r="AD73" s="648"/>
      <c r="AE73" s="555" t="s">
        <v>592</v>
      </c>
      <c r="AF73" s="556" t="s">
        <v>592</v>
      </c>
      <c r="AG73" s="556" t="s">
        <v>592</v>
      </c>
      <c r="AH73" s="555" t="e">
        <f t="shared" si="38"/>
        <v>#VALUE!</v>
      </c>
      <c r="AI73" s="648"/>
      <c r="AJ73" s="555" t="s">
        <v>592</v>
      </c>
      <c r="AK73" s="556" t="s">
        <v>592</v>
      </c>
      <c r="AL73" s="556" t="s">
        <v>592</v>
      </c>
      <c r="AM73" s="555" t="e">
        <f t="shared" si="40"/>
        <v>#VALUE!</v>
      </c>
      <c r="AN73" s="648"/>
      <c r="AO73" s="555" t="s">
        <v>592</v>
      </c>
      <c r="AP73" s="556" t="s">
        <v>592</v>
      </c>
      <c r="AQ73" s="556" t="s">
        <v>592</v>
      </c>
      <c r="AR73" s="555" t="e">
        <f t="shared" si="42"/>
        <v>#VALUE!</v>
      </c>
      <c r="AS73" s="648"/>
      <c r="AT73" s="555" t="s">
        <v>592</v>
      </c>
      <c r="AU73" s="556" t="s">
        <v>592</v>
      </c>
      <c r="AV73" s="556" t="s">
        <v>592</v>
      </c>
      <c r="AW73" s="555" t="e">
        <f t="shared" si="44"/>
        <v>#VALUE!</v>
      </c>
      <c r="AX73" s="648"/>
      <c r="AZ73" s="372" t="e">
        <f t="shared" si="46"/>
        <v>#N/A</v>
      </c>
      <c r="BA73" s="648"/>
    </row>
    <row r="74" spans="2:53">
      <c r="B74" s="646"/>
      <c r="C74" s="383">
        <v>8</v>
      </c>
      <c r="D74" s="225"/>
      <c r="E74" s="539"/>
      <c r="F74" s="535"/>
      <c r="G74" s="534"/>
      <c r="H74" s="682"/>
      <c r="I74" s="385" t="str">
        <f t="shared" si="29"/>
        <v>-</v>
      </c>
      <c r="J74" s="385" t="str">
        <f t="shared" si="30"/>
        <v>-</v>
      </c>
      <c r="K74" s="199" t="str">
        <f t="shared" si="31"/>
        <v>-</v>
      </c>
      <c r="L74" s="617"/>
      <c r="M74" s="387" t="e">
        <f>RANK(K74, K$87:$K$101)</f>
        <v>#VALUE!</v>
      </c>
      <c r="N74" s="635"/>
      <c r="O74" s="635"/>
      <c r="P74" s="555" t="s">
        <v>592</v>
      </c>
      <c r="Q74" s="556" t="s">
        <v>592</v>
      </c>
      <c r="R74" s="556" t="s">
        <v>592</v>
      </c>
      <c r="S74" s="555" t="e">
        <f t="shared" si="32"/>
        <v>#VALUE!</v>
      </c>
      <c r="T74" s="648"/>
      <c r="U74" s="555" t="s">
        <v>592</v>
      </c>
      <c r="V74" s="556" t="s">
        <v>592</v>
      </c>
      <c r="W74" s="556" t="s">
        <v>592</v>
      </c>
      <c r="X74" s="555" t="e">
        <f t="shared" si="34"/>
        <v>#VALUE!</v>
      </c>
      <c r="Y74" s="648"/>
      <c r="Z74" s="555" t="s">
        <v>592</v>
      </c>
      <c r="AA74" s="556" t="s">
        <v>592</v>
      </c>
      <c r="AB74" s="556" t="s">
        <v>592</v>
      </c>
      <c r="AC74" s="555" t="e">
        <f t="shared" si="36"/>
        <v>#VALUE!</v>
      </c>
      <c r="AD74" s="648"/>
      <c r="AE74" s="555" t="s">
        <v>592</v>
      </c>
      <c r="AF74" s="556" t="s">
        <v>592</v>
      </c>
      <c r="AG74" s="556" t="s">
        <v>592</v>
      </c>
      <c r="AH74" s="555" t="e">
        <f t="shared" si="38"/>
        <v>#VALUE!</v>
      </c>
      <c r="AI74" s="648"/>
      <c r="AJ74" s="555" t="s">
        <v>592</v>
      </c>
      <c r="AK74" s="556" t="s">
        <v>592</v>
      </c>
      <c r="AL74" s="556" t="s">
        <v>592</v>
      </c>
      <c r="AM74" s="555" t="e">
        <f t="shared" si="40"/>
        <v>#VALUE!</v>
      </c>
      <c r="AN74" s="648"/>
      <c r="AO74" s="555" t="s">
        <v>592</v>
      </c>
      <c r="AP74" s="556" t="s">
        <v>592</v>
      </c>
      <c r="AQ74" s="556" t="s">
        <v>592</v>
      </c>
      <c r="AR74" s="555" t="e">
        <f t="shared" si="42"/>
        <v>#VALUE!</v>
      </c>
      <c r="AS74" s="648"/>
      <c r="AT74" s="555" t="s">
        <v>592</v>
      </c>
      <c r="AU74" s="556" t="s">
        <v>592</v>
      </c>
      <c r="AV74" s="556" t="s">
        <v>592</v>
      </c>
      <c r="AW74" s="555" t="e">
        <f t="shared" si="44"/>
        <v>#VALUE!</v>
      </c>
      <c r="AX74" s="648"/>
      <c r="AZ74" s="372" t="e">
        <f t="shared" si="46"/>
        <v>#N/A</v>
      </c>
      <c r="BA74" s="648"/>
    </row>
    <row r="75" spans="2:53">
      <c r="B75" s="646"/>
      <c r="C75" s="383">
        <v>9</v>
      </c>
      <c r="D75" s="225"/>
      <c r="E75" s="539"/>
      <c r="F75" s="535"/>
      <c r="G75" s="534"/>
      <c r="H75" s="682"/>
      <c r="I75" s="385" t="str">
        <f t="shared" si="29"/>
        <v>-</v>
      </c>
      <c r="J75" s="385" t="str">
        <f t="shared" si="30"/>
        <v>-</v>
      </c>
      <c r="K75" s="199" t="str">
        <f t="shared" si="31"/>
        <v>-</v>
      </c>
      <c r="L75" s="617"/>
      <c r="M75" s="387" t="e">
        <f>RANK(K75, K$87:$K$101)</f>
        <v>#VALUE!</v>
      </c>
      <c r="N75" s="635"/>
      <c r="O75" s="635"/>
      <c r="P75" s="555" t="s">
        <v>592</v>
      </c>
      <c r="Q75" s="556" t="s">
        <v>592</v>
      </c>
      <c r="R75" s="556" t="s">
        <v>592</v>
      </c>
      <c r="S75" s="555" t="e">
        <f t="shared" si="32"/>
        <v>#VALUE!</v>
      </c>
      <c r="T75" s="648"/>
      <c r="U75" s="555" t="s">
        <v>592</v>
      </c>
      <c r="V75" s="556" t="s">
        <v>592</v>
      </c>
      <c r="W75" s="556" t="s">
        <v>592</v>
      </c>
      <c r="X75" s="555" t="e">
        <f t="shared" si="34"/>
        <v>#VALUE!</v>
      </c>
      <c r="Y75" s="648"/>
      <c r="Z75" s="555" t="s">
        <v>592</v>
      </c>
      <c r="AA75" s="556" t="s">
        <v>592</v>
      </c>
      <c r="AB75" s="556" t="s">
        <v>592</v>
      </c>
      <c r="AC75" s="555" t="e">
        <f t="shared" si="36"/>
        <v>#VALUE!</v>
      </c>
      <c r="AD75" s="648"/>
      <c r="AE75" s="555" t="s">
        <v>592</v>
      </c>
      <c r="AF75" s="556" t="s">
        <v>592</v>
      </c>
      <c r="AG75" s="556" t="s">
        <v>592</v>
      </c>
      <c r="AH75" s="555" t="e">
        <f t="shared" si="38"/>
        <v>#VALUE!</v>
      </c>
      <c r="AI75" s="648"/>
      <c r="AJ75" s="555" t="s">
        <v>592</v>
      </c>
      <c r="AK75" s="556" t="s">
        <v>592</v>
      </c>
      <c r="AL75" s="556" t="s">
        <v>592</v>
      </c>
      <c r="AM75" s="555" t="e">
        <f t="shared" si="40"/>
        <v>#VALUE!</v>
      </c>
      <c r="AN75" s="648"/>
      <c r="AO75" s="555" t="s">
        <v>592</v>
      </c>
      <c r="AP75" s="556" t="s">
        <v>592</v>
      </c>
      <c r="AQ75" s="556" t="s">
        <v>592</v>
      </c>
      <c r="AR75" s="555" t="e">
        <f t="shared" si="42"/>
        <v>#VALUE!</v>
      </c>
      <c r="AS75" s="648"/>
      <c r="AT75" s="555" t="s">
        <v>592</v>
      </c>
      <c r="AU75" s="556" t="s">
        <v>592</v>
      </c>
      <c r="AV75" s="556" t="s">
        <v>592</v>
      </c>
      <c r="AW75" s="555" t="e">
        <f t="shared" si="44"/>
        <v>#VALUE!</v>
      </c>
      <c r="AX75" s="648"/>
      <c r="AZ75" s="372" t="e">
        <f t="shared" si="46"/>
        <v>#N/A</v>
      </c>
      <c r="BA75" s="648"/>
    </row>
    <row r="76" spans="2:53">
      <c r="B76" s="646"/>
      <c r="C76" s="383">
        <v>10</v>
      </c>
      <c r="D76" s="225"/>
      <c r="E76" s="539"/>
      <c r="F76" s="535"/>
      <c r="G76" s="534"/>
      <c r="H76" s="682"/>
      <c r="I76" s="385" t="str">
        <f t="shared" si="29"/>
        <v>-</v>
      </c>
      <c r="J76" s="385" t="str">
        <f t="shared" si="30"/>
        <v>-</v>
      </c>
      <c r="K76" s="199" t="str">
        <f t="shared" si="31"/>
        <v>-</v>
      </c>
      <c r="L76" s="617"/>
      <c r="M76" s="387" t="e">
        <f>RANK(K76, K$87:$K$101)</f>
        <v>#VALUE!</v>
      </c>
      <c r="N76" s="635"/>
      <c r="O76" s="635"/>
      <c r="P76" s="555" t="s">
        <v>592</v>
      </c>
      <c r="Q76" s="556" t="s">
        <v>592</v>
      </c>
      <c r="R76" s="556" t="s">
        <v>592</v>
      </c>
      <c r="S76" s="555" t="e">
        <f t="shared" si="32"/>
        <v>#VALUE!</v>
      </c>
      <c r="T76" s="648"/>
      <c r="U76" s="555" t="s">
        <v>592</v>
      </c>
      <c r="V76" s="556" t="s">
        <v>592</v>
      </c>
      <c r="W76" s="556" t="s">
        <v>592</v>
      </c>
      <c r="X76" s="555" t="e">
        <f t="shared" si="34"/>
        <v>#VALUE!</v>
      </c>
      <c r="Y76" s="648"/>
      <c r="Z76" s="555" t="s">
        <v>592</v>
      </c>
      <c r="AA76" s="556" t="s">
        <v>592</v>
      </c>
      <c r="AB76" s="556" t="s">
        <v>592</v>
      </c>
      <c r="AC76" s="555" t="e">
        <f t="shared" si="36"/>
        <v>#VALUE!</v>
      </c>
      <c r="AD76" s="648"/>
      <c r="AE76" s="555" t="s">
        <v>592</v>
      </c>
      <c r="AF76" s="556" t="s">
        <v>592</v>
      </c>
      <c r="AG76" s="556" t="s">
        <v>592</v>
      </c>
      <c r="AH76" s="555" t="e">
        <f t="shared" si="38"/>
        <v>#VALUE!</v>
      </c>
      <c r="AI76" s="648"/>
      <c r="AJ76" s="555" t="s">
        <v>592</v>
      </c>
      <c r="AK76" s="556" t="s">
        <v>592</v>
      </c>
      <c r="AL76" s="556" t="s">
        <v>592</v>
      </c>
      <c r="AM76" s="555" t="e">
        <f t="shared" si="40"/>
        <v>#VALUE!</v>
      </c>
      <c r="AN76" s="648"/>
      <c r="AO76" s="555" t="s">
        <v>592</v>
      </c>
      <c r="AP76" s="556" t="s">
        <v>592</v>
      </c>
      <c r="AQ76" s="556" t="s">
        <v>592</v>
      </c>
      <c r="AR76" s="555" t="e">
        <f t="shared" si="42"/>
        <v>#VALUE!</v>
      </c>
      <c r="AS76" s="648"/>
      <c r="AT76" s="555" t="s">
        <v>592</v>
      </c>
      <c r="AU76" s="556" t="s">
        <v>592</v>
      </c>
      <c r="AV76" s="556" t="s">
        <v>592</v>
      </c>
      <c r="AW76" s="555" t="e">
        <f t="shared" si="44"/>
        <v>#VALUE!</v>
      </c>
      <c r="AX76" s="648"/>
      <c r="AZ76" s="372" t="e">
        <f t="shared" si="46"/>
        <v>#N/A</v>
      </c>
      <c r="BA76" s="648"/>
    </row>
    <row r="77" spans="2:53">
      <c r="B77" s="646"/>
      <c r="C77" s="383">
        <v>11</v>
      </c>
      <c r="D77" s="225"/>
      <c r="E77" s="539"/>
      <c r="F77" s="535"/>
      <c r="G77" s="534"/>
      <c r="H77" s="682"/>
      <c r="I77" s="385" t="str">
        <f t="shared" si="29"/>
        <v>-</v>
      </c>
      <c r="J77" s="385" t="str">
        <f t="shared" si="30"/>
        <v>-</v>
      </c>
      <c r="K77" s="199" t="str">
        <f t="shared" si="31"/>
        <v>-</v>
      </c>
      <c r="L77" s="617"/>
      <c r="M77" s="387" t="e">
        <f>RANK(K77, K$87:$K$101)</f>
        <v>#VALUE!</v>
      </c>
      <c r="N77" s="635"/>
      <c r="O77" s="635"/>
      <c r="P77" s="555" t="s">
        <v>592</v>
      </c>
      <c r="Q77" s="556" t="s">
        <v>592</v>
      </c>
      <c r="R77" s="556" t="s">
        <v>592</v>
      </c>
      <c r="S77" s="555" t="e">
        <f t="shared" si="32"/>
        <v>#VALUE!</v>
      </c>
      <c r="T77" s="648"/>
      <c r="U77" s="555" t="s">
        <v>592</v>
      </c>
      <c r="V77" s="556" t="s">
        <v>592</v>
      </c>
      <c r="W77" s="556" t="s">
        <v>592</v>
      </c>
      <c r="X77" s="555" t="e">
        <f t="shared" si="34"/>
        <v>#VALUE!</v>
      </c>
      <c r="Y77" s="648"/>
      <c r="Z77" s="555" t="s">
        <v>592</v>
      </c>
      <c r="AA77" s="556" t="s">
        <v>592</v>
      </c>
      <c r="AB77" s="556" t="s">
        <v>592</v>
      </c>
      <c r="AC77" s="555" t="e">
        <f t="shared" si="36"/>
        <v>#VALUE!</v>
      </c>
      <c r="AD77" s="648"/>
      <c r="AE77" s="555" t="s">
        <v>592</v>
      </c>
      <c r="AF77" s="556" t="s">
        <v>592</v>
      </c>
      <c r="AG77" s="556" t="s">
        <v>592</v>
      </c>
      <c r="AH77" s="555" t="e">
        <f t="shared" si="38"/>
        <v>#VALUE!</v>
      </c>
      <c r="AI77" s="648"/>
      <c r="AJ77" s="555" t="s">
        <v>592</v>
      </c>
      <c r="AK77" s="556" t="s">
        <v>592</v>
      </c>
      <c r="AL77" s="556" t="s">
        <v>592</v>
      </c>
      <c r="AM77" s="555" t="e">
        <f t="shared" si="40"/>
        <v>#VALUE!</v>
      </c>
      <c r="AN77" s="648"/>
      <c r="AO77" s="555" t="s">
        <v>592</v>
      </c>
      <c r="AP77" s="556" t="s">
        <v>592</v>
      </c>
      <c r="AQ77" s="556" t="s">
        <v>592</v>
      </c>
      <c r="AR77" s="555" t="e">
        <f t="shared" si="42"/>
        <v>#VALUE!</v>
      </c>
      <c r="AS77" s="648"/>
      <c r="AT77" s="555" t="s">
        <v>592</v>
      </c>
      <c r="AU77" s="556" t="s">
        <v>592</v>
      </c>
      <c r="AV77" s="556" t="s">
        <v>592</v>
      </c>
      <c r="AW77" s="555" t="e">
        <f t="shared" si="44"/>
        <v>#VALUE!</v>
      </c>
      <c r="AX77" s="648"/>
      <c r="AZ77" s="372" t="e">
        <f t="shared" si="46"/>
        <v>#N/A</v>
      </c>
      <c r="BA77" s="648"/>
    </row>
    <row r="78" spans="2:53">
      <c r="B78" s="646"/>
      <c r="C78" s="383">
        <v>12</v>
      </c>
      <c r="D78" s="225"/>
      <c r="E78" s="539"/>
      <c r="F78" s="535"/>
      <c r="G78" s="534"/>
      <c r="H78" s="682"/>
      <c r="I78" s="385" t="str">
        <f t="shared" si="29"/>
        <v>-</v>
      </c>
      <c r="J78" s="385" t="str">
        <f t="shared" si="30"/>
        <v>-</v>
      </c>
      <c r="K78" s="199" t="str">
        <f t="shared" si="31"/>
        <v>-</v>
      </c>
      <c r="L78" s="617"/>
      <c r="M78" s="387" t="e">
        <f>RANK(K78, K$87:$K$101)</f>
        <v>#VALUE!</v>
      </c>
      <c r="N78" s="635"/>
      <c r="O78" s="635"/>
      <c r="P78" s="555" t="s">
        <v>592</v>
      </c>
      <c r="Q78" s="556" t="s">
        <v>592</v>
      </c>
      <c r="R78" s="556" t="s">
        <v>592</v>
      </c>
      <c r="S78" s="555" t="e">
        <f t="shared" si="32"/>
        <v>#VALUE!</v>
      </c>
      <c r="T78" s="648"/>
      <c r="U78" s="555" t="s">
        <v>592</v>
      </c>
      <c r="V78" s="556" t="s">
        <v>592</v>
      </c>
      <c r="W78" s="556" t="s">
        <v>592</v>
      </c>
      <c r="X78" s="555" t="e">
        <f t="shared" si="34"/>
        <v>#VALUE!</v>
      </c>
      <c r="Y78" s="648"/>
      <c r="Z78" s="555" t="s">
        <v>592</v>
      </c>
      <c r="AA78" s="556" t="s">
        <v>592</v>
      </c>
      <c r="AB78" s="556" t="s">
        <v>592</v>
      </c>
      <c r="AC78" s="555" t="e">
        <f t="shared" si="36"/>
        <v>#VALUE!</v>
      </c>
      <c r="AD78" s="648"/>
      <c r="AE78" s="555" t="s">
        <v>592</v>
      </c>
      <c r="AF78" s="556" t="s">
        <v>592</v>
      </c>
      <c r="AG78" s="556" t="s">
        <v>592</v>
      </c>
      <c r="AH78" s="555" t="e">
        <f t="shared" si="38"/>
        <v>#VALUE!</v>
      </c>
      <c r="AI78" s="648"/>
      <c r="AJ78" s="555" t="s">
        <v>592</v>
      </c>
      <c r="AK78" s="556" t="s">
        <v>592</v>
      </c>
      <c r="AL78" s="556" t="s">
        <v>592</v>
      </c>
      <c r="AM78" s="555" t="e">
        <f t="shared" si="40"/>
        <v>#VALUE!</v>
      </c>
      <c r="AN78" s="648"/>
      <c r="AO78" s="555" t="s">
        <v>592</v>
      </c>
      <c r="AP78" s="556" t="s">
        <v>592</v>
      </c>
      <c r="AQ78" s="556" t="s">
        <v>592</v>
      </c>
      <c r="AR78" s="555" t="e">
        <f t="shared" si="42"/>
        <v>#VALUE!</v>
      </c>
      <c r="AS78" s="648"/>
      <c r="AT78" s="555" t="s">
        <v>592</v>
      </c>
      <c r="AU78" s="556" t="s">
        <v>592</v>
      </c>
      <c r="AV78" s="556" t="s">
        <v>592</v>
      </c>
      <c r="AW78" s="555" t="e">
        <f t="shared" si="44"/>
        <v>#VALUE!</v>
      </c>
      <c r="AX78" s="648"/>
      <c r="AZ78" s="372" t="e">
        <f t="shared" si="46"/>
        <v>#N/A</v>
      </c>
      <c r="BA78" s="648"/>
    </row>
    <row r="79" spans="2:53">
      <c r="B79" s="646"/>
      <c r="C79" s="383">
        <v>13</v>
      </c>
      <c r="D79" s="225"/>
      <c r="E79" s="539"/>
      <c r="F79" s="535"/>
      <c r="G79" s="534"/>
      <c r="H79" s="682"/>
      <c r="I79" s="385" t="str">
        <f t="shared" si="29"/>
        <v>-</v>
      </c>
      <c r="J79" s="385" t="str">
        <f t="shared" si="30"/>
        <v>-</v>
      </c>
      <c r="K79" s="199" t="str">
        <f t="shared" si="31"/>
        <v>-</v>
      </c>
      <c r="L79" s="617"/>
      <c r="M79" s="387" t="e">
        <f>RANK(K79, K$87:$K$101)</f>
        <v>#VALUE!</v>
      </c>
      <c r="N79" s="635"/>
      <c r="O79" s="635"/>
      <c r="P79" s="555" t="s">
        <v>592</v>
      </c>
      <c r="Q79" s="556" t="s">
        <v>592</v>
      </c>
      <c r="R79" s="556" t="s">
        <v>592</v>
      </c>
      <c r="S79" s="555" t="e">
        <f t="shared" si="32"/>
        <v>#VALUE!</v>
      </c>
      <c r="T79" s="648"/>
      <c r="U79" s="555" t="s">
        <v>592</v>
      </c>
      <c r="V79" s="556" t="s">
        <v>592</v>
      </c>
      <c r="W79" s="556" t="s">
        <v>592</v>
      </c>
      <c r="X79" s="555" t="e">
        <f t="shared" si="34"/>
        <v>#VALUE!</v>
      </c>
      <c r="Y79" s="648"/>
      <c r="Z79" s="555" t="s">
        <v>592</v>
      </c>
      <c r="AA79" s="556" t="s">
        <v>592</v>
      </c>
      <c r="AB79" s="556" t="s">
        <v>592</v>
      </c>
      <c r="AC79" s="555" t="e">
        <f t="shared" si="36"/>
        <v>#VALUE!</v>
      </c>
      <c r="AD79" s="648"/>
      <c r="AE79" s="555" t="s">
        <v>592</v>
      </c>
      <c r="AF79" s="556" t="s">
        <v>592</v>
      </c>
      <c r="AG79" s="556" t="s">
        <v>592</v>
      </c>
      <c r="AH79" s="555" t="e">
        <f t="shared" si="38"/>
        <v>#VALUE!</v>
      </c>
      <c r="AI79" s="648"/>
      <c r="AJ79" s="555" t="s">
        <v>592</v>
      </c>
      <c r="AK79" s="556" t="s">
        <v>592</v>
      </c>
      <c r="AL79" s="556" t="s">
        <v>592</v>
      </c>
      <c r="AM79" s="555" t="e">
        <f t="shared" si="40"/>
        <v>#VALUE!</v>
      </c>
      <c r="AN79" s="648"/>
      <c r="AO79" s="555" t="s">
        <v>592</v>
      </c>
      <c r="AP79" s="556" t="s">
        <v>592</v>
      </c>
      <c r="AQ79" s="556" t="s">
        <v>592</v>
      </c>
      <c r="AR79" s="555" t="e">
        <f t="shared" si="42"/>
        <v>#VALUE!</v>
      </c>
      <c r="AS79" s="648"/>
      <c r="AT79" s="555" t="s">
        <v>592</v>
      </c>
      <c r="AU79" s="556" t="s">
        <v>592</v>
      </c>
      <c r="AV79" s="556" t="s">
        <v>592</v>
      </c>
      <c r="AW79" s="555" t="e">
        <f t="shared" si="44"/>
        <v>#VALUE!</v>
      </c>
      <c r="AX79" s="648"/>
      <c r="AZ79" s="372" t="e">
        <f t="shared" si="46"/>
        <v>#N/A</v>
      </c>
      <c r="BA79" s="648"/>
    </row>
    <row r="80" spans="2:53">
      <c r="B80" s="646"/>
      <c r="C80" s="383">
        <v>14</v>
      </c>
      <c r="D80" s="225"/>
      <c r="E80" s="539"/>
      <c r="F80" s="535"/>
      <c r="G80" s="534"/>
      <c r="H80" s="682"/>
      <c r="I80" s="385" t="str">
        <f t="shared" si="29"/>
        <v>-</v>
      </c>
      <c r="J80" s="385" t="str">
        <f t="shared" si="30"/>
        <v>-</v>
      </c>
      <c r="K80" s="199" t="str">
        <f t="shared" si="31"/>
        <v>-</v>
      </c>
      <c r="L80" s="617"/>
      <c r="M80" s="387" t="e">
        <f>RANK(K80, K$87:$K$101)</f>
        <v>#VALUE!</v>
      </c>
      <c r="N80" s="635"/>
      <c r="O80" s="635"/>
      <c r="P80" s="555" t="s">
        <v>592</v>
      </c>
      <c r="Q80" s="556" t="s">
        <v>592</v>
      </c>
      <c r="R80" s="556" t="s">
        <v>592</v>
      </c>
      <c r="S80" s="555" t="e">
        <f t="shared" si="32"/>
        <v>#VALUE!</v>
      </c>
      <c r="T80" s="648"/>
      <c r="U80" s="555" t="s">
        <v>592</v>
      </c>
      <c r="V80" s="556" t="s">
        <v>592</v>
      </c>
      <c r="W80" s="556" t="s">
        <v>592</v>
      </c>
      <c r="X80" s="555" t="e">
        <f t="shared" si="34"/>
        <v>#VALUE!</v>
      </c>
      <c r="Y80" s="648"/>
      <c r="Z80" s="555" t="s">
        <v>592</v>
      </c>
      <c r="AA80" s="556" t="s">
        <v>592</v>
      </c>
      <c r="AB80" s="556" t="s">
        <v>592</v>
      </c>
      <c r="AC80" s="555" t="e">
        <f t="shared" si="36"/>
        <v>#VALUE!</v>
      </c>
      <c r="AD80" s="648"/>
      <c r="AE80" s="555" t="s">
        <v>592</v>
      </c>
      <c r="AF80" s="556" t="s">
        <v>592</v>
      </c>
      <c r="AG80" s="556" t="s">
        <v>592</v>
      </c>
      <c r="AH80" s="555" t="e">
        <f t="shared" si="38"/>
        <v>#VALUE!</v>
      </c>
      <c r="AI80" s="648"/>
      <c r="AJ80" s="555" t="s">
        <v>592</v>
      </c>
      <c r="AK80" s="556" t="s">
        <v>592</v>
      </c>
      <c r="AL80" s="556" t="s">
        <v>592</v>
      </c>
      <c r="AM80" s="555" t="e">
        <f t="shared" si="40"/>
        <v>#VALUE!</v>
      </c>
      <c r="AN80" s="648"/>
      <c r="AO80" s="555" t="s">
        <v>592</v>
      </c>
      <c r="AP80" s="556" t="s">
        <v>592</v>
      </c>
      <c r="AQ80" s="556" t="s">
        <v>592</v>
      </c>
      <c r="AR80" s="555" t="e">
        <f t="shared" si="42"/>
        <v>#VALUE!</v>
      </c>
      <c r="AS80" s="648"/>
      <c r="AT80" s="555" t="s">
        <v>592</v>
      </c>
      <c r="AU80" s="556" t="s">
        <v>592</v>
      </c>
      <c r="AV80" s="556" t="s">
        <v>592</v>
      </c>
      <c r="AW80" s="555" t="e">
        <f t="shared" si="44"/>
        <v>#VALUE!</v>
      </c>
      <c r="AX80" s="648"/>
      <c r="AZ80" s="372" t="e">
        <f t="shared" si="46"/>
        <v>#N/A</v>
      </c>
      <c r="BA80" s="648"/>
    </row>
    <row r="81" spans="2:53">
      <c r="B81" s="646"/>
      <c r="C81" s="383">
        <v>15</v>
      </c>
      <c r="D81" s="225"/>
      <c r="E81" s="539"/>
      <c r="F81" s="535"/>
      <c r="G81" s="534"/>
      <c r="H81" s="683"/>
      <c r="I81" s="433" t="str">
        <f t="shared" ref="I81" si="48">IFERROR(AVERAGE(P81,U81,Z81,AE81,AJ81,AO81,AT81),"-")</f>
        <v>-</v>
      </c>
      <c r="J81" s="433" t="str">
        <f t="shared" ref="J81" si="49">IFERROR(AVERAGE(Q81,V81,AA81,AF81,AK81,AP81,AU81),"-")</f>
        <v>-</v>
      </c>
      <c r="K81" s="199" t="str">
        <f t="shared" ref="K81" si="50">IFERROR(AVERAGE(R81,W81,AB81,AG81,AL81,AQ81,AV81),"-")</f>
        <v>-</v>
      </c>
      <c r="L81" s="618"/>
      <c r="M81" s="385" t="e">
        <f>RANK(K81, K$87:$K$101)</f>
        <v>#VALUE!</v>
      </c>
      <c r="N81" s="635"/>
      <c r="O81" s="635"/>
      <c r="P81" s="555" t="s">
        <v>592</v>
      </c>
      <c r="Q81" s="556" t="s">
        <v>592</v>
      </c>
      <c r="R81" s="556" t="s">
        <v>592</v>
      </c>
      <c r="S81" s="555" t="e">
        <f t="shared" si="32"/>
        <v>#VALUE!</v>
      </c>
      <c r="T81" s="649"/>
      <c r="U81" s="555" t="s">
        <v>592</v>
      </c>
      <c r="V81" s="556" t="s">
        <v>592</v>
      </c>
      <c r="W81" s="556" t="s">
        <v>592</v>
      </c>
      <c r="X81" s="555" t="e">
        <f t="shared" si="34"/>
        <v>#VALUE!</v>
      </c>
      <c r="Y81" s="649"/>
      <c r="Z81" s="555" t="s">
        <v>592</v>
      </c>
      <c r="AA81" s="556" t="s">
        <v>592</v>
      </c>
      <c r="AB81" s="556" t="s">
        <v>592</v>
      </c>
      <c r="AC81" s="555" t="e">
        <f t="shared" si="36"/>
        <v>#VALUE!</v>
      </c>
      <c r="AD81" s="649"/>
      <c r="AE81" s="555" t="s">
        <v>592</v>
      </c>
      <c r="AF81" s="556" t="s">
        <v>592</v>
      </c>
      <c r="AG81" s="556" t="s">
        <v>592</v>
      </c>
      <c r="AH81" s="555" t="e">
        <f t="shared" si="38"/>
        <v>#VALUE!</v>
      </c>
      <c r="AI81" s="649"/>
      <c r="AJ81" s="555" t="s">
        <v>592</v>
      </c>
      <c r="AK81" s="556" t="s">
        <v>592</v>
      </c>
      <c r="AL81" s="556" t="s">
        <v>592</v>
      </c>
      <c r="AM81" s="555" t="e">
        <f t="shared" si="40"/>
        <v>#VALUE!</v>
      </c>
      <c r="AN81" s="649"/>
      <c r="AO81" s="555" t="s">
        <v>592</v>
      </c>
      <c r="AP81" s="556" t="s">
        <v>592</v>
      </c>
      <c r="AQ81" s="556" t="s">
        <v>592</v>
      </c>
      <c r="AR81" s="555" t="e">
        <f t="shared" si="42"/>
        <v>#VALUE!</v>
      </c>
      <c r="AS81" s="649"/>
      <c r="AT81" s="555" t="s">
        <v>592</v>
      </c>
      <c r="AU81" s="556" t="s">
        <v>592</v>
      </c>
      <c r="AV81" s="556" t="s">
        <v>592</v>
      </c>
      <c r="AW81" s="555" t="e">
        <f t="shared" si="44"/>
        <v>#VALUE!</v>
      </c>
      <c r="AX81" s="649"/>
      <c r="AZ81" s="372" t="e">
        <f t="shared" si="46"/>
        <v>#N/A</v>
      </c>
      <c r="BA81" s="649"/>
    </row>
    <row r="82" spans="2:53" ht="15.75">
      <c r="B82" s="650" t="s">
        <v>162</v>
      </c>
      <c r="C82" s="651"/>
      <c r="D82" s="651"/>
      <c r="E82" s="651"/>
      <c r="F82" s="651"/>
      <c r="G82" s="651"/>
      <c r="H82" s="652"/>
      <c r="I82" s="207"/>
      <c r="J82" s="207"/>
      <c r="K82" s="207"/>
      <c r="L82" s="207"/>
      <c r="M82" s="206"/>
      <c r="N82" s="639" t="s">
        <v>156</v>
      </c>
      <c r="O82" s="639" t="s">
        <v>105</v>
      </c>
      <c r="P82" s="645">
        <f>P62+7</f>
        <v>46231</v>
      </c>
      <c r="Q82" s="646"/>
      <c r="R82" s="646"/>
      <c r="S82" s="646"/>
      <c r="T82" s="646"/>
      <c r="U82" s="642">
        <f>P82+1</f>
        <v>46232</v>
      </c>
      <c r="V82" s="643"/>
      <c r="W82" s="643"/>
      <c r="X82" s="643"/>
      <c r="Y82" s="644"/>
      <c r="Z82" s="642">
        <f>U82+1</f>
        <v>46233</v>
      </c>
      <c r="AA82" s="643"/>
      <c r="AB82" s="643"/>
      <c r="AC82" s="643"/>
      <c r="AD82" s="644"/>
      <c r="AE82" s="642">
        <f>Z82+1</f>
        <v>46234</v>
      </c>
      <c r="AF82" s="643"/>
      <c r="AG82" s="643"/>
      <c r="AH82" s="643"/>
      <c r="AI82" s="644"/>
      <c r="AJ82" s="642">
        <f>AE82+1</f>
        <v>46235</v>
      </c>
      <c r="AK82" s="643"/>
      <c r="AL82" s="643"/>
      <c r="AM82" s="643"/>
      <c r="AN82" s="644"/>
      <c r="AO82" s="642">
        <f>AJ82+1</f>
        <v>46236</v>
      </c>
      <c r="AP82" s="643"/>
      <c r="AQ82" s="643"/>
      <c r="AR82" s="643"/>
      <c r="AS82" s="644"/>
      <c r="AT82" s="642">
        <f>AO82+1</f>
        <v>46237</v>
      </c>
      <c r="AU82" s="643"/>
      <c r="AV82" s="643"/>
      <c r="AW82" s="643"/>
      <c r="AX82" s="644"/>
    </row>
    <row r="83" spans="2:53" ht="15.75">
      <c r="B83" s="653"/>
      <c r="C83" s="653"/>
      <c r="D83" s="653"/>
      <c r="E83" s="653"/>
      <c r="F83" s="653"/>
      <c r="G83" s="653"/>
      <c r="H83" s="653"/>
      <c r="I83" s="204"/>
      <c r="J83" s="204"/>
      <c r="K83" s="204"/>
      <c r="L83" s="204"/>
      <c r="M83" s="205"/>
      <c r="N83" s="641"/>
      <c r="O83" s="641"/>
      <c r="P83" s="645" t="s">
        <v>317</v>
      </c>
      <c r="Q83" s="646"/>
      <c r="R83" s="646"/>
      <c r="S83" s="646"/>
      <c r="T83" s="646"/>
      <c r="U83" s="645" t="s">
        <v>318</v>
      </c>
      <c r="V83" s="646"/>
      <c r="W83" s="646"/>
      <c r="X83" s="646"/>
      <c r="Y83" s="646"/>
      <c r="Z83" s="645" t="s">
        <v>319</v>
      </c>
      <c r="AA83" s="646"/>
      <c r="AB83" s="646"/>
      <c r="AC83" s="646"/>
      <c r="AD83" s="646"/>
      <c r="AE83" s="645" t="s">
        <v>320</v>
      </c>
      <c r="AF83" s="646"/>
      <c r="AG83" s="646"/>
      <c r="AH83" s="646"/>
      <c r="AI83" s="646"/>
      <c r="AJ83" s="645" t="s">
        <v>321</v>
      </c>
      <c r="AK83" s="646"/>
      <c r="AL83" s="646"/>
      <c r="AM83" s="646"/>
      <c r="AN83" s="646"/>
      <c r="AO83" s="645" t="s">
        <v>322</v>
      </c>
      <c r="AP83" s="646"/>
      <c r="AQ83" s="646"/>
      <c r="AR83" s="646"/>
      <c r="AS83" s="646"/>
      <c r="AT83" s="645" t="s">
        <v>323</v>
      </c>
      <c r="AU83" s="646"/>
      <c r="AV83" s="646"/>
      <c r="AW83" s="646"/>
      <c r="AX83" s="646"/>
    </row>
    <row r="84" spans="2:53">
      <c r="B84" s="635" t="s">
        <v>392</v>
      </c>
      <c r="C84" s="635" t="s">
        <v>382</v>
      </c>
      <c r="D84" s="635"/>
      <c r="E84" s="635" t="s">
        <v>373</v>
      </c>
      <c r="F84" s="635"/>
      <c r="G84" s="635"/>
      <c r="H84" s="636" t="s">
        <v>369</v>
      </c>
      <c r="I84" s="619" t="s">
        <v>374</v>
      </c>
      <c r="J84" s="619"/>
      <c r="K84" s="619"/>
      <c r="L84" s="620" t="s">
        <v>369</v>
      </c>
      <c r="M84" s="626" t="s">
        <v>370</v>
      </c>
      <c r="N84" s="635"/>
      <c r="O84" s="635" t="s">
        <v>375</v>
      </c>
      <c r="P84" s="632" t="s">
        <v>371</v>
      </c>
      <c r="Q84" s="633"/>
      <c r="R84" s="633"/>
      <c r="S84" s="634"/>
      <c r="T84" s="635" t="s">
        <v>369</v>
      </c>
      <c r="U84" s="632" t="s">
        <v>371</v>
      </c>
      <c r="V84" s="633"/>
      <c r="W84" s="633"/>
      <c r="X84" s="634"/>
      <c r="Y84" s="635" t="s">
        <v>369</v>
      </c>
      <c r="Z84" s="632" t="s">
        <v>371</v>
      </c>
      <c r="AA84" s="633"/>
      <c r="AB84" s="633"/>
      <c r="AC84" s="634"/>
      <c r="AD84" s="635" t="s">
        <v>369</v>
      </c>
      <c r="AE84" s="632" t="s">
        <v>371</v>
      </c>
      <c r="AF84" s="633"/>
      <c r="AG84" s="633"/>
      <c r="AH84" s="634"/>
      <c r="AI84" s="635" t="s">
        <v>369</v>
      </c>
      <c r="AJ84" s="632" t="s">
        <v>371</v>
      </c>
      <c r="AK84" s="633"/>
      <c r="AL84" s="633"/>
      <c r="AM84" s="634"/>
      <c r="AN84" s="635" t="s">
        <v>369</v>
      </c>
      <c r="AO84" s="632" t="s">
        <v>371</v>
      </c>
      <c r="AP84" s="633"/>
      <c r="AQ84" s="633"/>
      <c r="AR84" s="634"/>
      <c r="AS84" s="635" t="s">
        <v>369</v>
      </c>
      <c r="AT84" s="632" t="s">
        <v>371</v>
      </c>
      <c r="AU84" s="633"/>
      <c r="AV84" s="633"/>
      <c r="AW84" s="634"/>
      <c r="AX84" s="635" t="s">
        <v>369</v>
      </c>
      <c r="BA84" s="635" t="s">
        <v>369</v>
      </c>
    </row>
    <row r="85" spans="2:53">
      <c r="B85" s="635"/>
      <c r="C85" s="635"/>
      <c r="D85" s="635"/>
      <c r="E85" s="635" t="s">
        <v>376</v>
      </c>
      <c r="F85" s="635"/>
      <c r="G85" s="635"/>
      <c r="H85" s="637"/>
      <c r="I85" s="619" t="s">
        <v>376</v>
      </c>
      <c r="J85" s="619"/>
      <c r="K85" s="619"/>
      <c r="L85" s="621"/>
      <c r="M85" s="627"/>
      <c r="N85" s="635"/>
      <c r="O85" s="635"/>
      <c r="P85" s="632" t="s">
        <v>377</v>
      </c>
      <c r="Q85" s="633"/>
      <c r="R85" s="633"/>
      <c r="S85" s="634"/>
      <c r="T85" s="635"/>
      <c r="U85" s="632" t="s">
        <v>377</v>
      </c>
      <c r="V85" s="633"/>
      <c r="W85" s="633"/>
      <c r="X85" s="634"/>
      <c r="Y85" s="635"/>
      <c r="Z85" s="632" t="s">
        <v>377</v>
      </c>
      <c r="AA85" s="633"/>
      <c r="AB85" s="633"/>
      <c r="AC85" s="634"/>
      <c r="AD85" s="635"/>
      <c r="AE85" s="632" t="s">
        <v>377</v>
      </c>
      <c r="AF85" s="633"/>
      <c r="AG85" s="633"/>
      <c r="AH85" s="634"/>
      <c r="AI85" s="635"/>
      <c r="AJ85" s="632" t="s">
        <v>377</v>
      </c>
      <c r="AK85" s="633"/>
      <c r="AL85" s="633"/>
      <c r="AM85" s="634"/>
      <c r="AN85" s="635"/>
      <c r="AO85" s="632" t="s">
        <v>377</v>
      </c>
      <c r="AP85" s="633"/>
      <c r="AQ85" s="633"/>
      <c r="AR85" s="634"/>
      <c r="AS85" s="635"/>
      <c r="AT85" s="632" t="s">
        <v>377</v>
      </c>
      <c r="AU85" s="633"/>
      <c r="AV85" s="633"/>
      <c r="AW85" s="634"/>
      <c r="AX85" s="635"/>
      <c r="BA85" s="635"/>
    </row>
    <row r="86" spans="2:53">
      <c r="B86" s="635"/>
      <c r="C86" s="635"/>
      <c r="D86" s="635"/>
      <c r="E86" s="382" t="s">
        <v>378</v>
      </c>
      <c r="F86" s="382" t="s">
        <v>379</v>
      </c>
      <c r="G86" s="382" t="s">
        <v>380</v>
      </c>
      <c r="H86" s="638"/>
      <c r="I86" s="381" t="s">
        <v>378</v>
      </c>
      <c r="J86" s="381" t="s">
        <v>379</v>
      </c>
      <c r="K86" s="381" t="s">
        <v>380</v>
      </c>
      <c r="L86" s="622"/>
      <c r="M86" s="628"/>
      <c r="N86" s="635"/>
      <c r="O86" s="635"/>
      <c r="P86" s="382" t="s">
        <v>378</v>
      </c>
      <c r="Q86" s="382" t="s">
        <v>379</v>
      </c>
      <c r="R86" s="382" t="s">
        <v>380</v>
      </c>
      <c r="S86" s="382" t="s">
        <v>370</v>
      </c>
      <c r="T86" s="635"/>
      <c r="U86" s="382" t="s">
        <v>378</v>
      </c>
      <c r="V86" s="382" t="s">
        <v>379</v>
      </c>
      <c r="W86" s="382" t="s">
        <v>380</v>
      </c>
      <c r="X86" s="382" t="s">
        <v>370</v>
      </c>
      <c r="Y86" s="635"/>
      <c r="Z86" s="382" t="s">
        <v>378</v>
      </c>
      <c r="AA86" s="382" t="s">
        <v>379</v>
      </c>
      <c r="AB86" s="382" t="s">
        <v>380</v>
      </c>
      <c r="AC86" s="382" t="s">
        <v>370</v>
      </c>
      <c r="AD86" s="635"/>
      <c r="AE86" s="382" t="s">
        <v>378</v>
      </c>
      <c r="AF86" s="382" t="s">
        <v>379</v>
      </c>
      <c r="AG86" s="382" t="s">
        <v>380</v>
      </c>
      <c r="AH86" s="382" t="s">
        <v>370</v>
      </c>
      <c r="AI86" s="635"/>
      <c r="AJ86" s="382" t="s">
        <v>378</v>
      </c>
      <c r="AK86" s="382" t="s">
        <v>379</v>
      </c>
      <c r="AL86" s="382" t="s">
        <v>380</v>
      </c>
      <c r="AM86" s="382" t="s">
        <v>370</v>
      </c>
      <c r="AN86" s="635"/>
      <c r="AO86" s="382" t="s">
        <v>378</v>
      </c>
      <c r="AP86" s="382" t="s">
        <v>379</v>
      </c>
      <c r="AQ86" s="382" t="s">
        <v>380</v>
      </c>
      <c r="AR86" s="382" t="s">
        <v>370</v>
      </c>
      <c r="AS86" s="635"/>
      <c r="AT86" s="382" t="s">
        <v>378</v>
      </c>
      <c r="AU86" s="382" t="s">
        <v>379</v>
      </c>
      <c r="AV86" s="382" t="s">
        <v>380</v>
      </c>
      <c r="AW86" s="382" t="s">
        <v>370</v>
      </c>
      <c r="AX86" s="635"/>
      <c r="AZ86" s="371" t="s">
        <v>370</v>
      </c>
      <c r="BA86" s="635"/>
    </row>
    <row r="87" spans="2:53">
      <c r="B87" s="635" t="s">
        <v>407</v>
      </c>
      <c r="C87" s="383">
        <v>1</v>
      </c>
      <c r="D87" s="225"/>
      <c r="E87" s="539"/>
      <c r="F87" s="535"/>
      <c r="G87" s="534"/>
      <c r="H87" s="681" t="e">
        <f>AVERAGE(G87:G101)</f>
        <v>#DIV/0!</v>
      </c>
      <c r="I87" s="385" t="str">
        <f t="shared" ref="I87:I100" si="51">IFERROR(AVERAGE(P87,U87,Z87,AE87,AJ87,AO87,AT87),"-")</f>
        <v>-</v>
      </c>
      <c r="J87" s="385" t="str">
        <f t="shared" ref="J87:J100" si="52">IFERROR(AVERAGE(Q87,V87,AA87,AF87,AK87,AP87,AU87),"-")</f>
        <v>-</v>
      </c>
      <c r="K87" s="199" t="str">
        <f t="shared" ref="K87:K100" si="53">IFERROR(AVERAGE(R87,W87,AB87,AG87,AL87,AQ87,AV87),"-")</f>
        <v>-</v>
      </c>
      <c r="L87" s="616" t="str">
        <f>IFERROR(AVERAGE(K87:K101),"-")</f>
        <v>-</v>
      </c>
      <c r="M87" s="387" t="e">
        <f>RANK(K87, K$87:$K$101)</f>
        <v>#VALUE!</v>
      </c>
      <c r="N87" s="635"/>
      <c r="O87" s="635"/>
      <c r="P87" s="484"/>
      <c r="Q87" s="487"/>
      <c r="R87" s="487"/>
      <c r="S87" s="484"/>
      <c r="T87" s="659"/>
      <c r="U87" s="484"/>
      <c r="V87" s="487"/>
      <c r="W87" s="487"/>
      <c r="X87" s="484"/>
      <c r="Y87" s="659"/>
      <c r="Z87" s="484"/>
      <c r="AA87" s="487"/>
      <c r="AB87" s="487"/>
      <c r="AC87" s="484"/>
      <c r="AD87" s="659"/>
      <c r="AE87" s="484"/>
      <c r="AF87" s="487"/>
      <c r="AG87" s="487"/>
      <c r="AH87" s="484"/>
      <c r="AI87" s="659"/>
      <c r="AJ87" s="484"/>
      <c r="AK87" s="487"/>
      <c r="AL87" s="487"/>
      <c r="AM87" s="484"/>
      <c r="AN87" s="659"/>
      <c r="AO87" s="484"/>
      <c r="AP87" s="487"/>
      <c r="AQ87" s="487"/>
      <c r="AR87" s="484"/>
      <c r="AS87" s="659"/>
      <c r="AT87" s="484"/>
      <c r="AU87" s="487"/>
      <c r="AV87" s="487"/>
      <c r="AW87" s="484"/>
      <c r="AX87" s="659"/>
      <c r="AZ87" s="372" t="e">
        <f t="shared" ref="AZ87:AZ101" si="54">RANK(AY87, AY$87:AY$101)</f>
        <v>#N/A</v>
      </c>
      <c r="BA87" s="659" t="e">
        <f t="shared" ref="BA87" si="55">AVERAGE(AY87:AY101)</f>
        <v>#DIV/0!</v>
      </c>
    </row>
    <row r="88" spans="2:53">
      <c r="B88" s="646"/>
      <c r="C88" s="383">
        <v>2</v>
      </c>
      <c r="D88" s="225"/>
      <c r="E88" s="539"/>
      <c r="F88" s="535"/>
      <c r="G88" s="534"/>
      <c r="H88" s="682"/>
      <c r="I88" s="385" t="str">
        <f t="shared" si="51"/>
        <v>-</v>
      </c>
      <c r="J88" s="385" t="str">
        <f t="shared" si="52"/>
        <v>-</v>
      </c>
      <c r="K88" s="199" t="str">
        <f t="shared" si="53"/>
        <v>-</v>
      </c>
      <c r="L88" s="617"/>
      <c r="M88" s="387" t="e">
        <f>RANK(K88, K$87:$K$101)</f>
        <v>#VALUE!</v>
      </c>
      <c r="N88" s="635"/>
      <c r="O88" s="635"/>
      <c r="P88" s="484"/>
      <c r="Q88" s="487"/>
      <c r="R88" s="487"/>
      <c r="S88" s="484"/>
      <c r="T88" s="659"/>
      <c r="U88" s="484"/>
      <c r="V88" s="487"/>
      <c r="W88" s="487"/>
      <c r="X88" s="484"/>
      <c r="Y88" s="659"/>
      <c r="Z88" s="484"/>
      <c r="AA88" s="487"/>
      <c r="AB88" s="487"/>
      <c r="AC88" s="484"/>
      <c r="AD88" s="659"/>
      <c r="AE88" s="484"/>
      <c r="AF88" s="487"/>
      <c r="AG88" s="487"/>
      <c r="AH88" s="484"/>
      <c r="AI88" s="659"/>
      <c r="AJ88" s="484"/>
      <c r="AK88" s="487"/>
      <c r="AL88" s="487"/>
      <c r="AM88" s="484"/>
      <c r="AN88" s="659"/>
      <c r="AO88" s="484"/>
      <c r="AP88" s="487"/>
      <c r="AQ88" s="487"/>
      <c r="AR88" s="484"/>
      <c r="AS88" s="659"/>
      <c r="AT88" s="484"/>
      <c r="AU88" s="487"/>
      <c r="AV88" s="487"/>
      <c r="AW88" s="484"/>
      <c r="AX88" s="659"/>
      <c r="AZ88" s="372" t="e">
        <f t="shared" si="54"/>
        <v>#N/A</v>
      </c>
      <c r="BA88" s="659"/>
    </row>
    <row r="89" spans="2:53">
      <c r="B89" s="646"/>
      <c r="C89" s="383">
        <v>3</v>
      </c>
      <c r="D89" s="225"/>
      <c r="E89" s="539"/>
      <c r="F89" s="535"/>
      <c r="G89" s="534"/>
      <c r="H89" s="682"/>
      <c r="I89" s="385" t="str">
        <f t="shared" si="51"/>
        <v>-</v>
      </c>
      <c r="J89" s="385" t="str">
        <f t="shared" si="52"/>
        <v>-</v>
      </c>
      <c r="K89" s="199" t="str">
        <f t="shared" si="53"/>
        <v>-</v>
      </c>
      <c r="L89" s="617"/>
      <c r="M89" s="387" t="e">
        <f>RANK(K89, K$87:$K$101)</f>
        <v>#VALUE!</v>
      </c>
      <c r="N89" s="635"/>
      <c r="O89" s="635"/>
      <c r="P89" s="484"/>
      <c r="Q89" s="487"/>
      <c r="R89" s="487"/>
      <c r="S89" s="484"/>
      <c r="T89" s="659"/>
      <c r="U89" s="484"/>
      <c r="V89" s="487"/>
      <c r="W89" s="487"/>
      <c r="X89" s="484"/>
      <c r="Y89" s="659"/>
      <c r="Z89" s="484"/>
      <c r="AA89" s="487"/>
      <c r="AB89" s="487"/>
      <c r="AC89" s="484"/>
      <c r="AD89" s="659"/>
      <c r="AE89" s="484"/>
      <c r="AF89" s="487"/>
      <c r="AG89" s="487"/>
      <c r="AH89" s="484"/>
      <c r="AI89" s="659"/>
      <c r="AJ89" s="484"/>
      <c r="AK89" s="487"/>
      <c r="AL89" s="487"/>
      <c r="AM89" s="484"/>
      <c r="AN89" s="659"/>
      <c r="AO89" s="484"/>
      <c r="AP89" s="487"/>
      <c r="AQ89" s="487"/>
      <c r="AR89" s="484"/>
      <c r="AS89" s="659"/>
      <c r="AT89" s="484"/>
      <c r="AU89" s="487"/>
      <c r="AV89" s="487"/>
      <c r="AW89" s="484"/>
      <c r="AX89" s="659"/>
      <c r="AZ89" s="372" t="e">
        <f t="shared" si="54"/>
        <v>#N/A</v>
      </c>
      <c r="BA89" s="659"/>
    </row>
    <row r="90" spans="2:53">
      <c r="B90" s="646"/>
      <c r="C90" s="383">
        <v>4</v>
      </c>
      <c r="D90" s="225"/>
      <c r="E90" s="539"/>
      <c r="F90" s="535"/>
      <c r="G90" s="534"/>
      <c r="H90" s="682"/>
      <c r="I90" s="385" t="str">
        <f t="shared" si="51"/>
        <v>-</v>
      </c>
      <c r="J90" s="385" t="str">
        <f t="shared" si="52"/>
        <v>-</v>
      </c>
      <c r="K90" s="199" t="str">
        <f t="shared" si="53"/>
        <v>-</v>
      </c>
      <c r="L90" s="617"/>
      <c r="M90" s="387" t="e">
        <f>RANK(K90, K$87:$K$101)</f>
        <v>#VALUE!</v>
      </c>
      <c r="N90" s="635"/>
      <c r="O90" s="635"/>
      <c r="P90" s="484"/>
      <c r="Q90" s="487"/>
      <c r="R90" s="487"/>
      <c r="S90" s="484"/>
      <c r="T90" s="659"/>
      <c r="U90" s="484"/>
      <c r="V90" s="487"/>
      <c r="W90" s="487"/>
      <c r="X90" s="484"/>
      <c r="Y90" s="659"/>
      <c r="Z90" s="484"/>
      <c r="AA90" s="487"/>
      <c r="AB90" s="487"/>
      <c r="AC90" s="484"/>
      <c r="AD90" s="659"/>
      <c r="AE90" s="484"/>
      <c r="AF90" s="487"/>
      <c r="AG90" s="487"/>
      <c r="AH90" s="484"/>
      <c r="AI90" s="659"/>
      <c r="AJ90" s="484"/>
      <c r="AK90" s="487"/>
      <c r="AL90" s="487"/>
      <c r="AM90" s="484"/>
      <c r="AN90" s="659"/>
      <c r="AO90" s="484"/>
      <c r="AP90" s="487"/>
      <c r="AQ90" s="487"/>
      <c r="AR90" s="484"/>
      <c r="AS90" s="659"/>
      <c r="AT90" s="484"/>
      <c r="AU90" s="487"/>
      <c r="AV90" s="487"/>
      <c r="AW90" s="484"/>
      <c r="AX90" s="659"/>
      <c r="AZ90" s="372" t="e">
        <f t="shared" si="54"/>
        <v>#N/A</v>
      </c>
      <c r="BA90" s="659"/>
    </row>
    <row r="91" spans="2:53">
      <c r="B91" s="646"/>
      <c r="C91" s="383">
        <v>5</v>
      </c>
      <c r="D91" s="225"/>
      <c r="E91" s="539"/>
      <c r="F91" s="535"/>
      <c r="G91" s="534"/>
      <c r="H91" s="682"/>
      <c r="I91" s="385" t="str">
        <f t="shared" si="51"/>
        <v>-</v>
      </c>
      <c r="J91" s="385" t="str">
        <f t="shared" si="52"/>
        <v>-</v>
      </c>
      <c r="K91" s="199" t="str">
        <f t="shared" si="53"/>
        <v>-</v>
      </c>
      <c r="L91" s="617"/>
      <c r="M91" s="387" t="e">
        <f>RANK(K91, K$87:$K$101)</f>
        <v>#VALUE!</v>
      </c>
      <c r="N91" s="635"/>
      <c r="O91" s="635"/>
      <c r="P91" s="484"/>
      <c r="Q91" s="487"/>
      <c r="R91" s="487"/>
      <c r="S91" s="484"/>
      <c r="T91" s="659"/>
      <c r="U91" s="484"/>
      <c r="V91" s="487"/>
      <c r="W91" s="487"/>
      <c r="X91" s="484"/>
      <c r="Y91" s="659"/>
      <c r="Z91" s="484"/>
      <c r="AA91" s="487"/>
      <c r="AB91" s="487"/>
      <c r="AC91" s="484"/>
      <c r="AD91" s="659"/>
      <c r="AE91" s="484"/>
      <c r="AF91" s="487"/>
      <c r="AG91" s="487"/>
      <c r="AH91" s="484"/>
      <c r="AI91" s="659"/>
      <c r="AJ91" s="484"/>
      <c r="AK91" s="487"/>
      <c r="AL91" s="487"/>
      <c r="AM91" s="484"/>
      <c r="AN91" s="659"/>
      <c r="AO91" s="484"/>
      <c r="AP91" s="487"/>
      <c r="AQ91" s="487"/>
      <c r="AR91" s="484"/>
      <c r="AS91" s="659"/>
      <c r="AT91" s="484"/>
      <c r="AU91" s="487"/>
      <c r="AV91" s="487"/>
      <c r="AW91" s="484"/>
      <c r="AX91" s="659"/>
      <c r="AZ91" s="372" t="e">
        <f t="shared" si="54"/>
        <v>#N/A</v>
      </c>
      <c r="BA91" s="659"/>
    </row>
    <row r="92" spans="2:53">
      <c r="B92" s="646"/>
      <c r="C92" s="383">
        <v>6</v>
      </c>
      <c r="D92" s="225"/>
      <c r="E92" s="539"/>
      <c r="F92" s="535"/>
      <c r="G92" s="534"/>
      <c r="H92" s="682"/>
      <c r="I92" s="385" t="str">
        <f t="shared" si="51"/>
        <v>-</v>
      </c>
      <c r="J92" s="385" t="str">
        <f t="shared" si="52"/>
        <v>-</v>
      </c>
      <c r="K92" s="199" t="str">
        <f t="shared" si="53"/>
        <v>-</v>
      </c>
      <c r="L92" s="617"/>
      <c r="M92" s="387" t="e">
        <f>RANK(K92, K$87:$K$101)</f>
        <v>#VALUE!</v>
      </c>
      <c r="N92" s="635"/>
      <c r="O92" s="635"/>
      <c r="P92" s="484"/>
      <c r="Q92" s="487"/>
      <c r="R92" s="487"/>
      <c r="S92" s="484"/>
      <c r="T92" s="659"/>
      <c r="U92" s="484"/>
      <c r="V92" s="487"/>
      <c r="W92" s="487"/>
      <c r="X92" s="484"/>
      <c r="Y92" s="659"/>
      <c r="Z92" s="484"/>
      <c r="AA92" s="487"/>
      <c r="AB92" s="487"/>
      <c r="AC92" s="484"/>
      <c r="AD92" s="659"/>
      <c r="AE92" s="484"/>
      <c r="AF92" s="487"/>
      <c r="AG92" s="487"/>
      <c r="AH92" s="484"/>
      <c r="AI92" s="659"/>
      <c r="AJ92" s="484"/>
      <c r="AK92" s="487"/>
      <c r="AL92" s="487"/>
      <c r="AM92" s="484"/>
      <c r="AN92" s="659"/>
      <c r="AO92" s="484"/>
      <c r="AP92" s="487"/>
      <c r="AQ92" s="487"/>
      <c r="AR92" s="484"/>
      <c r="AS92" s="659"/>
      <c r="AT92" s="484"/>
      <c r="AU92" s="487"/>
      <c r="AV92" s="487"/>
      <c r="AW92" s="484"/>
      <c r="AX92" s="659"/>
      <c r="AZ92" s="372" t="e">
        <f t="shared" si="54"/>
        <v>#N/A</v>
      </c>
      <c r="BA92" s="659"/>
    </row>
    <row r="93" spans="2:53">
      <c r="B93" s="646"/>
      <c r="C93" s="383">
        <v>7</v>
      </c>
      <c r="D93" s="225"/>
      <c r="E93" s="539"/>
      <c r="F93" s="535"/>
      <c r="G93" s="534"/>
      <c r="H93" s="682"/>
      <c r="I93" s="385" t="str">
        <f t="shared" si="51"/>
        <v>-</v>
      </c>
      <c r="J93" s="385" t="str">
        <f t="shared" si="52"/>
        <v>-</v>
      </c>
      <c r="K93" s="199" t="str">
        <f t="shared" si="53"/>
        <v>-</v>
      </c>
      <c r="L93" s="617"/>
      <c r="M93" s="387" t="e">
        <f>RANK(K93, K$87:$K$101)</f>
        <v>#VALUE!</v>
      </c>
      <c r="N93" s="635"/>
      <c r="O93" s="635"/>
      <c r="P93" s="484"/>
      <c r="Q93" s="487"/>
      <c r="R93" s="487"/>
      <c r="S93" s="484"/>
      <c r="T93" s="659"/>
      <c r="U93" s="484"/>
      <c r="V93" s="487"/>
      <c r="W93" s="487"/>
      <c r="X93" s="484"/>
      <c r="Y93" s="659"/>
      <c r="Z93" s="484"/>
      <c r="AA93" s="487"/>
      <c r="AB93" s="487"/>
      <c r="AC93" s="484"/>
      <c r="AD93" s="659"/>
      <c r="AE93" s="484"/>
      <c r="AF93" s="487"/>
      <c r="AG93" s="487"/>
      <c r="AH93" s="484"/>
      <c r="AI93" s="659"/>
      <c r="AJ93" s="484"/>
      <c r="AK93" s="487"/>
      <c r="AL93" s="487"/>
      <c r="AM93" s="484"/>
      <c r="AN93" s="659"/>
      <c r="AO93" s="484"/>
      <c r="AP93" s="487"/>
      <c r="AQ93" s="487"/>
      <c r="AR93" s="484"/>
      <c r="AS93" s="659"/>
      <c r="AT93" s="484"/>
      <c r="AU93" s="487"/>
      <c r="AV93" s="487"/>
      <c r="AW93" s="484"/>
      <c r="AX93" s="659"/>
      <c r="AZ93" s="372" t="e">
        <f t="shared" si="54"/>
        <v>#N/A</v>
      </c>
      <c r="BA93" s="659"/>
    </row>
    <row r="94" spans="2:53">
      <c r="B94" s="646"/>
      <c r="C94" s="383">
        <v>8</v>
      </c>
      <c r="D94" s="225"/>
      <c r="E94" s="539"/>
      <c r="F94" s="535"/>
      <c r="G94" s="534"/>
      <c r="H94" s="682"/>
      <c r="I94" s="385" t="str">
        <f t="shared" si="51"/>
        <v>-</v>
      </c>
      <c r="J94" s="385" t="str">
        <f t="shared" si="52"/>
        <v>-</v>
      </c>
      <c r="K94" s="199" t="str">
        <f t="shared" si="53"/>
        <v>-</v>
      </c>
      <c r="L94" s="617"/>
      <c r="M94" s="387" t="e">
        <f>RANK(K94, K$87:$K$101)</f>
        <v>#VALUE!</v>
      </c>
      <c r="N94" s="635"/>
      <c r="O94" s="635"/>
      <c r="P94" s="484"/>
      <c r="Q94" s="487"/>
      <c r="R94" s="487"/>
      <c r="S94" s="484"/>
      <c r="T94" s="659"/>
      <c r="U94" s="484"/>
      <c r="V94" s="487"/>
      <c r="W94" s="487"/>
      <c r="X94" s="484"/>
      <c r="Y94" s="659"/>
      <c r="Z94" s="484"/>
      <c r="AA94" s="487"/>
      <c r="AB94" s="487"/>
      <c r="AC94" s="484"/>
      <c r="AD94" s="659"/>
      <c r="AE94" s="484"/>
      <c r="AF94" s="487"/>
      <c r="AG94" s="487"/>
      <c r="AH94" s="484"/>
      <c r="AI94" s="659"/>
      <c r="AJ94" s="484"/>
      <c r="AK94" s="487"/>
      <c r="AL94" s="487"/>
      <c r="AM94" s="484"/>
      <c r="AN94" s="659"/>
      <c r="AO94" s="484"/>
      <c r="AP94" s="487"/>
      <c r="AQ94" s="487"/>
      <c r="AR94" s="484"/>
      <c r="AS94" s="659"/>
      <c r="AT94" s="484"/>
      <c r="AU94" s="487"/>
      <c r="AV94" s="487"/>
      <c r="AW94" s="484"/>
      <c r="AX94" s="659"/>
      <c r="AZ94" s="372" t="e">
        <f t="shared" si="54"/>
        <v>#N/A</v>
      </c>
      <c r="BA94" s="659"/>
    </row>
    <row r="95" spans="2:53">
      <c r="B95" s="646"/>
      <c r="C95" s="383">
        <v>9</v>
      </c>
      <c r="D95" s="225"/>
      <c r="E95" s="539"/>
      <c r="F95" s="535"/>
      <c r="G95" s="534"/>
      <c r="H95" s="682"/>
      <c r="I95" s="385" t="str">
        <f t="shared" si="51"/>
        <v>-</v>
      </c>
      <c r="J95" s="385" t="str">
        <f t="shared" si="52"/>
        <v>-</v>
      </c>
      <c r="K95" s="199" t="str">
        <f t="shared" si="53"/>
        <v>-</v>
      </c>
      <c r="L95" s="617"/>
      <c r="M95" s="387" t="e">
        <f>RANK(K95, K$87:$K$101)</f>
        <v>#VALUE!</v>
      </c>
      <c r="N95" s="635"/>
      <c r="O95" s="635"/>
      <c r="P95" s="484"/>
      <c r="Q95" s="487"/>
      <c r="R95" s="487"/>
      <c r="S95" s="484"/>
      <c r="T95" s="659"/>
      <c r="U95" s="484"/>
      <c r="V95" s="487"/>
      <c r="W95" s="487"/>
      <c r="X95" s="484"/>
      <c r="Y95" s="659"/>
      <c r="Z95" s="484"/>
      <c r="AA95" s="487"/>
      <c r="AB95" s="487"/>
      <c r="AC95" s="484"/>
      <c r="AD95" s="659"/>
      <c r="AE95" s="484"/>
      <c r="AF95" s="487"/>
      <c r="AG95" s="487"/>
      <c r="AH95" s="484"/>
      <c r="AI95" s="659"/>
      <c r="AJ95" s="484"/>
      <c r="AK95" s="487"/>
      <c r="AL95" s="487"/>
      <c r="AM95" s="484"/>
      <c r="AN95" s="659"/>
      <c r="AO95" s="484"/>
      <c r="AP95" s="487"/>
      <c r="AQ95" s="487"/>
      <c r="AR95" s="484"/>
      <c r="AS95" s="659"/>
      <c r="AT95" s="484"/>
      <c r="AU95" s="487"/>
      <c r="AV95" s="487"/>
      <c r="AW95" s="484"/>
      <c r="AX95" s="659"/>
      <c r="AZ95" s="372" t="e">
        <f t="shared" si="54"/>
        <v>#N/A</v>
      </c>
      <c r="BA95" s="659"/>
    </row>
    <row r="96" spans="2:53">
      <c r="B96" s="646"/>
      <c r="C96" s="383">
        <v>10</v>
      </c>
      <c r="D96" s="225"/>
      <c r="E96" s="539"/>
      <c r="F96" s="535"/>
      <c r="G96" s="534"/>
      <c r="H96" s="682"/>
      <c r="I96" s="385" t="str">
        <f t="shared" si="51"/>
        <v>-</v>
      </c>
      <c r="J96" s="385" t="str">
        <f t="shared" si="52"/>
        <v>-</v>
      </c>
      <c r="K96" s="199" t="str">
        <f t="shared" si="53"/>
        <v>-</v>
      </c>
      <c r="L96" s="617"/>
      <c r="M96" s="387" t="e">
        <f>RANK(K96, K$87:$K$101)</f>
        <v>#VALUE!</v>
      </c>
      <c r="N96" s="635"/>
      <c r="O96" s="635"/>
      <c r="P96" s="484"/>
      <c r="Q96" s="487"/>
      <c r="R96" s="487"/>
      <c r="S96" s="484"/>
      <c r="T96" s="659"/>
      <c r="U96" s="484"/>
      <c r="V96" s="487"/>
      <c r="W96" s="487"/>
      <c r="X96" s="484"/>
      <c r="Y96" s="659"/>
      <c r="Z96" s="484"/>
      <c r="AA96" s="487"/>
      <c r="AB96" s="487"/>
      <c r="AC96" s="484"/>
      <c r="AD96" s="659"/>
      <c r="AE96" s="484"/>
      <c r="AF96" s="487"/>
      <c r="AG96" s="487"/>
      <c r="AH96" s="484"/>
      <c r="AI96" s="659"/>
      <c r="AJ96" s="484"/>
      <c r="AK96" s="487"/>
      <c r="AL96" s="487"/>
      <c r="AM96" s="484"/>
      <c r="AN96" s="659"/>
      <c r="AO96" s="484"/>
      <c r="AP96" s="487"/>
      <c r="AQ96" s="487"/>
      <c r="AR96" s="484"/>
      <c r="AS96" s="659"/>
      <c r="AT96" s="484"/>
      <c r="AU96" s="487"/>
      <c r="AV96" s="487"/>
      <c r="AW96" s="484"/>
      <c r="AX96" s="659"/>
      <c r="AZ96" s="372" t="e">
        <f t="shared" si="54"/>
        <v>#N/A</v>
      </c>
      <c r="BA96" s="659"/>
    </row>
    <row r="97" spans="2:53">
      <c r="B97" s="646"/>
      <c r="C97" s="383">
        <v>11</v>
      </c>
      <c r="D97" s="225"/>
      <c r="E97" s="539"/>
      <c r="F97" s="535"/>
      <c r="G97" s="534"/>
      <c r="H97" s="682"/>
      <c r="I97" s="385" t="str">
        <f t="shared" si="51"/>
        <v>-</v>
      </c>
      <c r="J97" s="385" t="str">
        <f t="shared" si="52"/>
        <v>-</v>
      </c>
      <c r="K97" s="199" t="str">
        <f t="shared" si="53"/>
        <v>-</v>
      </c>
      <c r="L97" s="617"/>
      <c r="M97" s="387" t="e">
        <f>RANK(K97, K$87:$K$101)</f>
        <v>#VALUE!</v>
      </c>
      <c r="N97" s="635"/>
      <c r="O97" s="635"/>
      <c r="P97" s="484"/>
      <c r="Q97" s="487"/>
      <c r="R97" s="487"/>
      <c r="S97" s="484"/>
      <c r="T97" s="659"/>
      <c r="U97" s="484"/>
      <c r="V97" s="487"/>
      <c r="W97" s="487"/>
      <c r="X97" s="484"/>
      <c r="Y97" s="659"/>
      <c r="Z97" s="484"/>
      <c r="AA97" s="487"/>
      <c r="AB97" s="487"/>
      <c r="AC97" s="484"/>
      <c r="AD97" s="659"/>
      <c r="AE97" s="484"/>
      <c r="AF97" s="487"/>
      <c r="AG97" s="487"/>
      <c r="AH97" s="484"/>
      <c r="AI97" s="659"/>
      <c r="AJ97" s="484"/>
      <c r="AK97" s="487"/>
      <c r="AL97" s="487"/>
      <c r="AM97" s="484"/>
      <c r="AN97" s="659"/>
      <c r="AO97" s="484"/>
      <c r="AP97" s="487"/>
      <c r="AQ97" s="487"/>
      <c r="AR97" s="484"/>
      <c r="AS97" s="659"/>
      <c r="AT97" s="484"/>
      <c r="AU97" s="487"/>
      <c r="AV97" s="487"/>
      <c r="AW97" s="484"/>
      <c r="AX97" s="659"/>
      <c r="AZ97" s="372" t="e">
        <f t="shared" si="54"/>
        <v>#N/A</v>
      </c>
      <c r="BA97" s="659"/>
    </row>
    <row r="98" spans="2:53">
      <c r="B98" s="646"/>
      <c r="C98" s="383">
        <v>12</v>
      </c>
      <c r="D98" s="225"/>
      <c r="E98" s="539"/>
      <c r="F98" s="535"/>
      <c r="G98" s="534"/>
      <c r="H98" s="682"/>
      <c r="I98" s="385" t="str">
        <f t="shared" si="51"/>
        <v>-</v>
      </c>
      <c r="J98" s="385" t="str">
        <f t="shared" si="52"/>
        <v>-</v>
      </c>
      <c r="K98" s="199" t="str">
        <f t="shared" si="53"/>
        <v>-</v>
      </c>
      <c r="L98" s="617"/>
      <c r="M98" s="387" t="e">
        <f>RANK(K98, K$87:$K$101)</f>
        <v>#VALUE!</v>
      </c>
      <c r="N98" s="635"/>
      <c r="O98" s="635"/>
      <c r="P98" s="484"/>
      <c r="Q98" s="487"/>
      <c r="R98" s="487"/>
      <c r="S98" s="484"/>
      <c r="T98" s="659"/>
      <c r="U98" s="484"/>
      <c r="V98" s="487"/>
      <c r="W98" s="487"/>
      <c r="X98" s="484"/>
      <c r="Y98" s="659"/>
      <c r="Z98" s="484"/>
      <c r="AA98" s="487"/>
      <c r="AB98" s="487"/>
      <c r="AC98" s="484"/>
      <c r="AD98" s="659"/>
      <c r="AE98" s="484"/>
      <c r="AF98" s="487"/>
      <c r="AG98" s="487"/>
      <c r="AH98" s="484"/>
      <c r="AI98" s="659"/>
      <c r="AJ98" s="484"/>
      <c r="AK98" s="487"/>
      <c r="AL98" s="487"/>
      <c r="AM98" s="484"/>
      <c r="AN98" s="659"/>
      <c r="AO98" s="484"/>
      <c r="AP98" s="487"/>
      <c r="AQ98" s="487"/>
      <c r="AR98" s="484"/>
      <c r="AS98" s="659"/>
      <c r="AT98" s="484"/>
      <c r="AU98" s="487"/>
      <c r="AV98" s="487"/>
      <c r="AW98" s="484"/>
      <c r="AX98" s="659"/>
      <c r="AZ98" s="372" t="e">
        <f t="shared" si="54"/>
        <v>#N/A</v>
      </c>
      <c r="BA98" s="659"/>
    </row>
    <row r="99" spans="2:53">
      <c r="B99" s="646"/>
      <c r="C99" s="383">
        <v>13</v>
      </c>
      <c r="D99" s="225"/>
      <c r="E99" s="539"/>
      <c r="F99" s="535"/>
      <c r="G99" s="534"/>
      <c r="H99" s="682"/>
      <c r="I99" s="385" t="str">
        <f t="shared" si="51"/>
        <v>-</v>
      </c>
      <c r="J99" s="385" t="str">
        <f t="shared" si="52"/>
        <v>-</v>
      </c>
      <c r="K99" s="199" t="str">
        <f t="shared" si="53"/>
        <v>-</v>
      </c>
      <c r="L99" s="617"/>
      <c r="M99" s="387" t="e">
        <f>RANK(K99, K$87:$K$101)</f>
        <v>#VALUE!</v>
      </c>
      <c r="N99" s="635"/>
      <c r="O99" s="635"/>
      <c r="P99" s="484"/>
      <c r="Q99" s="487"/>
      <c r="R99" s="487"/>
      <c r="S99" s="484"/>
      <c r="T99" s="659"/>
      <c r="U99" s="484"/>
      <c r="V99" s="487"/>
      <c r="W99" s="487"/>
      <c r="X99" s="484"/>
      <c r="Y99" s="659"/>
      <c r="Z99" s="484"/>
      <c r="AA99" s="487"/>
      <c r="AB99" s="487"/>
      <c r="AC99" s="484"/>
      <c r="AD99" s="659"/>
      <c r="AE99" s="484"/>
      <c r="AF99" s="487"/>
      <c r="AG99" s="487"/>
      <c r="AH99" s="484"/>
      <c r="AI99" s="659"/>
      <c r="AJ99" s="484"/>
      <c r="AK99" s="487"/>
      <c r="AL99" s="487"/>
      <c r="AM99" s="484"/>
      <c r="AN99" s="659"/>
      <c r="AO99" s="484"/>
      <c r="AP99" s="487"/>
      <c r="AQ99" s="487"/>
      <c r="AR99" s="484"/>
      <c r="AS99" s="659"/>
      <c r="AT99" s="484"/>
      <c r="AU99" s="487"/>
      <c r="AV99" s="487"/>
      <c r="AW99" s="484"/>
      <c r="AX99" s="659"/>
      <c r="AZ99" s="372" t="e">
        <f t="shared" si="54"/>
        <v>#N/A</v>
      </c>
      <c r="BA99" s="659"/>
    </row>
    <row r="100" spans="2:53">
      <c r="B100" s="646"/>
      <c r="C100" s="383">
        <v>14</v>
      </c>
      <c r="D100" s="225"/>
      <c r="E100" s="539"/>
      <c r="F100" s="535"/>
      <c r="G100" s="534"/>
      <c r="H100" s="682"/>
      <c r="I100" s="385" t="str">
        <f t="shared" si="51"/>
        <v>-</v>
      </c>
      <c r="J100" s="385" t="str">
        <f t="shared" si="52"/>
        <v>-</v>
      </c>
      <c r="K100" s="199" t="str">
        <f t="shared" si="53"/>
        <v>-</v>
      </c>
      <c r="L100" s="617"/>
      <c r="M100" s="387" t="e">
        <f>RANK(K100, K$87:$K$101)</f>
        <v>#VALUE!</v>
      </c>
      <c r="N100" s="635"/>
      <c r="O100" s="635"/>
      <c r="P100" s="484"/>
      <c r="Q100" s="487"/>
      <c r="R100" s="487"/>
      <c r="S100" s="484"/>
      <c r="T100" s="659"/>
      <c r="U100" s="484"/>
      <c r="V100" s="487"/>
      <c r="W100" s="487"/>
      <c r="X100" s="484"/>
      <c r="Y100" s="659"/>
      <c r="Z100" s="484"/>
      <c r="AA100" s="487"/>
      <c r="AB100" s="487"/>
      <c r="AC100" s="484"/>
      <c r="AD100" s="659"/>
      <c r="AE100" s="484"/>
      <c r="AF100" s="487"/>
      <c r="AG100" s="487"/>
      <c r="AH100" s="484"/>
      <c r="AI100" s="659"/>
      <c r="AJ100" s="484"/>
      <c r="AK100" s="487"/>
      <c r="AL100" s="487"/>
      <c r="AM100" s="484"/>
      <c r="AN100" s="659"/>
      <c r="AO100" s="484"/>
      <c r="AP100" s="487"/>
      <c r="AQ100" s="487"/>
      <c r="AR100" s="484"/>
      <c r="AS100" s="659"/>
      <c r="AT100" s="484"/>
      <c r="AU100" s="487"/>
      <c r="AV100" s="487"/>
      <c r="AW100" s="484"/>
      <c r="AX100" s="659"/>
      <c r="AZ100" s="372" t="e">
        <f t="shared" si="54"/>
        <v>#N/A</v>
      </c>
      <c r="BA100" s="659"/>
    </row>
    <row r="101" spans="2:53">
      <c r="B101" s="646"/>
      <c r="C101" s="383">
        <v>15</v>
      </c>
      <c r="D101" s="225"/>
      <c r="E101" s="539"/>
      <c r="F101" s="535"/>
      <c r="G101" s="534"/>
      <c r="H101" s="683"/>
      <c r="I101" s="201"/>
      <c r="J101" s="201"/>
      <c r="K101" s="201"/>
      <c r="L101" s="618"/>
      <c r="M101" s="385" t="e">
        <f>RANK(K101, K$87:$K$101)</f>
        <v>#N/A</v>
      </c>
      <c r="N101" s="635"/>
      <c r="O101" s="635"/>
      <c r="P101" s="484"/>
      <c r="Q101" s="487"/>
      <c r="R101" s="487"/>
      <c r="S101" s="484"/>
      <c r="T101" s="659"/>
      <c r="U101" s="484"/>
      <c r="V101" s="487"/>
      <c r="W101" s="487"/>
      <c r="X101" s="484"/>
      <c r="Y101" s="659"/>
      <c r="Z101" s="484"/>
      <c r="AA101" s="487"/>
      <c r="AB101" s="487"/>
      <c r="AC101" s="484"/>
      <c r="AD101" s="659"/>
      <c r="AE101" s="484"/>
      <c r="AF101" s="487"/>
      <c r="AG101" s="487"/>
      <c r="AH101" s="484"/>
      <c r="AI101" s="659"/>
      <c r="AJ101" s="484"/>
      <c r="AK101" s="487"/>
      <c r="AL101" s="487"/>
      <c r="AM101" s="484"/>
      <c r="AN101" s="659"/>
      <c r="AO101" s="484"/>
      <c r="AP101" s="487"/>
      <c r="AQ101" s="487"/>
      <c r="AR101" s="484"/>
      <c r="AS101" s="659"/>
      <c r="AT101" s="484"/>
      <c r="AU101" s="487"/>
      <c r="AV101" s="487"/>
      <c r="AW101" s="484"/>
      <c r="AX101" s="659"/>
      <c r="AZ101" s="372" t="e">
        <f t="shared" si="54"/>
        <v>#N/A</v>
      </c>
      <c r="BA101" s="659"/>
    </row>
    <row r="102" spans="2:53" ht="15.75">
      <c r="B102" s="650" t="s">
        <v>162</v>
      </c>
      <c r="C102" s="651"/>
      <c r="D102" s="651"/>
      <c r="E102" s="651"/>
      <c r="F102" s="651"/>
      <c r="G102" s="651"/>
      <c r="H102" s="652"/>
      <c r="I102" s="207"/>
      <c r="J102" s="207"/>
      <c r="K102" s="207"/>
      <c r="L102" s="207"/>
      <c r="M102" s="206"/>
      <c r="N102" s="639" t="s">
        <v>156</v>
      </c>
      <c r="O102" s="639" t="s">
        <v>105</v>
      </c>
      <c r="P102" s="645">
        <f>P82+7</f>
        <v>46238</v>
      </c>
      <c r="Q102" s="646"/>
      <c r="R102" s="646"/>
      <c r="S102" s="646"/>
      <c r="T102" s="646"/>
      <c r="U102" s="642">
        <f>P102+1</f>
        <v>46239</v>
      </c>
      <c r="V102" s="643"/>
      <c r="W102" s="643"/>
      <c r="X102" s="643"/>
      <c r="Y102" s="644"/>
      <c r="Z102" s="642">
        <f>U102+1</f>
        <v>46240</v>
      </c>
      <c r="AA102" s="643"/>
      <c r="AB102" s="643"/>
      <c r="AC102" s="643"/>
      <c r="AD102" s="644"/>
      <c r="AE102" s="642">
        <f>Z102+1</f>
        <v>46241</v>
      </c>
      <c r="AF102" s="643"/>
      <c r="AG102" s="643"/>
      <c r="AH102" s="643"/>
      <c r="AI102" s="644"/>
      <c r="AJ102" s="642">
        <f>AE102+1</f>
        <v>46242</v>
      </c>
      <c r="AK102" s="643"/>
      <c r="AL102" s="643"/>
      <c r="AM102" s="643"/>
      <c r="AN102" s="644"/>
      <c r="AO102" s="642">
        <f>AJ102+1</f>
        <v>46243</v>
      </c>
      <c r="AP102" s="643"/>
      <c r="AQ102" s="643"/>
      <c r="AR102" s="643"/>
      <c r="AS102" s="644"/>
      <c r="AT102" s="642">
        <f>AO102+1</f>
        <v>46244</v>
      </c>
      <c r="AU102" s="643"/>
      <c r="AV102" s="643"/>
      <c r="AW102" s="643"/>
      <c r="AX102" s="644"/>
    </row>
    <row r="103" spans="2:53" ht="15.75">
      <c r="B103" s="653"/>
      <c r="C103" s="653"/>
      <c r="D103" s="653"/>
      <c r="E103" s="653"/>
      <c r="F103" s="653"/>
      <c r="G103" s="653"/>
      <c r="H103" s="653"/>
      <c r="I103" s="204"/>
      <c r="J103" s="204"/>
      <c r="K103" s="204"/>
      <c r="L103" s="204"/>
      <c r="M103" s="205"/>
      <c r="N103" s="641"/>
      <c r="O103" s="641"/>
      <c r="P103" s="645" t="s">
        <v>158</v>
      </c>
      <c r="Q103" s="646"/>
      <c r="R103" s="646"/>
      <c r="S103" s="646"/>
      <c r="T103" s="646"/>
      <c r="U103" s="645" t="s">
        <v>114</v>
      </c>
      <c r="V103" s="646"/>
      <c r="W103" s="646"/>
      <c r="X103" s="646"/>
      <c r="Y103" s="646"/>
      <c r="Z103" s="645" t="s">
        <v>159</v>
      </c>
      <c r="AA103" s="646"/>
      <c r="AB103" s="646"/>
      <c r="AC103" s="646"/>
      <c r="AD103" s="646"/>
      <c r="AE103" s="645" t="s">
        <v>157</v>
      </c>
      <c r="AF103" s="646"/>
      <c r="AG103" s="646"/>
      <c r="AH103" s="646"/>
      <c r="AI103" s="646"/>
      <c r="AJ103" s="645" t="s">
        <v>160</v>
      </c>
      <c r="AK103" s="646"/>
      <c r="AL103" s="646"/>
      <c r="AM103" s="646"/>
      <c r="AN103" s="646"/>
      <c r="AO103" s="645" t="s">
        <v>115</v>
      </c>
      <c r="AP103" s="646"/>
      <c r="AQ103" s="646"/>
      <c r="AR103" s="646"/>
      <c r="AS103" s="646"/>
      <c r="AT103" s="645" t="s">
        <v>161</v>
      </c>
      <c r="AU103" s="646"/>
      <c r="AV103" s="646"/>
      <c r="AW103" s="646"/>
      <c r="AX103" s="646"/>
    </row>
    <row r="104" spans="2:53">
      <c r="B104" s="635" t="s">
        <v>154</v>
      </c>
      <c r="C104" s="635" t="s">
        <v>382</v>
      </c>
      <c r="D104" s="635"/>
      <c r="E104" s="635" t="s">
        <v>373</v>
      </c>
      <c r="F104" s="635"/>
      <c r="G104" s="635"/>
      <c r="H104" s="636" t="s">
        <v>369</v>
      </c>
      <c r="I104" s="619" t="s">
        <v>374</v>
      </c>
      <c r="J104" s="619"/>
      <c r="K104" s="619"/>
      <c r="L104" s="620" t="s">
        <v>369</v>
      </c>
      <c r="M104" s="626" t="s">
        <v>370</v>
      </c>
      <c r="N104" s="635"/>
      <c r="O104" s="635" t="s">
        <v>375</v>
      </c>
      <c r="P104" s="632" t="s">
        <v>371</v>
      </c>
      <c r="Q104" s="633"/>
      <c r="R104" s="633"/>
      <c r="S104" s="634"/>
      <c r="T104" s="635" t="s">
        <v>369</v>
      </c>
      <c r="U104" s="632" t="s">
        <v>371</v>
      </c>
      <c r="V104" s="633"/>
      <c r="W104" s="633"/>
      <c r="X104" s="634"/>
      <c r="Y104" s="635" t="s">
        <v>369</v>
      </c>
      <c r="Z104" s="632" t="s">
        <v>371</v>
      </c>
      <c r="AA104" s="633"/>
      <c r="AB104" s="633"/>
      <c r="AC104" s="634"/>
      <c r="AD104" s="635" t="s">
        <v>369</v>
      </c>
      <c r="AE104" s="632" t="s">
        <v>371</v>
      </c>
      <c r="AF104" s="633"/>
      <c r="AG104" s="633"/>
      <c r="AH104" s="634"/>
      <c r="AI104" s="635" t="s">
        <v>369</v>
      </c>
      <c r="AJ104" s="632" t="s">
        <v>371</v>
      </c>
      <c r="AK104" s="633"/>
      <c r="AL104" s="633"/>
      <c r="AM104" s="634"/>
      <c r="AN104" s="635" t="s">
        <v>369</v>
      </c>
      <c r="AO104" s="632" t="s">
        <v>371</v>
      </c>
      <c r="AP104" s="633"/>
      <c r="AQ104" s="633"/>
      <c r="AR104" s="634"/>
      <c r="AS104" s="635" t="s">
        <v>369</v>
      </c>
      <c r="AT104" s="632" t="s">
        <v>371</v>
      </c>
      <c r="AU104" s="633"/>
      <c r="AV104" s="633"/>
      <c r="AW104" s="634"/>
      <c r="AX104" s="635" t="s">
        <v>369</v>
      </c>
      <c r="BA104" s="635" t="s">
        <v>369</v>
      </c>
    </row>
    <row r="105" spans="2:53">
      <c r="B105" s="635"/>
      <c r="C105" s="635"/>
      <c r="D105" s="635"/>
      <c r="E105" s="635" t="s">
        <v>376</v>
      </c>
      <c r="F105" s="635"/>
      <c r="G105" s="635"/>
      <c r="H105" s="637"/>
      <c r="I105" s="619" t="s">
        <v>376</v>
      </c>
      <c r="J105" s="619"/>
      <c r="K105" s="619"/>
      <c r="L105" s="621"/>
      <c r="M105" s="627"/>
      <c r="N105" s="635"/>
      <c r="O105" s="635"/>
      <c r="P105" s="632" t="s">
        <v>377</v>
      </c>
      <c r="Q105" s="633"/>
      <c r="R105" s="633"/>
      <c r="S105" s="634"/>
      <c r="T105" s="635"/>
      <c r="U105" s="632" t="s">
        <v>377</v>
      </c>
      <c r="V105" s="633"/>
      <c r="W105" s="633"/>
      <c r="X105" s="634"/>
      <c r="Y105" s="635"/>
      <c r="Z105" s="632" t="s">
        <v>377</v>
      </c>
      <c r="AA105" s="633"/>
      <c r="AB105" s="633"/>
      <c r="AC105" s="634"/>
      <c r="AD105" s="635"/>
      <c r="AE105" s="632" t="s">
        <v>377</v>
      </c>
      <c r="AF105" s="633"/>
      <c r="AG105" s="633"/>
      <c r="AH105" s="634"/>
      <c r="AI105" s="635"/>
      <c r="AJ105" s="632" t="s">
        <v>377</v>
      </c>
      <c r="AK105" s="633"/>
      <c r="AL105" s="633"/>
      <c r="AM105" s="634"/>
      <c r="AN105" s="635"/>
      <c r="AO105" s="632" t="s">
        <v>377</v>
      </c>
      <c r="AP105" s="633"/>
      <c r="AQ105" s="633"/>
      <c r="AR105" s="634"/>
      <c r="AS105" s="635"/>
      <c r="AT105" s="632" t="s">
        <v>377</v>
      </c>
      <c r="AU105" s="633"/>
      <c r="AV105" s="633"/>
      <c r="AW105" s="634"/>
      <c r="AX105" s="635"/>
      <c r="BA105" s="635"/>
    </row>
    <row r="106" spans="2:53">
      <c r="B106" s="635"/>
      <c r="C106" s="635"/>
      <c r="D106" s="635"/>
      <c r="E106" s="308" t="s">
        <v>378</v>
      </c>
      <c r="F106" s="308" t="s">
        <v>379</v>
      </c>
      <c r="G106" s="308" t="s">
        <v>380</v>
      </c>
      <c r="H106" s="638"/>
      <c r="I106" s="309" t="s">
        <v>378</v>
      </c>
      <c r="J106" s="309" t="s">
        <v>379</v>
      </c>
      <c r="K106" s="309" t="s">
        <v>380</v>
      </c>
      <c r="L106" s="622"/>
      <c r="M106" s="628"/>
      <c r="N106" s="635"/>
      <c r="O106" s="635"/>
      <c r="P106" s="308" t="s">
        <v>378</v>
      </c>
      <c r="Q106" s="308" t="s">
        <v>379</v>
      </c>
      <c r="R106" s="308" t="s">
        <v>380</v>
      </c>
      <c r="S106" s="308" t="s">
        <v>370</v>
      </c>
      <c r="T106" s="635"/>
      <c r="U106" s="308" t="s">
        <v>378</v>
      </c>
      <c r="V106" s="308" t="s">
        <v>379</v>
      </c>
      <c r="W106" s="308" t="s">
        <v>380</v>
      </c>
      <c r="X106" s="308" t="s">
        <v>370</v>
      </c>
      <c r="Y106" s="635"/>
      <c r="Z106" s="308" t="s">
        <v>378</v>
      </c>
      <c r="AA106" s="308" t="s">
        <v>379</v>
      </c>
      <c r="AB106" s="308" t="s">
        <v>380</v>
      </c>
      <c r="AC106" s="308" t="s">
        <v>370</v>
      </c>
      <c r="AD106" s="635"/>
      <c r="AE106" s="308" t="s">
        <v>378</v>
      </c>
      <c r="AF106" s="308" t="s">
        <v>379</v>
      </c>
      <c r="AG106" s="308" t="s">
        <v>380</v>
      </c>
      <c r="AH106" s="308" t="s">
        <v>370</v>
      </c>
      <c r="AI106" s="635"/>
      <c r="AJ106" s="308" t="s">
        <v>378</v>
      </c>
      <c r="AK106" s="308" t="s">
        <v>379</v>
      </c>
      <c r="AL106" s="308" t="s">
        <v>380</v>
      </c>
      <c r="AM106" s="308" t="s">
        <v>370</v>
      </c>
      <c r="AN106" s="635"/>
      <c r="AO106" s="308" t="s">
        <v>378</v>
      </c>
      <c r="AP106" s="308" t="s">
        <v>379</v>
      </c>
      <c r="AQ106" s="308" t="s">
        <v>380</v>
      </c>
      <c r="AR106" s="308" t="s">
        <v>370</v>
      </c>
      <c r="AS106" s="635"/>
      <c r="AT106" s="308" t="s">
        <v>378</v>
      </c>
      <c r="AU106" s="308" t="s">
        <v>379</v>
      </c>
      <c r="AV106" s="308" t="s">
        <v>380</v>
      </c>
      <c r="AW106" s="308" t="s">
        <v>370</v>
      </c>
      <c r="AX106" s="635"/>
      <c r="AZ106" s="371" t="s">
        <v>370</v>
      </c>
      <c r="BA106" s="635"/>
    </row>
    <row r="107" spans="2:53">
      <c r="B107" s="635" t="s">
        <v>383</v>
      </c>
      <c r="C107" s="307">
        <v>1</v>
      </c>
      <c r="D107" s="225"/>
      <c r="E107" s="181"/>
      <c r="F107" s="307"/>
      <c r="G107" s="310"/>
      <c r="H107" s="681" t="e">
        <f>AVERAGE(G107:G121)</f>
        <v>#DIV/0!</v>
      </c>
      <c r="I107" s="367" t="str">
        <f t="shared" ref="I107:I120" si="56">IFERROR(AVERAGE(P107,U107,Z107,AE107,AJ107,AO107,AT107),"-")</f>
        <v>-</v>
      </c>
      <c r="J107" s="367" t="str">
        <f t="shared" ref="J107:J120" si="57">IFERROR(AVERAGE(Q107,V107,AA107,AF107,AK107,AP107,AU107),"-")</f>
        <v>-</v>
      </c>
      <c r="K107" s="199" t="str">
        <f t="shared" ref="K107:K120" si="58">IFERROR(AVERAGE(R107,W107,AB107,AG107,AL107,AQ107,AV107),"-")</f>
        <v>-</v>
      </c>
      <c r="L107" s="616" t="str">
        <f>IFERROR(AVERAGE(K107:K121),"-")</f>
        <v>-</v>
      </c>
      <c r="M107" s="531" t="e">
        <f>RANK(K107, K$107:$K$121)</f>
        <v>#VALUE!</v>
      </c>
      <c r="N107" s="635"/>
      <c r="O107" s="635"/>
      <c r="P107" s="528"/>
      <c r="Q107" s="530"/>
      <c r="R107" s="530"/>
      <c r="S107" s="528"/>
      <c r="T107" s="659"/>
      <c r="U107" s="528"/>
      <c r="V107" s="530"/>
      <c r="W107" s="530"/>
      <c r="X107" s="528"/>
      <c r="Y107" s="659"/>
      <c r="Z107" s="528"/>
      <c r="AA107" s="530"/>
      <c r="AB107" s="530"/>
      <c r="AC107" s="528"/>
      <c r="AD107" s="659"/>
      <c r="AE107" s="528"/>
      <c r="AF107" s="530"/>
      <c r="AG107" s="530"/>
      <c r="AH107" s="528"/>
      <c r="AI107" s="659"/>
      <c r="AJ107" s="528"/>
      <c r="AK107" s="530"/>
      <c r="AL107" s="530"/>
      <c r="AM107" s="528"/>
      <c r="AN107" s="659"/>
      <c r="AO107" s="528"/>
      <c r="AP107" s="530"/>
      <c r="AQ107" s="530"/>
      <c r="AR107" s="528"/>
      <c r="AS107" s="659"/>
      <c r="AT107" s="528"/>
      <c r="AU107" s="530"/>
      <c r="AV107" s="530"/>
      <c r="AW107" s="528"/>
      <c r="AX107" s="659"/>
      <c r="AZ107" s="372" t="e">
        <f>RANK(AY107, AY$107:AY$121)</f>
        <v>#N/A</v>
      </c>
      <c r="BA107" s="659" t="e">
        <f>AVERAGE(AY107:AY121)</f>
        <v>#DIV/0!</v>
      </c>
    </row>
    <row r="108" spans="2:53">
      <c r="B108" s="646"/>
      <c r="C108" s="307">
        <v>2</v>
      </c>
      <c r="D108" s="225"/>
      <c r="E108" s="181"/>
      <c r="F108" s="307"/>
      <c r="G108" s="310"/>
      <c r="H108" s="682"/>
      <c r="I108" s="367" t="str">
        <f t="shared" si="56"/>
        <v>-</v>
      </c>
      <c r="J108" s="367" t="str">
        <f t="shared" si="57"/>
        <v>-</v>
      </c>
      <c r="K108" s="199" t="str">
        <f t="shared" si="58"/>
        <v>-</v>
      </c>
      <c r="L108" s="617"/>
      <c r="M108" s="531" t="e">
        <f>RANK(K108, K$107:$K$121)</f>
        <v>#VALUE!</v>
      </c>
      <c r="N108" s="635"/>
      <c r="O108" s="635"/>
      <c r="P108" s="528"/>
      <c r="Q108" s="530"/>
      <c r="R108" s="530"/>
      <c r="S108" s="528"/>
      <c r="T108" s="659"/>
      <c r="U108" s="528"/>
      <c r="V108" s="530"/>
      <c r="W108" s="530"/>
      <c r="X108" s="528"/>
      <c r="Y108" s="659"/>
      <c r="Z108" s="528"/>
      <c r="AA108" s="530"/>
      <c r="AB108" s="530"/>
      <c r="AC108" s="528"/>
      <c r="AD108" s="659"/>
      <c r="AE108" s="528"/>
      <c r="AF108" s="530"/>
      <c r="AG108" s="530"/>
      <c r="AH108" s="528"/>
      <c r="AI108" s="659"/>
      <c r="AJ108" s="528"/>
      <c r="AK108" s="530"/>
      <c r="AL108" s="530"/>
      <c r="AM108" s="528"/>
      <c r="AN108" s="659"/>
      <c r="AO108" s="528"/>
      <c r="AP108" s="530"/>
      <c r="AQ108" s="530"/>
      <c r="AR108" s="528"/>
      <c r="AS108" s="659"/>
      <c r="AT108" s="528"/>
      <c r="AU108" s="530"/>
      <c r="AV108" s="530"/>
      <c r="AW108" s="528"/>
      <c r="AX108" s="659"/>
      <c r="AZ108" s="372" t="e">
        <f t="shared" ref="AZ108:AZ121" si="59">RANK(AY108, AY$107:AY$121)</f>
        <v>#N/A</v>
      </c>
      <c r="BA108" s="659"/>
    </row>
    <row r="109" spans="2:53">
      <c r="B109" s="646"/>
      <c r="C109" s="307">
        <v>3</v>
      </c>
      <c r="D109" s="225"/>
      <c r="E109" s="181"/>
      <c r="F109" s="307"/>
      <c r="G109" s="310"/>
      <c r="H109" s="682"/>
      <c r="I109" s="367" t="str">
        <f t="shared" si="56"/>
        <v>-</v>
      </c>
      <c r="J109" s="367" t="str">
        <f t="shared" si="57"/>
        <v>-</v>
      </c>
      <c r="K109" s="199" t="str">
        <f t="shared" si="58"/>
        <v>-</v>
      </c>
      <c r="L109" s="617"/>
      <c r="M109" s="531" t="e">
        <f>RANK(K109, K$107:$K$121)</f>
        <v>#VALUE!</v>
      </c>
      <c r="N109" s="635"/>
      <c r="O109" s="635"/>
      <c r="P109" s="528"/>
      <c r="Q109" s="530"/>
      <c r="R109" s="530"/>
      <c r="S109" s="528"/>
      <c r="T109" s="659"/>
      <c r="U109" s="528"/>
      <c r="V109" s="530"/>
      <c r="W109" s="530"/>
      <c r="X109" s="528"/>
      <c r="Y109" s="659"/>
      <c r="Z109" s="528"/>
      <c r="AA109" s="530"/>
      <c r="AB109" s="530"/>
      <c r="AC109" s="528"/>
      <c r="AD109" s="659"/>
      <c r="AE109" s="528"/>
      <c r="AF109" s="530"/>
      <c r="AG109" s="530"/>
      <c r="AH109" s="528"/>
      <c r="AI109" s="659"/>
      <c r="AJ109" s="528"/>
      <c r="AK109" s="530"/>
      <c r="AL109" s="530"/>
      <c r="AM109" s="528"/>
      <c r="AN109" s="659"/>
      <c r="AO109" s="528"/>
      <c r="AP109" s="530"/>
      <c r="AQ109" s="530"/>
      <c r="AR109" s="528"/>
      <c r="AS109" s="659"/>
      <c r="AT109" s="528"/>
      <c r="AU109" s="530"/>
      <c r="AV109" s="530"/>
      <c r="AW109" s="528"/>
      <c r="AX109" s="659"/>
      <c r="AZ109" s="372" t="e">
        <f t="shared" si="59"/>
        <v>#N/A</v>
      </c>
      <c r="BA109" s="659"/>
    </row>
    <row r="110" spans="2:53">
      <c r="B110" s="646"/>
      <c r="C110" s="307">
        <v>4</v>
      </c>
      <c r="D110" s="225"/>
      <c r="E110" s="181"/>
      <c r="F110" s="307"/>
      <c r="G110" s="310"/>
      <c r="H110" s="682"/>
      <c r="I110" s="367" t="str">
        <f t="shared" si="56"/>
        <v>-</v>
      </c>
      <c r="J110" s="367" t="str">
        <f t="shared" si="57"/>
        <v>-</v>
      </c>
      <c r="K110" s="199" t="str">
        <f t="shared" si="58"/>
        <v>-</v>
      </c>
      <c r="L110" s="617"/>
      <c r="M110" s="531" t="e">
        <f>RANK(K110, K$107:$K$121)</f>
        <v>#VALUE!</v>
      </c>
      <c r="N110" s="635"/>
      <c r="O110" s="635"/>
      <c r="P110" s="528"/>
      <c r="Q110" s="530"/>
      <c r="R110" s="530"/>
      <c r="S110" s="528"/>
      <c r="T110" s="659"/>
      <c r="U110" s="528"/>
      <c r="V110" s="530"/>
      <c r="W110" s="530"/>
      <c r="X110" s="528"/>
      <c r="Y110" s="659"/>
      <c r="Z110" s="528"/>
      <c r="AA110" s="530"/>
      <c r="AB110" s="530"/>
      <c r="AC110" s="528"/>
      <c r="AD110" s="659"/>
      <c r="AE110" s="528"/>
      <c r="AF110" s="530"/>
      <c r="AG110" s="530"/>
      <c r="AH110" s="528"/>
      <c r="AI110" s="659"/>
      <c r="AJ110" s="528"/>
      <c r="AK110" s="530"/>
      <c r="AL110" s="530"/>
      <c r="AM110" s="528"/>
      <c r="AN110" s="659"/>
      <c r="AO110" s="528"/>
      <c r="AP110" s="530"/>
      <c r="AQ110" s="530"/>
      <c r="AR110" s="528"/>
      <c r="AS110" s="659"/>
      <c r="AT110" s="528"/>
      <c r="AU110" s="530"/>
      <c r="AV110" s="530"/>
      <c r="AW110" s="528"/>
      <c r="AX110" s="659"/>
      <c r="AZ110" s="372" t="e">
        <f t="shared" si="59"/>
        <v>#N/A</v>
      </c>
      <c r="BA110" s="659"/>
    </row>
    <row r="111" spans="2:53">
      <c r="B111" s="646"/>
      <c r="C111" s="307">
        <v>5</v>
      </c>
      <c r="D111" s="225"/>
      <c r="E111" s="181"/>
      <c r="F111" s="307"/>
      <c r="G111" s="310"/>
      <c r="H111" s="682"/>
      <c r="I111" s="367" t="str">
        <f t="shared" si="56"/>
        <v>-</v>
      </c>
      <c r="J111" s="367" t="str">
        <f t="shared" si="57"/>
        <v>-</v>
      </c>
      <c r="K111" s="199" t="str">
        <f t="shared" si="58"/>
        <v>-</v>
      </c>
      <c r="L111" s="617"/>
      <c r="M111" s="531" t="e">
        <f>RANK(K111, K$107:$K$121)</f>
        <v>#VALUE!</v>
      </c>
      <c r="N111" s="635"/>
      <c r="O111" s="635"/>
      <c r="P111" s="528"/>
      <c r="Q111" s="530"/>
      <c r="R111" s="530"/>
      <c r="S111" s="528"/>
      <c r="T111" s="659"/>
      <c r="U111" s="528"/>
      <c r="V111" s="530"/>
      <c r="W111" s="530"/>
      <c r="X111" s="528"/>
      <c r="Y111" s="659"/>
      <c r="Z111" s="528"/>
      <c r="AA111" s="530"/>
      <c r="AB111" s="530"/>
      <c r="AC111" s="528"/>
      <c r="AD111" s="659"/>
      <c r="AE111" s="528"/>
      <c r="AF111" s="530"/>
      <c r="AG111" s="530"/>
      <c r="AH111" s="528"/>
      <c r="AI111" s="659"/>
      <c r="AJ111" s="528"/>
      <c r="AK111" s="530"/>
      <c r="AL111" s="530"/>
      <c r="AM111" s="528"/>
      <c r="AN111" s="659"/>
      <c r="AO111" s="528"/>
      <c r="AP111" s="530"/>
      <c r="AQ111" s="530"/>
      <c r="AR111" s="528"/>
      <c r="AS111" s="659"/>
      <c r="AT111" s="528"/>
      <c r="AU111" s="530"/>
      <c r="AV111" s="530"/>
      <c r="AW111" s="528"/>
      <c r="AX111" s="659"/>
      <c r="AZ111" s="372" t="e">
        <f t="shared" si="59"/>
        <v>#N/A</v>
      </c>
      <c r="BA111" s="659"/>
    </row>
    <row r="112" spans="2:53">
      <c r="B112" s="646"/>
      <c r="C112" s="307">
        <v>6</v>
      </c>
      <c r="D112" s="225"/>
      <c r="E112" s="181"/>
      <c r="F112" s="307"/>
      <c r="G112" s="310"/>
      <c r="H112" s="682"/>
      <c r="I112" s="367" t="str">
        <f t="shared" si="56"/>
        <v>-</v>
      </c>
      <c r="J112" s="367" t="str">
        <f t="shared" si="57"/>
        <v>-</v>
      </c>
      <c r="K112" s="199" t="str">
        <f t="shared" si="58"/>
        <v>-</v>
      </c>
      <c r="L112" s="617"/>
      <c r="M112" s="531" t="e">
        <f>RANK(K112, K$107:$K$121)</f>
        <v>#VALUE!</v>
      </c>
      <c r="N112" s="635"/>
      <c r="O112" s="635"/>
      <c r="P112" s="528"/>
      <c r="Q112" s="530"/>
      <c r="R112" s="530"/>
      <c r="S112" s="528"/>
      <c r="T112" s="659"/>
      <c r="U112" s="528"/>
      <c r="V112" s="530"/>
      <c r="W112" s="530"/>
      <c r="X112" s="528"/>
      <c r="Y112" s="659"/>
      <c r="Z112" s="528"/>
      <c r="AA112" s="530"/>
      <c r="AB112" s="530"/>
      <c r="AC112" s="528"/>
      <c r="AD112" s="659"/>
      <c r="AE112" s="528"/>
      <c r="AF112" s="530"/>
      <c r="AG112" s="530"/>
      <c r="AH112" s="528"/>
      <c r="AI112" s="659"/>
      <c r="AJ112" s="528"/>
      <c r="AK112" s="530"/>
      <c r="AL112" s="530"/>
      <c r="AM112" s="528"/>
      <c r="AN112" s="659"/>
      <c r="AO112" s="528"/>
      <c r="AP112" s="530"/>
      <c r="AQ112" s="530"/>
      <c r="AR112" s="528"/>
      <c r="AS112" s="659"/>
      <c r="AT112" s="528"/>
      <c r="AU112" s="530"/>
      <c r="AV112" s="530"/>
      <c r="AW112" s="528"/>
      <c r="AX112" s="659"/>
      <c r="AZ112" s="372" t="e">
        <f t="shared" si="59"/>
        <v>#N/A</v>
      </c>
      <c r="BA112" s="659"/>
    </row>
    <row r="113" spans="2:53">
      <c r="B113" s="646"/>
      <c r="C113" s="307">
        <v>7</v>
      </c>
      <c r="D113" s="225"/>
      <c r="E113" s="181"/>
      <c r="F113" s="307"/>
      <c r="G113" s="310"/>
      <c r="H113" s="682"/>
      <c r="I113" s="367" t="str">
        <f t="shared" si="56"/>
        <v>-</v>
      </c>
      <c r="J113" s="367" t="str">
        <f t="shared" si="57"/>
        <v>-</v>
      </c>
      <c r="K113" s="199" t="str">
        <f t="shared" si="58"/>
        <v>-</v>
      </c>
      <c r="L113" s="617"/>
      <c r="M113" s="531" t="e">
        <f>RANK(K113, K$107:$K$121)</f>
        <v>#VALUE!</v>
      </c>
      <c r="N113" s="635"/>
      <c r="O113" s="635"/>
      <c r="P113" s="528"/>
      <c r="Q113" s="530"/>
      <c r="R113" s="530"/>
      <c r="S113" s="528"/>
      <c r="T113" s="659"/>
      <c r="U113" s="528"/>
      <c r="V113" s="530"/>
      <c r="W113" s="530"/>
      <c r="X113" s="528"/>
      <c r="Y113" s="659"/>
      <c r="Z113" s="528"/>
      <c r="AA113" s="530"/>
      <c r="AB113" s="530"/>
      <c r="AC113" s="528"/>
      <c r="AD113" s="659"/>
      <c r="AE113" s="528"/>
      <c r="AF113" s="530"/>
      <c r="AG113" s="530"/>
      <c r="AH113" s="528"/>
      <c r="AI113" s="659"/>
      <c r="AJ113" s="528"/>
      <c r="AK113" s="530"/>
      <c r="AL113" s="530"/>
      <c r="AM113" s="528"/>
      <c r="AN113" s="659"/>
      <c r="AO113" s="528"/>
      <c r="AP113" s="530"/>
      <c r="AQ113" s="530"/>
      <c r="AR113" s="528"/>
      <c r="AS113" s="659"/>
      <c r="AT113" s="528"/>
      <c r="AU113" s="530"/>
      <c r="AV113" s="530"/>
      <c r="AW113" s="528"/>
      <c r="AX113" s="659"/>
      <c r="AZ113" s="372" t="e">
        <f t="shared" si="59"/>
        <v>#N/A</v>
      </c>
      <c r="BA113" s="659"/>
    </row>
    <row r="114" spans="2:53">
      <c r="B114" s="646"/>
      <c r="C114" s="307">
        <v>8</v>
      </c>
      <c r="D114" s="225"/>
      <c r="E114" s="181"/>
      <c r="F114" s="307"/>
      <c r="G114" s="310"/>
      <c r="H114" s="682"/>
      <c r="I114" s="367" t="str">
        <f t="shared" si="56"/>
        <v>-</v>
      </c>
      <c r="J114" s="367" t="str">
        <f t="shared" si="57"/>
        <v>-</v>
      </c>
      <c r="K114" s="199" t="str">
        <f t="shared" si="58"/>
        <v>-</v>
      </c>
      <c r="L114" s="617"/>
      <c r="M114" s="531" t="e">
        <f>RANK(K114, K$107:$K$121)</f>
        <v>#VALUE!</v>
      </c>
      <c r="N114" s="635"/>
      <c r="O114" s="635"/>
      <c r="P114" s="528"/>
      <c r="Q114" s="530"/>
      <c r="R114" s="530"/>
      <c r="S114" s="528"/>
      <c r="T114" s="659"/>
      <c r="U114" s="528"/>
      <c r="V114" s="530"/>
      <c r="W114" s="530"/>
      <c r="X114" s="528"/>
      <c r="Y114" s="659"/>
      <c r="Z114" s="528"/>
      <c r="AA114" s="530"/>
      <c r="AB114" s="530"/>
      <c r="AC114" s="528"/>
      <c r="AD114" s="659"/>
      <c r="AE114" s="528"/>
      <c r="AF114" s="530"/>
      <c r="AG114" s="530"/>
      <c r="AH114" s="528"/>
      <c r="AI114" s="659"/>
      <c r="AJ114" s="528"/>
      <c r="AK114" s="530"/>
      <c r="AL114" s="530"/>
      <c r="AM114" s="528"/>
      <c r="AN114" s="659"/>
      <c r="AO114" s="528"/>
      <c r="AP114" s="530"/>
      <c r="AQ114" s="530"/>
      <c r="AR114" s="528"/>
      <c r="AS114" s="659"/>
      <c r="AT114" s="528"/>
      <c r="AU114" s="530"/>
      <c r="AV114" s="530"/>
      <c r="AW114" s="528"/>
      <c r="AX114" s="659"/>
      <c r="AZ114" s="372" t="e">
        <f t="shared" si="59"/>
        <v>#N/A</v>
      </c>
      <c r="BA114" s="659"/>
    </row>
    <row r="115" spans="2:53">
      <c r="B115" s="646"/>
      <c r="C115" s="307">
        <v>9</v>
      </c>
      <c r="D115" s="225"/>
      <c r="E115" s="181"/>
      <c r="F115" s="307"/>
      <c r="G115" s="310"/>
      <c r="H115" s="682"/>
      <c r="I115" s="367" t="str">
        <f t="shared" si="56"/>
        <v>-</v>
      </c>
      <c r="J115" s="367" t="str">
        <f t="shared" si="57"/>
        <v>-</v>
      </c>
      <c r="K115" s="199" t="str">
        <f t="shared" si="58"/>
        <v>-</v>
      </c>
      <c r="L115" s="617"/>
      <c r="M115" s="531" t="e">
        <f>RANK(K115, K$107:$K$121)</f>
        <v>#VALUE!</v>
      </c>
      <c r="N115" s="635"/>
      <c r="O115" s="635"/>
      <c r="P115" s="528"/>
      <c r="Q115" s="530"/>
      <c r="R115" s="530"/>
      <c r="S115" s="528"/>
      <c r="T115" s="659"/>
      <c r="U115" s="528"/>
      <c r="V115" s="530"/>
      <c r="W115" s="530"/>
      <c r="X115" s="528"/>
      <c r="Y115" s="659"/>
      <c r="Z115" s="528"/>
      <c r="AA115" s="530"/>
      <c r="AB115" s="530"/>
      <c r="AC115" s="528"/>
      <c r="AD115" s="659"/>
      <c r="AE115" s="528"/>
      <c r="AF115" s="530"/>
      <c r="AG115" s="530"/>
      <c r="AH115" s="528"/>
      <c r="AI115" s="659"/>
      <c r="AJ115" s="528"/>
      <c r="AK115" s="530"/>
      <c r="AL115" s="530"/>
      <c r="AM115" s="528"/>
      <c r="AN115" s="659"/>
      <c r="AO115" s="528"/>
      <c r="AP115" s="530"/>
      <c r="AQ115" s="530"/>
      <c r="AR115" s="528"/>
      <c r="AS115" s="659"/>
      <c r="AT115" s="528"/>
      <c r="AU115" s="530"/>
      <c r="AV115" s="530"/>
      <c r="AW115" s="528"/>
      <c r="AX115" s="659"/>
      <c r="AZ115" s="372" t="e">
        <f t="shared" si="59"/>
        <v>#N/A</v>
      </c>
      <c r="BA115" s="659"/>
    </row>
    <row r="116" spans="2:53">
      <c r="B116" s="646"/>
      <c r="C116" s="307">
        <v>10</v>
      </c>
      <c r="D116" s="225"/>
      <c r="E116" s="181"/>
      <c r="F116" s="307"/>
      <c r="G116" s="310"/>
      <c r="H116" s="682"/>
      <c r="I116" s="367" t="str">
        <f t="shared" si="56"/>
        <v>-</v>
      </c>
      <c r="J116" s="367" t="str">
        <f t="shared" si="57"/>
        <v>-</v>
      </c>
      <c r="K116" s="199" t="str">
        <f t="shared" si="58"/>
        <v>-</v>
      </c>
      <c r="L116" s="617"/>
      <c r="M116" s="531" t="e">
        <f>RANK(K116, K$107:$K$121)</f>
        <v>#VALUE!</v>
      </c>
      <c r="N116" s="635"/>
      <c r="O116" s="635"/>
      <c r="P116" s="528"/>
      <c r="Q116" s="530"/>
      <c r="R116" s="530"/>
      <c r="S116" s="528"/>
      <c r="T116" s="659"/>
      <c r="U116" s="528"/>
      <c r="V116" s="530"/>
      <c r="W116" s="530"/>
      <c r="X116" s="528"/>
      <c r="Y116" s="659"/>
      <c r="Z116" s="528"/>
      <c r="AA116" s="530"/>
      <c r="AB116" s="530"/>
      <c r="AC116" s="528"/>
      <c r="AD116" s="659"/>
      <c r="AE116" s="528"/>
      <c r="AF116" s="530"/>
      <c r="AG116" s="530"/>
      <c r="AH116" s="528"/>
      <c r="AI116" s="659"/>
      <c r="AJ116" s="528"/>
      <c r="AK116" s="530"/>
      <c r="AL116" s="530"/>
      <c r="AM116" s="528"/>
      <c r="AN116" s="659"/>
      <c r="AO116" s="528"/>
      <c r="AP116" s="530"/>
      <c r="AQ116" s="530"/>
      <c r="AR116" s="528"/>
      <c r="AS116" s="659"/>
      <c r="AT116" s="528"/>
      <c r="AU116" s="530"/>
      <c r="AV116" s="530"/>
      <c r="AW116" s="528"/>
      <c r="AX116" s="659"/>
      <c r="AZ116" s="372" t="e">
        <f t="shared" si="59"/>
        <v>#N/A</v>
      </c>
      <c r="BA116" s="659"/>
    </row>
    <row r="117" spans="2:53">
      <c r="B117" s="646"/>
      <c r="C117" s="307">
        <v>11</v>
      </c>
      <c r="D117" s="225"/>
      <c r="E117" s="181"/>
      <c r="F117" s="307"/>
      <c r="G117" s="310"/>
      <c r="H117" s="682"/>
      <c r="I117" s="367" t="str">
        <f t="shared" si="56"/>
        <v>-</v>
      </c>
      <c r="J117" s="367" t="str">
        <f t="shared" si="57"/>
        <v>-</v>
      </c>
      <c r="K117" s="199" t="str">
        <f t="shared" si="58"/>
        <v>-</v>
      </c>
      <c r="L117" s="617"/>
      <c r="M117" s="531" t="e">
        <f>RANK(K117, K$107:$K$121)</f>
        <v>#VALUE!</v>
      </c>
      <c r="N117" s="635"/>
      <c r="O117" s="635"/>
      <c r="P117" s="528"/>
      <c r="Q117" s="530"/>
      <c r="R117" s="530"/>
      <c r="S117" s="528"/>
      <c r="T117" s="659"/>
      <c r="U117" s="528"/>
      <c r="V117" s="530"/>
      <c r="W117" s="530"/>
      <c r="X117" s="528"/>
      <c r="Y117" s="659"/>
      <c r="Z117" s="528"/>
      <c r="AA117" s="530"/>
      <c r="AB117" s="530"/>
      <c r="AC117" s="528"/>
      <c r="AD117" s="659"/>
      <c r="AE117" s="528"/>
      <c r="AF117" s="530"/>
      <c r="AG117" s="530"/>
      <c r="AH117" s="528"/>
      <c r="AI117" s="659"/>
      <c r="AJ117" s="528"/>
      <c r="AK117" s="530"/>
      <c r="AL117" s="530"/>
      <c r="AM117" s="528"/>
      <c r="AN117" s="659"/>
      <c r="AO117" s="528"/>
      <c r="AP117" s="530"/>
      <c r="AQ117" s="530"/>
      <c r="AR117" s="528"/>
      <c r="AS117" s="659"/>
      <c r="AT117" s="528"/>
      <c r="AU117" s="530"/>
      <c r="AV117" s="530"/>
      <c r="AW117" s="528"/>
      <c r="AX117" s="659"/>
      <c r="AZ117" s="372" t="e">
        <f t="shared" si="59"/>
        <v>#N/A</v>
      </c>
      <c r="BA117" s="659"/>
    </row>
    <row r="118" spans="2:53">
      <c r="B118" s="646"/>
      <c r="C118" s="307">
        <v>12</v>
      </c>
      <c r="D118" s="225"/>
      <c r="E118" s="181"/>
      <c r="F118" s="307"/>
      <c r="G118" s="310"/>
      <c r="H118" s="682"/>
      <c r="I118" s="367" t="str">
        <f t="shared" si="56"/>
        <v>-</v>
      </c>
      <c r="J118" s="367" t="str">
        <f t="shared" si="57"/>
        <v>-</v>
      </c>
      <c r="K118" s="199" t="str">
        <f t="shared" si="58"/>
        <v>-</v>
      </c>
      <c r="L118" s="617"/>
      <c r="M118" s="531" t="e">
        <f>RANK(K118, K$107:$K$121)</f>
        <v>#VALUE!</v>
      </c>
      <c r="N118" s="635"/>
      <c r="O118" s="635"/>
      <c r="P118" s="528"/>
      <c r="Q118" s="530"/>
      <c r="R118" s="530"/>
      <c r="S118" s="528"/>
      <c r="T118" s="659"/>
      <c r="U118" s="528"/>
      <c r="V118" s="530"/>
      <c r="W118" s="530"/>
      <c r="X118" s="528"/>
      <c r="Y118" s="659"/>
      <c r="Z118" s="528"/>
      <c r="AA118" s="530"/>
      <c r="AB118" s="530"/>
      <c r="AC118" s="528"/>
      <c r="AD118" s="659"/>
      <c r="AE118" s="528"/>
      <c r="AF118" s="530"/>
      <c r="AG118" s="530"/>
      <c r="AH118" s="528"/>
      <c r="AI118" s="659"/>
      <c r="AJ118" s="528"/>
      <c r="AK118" s="530"/>
      <c r="AL118" s="530"/>
      <c r="AM118" s="528"/>
      <c r="AN118" s="659"/>
      <c r="AO118" s="528"/>
      <c r="AP118" s="530"/>
      <c r="AQ118" s="530"/>
      <c r="AR118" s="528"/>
      <c r="AS118" s="659"/>
      <c r="AT118" s="528"/>
      <c r="AU118" s="530"/>
      <c r="AV118" s="530"/>
      <c r="AW118" s="528"/>
      <c r="AX118" s="659"/>
      <c r="AZ118" s="372" t="e">
        <f t="shared" si="59"/>
        <v>#N/A</v>
      </c>
      <c r="BA118" s="659"/>
    </row>
    <row r="119" spans="2:53">
      <c r="B119" s="646"/>
      <c r="C119" s="307">
        <v>13</v>
      </c>
      <c r="D119" s="225"/>
      <c r="E119" s="181"/>
      <c r="F119" s="307"/>
      <c r="G119" s="310"/>
      <c r="H119" s="682"/>
      <c r="I119" s="367" t="str">
        <f t="shared" si="56"/>
        <v>-</v>
      </c>
      <c r="J119" s="367" t="str">
        <f t="shared" si="57"/>
        <v>-</v>
      </c>
      <c r="K119" s="199" t="str">
        <f t="shared" si="58"/>
        <v>-</v>
      </c>
      <c r="L119" s="617"/>
      <c r="M119" s="531" t="e">
        <f>RANK(K119, K$107:$K$121)</f>
        <v>#VALUE!</v>
      </c>
      <c r="N119" s="635"/>
      <c r="O119" s="635"/>
      <c r="P119" s="528"/>
      <c r="Q119" s="530"/>
      <c r="R119" s="530"/>
      <c r="S119" s="528"/>
      <c r="T119" s="659"/>
      <c r="U119" s="528"/>
      <c r="V119" s="530"/>
      <c r="W119" s="530"/>
      <c r="X119" s="528"/>
      <c r="Y119" s="659"/>
      <c r="Z119" s="528"/>
      <c r="AA119" s="530"/>
      <c r="AB119" s="530"/>
      <c r="AC119" s="528"/>
      <c r="AD119" s="659"/>
      <c r="AE119" s="528"/>
      <c r="AF119" s="530"/>
      <c r="AG119" s="530"/>
      <c r="AH119" s="528"/>
      <c r="AI119" s="659"/>
      <c r="AJ119" s="528"/>
      <c r="AK119" s="530"/>
      <c r="AL119" s="530"/>
      <c r="AM119" s="528"/>
      <c r="AN119" s="659"/>
      <c r="AO119" s="528"/>
      <c r="AP119" s="530"/>
      <c r="AQ119" s="530"/>
      <c r="AR119" s="528"/>
      <c r="AS119" s="659"/>
      <c r="AT119" s="528"/>
      <c r="AU119" s="530"/>
      <c r="AV119" s="530"/>
      <c r="AW119" s="528"/>
      <c r="AX119" s="659"/>
      <c r="AZ119" s="372" t="e">
        <f t="shared" si="59"/>
        <v>#N/A</v>
      </c>
      <c r="BA119" s="659"/>
    </row>
    <row r="120" spans="2:53">
      <c r="B120" s="646"/>
      <c r="C120" s="307">
        <v>14</v>
      </c>
      <c r="D120" s="225"/>
      <c r="E120" s="181"/>
      <c r="F120" s="307"/>
      <c r="G120" s="310"/>
      <c r="H120" s="682"/>
      <c r="I120" s="367" t="str">
        <f t="shared" si="56"/>
        <v>-</v>
      </c>
      <c r="J120" s="367" t="str">
        <f t="shared" si="57"/>
        <v>-</v>
      </c>
      <c r="K120" s="199" t="str">
        <f t="shared" si="58"/>
        <v>-</v>
      </c>
      <c r="L120" s="617"/>
      <c r="M120" s="531" t="e">
        <f>RANK(K120, K$107:$K$121)</f>
        <v>#VALUE!</v>
      </c>
      <c r="N120" s="635"/>
      <c r="O120" s="635"/>
      <c r="P120" s="528"/>
      <c r="Q120" s="530"/>
      <c r="R120" s="530"/>
      <c r="S120" s="528"/>
      <c r="T120" s="659"/>
      <c r="U120" s="528"/>
      <c r="V120" s="530"/>
      <c r="W120" s="530"/>
      <c r="X120" s="528"/>
      <c r="Y120" s="659"/>
      <c r="Z120" s="528"/>
      <c r="AA120" s="530"/>
      <c r="AB120" s="530"/>
      <c r="AC120" s="528"/>
      <c r="AD120" s="659"/>
      <c r="AE120" s="528"/>
      <c r="AF120" s="530"/>
      <c r="AG120" s="530"/>
      <c r="AH120" s="528"/>
      <c r="AI120" s="659"/>
      <c r="AJ120" s="528"/>
      <c r="AK120" s="530"/>
      <c r="AL120" s="530"/>
      <c r="AM120" s="528"/>
      <c r="AN120" s="659"/>
      <c r="AO120" s="528"/>
      <c r="AP120" s="530"/>
      <c r="AQ120" s="530"/>
      <c r="AR120" s="528"/>
      <c r="AS120" s="659"/>
      <c r="AT120" s="528"/>
      <c r="AU120" s="530"/>
      <c r="AV120" s="530"/>
      <c r="AW120" s="528"/>
      <c r="AX120" s="659"/>
      <c r="AZ120" s="372" t="e">
        <f t="shared" si="59"/>
        <v>#N/A</v>
      </c>
      <c r="BA120" s="659"/>
    </row>
    <row r="121" spans="2:53">
      <c r="B121" s="646"/>
      <c r="C121" s="307">
        <v>15</v>
      </c>
      <c r="D121" s="225"/>
      <c r="E121" s="181"/>
      <c r="F121" s="307"/>
      <c r="G121" s="310"/>
      <c r="H121" s="683"/>
      <c r="I121" s="201"/>
      <c r="J121" s="201"/>
      <c r="K121" s="201"/>
      <c r="L121" s="618"/>
      <c r="M121" s="531" t="e">
        <f>RANK(K121, K$107:$K$121)</f>
        <v>#N/A</v>
      </c>
      <c r="N121" s="635"/>
      <c r="O121" s="635"/>
      <c r="P121" s="528"/>
      <c r="Q121" s="530"/>
      <c r="R121" s="530"/>
      <c r="S121" s="528"/>
      <c r="T121" s="659"/>
      <c r="U121" s="528"/>
      <c r="V121" s="530"/>
      <c r="W121" s="530"/>
      <c r="X121" s="528"/>
      <c r="Y121" s="659"/>
      <c r="Z121" s="528"/>
      <c r="AA121" s="530"/>
      <c r="AB121" s="530"/>
      <c r="AC121" s="528"/>
      <c r="AD121" s="659"/>
      <c r="AE121" s="528"/>
      <c r="AF121" s="530"/>
      <c r="AG121" s="530"/>
      <c r="AH121" s="528"/>
      <c r="AI121" s="659"/>
      <c r="AJ121" s="528"/>
      <c r="AK121" s="530"/>
      <c r="AL121" s="530"/>
      <c r="AM121" s="528"/>
      <c r="AN121" s="659"/>
      <c r="AO121" s="528"/>
      <c r="AP121" s="530"/>
      <c r="AQ121" s="530"/>
      <c r="AR121" s="528"/>
      <c r="AS121" s="659"/>
      <c r="AT121" s="528"/>
      <c r="AU121" s="530"/>
      <c r="AV121" s="530"/>
      <c r="AW121" s="528"/>
      <c r="AX121" s="659"/>
      <c r="AZ121" s="372" t="e">
        <f t="shared" si="59"/>
        <v>#N/A</v>
      </c>
      <c r="BA121" s="659"/>
    </row>
    <row r="123" spans="2:53" ht="15.75">
      <c r="B123" s="672" t="s">
        <v>475</v>
      </c>
      <c r="C123" s="673"/>
      <c r="D123" s="673"/>
      <c r="E123" s="673"/>
      <c r="F123" s="673"/>
      <c r="G123" s="673"/>
      <c r="H123" s="674"/>
      <c r="I123" s="311"/>
      <c r="J123" s="311"/>
      <c r="K123" s="311"/>
      <c r="L123" s="311"/>
      <c r="M123" s="312"/>
    </row>
    <row r="124" spans="2:53" ht="15.75">
      <c r="B124" s="675"/>
      <c r="C124" s="675"/>
      <c r="D124" s="675"/>
      <c r="E124" s="675"/>
      <c r="F124" s="675"/>
      <c r="G124" s="675"/>
      <c r="H124" s="675"/>
      <c r="I124" s="313"/>
      <c r="J124" s="313"/>
      <c r="K124" s="313"/>
      <c r="L124" s="313"/>
      <c r="M124" s="314"/>
    </row>
    <row r="125" spans="2:53">
      <c r="B125" s="635" t="s">
        <v>476</v>
      </c>
      <c r="C125" s="635" t="s">
        <v>477</v>
      </c>
      <c r="D125" s="635"/>
      <c r="E125" s="635" t="s">
        <v>478</v>
      </c>
      <c r="F125" s="635"/>
      <c r="G125" s="635"/>
      <c r="H125" s="636" t="s">
        <v>479</v>
      </c>
      <c r="I125" s="676" t="s">
        <v>480</v>
      </c>
      <c r="J125" s="676"/>
      <c r="K125" s="676"/>
      <c r="L125" s="688" t="s">
        <v>479</v>
      </c>
      <c r="M125" s="691" t="s">
        <v>481</v>
      </c>
    </row>
    <row r="126" spans="2:53">
      <c r="B126" s="635"/>
      <c r="C126" s="635"/>
      <c r="D126" s="635"/>
      <c r="E126" s="635" t="s">
        <v>482</v>
      </c>
      <c r="F126" s="635"/>
      <c r="G126" s="635"/>
      <c r="H126" s="637"/>
      <c r="I126" s="676" t="s">
        <v>482</v>
      </c>
      <c r="J126" s="676"/>
      <c r="K126" s="676"/>
      <c r="L126" s="689"/>
      <c r="M126" s="692"/>
    </row>
    <row r="127" spans="2:53">
      <c r="B127" s="635"/>
      <c r="C127" s="635"/>
      <c r="D127" s="635"/>
      <c r="E127" s="308" t="s">
        <v>483</v>
      </c>
      <c r="F127" s="308" t="s">
        <v>484</v>
      </c>
      <c r="G127" s="308" t="s">
        <v>485</v>
      </c>
      <c r="H127" s="638"/>
      <c r="I127" s="315" t="s">
        <v>483</v>
      </c>
      <c r="J127" s="315" t="s">
        <v>484</v>
      </c>
      <c r="K127" s="315" t="s">
        <v>485</v>
      </c>
      <c r="L127" s="690"/>
      <c r="M127" s="693"/>
    </row>
    <row r="128" spans="2:53">
      <c r="B128" s="635" t="s">
        <v>489</v>
      </c>
      <c r="C128" s="307">
        <v>1</v>
      </c>
      <c r="D128" s="225"/>
      <c r="E128" s="181"/>
      <c r="F128" s="307"/>
      <c r="G128" s="310"/>
      <c r="H128" s="681" t="e">
        <f>AVERAGE(G128:G142)</f>
        <v>#DIV/0!</v>
      </c>
      <c r="I128" s="198" t="e">
        <f t="shared" ref="I128:J128" si="60">AVERAGEIF($D$7:$D$121,$D128,I$7:I$121)</f>
        <v>#DIV/0!</v>
      </c>
      <c r="J128" s="198" t="e">
        <f t="shared" si="60"/>
        <v>#DIV/0!</v>
      </c>
      <c r="K128" s="198" t="e">
        <f>AVERAGEIF($D$7:$D$121,$D128,K$7:K$121)</f>
        <v>#DIV/0!</v>
      </c>
      <c r="L128" s="685" t="e">
        <f>AVERAGE(K128:K142)</f>
        <v>#DIV/0!</v>
      </c>
      <c r="M128" s="198" t="e">
        <f>RANK(K128, K$128:$K$142)</f>
        <v>#DIV/0!</v>
      </c>
    </row>
    <row r="129" spans="2:39">
      <c r="B129" s="646"/>
      <c r="C129" s="307">
        <v>2</v>
      </c>
      <c r="D129" s="225"/>
      <c r="E129" s="181"/>
      <c r="F129" s="307"/>
      <c r="G129" s="310"/>
      <c r="H129" s="682"/>
      <c r="I129" s="198"/>
      <c r="J129" s="198"/>
      <c r="K129" s="198"/>
      <c r="L129" s="686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6"/>
      <c r="C130" s="307">
        <v>3</v>
      </c>
      <c r="D130" s="225"/>
      <c r="E130" s="181"/>
      <c r="F130" s="307"/>
      <c r="G130" s="310"/>
      <c r="H130" s="682"/>
      <c r="I130" s="198"/>
      <c r="J130" s="198"/>
      <c r="K130" s="198"/>
      <c r="L130" s="686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6"/>
      <c r="C131" s="307">
        <v>4</v>
      </c>
      <c r="D131" s="225"/>
      <c r="E131" s="181"/>
      <c r="F131" s="307"/>
      <c r="G131" s="310"/>
      <c r="H131" s="682"/>
      <c r="I131" s="198"/>
      <c r="J131" s="198"/>
      <c r="K131" s="198"/>
      <c r="L131" s="686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6"/>
      <c r="C132" s="307">
        <v>5</v>
      </c>
      <c r="D132" s="225"/>
      <c r="E132" s="181"/>
      <c r="F132" s="307"/>
      <c r="G132" s="310"/>
      <c r="H132" s="682"/>
      <c r="I132" s="198"/>
      <c r="J132" s="198"/>
      <c r="K132" s="198"/>
      <c r="L132" s="686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6"/>
      <c r="C133" s="307">
        <v>6</v>
      </c>
      <c r="D133" s="316"/>
      <c r="E133" s="181"/>
      <c r="F133" s="307"/>
      <c r="G133" s="310"/>
      <c r="H133" s="682"/>
      <c r="I133" s="198"/>
      <c r="J133" s="198"/>
      <c r="K133" s="198"/>
      <c r="L133" s="686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6"/>
      <c r="C134" s="307">
        <v>7</v>
      </c>
      <c r="D134" s="225"/>
      <c r="E134" s="181"/>
      <c r="F134" s="307"/>
      <c r="G134" s="310"/>
      <c r="H134" s="682"/>
      <c r="I134" s="198"/>
      <c r="J134" s="198"/>
      <c r="K134" s="198"/>
      <c r="L134" s="686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6"/>
      <c r="C135" s="307">
        <v>8</v>
      </c>
      <c r="D135" s="225"/>
      <c r="E135" s="181"/>
      <c r="F135" s="307"/>
      <c r="G135" s="310"/>
      <c r="H135" s="682"/>
      <c r="I135" s="198"/>
      <c r="J135" s="198"/>
      <c r="K135" s="198"/>
      <c r="L135" s="686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6"/>
      <c r="C136" s="307">
        <v>9</v>
      </c>
      <c r="D136" s="225"/>
      <c r="E136" s="307"/>
      <c r="F136" s="307"/>
      <c r="G136" s="307"/>
      <c r="H136" s="682"/>
      <c r="I136" s="198"/>
      <c r="J136" s="198"/>
      <c r="K136" s="198"/>
      <c r="L136" s="686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6"/>
      <c r="C137" s="307">
        <v>10</v>
      </c>
      <c r="D137" s="225"/>
      <c r="E137" s="307"/>
      <c r="F137" s="307"/>
      <c r="G137" s="307"/>
      <c r="H137" s="682"/>
      <c r="I137" s="198"/>
      <c r="J137" s="198"/>
      <c r="K137" s="198"/>
      <c r="L137" s="686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6"/>
      <c r="C138" s="307">
        <v>11</v>
      </c>
      <c r="D138" s="225"/>
      <c r="E138" s="307"/>
      <c r="F138" s="307"/>
      <c r="G138" s="307"/>
      <c r="H138" s="682"/>
      <c r="I138" s="198"/>
      <c r="J138" s="198"/>
      <c r="K138" s="198"/>
      <c r="L138" s="686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6"/>
      <c r="C139" s="307">
        <v>12</v>
      </c>
      <c r="D139" s="225"/>
      <c r="E139" s="307"/>
      <c r="F139" s="307"/>
      <c r="G139" s="307"/>
      <c r="H139" s="682"/>
      <c r="I139" s="198"/>
      <c r="J139" s="198"/>
      <c r="K139" s="198"/>
      <c r="L139" s="686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6"/>
      <c r="C140" s="307">
        <v>13</v>
      </c>
      <c r="D140" s="225"/>
      <c r="E140" s="307"/>
      <c r="F140" s="307"/>
      <c r="G140" s="307"/>
      <c r="H140" s="682"/>
      <c r="I140" s="198"/>
      <c r="J140" s="198"/>
      <c r="K140" s="198"/>
      <c r="L140" s="686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6"/>
      <c r="C141" s="307">
        <v>14</v>
      </c>
      <c r="D141" s="225"/>
      <c r="E141" s="307"/>
      <c r="F141" s="307"/>
      <c r="G141" s="307"/>
      <c r="H141" s="682"/>
      <c r="I141" s="198"/>
      <c r="J141" s="198"/>
      <c r="K141" s="198"/>
      <c r="L141" s="686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6"/>
      <c r="C142" s="307">
        <v>15</v>
      </c>
      <c r="D142" s="225"/>
      <c r="E142" s="307"/>
      <c r="F142" s="307"/>
      <c r="G142" s="307"/>
      <c r="H142" s="683"/>
      <c r="I142" s="198"/>
      <c r="J142" s="198"/>
      <c r="K142" s="198"/>
      <c r="L142" s="687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47"/>
  <sheetViews>
    <sheetView topLeftCell="A67" zoomScale="40" zoomScaleNormal="40" workbookViewId="0">
      <pane xSplit="15" topLeftCell="S1" activePane="topRight" state="frozen"/>
      <selection activeCell="D7" sqref="D7"/>
      <selection pane="topRight" activeCell="AI112" sqref="AI112:AI1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AVERAGE(L7,L42,L77,L112,L147,L182)</f>
        <v>90.207678646771058</v>
      </c>
    </row>
    <row r="2" spans="1:53" ht="15.75">
      <c r="A2" s="81"/>
      <c r="B2" s="650" t="s">
        <v>162</v>
      </c>
      <c r="C2" s="651"/>
      <c r="D2" s="651"/>
      <c r="E2" s="651"/>
      <c r="F2" s="651"/>
      <c r="G2" s="651"/>
      <c r="H2" s="652"/>
      <c r="I2" s="207"/>
      <c r="J2" s="207"/>
      <c r="K2" s="207"/>
      <c r="L2" s="207"/>
      <c r="M2" s="206"/>
      <c r="N2" s="639" t="s">
        <v>156</v>
      </c>
      <c r="O2" s="639" t="s">
        <v>105</v>
      </c>
      <c r="P2" s="697">
        <v>46203</v>
      </c>
      <c r="Q2" s="657" t="s">
        <v>592</v>
      </c>
      <c r="R2" s="657" t="s">
        <v>592</v>
      </c>
      <c r="S2" s="646"/>
      <c r="T2" s="659"/>
      <c r="U2" s="642">
        <f>P2+1</f>
        <v>46204</v>
      </c>
      <c r="V2" s="643"/>
      <c r="W2" s="643"/>
      <c r="X2" s="643"/>
      <c r="Y2" s="644"/>
      <c r="Z2" s="642">
        <f>U2+1</f>
        <v>46205</v>
      </c>
      <c r="AA2" s="643"/>
      <c r="AB2" s="643"/>
      <c r="AC2" s="643"/>
      <c r="AD2" s="644"/>
      <c r="AE2" s="642">
        <f>Z2+1</f>
        <v>46206</v>
      </c>
      <c r="AF2" s="643"/>
      <c r="AG2" s="643"/>
      <c r="AH2" s="643"/>
      <c r="AI2" s="644"/>
      <c r="AJ2" s="642">
        <f>AE2+1</f>
        <v>46207</v>
      </c>
      <c r="AK2" s="643"/>
      <c r="AL2" s="643"/>
      <c r="AM2" s="643"/>
      <c r="AN2" s="644"/>
      <c r="AO2" s="642">
        <f>AJ2+1</f>
        <v>46208</v>
      </c>
      <c r="AP2" s="643"/>
      <c r="AQ2" s="643"/>
      <c r="AR2" s="643"/>
      <c r="AS2" s="644"/>
      <c r="AT2" s="642">
        <f>AO2+1</f>
        <v>46209</v>
      </c>
      <c r="AU2" s="643"/>
      <c r="AV2" s="643"/>
      <c r="AW2" s="643"/>
      <c r="AX2" s="644"/>
    </row>
    <row r="3" spans="1:53" ht="15.75">
      <c r="A3" s="81"/>
      <c r="B3" s="653"/>
      <c r="C3" s="653"/>
      <c r="D3" s="653"/>
      <c r="E3" s="653"/>
      <c r="F3" s="653"/>
      <c r="G3" s="653"/>
      <c r="H3" s="653"/>
      <c r="I3" s="204"/>
      <c r="J3" s="204"/>
      <c r="K3" s="204"/>
      <c r="L3" s="204"/>
      <c r="M3" s="205"/>
      <c r="N3" s="641"/>
      <c r="O3" s="641"/>
      <c r="P3" s="645" t="s">
        <v>158</v>
      </c>
      <c r="Q3" s="646"/>
      <c r="R3" s="646"/>
      <c r="S3" s="646"/>
      <c r="T3" s="646"/>
      <c r="U3" s="645" t="s">
        <v>114</v>
      </c>
      <c r="V3" s="646"/>
      <c r="W3" s="646"/>
      <c r="X3" s="646"/>
      <c r="Y3" s="646"/>
      <c r="Z3" s="645" t="s">
        <v>159</v>
      </c>
      <c r="AA3" s="646"/>
      <c r="AB3" s="646"/>
      <c r="AC3" s="646"/>
      <c r="AD3" s="646"/>
      <c r="AE3" s="645" t="s">
        <v>157</v>
      </c>
      <c r="AF3" s="646"/>
      <c r="AG3" s="646"/>
      <c r="AH3" s="646"/>
      <c r="AI3" s="646"/>
      <c r="AJ3" s="645" t="s">
        <v>160</v>
      </c>
      <c r="AK3" s="646"/>
      <c r="AL3" s="646"/>
      <c r="AM3" s="646"/>
      <c r="AN3" s="646"/>
      <c r="AO3" s="645" t="s">
        <v>115</v>
      </c>
      <c r="AP3" s="646"/>
      <c r="AQ3" s="646"/>
      <c r="AR3" s="646"/>
      <c r="AS3" s="646"/>
      <c r="AT3" s="645" t="s">
        <v>161</v>
      </c>
      <c r="AU3" s="646"/>
      <c r="AV3" s="646"/>
      <c r="AW3" s="646"/>
      <c r="AX3" s="646"/>
    </row>
    <row r="4" spans="1:53" ht="14.25">
      <c r="A4" s="81"/>
      <c r="B4" s="635" t="s">
        <v>154</v>
      </c>
      <c r="C4" s="635" t="s">
        <v>382</v>
      </c>
      <c r="D4" s="635"/>
      <c r="E4" s="635" t="s">
        <v>373</v>
      </c>
      <c r="F4" s="635"/>
      <c r="G4" s="635"/>
      <c r="H4" s="636" t="s">
        <v>369</v>
      </c>
      <c r="I4" s="619" t="s">
        <v>374</v>
      </c>
      <c r="J4" s="619"/>
      <c r="K4" s="619"/>
      <c r="L4" s="620" t="s">
        <v>369</v>
      </c>
      <c r="M4" s="626" t="s">
        <v>370</v>
      </c>
      <c r="N4" s="635"/>
      <c r="O4" s="635" t="s">
        <v>375</v>
      </c>
      <c r="P4" s="632" t="s">
        <v>371</v>
      </c>
      <c r="Q4" s="633"/>
      <c r="R4" s="633"/>
      <c r="S4" s="634"/>
      <c r="T4" s="635" t="s">
        <v>369</v>
      </c>
      <c r="U4" s="632" t="s">
        <v>371</v>
      </c>
      <c r="V4" s="633"/>
      <c r="W4" s="633"/>
      <c r="X4" s="634"/>
      <c r="Y4" s="635" t="s">
        <v>369</v>
      </c>
      <c r="Z4" s="632" t="s">
        <v>371</v>
      </c>
      <c r="AA4" s="633"/>
      <c r="AB4" s="633"/>
      <c r="AC4" s="634"/>
      <c r="AD4" s="635" t="s">
        <v>369</v>
      </c>
      <c r="AE4" s="632" t="s">
        <v>371</v>
      </c>
      <c r="AF4" s="633"/>
      <c r="AG4" s="633"/>
      <c r="AH4" s="634"/>
      <c r="AI4" s="635" t="s">
        <v>369</v>
      </c>
      <c r="AJ4" s="632" t="s">
        <v>371</v>
      </c>
      <c r="AK4" s="633"/>
      <c r="AL4" s="633"/>
      <c r="AM4" s="634"/>
      <c r="AN4" s="635" t="s">
        <v>369</v>
      </c>
      <c r="AO4" s="632" t="s">
        <v>371</v>
      </c>
      <c r="AP4" s="633"/>
      <c r="AQ4" s="633"/>
      <c r="AR4" s="634"/>
      <c r="AS4" s="635" t="s">
        <v>369</v>
      </c>
      <c r="AT4" s="632" t="s">
        <v>371</v>
      </c>
      <c r="AU4" s="633"/>
      <c r="AV4" s="633"/>
      <c r="AW4" s="634"/>
      <c r="AX4" s="635" t="s">
        <v>369</v>
      </c>
      <c r="BA4" s="635" t="s">
        <v>369</v>
      </c>
    </row>
    <row r="5" spans="1:53" ht="14.25">
      <c r="A5" s="81"/>
      <c r="B5" s="635"/>
      <c r="C5" s="635"/>
      <c r="D5" s="635"/>
      <c r="E5" s="635" t="s">
        <v>376</v>
      </c>
      <c r="F5" s="635"/>
      <c r="G5" s="635"/>
      <c r="H5" s="637"/>
      <c r="I5" s="619" t="s">
        <v>376</v>
      </c>
      <c r="J5" s="619"/>
      <c r="K5" s="619"/>
      <c r="L5" s="621"/>
      <c r="M5" s="627"/>
      <c r="N5" s="635"/>
      <c r="O5" s="635"/>
      <c r="P5" s="632" t="s">
        <v>377</v>
      </c>
      <c r="Q5" s="633"/>
      <c r="R5" s="633"/>
      <c r="S5" s="634"/>
      <c r="T5" s="635"/>
      <c r="U5" s="632" t="s">
        <v>377</v>
      </c>
      <c r="V5" s="633"/>
      <c r="W5" s="633"/>
      <c r="X5" s="634"/>
      <c r="Y5" s="635"/>
      <c r="Z5" s="632" t="s">
        <v>377</v>
      </c>
      <c r="AA5" s="633"/>
      <c r="AB5" s="633"/>
      <c r="AC5" s="634"/>
      <c r="AD5" s="635"/>
      <c r="AE5" s="632" t="s">
        <v>377</v>
      </c>
      <c r="AF5" s="633"/>
      <c r="AG5" s="633"/>
      <c r="AH5" s="634"/>
      <c r="AI5" s="635"/>
      <c r="AJ5" s="632" t="s">
        <v>377</v>
      </c>
      <c r="AK5" s="633"/>
      <c r="AL5" s="633"/>
      <c r="AM5" s="634"/>
      <c r="AN5" s="635"/>
      <c r="AO5" s="632" t="s">
        <v>377</v>
      </c>
      <c r="AP5" s="633"/>
      <c r="AQ5" s="633"/>
      <c r="AR5" s="634"/>
      <c r="AS5" s="635"/>
      <c r="AT5" s="632" t="s">
        <v>377</v>
      </c>
      <c r="AU5" s="633"/>
      <c r="AV5" s="633"/>
      <c r="AW5" s="634"/>
      <c r="AX5" s="635"/>
      <c r="BA5" s="635"/>
    </row>
    <row r="6" spans="1:53" ht="14.25">
      <c r="A6" s="79"/>
      <c r="B6" s="635"/>
      <c r="C6" s="635"/>
      <c r="D6" s="635"/>
      <c r="E6" s="533" t="s">
        <v>378</v>
      </c>
      <c r="F6" s="533" t="s">
        <v>379</v>
      </c>
      <c r="G6" s="533" t="s">
        <v>380</v>
      </c>
      <c r="H6" s="638"/>
      <c r="I6" s="538" t="s">
        <v>378</v>
      </c>
      <c r="J6" s="538" t="s">
        <v>379</v>
      </c>
      <c r="K6" s="538" t="s">
        <v>380</v>
      </c>
      <c r="L6" s="622"/>
      <c r="M6" s="628"/>
      <c r="N6" s="635"/>
      <c r="O6" s="635"/>
      <c r="P6" s="533" t="s">
        <v>378</v>
      </c>
      <c r="Q6" s="533" t="s">
        <v>379</v>
      </c>
      <c r="R6" s="533" t="s">
        <v>380</v>
      </c>
      <c r="S6" s="533" t="s">
        <v>370</v>
      </c>
      <c r="T6" s="635"/>
      <c r="U6" s="533" t="s">
        <v>378</v>
      </c>
      <c r="V6" s="533" t="s">
        <v>379</v>
      </c>
      <c r="W6" s="533" t="s">
        <v>380</v>
      </c>
      <c r="X6" s="533" t="s">
        <v>370</v>
      </c>
      <c r="Y6" s="635"/>
      <c r="Z6" s="533" t="s">
        <v>378</v>
      </c>
      <c r="AA6" s="533" t="s">
        <v>379</v>
      </c>
      <c r="AB6" s="533" t="s">
        <v>380</v>
      </c>
      <c r="AC6" s="533" t="s">
        <v>370</v>
      </c>
      <c r="AD6" s="635"/>
      <c r="AE6" s="533" t="s">
        <v>378</v>
      </c>
      <c r="AF6" s="533" t="s">
        <v>379</v>
      </c>
      <c r="AG6" s="533" t="s">
        <v>380</v>
      </c>
      <c r="AH6" s="533" t="s">
        <v>370</v>
      </c>
      <c r="AI6" s="635"/>
      <c r="AJ6" s="533" t="s">
        <v>378</v>
      </c>
      <c r="AK6" s="533" t="s">
        <v>379</v>
      </c>
      <c r="AL6" s="533" t="s">
        <v>380</v>
      </c>
      <c r="AM6" s="533" t="s">
        <v>370</v>
      </c>
      <c r="AN6" s="635"/>
      <c r="AO6" s="533" t="s">
        <v>378</v>
      </c>
      <c r="AP6" s="533" t="s">
        <v>379</v>
      </c>
      <c r="AQ6" s="533" t="s">
        <v>380</v>
      </c>
      <c r="AR6" s="533" t="s">
        <v>370</v>
      </c>
      <c r="AS6" s="635"/>
      <c r="AT6" s="533" t="s">
        <v>378</v>
      </c>
      <c r="AU6" s="533" t="s">
        <v>379</v>
      </c>
      <c r="AV6" s="533" t="s">
        <v>380</v>
      </c>
      <c r="AW6" s="533" t="s">
        <v>370</v>
      </c>
      <c r="AX6" s="635"/>
      <c r="AZ6" s="371" t="s">
        <v>370</v>
      </c>
      <c r="BA6" s="635"/>
    </row>
    <row r="7" spans="1:53" ht="14.25">
      <c r="A7" s="81"/>
      <c r="B7" s="635" t="s">
        <v>134</v>
      </c>
      <c r="C7" s="535">
        <v>1</v>
      </c>
      <c r="D7" s="225" t="s">
        <v>343</v>
      </c>
      <c r="E7" s="539">
        <v>6</v>
      </c>
      <c r="F7" s="535">
        <v>1500</v>
      </c>
      <c r="G7" s="534">
        <v>250</v>
      </c>
      <c r="H7" s="681">
        <f>AVERAGE(G7:G36)</f>
        <v>100.48781424148609</v>
      </c>
      <c r="I7" s="536">
        <f>IFERROR(AVERAGE(P7,U7,Z7,AE7,AJ7,AO7,AT7),"-")</f>
        <v>6</v>
      </c>
      <c r="J7" s="536">
        <f>IFERROR(AVERAGE(Q7,V7,AA7,AF7,AK7,AP7,AU7),"-")</f>
        <v>1460.0376316739889</v>
      </c>
      <c r="K7" s="199">
        <f>IFERROR(AVERAGE(R7,W7,AB7,AG7,AL7,AQ7,AV7),"-")</f>
        <v>243.33960527899814</v>
      </c>
      <c r="L7" s="616">
        <f>IFERROR(AVERAGE(K7:K36),"-")</f>
        <v>89.818152568566759</v>
      </c>
      <c r="M7" s="531">
        <f>RANK(K7, K$7:$K$36)</f>
        <v>1</v>
      </c>
      <c r="N7" s="635"/>
      <c r="O7" s="635"/>
      <c r="P7" s="535">
        <v>6</v>
      </c>
      <c r="Q7" s="539">
        <v>1458.9391304347823</v>
      </c>
      <c r="R7" s="539">
        <v>243.1565217391304</v>
      </c>
      <c r="S7" s="535">
        <v>2</v>
      </c>
      <c r="T7" s="659">
        <v>89.636980885205389</v>
      </c>
      <c r="U7" s="535">
        <v>6</v>
      </c>
      <c r="V7" s="539">
        <v>1471.1094339622643</v>
      </c>
      <c r="W7" s="539">
        <v>245.18490566037738</v>
      </c>
      <c r="X7" s="535">
        <v>1</v>
      </c>
      <c r="Y7" s="659">
        <v>91.530329012280504</v>
      </c>
      <c r="Z7" s="535">
        <v>6</v>
      </c>
      <c r="AA7" s="539">
        <v>1467.2000000000003</v>
      </c>
      <c r="AB7" s="539">
        <v>244.53333333333339</v>
      </c>
      <c r="AC7" s="535">
        <v>1</v>
      </c>
      <c r="AD7" s="659">
        <v>91.030270182013126</v>
      </c>
      <c r="AE7" s="535">
        <v>6</v>
      </c>
      <c r="AF7" s="539">
        <v>1463.387586206896</v>
      </c>
      <c r="AG7" s="539">
        <v>243.89793103448267</v>
      </c>
      <c r="AH7" s="535">
        <v>2</v>
      </c>
      <c r="AI7" s="659">
        <v>93.401220977632121</v>
      </c>
      <c r="AJ7" s="535">
        <v>6</v>
      </c>
      <c r="AK7" s="539">
        <v>1436.0139130434784</v>
      </c>
      <c r="AL7" s="539">
        <v>239.33565217391308</v>
      </c>
      <c r="AM7" s="535">
        <v>2</v>
      </c>
      <c r="AN7" s="659">
        <v>92.628425859064208</v>
      </c>
      <c r="AO7" s="535">
        <v>6</v>
      </c>
      <c r="AP7" s="539">
        <v>1447.7224489795924</v>
      </c>
      <c r="AQ7" s="539">
        <v>241.28707482993207</v>
      </c>
      <c r="AR7" s="535">
        <v>2</v>
      </c>
      <c r="AS7" s="659">
        <v>92.852075537151109</v>
      </c>
      <c r="AT7" s="535">
        <v>6</v>
      </c>
      <c r="AU7" s="539">
        <v>1475.8909090909092</v>
      </c>
      <c r="AV7" s="539">
        <v>245.9818181818182</v>
      </c>
      <c r="AW7" s="535">
        <v>1</v>
      </c>
      <c r="AX7" s="659">
        <v>92.450576362240398</v>
      </c>
      <c r="AZ7" s="372" t="e">
        <f>RANK(AY7, AY$7:AY$36)</f>
        <v>#N/A</v>
      </c>
      <c r="BA7" s="659" t="e">
        <f>AVERAGE(AY7:AY36)</f>
        <v>#DIV/0!</v>
      </c>
    </row>
    <row r="8" spans="1:53" ht="15" customHeight="1">
      <c r="A8" s="81"/>
      <c r="B8" s="646"/>
      <c r="C8" s="535">
        <v>2</v>
      </c>
      <c r="D8" s="225" t="s">
        <v>593</v>
      </c>
      <c r="E8" s="539">
        <v>6</v>
      </c>
      <c r="F8" s="535">
        <v>1636</v>
      </c>
      <c r="G8" s="534">
        <v>272.7</v>
      </c>
      <c r="H8" s="682"/>
      <c r="I8" s="536">
        <f t="shared" ref="I8:I36" si="0">IFERROR(AVERAGE(P8,U8,Z8,AE8,AJ8,AO8,AT8),"-")</f>
        <v>6</v>
      </c>
      <c r="J8" s="536">
        <f t="shared" ref="J8:J36" si="1">IFERROR(AVERAGE(Q8,V8,AA8,AF8,AK8,AP8,AU8),"-")</f>
        <v>1456.4157784908837</v>
      </c>
      <c r="K8" s="199">
        <f t="shared" ref="K8:K36" si="2">IFERROR(AVERAGE(R8,W8,AB8,AG8,AL8,AQ8,AV8),"-")</f>
        <v>242.73596308181394</v>
      </c>
      <c r="L8" s="617"/>
      <c r="M8" s="531">
        <f>RANK(K8, K$7:$K$36)</f>
        <v>2</v>
      </c>
      <c r="N8" s="635"/>
      <c r="O8" s="635"/>
      <c r="P8" s="535">
        <v>6</v>
      </c>
      <c r="Q8" s="539">
        <v>1466.5714285714289</v>
      </c>
      <c r="R8" s="539">
        <v>244.42857142857147</v>
      </c>
      <c r="S8" s="535">
        <v>1</v>
      </c>
      <c r="T8" s="659"/>
      <c r="U8" s="535">
        <v>6</v>
      </c>
      <c r="V8" s="539">
        <v>1446.4615384615381</v>
      </c>
      <c r="W8" s="539">
        <v>241.07692307692301</v>
      </c>
      <c r="X8" s="535">
        <v>2</v>
      </c>
      <c r="Y8" s="659"/>
      <c r="Z8" s="535">
        <v>6</v>
      </c>
      <c r="AA8" s="539">
        <v>1454.0624999999995</v>
      </c>
      <c r="AB8" s="539">
        <v>242.34374999999991</v>
      </c>
      <c r="AC8" s="535">
        <v>2</v>
      </c>
      <c r="AD8" s="659"/>
      <c r="AE8" s="535">
        <v>6</v>
      </c>
      <c r="AF8" s="539">
        <v>1465.3846153846162</v>
      </c>
      <c r="AG8" s="539">
        <v>244.23076923076937</v>
      </c>
      <c r="AH8" s="535">
        <v>1</v>
      </c>
      <c r="AI8" s="659"/>
      <c r="AJ8" s="535">
        <v>6</v>
      </c>
      <c r="AK8" s="539">
        <v>1442.2222222222229</v>
      </c>
      <c r="AL8" s="539">
        <v>240.37037037037047</v>
      </c>
      <c r="AM8" s="535">
        <v>1</v>
      </c>
      <c r="AN8" s="659"/>
      <c r="AO8" s="535">
        <v>6</v>
      </c>
      <c r="AP8" s="539">
        <v>1471.384615384615</v>
      </c>
      <c r="AQ8" s="539">
        <v>245.23076923076917</v>
      </c>
      <c r="AR8" s="535">
        <v>1</v>
      </c>
      <c r="AS8" s="659"/>
      <c r="AT8" s="535">
        <v>6</v>
      </c>
      <c r="AU8" s="539">
        <v>1448.8235294117649</v>
      </c>
      <c r="AV8" s="539">
        <v>241.47058823529414</v>
      </c>
      <c r="AW8" s="535">
        <v>2</v>
      </c>
      <c r="AX8" s="659"/>
      <c r="AZ8" s="372" t="e">
        <f t="shared" ref="AZ8:AZ36" si="3">RANK(AY8, AY$7:AY$36)</f>
        <v>#N/A</v>
      </c>
      <c r="BA8" s="659"/>
    </row>
    <row r="9" spans="1:53" ht="14.25">
      <c r="A9" s="81"/>
      <c r="B9" s="646"/>
      <c r="C9" s="535">
        <v>3</v>
      </c>
      <c r="D9" s="225" t="s">
        <v>584</v>
      </c>
      <c r="E9" s="539">
        <v>16</v>
      </c>
      <c r="F9" s="535">
        <v>1500</v>
      </c>
      <c r="G9" s="534">
        <v>93.8</v>
      </c>
      <c r="H9" s="682"/>
      <c r="I9" s="536">
        <f t="shared" si="0"/>
        <v>17</v>
      </c>
      <c r="J9" s="536">
        <f t="shared" si="1"/>
        <v>1385.7019375749992</v>
      </c>
      <c r="K9" s="199">
        <f t="shared" si="2"/>
        <v>81.511878680882319</v>
      </c>
      <c r="L9" s="617"/>
      <c r="M9" s="531">
        <f>RANK(K9, K$7:$K$36)</f>
        <v>10</v>
      </c>
      <c r="N9" s="635"/>
      <c r="O9" s="635"/>
      <c r="P9" s="535">
        <v>17</v>
      </c>
      <c r="Q9" s="539">
        <v>1353.6000000000004</v>
      </c>
      <c r="R9" s="539">
        <v>79.623529411764721</v>
      </c>
      <c r="S9" s="535">
        <v>11</v>
      </c>
      <c r="T9" s="659"/>
      <c r="U9" s="535">
        <v>17</v>
      </c>
      <c r="V9" s="539">
        <v>1415.4545454545455</v>
      </c>
      <c r="W9" s="539">
        <v>83.262032085561501</v>
      </c>
      <c r="X9" s="535">
        <v>8</v>
      </c>
      <c r="Y9" s="659"/>
      <c r="Z9" s="535">
        <v>17</v>
      </c>
      <c r="AA9" s="539">
        <v>1388.5714285714282</v>
      </c>
      <c r="AB9" s="539">
        <v>81.680672268907543</v>
      </c>
      <c r="AC9" s="535">
        <v>10</v>
      </c>
      <c r="AD9" s="659"/>
      <c r="AE9" s="535">
        <v>17</v>
      </c>
      <c r="AF9" s="539">
        <v>1412.0689655172425</v>
      </c>
      <c r="AG9" s="539">
        <v>83.062880324543684</v>
      </c>
      <c r="AH9" s="535">
        <v>9</v>
      </c>
      <c r="AI9" s="659"/>
      <c r="AJ9" s="535">
        <v>17</v>
      </c>
      <c r="AK9" s="539">
        <v>1370.5263157894726</v>
      </c>
      <c r="AL9" s="539">
        <v>80.619195046439572</v>
      </c>
      <c r="AM9" s="535">
        <v>12</v>
      </c>
      <c r="AN9" s="659"/>
      <c r="AO9" s="535">
        <v>17</v>
      </c>
      <c r="AP9" s="539">
        <v>1387.9999999999993</v>
      </c>
      <c r="AQ9" s="539">
        <v>81.647058823529377</v>
      </c>
      <c r="AR9" s="535">
        <v>10</v>
      </c>
      <c r="AS9" s="659"/>
      <c r="AT9" s="535">
        <v>17</v>
      </c>
      <c r="AU9" s="539">
        <v>1371.6923076923072</v>
      </c>
      <c r="AV9" s="539">
        <v>80.687782805429833</v>
      </c>
      <c r="AW9" s="535">
        <v>10</v>
      </c>
      <c r="AX9" s="659"/>
      <c r="AZ9" s="372" t="e">
        <f t="shared" si="3"/>
        <v>#N/A</v>
      </c>
      <c r="BA9" s="659"/>
    </row>
    <row r="10" spans="1:53" ht="14.25">
      <c r="A10" s="81"/>
      <c r="B10" s="646"/>
      <c r="C10" s="535">
        <v>4</v>
      </c>
      <c r="D10" s="225" t="s">
        <v>553</v>
      </c>
      <c r="E10" s="539">
        <v>18</v>
      </c>
      <c r="F10" s="535">
        <v>1500</v>
      </c>
      <c r="G10" s="534">
        <v>83.3</v>
      </c>
      <c r="H10" s="682"/>
      <c r="I10" s="536">
        <f t="shared" si="0"/>
        <v>18</v>
      </c>
      <c r="J10" s="536">
        <f t="shared" si="1"/>
        <v>1303.0193898432303</v>
      </c>
      <c r="K10" s="199">
        <f t="shared" si="2"/>
        <v>72.389966102401686</v>
      </c>
      <c r="L10" s="617"/>
      <c r="M10" s="531">
        <f>RANK(K10, K$7:$K$36)</f>
        <v>18</v>
      </c>
      <c r="N10" s="635"/>
      <c r="O10" s="635"/>
      <c r="P10" s="535">
        <v>18</v>
      </c>
      <c r="Q10" s="539">
        <v>1317.3333333333333</v>
      </c>
      <c r="R10" s="539">
        <v>73.185185185185176</v>
      </c>
      <c r="S10" s="535">
        <v>17</v>
      </c>
      <c r="T10" s="659"/>
      <c r="U10" s="535">
        <v>18</v>
      </c>
      <c r="V10" s="539">
        <v>1302.8571428571424</v>
      </c>
      <c r="W10" s="539">
        <v>72.380952380952351</v>
      </c>
      <c r="X10" s="535">
        <v>19</v>
      </c>
      <c r="Y10" s="659"/>
      <c r="Z10" s="535">
        <v>18</v>
      </c>
      <c r="AA10" s="539">
        <v>1289.9999999999995</v>
      </c>
      <c r="AB10" s="539">
        <v>71.666666666666643</v>
      </c>
      <c r="AC10" s="535">
        <v>18</v>
      </c>
      <c r="AD10" s="659"/>
      <c r="AE10" s="535">
        <v>18</v>
      </c>
      <c r="AF10" s="539">
        <v>1289.9999999999989</v>
      </c>
      <c r="AG10" s="539">
        <v>71.6666666666666</v>
      </c>
      <c r="AH10" s="535">
        <v>18</v>
      </c>
      <c r="AI10" s="659"/>
      <c r="AJ10" s="535">
        <v>18</v>
      </c>
      <c r="AK10" s="539">
        <v>1292.608695652174</v>
      </c>
      <c r="AL10" s="539">
        <v>71.811594202898561</v>
      </c>
      <c r="AM10" s="535">
        <v>18</v>
      </c>
      <c r="AN10" s="659"/>
      <c r="AO10" s="535">
        <v>18</v>
      </c>
      <c r="AP10" s="539">
        <v>1317.2727272727295</v>
      </c>
      <c r="AQ10" s="539">
        <v>73.181818181818301</v>
      </c>
      <c r="AR10" s="535">
        <v>18</v>
      </c>
      <c r="AS10" s="659"/>
      <c r="AT10" s="535">
        <v>18</v>
      </c>
      <c r="AU10" s="539">
        <v>1311.0638297872342</v>
      </c>
      <c r="AV10" s="539">
        <v>72.83687943262413</v>
      </c>
      <c r="AW10" s="535">
        <v>18</v>
      </c>
      <c r="AX10" s="659"/>
      <c r="AZ10" s="372" t="e">
        <f t="shared" si="3"/>
        <v>#N/A</v>
      </c>
      <c r="BA10" s="659"/>
    </row>
    <row r="11" spans="1:53" ht="14.25">
      <c r="A11" s="81"/>
      <c r="B11" s="646"/>
      <c r="C11" s="535">
        <v>5</v>
      </c>
      <c r="D11" s="225" t="s">
        <v>345</v>
      </c>
      <c r="E11" s="539">
        <v>16</v>
      </c>
      <c r="F11" s="535">
        <v>1565</v>
      </c>
      <c r="G11" s="534">
        <v>97.8</v>
      </c>
      <c r="H11" s="682"/>
      <c r="I11" s="536">
        <f t="shared" si="0"/>
        <v>16</v>
      </c>
      <c r="J11" s="536">
        <f t="shared" si="1"/>
        <v>1392.6126134629287</v>
      </c>
      <c r="K11" s="199">
        <f t="shared" si="2"/>
        <v>87.038288341433045</v>
      </c>
      <c r="L11" s="617"/>
      <c r="M11" s="531">
        <f>RANK(K11, K$7:$K$36)</f>
        <v>6</v>
      </c>
      <c r="N11" s="635"/>
      <c r="O11" s="635"/>
      <c r="P11" s="535">
        <v>16</v>
      </c>
      <c r="Q11" s="539">
        <v>1399.7419354838723</v>
      </c>
      <c r="R11" s="539">
        <v>87.483870967742021</v>
      </c>
      <c r="S11" s="535">
        <v>4</v>
      </c>
      <c r="T11" s="659"/>
      <c r="U11" s="535">
        <v>16</v>
      </c>
      <c r="V11" s="539">
        <v>1393.7777777777785</v>
      </c>
      <c r="W11" s="539">
        <v>87.111111111111157</v>
      </c>
      <c r="X11" s="535">
        <v>7</v>
      </c>
      <c r="Y11" s="659"/>
      <c r="Z11" s="535">
        <v>16</v>
      </c>
      <c r="AA11" s="539">
        <v>1375.3846153846168</v>
      </c>
      <c r="AB11" s="539">
        <v>85.961538461538552</v>
      </c>
      <c r="AC11" s="535">
        <v>6</v>
      </c>
      <c r="AD11" s="659"/>
      <c r="AE11" s="535">
        <v>16</v>
      </c>
      <c r="AF11" s="539">
        <v>1398.3870967741948</v>
      </c>
      <c r="AG11" s="539">
        <v>87.399193548387174</v>
      </c>
      <c r="AH11" s="535">
        <v>6</v>
      </c>
      <c r="AI11" s="659"/>
      <c r="AJ11" s="535">
        <v>16</v>
      </c>
      <c r="AK11" s="539">
        <v>1395.4054054054045</v>
      </c>
      <c r="AL11" s="539">
        <v>87.212837837837782</v>
      </c>
      <c r="AM11" s="535">
        <v>5</v>
      </c>
      <c r="AN11" s="659"/>
      <c r="AO11" s="535">
        <v>16</v>
      </c>
      <c r="AP11" s="539">
        <v>1379.2499999999995</v>
      </c>
      <c r="AQ11" s="539">
        <v>86.203124999999972</v>
      </c>
      <c r="AR11" s="535">
        <v>5</v>
      </c>
      <c r="AS11" s="659"/>
      <c r="AT11" s="535">
        <v>16</v>
      </c>
      <c r="AU11" s="539">
        <v>1406.3414634146336</v>
      </c>
      <c r="AV11" s="539">
        <v>87.896341463414601</v>
      </c>
      <c r="AW11" s="535">
        <v>6</v>
      </c>
      <c r="AX11" s="659"/>
      <c r="AZ11" s="372" t="e">
        <f t="shared" si="3"/>
        <v>#N/A</v>
      </c>
      <c r="BA11" s="659"/>
    </row>
    <row r="12" spans="1:53" ht="14.25">
      <c r="A12" s="81"/>
      <c r="B12" s="646"/>
      <c r="C12" s="535">
        <v>6</v>
      </c>
      <c r="D12" s="225" t="s">
        <v>639</v>
      </c>
      <c r="E12" s="539">
        <v>20</v>
      </c>
      <c r="F12" s="535">
        <v>1440</v>
      </c>
      <c r="G12" s="534">
        <v>72</v>
      </c>
      <c r="H12" s="682"/>
      <c r="I12" s="536">
        <f t="shared" si="0"/>
        <v>20.428571428571427</v>
      </c>
      <c r="J12" s="536">
        <f t="shared" si="1"/>
        <v>1268.2263221527921</v>
      </c>
      <c r="K12" s="199">
        <f t="shared" si="2"/>
        <v>62.110997461662699</v>
      </c>
      <c r="L12" s="617"/>
      <c r="M12" s="531">
        <f>RANK(K12, K$7:$K$36)</f>
        <v>23</v>
      </c>
      <c r="N12" s="635"/>
      <c r="O12" s="635"/>
      <c r="P12" s="535">
        <v>21</v>
      </c>
      <c r="Q12" s="539">
        <v>1287.4074074074069</v>
      </c>
      <c r="R12" s="539">
        <v>61.305114638447947</v>
      </c>
      <c r="S12" s="535">
        <v>23</v>
      </c>
      <c r="T12" s="659"/>
      <c r="U12" s="535">
        <v>21</v>
      </c>
      <c r="V12" s="539">
        <v>1275.5294117647056</v>
      </c>
      <c r="W12" s="539">
        <v>60.739495798319318</v>
      </c>
      <c r="X12" s="535">
        <v>23</v>
      </c>
      <c r="Y12" s="659"/>
      <c r="Z12" s="535">
        <v>20</v>
      </c>
      <c r="AA12" s="539">
        <v>1271.9999999999991</v>
      </c>
      <c r="AB12" s="539">
        <v>63.599999999999952</v>
      </c>
      <c r="AC12" s="535">
        <v>23</v>
      </c>
      <c r="AD12" s="659"/>
      <c r="AE12" s="535">
        <v>21</v>
      </c>
      <c r="AF12" s="539">
        <v>1259.9999999999989</v>
      </c>
      <c r="AG12" s="539">
        <v>59.999999999999943</v>
      </c>
      <c r="AH12" s="535">
        <v>23</v>
      </c>
      <c r="AI12" s="659"/>
      <c r="AJ12" s="535">
        <v>20</v>
      </c>
      <c r="AK12" s="539">
        <v>1244.1666666666658</v>
      </c>
      <c r="AL12" s="539">
        <v>62.208333333333293</v>
      </c>
      <c r="AM12" s="535">
        <v>23</v>
      </c>
      <c r="AN12" s="659"/>
      <c r="AO12" s="535">
        <v>20</v>
      </c>
      <c r="AP12" s="539">
        <v>1279.2307692307686</v>
      </c>
      <c r="AQ12" s="539">
        <v>63.961538461538431</v>
      </c>
      <c r="AR12" s="535">
        <v>23</v>
      </c>
      <c r="AS12" s="659"/>
      <c r="AT12" s="535">
        <v>20</v>
      </c>
      <c r="AU12" s="539">
        <v>1259.2499999999995</v>
      </c>
      <c r="AV12" s="539">
        <v>62.962499999999977</v>
      </c>
      <c r="AW12" s="535">
        <v>23</v>
      </c>
      <c r="AX12" s="659"/>
      <c r="AZ12" s="372" t="e">
        <f t="shared" si="3"/>
        <v>#N/A</v>
      </c>
      <c r="BA12" s="659"/>
    </row>
    <row r="13" spans="1:53" ht="14.25">
      <c r="A13" s="81"/>
      <c r="B13" s="646"/>
      <c r="C13" s="535">
        <v>7</v>
      </c>
      <c r="D13" s="225" t="s">
        <v>612</v>
      </c>
      <c r="E13" s="539">
        <v>16</v>
      </c>
      <c r="F13" s="535">
        <v>1500</v>
      </c>
      <c r="G13" s="534">
        <v>93.8</v>
      </c>
      <c r="H13" s="682"/>
      <c r="I13" s="536">
        <f t="shared" si="0"/>
        <v>16</v>
      </c>
      <c r="J13" s="536">
        <f t="shared" si="1"/>
        <v>1404.4152098537259</v>
      </c>
      <c r="K13" s="199">
        <f t="shared" si="2"/>
        <v>87.775950615857866</v>
      </c>
      <c r="L13" s="617"/>
      <c r="M13" s="531">
        <f>RANK(K13, K$7:$K$36)</f>
        <v>4</v>
      </c>
      <c r="N13" s="635"/>
      <c r="O13" s="635"/>
      <c r="P13" s="535">
        <v>16</v>
      </c>
      <c r="Q13" s="539">
        <v>1383.6923076923092</v>
      </c>
      <c r="R13" s="539">
        <v>86.480769230769326</v>
      </c>
      <c r="S13" s="535">
        <v>5</v>
      </c>
      <c r="T13" s="659"/>
      <c r="U13" s="535">
        <v>16</v>
      </c>
      <c r="V13" s="539">
        <v>1395.7894736842115</v>
      </c>
      <c r="W13" s="539">
        <v>87.236842105263221</v>
      </c>
      <c r="X13" s="535">
        <v>6</v>
      </c>
      <c r="Y13" s="659"/>
      <c r="Z13" s="535">
        <v>16</v>
      </c>
      <c r="AA13" s="539">
        <v>1406.0487804878044</v>
      </c>
      <c r="AB13" s="539">
        <v>87.878048780487774</v>
      </c>
      <c r="AC13" s="535">
        <v>4</v>
      </c>
      <c r="AD13" s="659"/>
      <c r="AE13" s="535">
        <v>16</v>
      </c>
      <c r="AF13" s="539">
        <v>1412.9230769230765</v>
      </c>
      <c r="AG13" s="539">
        <v>88.307692307692278</v>
      </c>
      <c r="AH13" s="535">
        <v>5</v>
      </c>
      <c r="AI13" s="659"/>
      <c r="AJ13" s="535">
        <v>16</v>
      </c>
      <c r="AK13" s="539">
        <v>1424.0000000000005</v>
      </c>
      <c r="AL13" s="539">
        <v>89.000000000000028</v>
      </c>
      <c r="AM13" s="535">
        <v>4</v>
      </c>
      <c r="AN13" s="659"/>
      <c r="AO13" s="535">
        <v>16</v>
      </c>
      <c r="AP13" s="539">
        <v>1392.0000000000005</v>
      </c>
      <c r="AQ13" s="539">
        <v>87.000000000000028</v>
      </c>
      <c r="AR13" s="535">
        <v>4</v>
      </c>
      <c r="AS13" s="659"/>
      <c r="AT13" s="535">
        <v>16</v>
      </c>
      <c r="AU13" s="539">
        <v>1416.4528301886801</v>
      </c>
      <c r="AV13" s="539">
        <v>88.528301886792505</v>
      </c>
      <c r="AW13" s="535">
        <v>5</v>
      </c>
      <c r="AX13" s="659"/>
      <c r="AZ13" s="372" t="e">
        <f t="shared" si="3"/>
        <v>#N/A</v>
      </c>
      <c r="BA13" s="659"/>
    </row>
    <row r="14" spans="1:53" ht="14.25">
      <c r="A14" s="81"/>
      <c r="B14" s="646"/>
      <c r="C14" s="535">
        <v>8</v>
      </c>
      <c r="D14" s="225" t="s">
        <v>578</v>
      </c>
      <c r="E14" s="539">
        <v>16</v>
      </c>
      <c r="F14" s="535">
        <v>1440</v>
      </c>
      <c r="G14" s="534">
        <v>90</v>
      </c>
      <c r="H14" s="682"/>
      <c r="I14" s="536">
        <f t="shared" si="0"/>
        <v>16</v>
      </c>
      <c r="J14" s="536">
        <f t="shared" si="1"/>
        <v>1322.0827237956223</v>
      </c>
      <c r="K14" s="199">
        <f t="shared" si="2"/>
        <v>82.630170237226395</v>
      </c>
      <c r="L14" s="617"/>
      <c r="M14" s="531">
        <f>RANK(K14, K$7:$K$36)</f>
        <v>8</v>
      </c>
      <c r="N14" s="635"/>
      <c r="O14" s="635"/>
      <c r="P14" s="535">
        <v>16</v>
      </c>
      <c r="Q14" s="539">
        <v>1326.3829787234044</v>
      </c>
      <c r="R14" s="539">
        <v>82.898936170212778</v>
      </c>
      <c r="S14" s="535">
        <v>8</v>
      </c>
      <c r="T14" s="659"/>
      <c r="U14" s="535">
        <v>16</v>
      </c>
      <c r="V14" s="539">
        <v>1310.4545454545455</v>
      </c>
      <c r="W14" s="539">
        <v>81.903409090909093</v>
      </c>
      <c r="X14" s="535">
        <v>9</v>
      </c>
      <c r="Y14" s="659"/>
      <c r="Z14" s="535">
        <v>16</v>
      </c>
      <c r="AA14" s="539">
        <v>1332.6315789473674</v>
      </c>
      <c r="AB14" s="539">
        <v>83.289473684210463</v>
      </c>
      <c r="AC14" s="535">
        <v>7</v>
      </c>
      <c r="AD14" s="659"/>
      <c r="AE14" s="535">
        <v>16</v>
      </c>
      <c r="AF14" s="539">
        <v>1301.8604651162789</v>
      </c>
      <c r="AG14" s="539">
        <v>81.36627906976743</v>
      </c>
      <c r="AH14" s="535">
        <v>11</v>
      </c>
      <c r="AI14" s="659"/>
      <c r="AJ14" s="535">
        <v>16</v>
      </c>
      <c r="AK14" s="539">
        <v>1318.695652173913</v>
      </c>
      <c r="AL14" s="539">
        <v>82.418478260869563</v>
      </c>
      <c r="AM14" s="535">
        <v>8</v>
      </c>
      <c r="AN14" s="659"/>
      <c r="AO14" s="535">
        <v>16</v>
      </c>
      <c r="AP14" s="539">
        <v>1336.1538461538469</v>
      </c>
      <c r="AQ14" s="539">
        <v>83.509615384615429</v>
      </c>
      <c r="AR14" s="535">
        <v>7</v>
      </c>
      <c r="AS14" s="659"/>
      <c r="AT14" s="535">
        <v>16</v>
      </c>
      <c r="AU14" s="539">
        <v>1328.4000000000005</v>
      </c>
      <c r="AV14" s="539">
        <v>83.025000000000034</v>
      </c>
      <c r="AW14" s="535">
        <v>7</v>
      </c>
      <c r="AX14" s="659"/>
      <c r="AZ14" s="372" t="e">
        <f t="shared" si="3"/>
        <v>#N/A</v>
      </c>
      <c r="BA14" s="659"/>
    </row>
    <row r="15" spans="1:53" ht="14.25">
      <c r="A15" s="81"/>
      <c r="B15" s="646"/>
      <c r="C15" s="535">
        <v>9</v>
      </c>
      <c r="D15" s="225" t="s">
        <v>579</v>
      </c>
      <c r="E15" s="539">
        <v>18</v>
      </c>
      <c r="F15" s="535">
        <v>1636</v>
      </c>
      <c r="G15" s="534">
        <v>90.9</v>
      </c>
      <c r="H15" s="682"/>
      <c r="I15" s="536">
        <f t="shared" si="0"/>
        <v>18</v>
      </c>
      <c r="J15" s="536">
        <f t="shared" si="1"/>
        <v>1432.0990621746473</v>
      </c>
      <c r="K15" s="199">
        <f t="shared" si="2"/>
        <v>79.561059009702618</v>
      </c>
      <c r="L15" s="617"/>
      <c r="M15" s="531">
        <f>RANK(K15, K$7:$K$36)</f>
        <v>13</v>
      </c>
      <c r="N15" s="635"/>
      <c r="O15" s="635"/>
      <c r="P15" s="535">
        <v>18</v>
      </c>
      <c r="Q15" s="539">
        <v>1412.0000000000014</v>
      </c>
      <c r="R15" s="539">
        <v>78.444444444444514</v>
      </c>
      <c r="S15" s="535">
        <v>14</v>
      </c>
      <c r="T15" s="659"/>
      <c r="U15" s="535">
        <v>18</v>
      </c>
      <c r="V15" s="539">
        <v>1422.8571428571433</v>
      </c>
      <c r="W15" s="539">
        <v>79.047619047619079</v>
      </c>
      <c r="X15" s="535">
        <v>13</v>
      </c>
      <c r="Y15" s="659"/>
      <c r="Z15" s="535">
        <v>18</v>
      </c>
      <c r="AA15" s="539">
        <v>1446.2500000000005</v>
      </c>
      <c r="AB15" s="539">
        <v>80.347222222222243</v>
      </c>
      <c r="AC15" s="535">
        <v>13</v>
      </c>
      <c r="AD15" s="659"/>
      <c r="AE15" s="535">
        <v>18</v>
      </c>
      <c r="AF15" s="539">
        <v>1447.3684210526326</v>
      </c>
      <c r="AG15" s="539">
        <v>80.409356725146253</v>
      </c>
      <c r="AH15" s="535">
        <v>14</v>
      </c>
      <c r="AI15" s="659"/>
      <c r="AJ15" s="535">
        <v>18</v>
      </c>
      <c r="AK15" s="539">
        <v>1447.7419354838723</v>
      </c>
      <c r="AL15" s="539">
        <v>80.430107526881798</v>
      </c>
      <c r="AM15" s="535">
        <v>13</v>
      </c>
      <c r="AN15" s="659"/>
      <c r="AO15" s="535">
        <v>18</v>
      </c>
      <c r="AP15" s="539">
        <v>1418.1818181818196</v>
      </c>
      <c r="AQ15" s="539">
        <v>78.787878787878867</v>
      </c>
      <c r="AR15" s="535">
        <v>16</v>
      </c>
      <c r="AS15" s="659"/>
      <c r="AT15" s="535">
        <v>18</v>
      </c>
      <c r="AU15" s="539">
        <v>1430.2941176470606</v>
      </c>
      <c r="AV15" s="539">
        <v>79.460784313725583</v>
      </c>
      <c r="AW15" s="535">
        <v>11</v>
      </c>
      <c r="AX15" s="659"/>
      <c r="AZ15" s="372" t="e">
        <f t="shared" si="3"/>
        <v>#N/A</v>
      </c>
      <c r="BA15" s="659"/>
    </row>
    <row r="16" spans="1:53" ht="14.25">
      <c r="A16" s="81"/>
      <c r="B16" s="646"/>
      <c r="C16" s="535">
        <v>10</v>
      </c>
      <c r="D16" s="225" t="s">
        <v>580</v>
      </c>
      <c r="E16" s="539">
        <v>18</v>
      </c>
      <c r="F16" s="535">
        <v>1636</v>
      </c>
      <c r="G16" s="534">
        <v>90.9</v>
      </c>
      <c r="H16" s="682"/>
      <c r="I16" s="536">
        <f t="shared" si="0"/>
        <v>18</v>
      </c>
      <c r="J16" s="536">
        <f t="shared" si="1"/>
        <v>1419.9907474813986</v>
      </c>
      <c r="K16" s="199">
        <f t="shared" si="2"/>
        <v>78.88837486007769</v>
      </c>
      <c r="L16" s="617"/>
      <c r="M16" s="531">
        <f>RANK(K16, K$7:$K$36)</f>
        <v>14</v>
      </c>
      <c r="N16" s="635"/>
      <c r="O16" s="635"/>
      <c r="P16" s="535">
        <v>18</v>
      </c>
      <c r="Q16" s="539">
        <v>1419.5454545454545</v>
      </c>
      <c r="R16" s="539">
        <v>78.86363636363636</v>
      </c>
      <c r="S16" s="535">
        <v>13</v>
      </c>
      <c r="T16" s="659"/>
      <c r="U16" s="535">
        <v>18</v>
      </c>
      <c r="V16" s="539">
        <v>1385.853658536585</v>
      </c>
      <c r="W16" s="539">
        <v>76.991869918699166</v>
      </c>
      <c r="X16" s="535">
        <v>17</v>
      </c>
      <c r="Y16" s="659"/>
      <c r="Z16" s="535">
        <v>18</v>
      </c>
      <c r="AA16" s="539">
        <v>1403.9999999999995</v>
      </c>
      <c r="AB16" s="539">
        <v>77.999999999999972</v>
      </c>
      <c r="AC16" s="535">
        <v>15</v>
      </c>
      <c r="AD16" s="659"/>
      <c r="AE16" s="535">
        <v>18</v>
      </c>
      <c r="AF16" s="539">
        <v>1458.2608695652175</v>
      </c>
      <c r="AG16" s="539">
        <v>81.014492753623188</v>
      </c>
      <c r="AH16" s="535">
        <v>12</v>
      </c>
      <c r="AI16" s="659"/>
      <c r="AJ16" s="535">
        <v>18</v>
      </c>
      <c r="AK16" s="539">
        <v>1435.2941176470595</v>
      </c>
      <c r="AL16" s="539">
        <v>79.738562091503297</v>
      </c>
      <c r="AM16" s="535">
        <v>15</v>
      </c>
      <c r="AN16" s="659"/>
      <c r="AO16" s="535">
        <v>18</v>
      </c>
      <c r="AP16" s="539">
        <v>1413.9622641509441</v>
      </c>
      <c r="AQ16" s="539">
        <v>78.553459119496893</v>
      </c>
      <c r="AR16" s="535">
        <v>17</v>
      </c>
      <c r="AS16" s="659"/>
      <c r="AT16" s="535">
        <v>18</v>
      </c>
      <c r="AU16" s="539">
        <v>1423.0188679245291</v>
      </c>
      <c r="AV16" s="539">
        <v>79.056603773584953</v>
      </c>
      <c r="AW16" s="535">
        <v>13</v>
      </c>
      <c r="AX16" s="659"/>
      <c r="AZ16" s="372" t="e">
        <f t="shared" si="3"/>
        <v>#N/A</v>
      </c>
      <c r="BA16" s="659"/>
    </row>
    <row r="17" spans="2:53">
      <c r="B17" s="646"/>
      <c r="C17" s="535">
        <v>11</v>
      </c>
      <c r="D17" s="225" t="s">
        <v>333</v>
      </c>
      <c r="E17" s="539">
        <v>17</v>
      </c>
      <c r="F17" s="535">
        <v>1500</v>
      </c>
      <c r="G17" s="534">
        <v>88.2</v>
      </c>
      <c r="H17" s="682"/>
      <c r="I17" s="536">
        <f t="shared" si="0"/>
        <v>17</v>
      </c>
      <c r="J17" s="536">
        <f t="shared" si="1"/>
        <v>1398.2909106258232</v>
      </c>
      <c r="K17" s="199">
        <f t="shared" si="2"/>
        <v>82.252406507401375</v>
      </c>
      <c r="L17" s="617"/>
      <c r="M17" s="531">
        <f>RANK(K17, K$7:$K$36)</f>
        <v>9</v>
      </c>
      <c r="N17" s="635"/>
      <c r="O17" s="635"/>
      <c r="P17" s="535">
        <v>17</v>
      </c>
      <c r="Q17" s="539">
        <v>1394.2857142857138</v>
      </c>
      <c r="R17" s="539">
        <v>82.01680672268904</v>
      </c>
      <c r="S17" s="535">
        <v>10</v>
      </c>
      <c r="T17" s="659"/>
      <c r="U17" s="535">
        <v>17</v>
      </c>
      <c r="V17" s="539">
        <v>1367.6923076923069</v>
      </c>
      <c r="W17" s="539">
        <v>80.452488687782761</v>
      </c>
      <c r="X17" s="535">
        <v>12</v>
      </c>
      <c r="Y17" s="659"/>
      <c r="Z17" s="535">
        <v>17</v>
      </c>
      <c r="AA17" s="539">
        <v>1403.9999999999986</v>
      </c>
      <c r="AB17" s="539">
        <v>82.588235294117567</v>
      </c>
      <c r="AC17" s="535">
        <v>9</v>
      </c>
      <c r="AD17" s="659"/>
      <c r="AE17" s="535">
        <v>17</v>
      </c>
      <c r="AF17" s="539">
        <v>1424.2105263157885</v>
      </c>
      <c r="AG17" s="539">
        <v>83.777089783281667</v>
      </c>
      <c r="AH17" s="535">
        <v>8</v>
      </c>
      <c r="AI17" s="659"/>
      <c r="AJ17" s="535">
        <v>17</v>
      </c>
      <c r="AK17" s="539">
        <v>1393.4999999999995</v>
      </c>
      <c r="AL17" s="539">
        <v>81.970588235294088</v>
      </c>
      <c r="AM17" s="535">
        <v>10</v>
      </c>
      <c r="AN17" s="659"/>
      <c r="AO17" s="535">
        <v>17</v>
      </c>
      <c r="AP17" s="539">
        <v>1410</v>
      </c>
      <c r="AQ17" s="539">
        <v>82.941176470588232</v>
      </c>
      <c r="AR17" s="535">
        <v>8</v>
      </c>
      <c r="AS17" s="659"/>
      <c r="AT17" s="535">
        <v>17</v>
      </c>
      <c r="AU17" s="539">
        <v>1394.3478260869565</v>
      </c>
      <c r="AV17" s="539">
        <v>82.020460358056269</v>
      </c>
      <c r="AW17" s="535">
        <v>8</v>
      </c>
      <c r="AX17" s="659"/>
      <c r="AZ17" s="372" t="e">
        <f t="shared" si="3"/>
        <v>#N/A</v>
      </c>
      <c r="BA17" s="659"/>
    </row>
    <row r="18" spans="2:53">
      <c r="B18" s="646"/>
      <c r="C18" s="535">
        <v>12</v>
      </c>
      <c r="D18" s="225" t="s">
        <v>515</v>
      </c>
      <c r="E18" s="539">
        <v>20</v>
      </c>
      <c r="F18" s="535">
        <v>1440</v>
      </c>
      <c r="G18" s="534">
        <v>72</v>
      </c>
      <c r="H18" s="682"/>
      <c r="I18" s="536">
        <f t="shared" si="0"/>
        <v>20</v>
      </c>
      <c r="J18" s="536">
        <f t="shared" si="1"/>
        <v>1343.3521003922513</v>
      </c>
      <c r="K18" s="199">
        <f t="shared" si="2"/>
        <v>67.167605019612566</v>
      </c>
      <c r="L18" s="617"/>
      <c r="M18" s="531">
        <f>RANK(K18, K$7:$K$36)</f>
        <v>22</v>
      </c>
      <c r="N18" s="635"/>
      <c r="O18" s="635"/>
      <c r="P18" s="535">
        <v>20</v>
      </c>
      <c r="Q18" s="539">
        <v>1366.0869565217379</v>
      </c>
      <c r="R18" s="539">
        <v>68.304347826086897</v>
      </c>
      <c r="S18" s="535">
        <v>21</v>
      </c>
      <c r="T18" s="659"/>
      <c r="U18" s="535">
        <v>20</v>
      </c>
      <c r="V18" s="539">
        <v>1345.1612903225819</v>
      </c>
      <c r="W18" s="539">
        <v>67.258064516129096</v>
      </c>
      <c r="X18" s="535">
        <v>22</v>
      </c>
      <c r="Y18" s="659"/>
      <c r="Z18" s="535">
        <v>20</v>
      </c>
      <c r="AA18" s="539">
        <v>1336.6666666666674</v>
      </c>
      <c r="AB18" s="539">
        <v>66.833333333333371</v>
      </c>
      <c r="AC18" s="535">
        <v>22</v>
      </c>
      <c r="AD18" s="659"/>
      <c r="AE18" s="535">
        <v>20</v>
      </c>
      <c r="AF18" s="539">
        <v>1365.2459016393457</v>
      </c>
      <c r="AG18" s="539">
        <v>68.262295081967281</v>
      </c>
      <c r="AH18" s="535">
        <v>21</v>
      </c>
      <c r="AI18" s="659"/>
      <c r="AJ18" s="535">
        <v>20</v>
      </c>
      <c r="AK18" s="539">
        <v>1314.2465753424647</v>
      </c>
      <c r="AL18" s="539">
        <v>65.712328767123239</v>
      </c>
      <c r="AM18" s="535">
        <v>22</v>
      </c>
      <c r="AN18" s="659"/>
      <c r="AO18" s="535">
        <v>20</v>
      </c>
      <c r="AP18" s="539">
        <v>1341.7391304347811</v>
      </c>
      <c r="AQ18" s="539">
        <v>67.086956521739054</v>
      </c>
      <c r="AR18" s="535">
        <v>22</v>
      </c>
      <c r="AS18" s="659"/>
      <c r="AT18" s="535">
        <v>20</v>
      </c>
      <c r="AU18" s="539">
        <v>1334.3181818181818</v>
      </c>
      <c r="AV18" s="539">
        <v>66.715909090909093</v>
      </c>
      <c r="AW18" s="535">
        <v>22</v>
      </c>
      <c r="AX18" s="659"/>
      <c r="AZ18" s="372" t="e">
        <f t="shared" si="3"/>
        <v>#N/A</v>
      </c>
      <c r="BA18" s="659"/>
    </row>
    <row r="19" spans="2:53">
      <c r="B19" s="646"/>
      <c r="C19" s="535">
        <v>13</v>
      </c>
      <c r="D19" s="225" t="s">
        <v>346</v>
      </c>
      <c r="E19" s="539">
        <v>14</v>
      </c>
      <c r="F19" s="535">
        <v>1440</v>
      </c>
      <c r="G19" s="534">
        <v>102.9</v>
      </c>
      <c r="H19" s="682"/>
      <c r="I19" s="536">
        <f t="shared" si="0"/>
        <v>15</v>
      </c>
      <c r="J19" s="536">
        <f t="shared" si="1"/>
        <v>1351.2094188935382</v>
      </c>
      <c r="K19" s="199">
        <f t="shared" si="2"/>
        <v>90.080627926235863</v>
      </c>
      <c r="L19" s="617"/>
      <c r="M19" s="531">
        <f>RANK(K19, K$7:$K$36)</f>
        <v>3</v>
      </c>
      <c r="N19" s="635"/>
      <c r="O19" s="635"/>
      <c r="P19" s="535">
        <v>15</v>
      </c>
      <c r="Q19" s="539">
        <v>1369.6153846153854</v>
      </c>
      <c r="R19" s="539">
        <v>91.307692307692363</v>
      </c>
      <c r="S19" s="535">
        <v>3</v>
      </c>
      <c r="T19" s="659"/>
      <c r="U19" s="535">
        <v>15</v>
      </c>
      <c r="V19" s="539">
        <v>1367.0588235294122</v>
      </c>
      <c r="W19" s="539">
        <v>91.137254901960816</v>
      </c>
      <c r="X19" s="535">
        <v>3</v>
      </c>
      <c r="Y19" s="659"/>
      <c r="Z19" s="535">
        <v>15</v>
      </c>
      <c r="AA19" s="539">
        <v>1340.5263157894728</v>
      </c>
      <c r="AB19" s="539">
        <v>89.368421052631518</v>
      </c>
      <c r="AC19" s="535">
        <v>3</v>
      </c>
      <c r="AD19" s="659"/>
      <c r="AE19" s="535">
        <v>15</v>
      </c>
      <c r="AF19" s="539">
        <v>1356.2500000000005</v>
      </c>
      <c r="AG19" s="539">
        <v>90.4166666666667</v>
      </c>
      <c r="AH19" s="535">
        <v>3</v>
      </c>
      <c r="AI19" s="659"/>
      <c r="AJ19" s="535">
        <v>15</v>
      </c>
      <c r="AK19" s="539">
        <v>1335.0000000000011</v>
      </c>
      <c r="AL19" s="539">
        <v>89.000000000000071</v>
      </c>
      <c r="AM19" s="535">
        <v>3</v>
      </c>
      <c r="AN19" s="659"/>
      <c r="AO19" s="535">
        <v>15</v>
      </c>
      <c r="AP19" s="539">
        <v>1352.7272727272737</v>
      </c>
      <c r="AQ19" s="539">
        <v>90.181818181818244</v>
      </c>
      <c r="AR19" s="535">
        <v>3</v>
      </c>
      <c r="AS19" s="659"/>
      <c r="AT19" s="535">
        <v>15</v>
      </c>
      <c r="AU19" s="539">
        <v>1337.2881355932213</v>
      </c>
      <c r="AV19" s="539">
        <v>89.152542372881427</v>
      </c>
      <c r="AW19" s="535">
        <v>4</v>
      </c>
      <c r="AX19" s="659"/>
      <c r="AZ19" s="372" t="e">
        <f t="shared" si="3"/>
        <v>#N/A</v>
      </c>
      <c r="BA19" s="659"/>
    </row>
    <row r="20" spans="2:53">
      <c r="B20" s="646"/>
      <c r="C20" s="535">
        <v>14</v>
      </c>
      <c r="D20" s="225" t="s">
        <v>327</v>
      </c>
      <c r="E20" s="539">
        <v>19</v>
      </c>
      <c r="F20" s="535">
        <v>1440</v>
      </c>
      <c r="G20" s="534">
        <v>75.8</v>
      </c>
      <c r="H20" s="682"/>
      <c r="I20" s="536">
        <f t="shared" si="0"/>
        <v>19</v>
      </c>
      <c r="J20" s="536">
        <f t="shared" si="1"/>
        <v>1348.5647430629649</v>
      </c>
      <c r="K20" s="199">
        <f t="shared" si="2"/>
        <v>70.977091740156041</v>
      </c>
      <c r="L20" s="617"/>
      <c r="M20" s="531">
        <f>RANK(K20, K$7:$K$36)</f>
        <v>19</v>
      </c>
      <c r="N20" s="635"/>
      <c r="O20" s="635"/>
      <c r="P20" s="535">
        <v>19</v>
      </c>
      <c r="Q20" s="539">
        <v>1361.9999999999995</v>
      </c>
      <c r="R20" s="539">
        <v>71.684210526315766</v>
      </c>
      <c r="S20" s="535">
        <v>19</v>
      </c>
      <c r="T20" s="659"/>
      <c r="U20" s="535">
        <v>19</v>
      </c>
      <c r="V20" s="539">
        <v>1378.3561643835606</v>
      </c>
      <c r="W20" s="539">
        <v>72.545061283345291</v>
      </c>
      <c r="X20" s="535">
        <v>18</v>
      </c>
      <c r="Y20" s="659"/>
      <c r="Z20" s="535">
        <v>19</v>
      </c>
      <c r="AA20" s="539">
        <v>1323.7500000000016</v>
      </c>
      <c r="AB20" s="539">
        <v>69.67105263157903</v>
      </c>
      <c r="AC20" s="535">
        <v>20</v>
      </c>
      <c r="AD20" s="659"/>
      <c r="AE20" s="535">
        <v>19</v>
      </c>
      <c r="AF20" s="539">
        <v>1361.4705882352957</v>
      </c>
      <c r="AG20" s="539">
        <v>71.656346749226088</v>
      </c>
      <c r="AH20" s="535">
        <v>19</v>
      </c>
      <c r="AI20" s="659"/>
      <c r="AJ20" s="535">
        <v>19</v>
      </c>
      <c r="AK20" s="539">
        <v>1343.2941176470586</v>
      </c>
      <c r="AL20" s="539">
        <v>70.699690402476762</v>
      </c>
      <c r="AM20" s="535">
        <v>19</v>
      </c>
      <c r="AN20" s="659"/>
      <c r="AO20" s="535">
        <v>19</v>
      </c>
      <c r="AP20" s="539">
        <v>1340.8695652173915</v>
      </c>
      <c r="AQ20" s="539">
        <v>70.572082379862707</v>
      </c>
      <c r="AR20" s="535">
        <v>19</v>
      </c>
      <c r="AS20" s="659"/>
      <c r="AT20" s="535">
        <v>19</v>
      </c>
      <c r="AU20" s="539">
        <v>1330.2127659574471</v>
      </c>
      <c r="AV20" s="539">
        <v>70.011198208286686</v>
      </c>
      <c r="AW20" s="535">
        <v>19</v>
      </c>
      <c r="AX20" s="659"/>
      <c r="AZ20" s="372" t="e">
        <f t="shared" si="3"/>
        <v>#N/A</v>
      </c>
      <c r="BA20" s="659"/>
    </row>
    <row r="21" spans="2:53">
      <c r="B21" s="646"/>
      <c r="C21" s="535">
        <v>15</v>
      </c>
      <c r="D21" s="225" t="s">
        <v>344</v>
      </c>
      <c r="E21" s="539">
        <v>19</v>
      </c>
      <c r="F21" s="535">
        <v>1440</v>
      </c>
      <c r="G21" s="534">
        <v>75.8</v>
      </c>
      <c r="H21" s="682"/>
      <c r="I21" s="536">
        <f t="shared" si="0"/>
        <v>19</v>
      </c>
      <c r="J21" s="536">
        <f t="shared" si="1"/>
        <v>1328.4993167561518</v>
      </c>
      <c r="K21" s="199">
        <f t="shared" si="2"/>
        <v>69.921016671376421</v>
      </c>
      <c r="L21" s="617"/>
      <c r="M21" s="531">
        <f>RANK(K21, K$7:$K$36)</f>
        <v>20</v>
      </c>
      <c r="N21" s="635"/>
      <c r="O21" s="635"/>
      <c r="P21" s="535">
        <v>19</v>
      </c>
      <c r="Q21" s="539">
        <v>1330.0000000000014</v>
      </c>
      <c r="R21" s="539">
        <v>70.000000000000071</v>
      </c>
      <c r="S21" s="535">
        <v>20</v>
      </c>
      <c r="T21" s="659"/>
      <c r="U21" s="535">
        <v>19</v>
      </c>
      <c r="V21" s="539">
        <v>1333.0909090909099</v>
      </c>
      <c r="W21" s="539">
        <v>70.162679425837368</v>
      </c>
      <c r="X21" s="535">
        <v>20</v>
      </c>
      <c r="Y21" s="659"/>
      <c r="Z21" s="535">
        <v>19</v>
      </c>
      <c r="AA21" s="539">
        <v>1348.2352941176475</v>
      </c>
      <c r="AB21" s="539">
        <v>70.959752321981455</v>
      </c>
      <c r="AC21" s="535">
        <v>19</v>
      </c>
      <c r="AD21" s="659"/>
      <c r="AE21" s="535">
        <v>19</v>
      </c>
      <c r="AF21" s="539">
        <v>1340.0000000000011</v>
      </c>
      <c r="AG21" s="539">
        <v>70.526315789473742</v>
      </c>
      <c r="AH21" s="535">
        <v>20</v>
      </c>
      <c r="AI21" s="659"/>
      <c r="AJ21" s="535">
        <v>19</v>
      </c>
      <c r="AK21" s="539">
        <v>1319.1428571428557</v>
      </c>
      <c r="AL21" s="539">
        <v>69.42857142857136</v>
      </c>
      <c r="AM21" s="535">
        <v>21</v>
      </c>
      <c r="AN21" s="659"/>
      <c r="AO21" s="535">
        <v>19</v>
      </c>
      <c r="AP21" s="539">
        <v>1308.1690140845058</v>
      </c>
      <c r="AQ21" s="539">
        <v>68.851000741289781</v>
      </c>
      <c r="AR21" s="535">
        <v>21</v>
      </c>
      <c r="AS21" s="659"/>
      <c r="AT21" s="535">
        <v>19</v>
      </c>
      <c r="AU21" s="539">
        <v>1320.8571428571415</v>
      </c>
      <c r="AV21" s="539">
        <v>69.518796992481128</v>
      </c>
      <c r="AW21" s="535">
        <v>20</v>
      </c>
      <c r="AX21" s="659"/>
      <c r="AZ21" s="372" t="e">
        <f t="shared" si="3"/>
        <v>#N/A</v>
      </c>
      <c r="BA21" s="659"/>
    </row>
    <row r="22" spans="2:53">
      <c r="B22" s="646"/>
      <c r="C22" s="535">
        <v>16</v>
      </c>
      <c r="D22" s="225" t="s">
        <v>587</v>
      </c>
      <c r="E22" s="539">
        <v>18</v>
      </c>
      <c r="F22" s="535">
        <v>1500</v>
      </c>
      <c r="G22" s="534">
        <v>83.3</v>
      </c>
      <c r="H22" s="682"/>
      <c r="I22" s="536">
        <f t="shared" si="0"/>
        <v>18</v>
      </c>
      <c r="J22" s="536">
        <f t="shared" si="1"/>
        <v>1411.1538673377047</v>
      </c>
      <c r="K22" s="199">
        <f t="shared" si="2"/>
        <v>78.397437074316926</v>
      </c>
      <c r="L22" s="617"/>
      <c r="M22" s="531">
        <f>RANK(K22, K$7:$K$36)</f>
        <v>16</v>
      </c>
      <c r="N22" s="635"/>
      <c r="O22" s="635"/>
      <c r="P22" s="535">
        <v>18</v>
      </c>
      <c r="Q22" s="539">
        <v>1423.6363636363651</v>
      </c>
      <c r="R22" s="539">
        <v>79.090909090909179</v>
      </c>
      <c r="S22" s="535">
        <v>12</v>
      </c>
      <c r="T22" s="659"/>
      <c r="U22" s="535">
        <v>18</v>
      </c>
      <c r="V22" s="539">
        <v>1393.220338983052</v>
      </c>
      <c r="W22" s="539">
        <v>77.401129943502895</v>
      </c>
      <c r="X22" s="535">
        <v>15</v>
      </c>
      <c r="Y22" s="659"/>
      <c r="Z22" s="535">
        <v>18</v>
      </c>
      <c r="AA22" s="539">
        <v>1412.9411764705887</v>
      </c>
      <c r="AB22" s="539">
        <v>78.496732026143818</v>
      </c>
      <c r="AC22" s="535">
        <v>14</v>
      </c>
      <c r="AD22" s="659"/>
      <c r="AE22" s="535">
        <v>18</v>
      </c>
      <c r="AF22" s="539">
        <v>1395.2941176470595</v>
      </c>
      <c r="AG22" s="539">
        <v>77.516339869281083</v>
      </c>
      <c r="AH22" s="535">
        <v>17</v>
      </c>
      <c r="AI22" s="659"/>
      <c r="AJ22" s="535">
        <v>18</v>
      </c>
      <c r="AK22" s="539">
        <v>1410.0000000000014</v>
      </c>
      <c r="AL22" s="539">
        <v>78.333333333333414</v>
      </c>
      <c r="AM22" s="535">
        <v>17</v>
      </c>
      <c r="AN22" s="659"/>
      <c r="AO22" s="535">
        <v>18</v>
      </c>
      <c r="AP22" s="539">
        <v>1420.0000000000016</v>
      </c>
      <c r="AQ22" s="539">
        <v>78.888888888888971</v>
      </c>
      <c r="AR22" s="535">
        <v>15</v>
      </c>
      <c r="AS22" s="659"/>
      <c r="AT22" s="535">
        <v>18</v>
      </c>
      <c r="AU22" s="539">
        <v>1422.9850746268639</v>
      </c>
      <c r="AV22" s="539">
        <v>79.054726368159109</v>
      </c>
      <c r="AW22" s="535">
        <v>14</v>
      </c>
      <c r="AX22" s="659"/>
      <c r="AZ22" s="372" t="e">
        <f t="shared" si="3"/>
        <v>#N/A</v>
      </c>
      <c r="BA22" s="659"/>
    </row>
    <row r="23" spans="2:53">
      <c r="B23" s="646"/>
      <c r="C23" s="535">
        <v>17</v>
      </c>
      <c r="D23" s="225" t="s">
        <v>512</v>
      </c>
      <c r="E23" s="539">
        <v>17</v>
      </c>
      <c r="F23" s="535">
        <v>1440</v>
      </c>
      <c r="G23" s="534">
        <v>84.7</v>
      </c>
      <c r="H23" s="682"/>
      <c r="I23" s="536">
        <f t="shared" si="0"/>
        <v>17</v>
      </c>
      <c r="J23" s="536">
        <f t="shared" si="1"/>
        <v>1334.3259073124425</v>
      </c>
      <c r="K23" s="199">
        <f t="shared" si="2"/>
        <v>78.4897592536731</v>
      </c>
      <c r="L23" s="617"/>
      <c r="M23" s="531">
        <f>RANK(K23, K$7:$K$36)</f>
        <v>15</v>
      </c>
      <c r="N23" s="635"/>
      <c r="O23" s="635"/>
      <c r="P23" s="535">
        <v>17</v>
      </c>
      <c r="Q23" s="539">
        <v>1321.5789473684201</v>
      </c>
      <c r="R23" s="539">
        <v>77.739938080495307</v>
      </c>
      <c r="S23" s="535">
        <v>15</v>
      </c>
      <c r="T23" s="659"/>
      <c r="U23" s="535">
        <v>17</v>
      </c>
      <c r="V23" s="539">
        <v>1313.8461538461531</v>
      </c>
      <c r="W23" s="539">
        <v>77.28506787330312</v>
      </c>
      <c r="X23" s="535">
        <v>16</v>
      </c>
      <c r="Y23" s="659"/>
      <c r="Z23" s="535">
        <v>17</v>
      </c>
      <c r="AA23" s="539">
        <v>1307.2727272727257</v>
      </c>
      <c r="AB23" s="539">
        <v>76.898395721925041</v>
      </c>
      <c r="AC23" s="535">
        <v>16</v>
      </c>
      <c r="AD23" s="659"/>
      <c r="AE23" s="535">
        <v>17</v>
      </c>
      <c r="AF23" s="539">
        <v>1357.2972972972962</v>
      </c>
      <c r="AG23" s="539">
        <v>79.841017488076247</v>
      </c>
      <c r="AH23" s="535">
        <v>15</v>
      </c>
      <c r="AI23" s="659"/>
      <c r="AJ23" s="535">
        <v>17</v>
      </c>
      <c r="AK23" s="539">
        <v>1359.9999999999991</v>
      </c>
      <c r="AL23" s="539">
        <v>79.999999999999943</v>
      </c>
      <c r="AM23" s="535">
        <v>14</v>
      </c>
      <c r="AN23" s="659"/>
      <c r="AO23" s="535">
        <v>17</v>
      </c>
      <c r="AP23" s="539">
        <v>1363.0769230769222</v>
      </c>
      <c r="AQ23" s="539">
        <v>80.180995475113065</v>
      </c>
      <c r="AR23" s="535">
        <v>13</v>
      </c>
      <c r="AS23" s="659"/>
      <c r="AT23" s="535">
        <v>17</v>
      </c>
      <c r="AU23" s="539">
        <v>1317.2093023255811</v>
      </c>
      <c r="AV23" s="539">
        <v>77.482900136798889</v>
      </c>
      <c r="AW23" s="535">
        <v>15</v>
      </c>
      <c r="AX23" s="659"/>
      <c r="AZ23" s="372" t="e">
        <f t="shared" si="3"/>
        <v>#N/A</v>
      </c>
      <c r="BA23" s="659"/>
    </row>
    <row r="24" spans="2:53">
      <c r="B24" s="646"/>
      <c r="C24" s="535">
        <v>18</v>
      </c>
      <c r="D24" s="225" t="s">
        <v>516</v>
      </c>
      <c r="E24" s="539">
        <v>20</v>
      </c>
      <c r="F24" s="535">
        <v>1440</v>
      </c>
      <c r="G24" s="534">
        <v>75</v>
      </c>
      <c r="H24" s="682"/>
      <c r="I24" s="536">
        <f t="shared" si="0"/>
        <v>20</v>
      </c>
      <c r="J24" s="536">
        <f t="shared" si="1"/>
        <v>1143.3859649122815</v>
      </c>
      <c r="K24" s="199">
        <f t="shared" si="2"/>
        <v>57.169298245614073</v>
      </c>
      <c r="L24" s="617"/>
      <c r="M24" s="531">
        <f>RANK(K24, K$7:$K$36)</f>
        <v>24</v>
      </c>
      <c r="N24" s="635"/>
      <c r="O24" s="635"/>
      <c r="P24" s="535">
        <v>20</v>
      </c>
      <c r="Q24" s="539">
        <v>1196.9999999999995</v>
      </c>
      <c r="R24" s="539">
        <v>59.84999999999998</v>
      </c>
      <c r="S24" s="535">
        <v>24</v>
      </c>
      <c r="T24" s="659"/>
      <c r="U24" s="535">
        <v>20</v>
      </c>
      <c r="V24" s="539">
        <v>1203.1578947368412</v>
      </c>
      <c r="W24" s="539">
        <v>60.15789473684206</v>
      </c>
      <c r="X24" s="535">
        <v>24</v>
      </c>
      <c r="Y24" s="659"/>
      <c r="Z24" s="535">
        <v>20</v>
      </c>
      <c r="AA24" s="539">
        <v>1030.0000000000036</v>
      </c>
      <c r="AB24" s="539">
        <v>51.500000000000185</v>
      </c>
      <c r="AC24" s="535">
        <v>24</v>
      </c>
      <c r="AD24" s="659"/>
      <c r="AE24" s="535" t="s">
        <v>592</v>
      </c>
      <c r="AF24" s="539" t="s">
        <v>592</v>
      </c>
      <c r="AG24" s="539" t="s">
        <v>592</v>
      </c>
      <c r="AH24" s="535" t="e">
        <v>#VALUE!</v>
      </c>
      <c r="AI24" s="659"/>
      <c r="AJ24" s="535" t="s">
        <v>592</v>
      </c>
      <c r="AK24" s="539" t="s">
        <v>592</v>
      </c>
      <c r="AL24" s="539" t="s">
        <v>592</v>
      </c>
      <c r="AM24" s="535" t="e">
        <v>#VALUE!</v>
      </c>
      <c r="AN24" s="659"/>
      <c r="AO24" s="535" t="s">
        <v>592</v>
      </c>
      <c r="AP24" s="539" t="s">
        <v>592</v>
      </c>
      <c r="AQ24" s="539" t="s">
        <v>592</v>
      </c>
      <c r="AR24" s="535" t="e">
        <v>#VALUE!</v>
      </c>
      <c r="AS24" s="659"/>
      <c r="AT24" s="535" t="s">
        <v>592</v>
      </c>
      <c r="AU24" s="539" t="s">
        <v>592</v>
      </c>
      <c r="AV24" s="539" t="s">
        <v>592</v>
      </c>
      <c r="AW24" s="535" t="e">
        <v>#VALUE!</v>
      </c>
      <c r="AX24" s="659"/>
      <c r="AZ24" s="372" t="e">
        <f t="shared" si="3"/>
        <v>#N/A</v>
      </c>
      <c r="BA24" s="659"/>
    </row>
    <row r="25" spans="2:53">
      <c r="B25" s="646"/>
      <c r="C25" s="535">
        <v>19</v>
      </c>
      <c r="D25" s="225" t="s">
        <v>581</v>
      </c>
      <c r="E25" s="539">
        <v>19</v>
      </c>
      <c r="F25" s="535">
        <v>1500</v>
      </c>
      <c r="G25" s="534">
        <v>78.900000000000006</v>
      </c>
      <c r="H25" s="682"/>
      <c r="I25" s="536">
        <f t="shared" si="0"/>
        <v>19</v>
      </c>
      <c r="J25" s="536">
        <f t="shared" si="1"/>
        <v>1033.8461538461574</v>
      </c>
      <c r="K25" s="199">
        <f t="shared" si="2"/>
        <v>54.412955465587231</v>
      </c>
      <c r="L25" s="617"/>
      <c r="M25" s="531">
        <f>RANK(K25, K$7:$K$36)</f>
        <v>25</v>
      </c>
      <c r="N25" s="635"/>
      <c r="O25" s="635"/>
      <c r="P25" s="535">
        <v>19</v>
      </c>
      <c r="Q25" s="539">
        <v>1033.8461538461574</v>
      </c>
      <c r="R25" s="539">
        <v>54.412955465587231</v>
      </c>
      <c r="S25" s="535">
        <v>25</v>
      </c>
      <c r="T25" s="659"/>
      <c r="U25" s="535" t="s">
        <v>592</v>
      </c>
      <c r="V25" s="539" t="s">
        <v>592</v>
      </c>
      <c r="W25" s="539" t="s">
        <v>592</v>
      </c>
      <c r="X25" s="535" t="e">
        <v>#VALUE!</v>
      </c>
      <c r="Y25" s="659"/>
      <c r="Z25" s="535" t="s">
        <v>592</v>
      </c>
      <c r="AA25" s="539" t="s">
        <v>592</v>
      </c>
      <c r="AB25" s="539" t="s">
        <v>592</v>
      </c>
      <c r="AC25" s="535" t="e">
        <v>#VALUE!</v>
      </c>
      <c r="AD25" s="659"/>
      <c r="AE25" s="535" t="s">
        <v>592</v>
      </c>
      <c r="AF25" s="539" t="s">
        <v>592</v>
      </c>
      <c r="AG25" s="539" t="s">
        <v>592</v>
      </c>
      <c r="AH25" s="535" t="e">
        <v>#VALUE!</v>
      </c>
      <c r="AI25" s="659"/>
      <c r="AJ25" s="535" t="s">
        <v>592</v>
      </c>
      <c r="AK25" s="539" t="s">
        <v>592</v>
      </c>
      <c r="AL25" s="539" t="s">
        <v>592</v>
      </c>
      <c r="AM25" s="535" t="e">
        <v>#VALUE!</v>
      </c>
      <c r="AN25" s="659"/>
      <c r="AO25" s="535" t="s">
        <v>592</v>
      </c>
      <c r="AP25" s="539" t="s">
        <v>592</v>
      </c>
      <c r="AQ25" s="539" t="s">
        <v>592</v>
      </c>
      <c r="AR25" s="535" t="e">
        <v>#VALUE!</v>
      </c>
      <c r="AS25" s="659"/>
      <c r="AT25" s="535" t="s">
        <v>592</v>
      </c>
      <c r="AU25" s="539" t="s">
        <v>592</v>
      </c>
      <c r="AV25" s="539" t="s">
        <v>592</v>
      </c>
      <c r="AW25" s="535" t="e">
        <v>#VALUE!</v>
      </c>
      <c r="AX25" s="659"/>
      <c r="AZ25" s="372" t="e">
        <f t="shared" si="3"/>
        <v>#N/A</v>
      </c>
      <c r="BA25" s="659"/>
    </row>
    <row r="26" spans="2:53">
      <c r="B26" s="646"/>
      <c r="C26" s="535">
        <v>20</v>
      </c>
      <c r="D26" s="225" t="s">
        <v>614</v>
      </c>
      <c r="E26" s="539">
        <v>16</v>
      </c>
      <c r="F26" s="535">
        <v>1636</v>
      </c>
      <c r="G26" s="534">
        <v>102.3</v>
      </c>
      <c r="H26" s="682"/>
      <c r="I26" s="536">
        <f t="shared" si="0"/>
        <v>16.142857142857142</v>
      </c>
      <c r="J26" s="536">
        <f t="shared" si="1"/>
        <v>1405.6070488871576</v>
      </c>
      <c r="K26" s="199">
        <f t="shared" si="2"/>
        <v>87.098549799144834</v>
      </c>
      <c r="L26" s="617"/>
      <c r="M26" s="531">
        <f>RANK(K26, K$7:$K$36)</f>
        <v>5</v>
      </c>
      <c r="N26" s="635"/>
      <c r="O26" s="635"/>
      <c r="P26" s="535">
        <v>16</v>
      </c>
      <c r="Q26" s="539">
        <v>1376.6037735849063</v>
      </c>
      <c r="R26" s="539">
        <v>86.037735849056645</v>
      </c>
      <c r="S26" s="535">
        <v>6</v>
      </c>
      <c r="T26" s="659"/>
      <c r="U26" s="535">
        <v>16</v>
      </c>
      <c r="V26" s="539">
        <v>1418.0769230769238</v>
      </c>
      <c r="W26" s="539">
        <v>88.629807692307736</v>
      </c>
      <c r="X26" s="535">
        <v>4</v>
      </c>
      <c r="Y26" s="659"/>
      <c r="Z26" s="535">
        <v>16</v>
      </c>
      <c r="AA26" s="539">
        <v>1405.1162790697672</v>
      </c>
      <c r="AB26" s="539">
        <v>87.819767441860449</v>
      </c>
      <c r="AC26" s="535">
        <v>5</v>
      </c>
      <c r="AD26" s="659"/>
      <c r="AE26" s="535">
        <v>16</v>
      </c>
      <c r="AF26" s="539">
        <v>1386.3829787234044</v>
      </c>
      <c r="AG26" s="539">
        <v>86.648936170212778</v>
      </c>
      <c r="AH26" s="535">
        <v>7</v>
      </c>
      <c r="AI26" s="659"/>
      <c r="AJ26" s="535">
        <v>16</v>
      </c>
      <c r="AK26" s="539">
        <v>1393.4693877551024</v>
      </c>
      <c r="AL26" s="539">
        <v>87.091836734693899</v>
      </c>
      <c r="AM26" s="535">
        <v>6</v>
      </c>
      <c r="AN26" s="659"/>
      <c r="AO26" s="535">
        <v>17</v>
      </c>
      <c r="AP26" s="539">
        <v>1431.6000000000004</v>
      </c>
      <c r="AQ26" s="539">
        <v>84.211764705882374</v>
      </c>
      <c r="AR26" s="535">
        <v>6</v>
      </c>
      <c r="AS26" s="659"/>
      <c r="AT26" s="535">
        <v>16</v>
      </c>
      <c r="AU26" s="539">
        <v>1428.0000000000005</v>
      </c>
      <c r="AV26" s="539">
        <v>89.250000000000028</v>
      </c>
      <c r="AW26" s="535">
        <v>3</v>
      </c>
      <c r="AX26" s="659"/>
      <c r="AZ26" s="372" t="e">
        <f t="shared" si="3"/>
        <v>#N/A</v>
      </c>
      <c r="BA26" s="659"/>
    </row>
    <row r="27" spans="2:53">
      <c r="B27" s="646"/>
      <c r="C27" s="535">
        <v>21</v>
      </c>
      <c r="D27" s="225" t="s">
        <v>626</v>
      </c>
      <c r="E27" s="539">
        <v>16</v>
      </c>
      <c r="F27" s="535">
        <v>1500</v>
      </c>
      <c r="G27" s="534">
        <v>93.8</v>
      </c>
      <c r="H27" s="682"/>
      <c r="I27" s="536">
        <f t="shared" si="0"/>
        <v>17</v>
      </c>
      <c r="J27" s="536">
        <f t="shared" si="1"/>
        <v>1381.7494908542196</v>
      </c>
      <c r="K27" s="199">
        <f t="shared" si="2"/>
        <v>81.279381814954107</v>
      </c>
      <c r="L27" s="617"/>
      <c r="M27" s="531">
        <f>RANK(K27, K$7:$K$36)</f>
        <v>11</v>
      </c>
      <c r="N27" s="635"/>
      <c r="O27" s="635"/>
      <c r="P27" s="535">
        <v>17</v>
      </c>
      <c r="Q27" s="539">
        <v>1402.3529411764712</v>
      </c>
      <c r="R27" s="539">
        <v>82.491349480968893</v>
      </c>
      <c r="S27" s="535">
        <v>9</v>
      </c>
      <c r="T27" s="659"/>
      <c r="U27" s="535">
        <v>17</v>
      </c>
      <c r="V27" s="539">
        <v>1373.617021276596</v>
      </c>
      <c r="W27" s="539">
        <v>80.801001251564472</v>
      </c>
      <c r="X27" s="535">
        <v>10</v>
      </c>
      <c r="Y27" s="659"/>
      <c r="Z27" s="535">
        <v>17</v>
      </c>
      <c r="AA27" s="539">
        <v>1378.4615384615377</v>
      </c>
      <c r="AB27" s="539">
        <v>81.085972850678687</v>
      </c>
      <c r="AC27" s="535">
        <v>12</v>
      </c>
      <c r="AD27" s="659"/>
      <c r="AE27" s="535">
        <v>17</v>
      </c>
      <c r="AF27" s="539">
        <v>1371.2500000000005</v>
      </c>
      <c r="AG27" s="539">
        <v>80.661764705882376</v>
      </c>
      <c r="AH27" s="535">
        <v>13</v>
      </c>
      <c r="AI27" s="659"/>
      <c r="AJ27" s="535">
        <v>17</v>
      </c>
      <c r="AK27" s="539">
        <v>1380.0000000000007</v>
      </c>
      <c r="AL27" s="539">
        <v>81.176470588235333</v>
      </c>
      <c r="AM27" s="535">
        <v>11</v>
      </c>
      <c r="AN27" s="659"/>
      <c r="AO27" s="535">
        <v>17</v>
      </c>
      <c r="AP27" s="539">
        <v>1387.6363636363603</v>
      </c>
      <c r="AQ27" s="539">
        <v>81.625668449197661</v>
      </c>
      <c r="AR27" s="535">
        <v>11</v>
      </c>
      <c r="AS27" s="659"/>
      <c r="AT27" s="535">
        <v>17</v>
      </c>
      <c r="AU27" s="539">
        <v>1378.9285714285725</v>
      </c>
      <c r="AV27" s="539">
        <v>81.113445378151326</v>
      </c>
      <c r="AW27" s="535">
        <v>9</v>
      </c>
      <c r="AX27" s="659"/>
      <c r="AZ27" s="372" t="e">
        <f t="shared" si="3"/>
        <v>#N/A</v>
      </c>
      <c r="BA27" s="659"/>
    </row>
    <row r="28" spans="2:53">
      <c r="B28" s="646"/>
      <c r="C28" s="535">
        <v>22</v>
      </c>
      <c r="D28" s="225" t="s">
        <v>622</v>
      </c>
      <c r="E28" s="539">
        <v>16</v>
      </c>
      <c r="F28" s="535">
        <v>1500</v>
      </c>
      <c r="G28" s="534">
        <v>93.8</v>
      </c>
      <c r="H28" s="682"/>
      <c r="I28" s="536">
        <f t="shared" si="0"/>
        <v>15.857142857142858</v>
      </c>
      <c r="J28" s="536">
        <f t="shared" si="1"/>
        <v>1279.9368401715371</v>
      </c>
      <c r="K28" s="199">
        <f t="shared" si="2"/>
        <v>80.785239018657578</v>
      </c>
      <c r="L28" s="617"/>
      <c r="M28" s="531">
        <f>RANK(K28, K$7:$K$36)</f>
        <v>12</v>
      </c>
      <c r="N28" s="635"/>
      <c r="O28" s="635"/>
      <c r="P28" s="535">
        <v>16</v>
      </c>
      <c r="Q28" s="539">
        <v>1159.7802197802198</v>
      </c>
      <c r="R28" s="539">
        <v>72.486263736263737</v>
      </c>
      <c r="S28" s="535">
        <v>18</v>
      </c>
      <c r="T28" s="659"/>
      <c r="U28" s="535">
        <v>16</v>
      </c>
      <c r="V28" s="539">
        <v>1291.6216216216205</v>
      </c>
      <c r="W28" s="539">
        <v>80.726351351351283</v>
      </c>
      <c r="X28" s="535">
        <v>11</v>
      </c>
      <c r="Y28" s="659"/>
      <c r="Z28" s="535">
        <v>16</v>
      </c>
      <c r="AA28" s="539">
        <v>1326.5625000000016</v>
      </c>
      <c r="AB28" s="539">
        <v>82.910156250000099</v>
      </c>
      <c r="AC28" s="535">
        <v>8</v>
      </c>
      <c r="AD28" s="659"/>
      <c r="AE28" s="535">
        <v>15</v>
      </c>
      <c r="AF28" s="539">
        <v>1325.8333333333321</v>
      </c>
      <c r="AG28" s="539">
        <v>88.388888888888815</v>
      </c>
      <c r="AH28" s="535">
        <v>4</v>
      </c>
      <c r="AI28" s="659"/>
      <c r="AJ28" s="535">
        <v>16</v>
      </c>
      <c r="AK28" s="539">
        <v>1330.1204819277104</v>
      </c>
      <c r="AL28" s="539">
        <v>83.132530120481903</v>
      </c>
      <c r="AM28" s="535">
        <v>7</v>
      </c>
      <c r="AN28" s="659"/>
      <c r="AO28" s="535">
        <v>16</v>
      </c>
      <c r="AP28" s="539">
        <v>1301.1235955056179</v>
      </c>
      <c r="AQ28" s="539">
        <v>81.32022471910112</v>
      </c>
      <c r="AR28" s="535">
        <v>12</v>
      </c>
      <c r="AS28" s="659"/>
      <c r="AT28" s="535">
        <v>16</v>
      </c>
      <c r="AU28" s="539">
        <v>1224.516129032258</v>
      </c>
      <c r="AV28" s="539">
        <v>76.532258064516128</v>
      </c>
      <c r="AW28" s="535">
        <v>17</v>
      </c>
      <c r="AX28" s="659"/>
      <c r="AZ28" s="372" t="e">
        <f t="shared" si="3"/>
        <v>#N/A</v>
      </c>
      <c r="BA28" s="659"/>
    </row>
    <row r="29" spans="2:53">
      <c r="B29" s="646"/>
      <c r="C29" s="535">
        <v>23</v>
      </c>
      <c r="D29" s="225" t="s">
        <v>630</v>
      </c>
      <c r="E29" s="539">
        <v>16</v>
      </c>
      <c r="F29" s="535">
        <v>1440</v>
      </c>
      <c r="G29" s="534">
        <v>90</v>
      </c>
      <c r="H29" s="682"/>
      <c r="I29" s="536">
        <f t="shared" si="0"/>
        <v>15.714285714285714</v>
      </c>
      <c r="J29" s="536">
        <f t="shared" si="1"/>
        <v>1301.6412998383619</v>
      </c>
      <c r="K29" s="199">
        <f t="shared" si="2"/>
        <v>82.900182249998608</v>
      </c>
      <c r="L29" s="617"/>
      <c r="M29" s="531">
        <f>RANK(K29, K$7:$K$36)</f>
        <v>7</v>
      </c>
      <c r="N29" s="635"/>
      <c r="O29" s="635"/>
      <c r="P29" s="535">
        <v>15</v>
      </c>
      <c r="Q29" s="539">
        <v>1281.3333333333333</v>
      </c>
      <c r="R29" s="539">
        <v>85.422222222222217</v>
      </c>
      <c r="S29" s="535">
        <v>7</v>
      </c>
      <c r="T29" s="659"/>
      <c r="U29" s="535">
        <v>15</v>
      </c>
      <c r="V29" s="539">
        <v>1318.6363636363635</v>
      </c>
      <c r="W29" s="539">
        <v>87.909090909090907</v>
      </c>
      <c r="X29" s="535">
        <v>5</v>
      </c>
      <c r="Y29" s="659"/>
      <c r="Z29" s="535">
        <v>16</v>
      </c>
      <c r="AA29" s="539">
        <v>1303.7837837837828</v>
      </c>
      <c r="AB29" s="539">
        <v>81.486486486486427</v>
      </c>
      <c r="AC29" s="535">
        <v>11</v>
      </c>
      <c r="AD29" s="659"/>
      <c r="AE29" s="535">
        <v>16</v>
      </c>
      <c r="AF29" s="539">
        <v>1312.1052631578937</v>
      </c>
      <c r="AG29" s="539">
        <v>82.006578947368354</v>
      </c>
      <c r="AH29" s="535">
        <v>10</v>
      </c>
      <c r="AI29" s="659"/>
      <c r="AJ29" s="535">
        <v>16</v>
      </c>
      <c r="AK29" s="539">
        <v>1318.421052631578</v>
      </c>
      <c r="AL29" s="539">
        <v>82.401315789473628</v>
      </c>
      <c r="AM29" s="535">
        <v>9</v>
      </c>
      <c r="AN29" s="659"/>
      <c r="AO29" s="535">
        <v>16</v>
      </c>
      <c r="AP29" s="539">
        <v>1308.8372093023254</v>
      </c>
      <c r="AQ29" s="539">
        <v>81.802325581395337</v>
      </c>
      <c r="AR29" s="535">
        <v>9</v>
      </c>
      <c r="AS29" s="659"/>
      <c r="AT29" s="535">
        <v>16</v>
      </c>
      <c r="AU29" s="539">
        <v>1268.3720930232557</v>
      </c>
      <c r="AV29" s="539">
        <v>79.273255813953483</v>
      </c>
      <c r="AW29" s="535">
        <v>12</v>
      </c>
      <c r="AX29" s="659"/>
      <c r="AZ29" s="372" t="e">
        <f t="shared" si="3"/>
        <v>#N/A</v>
      </c>
      <c r="BA29" s="659"/>
    </row>
    <row r="30" spans="2:53">
      <c r="B30" s="646"/>
      <c r="C30" s="535">
        <v>24</v>
      </c>
      <c r="D30" s="225" t="s">
        <v>641</v>
      </c>
      <c r="E30" s="539">
        <v>17</v>
      </c>
      <c r="F30" s="535">
        <v>1440</v>
      </c>
      <c r="G30" s="534">
        <v>84.705882352941174</v>
      </c>
      <c r="H30" s="682"/>
      <c r="I30" s="536">
        <f t="shared" si="0"/>
        <v>17</v>
      </c>
      <c r="J30" s="536">
        <f t="shared" si="1"/>
        <v>1324.0951880829884</v>
      </c>
      <c r="K30" s="199">
        <f t="shared" si="2"/>
        <v>77.887952240175792</v>
      </c>
      <c r="L30" s="617"/>
      <c r="M30" s="531">
        <f>RANK(K30, K$7:$K$36)</f>
        <v>17</v>
      </c>
      <c r="N30" s="635"/>
      <c r="O30" s="635"/>
      <c r="P30" s="535">
        <v>17</v>
      </c>
      <c r="Q30" s="539">
        <v>1305.2459016393454</v>
      </c>
      <c r="R30" s="539">
        <v>76.779170684667378</v>
      </c>
      <c r="S30" s="535">
        <v>16</v>
      </c>
      <c r="T30" s="659"/>
      <c r="U30" s="535">
        <v>17</v>
      </c>
      <c r="V30" s="539">
        <v>1326.1224489795923</v>
      </c>
      <c r="W30" s="539">
        <v>78.00720288115248</v>
      </c>
      <c r="X30" s="535">
        <v>14</v>
      </c>
      <c r="Y30" s="659"/>
      <c r="Z30" s="535">
        <v>17</v>
      </c>
      <c r="AA30" s="539">
        <v>1297.674418604651</v>
      </c>
      <c r="AB30" s="539">
        <v>76.333789329685359</v>
      </c>
      <c r="AC30" s="535">
        <v>17</v>
      </c>
      <c r="AD30" s="659"/>
      <c r="AE30" s="535">
        <v>17</v>
      </c>
      <c r="AF30" s="539">
        <v>1349.2682926829264</v>
      </c>
      <c r="AG30" s="539">
        <v>79.368723098995673</v>
      </c>
      <c r="AH30" s="535">
        <v>16</v>
      </c>
      <c r="AI30" s="659"/>
      <c r="AJ30" s="535">
        <v>17</v>
      </c>
      <c r="AK30" s="539">
        <v>1340.4545454545455</v>
      </c>
      <c r="AL30" s="539">
        <v>78.850267379679153</v>
      </c>
      <c r="AM30" s="535">
        <v>16</v>
      </c>
      <c r="AN30" s="659"/>
      <c r="AO30" s="535">
        <v>17</v>
      </c>
      <c r="AP30" s="539">
        <v>1342.6666666666665</v>
      </c>
      <c r="AQ30" s="539">
        <v>78.980392156862735</v>
      </c>
      <c r="AR30" s="535">
        <v>14</v>
      </c>
      <c r="AS30" s="659"/>
      <c r="AT30" s="535">
        <v>17</v>
      </c>
      <c r="AU30" s="539">
        <v>1307.2340425531916</v>
      </c>
      <c r="AV30" s="539">
        <v>76.896120150187741</v>
      </c>
      <c r="AW30" s="535">
        <v>16</v>
      </c>
      <c r="AX30" s="659"/>
      <c r="AZ30" s="372" t="e">
        <f t="shared" si="3"/>
        <v>#N/A</v>
      </c>
      <c r="BA30" s="659"/>
    </row>
    <row r="31" spans="2:53">
      <c r="B31" s="646"/>
      <c r="C31" s="535">
        <v>25</v>
      </c>
      <c r="D31" s="225" t="s">
        <v>642</v>
      </c>
      <c r="E31" s="539">
        <v>19</v>
      </c>
      <c r="F31" s="535">
        <v>1440</v>
      </c>
      <c r="G31" s="534">
        <v>75.78947368421052</v>
      </c>
      <c r="H31" s="682"/>
      <c r="I31" s="536">
        <f t="shared" si="0"/>
        <v>19</v>
      </c>
      <c r="J31" s="536">
        <f t="shared" si="1"/>
        <v>1304.3890928269516</v>
      </c>
      <c r="K31" s="199">
        <f t="shared" si="2"/>
        <v>68.652057517207979</v>
      </c>
      <c r="L31" s="617"/>
      <c r="M31" s="531">
        <f>RANK(K31, K$7:$K$36)</f>
        <v>21</v>
      </c>
      <c r="N31" s="635"/>
      <c r="O31" s="635"/>
      <c r="P31" s="535">
        <v>19</v>
      </c>
      <c r="Q31" s="539">
        <v>1281.1764705882349</v>
      </c>
      <c r="R31" s="539">
        <v>67.430340557275528</v>
      </c>
      <c r="S31" s="535">
        <v>22</v>
      </c>
      <c r="T31" s="659"/>
      <c r="U31" s="535">
        <v>19</v>
      </c>
      <c r="V31" s="539">
        <v>1317.0731707317068</v>
      </c>
      <c r="W31" s="539">
        <v>69.31964056482667</v>
      </c>
      <c r="X31" s="535">
        <v>21</v>
      </c>
      <c r="Y31" s="659"/>
      <c r="Z31" s="535">
        <v>19</v>
      </c>
      <c r="AA31" s="539">
        <v>1320.0000000000011</v>
      </c>
      <c r="AB31" s="539">
        <v>69.473684210526372</v>
      </c>
      <c r="AC31" s="535">
        <v>21</v>
      </c>
      <c r="AD31" s="659"/>
      <c r="AE31" s="535">
        <v>19</v>
      </c>
      <c r="AF31" s="539">
        <v>1288.2352941176455</v>
      </c>
      <c r="AG31" s="539">
        <v>67.801857585139231</v>
      </c>
      <c r="AH31" s="535">
        <v>22</v>
      </c>
      <c r="AI31" s="659"/>
      <c r="AJ31" s="535">
        <v>19</v>
      </c>
      <c r="AK31" s="539">
        <v>1320.7228915662645</v>
      </c>
      <c r="AL31" s="539">
        <v>69.511731135066555</v>
      </c>
      <c r="AM31" s="535">
        <v>20</v>
      </c>
      <c r="AN31" s="659"/>
      <c r="AO31" s="535">
        <v>19</v>
      </c>
      <c r="AP31" s="539">
        <v>1322.2499999999995</v>
      </c>
      <c r="AQ31" s="539">
        <v>69.592105263157876</v>
      </c>
      <c r="AR31" s="535">
        <v>20</v>
      </c>
      <c r="AS31" s="659"/>
      <c r="AT31" s="535">
        <v>19</v>
      </c>
      <c r="AU31" s="539">
        <v>1281.2658227848094</v>
      </c>
      <c r="AV31" s="539">
        <v>67.435043304463647</v>
      </c>
      <c r="AW31" s="535">
        <v>21</v>
      </c>
      <c r="AX31" s="659"/>
      <c r="AZ31" s="372" t="e">
        <f t="shared" si="3"/>
        <v>#N/A</v>
      </c>
      <c r="BA31" s="659"/>
    </row>
    <row r="32" spans="2:53">
      <c r="B32" s="646"/>
      <c r="C32" s="535">
        <v>26</v>
      </c>
      <c r="D32" s="225"/>
      <c r="E32" s="539"/>
      <c r="F32" s="535"/>
      <c r="G32" s="534"/>
      <c r="H32" s="682"/>
      <c r="I32" s="536" t="str">
        <f t="shared" si="0"/>
        <v>-</v>
      </c>
      <c r="J32" s="536" t="str">
        <f t="shared" si="1"/>
        <v>-</v>
      </c>
      <c r="K32" s="199" t="str">
        <f t="shared" si="2"/>
        <v>-</v>
      </c>
      <c r="L32" s="617"/>
      <c r="M32" s="531" t="e">
        <f>RANK(K32, K$7:$K$36)</f>
        <v>#VALUE!</v>
      </c>
      <c r="N32" s="635"/>
      <c r="O32" s="635"/>
      <c r="P32" s="535" t="s">
        <v>592</v>
      </c>
      <c r="Q32" s="539" t="s">
        <v>592</v>
      </c>
      <c r="R32" s="539" t="s">
        <v>592</v>
      </c>
      <c r="S32" s="535" t="e">
        <v>#VALUE!</v>
      </c>
      <c r="T32" s="659"/>
      <c r="U32" s="535" t="s">
        <v>592</v>
      </c>
      <c r="V32" s="539" t="s">
        <v>592</v>
      </c>
      <c r="W32" s="539" t="s">
        <v>592</v>
      </c>
      <c r="X32" s="535" t="e">
        <v>#VALUE!</v>
      </c>
      <c r="Y32" s="659"/>
      <c r="Z32" s="535" t="s">
        <v>592</v>
      </c>
      <c r="AA32" s="539" t="s">
        <v>592</v>
      </c>
      <c r="AB32" s="539" t="s">
        <v>592</v>
      </c>
      <c r="AC32" s="535" t="e">
        <v>#VALUE!</v>
      </c>
      <c r="AD32" s="659"/>
      <c r="AE32" s="535" t="s">
        <v>592</v>
      </c>
      <c r="AF32" s="539" t="s">
        <v>592</v>
      </c>
      <c r="AG32" s="539" t="s">
        <v>592</v>
      </c>
      <c r="AH32" s="535" t="e">
        <v>#VALUE!</v>
      </c>
      <c r="AI32" s="659"/>
      <c r="AJ32" s="535" t="s">
        <v>592</v>
      </c>
      <c r="AK32" s="539" t="s">
        <v>592</v>
      </c>
      <c r="AL32" s="539" t="s">
        <v>592</v>
      </c>
      <c r="AM32" s="535" t="e">
        <v>#VALUE!</v>
      </c>
      <c r="AN32" s="659"/>
      <c r="AO32" s="535" t="s">
        <v>592</v>
      </c>
      <c r="AP32" s="539" t="s">
        <v>592</v>
      </c>
      <c r="AQ32" s="539" t="s">
        <v>592</v>
      </c>
      <c r="AR32" s="535" t="e">
        <v>#VALUE!</v>
      </c>
      <c r="AS32" s="659"/>
      <c r="AT32" s="535" t="s">
        <v>592</v>
      </c>
      <c r="AU32" s="539" t="s">
        <v>592</v>
      </c>
      <c r="AV32" s="539" t="s">
        <v>592</v>
      </c>
      <c r="AW32" s="535" t="e">
        <v>#VALUE!</v>
      </c>
      <c r="AX32" s="659"/>
      <c r="AZ32" s="372" t="e">
        <f t="shared" si="3"/>
        <v>#N/A</v>
      </c>
      <c r="BA32" s="659"/>
    </row>
    <row r="33" spans="2:53">
      <c r="B33" s="646"/>
      <c r="C33" s="535">
        <v>27</v>
      </c>
      <c r="D33" s="225"/>
      <c r="E33" s="539"/>
      <c r="F33" s="535"/>
      <c r="G33" s="534"/>
      <c r="H33" s="682"/>
      <c r="I33" s="536" t="str">
        <f t="shared" si="0"/>
        <v>-</v>
      </c>
      <c r="J33" s="536" t="str">
        <f t="shared" si="1"/>
        <v>-</v>
      </c>
      <c r="K33" s="199" t="str">
        <f t="shared" si="2"/>
        <v>-</v>
      </c>
      <c r="L33" s="617"/>
      <c r="M33" s="531" t="e">
        <f>RANK(K33, K$7:$K$36)</f>
        <v>#VALUE!</v>
      </c>
      <c r="N33" s="635"/>
      <c r="O33" s="635"/>
      <c r="P33" s="535" t="s">
        <v>592</v>
      </c>
      <c r="Q33" s="539" t="s">
        <v>592</v>
      </c>
      <c r="R33" s="539" t="s">
        <v>592</v>
      </c>
      <c r="S33" s="535" t="e">
        <v>#VALUE!</v>
      </c>
      <c r="T33" s="659"/>
      <c r="U33" s="535" t="s">
        <v>592</v>
      </c>
      <c r="V33" s="539" t="s">
        <v>592</v>
      </c>
      <c r="W33" s="539" t="s">
        <v>592</v>
      </c>
      <c r="X33" s="535" t="e">
        <v>#VALUE!</v>
      </c>
      <c r="Y33" s="659"/>
      <c r="Z33" s="535" t="s">
        <v>592</v>
      </c>
      <c r="AA33" s="539" t="s">
        <v>592</v>
      </c>
      <c r="AB33" s="539" t="s">
        <v>592</v>
      </c>
      <c r="AC33" s="535" t="e">
        <v>#VALUE!</v>
      </c>
      <c r="AD33" s="659"/>
      <c r="AE33" s="535" t="s">
        <v>592</v>
      </c>
      <c r="AF33" s="539" t="s">
        <v>592</v>
      </c>
      <c r="AG33" s="539" t="s">
        <v>592</v>
      </c>
      <c r="AH33" s="535" t="e">
        <v>#VALUE!</v>
      </c>
      <c r="AI33" s="659"/>
      <c r="AJ33" s="535" t="s">
        <v>592</v>
      </c>
      <c r="AK33" s="539" t="s">
        <v>592</v>
      </c>
      <c r="AL33" s="539" t="s">
        <v>592</v>
      </c>
      <c r="AM33" s="535" t="e">
        <v>#VALUE!</v>
      </c>
      <c r="AN33" s="659"/>
      <c r="AO33" s="535" t="s">
        <v>592</v>
      </c>
      <c r="AP33" s="539" t="s">
        <v>592</v>
      </c>
      <c r="AQ33" s="539" t="s">
        <v>592</v>
      </c>
      <c r="AR33" s="535" t="e">
        <v>#VALUE!</v>
      </c>
      <c r="AS33" s="659"/>
      <c r="AT33" s="535" t="s">
        <v>592</v>
      </c>
      <c r="AU33" s="539" t="s">
        <v>592</v>
      </c>
      <c r="AV33" s="539" t="s">
        <v>592</v>
      </c>
      <c r="AW33" s="535" t="e">
        <v>#VALUE!</v>
      </c>
      <c r="AX33" s="659"/>
      <c r="AZ33" s="372" t="e">
        <f t="shared" si="3"/>
        <v>#N/A</v>
      </c>
      <c r="BA33" s="659"/>
    </row>
    <row r="34" spans="2:53">
      <c r="B34" s="646"/>
      <c r="C34" s="535">
        <v>28</v>
      </c>
      <c r="D34" s="225"/>
      <c r="E34" s="539"/>
      <c r="F34" s="535"/>
      <c r="G34" s="534"/>
      <c r="H34" s="682"/>
      <c r="I34" s="536" t="str">
        <f t="shared" si="0"/>
        <v>-</v>
      </c>
      <c r="J34" s="536" t="str">
        <f t="shared" si="1"/>
        <v>-</v>
      </c>
      <c r="K34" s="199" t="str">
        <f t="shared" si="2"/>
        <v>-</v>
      </c>
      <c r="L34" s="617"/>
      <c r="M34" s="531" t="e">
        <f>RANK(K34, K$7:$K$36)</f>
        <v>#VALUE!</v>
      </c>
      <c r="N34" s="635"/>
      <c r="O34" s="635"/>
      <c r="P34" s="535" t="s">
        <v>592</v>
      </c>
      <c r="Q34" s="539" t="s">
        <v>592</v>
      </c>
      <c r="R34" s="539" t="s">
        <v>592</v>
      </c>
      <c r="S34" s="535" t="e">
        <v>#VALUE!</v>
      </c>
      <c r="T34" s="659"/>
      <c r="U34" s="535" t="s">
        <v>592</v>
      </c>
      <c r="V34" s="539" t="s">
        <v>592</v>
      </c>
      <c r="W34" s="539" t="s">
        <v>592</v>
      </c>
      <c r="X34" s="535" t="e">
        <v>#VALUE!</v>
      </c>
      <c r="Y34" s="659"/>
      <c r="Z34" s="535" t="s">
        <v>592</v>
      </c>
      <c r="AA34" s="539" t="s">
        <v>592</v>
      </c>
      <c r="AB34" s="539" t="s">
        <v>592</v>
      </c>
      <c r="AC34" s="535" t="e">
        <v>#VALUE!</v>
      </c>
      <c r="AD34" s="659"/>
      <c r="AE34" s="535" t="s">
        <v>592</v>
      </c>
      <c r="AF34" s="539" t="s">
        <v>592</v>
      </c>
      <c r="AG34" s="539" t="s">
        <v>592</v>
      </c>
      <c r="AH34" s="535" t="e">
        <v>#VALUE!</v>
      </c>
      <c r="AI34" s="659"/>
      <c r="AJ34" s="535" t="s">
        <v>592</v>
      </c>
      <c r="AK34" s="539" t="s">
        <v>592</v>
      </c>
      <c r="AL34" s="539" t="s">
        <v>592</v>
      </c>
      <c r="AM34" s="535" t="e">
        <v>#VALUE!</v>
      </c>
      <c r="AN34" s="659"/>
      <c r="AO34" s="535" t="s">
        <v>592</v>
      </c>
      <c r="AP34" s="539" t="s">
        <v>592</v>
      </c>
      <c r="AQ34" s="539" t="s">
        <v>592</v>
      </c>
      <c r="AR34" s="535" t="e">
        <v>#VALUE!</v>
      </c>
      <c r="AS34" s="659"/>
      <c r="AT34" s="535" t="s">
        <v>592</v>
      </c>
      <c r="AU34" s="539" t="s">
        <v>592</v>
      </c>
      <c r="AV34" s="539" t="s">
        <v>592</v>
      </c>
      <c r="AW34" s="535" t="e">
        <v>#VALUE!</v>
      </c>
      <c r="AX34" s="659"/>
      <c r="AZ34" s="372" t="e">
        <f t="shared" si="3"/>
        <v>#N/A</v>
      </c>
      <c r="BA34" s="659"/>
    </row>
    <row r="35" spans="2:53">
      <c r="B35" s="646"/>
      <c r="C35" s="535">
        <v>29</v>
      </c>
      <c r="D35" s="225"/>
      <c r="E35" s="539"/>
      <c r="F35" s="535"/>
      <c r="G35" s="534"/>
      <c r="H35" s="682"/>
      <c r="I35" s="536" t="str">
        <f t="shared" si="0"/>
        <v>-</v>
      </c>
      <c r="J35" s="536" t="str">
        <f t="shared" si="1"/>
        <v>-</v>
      </c>
      <c r="K35" s="199" t="str">
        <f t="shared" si="2"/>
        <v>-</v>
      </c>
      <c r="L35" s="617"/>
      <c r="M35" s="531" t="e">
        <f>RANK(K35, K$7:$K$36)</f>
        <v>#VALUE!</v>
      </c>
      <c r="N35" s="635"/>
      <c r="O35" s="635"/>
      <c r="P35" s="535" t="s">
        <v>592</v>
      </c>
      <c r="Q35" s="539" t="s">
        <v>592</v>
      </c>
      <c r="R35" s="539" t="s">
        <v>592</v>
      </c>
      <c r="S35" s="535" t="e">
        <v>#VALUE!</v>
      </c>
      <c r="T35" s="659"/>
      <c r="U35" s="535" t="s">
        <v>592</v>
      </c>
      <c r="V35" s="539" t="s">
        <v>592</v>
      </c>
      <c r="W35" s="539" t="s">
        <v>592</v>
      </c>
      <c r="X35" s="535" t="e">
        <v>#VALUE!</v>
      </c>
      <c r="Y35" s="659"/>
      <c r="Z35" s="535" t="s">
        <v>592</v>
      </c>
      <c r="AA35" s="539" t="s">
        <v>592</v>
      </c>
      <c r="AB35" s="539" t="s">
        <v>592</v>
      </c>
      <c r="AC35" s="535" t="e">
        <v>#VALUE!</v>
      </c>
      <c r="AD35" s="659"/>
      <c r="AE35" s="535" t="s">
        <v>592</v>
      </c>
      <c r="AF35" s="539" t="s">
        <v>592</v>
      </c>
      <c r="AG35" s="539" t="s">
        <v>592</v>
      </c>
      <c r="AH35" s="535" t="e">
        <v>#VALUE!</v>
      </c>
      <c r="AI35" s="659"/>
      <c r="AJ35" s="535" t="s">
        <v>592</v>
      </c>
      <c r="AK35" s="539" t="s">
        <v>592</v>
      </c>
      <c r="AL35" s="539" t="s">
        <v>592</v>
      </c>
      <c r="AM35" s="535" t="e">
        <v>#VALUE!</v>
      </c>
      <c r="AN35" s="659"/>
      <c r="AO35" s="535" t="s">
        <v>592</v>
      </c>
      <c r="AP35" s="539" t="s">
        <v>592</v>
      </c>
      <c r="AQ35" s="539" t="s">
        <v>592</v>
      </c>
      <c r="AR35" s="535" t="e">
        <v>#VALUE!</v>
      </c>
      <c r="AS35" s="659"/>
      <c r="AT35" s="535" t="s">
        <v>592</v>
      </c>
      <c r="AU35" s="539" t="s">
        <v>592</v>
      </c>
      <c r="AV35" s="539" t="s">
        <v>592</v>
      </c>
      <c r="AW35" s="535" t="e">
        <v>#VALUE!</v>
      </c>
      <c r="AX35" s="659"/>
      <c r="AZ35" s="372" t="e">
        <f t="shared" si="3"/>
        <v>#N/A</v>
      </c>
      <c r="BA35" s="659"/>
    </row>
    <row r="36" spans="2:53">
      <c r="B36" s="646"/>
      <c r="C36" s="535">
        <v>30</v>
      </c>
      <c r="D36" s="225"/>
      <c r="E36" s="539"/>
      <c r="F36" s="535"/>
      <c r="G36" s="534"/>
      <c r="H36" s="683"/>
      <c r="I36" s="536" t="str">
        <f t="shared" si="0"/>
        <v>-</v>
      </c>
      <c r="J36" s="536" t="str">
        <f t="shared" si="1"/>
        <v>-</v>
      </c>
      <c r="K36" s="199" t="str">
        <f t="shared" si="2"/>
        <v>-</v>
      </c>
      <c r="L36" s="618"/>
      <c r="M36" s="531" t="e">
        <f>RANK(K36, K$7:$K$36)</f>
        <v>#VALUE!</v>
      </c>
      <c r="N36" s="635"/>
      <c r="O36" s="635"/>
      <c r="P36" s="535" t="s">
        <v>592</v>
      </c>
      <c r="Q36" s="539" t="s">
        <v>592</v>
      </c>
      <c r="R36" s="539" t="s">
        <v>592</v>
      </c>
      <c r="S36" s="535" t="e">
        <v>#VALUE!</v>
      </c>
      <c r="T36" s="659"/>
      <c r="U36" s="535" t="s">
        <v>592</v>
      </c>
      <c r="V36" s="539" t="s">
        <v>592</v>
      </c>
      <c r="W36" s="539" t="s">
        <v>592</v>
      </c>
      <c r="X36" s="535" t="e">
        <v>#VALUE!</v>
      </c>
      <c r="Y36" s="659"/>
      <c r="Z36" s="535" t="s">
        <v>592</v>
      </c>
      <c r="AA36" s="539" t="s">
        <v>592</v>
      </c>
      <c r="AB36" s="539" t="s">
        <v>592</v>
      </c>
      <c r="AC36" s="535" t="e">
        <v>#VALUE!</v>
      </c>
      <c r="AD36" s="659"/>
      <c r="AE36" s="535" t="s">
        <v>592</v>
      </c>
      <c r="AF36" s="539" t="s">
        <v>592</v>
      </c>
      <c r="AG36" s="539" t="s">
        <v>592</v>
      </c>
      <c r="AH36" s="535" t="e">
        <v>#VALUE!</v>
      </c>
      <c r="AI36" s="659"/>
      <c r="AJ36" s="535" t="s">
        <v>592</v>
      </c>
      <c r="AK36" s="539" t="s">
        <v>592</v>
      </c>
      <c r="AL36" s="539" t="s">
        <v>592</v>
      </c>
      <c r="AM36" s="535" t="e">
        <v>#VALUE!</v>
      </c>
      <c r="AN36" s="659"/>
      <c r="AO36" s="535" t="s">
        <v>592</v>
      </c>
      <c r="AP36" s="539" t="s">
        <v>592</v>
      </c>
      <c r="AQ36" s="539" t="s">
        <v>592</v>
      </c>
      <c r="AR36" s="535" t="e">
        <v>#VALUE!</v>
      </c>
      <c r="AS36" s="659"/>
      <c r="AT36" s="535" t="s">
        <v>592</v>
      </c>
      <c r="AU36" s="539" t="s">
        <v>592</v>
      </c>
      <c r="AV36" s="539" t="s">
        <v>592</v>
      </c>
      <c r="AW36" s="535" t="e">
        <v>#VALUE!</v>
      </c>
      <c r="AX36" s="659"/>
      <c r="AZ36" s="372" t="e">
        <f t="shared" si="3"/>
        <v>#N/A</v>
      </c>
      <c r="BA36" s="659"/>
    </row>
    <row r="37" spans="2:53" ht="15.75">
      <c r="B37" s="666" t="s">
        <v>162</v>
      </c>
      <c r="C37" s="667"/>
      <c r="D37" s="667"/>
      <c r="E37" s="667"/>
      <c r="F37" s="667"/>
      <c r="G37" s="667"/>
      <c r="H37" s="667"/>
      <c r="I37" s="202"/>
      <c r="J37" s="202"/>
      <c r="K37" s="202"/>
      <c r="L37" s="202"/>
      <c r="M37" s="203"/>
      <c r="N37" s="639" t="s">
        <v>156</v>
      </c>
      <c r="O37" s="639" t="s">
        <v>105</v>
      </c>
      <c r="P37" s="645">
        <f>AT2+1</f>
        <v>46210</v>
      </c>
      <c r="Q37" s="646"/>
      <c r="R37" s="646"/>
      <c r="S37" s="646"/>
      <c r="T37" s="646"/>
      <c r="U37" s="645">
        <f>P37+1</f>
        <v>46211</v>
      </c>
      <c r="V37" s="646"/>
      <c r="W37" s="646"/>
      <c r="X37" s="646"/>
      <c r="Y37" s="646"/>
      <c r="Z37" s="645">
        <f>U37+1</f>
        <v>46212</v>
      </c>
      <c r="AA37" s="646"/>
      <c r="AB37" s="646"/>
      <c r="AC37" s="646"/>
      <c r="AD37" s="646"/>
      <c r="AE37" s="645">
        <f>Z37+1</f>
        <v>46213</v>
      </c>
      <c r="AF37" s="646"/>
      <c r="AG37" s="646"/>
      <c r="AH37" s="646"/>
      <c r="AI37" s="646"/>
      <c r="AJ37" s="645">
        <f>AE37+1</f>
        <v>46214</v>
      </c>
      <c r="AK37" s="646"/>
      <c r="AL37" s="646"/>
      <c r="AM37" s="646"/>
      <c r="AN37" s="646"/>
      <c r="AO37" s="645">
        <f>AJ37+1</f>
        <v>46215</v>
      </c>
      <c r="AP37" s="646"/>
      <c r="AQ37" s="646"/>
      <c r="AR37" s="646"/>
      <c r="AS37" s="646"/>
      <c r="AT37" s="645">
        <f>AO37+1</f>
        <v>46216</v>
      </c>
      <c r="AU37" s="646"/>
      <c r="AV37" s="646"/>
      <c r="AW37" s="646"/>
      <c r="AX37" s="646"/>
    </row>
    <row r="38" spans="2:53" ht="15.75">
      <c r="B38" s="653"/>
      <c r="C38" s="653"/>
      <c r="D38" s="653"/>
      <c r="E38" s="653"/>
      <c r="F38" s="653"/>
      <c r="G38" s="653"/>
      <c r="H38" s="653"/>
      <c r="I38" s="204"/>
      <c r="J38" s="204"/>
      <c r="K38" s="204"/>
      <c r="L38" s="204"/>
      <c r="M38" s="205"/>
      <c r="N38" s="641"/>
      <c r="O38" s="641"/>
      <c r="P38" s="645" t="s">
        <v>317</v>
      </c>
      <c r="Q38" s="646"/>
      <c r="R38" s="646"/>
      <c r="S38" s="646"/>
      <c r="T38" s="646"/>
      <c r="U38" s="645" t="s">
        <v>318</v>
      </c>
      <c r="V38" s="646"/>
      <c r="W38" s="646"/>
      <c r="X38" s="646"/>
      <c r="Y38" s="646"/>
      <c r="Z38" s="645" t="s">
        <v>319</v>
      </c>
      <c r="AA38" s="646"/>
      <c r="AB38" s="646"/>
      <c r="AC38" s="646"/>
      <c r="AD38" s="646"/>
      <c r="AE38" s="645" t="s">
        <v>320</v>
      </c>
      <c r="AF38" s="646"/>
      <c r="AG38" s="646"/>
      <c r="AH38" s="646"/>
      <c r="AI38" s="646"/>
      <c r="AJ38" s="645" t="s">
        <v>321</v>
      </c>
      <c r="AK38" s="646"/>
      <c r="AL38" s="646"/>
      <c r="AM38" s="646"/>
      <c r="AN38" s="646"/>
      <c r="AO38" s="645" t="s">
        <v>322</v>
      </c>
      <c r="AP38" s="646"/>
      <c r="AQ38" s="646"/>
      <c r="AR38" s="646"/>
      <c r="AS38" s="646"/>
      <c r="AT38" s="645" t="s">
        <v>323</v>
      </c>
      <c r="AU38" s="646"/>
      <c r="AV38" s="646"/>
      <c r="AW38" s="646"/>
      <c r="AX38" s="646"/>
    </row>
    <row r="39" spans="2:53">
      <c r="B39" s="635" t="s">
        <v>410</v>
      </c>
      <c r="C39" s="635" t="s">
        <v>411</v>
      </c>
      <c r="D39" s="635"/>
      <c r="E39" s="635" t="s">
        <v>412</v>
      </c>
      <c r="F39" s="635"/>
      <c r="G39" s="635"/>
      <c r="H39" s="636" t="s">
        <v>413</v>
      </c>
      <c r="I39" s="619" t="s">
        <v>414</v>
      </c>
      <c r="J39" s="619"/>
      <c r="K39" s="619"/>
      <c r="L39" s="620" t="s">
        <v>413</v>
      </c>
      <c r="M39" s="626" t="s">
        <v>415</v>
      </c>
      <c r="N39" s="635"/>
      <c r="O39" s="635" t="s">
        <v>416</v>
      </c>
      <c r="P39" s="632" t="s">
        <v>417</v>
      </c>
      <c r="Q39" s="633"/>
      <c r="R39" s="633"/>
      <c r="S39" s="634"/>
      <c r="T39" s="635" t="s">
        <v>413</v>
      </c>
      <c r="U39" s="632" t="s">
        <v>417</v>
      </c>
      <c r="V39" s="633"/>
      <c r="W39" s="633"/>
      <c r="X39" s="634"/>
      <c r="Y39" s="635" t="s">
        <v>413</v>
      </c>
      <c r="Z39" s="632" t="s">
        <v>417</v>
      </c>
      <c r="AA39" s="633"/>
      <c r="AB39" s="633"/>
      <c r="AC39" s="634"/>
      <c r="AD39" s="635" t="s">
        <v>413</v>
      </c>
      <c r="AE39" s="632" t="s">
        <v>417</v>
      </c>
      <c r="AF39" s="633"/>
      <c r="AG39" s="633"/>
      <c r="AH39" s="634"/>
      <c r="AI39" s="635" t="s">
        <v>413</v>
      </c>
      <c r="AJ39" s="632" t="s">
        <v>417</v>
      </c>
      <c r="AK39" s="633"/>
      <c r="AL39" s="633"/>
      <c r="AM39" s="634"/>
      <c r="AN39" s="635" t="s">
        <v>413</v>
      </c>
      <c r="AO39" s="632" t="s">
        <v>417</v>
      </c>
      <c r="AP39" s="633"/>
      <c r="AQ39" s="633"/>
      <c r="AR39" s="634"/>
      <c r="AS39" s="635" t="s">
        <v>413</v>
      </c>
      <c r="AT39" s="632" t="s">
        <v>417</v>
      </c>
      <c r="AU39" s="633"/>
      <c r="AV39" s="633"/>
      <c r="AW39" s="634"/>
      <c r="AX39" s="635" t="s">
        <v>413</v>
      </c>
      <c r="BA39" s="635" t="s">
        <v>369</v>
      </c>
    </row>
    <row r="40" spans="2:53">
      <c r="B40" s="635"/>
      <c r="C40" s="635"/>
      <c r="D40" s="635"/>
      <c r="E40" s="635" t="s">
        <v>418</v>
      </c>
      <c r="F40" s="635"/>
      <c r="G40" s="635"/>
      <c r="H40" s="637"/>
      <c r="I40" s="619" t="s">
        <v>418</v>
      </c>
      <c r="J40" s="619"/>
      <c r="K40" s="619"/>
      <c r="L40" s="621"/>
      <c r="M40" s="627"/>
      <c r="N40" s="635"/>
      <c r="O40" s="635"/>
      <c r="P40" s="632" t="s">
        <v>419</v>
      </c>
      <c r="Q40" s="633"/>
      <c r="R40" s="633"/>
      <c r="S40" s="634"/>
      <c r="T40" s="635"/>
      <c r="U40" s="632" t="s">
        <v>419</v>
      </c>
      <c r="V40" s="633"/>
      <c r="W40" s="633"/>
      <c r="X40" s="634"/>
      <c r="Y40" s="635"/>
      <c r="Z40" s="632" t="s">
        <v>419</v>
      </c>
      <c r="AA40" s="633"/>
      <c r="AB40" s="633"/>
      <c r="AC40" s="634"/>
      <c r="AD40" s="635"/>
      <c r="AE40" s="632" t="s">
        <v>419</v>
      </c>
      <c r="AF40" s="633"/>
      <c r="AG40" s="633"/>
      <c r="AH40" s="634"/>
      <c r="AI40" s="635"/>
      <c r="AJ40" s="632" t="s">
        <v>419</v>
      </c>
      <c r="AK40" s="633"/>
      <c r="AL40" s="633"/>
      <c r="AM40" s="634"/>
      <c r="AN40" s="635"/>
      <c r="AO40" s="632" t="s">
        <v>419</v>
      </c>
      <c r="AP40" s="633"/>
      <c r="AQ40" s="633"/>
      <c r="AR40" s="634"/>
      <c r="AS40" s="635"/>
      <c r="AT40" s="632" t="s">
        <v>419</v>
      </c>
      <c r="AU40" s="633"/>
      <c r="AV40" s="633"/>
      <c r="AW40" s="634"/>
      <c r="AX40" s="635"/>
      <c r="BA40" s="635"/>
    </row>
    <row r="41" spans="2:53">
      <c r="B41" s="635"/>
      <c r="C41" s="635"/>
      <c r="D41" s="635"/>
      <c r="E41" s="286" t="s">
        <v>420</v>
      </c>
      <c r="F41" s="286" t="s">
        <v>421</v>
      </c>
      <c r="G41" s="286" t="s">
        <v>422</v>
      </c>
      <c r="H41" s="638"/>
      <c r="I41" s="285" t="s">
        <v>420</v>
      </c>
      <c r="J41" s="285" t="s">
        <v>421</v>
      </c>
      <c r="K41" s="285" t="s">
        <v>422</v>
      </c>
      <c r="L41" s="622"/>
      <c r="M41" s="628"/>
      <c r="N41" s="635"/>
      <c r="O41" s="635"/>
      <c r="P41" s="286" t="s">
        <v>420</v>
      </c>
      <c r="Q41" s="286" t="s">
        <v>421</v>
      </c>
      <c r="R41" s="286" t="s">
        <v>422</v>
      </c>
      <c r="S41" s="286" t="s">
        <v>415</v>
      </c>
      <c r="T41" s="635"/>
      <c r="U41" s="286" t="s">
        <v>420</v>
      </c>
      <c r="V41" s="286" t="s">
        <v>421</v>
      </c>
      <c r="W41" s="286" t="s">
        <v>422</v>
      </c>
      <c r="X41" s="286" t="s">
        <v>415</v>
      </c>
      <c r="Y41" s="635"/>
      <c r="Z41" s="286" t="s">
        <v>420</v>
      </c>
      <c r="AA41" s="286" t="s">
        <v>421</v>
      </c>
      <c r="AB41" s="286" t="s">
        <v>422</v>
      </c>
      <c r="AC41" s="286" t="s">
        <v>415</v>
      </c>
      <c r="AD41" s="635"/>
      <c r="AE41" s="286" t="s">
        <v>420</v>
      </c>
      <c r="AF41" s="286" t="s">
        <v>421</v>
      </c>
      <c r="AG41" s="286" t="s">
        <v>422</v>
      </c>
      <c r="AH41" s="286" t="s">
        <v>415</v>
      </c>
      <c r="AI41" s="635"/>
      <c r="AJ41" s="286" t="s">
        <v>420</v>
      </c>
      <c r="AK41" s="286" t="s">
        <v>421</v>
      </c>
      <c r="AL41" s="286" t="s">
        <v>422</v>
      </c>
      <c r="AM41" s="286" t="s">
        <v>415</v>
      </c>
      <c r="AN41" s="635"/>
      <c r="AO41" s="286" t="s">
        <v>420</v>
      </c>
      <c r="AP41" s="286" t="s">
        <v>421</v>
      </c>
      <c r="AQ41" s="286" t="s">
        <v>422</v>
      </c>
      <c r="AR41" s="286" t="s">
        <v>415</v>
      </c>
      <c r="AS41" s="635"/>
      <c r="AT41" s="286" t="s">
        <v>420</v>
      </c>
      <c r="AU41" s="286" t="s">
        <v>421</v>
      </c>
      <c r="AV41" s="286" t="s">
        <v>422</v>
      </c>
      <c r="AW41" s="286" t="s">
        <v>415</v>
      </c>
      <c r="AX41" s="635"/>
      <c r="AZ41" s="371" t="s">
        <v>370</v>
      </c>
      <c r="BA41" s="635"/>
    </row>
    <row r="42" spans="2:53">
      <c r="B42" s="635" t="s">
        <v>423</v>
      </c>
      <c r="C42" s="287">
        <v>1</v>
      </c>
      <c r="D42" s="201" t="s">
        <v>343</v>
      </c>
      <c r="E42" s="536">
        <v>6</v>
      </c>
      <c r="F42" s="201">
        <v>1500</v>
      </c>
      <c r="G42" s="199">
        <v>250</v>
      </c>
      <c r="H42" s="681">
        <f>AVERAGE(G42:G71)</f>
        <v>101.38730650154798</v>
      </c>
      <c r="I42" s="367">
        <f>IFERROR(AVERAGE(P42,U42,Z42,AE42,AJ42,AO42,AT42),"-")</f>
        <v>6</v>
      </c>
      <c r="J42" s="367">
        <f>IFERROR(AVERAGE(Q42,V42,AA42,AF42,AK42,AP42,AU42),"-")</f>
        <v>1464.7555977975594</v>
      </c>
      <c r="K42" s="199">
        <f>IFERROR(AVERAGE(R42,W42,AB42,AG42,AL42,AQ42,AV42),"-")</f>
        <v>244.12593296625988</v>
      </c>
      <c r="L42" s="616">
        <f>IFERROR(AVERAGE(K42:K71),"-")</f>
        <v>91.221522823979299</v>
      </c>
      <c r="M42" s="200">
        <f>RANK(K42, K$42:$K$71)</f>
        <v>2</v>
      </c>
      <c r="N42" s="635"/>
      <c r="O42" s="635"/>
      <c r="P42" s="542">
        <v>6</v>
      </c>
      <c r="Q42" s="543">
        <v>1450.0303448275856</v>
      </c>
      <c r="R42" s="543">
        <v>241.67172413793094</v>
      </c>
      <c r="S42" s="542">
        <f t="shared" ref="S42:S71" si="4">RANK(R42, R$42:R$71)</f>
        <v>2</v>
      </c>
      <c r="T42" s="659">
        <f>AVERAGE(R42:R71)</f>
        <v>90.849868281684522</v>
      </c>
      <c r="U42" s="542">
        <v>6</v>
      </c>
      <c r="V42" s="543">
        <v>1487.5783783783779</v>
      </c>
      <c r="W42" s="543">
        <v>247.92972972972964</v>
      </c>
      <c r="X42" s="542">
        <f t="shared" ref="X42:X71" si="5">RANK(W42, W$42:W$71)</f>
        <v>1</v>
      </c>
      <c r="Y42" s="659">
        <f>AVERAGE(W42:W71)</f>
        <v>92.070993861497058</v>
      </c>
      <c r="Z42" s="542">
        <v>6</v>
      </c>
      <c r="AA42" s="543">
        <v>1461.4674846625762</v>
      </c>
      <c r="AB42" s="543">
        <v>243.57791411042936</v>
      </c>
      <c r="AC42" s="542">
        <f t="shared" ref="AC42:AC71" si="6">RANK(AB42, AB$42:AB$71)</f>
        <v>2</v>
      </c>
      <c r="AD42" s="659">
        <f>AVERAGE(AB42:AB71)</f>
        <v>90.767437431979758</v>
      </c>
      <c r="AE42" s="542">
        <v>6</v>
      </c>
      <c r="AF42" s="543">
        <v>1487.8728476821188</v>
      </c>
      <c r="AG42" s="543">
        <v>247.97880794701982</v>
      </c>
      <c r="AH42" s="542">
        <f t="shared" ref="AH42:AH71" si="7">RANK(AG42, AG$42:AG$71)</f>
        <v>1</v>
      </c>
      <c r="AI42" s="659">
        <f>AVERAGE(AG42:AG71)</f>
        <v>91.737948134246224</v>
      </c>
      <c r="AJ42" s="542">
        <v>6</v>
      </c>
      <c r="AK42" s="543">
        <v>1448.3519999999994</v>
      </c>
      <c r="AL42" s="543">
        <v>241.39199999999991</v>
      </c>
      <c r="AM42" s="542">
        <f t="shared" ref="AM42:AM71" si="8">RANK(AL42, AL$42:AL$71)</f>
        <v>2</v>
      </c>
      <c r="AN42" s="659">
        <f>AVERAGE(AL42:AL71)</f>
        <v>91.545115407247323</v>
      </c>
      <c r="AO42" s="542">
        <v>6</v>
      </c>
      <c r="AP42" s="543">
        <v>1448.3519999999994</v>
      </c>
      <c r="AQ42" s="543">
        <v>241.39199999999991</v>
      </c>
      <c r="AR42" s="542">
        <f t="shared" ref="AR42:AR71" si="9">RANK(AQ42, AQ$42:AQ$71)</f>
        <v>2</v>
      </c>
      <c r="AS42" s="659">
        <f>AVERAGE(AQ42:AQ71)</f>
        <v>91.323157058690526</v>
      </c>
      <c r="AT42" s="542">
        <v>6</v>
      </c>
      <c r="AU42" s="543">
        <v>1469.6361290322579</v>
      </c>
      <c r="AV42" s="543">
        <v>244.93935483870965</v>
      </c>
      <c r="AW42" s="542">
        <f t="shared" ref="AW42:AW71" si="10">RANK(AV42, AV$42:AV$71)</f>
        <v>1</v>
      </c>
      <c r="AX42" s="659">
        <f>AVERAGE(AV42:AV71)</f>
        <v>91.618631662340405</v>
      </c>
      <c r="AZ42" s="372" t="e">
        <f t="shared" ref="AZ42:AZ71" si="11">RANK(AY42, AY$42:AY$71)</f>
        <v>#N/A</v>
      </c>
      <c r="BA42" s="659" t="e">
        <f>AVERAGE(AY42:AY71)</f>
        <v>#DIV/0!</v>
      </c>
    </row>
    <row r="43" spans="2:53">
      <c r="B43" s="646"/>
      <c r="C43" s="287">
        <v>2</v>
      </c>
      <c r="D43" s="201" t="s">
        <v>593</v>
      </c>
      <c r="E43" s="536">
        <v>6</v>
      </c>
      <c r="F43" s="201">
        <v>1636</v>
      </c>
      <c r="G43" s="199">
        <v>272.7</v>
      </c>
      <c r="H43" s="682"/>
      <c r="I43" s="367">
        <f t="shared" ref="I43:I71" si="12">IFERROR(AVERAGE(P43,U43,Z43,AE43,AJ43,AO43,AT43),"-")</f>
        <v>6</v>
      </c>
      <c r="J43" s="367">
        <f t="shared" ref="J43:J71" si="13">IFERROR(AVERAGE(Q43,V43,AA43,AF43,AK43,AP43,AU43),"-")</f>
        <v>1470.6727429165192</v>
      </c>
      <c r="K43" s="199">
        <f t="shared" ref="K43:K71" si="14">IFERROR(AVERAGE(R43,W43,AB43,AG43,AL43,AQ43,AV43),"-")</f>
        <v>245.11212381941982</v>
      </c>
      <c r="L43" s="617"/>
      <c r="M43" s="200">
        <f>RANK(K43, K$42:$K$71)</f>
        <v>1</v>
      </c>
      <c r="N43" s="635"/>
      <c r="O43" s="635"/>
      <c r="P43" s="542">
        <v>6</v>
      </c>
      <c r="Q43" s="543">
        <v>1474.4117647058824</v>
      </c>
      <c r="R43" s="543">
        <v>245.73529411764707</v>
      </c>
      <c r="S43" s="542">
        <f t="shared" si="4"/>
        <v>1</v>
      </c>
      <c r="T43" s="659"/>
      <c r="U43" s="542">
        <v>6</v>
      </c>
      <c r="V43" s="543">
        <v>1466.666666666667</v>
      </c>
      <c r="W43" s="543">
        <v>244.44444444444449</v>
      </c>
      <c r="X43" s="542">
        <f t="shared" si="5"/>
        <v>2</v>
      </c>
      <c r="Y43" s="659"/>
      <c r="Z43" s="542">
        <v>6</v>
      </c>
      <c r="AA43" s="543">
        <v>1471.4634146341459</v>
      </c>
      <c r="AB43" s="543">
        <v>245.24390243902431</v>
      </c>
      <c r="AC43" s="542">
        <f t="shared" si="6"/>
        <v>1</v>
      </c>
      <c r="AD43" s="659"/>
      <c r="AE43" s="542">
        <v>6</v>
      </c>
      <c r="AF43" s="543">
        <v>1453.2203389830511</v>
      </c>
      <c r="AG43" s="543">
        <v>242.20338983050851</v>
      </c>
      <c r="AH43" s="542">
        <f t="shared" si="7"/>
        <v>2</v>
      </c>
      <c r="AI43" s="659"/>
      <c r="AJ43" s="542">
        <v>6</v>
      </c>
      <c r="AK43" s="543">
        <v>1480.9523809523805</v>
      </c>
      <c r="AL43" s="543">
        <v>246.82539682539675</v>
      </c>
      <c r="AM43" s="542">
        <f t="shared" si="8"/>
        <v>1</v>
      </c>
      <c r="AN43" s="659"/>
      <c r="AO43" s="542">
        <v>6</v>
      </c>
      <c r="AP43" s="543">
        <v>1480.9523809523805</v>
      </c>
      <c r="AQ43" s="543">
        <v>246.82539682539675</v>
      </c>
      <c r="AR43" s="542">
        <f t="shared" si="9"/>
        <v>1</v>
      </c>
      <c r="AS43" s="659"/>
      <c r="AT43" s="542">
        <v>6</v>
      </c>
      <c r="AU43" s="543">
        <v>1467.0422535211271</v>
      </c>
      <c r="AV43" s="543">
        <v>244.50704225352118</v>
      </c>
      <c r="AW43" s="542">
        <f t="shared" si="10"/>
        <v>2</v>
      </c>
      <c r="AX43" s="659"/>
      <c r="AZ43" s="372" t="e">
        <f t="shared" si="11"/>
        <v>#N/A</v>
      </c>
      <c r="BA43" s="659"/>
    </row>
    <row r="44" spans="2:53">
      <c r="B44" s="646"/>
      <c r="C44" s="287">
        <v>3</v>
      </c>
      <c r="D44" s="201" t="s">
        <v>584</v>
      </c>
      <c r="E44" s="536">
        <v>16</v>
      </c>
      <c r="F44" s="201">
        <v>1500</v>
      </c>
      <c r="G44" s="199">
        <v>93.8</v>
      </c>
      <c r="H44" s="682"/>
      <c r="I44" s="367">
        <f t="shared" si="12"/>
        <v>16.857142857142858</v>
      </c>
      <c r="J44" s="367">
        <f t="shared" si="13"/>
        <v>1354.6252834700888</v>
      </c>
      <c r="K44" s="199">
        <f t="shared" si="14"/>
        <v>80.400746023054225</v>
      </c>
      <c r="L44" s="617"/>
      <c r="M44" s="200">
        <f>RANK(K44, K$42:$K$71)</f>
        <v>12</v>
      </c>
      <c r="N44" s="635"/>
      <c r="O44" s="635"/>
      <c r="P44" s="542">
        <v>17</v>
      </c>
      <c r="Q44" s="543">
        <v>1344.7043478260871</v>
      </c>
      <c r="R44" s="543">
        <v>79.100255754475711</v>
      </c>
      <c r="S44" s="542">
        <f t="shared" si="4"/>
        <v>13</v>
      </c>
      <c r="T44" s="659"/>
      <c r="U44" s="542">
        <v>17</v>
      </c>
      <c r="V44" s="543">
        <v>1346.2363636363636</v>
      </c>
      <c r="W44" s="543">
        <v>79.1903743315508</v>
      </c>
      <c r="X44" s="542">
        <f t="shared" si="5"/>
        <v>14</v>
      </c>
      <c r="Y44" s="659"/>
      <c r="Z44" s="542">
        <v>17</v>
      </c>
      <c r="AA44" s="543">
        <v>1335.8727272727274</v>
      </c>
      <c r="AB44" s="543">
        <v>78.580748663101616</v>
      </c>
      <c r="AC44" s="542">
        <f t="shared" si="6"/>
        <v>14</v>
      </c>
      <c r="AD44" s="659"/>
      <c r="AE44" s="542">
        <v>17</v>
      </c>
      <c r="AF44" s="543">
        <v>1367.0454545454545</v>
      </c>
      <c r="AG44" s="543">
        <v>80.414438502673789</v>
      </c>
      <c r="AH44" s="542">
        <f t="shared" si="7"/>
        <v>10</v>
      </c>
      <c r="AI44" s="659"/>
      <c r="AJ44" s="542">
        <v>17</v>
      </c>
      <c r="AK44" s="543">
        <v>1361.7647058823536</v>
      </c>
      <c r="AL44" s="543">
        <v>80.103806228373742</v>
      </c>
      <c r="AM44" s="542">
        <f t="shared" si="8"/>
        <v>11</v>
      </c>
      <c r="AN44" s="659"/>
      <c r="AO44" s="542">
        <v>17</v>
      </c>
      <c r="AP44" s="543">
        <v>1361.7647058823536</v>
      </c>
      <c r="AQ44" s="543">
        <v>80.103806228373742</v>
      </c>
      <c r="AR44" s="542">
        <f t="shared" si="9"/>
        <v>11</v>
      </c>
      <c r="AS44" s="659"/>
      <c r="AT44" s="542">
        <v>16</v>
      </c>
      <c r="AU44" s="543">
        <v>1364.9886792452828</v>
      </c>
      <c r="AV44" s="543">
        <v>85.311792452830176</v>
      </c>
      <c r="AW44" s="542">
        <f t="shared" si="10"/>
        <v>8</v>
      </c>
      <c r="AX44" s="659"/>
      <c r="AZ44" s="372" t="e">
        <f t="shared" si="11"/>
        <v>#N/A</v>
      </c>
      <c r="BA44" s="659"/>
    </row>
    <row r="45" spans="2:53">
      <c r="B45" s="646"/>
      <c r="C45" s="287">
        <v>4</v>
      </c>
      <c r="D45" s="201" t="s">
        <v>553</v>
      </c>
      <c r="E45" s="536">
        <v>18</v>
      </c>
      <c r="F45" s="201">
        <v>1500</v>
      </c>
      <c r="G45" s="199">
        <v>83.3</v>
      </c>
      <c r="H45" s="682"/>
      <c r="I45" s="367">
        <f t="shared" si="12"/>
        <v>18.142857142857142</v>
      </c>
      <c r="J45" s="367">
        <f t="shared" si="13"/>
        <v>1312.7900051777599</v>
      </c>
      <c r="K45" s="199">
        <f t="shared" si="14"/>
        <v>72.365805077405497</v>
      </c>
      <c r="L45" s="617"/>
      <c r="M45" s="200">
        <f>RANK(K45, K$42:$K$71)</f>
        <v>18</v>
      </c>
      <c r="N45" s="635"/>
      <c r="O45" s="635"/>
      <c r="P45" s="542">
        <v>19</v>
      </c>
      <c r="Q45" s="543">
        <v>1357.3333333333335</v>
      </c>
      <c r="R45" s="543">
        <v>71.438596491228083</v>
      </c>
      <c r="S45" s="542">
        <f t="shared" si="4"/>
        <v>18</v>
      </c>
      <c r="T45" s="659"/>
      <c r="U45" s="542">
        <v>18</v>
      </c>
      <c r="V45" s="543">
        <v>1333.8461538461531</v>
      </c>
      <c r="W45" s="543">
        <v>74.10256410256406</v>
      </c>
      <c r="X45" s="542">
        <f t="shared" si="5"/>
        <v>17</v>
      </c>
      <c r="Y45" s="659"/>
      <c r="Z45" s="542">
        <v>18</v>
      </c>
      <c r="AA45" s="543">
        <v>1307.7272727272727</v>
      </c>
      <c r="AB45" s="543">
        <v>72.651515151515156</v>
      </c>
      <c r="AC45" s="542">
        <f t="shared" si="6"/>
        <v>17</v>
      </c>
      <c r="AD45" s="659"/>
      <c r="AE45" s="542">
        <v>18</v>
      </c>
      <c r="AF45" s="543">
        <v>1318.3783783783774</v>
      </c>
      <c r="AG45" s="543">
        <v>73.243243243243185</v>
      </c>
      <c r="AH45" s="542">
        <f t="shared" si="7"/>
        <v>17</v>
      </c>
      <c r="AI45" s="659"/>
      <c r="AJ45" s="542">
        <v>18</v>
      </c>
      <c r="AK45" s="543">
        <v>1282.8571428571424</v>
      </c>
      <c r="AL45" s="543">
        <v>71.269841269841251</v>
      </c>
      <c r="AM45" s="542">
        <f t="shared" si="8"/>
        <v>17</v>
      </c>
      <c r="AN45" s="659"/>
      <c r="AO45" s="542">
        <v>18</v>
      </c>
      <c r="AP45" s="543">
        <v>1282.8571428571424</v>
      </c>
      <c r="AQ45" s="543">
        <v>71.269841269841251</v>
      </c>
      <c r="AR45" s="542">
        <f t="shared" si="9"/>
        <v>17</v>
      </c>
      <c r="AS45" s="659"/>
      <c r="AT45" s="542">
        <v>18</v>
      </c>
      <c r="AU45" s="543">
        <v>1306.5306122448983</v>
      </c>
      <c r="AV45" s="543">
        <v>72.585034013605465</v>
      </c>
      <c r="AW45" s="542">
        <f t="shared" si="10"/>
        <v>17</v>
      </c>
      <c r="AX45" s="659"/>
      <c r="AZ45" s="372" t="e">
        <f t="shared" si="11"/>
        <v>#N/A</v>
      </c>
      <c r="BA45" s="659"/>
    </row>
    <row r="46" spans="2:53">
      <c r="B46" s="646"/>
      <c r="C46" s="287">
        <v>5</v>
      </c>
      <c r="D46" s="201" t="s">
        <v>345</v>
      </c>
      <c r="E46" s="536">
        <v>16</v>
      </c>
      <c r="F46" s="201">
        <v>1565</v>
      </c>
      <c r="G46" s="199">
        <v>97.8</v>
      </c>
      <c r="H46" s="682"/>
      <c r="I46" s="367">
        <f t="shared" si="12"/>
        <v>16</v>
      </c>
      <c r="J46" s="367">
        <f t="shared" si="13"/>
        <v>1377.7449553736965</v>
      </c>
      <c r="K46" s="199">
        <f t="shared" si="14"/>
        <v>86.10905971085603</v>
      </c>
      <c r="L46" s="617"/>
      <c r="M46" s="200">
        <f>RANK(K46, K$42:$K$71)</f>
        <v>6</v>
      </c>
      <c r="N46" s="635"/>
      <c r="O46" s="635"/>
      <c r="P46" s="542">
        <v>16</v>
      </c>
      <c r="Q46" s="543">
        <v>1366.451612903227</v>
      </c>
      <c r="R46" s="543">
        <v>85.403225806451687</v>
      </c>
      <c r="S46" s="542">
        <f t="shared" si="4"/>
        <v>6</v>
      </c>
      <c r="T46" s="659"/>
      <c r="U46" s="542">
        <v>16</v>
      </c>
      <c r="V46" s="543">
        <v>1389.5172413793114</v>
      </c>
      <c r="W46" s="543">
        <v>86.844827586206961</v>
      </c>
      <c r="X46" s="542">
        <f t="shared" si="5"/>
        <v>6</v>
      </c>
      <c r="Y46" s="659"/>
      <c r="Z46" s="542">
        <v>16</v>
      </c>
      <c r="AA46" s="543">
        <v>1395.5625000000016</v>
      </c>
      <c r="AB46" s="543">
        <v>87.222656250000099</v>
      </c>
      <c r="AC46" s="542">
        <f t="shared" si="6"/>
        <v>5</v>
      </c>
      <c r="AD46" s="659"/>
      <c r="AE46" s="542">
        <v>16</v>
      </c>
      <c r="AF46" s="543">
        <v>1383.7500000000011</v>
      </c>
      <c r="AG46" s="543">
        <v>86.484375000000071</v>
      </c>
      <c r="AH46" s="542">
        <f t="shared" si="7"/>
        <v>6</v>
      </c>
      <c r="AI46" s="659"/>
      <c r="AJ46" s="542">
        <v>16</v>
      </c>
      <c r="AK46" s="543">
        <v>1360.8000000000015</v>
      </c>
      <c r="AL46" s="543">
        <v>85.050000000000097</v>
      </c>
      <c r="AM46" s="542">
        <f t="shared" si="8"/>
        <v>7</v>
      </c>
      <c r="AN46" s="659"/>
      <c r="AO46" s="542">
        <v>16</v>
      </c>
      <c r="AP46" s="543">
        <v>1360.8000000000015</v>
      </c>
      <c r="AQ46" s="543">
        <v>85.050000000000097</v>
      </c>
      <c r="AR46" s="542">
        <f t="shared" si="9"/>
        <v>6</v>
      </c>
      <c r="AS46" s="659"/>
      <c r="AT46" s="542">
        <v>16</v>
      </c>
      <c r="AU46" s="543">
        <v>1387.3333333333319</v>
      </c>
      <c r="AV46" s="543">
        <v>86.708333333333243</v>
      </c>
      <c r="AW46" s="542">
        <f t="shared" si="10"/>
        <v>6</v>
      </c>
      <c r="AX46" s="659"/>
      <c r="AZ46" s="372" t="e">
        <f t="shared" si="11"/>
        <v>#N/A</v>
      </c>
      <c r="BA46" s="659"/>
    </row>
    <row r="47" spans="2:53">
      <c r="B47" s="646"/>
      <c r="C47" s="287">
        <v>6</v>
      </c>
      <c r="D47" s="201" t="s">
        <v>639</v>
      </c>
      <c r="E47" s="536">
        <v>20</v>
      </c>
      <c r="F47" s="201">
        <v>1440</v>
      </c>
      <c r="G47" s="199">
        <v>72</v>
      </c>
      <c r="H47" s="682"/>
      <c r="I47" s="367">
        <f t="shared" si="12"/>
        <v>20</v>
      </c>
      <c r="J47" s="367">
        <f t="shared" si="13"/>
        <v>1260.0116203724085</v>
      </c>
      <c r="K47" s="199">
        <f t="shared" si="14"/>
        <v>63.000581018620423</v>
      </c>
      <c r="L47" s="617"/>
      <c r="M47" s="200">
        <f>RANK(K47, K$42:$K$71)</f>
        <v>23</v>
      </c>
      <c r="N47" s="635"/>
      <c r="O47" s="635"/>
      <c r="P47" s="542">
        <v>20</v>
      </c>
      <c r="Q47" s="543">
        <v>1239.740259740259</v>
      </c>
      <c r="R47" s="543">
        <v>61.987012987012953</v>
      </c>
      <c r="S47" s="542">
        <f t="shared" si="4"/>
        <v>23</v>
      </c>
      <c r="T47" s="659"/>
      <c r="U47" s="542">
        <v>20</v>
      </c>
      <c r="V47" s="543">
        <v>1262.4999999999991</v>
      </c>
      <c r="W47" s="543">
        <v>63.124999999999957</v>
      </c>
      <c r="X47" s="542">
        <f t="shared" si="5"/>
        <v>23</v>
      </c>
      <c r="Y47" s="659"/>
      <c r="Z47" s="542">
        <v>20</v>
      </c>
      <c r="AA47" s="543">
        <v>1244.799999999999</v>
      </c>
      <c r="AB47" s="543">
        <v>62.239999999999952</v>
      </c>
      <c r="AC47" s="542">
        <f t="shared" si="6"/>
        <v>23</v>
      </c>
      <c r="AD47" s="659"/>
      <c r="AE47" s="542">
        <v>20</v>
      </c>
      <c r="AF47" s="543">
        <v>1254.193548387098</v>
      </c>
      <c r="AG47" s="543">
        <v>62.709677419354897</v>
      </c>
      <c r="AH47" s="542">
        <f t="shared" si="7"/>
        <v>22</v>
      </c>
      <c r="AI47" s="659"/>
      <c r="AJ47" s="542">
        <v>20</v>
      </c>
      <c r="AK47" s="543">
        <v>1265.3731343283598</v>
      </c>
      <c r="AL47" s="543">
        <v>63.268656716417993</v>
      </c>
      <c r="AM47" s="542">
        <f t="shared" si="8"/>
        <v>22</v>
      </c>
      <c r="AN47" s="659"/>
      <c r="AO47" s="542">
        <v>20</v>
      </c>
      <c r="AP47" s="543">
        <v>1265.3731343283598</v>
      </c>
      <c r="AQ47" s="543">
        <v>63.268656716417993</v>
      </c>
      <c r="AR47" s="542">
        <f t="shared" si="9"/>
        <v>22</v>
      </c>
      <c r="AS47" s="659"/>
      <c r="AT47" s="542">
        <v>20</v>
      </c>
      <c r="AU47" s="543">
        <v>1288.1012658227842</v>
      </c>
      <c r="AV47" s="543">
        <v>64.405063291139214</v>
      </c>
      <c r="AW47" s="542">
        <f t="shared" si="10"/>
        <v>22</v>
      </c>
      <c r="AX47" s="659"/>
      <c r="AZ47" s="372" t="e">
        <f t="shared" si="11"/>
        <v>#N/A</v>
      </c>
      <c r="BA47" s="659"/>
    </row>
    <row r="48" spans="2:53">
      <c r="B48" s="646"/>
      <c r="C48" s="287">
        <v>7</v>
      </c>
      <c r="D48" s="201" t="s">
        <v>612</v>
      </c>
      <c r="E48" s="536">
        <v>16</v>
      </c>
      <c r="F48" s="201">
        <v>1500</v>
      </c>
      <c r="G48" s="199">
        <v>93.8</v>
      </c>
      <c r="H48" s="682"/>
      <c r="I48" s="367">
        <f t="shared" si="12"/>
        <v>16</v>
      </c>
      <c r="J48" s="367">
        <f t="shared" si="13"/>
        <v>1388.0845825695501</v>
      </c>
      <c r="K48" s="199">
        <f t="shared" si="14"/>
        <v>86.755286410596881</v>
      </c>
      <c r="L48" s="617"/>
      <c r="M48" s="200">
        <f>RANK(K48, K$42:$K$71)</f>
        <v>5</v>
      </c>
      <c r="N48" s="635"/>
      <c r="O48" s="635"/>
      <c r="P48" s="542">
        <v>16</v>
      </c>
      <c r="Q48" s="543">
        <v>1378.0645161290336</v>
      </c>
      <c r="R48" s="543">
        <v>86.129032258064598</v>
      </c>
      <c r="S48" s="542">
        <f t="shared" si="4"/>
        <v>5</v>
      </c>
      <c r="T48" s="659"/>
      <c r="U48" s="542">
        <v>16</v>
      </c>
      <c r="V48" s="543">
        <v>1388.8524590163947</v>
      </c>
      <c r="W48" s="543">
        <v>86.803278688524671</v>
      </c>
      <c r="X48" s="542">
        <f t="shared" si="5"/>
        <v>7</v>
      </c>
      <c r="Y48" s="659"/>
      <c r="Z48" s="542">
        <v>16</v>
      </c>
      <c r="AA48" s="543">
        <v>1380.0000000000011</v>
      </c>
      <c r="AB48" s="543">
        <v>86.250000000000071</v>
      </c>
      <c r="AC48" s="542">
        <f t="shared" si="6"/>
        <v>7</v>
      </c>
      <c r="AD48" s="659"/>
      <c r="AE48" s="542">
        <v>16</v>
      </c>
      <c r="AF48" s="543">
        <v>1395.3191489361704</v>
      </c>
      <c r="AG48" s="543">
        <v>87.207446808510653</v>
      </c>
      <c r="AH48" s="542">
        <f t="shared" si="7"/>
        <v>5</v>
      </c>
      <c r="AI48" s="659"/>
      <c r="AJ48" s="542">
        <v>16</v>
      </c>
      <c r="AK48" s="543">
        <v>1388.7272727272734</v>
      </c>
      <c r="AL48" s="543">
        <v>86.795454545454589</v>
      </c>
      <c r="AM48" s="542">
        <f t="shared" si="8"/>
        <v>5</v>
      </c>
      <c r="AN48" s="659"/>
      <c r="AO48" s="542">
        <v>16</v>
      </c>
      <c r="AP48" s="543">
        <v>1388.7272727272734</v>
      </c>
      <c r="AQ48" s="543">
        <v>86.795454545454589</v>
      </c>
      <c r="AR48" s="542">
        <f t="shared" si="9"/>
        <v>5</v>
      </c>
      <c r="AS48" s="659"/>
      <c r="AT48" s="542">
        <v>16</v>
      </c>
      <c r="AU48" s="543">
        <v>1396.9014084507028</v>
      </c>
      <c r="AV48" s="543">
        <v>87.306338028168923</v>
      </c>
      <c r="AW48" s="542">
        <f t="shared" si="10"/>
        <v>4</v>
      </c>
      <c r="AX48" s="659"/>
      <c r="AZ48" s="372" t="e">
        <f t="shared" si="11"/>
        <v>#N/A</v>
      </c>
      <c r="BA48" s="659"/>
    </row>
    <row r="49" spans="2:53">
      <c r="B49" s="646"/>
      <c r="C49" s="287">
        <v>8</v>
      </c>
      <c r="D49" s="201" t="s">
        <v>578</v>
      </c>
      <c r="E49" s="536">
        <v>16</v>
      </c>
      <c r="F49" s="201">
        <v>1440</v>
      </c>
      <c r="G49" s="199">
        <v>90</v>
      </c>
      <c r="H49" s="682"/>
      <c r="I49" s="367">
        <f t="shared" si="12"/>
        <v>16</v>
      </c>
      <c r="J49" s="367">
        <f t="shared" si="13"/>
        <v>1334.1001703463714</v>
      </c>
      <c r="K49" s="199">
        <f t="shared" si="14"/>
        <v>83.381260646648215</v>
      </c>
      <c r="L49" s="617"/>
      <c r="M49" s="200">
        <f>RANK(K49, K$42:$K$71)</f>
        <v>7</v>
      </c>
      <c r="N49" s="635"/>
      <c r="O49" s="635"/>
      <c r="P49" s="542">
        <v>16</v>
      </c>
      <c r="Q49" s="543">
        <v>1346.5384615384623</v>
      </c>
      <c r="R49" s="543">
        <v>84.158653846153896</v>
      </c>
      <c r="S49" s="542">
        <f t="shared" si="4"/>
        <v>7</v>
      </c>
      <c r="T49" s="659"/>
      <c r="U49" s="542">
        <v>16</v>
      </c>
      <c r="V49" s="543">
        <v>1339.5918367346944</v>
      </c>
      <c r="W49" s="543">
        <v>83.724489795918402</v>
      </c>
      <c r="X49" s="542">
        <f t="shared" si="5"/>
        <v>9</v>
      </c>
      <c r="Y49" s="659"/>
      <c r="Z49" s="542">
        <v>16</v>
      </c>
      <c r="AA49" s="543">
        <v>1316.1702127659578</v>
      </c>
      <c r="AB49" s="543">
        <v>82.260638297872362</v>
      </c>
      <c r="AC49" s="542">
        <f t="shared" si="6"/>
        <v>9</v>
      </c>
      <c r="AD49" s="659"/>
      <c r="AE49" s="542" t="s">
        <v>592</v>
      </c>
      <c r="AF49" s="543" t="s">
        <v>592</v>
      </c>
      <c r="AG49" s="543" t="s">
        <v>592</v>
      </c>
      <c r="AH49" s="542" t="e">
        <f t="shared" si="7"/>
        <v>#VALUE!</v>
      </c>
      <c r="AI49" s="659"/>
      <c r="AJ49" s="542" t="s">
        <v>592</v>
      </c>
      <c r="AK49" s="543" t="s">
        <v>592</v>
      </c>
      <c r="AL49" s="543" t="s">
        <v>592</v>
      </c>
      <c r="AM49" s="542" t="e">
        <f t="shared" si="8"/>
        <v>#VALUE!</v>
      </c>
      <c r="AN49" s="659"/>
      <c r="AO49" s="542" t="s">
        <v>592</v>
      </c>
      <c r="AP49" s="543" t="s">
        <v>592</v>
      </c>
      <c r="AQ49" s="543" t="s">
        <v>592</v>
      </c>
      <c r="AR49" s="542" t="e">
        <f t="shared" si="9"/>
        <v>#VALUE!</v>
      </c>
      <c r="AS49" s="659"/>
      <c r="AT49" s="542" t="s">
        <v>592</v>
      </c>
      <c r="AU49" s="543" t="s">
        <v>592</v>
      </c>
      <c r="AV49" s="543" t="s">
        <v>592</v>
      </c>
      <c r="AW49" s="542" t="e">
        <f t="shared" si="10"/>
        <v>#VALUE!</v>
      </c>
      <c r="AX49" s="659"/>
      <c r="AZ49" s="372" t="e">
        <f t="shared" si="11"/>
        <v>#N/A</v>
      </c>
      <c r="BA49" s="659"/>
    </row>
    <row r="50" spans="2:53">
      <c r="B50" s="646"/>
      <c r="C50" s="287">
        <v>9</v>
      </c>
      <c r="D50" s="201" t="s">
        <v>579</v>
      </c>
      <c r="E50" s="536">
        <v>18</v>
      </c>
      <c r="F50" s="201">
        <v>1636</v>
      </c>
      <c r="G50" s="199">
        <v>90.9</v>
      </c>
      <c r="H50" s="682"/>
      <c r="I50" s="367">
        <f t="shared" si="12"/>
        <v>18</v>
      </c>
      <c r="J50" s="367">
        <f t="shared" si="13"/>
        <v>1428.6600852130816</v>
      </c>
      <c r="K50" s="199">
        <f t="shared" si="14"/>
        <v>79.370004734060089</v>
      </c>
      <c r="L50" s="617"/>
      <c r="M50" s="200">
        <f>RANK(K50, K$42:$K$71)</f>
        <v>13</v>
      </c>
      <c r="N50" s="635"/>
      <c r="O50" s="635"/>
      <c r="P50" s="542">
        <v>18</v>
      </c>
      <c r="Q50" s="543">
        <v>1441.8461538461554</v>
      </c>
      <c r="R50" s="543">
        <v>80.102564102564187</v>
      </c>
      <c r="S50" s="542">
        <f t="shared" si="4"/>
        <v>12</v>
      </c>
      <c r="T50" s="659"/>
      <c r="U50" s="542">
        <v>18</v>
      </c>
      <c r="V50" s="543">
        <v>1465.0000000000014</v>
      </c>
      <c r="W50" s="543">
        <v>81.388888888888971</v>
      </c>
      <c r="X50" s="542">
        <f t="shared" si="5"/>
        <v>12</v>
      </c>
      <c r="Y50" s="659"/>
      <c r="Z50" s="542">
        <v>18</v>
      </c>
      <c r="AA50" s="543">
        <v>1458.2142857142869</v>
      </c>
      <c r="AB50" s="543">
        <v>81.01190476190483</v>
      </c>
      <c r="AC50" s="542">
        <f t="shared" si="6"/>
        <v>11</v>
      </c>
      <c r="AD50" s="659"/>
      <c r="AE50" s="542">
        <v>18</v>
      </c>
      <c r="AF50" s="543">
        <v>1402.5000000000011</v>
      </c>
      <c r="AG50" s="543">
        <v>77.916666666666728</v>
      </c>
      <c r="AH50" s="542">
        <f t="shared" si="7"/>
        <v>14</v>
      </c>
      <c r="AI50" s="659"/>
      <c r="AJ50" s="542">
        <v>18</v>
      </c>
      <c r="AK50" s="543">
        <v>1411.9354838709689</v>
      </c>
      <c r="AL50" s="543">
        <v>78.440860215053831</v>
      </c>
      <c r="AM50" s="542">
        <f t="shared" si="8"/>
        <v>12</v>
      </c>
      <c r="AN50" s="659"/>
      <c r="AO50" s="542">
        <v>18</v>
      </c>
      <c r="AP50" s="543">
        <v>1411.9354838709689</v>
      </c>
      <c r="AQ50" s="543">
        <v>78.440860215053831</v>
      </c>
      <c r="AR50" s="542">
        <f t="shared" si="9"/>
        <v>12</v>
      </c>
      <c r="AS50" s="659"/>
      <c r="AT50" s="542">
        <v>18</v>
      </c>
      <c r="AU50" s="543">
        <v>1409.1891891891883</v>
      </c>
      <c r="AV50" s="543">
        <v>78.288288288288243</v>
      </c>
      <c r="AW50" s="542">
        <f t="shared" si="10"/>
        <v>13</v>
      </c>
      <c r="AX50" s="659"/>
      <c r="AZ50" s="372" t="e">
        <f t="shared" si="11"/>
        <v>#N/A</v>
      </c>
      <c r="BA50" s="659"/>
    </row>
    <row r="51" spans="2:53">
      <c r="B51" s="646"/>
      <c r="C51" s="287">
        <v>10</v>
      </c>
      <c r="D51" s="201" t="s">
        <v>580</v>
      </c>
      <c r="E51" s="536">
        <v>18</v>
      </c>
      <c r="F51" s="201">
        <v>1636</v>
      </c>
      <c r="G51" s="199">
        <v>90.9</v>
      </c>
      <c r="H51" s="682"/>
      <c r="I51" s="367">
        <f t="shared" si="12"/>
        <v>18</v>
      </c>
      <c r="J51" s="367">
        <f t="shared" si="13"/>
        <v>1421.9485445698999</v>
      </c>
      <c r="K51" s="199">
        <f t="shared" si="14"/>
        <v>78.99714136499442</v>
      </c>
      <c r="L51" s="617"/>
      <c r="M51" s="200">
        <f>RANK(K51, K$42:$K$71)</f>
        <v>14</v>
      </c>
      <c r="N51" s="635"/>
      <c r="O51" s="635"/>
      <c r="P51" s="542">
        <v>18</v>
      </c>
      <c r="Q51" s="543">
        <v>1443.4615384615392</v>
      </c>
      <c r="R51" s="543">
        <v>80.192307692307736</v>
      </c>
      <c r="S51" s="542">
        <f t="shared" si="4"/>
        <v>11</v>
      </c>
      <c r="T51" s="659"/>
      <c r="U51" s="542">
        <v>18</v>
      </c>
      <c r="V51" s="543">
        <v>1456.8000000000004</v>
      </c>
      <c r="W51" s="543">
        <v>80.933333333333351</v>
      </c>
      <c r="X51" s="542">
        <f t="shared" si="5"/>
        <v>13</v>
      </c>
      <c r="Y51" s="659"/>
      <c r="Z51" s="542">
        <v>18</v>
      </c>
      <c r="AA51" s="543">
        <v>1461.7021276595747</v>
      </c>
      <c r="AB51" s="543">
        <v>81.20567375886526</v>
      </c>
      <c r="AC51" s="542">
        <f t="shared" si="6"/>
        <v>10</v>
      </c>
      <c r="AD51" s="659"/>
      <c r="AE51" s="542">
        <v>18</v>
      </c>
      <c r="AF51" s="543">
        <v>1391.0204081632658</v>
      </c>
      <c r="AG51" s="543">
        <v>77.278911564625872</v>
      </c>
      <c r="AH51" s="542">
        <f t="shared" si="7"/>
        <v>16</v>
      </c>
      <c r="AI51" s="659"/>
      <c r="AJ51" s="542">
        <v>18</v>
      </c>
      <c r="AK51" s="543">
        <v>1400</v>
      </c>
      <c r="AL51" s="543">
        <v>77.777777777777771</v>
      </c>
      <c r="AM51" s="542">
        <f t="shared" si="8"/>
        <v>15</v>
      </c>
      <c r="AN51" s="659"/>
      <c r="AO51" s="542">
        <v>18</v>
      </c>
      <c r="AP51" s="543">
        <v>1400</v>
      </c>
      <c r="AQ51" s="543">
        <v>77.777777777777771</v>
      </c>
      <c r="AR51" s="542">
        <f t="shared" si="9"/>
        <v>15</v>
      </c>
      <c r="AS51" s="659"/>
      <c r="AT51" s="542">
        <v>18</v>
      </c>
      <c r="AU51" s="543">
        <v>1400.6557377049194</v>
      </c>
      <c r="AV51" s="543">
        <v>77.814207650273303</v>
      </c>
      <c r="AW51" s="542">
        <f t="shared" si="10"/>
        <v>14</v>
      </c>
      <c r="AX51" s="659"/>
      <c r="AZ51" s="372" t="e">
        <f t="shared" si="11"/>
        <v>#N/A</v>
      </c>
      <c r="BA51" s="659"/>
    </row>
    <row r="52" spans="2:53">
      <c r="B52" s="646"/>
      <c r="C52" s="287">
        <v>11</v>
      </c>
      <c r="D52" s="201" t="s">
        <v>333</v>
      </c>
      <c r="E52" s="536">
        <v>17</v>
      </c>
      <c r="F52" s="201">
        <v>1500</v>
      </c>
      <c r="G52" s="199">
        <v>88.2</v>
      </c>
      <c r="H52" s="682"/>
      <c r="I52" s="367">
        <f t="shared" si="12"/>
        <v>17</v>
      </c>
      <c r="J52" s="367">
        <f t="shared" si="13"/>
        <v>1382.2506660025963</v>
      </c>
      <c r="K52" s="199">
        <f t="shared" si="14"/>
        <v>81.308862706035072</v>
      </c>
      <c r="L52" s="617"/>
      <c r="M52" s="200">
        <f>RANK(K52, K$42:$K$71)</f>
        <v>11</v>
      </c>
      <c r="N52" s="635"/>
      <c r="O52" s="635"/>
      <c r="P52" s="542">
        <v>17</v>
      </c>
      <c r="Q52" s="543">
        <v>1368.2352941176475</v>
      </c>
      <c r="R52" s="543">
        <v>80.484429065743967</v>
      </c>
      <c r="S52" s="542">
        <f t="shared" si="4"/>
        <v>10</v>
      </c>
      <c r="T52" s="659"/>
      <c r="U52" s="542">
        <v>17</v>
      </c>
      <c r="V52" s="543">
        <v>1384</v>
      </c>
      <c r="W52" s="543">
        <v>81.411764705882348</v>
      </c>
      <c r="X52" s="542">
        <f t="shared" si="5"/>
        <v>11</v>
      </c>
      <c r="Y52" s="659"/>
      <c r="Z52" s="542">
        <v>17</v>
      </c>
      <c r="AA52" s="543">
        <v>1354.090909090909</v>
      </c>
      <c r="AB52" s="543">
        <v>79.652406417112289</v>
      </c>
      <c r="AC52" s="542">
        <f t="shared" si="6"/>
        <v>13</v>
      </c>
      <c r="AD52" s="659"/>
      <c r="AE52" s="542">
        <v>17</v>
      </c>
      <c r="AF52" s="543">
        <v>1366.0465116279067</v>
      </c>
      <c r="AG52" s="543">
        <v>80.35567715458275</v>
      </c>
      <c r="AH52" s="542">
        <f t="shared" si="7"/>
        <v>11</v>
      </c>
      <c r="AI52" s="659"/>
      <c r="AJ52" s="542">
        <v>17</v>
      </c>
      <c r="AK52" s="543">
        <v>1421.8604651162789</v>
      </c>
      <c r="AL52" s="543">
        <v>83.638850889192881</v>
      </c>
      <c r="AM52" s="542">
        <f t="shared" si="8"/>
        <v>8</v>
      </c>
      <c r="AN52" s="659"/>
      <c r="AO52" s="542">
        <v>17</v>
      </c>
      <c r="AP52" s="543">
        <v>1421.8604651162789</v>
      </c>
      <c r="AQ52" s="543">
        <v>83.638850889192881</v>
      </c>
      <c r="AR52" s="542">
        <f t="shared" si="9"/>
        <v>7</v>
      </c>
      <c r="AS52" s="659"/>
      <c r="AT52" s="542">
        <v>17</v>
      </c>
      <c r="AU52" s="543">
        <v>1359.6610169491537</v>
      </c>
      <c r="AV52" s="543">
        <v>79.980059820538457</v>
      </c>
      <c r="AW52" s="542">
        <f t="shared" si="10"/>
        <v>10</v>
      </c>
      <c r="AX52" s="659"/>
      <c r="AZ52" s="372" t="e">
        <f t="shared" si="11"/>
        <v>#N/A</v>
      </c>
      <c r="BA52" s="659"/>
    </row>
    <row r="53" spans="2:53">
      <c r="B53" s="646"/>
      <c r="C53" s="287">
        <v>12</v>
      </c>
      <c r="D53" s="201" t="s">
        <v>515</v>
      </c>
      <c r="E53" s="536">
        <v>20</v>
      </c>
      <c r="F53" s="201">
        <v>1440</v>
      </c>
      <c r="G53" s="199">
        <v>72</v>
      </c>
      <c r="H53" s="682"/>
      <c r="I53" s="367">
        <f t="shared" si="12"/>
        <v>20</v>
      </c>
      <c r="J53" s="367">
        <f t="shared" si="13"/>
        <v>1336.4266397351983</v>
      </c>
      <c r="K53" s="199">
        <f t="shared" si="14"/>
        <v>66.821331986759901</v>
      </c>
      <c r="L53" s="617"/>
      <c r="M53" s="200">
        <f>RANK(K53, K$42:$K$71)</f>
        <v>22</v>
      </c>
      <c r="N53" s="635"/>
      <c r="O53" s="635"/>
      <c r="P53" s="542">
        <v>20</v>
      </c>
      <c r="Q53" s="543">
        <v>1369.7368421052622</v>
      </c>
      <c r="R53" s="543">
        <v>68.486842105263108</v>
      </c>
      <c r="S53" s="542">
        <f t="shared" si="4"/>
        <v>22</v>
      </c>
      <c r="T53" s="659"/>
      <c r="U53" s="542">
        <v>20</v>
      </c>
      <c r="V53" s="543">
        <v>1361.917808219177</v>
      </c>
      <c r="W53" s="543">
        <v>68.095890410958845</v>
      </c>
      <c r="X53" s="542">
        <f t="shared" si="5"/>
        <v>22</v>
      </c>
      <c r="Y53" s="659"/>
      <c r="Z53" s="542">
        <v>20</v>
      </c>
      <c r="AA53" s="543">
        <v>1328.3076923076937</v>
      </c>
      <c r="AB53" s="543">
        <v>66.415384615384681</v>
      </c>
      <c r="AC53" s="542">
        <f t="shared" si="6"/>
        <v>22</v>
      </c>
      <c r="AD53" s="659"/>
      <c r="AE53" s="542">
        <v>20</v>
      </c>
      <c r="AF53" s="543">
        <v>1344.4067796610182</v>
      </c>
      <c r="AG53" s="543">
        <v>67.220338983050908</v>
      </c>
      <c r="AH53" s="542">
        <f t="shared" si="7"/>
        <v>21</v>
      </c>
      <c r="AI53" s="659"/>
      <c r="AJ53" s="542">
        <v>20</v>
      </c>
      <c r="AK53" s="543">
        <v>1313.8235294117662</v>
      </c>
      <c r="AL53" s="543">
        <v>65.691176470588317</v>
      </c>
      <c r="AM53" s="542">
        <f t="shared" si="8"/>
        <v>21</v>
      </c>
      <c r="AN53" s="659"/>
      <c r="AO53" s="542">
        <v>20</v>
      </c>
      <c r="AP53" s="543">
        <v>1313.8235294117662</v>
      </c>
      <c r="AQ53" s="543">
        <v>65.691176470588317</v>
      </c>
      <c r="AR53" s="542">
        <f t="shared" si="9"/>
        <v>21</v>
      </c>
      <c r="AS53" s="659"/>
      <c r="AT53" s="542">
        <v>20</v>
      </c>
      <c r="AU53" s="543">
        <v>1322.9702970297035</v>
      </c>
      <c r="AV53" s="543">
        <v>66.148514851485174</v>
      </c>
      <c r="AW53" s="542">
        <f t="shared" si="10"/>
        <v>21</v>
      </c>
      <c r="AX53" s="659"/>
      <c r="AZ53" s="372" t="e">
        <f t="shared" si="11"/>
        <v>#N/A</v>
      </c>
      <c r="BA53" s="659"/>
    </row>
    <row r="54" spans="2:53">
      <c r="B54" s="646"/>
      <c r="C54" s="287">
        <v>13</v>
      </c>
      <c r="D54" s="201" t="s">
        <v>346</v>
      </c>
      <c r="E54" s="536">
        <v>14</v>
      </c>
      <c r="F54" s="201">
        <v>1440</v>
      </c>
      <c r="G54" s="199">
        <v>102.9</v>
      </c>
      <c r="H54" s="682"/>
      <c r="I54" s="367">
        <f t="shared" si="12"/>
        <v>15</v>
      </c>
      <c r="J54" s="367">
        <f t="shared" si="13"/>
        <v>1335.5506455380876</v>
      </c>
      <c r="K54" s="199">
        <f t="shared" si="14"/>
        <v>89.03670970253917</v>
      </c>
      <c r="L54" s="617"/>
      <c r="M54" s="200">
        <f>RANK(K54, K$42:$K$71)</f>
        <v>3</v>
      </c>
      <c r="N54" s="635"/>
      <c r="O54" s="635"/>
      <c r="P54" s="542">
        <v>15</v>
      </c>
      <c r="Q54" s="543">
        <v>1342.758620689656</v>
      </c>
      <c r="R54" s="543">
        <v>89.517241379310406</v>
      </c>
      <c r="S54" s="542">
        <f t="shared" si="4"/>
        <v>4</v>
      </c>
      <c r="T54" s="659"/>
      <c r="U54" s="542">
        <v>15</v>
      </c>
      <c r="V54" s="543">
        <v>1336.271186440679</v>
      </c>
      <c r="W54" s="543">
        <v>89.084745762711933</v>
      </c>
      <c r="X54" s="542">
        <f t="shared" si="5"/>
        <v>4</v>
      </c>
      <c r="Y54" s="659"/>
      <c r="Z54" s="542">
        <v>15</v>
      </c>
      <c r="AA54" s="543">
        <v>1298.4905660377367</v>
      </c>
      <c r="AB54" s="543">
        <v>86.566037735849108</v>
      </c>
      <c r="AC54" s="542">
        <f t="shared" si="6"/>
        <v>6</v>
      </c>
      <c r="AD54" s="659"/>
      <c r="AE54" s="542">
        <v>15</v>
      </c>
      <c r="AF54" s="543">
        <v>1353.0612244897964</v>
      </c>
      <c r="AG54" s="543">
        <v>90.204081632653086</v>
      </c>
      <c r="AH54" s="542">
        <f t="shared" si="7"/>
        <v>3</v>
      </c>
      <c r="AI54" s="659"/>
      <c r="AJ54" s="542">
        <v>15</v>
      </c>
      <c r="AK54" s="543">
        <v>1339.2857142857151</v>
      </c>
      <c r="AL54" s="543">
        <v>89.285714285714349</v>
      </c>
      <c r="AM54" s="542">
        <f t="shared" si="8"/>
        <v>4</v>
      </c>
      <c r="AN54" s="659"/>
      <c r="AO54" s="542">
        <v>15</v>
      </c>
      <c r="AP54" s="543">
        <v>1339.2857142857151</v>
      </c>
      <c r="AQ54" s="543">
        <v>89.285714285714349</v>
      </c>
      <c r="AR54" s="542">
        <f t="shared" si="9"/>
        <v>4</v>
      </c>
      <c r="AS54" s="659"/>
      <c r="AT54" s="542">
        <v>15</v>
      </c>
      <c r="AU54" s="543">
        <v>1339.7014925373151</v>
      </c>
      <c r="AV54" s="543">
        <v>89.313432835821004</v>
      </c>
      <c r="AW54" s="542">
        <f t="shared" si="10"/>
        <v>3</v>
      </c>
      <c r="AX54" s="659"/>
      <c r="AZ54" s="372" t="e">
        <f t="shared" si="11"/>
        <v>#N/A</v>
      </c>
      <c r="BA54" s="659"/>
    </row>
    <row r="55" spans="2:53">
      <c r="B55" s="646"/>
      <c r="C55" s="287">
        <v>14</v>
      </c>
      <c r="D55" s="201" t="s">
        <v>327</v>
      </c>
      <c r="E55" s="536">
        <v>19</v>
      </c>
      <c r="F55" s="201">
        <v>1440</v>
      </c>
      <c r="G55" s="199">
        <v>75.8</v>
      </c>
      <c r="H55" s="682"/>
      <c r="I55" s="367">
        <f t="shared" si="12"/>
        <v>19</v>
      </c>
      <c r="J55" s="367">
        <f t="shared" si="13"/>
        <v>1343.1525179417306</v>
      </c>
      <c r="K55" s="199">
        <f t="shared" si="14"/>
        <v>70.692237786406864</v>
      </c>
      <c r="L55" s="617"/>
      <c r="M55" s="200">
        <f>RANK(K55, K$42:$K$71)</f>
        <v>19</v>
      </c>
      <c r="N55" s="635"/>
      <c r="O55" s="635"/>
      <c r="P55" s="542">
        <v>19</v>
      </c>
      <c r="Q55" s="543">
        <v>1355.7303370786517</v>
      </c>
      <c r="R55" s="543">
        <v>71.354228267297458</v>
      </c>
      <c r="S55" s="542">
        <f t="shared" si="4"/>
        <v>19</v>
      </c>
      <c r="T55" s="659"/>
      <c r="U55" s="542">
        <v>19</v>
      </c>
      <c r="V55" s="543">
        <v>1354.2857142857138</v>
      </c>
      <c r="W55" s="543">
        <v>71.278195488721778</v>
      </c>
      <c r="X55" s="542">
        <f t="shared" si="5"/>
        <v>19</v>
      </c>
      <c r="Y55" s="659"/>
      <c r="Z55" s="542">
        <v>19</v>
      </c>
      <c r="AA55" s="543">
        <v>1352.6582278481005</v>
      </c>
      <c r="AB55" s="543">
        <v>71.192538307794763</v>
      </c>
      <c r="AC55" s="542">
        <f t="shared" si="6"/>
        <v>18</v>
      </c>
      <c r="AD55" s="659"/>
      <c r="AE55" s="542">
        <v>19</v>
      </c>
      <c r="AF55" s="543">
        <v>1320.8219178082181</v>
      </c>
      <c r="AG55" s="543">
        <v>69.51694304253779</v>
      </c>
      <c r="AH55" s="542">
        <f t="shared" si="7"/>
        <v>20</v>
      </c>
      <c r="AI55" s="659"/>
      <c r="AJ55" s="542">
        <v>19</v>
      </c>
      <c r="AK55" s="543">
        <v>1340.9999999999995</v>
      </c>
      <c r="AL55" s="543">
        <v>70.578947368421026</v>
      </c>
      <c r="AM55" s="542">
        <f t="shared" si="8"/>
        <v>18</v>
      </c>
      <c r="AN55" s="659"/>
      <c r="AO55" s="542">
        <v>19</v>
      </c>
      <c r="AP55" s="543">
        <v>1340.9999999999995</v>
      </c>
      <c r="AQ55" s="543">
        <v>70.578947368421026</v>
      </c>
      <c r="AR55" s="542">
        <f t="shared" si="9"/>
        <v>18</v>
      </c>
      <c r="AS55" s="659"/>
      <c r="AT55" s="542">
        <v>19</v>
      </c>
      <c r="AU55" s="543">
        <v>1336.5714285714294</v>
      </c>
      <c r="AV55" s="543">
        <v>70.345864661654176</v>
      </c>
      <c r="AW55" s="542">
        <f t="shared" si="10"/>
        <v>19</v>
      </c>
      <c r="AX55" s="659"/>
      <c r="AZ55" s="372" t="e">
        <f t="shared" si="11"/>
        <v>#N/A</v>
      </c>
      <c r="BA55" s="659"/>
    </row>
    <row r="56" spans="2:53">
      <c r="B56" s="646"/>
      <c r="C56" s="287">
        <v>15</v>
      </c>
      <c r="D56" s="201" t="s">
        <v>344</v>
      </c>
      <c r="E56" s="536">
        <v>19</v>
      </c>
      <c r="F56" s="201">
        <v>1440</v>
      </c>
      <c r="G56" s="199">
        <v>75.8</v>
      </c>
      <c r="H56" s="682"/>
      <c r="I56" s="367">
        <f t="shared" si="12"/>
        <v>19</v>
      </c>
      <c r="J56" s="367">
        <f t="shared" si="13"/>
        <v>1327.881393828126</v>
      </c>
      <c r="K56" s="199">
        <f t="shared" si="14"/>
        <v>69.888494412006636</v>
      </c>
      <c r="L56" s="617"/>
      <c r="M56" s="198">
        <f>RANK(K56, K$42:$K$71)</f>
        <v>20</v>
      </c>
      <c r="N56" s="635"/>
      <c r="O56" s="635"/>
      <c r="P56" s="542">
        <v>19</v>
      </c>
      <c r="Q56" s="543">
        <v>1349.0909090909106</v>
      </c>
      <c r="R56" s="543">
        <v>71.004784688995301</v>
      </c>
      <c r="S56" s="542">
        <f t="shared" si="4"/>
        <v>21</v>
      </c>
      <c r="T56" s="659"/>
      <c r="U56" s="542">
        <v>19</v>
      </c>
      <c r="V56" s="543">
        <v>1353.2307692307706</v>
      </c>
      <c r="W56" s="543">
        <v>71.222672064777399</v>
      </c>
      <c r="X56" s="542">
        <f t="shared" si="5"/>
        <v>20</v>
      </c>
      <c r="Y56" s="659"/>
      <c r="Z56" s="542">
        <v>19</v>
      </c>
      <c r="AA56" s="543">
        <v>1299.692307692309</v>
      </c>
      <c r="AB56" s="543">
        <v>68.404858299595205</v>
      </c>
      <c r="AC56" s="542">
        <f t="shared" si="6"/>
        <v>21</v>
      </c>
      <c r="AD56" s="659"/>
      <c r="AE56" s="542">
        <v>19</v>
      </c>
      <c r="AF56" s="543">
        <v>1332.2033898305094</v>
      </c>
      <c r="AG56" s="543">
        <v>70.115967885816289</v>
      </c>
      <c r="AH56" s="542">
        <f t="shared" si="7"/>
        <v>19</v>
      </c>
      <c r="AI56" s="659"/>
      <c r="AJ56" s="542">
        <v>19</v>
      </c>
      <c r="AK56" s="543">
        <v>1310.4761904761917</v>
      </c>
      <c r="AL56" s="543">
        <v>68.972431077694296</v>
      </c>
      <c r="AM56" s="542">
        <f t="shared" si="8"/>
        <v>20</v>
      </c>
      <c r="AN56" s="659"/>
      <c r="AO56" s="542">
        <v>19</v>
      </c>
      <c r="AP56" s="543">
        <v>1310.4761904761917</v>
      </c>
      <c r="AQ56" s="543">
        <v>68.972431077694296</v>
      </c>
      <c r="AR56" s="542">
        <f t="shared" si="9"/>
        <v>20</v>
      </c>
      <c r="AS56" s="659"/>
      <c r="AT56" s="542">
        <v>19</v>
      </c>
      <c r="AU56" s="543">
        <v>1339.9999999999989</v>
      </c>
      <c r="AV56" s="543">
        <v>70.526315789473628</v>
      </c>
      <c r="AW56" s="542">
        <f t="shared" si="10"/>
        <v>18</v>
      </c>
      <c r="AX56" s="659"/>
      <c r="AZ56" s="372" t="e">
        <f t="shared" si="11"/>
        <v>#N/A</v>
      </c>
      <c r="BA56" s="659"/>
    </row>
    <row r="57" spans="2:53">
      <c r="B57" s="646"/>
      <c r="C57" s="287">
        <v>16</v>
      </c>
      <c r="D57" s="201" t="s">
        <v>587</v>
      </c>
      <c r="E57" s="536">
        <v>18</v>
      </c>
      <c r="F57" s="201">
        <v>1500</v>
      </c>
      <c r="G57" s="199">
        <v>83.3</v>
      </c>
      <c r="H57" s="682"/>
      <c r="I57" s="367">
        <f t="shared" si="12"/>
        <v>18</v>
      </c>
      <c r="J57" s="367">
        <f t="shared" si="13"/>
        <v>1386.3985103132168</v>
      </c>
      <c r="K57" s="199">
        <f t="shared" si="14"/>
        <v>77.022139461845399</v>
      </c>
      <c r="L57" s="617"/>
      <c r="M57" s="198">
        <f>RANK(K57, K$42:$K$71)</f>
        <v>16</v>
      </c>
      <c r="N57" s="635"/>
      <c r="O57" s="635"/>
      <c r="P57" s="542">
        <v>18</v>
      </c>
      <c r="Q57" s="543">
        <v>1404.3750000000016</v>
      </c>
      <c r="R57" s="543">
        <v>78.020833333333428</v>
      </c>
      <c r="S57" s="542">
        <f t="shared" si="4"/>
        <v>14</v>
      </c>
      <c r="T57" s="659"/>
      <c r="U57" s="542">
        <v>18</v>
      </c>
      <c r="V57" s="543">
        <v>1405.0000000000014</v>
      </c>
      <c r="W57" s="543">
        <v>78.055555555555628</v>
      </c>
      <c r="X57" s="542">
        <f t="shared" si="5"/>
        <v>16</v>
      </c>
      <c r="Y57" s="659"/>
      <c r="Z57" s="542">
        <v>18</v>
      </c>
      <c r="AA57" s="543">
        <v>1374.3750000000016</v>
      </c>
      <c r="AB57" s="543">
        <v>76.354166666666757</v>
      </c>
      <c r="AC57" s="542">
        <f t="shared" si="6"/>
        <v>15</v>
      </c>
      <c r="AD57" s="659"/>
      <c r="AE57" s="542">
        <v>18</v>
      </c>
      <c r="AF57" s="543">
        <v>1393.2000000000003</v>
      </c>
      <c r="AG57" s="543">
        <v>77.40000000000002</v>
      </c>
      <c r="AH57" s="542">
        <f t="shared" si="7"/>
        <v>15</v>
      </c>
      <c r="AI57" s="659"/>
      <c r="AJ57" s="542">
        <v>18</v>
      </c>
      <c r="AK57" s="543">
        <v>1371.2727272727282</v>
      </c>
      <c r="AL57" s="543">
        <v>76.18181818181823</v>
      </c>
      <c r="AM57" s="542">
        <f t="shared" si="8"/>
        <v>16</v>
      </c>
      <c r="AN57" s="659"/>
      <c r="AO57" s="542">
        <v>18</v>
      </c>
      <c r="AP57" s="543">
        <v>1371.2727272727282</v>
      </c>
      <c r="AQ57" s="543">
        <v>76.18181818181823</v>
      </c>
      <c r="AR57" s="542">
        <f t="shared" si="9"/>
        <v>16</v>
      </c>
      <c r="AS57" s="659"/>
      <c r="AT57" s="542">
        <v>18</v>
      </c>
      <c r="AU57" s="543">
        <v>1385.294117647057</v>
      </c>
      <c r="AV57" s="543">
        <v>76.960784313725384</v>
      </c>
      <c r="AW57" s="542">
        <f t="shared" si="10"/>
        <v>15</v>
      </c>
      <c r="AX57" s="659"/>
      <c r="AZ57" s="372" t="e">
        <f t="shared" si="11"/>
        <v>#N/A</v>
      </c>
      <c r="BA57" s="659"/>
    </row>
    <row r="58" spans="2:53">
      <c r="B58" s="646"/>
      <c r="C58" s="287">
        <v>17</v>
      </c>
      <c r="D58" s="201" t="s">
        <v>512</v>
      </c>
      <c r="E58" s="536">
        <v>17</v>
      </c>
      <c r="F58" s="201">
        <v>1440</v>
      </c>
      <c r="G58" s="199">
        <v>84.7</v>
      </c>
      <c r="H58" s="682"/>
      <c r="I58" s="367">
        <f t="shared" si="12"/>
        <v>17</v>
      </c>
      <c r="J58" s="367">
        <f t="shared" si="13"/>
        <v>1303.6597851303493</v>
      </c>
      <c r="K58" s="199">
        <f t="shared" si="14"/>
        <v>76.685869713549977</v>
      </c>
      <c r="L58" s="617"/>
      <c r="M58" s="198">
        <f>RANK(K58, K$42:$K$71)</f>
        <v>17</v>
      </c>
      <c r="N58" s="635"/>
      <c r="O58" s="635"/>
      <c r="P58" s="542">
        <v>17</v>
      </c>
      <c r="Q58" s="543">
        <v>1371.4285714285711</v>
      </c>
      <c r="R58" s="543">
        <v>80.672268907563009</v>
      </c>
      <c r="S58" s="542">
        <f t="shared" si="4"/>
        <v>9</v>
      </c>
      <c r="T58" s="659"/>
      <c r="U58" s="542">
        <v>17</v>
      </c>
      <c r="V58" s="543">
        <v>1222.9787234042553</v>
      </c>
      <c r="W58" s="543">
        <v>71.93992490613266</v>
      </c>
      <c r="X58" s="542">
        <f t="shared" si="5"/>
        <v>18</v>
      </c>
      <c r="Y58" s="659"/>
      <c r="Z58" s="542">
        <v>17</v>
      </c>
      <c r="AA58" s="543">
        <v>1195.4999999999995</v>
      </c>
      <c r="AB58" s="543">
        <v>70.323529411764682</v>
      </c>
      <c r="AC58" s="542">
        <f t="shared" si="6"/>
        <v>19</v>
      </c>
      <c r="AD58" s="659"/>
      <c r="AE58" s="542">
        <v>17</v>
      </c>
      <c r="AF58" s="543">
        <v>1324.7368421052622</v>
      </c>
      <c r="AG58" s="543">
        <v>77.925696594427194</v>
      </c>
      <c r="AH58" s="542">
        <f t="shared" si="7"/>
        <v>13</v>
      </c>
      <c r="AI58" s="659"/>
      <c r="AJ58" s="542">
        <v>17</v>
      </c>
      <c r="AK58" s="543">
        <v>1326.1538461538455</v>
      </c>
      <c r="AL58" s="543">
        <v>78.009049773755621</v>
      </c>
      <c r="AM58" s="542">
        <f t="shared" si="8"/>
        <v>14</v>
      </c>
      <c r="AN58" s="659"/>
      <c r="AO58" s="542">
        <v>17</v>
      </c>
      <c r="AP58" s="543">
        <v>1326.1538461538455</v>
      </c>
      <c r="AQ58" s="543">
        <v>78.009049773755621</v>
      </c>
      <c r="AR58" s="542">
        <f t="shared" si="9"/>
        <v>14</v>
      </c>
      <c r="AS58" s="659"/>
      <c r="AT58" s="542">
        <v>17</v>
      </c>
      <c r="AU58" s="543">
        <v>1358.6666666666667</v>
      </c>
      <c r="AV58" s="543">
        <v>79.921568627450981</v>
      </c>
      <c r="AW58" s="542">
        <f t="shared" si="10"/>
        <v>11</v>
      </c>
      <c r="AX58" s="659"/>
      <c r="AZ58" s="372" t="e">
        <f t="shared" si="11"/>
        <v>#N/A</v>
      </c>
      <c r="BA58" s="659"/>
    </row>
    <row r="59" spans="2:53">
      <c r="B59" s="646"/>
      <c r="C59" s="287">
        <v>18</v>
      </c>
      <c r="D59" s="201" t="s">
        <v>614</v>
      </c>
      <c r="E59" s="536">
        <v>16</v>
      </c>
      <c r="F59" s="201">
        <v>1636</v>
      </c>
      <c r="G59" s="199">
        <v>102.3</v>
      </c>
      <c r="H59" s="682"/>
      <c r="I59" s="367">
        <f t="shared" si="12"/>
        <v>16</v>
      </c>
      <c r="J59" s="367">
        <f t="shared" si="13"/>
        <v>1420.8339094399598</v>
      </c>
      <c r="K59" s="199">
        <f t="shared" si="14"/>
        <v>88.802119339997489</v>
      </c>
      <c r="L59" s="617"/>
      <c r="M59" s="198">
        <f>RANK(K59, K$42:$K$71)</f>
        <v>4</v>
      </c>
      <c r="N59" s="635"/>
      <c r="O59" s="635"/>
      <c r="P59" s="542">
        <v>16</v>
      </c>
      <c r="Q59" s="543">
        <v>1446.0000000000005</v>
      </c>
      <c r="R59" s="543">
        <v>90.375000000000028</v>
      </c>
      <c r="S59" s="542">
        <f t="shared" si="4"/>
        <v>3</v>
      </c>
      <c r="T59" s="659"/>
      <c r="U59" s="542">
        <v>16</v>
      </c>
      <c r="V59" s="543">
        <v>1428.0000000000005</v>
      </c>
      <c r="W59" s="543">
        <v>89.250000000000028</v>
      </c>
      <c r="X59" s="542">
        <f t="shared" si="5"/>
        <v>3</v>
      </c>
      <c r="Y59" s="659"/>
      <c r="Z59" s="542">
        <v>16</v>
      </c>
      <c r="AA59" s="543">
        <v>1417.8947368421043</v>
      </c>
      <c r="AB59" s="543">
        <v>88.618421052631518</v>
      </c>
      <c r="AC59" s="542">
        <f t="shared" si="6"/>
        <v>4</v>
      </c>
      <c r="AD59" s="659"/>
      <c r="AE59" s="542">
        <v>16</v>
      </c>
      <c r="AF59" s="543">
        <v>1399.024390243902</v>
      </c>
      <c r="AG59" s="543">
        <v>87.439024390243873</v>
      </c>
      <c r="AH59" s="542">
        <f t="shared" si="7"/>
        <v>4</v>
      </c>
      <c r="AI59" s="659"/>
      <c r="AJ59" s="542">
        <v>16</v>
      </c>
      <c r="AK59" s="543">
        <v>1430.6666666666667</v>
      </c>
      <c r="AL59" s="543">
        <v>89.416666666666671</v>
      </c>
      <c r="AM59" s="542">
        <f t="shared" si="8"/>
        <v>3</v>
      </c>
      <c r="AN59" s="659"/>
      <c r="AO59" s="542">
        <v>16</v>
      </c>
      <c r="AP59" s="543">
        <v>1430.6666666666667</v>
      </c>
      <c r="AQ59" s="543">
        <v>89.416666666666671</v>
      </c>
      <c r="AR59" s="542">
        <f t="shared" si="9"/>
        <v>3</v>
      </c>
      <c r="AS59" s="659"/>
      <c r="AT59" s="542">
        <v>16</v>
      </c>
      <c r="AU59" s="543">
        <v>1393.5849056603781</v>
      </c>
      <c r="AV59" s="543">
        <v>87.099056603773633</v>
      </c>
      <c r="AW59" s="542">
        <f t="shared" si="10"/>
        <v>5</v>
      </c>
      <c r="AX59" s="659"/>
      <c r="AZ59" s="372" t="e">
        <f t="shared" si="11"/>
        <v>#N/A</v>
      </c>
      <c r="BA59" s="659"/>
    </row>
    <row r="60" spans="2:53">
      <c r="B60" s="646"/>
      <c r="C60" s="287">
        <v>19</v>
      </c>
      <c r="D60" s="201" t="s">
        <v>626</v>
      </c>
      <c r="E60" s="536">
        <v>16</v>
      </c>
      <c r="F60" s="201">
        <v>1500</v>
      </c>
      <c r="G60" s="199">
        <v>93.8</v>
      </c>
      <c r="H60" s="682"/>
      <c r="I60" s="367">
        <f t="shared" si="12"/>
        <v>16.571428571428573</v>
      </c>
      <c r="J60" s="367">
        <f t="shared" si="13"/>
        <v>1362.4394568896043</v>
      </c>
      <c r="K60" s="199">
        <f t="shared" si="14"/>
        <v>82.300594868804438</v>
      </c>
      <c r="L60" s="617"/>
      <c r="M60" s="198">
        <f>RANK(K60, K$42:$K$71)</f>
        <v>9</v>
      </c>
      <c r="N60" s="635"/>
      <c r="O60" s="635"/>
      <c r="P60" s="542">
        <v>17</v>
      </c>
      <c r="Q60" s="543">
        <v>1267.8688524590175</v>
      </c>
      <c r="R60" s="543">
        <v>74.580520732883386</v>
      </c>
      <c r="S60" s="542">
        <f t="shared" si="4"/>
        <v>16</v>
      </c>
      <c r="T60" s="659"/>
      <c r="U60" s="542">
        <v>17</v>
      </c>
      <c r="V60" s="543">
        <v>1417.7777777777785</v>
      </c>
      <c r="W60" s="543">
        <v>83.398692810457561</v>
      </c>
      <c r="X60" s="542">
        <f t="shared" si="5"/>
        <v>10</v>
      </c>
      <c r="Y60" s="659"/>
      <c r="Z60" s="542">
        <v>17</v>
      </c>
      <c r="AA60" s="543">
        <v>1355.744680851064</v>
      </c>
      <c r="AB60" s="543">
        <v>79.749687108886121</v>
      </c>
      <c r="AC60" s="542">
        <f t="shared" si="6"/>
        <v>12</v>
      </c>
      <c r="AD60" s="659"/>
      <c r="AE60" s="542">
        <v>16</v>
      </c>
      <c r="AF60" s="543">
        <v>1349.3617021276598</v>
      </c>
      <c r="AG60" s="543">
        <v>84.335106382978736</v>
      </c>
      <c r="AH60" s="542">
        <f t="shared" si="7"/>
        <v>7</v>
      </c>
      <c r="AI60" s="659"/>
      <c r="AJ60" s="542">
        <v>16</v>
      </c>
      <c r="AK60" s="543">
        <v>1388.5714285714289</v>
      </c>
      <c r="AL60" s="543">
        <v>86.785714285714306</v>
      </c>
      <c r="AM60" s="542">
        <f t="shared" si="8"/>
        <v>6</v>
      </c>
      <c r="AN60" s="659"/>
      <c r="AO60" s="542">
        <v>17</v>
      </c>
      <c r="AP60" s="543">
        <v>1388.5714285714289</v>
      </c>
      <c r="AQ60" s="543">
        <v>81.680672268907585</v>
      </c>
      <c r="AR60" s="542">
        <f t="shared" si="9"/>
        <v>9</v>
      </c>
      <c r="AS60" s="659"/>
      <c r="AT60" s="542">
        <v>16</v>
      </c>
      <c r="AU60" s="543">
        <v>1369.1803278688537</v>
      </c>
      <c r="AV60" s="543">
        <v>85.573770491803359</v>
      </c>
      <c r="AW60" s="542">
        <f t="shared" si="10"/>
        <v>7</v>
      </c>
      <c r="AX60" s="659"/>
      <c r="AZ60" s="372" t="e">
        <f t="shared" si="11"/>
        <v>#N/A</v>
      </c>
      <c r="BA60" s="659"/>
    </row>
    <row r="61" spans="2:53">
      <c r="B61" s="646"/>
      <c r="C61" s="287">
        <v>20</v>
      </c>
      <c r="D61" s="201" t="s">
        <v>622</v>
      </c>
      <c r="E61" s="536">
        <v>16</v>
      </c>
      <c r="F61" s="201">
        <v>1500</v>
      </c>
      <c r="G61" s="199">
        <v>93.8</v>
      </c>
      <c r="H61" s="682"/>
      <c r="I61" s="367">
        <f t="shared" si="12"/>
        <v>16.142857142857142</v>
      </c>
      <c r="J61" s="367">
        <f t="shared" si="13"/>
        <v>1320.1365450605554</v>
      </c>
      <c r="K61" s="199">
        <f t="shared" si="14"/>
        <v>81.854013637423506</v>
      </c>
      <c r="L61" s="617"/>
      <c r="M61" s="198">
        <f>RANK(K61, K$42:$K$71)</f>
        <v>10</v>
      </c>
      <c r="N61" s="635"/>
      <c r="O61" s="635"/>
      <c r="P61" s="542">
        <v>17</v>
      </c>
      <c r="Q61" s="543">
        <v>1246.206896551724</v>
      </c>
      <c r="R61" s="543">
        <v>73.306288032454347</v>
      </c>
      <c r="S61" s="542">
        <f t="shared" si="4"/>
        <v>17</v>
      </c>
      <c r="T61" s="659"/>
      <c r="U61" s="542">
        <v>16</v>
      </c>
      <c r="V61" s="543">
        <v>1367.5609756097556</v>
      </c>
      <c r="W61" s="543">
        <v>85.472560975609724</v>
      </c>
      <c r="X61" s="542">
        <f t="shared" si="5"/>
        <v>8</v>
      </c>
      <c r="Y61" s="659"/>
      <c r="Z61" s="542">
        <v>16</v>
      </c>
      <c r="AA61" s="543">
        <v>1319.9999999999989</v>
      </c>
      <c r="AB61" s="543">
        <v>82.499999999999929</v>
      </c>
      <c r="AC61" s="542">
        <f t="shared" si="6"/>
        <v>8</v>
      </c>
      <c r="AD61" s="659"/>
      <c r="AE61" s="542">
        <v>16</v>
      </c>
      <c r="AF61" s="543">
        <v>1326.6666666666656</v>
      </c>
      <c r="AG61" s="543">
        <v>82.9166666666666</v>
      </c>
      <c r="AH61" s="542">
        <f t="shared" si="7"/>
        <v>8</v>
      </c>
      <c r="AI61" s="659"/>
      <c r="AJ61" s="542">
        <v>16</v>
      </c>
      <c r="AK61" s="543">
        <v>1326.7499999999995</v>
      </c>
      <c r="AL61" s="543">
        <v>82.921874999999972</v>
      </c>
      <c r="AM61" s="542">
        <f t="shared" si="8"/>
        <v>9</v>
      </c>
      <c r="AN61" s="659"/>
      <c r="AO61" s="542">
        <v>16</v>
      </c>
      <c r="AP61" s="543">
        <v>1326.7499999999995</v>
      </c>
      <c r="AQ61" s="543">
        <v>82.921874999999972</v>
      </c>
      <c r="AR61" s="542">
        <f t="shared" si="9"/>
        <v>8</v>
      </c>
      <c r="AS61" s="659"/>
      <c r="AT61" s="542">
        <v>16</v>
      </c>
      <c r="AU61" s="543">
        <v>1327.0212765957449</v>
      </c>
      <c r="AV61" s="543">
        <v>82.938829787234056</v>
      </c>
      <c r="AW61" s="542">
        <f t="shared" si="10"/>
        <v>9</v>
      </c>
      <c r="AX61" s="659"/>
      <c r="AZ61" s="372" t="e">
        <f t="shared" si="11"/>
        <v>#N/A</v>
      </c>
      <c r="BA61" s="659"/>
    </row>
    <row r="62" spans="2:53">
      <c r="B62" s="646"/>
      <c r="C62" s="287">
        <v>21</v>
      </c>
      <c r="D62" s="201" t="s">
        <v>630</v>
      </c>
      <c r="E62" s="536">
        <v>16</v>
      </c>
      <c r="F62" s="201">
        <v>1440</v>
      </c>
      <c r="G62" s="199">
        <v>90</v>
      </c>
      <c r="H62" s="682"/>
      <c r="I62" s="367">
        <f t="shared" si="12"/>
        <v>15.714285714285714</v>
      </c>
      <c r="J62" s="367">
        <f t="shared" si="13"/>
        <v>1301.6501580910099</v>
      </c>
      <c r="K62" s="199">
        <f t="shared" si="14"/>
        <v>82.930712253100495</v>
      </c>
      <c r="L62" s="617"/>
      <c r="M62" s="198">
        <f>RANK(K62, K$42:$K$71)</f>
        <v>8</v>
      </c>
      <c r="N62" s="635"/>
      <c r="O62" s="635"/>
      <c r="P62" s="542">
        <v>16</v>
      </c>
      <c r="Q62" s="543">
        <v>1310.5263157894728</v>
      </c>
      <c r="R62" s="543">
        <v>81.907894736842053</v>
      </c>
      <c r="S62" s="542">
        <f t="shared" si="4"/>
        <v>8</v>
      </c>
      <c r="T62" s="659"/>
      <c r="U62" s="542">
        <v>15</v>
      </c>
      <c r="V62" s="543">
        <v>1312.6829268292679</v>
      </c>
      <c r="W62" s="543">
        <v>87.512195121951194</v>
      </c>
      <c r="X62" s="542">
        <f t="shared" si="5"/>
        <v>5</v>
      </c>
      <c r="Y62" s="659"/>
      <c r="Z62" s="542">
        <v>15</v>
      </c>
      <c r="AA62" s="543">
        <v>1337.6470588235277</v>
      </c>
      <c r="AB62" s="543">
        <v>89.176470588235176</v>
      </c>
      <c r="AC62" s="542">
        <f t="shared" si="6"/>
        <v>3</v>
      </c>
      <c r="AD62" s="659"/>
      <c r="AE62" s="542">
        <v>16</v>
      </c>
      <c r="AF62" s="543">
        <v>1318.2857142857131</v>
      </c>
      <c r="AG62" s="543">
        <v>82.392857142857068</v>
      </c>
      <c r="AH62" s="542">
        <f t="shared" si="7"/>
        <v>9</v>
      </c>
      <c r="AI62" s="659"/>
      <c r="AJ62" s="542">
        <v>16</v>
      </c>
      <c r="AK62" s="543">
        <v>1285.4545454545439</v>
      </c>
      <c r="AL62" s="543">
        <v>80.340909090908994</v>
      </c>
      <c r="AM62" s="542">
        <f t="shared" si="8"/>
        <v>10</v>
      </c>
      <c r="AN62" s="659"/>
      <c r="AO62" s="542">
        <v>16</v>
      </c>
      <c r="AP62" s="543">
        <v>1285.4545454545439</v>
      </c>
      <c r="AQ62" s="543">
        <v>80.340909090908994</v>
      </c>
      <c r="AR62" s="542">
        <f t="shared" si="9"/>
        <v>10</v>
      </c>
      <c r="AS62" s="659"/>
      <c r="AT62" s="542">
        <v>16</v>
      </c>
      <c r="AU62" s="543">
        <v>1261.4999999999995</v>
      </c>
      <c r="AV62" s="543">
        <v>78.843749999999972</v>
      </c>
      <c r="AW62" s="542">
        <f t="shared" si="10"/>
        <v>12</v>
      </c>
      <c r="AX62" s="659"/>
      <c r="AZ62" s="372" t="e">
        <f t="shared" si="11"/>
        <v>#N/A</v>
      </c>
      <c r="BA62" s="659"/>
    </row>
    <row r="63" spans="2:53">
      <c r="B63" s="646"/>
      <c r="C63" s="287">
        <v>22</v>
      </c>
      <c r="D63" s="201" t="s">
        <v>641</v>
      </c>
      <c r="E63" s="536">
        <v>17</v>
      </c>
      <c r="F63" s="201">
        <v>1440</v>
      </c>
      <c r="G63" s="199">
        <v>84.705882352941174</v>
      </c>
      <c r="H63" s="682"/>
      <c r="I63" s="367">
        <f t="shared" si="12"/>
        <v>17</v>
      </c>
      <c r="J63" s="367">
        <f t="shared" si="13"/>
        <v>1320.4100473001233</v>
      </c>
      <c r="K63" s="199">
        <f t="shared" si="14"/>
        <v>77.67117925294842</v>
      </c>
      <c r="L63" s="617"/>
      <c r="M63" s="198">
        <f>RANK(K63, K$42:$K$71)</f>
        <v>15</v>
      </c>
      <c r="N63" s="635"/>
      <c r="O63" s="635"/>
      <c r="P63" s="542">
        <v>17</v>
      </c>
      <c r="Q63" s="543">
        <v>1314.7826086956522</v>
      </c>
      <c r="R63" s="543">
        <v>77.340153452685428</v>
      </c>
      <c r="S63" s="542">
        <f t="shared" si="4"/>
        <v>15</v>
      </c>
      <c r="T63" s="659"/>
      <c r="U63" s="542">
        <v>17</v>
      </c>
      <c r="V63" s="543">
        <v>1331.1627906976742</v>
      </c>
      <c r="W63" s="543">
        <v>78.303693570451415</v>
      </c>
      <c r="X63" s="542">
        <f t="shared" si="5"/>
        <v>15</v>
      </c>
      <c r="Y63" s="659"/>
      <c r="Z63" s="542">
        <v>17</v>
      </c>
      <c r="AA63" s="543">
        <v>1289.1891891891883</v>
      </c>
      <c r="AB63" s="543">
        <v>75.834658187599302</v>
      </c>
      <c r="AC63" s="542">
        <f t="shared" si="6"/>
        <v>16</v>
      </c>
      <c r="AD63" s="659"/>
      <c r="AE63" s="542">
        <v>17</v>
      </c>
      <c r="AF63" s="543">
        <v>1343.6363636363619</v>
      </c>
      <c r="AG63" s="543">
        <v>79.037433155080109</v>
      </c>
      <c r="AH63" s="542">
        <f t="shared" si="7"/>
        <v>12</v>
      </c>
      <c r="AI63" s="659"/>
      <c r="AJ63" s="542">
        <v>17</v>
      </c>
      <c r="AK63" s="543">
        <v>1328.5714285714273</v>
      </c>
      <c r="AL63" s="543">
        <v>78.151260504201602</v>
      </c>
      <c r="AM63" s="542">
        <f t="shared" si="8"/>
        <v>13</v>
      </c>
      <c r="AN63" s="659"/>
      <c r="AO63" s="542">
        <v>17</v>
      </c>
      <c r="AP63" s="543">
        <v>1328.5714285714273</v>
      </c>
      <c r="AQ63" s="543">
        <v>78.151260504201602</v>
      </c>
      <c r="AR63" s="542">
        <f t="shared" si="9"/>
        <v>13</v>
      </c>
      <c r="AS63" s="659"/>
      <c r="AT63" s="542">
        <v>17</v>
      </c>
      <c r="AU63" s="543">
        <v>1306.9565217391305</v>
      </c>
      <c r="AV63" s="543">
        <v>76.879795396419439</v>
      </c>
      <c r="AW63" s="542">
        <f t="shared" si="10"/>
        <v>16</v>
      </c>
      <c r="AX63" s="659"/>
      <c r="AZ63" s="372" t="e">
        <f t="shared" si="11"/>
        <v>#N/A</v>
      </c>
      <c r="BA63" s="659"/>
    </row>
    <row r="64" spans="2:53">
      <c r="B64" s="646"/>
      <c r="C64" s="287">
        <v>23</v>
      </c>
      <c r="D64" s="201" t="s">
        <v>642</v>
      </c>
      <c r="E64" s="536">
        <v>19</v>
      </c>
      <c r="F64" s="201">
        <v>1440</v>
      </c>
      <c r="G64" s="199">
        <v>75.78947368421052</v>
      </c>
      <c r="H64" s="682"/>
      <c r="I64" s="367">
        <f t="shared" si="12"/>
        <v>19</v>
      </c>
      <c r="J64" s="367">
        <f t="shared" si="13"/>
        <v>1323.2637811139045</v>
      </c>
      <c r="K64" s="199">
        <f t="shared" si="14"/>
        <v>69.645462163889704</v>
      </c>
      <c r="L64" s="617"/>
      <c r="M64" s="198">
        <f>RANK(K64, K$42:$K$71)</f>
        <v>21</v>
      </c>
      <c r="N64" s="635"/>
      <c r="O64" s="635"/>
      <c r="P64" s="542">
        <v>19</v>
      </c>
      <c r="Q64" s="543">
        <v>1354.4117647058806</v>
      </c>
      <c r="R64" s="543">
        <v>71.284829721362144</v>
      </c>
      <c r="S64" s="542">
        <f t="shared" si="4"/>
        <v>20</v>
      </c>
      <c r="T64" s="659"/>
      <c r="U64" s="542">
        <v>19</v>
      </c>
      <c r="V64" s="543">
        <v>1310.2702702702693</v>
      </c>
      <c r="W64" s="543">
        <v>68.961593172119436</v>
      </c>
      <c r="X64" s="542">
        <f t="shared" si="5"/>
        <v>21</v>
      </c>
      <c r="Y64" s="659"/>
      <c r="Z64" s="542">
        <v>19</v>
      </c>
      <c r="AA64" s="543">
        <v>1314.2857142857156</v>
      </c>
      <c r="AB64" s="543">
        <v>69.172932330827138</v>
      </c>
      <c r="AC64" s="542">
        <f t="shared" si="6"/>
        <v>20</v>
      </c>
      <c r="AD64" s="659"/>
      <c r="AE64" s="542">
        <v>19</v>
      </c>
      <c r="AF64" s="543">
        <v>1341.0526315789484</v>
      </c>
      <c r="AG64" s="543">
        <v>70.581717451523602</v>
      </c>
      <c r="AH64" s="542">
        <f t="shared" si="7"/>
        <v>18</v>
      </c>
      <c r="AI64" s="659"/>
      <c r="AJ64" s="542">
        <v>19</v>
      </c>
      <c r="AK64" s="543">
        <v>1333.9130434782594</v>
      </c>
      <c r="AL64" s="543">
        <v>70.205949656750491</v>
      </c>
      <c r="AM64" s="542">
        <f t="shared" si="8"/>
        <v>19</v>
      </c>
      <c r="AN64" s="659"/>
      <c r="AO64" s="542">
        <v>19</v>
      </c>
      <c r="AP64" s="543">
        <v>1333.9130434782594</v>
      </c>
      <c r="AQ64" s="543">
        <v>70.205949656750491</v>
      </c>
      <c r="AR64" s="542">
        <f t="shared" si="9"/>
        <v>19</v>
      </c>
      <c r="AS64" s="659"/>
      <c r="AT64" s="542">
        <v>19</v>
      </c>
      <c r="AU64" s="543">
        <v>1274.9999999999991</v>
      </c>
      <c r="AV64" s="543">
        <v>67.105263157894683</v>
      </c>
      <c r="AW64" s="542">
        <f t="shared" si="10"/>
        <v>20</v>
      </c>
      <c r="AX64" s="659"/>
      <c r="AZ64" s="372" t="e">
        <f t="shared" si="11"/>
        <v>#N/A</v>
      </c>
      <c r="BA64" s="659"/>
    </row>
    <row r="65" spans="2:53">
      <c r="B65" s="646"/>
      <c r="C65" s="287">
        <v>24</v>
      </c>
      <c r="D65" s="201" t="s">
        <v>714</v>
      </c>
      <c r="E65" s="536">
        <v>21</v>
      </c>
      <c r="F65" s="201">
        <v>1440</v>
      </c>
      <c r="G65" s="199">
        <v>75</v>
      </c>
      <c r="H65" s="682"/>
      <c r="I65" s="367">
        <f t="shared" si="12"/>
        <v>21</v>
      </c>
      <c r="J65" s="367">
        <f t="shared" si="13"/>
        <v>1155.8164530839044</v>
      </c>
      <c r="K65" s="199">
        <f t="shared" si="14"/>
        <v>55.038878718281175</v>
      </c>
      <c r="L65" s="617"/>
      <c r="M65" s="198">
        <f>RANK(K65, K$42:$K$71)</f>
        <v>24</v>
      </c>
      <c r="N65" s="635"/>
      <c r="O65" s="635"/>
      <c r="P65" s="542">
        <v>21</v>
      </c>
      <c r="Q65" s="543">
        <v>1179.0000000000005</v>
      </c>
      <c r="R65" s="543">
        <v>56.142857142857167</v>
      </c>
      <c r="S65" s="542">
        <f t="shared" si="4"/>
        <v>24</v>
      </c>
      <c r="T65" s="659"/>
      <c r="U65" s="542">
        <v>21</v>
      </c>
      <c r="V65" s="543">
        <v>1201.818181818182</v>
      </c>
      <c r="W65" s="543">
        <v>57.229437229437238</v>
      </c>
      <c r="X65" s="542">
        <f t="shared" si="5"/>
        <v>24</v>
      </c>
      <c r="Y65" s="659"/>
      <c r="Z65" s="542">
        <v>21</v>
      </c>
      <c r="AA65" s="543">
        <v>1138.4615384615379</v>
      </c>
      <c r="AB65" s="543">
        <v>54.212454212454183</v>
      </c>
      <c r="AC65" s="542">
        <f t="shared" si="6"/>
        <v>24</v>
      </c>
      <c r="AD65" s="659"/>
      <c r="AE65" s="542">
        <v>21</v>
      </c>
      <c r="AF65" s="543">
        <v>1156.9811320754725</v>
      </c>
      <c r="AG65" s="543">
        <v>55.094339622641549</v>
      </c>
      <c r="AH65" s="542">
        <f t="shared" si="7"/>
        <v>23</v>
      </c>
      <c r="AI65" s="659"/>
      <c r="AJ65" s="542">
        <v>21</v>
      </c>
      <c r="AK65" s="543">
        <v>1143.103448275863</v>
      </c>
      <c r="AL65" s="543">
        <v>54.433497536945858</v>
      </c>
      <c r="AM65" s="542">
        <f t="shared" si="8"/>
        <v>23</v>
      </c>
      <c r="AN65" s="659"/>
      <c r="AO65" s="542">
        <v>21</v>
      </c>
      <c r="AP65" s="543">
        <v>1143.103448275863</v>
      </c>
      <c r="AQ65" s="543">
        <v>54.433497536945858</v>
      </c>
      <c r="AR65" s="542">
        <f t="shared" si="9"/>
        <v>23</v>
      </c>
      <c r="AS65" s="659"/>
      <c r="AT65" s="542">
        <v>21</v>
      </c>
      <c r="AU65" s="543">
        <v>1128.2474226804127</v>
      </c>
      <c r="AV65" s="543">
        <v>53.726067746686319</v>
      </c>
      <c r="AW65" s="542">
        <f t="shared" si="10"/>
        <v>23</v>
      </c>
      <c r="AX65" s="659"/>
      <c r="AZ65" s="372" t="e">
        <f t="shared" si="11"/>
        <v>#N/A</v>
      </c>
      <c r="BA65" s="659"/>
    </row>
    <row r="66" spans="2:53">
      <c r="B66" s="646"/>
      <c r="C66" s="287">
        <v>25</v>
      </c>
      <c r="D66" s="201"/>
      <c r="E66" s="536"/>
      <c r="F66" s="201"/>
      <c r="G66" s="199"/>
      <c r="H66" s="682"/>
      <c r="I66" s="367" t="str">
        <f t="shared" si="12"/>
        <v>-</v>
      </c>
      <c r="J66" s="367" t="str">
        <f t="shared" si="13"/>
        <v>-</v>
      </c>
      <c r="K66" s="199" t="str">
        <f t="shared" si="14"/>
        <v>-</v>
      </c>
      <c r="L66" s="617"/>
      <c r="M66" s="198" t="e">
        <f>RANK(K66, K$42:$K$71)</f>
        <v>#VALUE!</v>
      </c>
      <c r="N66" s="635"/>
      <c r="O66" s="635"/>
      <c r="P66" s="542" t="s">
        <v>592</v>
      </c>
      <c r="Q66" s="543" t="s">
        <v>592</v>
      </c>
      <c r="R66" s="543" t="s">
        <v>592</v>
      </c>
      <c r="S66" s="542" t="e">
        <f t="shared" si="4"/>
        <v>#VALUE!</v>
      </c>
      <c r="T66" s="659"/>
      <c r="U66" s="542" t="s">
        <v>592</v>
      </c>
      <c r="V66" s="543" t="s">
        <v>592</v>
      </c>
      <c r="W66" s="543" t="s">
        <v>592</v>
      </c>
      <c r="X66" s="542" t="e">
        <f t="shared" si="5"/>
        <v>#VALUE!</v>
      </c>
      <c r="Y66" s="659"/>
      <c r="Z66" s="542" t="s">
        <v>592</v>
      </c>
      <c r="AA66" s="543" t="s">
        <v>592</v>
      </c>
      <c r="AB66" s="543" t="s">
        <v>592</v>
      </c>
      <c r="AC66" s="542" t="e">
        <f t="shared" si="6"/>
        <v>#VALUE!</v>
      </c>
      <c r="AD66" s="659"/>
      <c r="AE66" s="542" t="s">
        <v>592</v>
      </c>
      <c r="AF66" s="543" t="s">
        <v>592</v>
      </c>
      <c r="AG66" s="543" t="s">
        <v>592</v>
      </c>
      <c r="AH66" s="542" t="e">
        <f t="shared" si="7"/>
        <v>#VALUE!</v>
      </c>
      <c r="AI66" s="659"/>
      <c r="AJ66" s="542" t="s">
        <v>592</v>
      </c>
      <c r="AK66" s="543" t="s">
        <v>592</v>
      </c>
      <c r="AL66" s="543" t="s">
        <v>592</v>
      </c>
      <c r="AM66" s="542" t="e">
        <f t="shared" si="8"/>
        <v>#VALUE!</v>
      </c>
      <c r="AN66" s="659"/>
      <c r="AO66" s="542" t="s">
        <v>592</v>
      </c>
      <c r="AP66" s="543" t="s">
        <v>592</v>
      </c>
      <c r="AQ66" s="543" t="s">
        <v>592</v>
      </c>
      <c r="AR66" s="542" t="e">
        <f t="shared" si="9"/>
        <v>#VALUE!</v>
      </c>
      <c r="AS66" s="659"/>
      <c r="AT66" s="542" t="s">
        <v>592</v>
      </c>
      <c r="AU66" s="543" t="s">
        <v>592</v>
      </c>
      <c r="AV66" s="543" t="s">
        <v>592</v>
      </c>
      <c r="AW66" s="542" t="e">
        <f t="shared" si="10"/>
        <v>#VALUE!</v>
      </c>
      <c r="AX66" s="659"/>
      <c r="AZ66" s="372" t="e">
        <f t="shared" si="11"/>
        <v>#N/A</v>
      </c>
      <c r="BA66" s="659"/>
    </row>
    <row r="67" spans="2:53">
      <c r="B67" s="646"/>
      <c r="C67" s="287">
        <v>26</v>
      </c>
      <c r="D67" s="201"/>
      <c r="E67" s="536"/>
      <c r="F67" s="201"/>
      <c r="G67" s="199"/>
      <c r="H67" s="682"/>
      <c r="I67" s="367" t="str">
        <f t="shared" si="12"/>
        <v>-</v>
      </c>
      <c r="J67" s="367" t="str">
        <f t="shared" si="13"/>
        <v>-</v>
      </c>
      <c r="K67" s="199" t="str">
        <f t="shared" si="14"/>
        <v>-</v>
      </c>
      <c r="L67" s="617"/>
      <c r="M67" s="198" t="e">
        <f>RANK(K67, K$42:$K$71)</f>
        <v>#VALUE!</v>
      </c>
      <c r="N67" s="635"/>
      <c r="O67" s="635"/>
      <c r="P67" s="542" t="s">
        <v>592</v>
      </c>
      <c r="Q67" s="543" t="s">
        <v>592</v>
      </c>
      <c r="R67" s="543" t="s">
        <v>592</v>
      </c>
      <c r="S67" s="542" t="e">
        <f t="shared" si="4"/>
        <v>#VALUE!</v>
      </c>
      <c r="T67" s="659"/>
      <c r="U67" s="542" t="s">
        <v>592</v>
      </c>
      <c r="V67" s="543" t="s">
        <v>592</v>
      </c>
      <c r="W67" s="543" t="s">
        <v>592</v>
      </c>
      <c r="X67" s="542" t="e">
        <f t="shared" si="5"/>
        <v>#VALUE!</v>
      </c>
      <c r="Y67" s="659"/>
      <c r="Z67" s="542" t="s">
        <v>592</v>
      </c>
      <c r="AA67" s="543" t="s">
        <v>592</v>
      </c>
      <c r="AB67" s="543" t="s">
        <v>592</v>
      </c>
      <c r="AC67" s="542" t="e">
        <f t="shared" si="6"/>
        <v>#VALUE!</v>
      </c>
      <c r="AD67" s="659"/>
      <c r="AE67" s="542" t="s">
        <v>592</v>
      </c>
      <c r="AF67" s="543" t="s">
        <v>592</v>
      </c>
      <c r="AG67" s="543" t="s">
        <v>592</v>
      </c>
      <c r="AH67" s="542" t="e">
        <f t="shared" si="7"/>
        <v>#VALUE!</v>
      </c>
      <c r="AI67" s="659"/>
      <c r="AJ67" s="542" t="s">
        <v>592</v>
      </c>
      <c r="AK67" s="543" t="s">
        <v>592</v>
      </c>
      <c r="AL67" s="543" t="s">
        <v>592</v>
      </c>
      <c r="AM67" s="542" t="e">
        <f t="shared" si="8"/>
        <v>#VALUE!</v>
      </c>
      <c r="AN67" s="659"/>
      <c r="AO67" s="542" t="s">
        <v>592</v>
      </c>
      <c r="AP67" s="543" t="s">
        <v>592</v>
      </c>
      <c r="AQ67" s="543" t="s">
        <v>592</v>
      </c>
      <c r="AR67" s="542" t="e">
        <f t="shared" si="9"/>
        <v>#VALUE!</v>
      </c>
      <c r="AS67" s="659"/>
      <c r="AT67" s="542" t="s">
        <v>592</v>
      </c>
      <c r="AU67" s="543" t="s">
        <v>592</v>
      </c>
      <c r="AV67" s="543" t="s">
        <v>592</v>
      </c>
      <c r="AW67" s="542" t="e">
        <f t="shared" si="10"/>
        <v>#VALUE!</v>
      </c>
      <c r="AX67" s="659"/>
      <c r="AZ67" s="372" t="e">
        <f t="shared" si="11"/>
        <v>#N/A</v>
      </c>
      <c r="BA67" s="659"/>
    </row>
    <row r="68" spans="2:53">
      <c r="B68" s="646"/>
      <c r="C68" s="287">
        <v>27</v>
      </c>
      <c r="D68" s="201"/>
      <c r="E68" s="536"/>
      <c r="F68" s="201"/>
      <c r="G68" s="199"/>
      <c r="H68" s="682"/>
      <c r="I68" s="367" t="str">
        <f t="shared" si="12"/>
        <v>-</v>
      </c>
      <c r="J68" s="367" t="str">
        <f t="shared" si="13"/>
        <v>-</v>
      </c>
      <c r="K68" s="199" t="str">
        <f t="shared" si="14"/>
        <v>-</v>
      </c>
      <c r="L68" s="617"/>
      <c r="M68" s="198" t="e">
        <f>RANK(K68, K$42:$K$71)</f>
        <v>#VALUE!</v>
      </c>
      <c r="N68" s="635"/>
      <c r="O68" s="635"/>
      <c r="P68" s="542" t="s">
        <v>592</v>
      </c>
      <c r="Q68" s="543" t="s">
        <v>592</v>
      </c>
      <c r="R68" s="543" t="s">
        <v>592</v>
      </c>
      <c r="S68" s="542" t="e">
        <f t="shared" si="4"/>
        <v>#VALUE!</v>
      </c>
      <c r="T68" s="659"/>
      <c r="U68" s="542" t="s">
        <v>592</v>
      </c>
      <c r="V68" s="543" t="s">
        <v>592</v>
      </c>
      <c r="W68" s="543" t="s">
        <v>592</v>
      </c>
      <c r="X68" s="542" t="e">
        <f t="shared" si="5"/>
        <v>#VALUE!</v>
      </c>
      <c r="Y68" s="659"/>
      <c r="Z68" s="542" t="s">
        <v>592</v>
      </c>
      <c r="AA68" s="543" t="s">
        <v>592</v>
      </c>
      <c r="AB68" s="543" t="s">
        <v>592</v>
      </c>
      <c r="AC68" s="542" t="e">
        <f t="shared" si="6"/>
        <v>#VALUE!</v>
      </c>
      <c r="AD68" s="659"/>
      <c r="AE68" s="542" t="s">
        <v>592</v>
      </c>
      <c r="AF68" s="543" t="s">
        <v>592</v>
      </c>
      <c r="AG68" s="543" t="s">
        <v>592</v>
      </c>
      <c r="AH68" s="542" t="e">
        <f t="shared" si="7"/>
        <v>#VALUE!</v>
      </c>
      <c r="AI68" s="659"/>
      <c r="AJ68" s="542" t="s">
        <v>592</v>
      </c>
      <c r="AK68" s="543" t="s">
        <v>592</v>
      </c>
      <c r="AL68" s="543" t="s">
        <v>592</v>
      </c>
      <c r="AM68" s="542" t="e">
        <f t="shared" si="8"/>
        <v>#VALUE!</v>
      </c>
      <c r="AN68" s="659"/>
      <c r="AO68" s="542" t="s">
        <v>592</v>
      </c>
      <c r="AP68" s="543" t="s">
        <v>592</v>
      </c>
      <c r="AQ68" s="543" t="s">
        <v>592</v>
      </c>
      <c r="AR68" s="542" t="e">
        <f t="shared" si="9"/>
        <v>#VALUE!</v>
      </c>
      <c r="AS68" s="659"/>
      <c r="AT68" s="542" t="s">
        <v>592</v>
      </c>
      <c r="AU68" s="543" t="s">
        <v>592</v>
      </c>
      <c r="AV68" s="543" t="s">
        <v>592</v>
      </c>
      <c r="AW68" s="542" t="e">
        <f t="shared" si="10"/>
        <v>#VALUE!</v>
      </c>
      <c r="AX68" s="659"/>
      <c r="AZ68" s="372" t="e">
        <f t="shared" si="11"/>
        <v>#N/A</v>
      </c>
      <c r="BA68" s="659"/>
    </row>
    <row r="69" spans="2:53">
      <c r="B69" s="646"/>
      <c r="C69" s="287">
        <v>28</v>
      </c>
      <c r="D69" s="201"/>
      <c r="E69" s="536"/>
      <c r="F69" s="201"/>
      <c r="G69" s="199"/>
      <c r="H69" s="682"/>
      <c r="I69" s="367" t="str">
        <f t="shared" si="12"/>
        <v>-</v>
      </c>
      <c r="J69" s="367" t="str">
        <f t="shared" si="13"/>
        <v>-</v>
      </c>
      <c r="K69" s="199" t="str">
        <f t="shared" si="14"/>
        <v>-</v>
      </c>
      <c r="L69" s="617"/>
      <c r="M69" s="198" t="e">
        <f>RANK(K69, K$42:$K$71)</f>
        <v>#VALUE!</v>
      </c>
      <c r="N69" s="635"/>
      <c r="O69" s="635"/>
      <c r="P69" s="542" t="s">
        <v>592</v>
      </c>
      <c r="Q69" s="543" t="s">
        <v>592</v>
      </c>
      <c r="R69" s="543" t="s">
        <v>592</v>
      </c>
      <c r="S69" s="542" t="e">
        <f t="shared" si="4"/>
        <v>#VALUE!</v>
      </c>
      <c r="T69" s="659"/>
      <c r="U69" s="542" t="s">
        <v>592</v>
      </c>
      <c r="V69" s="543" t="s">
        <v>592</v>
      </c>
      <c r="W69" s="543" t="s">
        <v>592</v>
      </c>
      <c r="X69" s="542" t="e">
        <f t="shared" si="5"/>
        <v>#VALUE!</v>
      </c>
      <c r="Y69" s="659"/>
      <c r="Z69" s="542" t="s">
        <v>592</v>
      </c>
      <c r="AA69" s="543" t="s">
        <v>592</v>
      </c>
      <c r="AB69" s="543" t="s">
        <v>592</v>
      </c>
      <c r="AC69" s="542" t="e">
        <f t="shared" si="6"/>
        <v>#VALUE!</v>
      </c>
      <c r="AD69" s="659"/>
      <c r="AE69" s="542" t="s">
        <v>592</v>
      </c>
      <c r="AF69" s="543" t="s">
        <v>592</v>
      </c>
      <c r="AG69" s="543" t="s">
        <v>592</v>
      </c>
      <c r="AH69" s="542" t="e">
        <f t="shared" si="7"/>
        <v>#VALUE!</v>
      </c>
      <c r="AI69" s="659"/>
      <c r="AJ69" s="542" t="s">
        <v>592</v>
      </c>
      <c r="AK69" s="543" t="s">
        <v>592</v>
      </c>
      <c r="AL69" s="543" t="s">
        <v>592</v>
      </c>
      <c r="AM69" s="542" t="e">
        <f t="shared" si="8"/>
        <v>#VALUE!</v>
      </c>
      <c r="AN69" s="659"/>
      <c r="AO69" s="542" t="s">
        <v>592</v>
      </c>
      <c r="AP69" s="543" t="s">
        <v>592</v>
      </c>
      <c r="AQ69" s="543" t="s">
        <v>592</v>
      </c>
      <c r="AR69" s="542" t="e">
        <f t="shared" si="9"/>
        <v>#VALUE!</v>
      </c>
      <c r="AS69" s="659"/>
      <c r="AT69" s="542" t="s">
        <v>592</v>
      </c>
      <c r="AU69" s="543" t="s">
        <v>592</v>
      </c>
      <c r="AV69" s="543" t="s">
        <v>592</v>
      </c>
      <c r="AW69" s="542" t="e">
        <f t="shared" si="10"/>
        <v>#VALUE!</v>
      </c>
      <c r="AX69" s="659"/>
      <c r="AZ69" s="372" t="e">
        <f t="shared" si="11"/>
        <v>#N/A</v>
      </c>
      <c r="BA69" s="659"/>
    </row>
    <row r="70" spans="2:53">
      <c r="B70" s="646"/>
      <c r="C70" s="287">
        <v>29</v>
      </c>
      <c r="D70" s="201"/>
      <c r="E70" s="536"/>
      <c r="F70" s="201"/>
      <c r="G70" s="199"/>
      <c r="H70" s="682"/>
      <c r="I70" s="367" t="str">
        <f t="shared" si="12"/>
        <v>-</v>
      </c>
      <c r="J70" s="367" t="str">
        <f t="shared" si="13"/>
        <v>-</v>
      </c>
      <c r="K70" s="199" t="str">
        <f t="shared" si="14"/>
        <v>-</v>
      </c>
      <c r="L70" s="617"/>
      <c r="M70" s="198" t="e">
        <f>RANK(K70, K$42:$K$71)</f>
        <v>#VALUE!</v>
      </c>
      <c r="N70" s="635"/>
      <c r="O70" s="635"/>
      <c r="P70" s="542" t="s">
        <v>592</v>
      </c>
      <c r="Q70" s="543" t="s">
        <v>592</v>
      </c>
      <c r="R70" s="543" t="s">
        <v>592</v>
      </c>
      <c r="S70" s="542" t="e">
        <f t="shared" si="4"/>
        <v>#VALUE!</v>
      </c>
      <c r="T70" s="659"/>
      <c r="U70" s="542" t="s">
        <v>592</v>
      </c>
      <c r="V70" s="543" t="s">
        <v>592</v>
      </c>
      <c r="W70" s="543" t="s">
        <v>592</v>
      </c>
      <c r="X70" s="542" t="e">
        <f t="shared" si="5"/>
        <v>#VALUE!</v>
      </c>
      <c r="Y70" s="659"/>
      <c r="Z70" s="542" t="s">
        <v>592</v>
      </c>
      <c r="AA70" s="543" t="s">
        <v>592</v>
      </c>
      <c r="AB70" s="543" t="s">
        <v>592</v>
      </c>
      <c r="AC70" s="542" t="e">
        <f t="shared" si="6"/>
        <v>#VALUE!</v>
      </c>
      <c r="AD70" s="659"/>
      <c r="AE70" s="542" t="s">
        <v>592</v>
      </c>
      <c r="AF70" s="543" t="s">
        <v>592</v>
      </c>
      <c r="AG70" s="543" t="s">
        <v>592</v>
      </c>
      <c r="AH70" s="542" t="e">
        <f t="shared" si="7"/>
        <v>#VALUE!</v>
      </c>
      <c r="AI70" s="659"/>
      <c r="AJ70" s="542" t="s">
        <v>592</v>
      </c>
      <c r="AK70" s="543" t="s">
        <v>592</v>
      </c>
      <c r="AL70" s="543" t="s">
        <v>592</v>
      </c>
      <c r="AM70" s="542" t="e">
        <f t="shared" si="8"/>
        <v>#VALUE!</v>
      </c>
      <c r="AN70" s="659"/>
      <c r="AO70" s="542" t="s">
        <v>592</v>
      </c>
      <c r="AP70" s="543" t="s">
        <v>592</v>
      </c>
      <c r="AQ70" s="543" t="s">
        <v>592</v>
      </c>
      <c r="AR70" s="542" t="e">
        <f t="shared" si="9"/>
        <v>#VALUE!</v>
      </c>
      <c r="AS70" s="659"/>
      <c r="AT70" s="542" t="s">
        <v>592</v>
      </c>
      <c r="AU70" s="543" t="s">
        <v>592</v>
      </c>
      <c r="AV70" s="543" t="s">
        <v>592</v>
      </c>
      <c r="AW70" s="542" t="e">
        <f t="shared" si="10"/>
        <v>#VALUE!</v>
      </c>
      <c r="AX70" s="659"/>
      <c r="AZ70" s="372" t="e">
        <f t="shared" si="11"/>
        <v>#N/A</v>
      </c>
      <c r="BA70" s="659"/>
    </row>
    <row r="71" spans="2:53">
      <c r="B71" s="646"/>
      <c r="C71" s="287">
        <v>30</v>
      </c>
      <c r="D71" s="201"/>
      <c r="E71" s="536"/>
      <c r="F71" s="201"/>
      <c r="G71" s="199"/>
      <c r="H71" s="683"/>
      <c r="I71" s="367" t="str">
        <f t="shared" si="12"/>
        <v>-</v>
      </c>
      <c r="J71" s="367" t="str">
        <f t="shared" si="13"/>
        <v>-</v>
      </c>
      <c r="K71" s="199" t="str">
        <f t="shared" si="14"/>
        <v>-</v>
      </c>
      <c r="L71" s="618"/>
      <c r="M71" s="198" t="e">
        <f>RANK(K71, K$42:$K$71)</f>
        <v>#VALUE!</v>
      </c>
      <c r="N71" s="635"/>
      <c r="O71" s="635"/>
      <c r="P71" s="542" t="s">
        <v>592</v>
      </c>
      <c r="Q71" s="543" t="s">
        <v>592</v>
      </c>
      <c r="R71" s="543" t="s">
        <v>592</v>
      </c>
      <c r="S71" s="542" t="e">
        <f t="shared" si="4"/>
        <v>#VALUE!</v>
      </c>
      <c r="T71" s="659"/>
      <c r="U71" s="542" t="s">
        <v>592</v>
      </c>
      <c r="V71" s="543" t="s">
        <v>592</v>
      </c>
      <c r="W71" s="543" t="s">
        <v>592</v>
      </c>
      <c r="X71" s="542" t="e">
        <f t="shared" si="5"/>
        <v>#VALUE!</v>
      </c>
      <c r="Y71" s="659"/>
      <c r="Z71" s="542" t="s">
        <v>592</v>
      </c>
      <c r="AA71" s="543" t="s">
        <v>592</v>
      </c>
      <c r="AB71" s="543" t="s">
        <v>592</v>
      </c>
      <c r="AC71" s="542" t="e">
        <f t="shared" si="6"/>
        <v>#VALUE!</v>
      </c>
      <c r="AD71" s="659"/>
      <c r="AE71" s="542" t="s">
        <v>592</v>
      </c>
      <c r="AF71" s="543" t="s">
        <v>592</v>
      </c>
      <c r="AG71" s="543" t="s">
        <v>592</v>
      </c>
      <c r="AH71" s="542" t="e">
        <f t="shared" si="7"/>
        <v>#VALUE!</v>
      </c>
      <c r="AI71" s="659"/>
      <c r="AJ71" s="542" t="s">
        <v>592</v>
      </c>
      <c r="AK71" s="543" t="s">
        <v>592</v>
      </c>
      <c r="AL71" s="543" t="s">
        <v>592</v>
      </c>
      <c r="AM71" s="542" t="e">
        <f t="shared" si="8"/>
        <v>#VALUE!</v>
      </c>
      <c r="AN71" s="659"/>
      <c r="AO71" s="542" t="s">
        <v>592</v>
      </c>
      <c r="AP71" s="543" t="s">
        <v>592</v>
      </c>
      <c r="AQ71" s="543" t="s">
        <v>592</v>
      </c>
      <c r="AR71" s="542" t="e">
        <f t="shared" si="9"/>
        <v>#VALUE!</v>
      </c>
      <c r="AS71" s="659"/>
      <c r="AT71" s="542" t="s">
        <v>592</v>
      </c>
      <c r="AU71" s="543" t="s">
        <v>592</v>
      </c>
      <c r="AV71" s="543" t="s">
        <v>592</v>
      </c>
      <c r="AW71" s="542" t="e">
        <f t="shared" si="10"/>
        <v>#VALUE!</v>
      </c>
      <c r="AX71" s="659"/>
      <c r="AZ71" s="372" t="e">
        <f t="shared" si="11"/>
        <v>#N/A</v>
      </c>
      <c r="BA71" s="659"/>
    </row>
    <row r="72" spans="2:53" ht="15.75">
      <c r="B72" s="666" t="s">
        <v>162</v>
      </c>
      <c r="C72" s="667"/>
      <c r="D72" s="667"/>
      <c r="E72" s="667"/>
      <c r="F72" s="667"/>
      <c r="G72" s="667"/>
      <c r="H72" s="667"/>
      <c r="I72" s="207"/>
      <c r="J72" s="202"/>
      <c r="K72" s="207"/>
      <c r="L72" s="207"/>
      <c r="M72" s="203"/>
      <c r="N72" s="639" t="s">
        <v>156</v>
      </c>
      <c r="O72" s="639" t="s">
        <v>105</v>
      </c>
      <c r="P72" s="642">
        <f>P37+7</f>
        <v>46217</v>
      </c>
      <c r="Q72" s="643"/>
      <c r="R72" s="643"/>
      <c r="S72" s="643"/>
      <c r="T72" s="644"/>
      <c r="U72" s="642">
        <f>P72+1</f>
        <v>46218</v>
      </c>
      <c r="V72" s="643"/>
      <c r="W72" s="643"/>
      <c r="X72" s="643"/>
      <c r="Y72" s="644"/>
      <c r="Z72" s="642">
        <f>U72+1</f>
        <v>46219</v>
      </c>
      <c r="AA72" s="643"/>
      <c r="AB72" s="643"/>
      <c r="AC72" s="643"/>
      <c r="AD72" s="644"/>
      <c r="AE72" s="642">
        <f>Z72+1</f>
        <v>46220</v>
      </c>
      <c r="AF72" s="643"/>
      <c r="AG72" s="643"/>
      <c r="AH72" s="643"/>
      <c r="AI72" s="644"/>
      <c r="AJ72" s="642">
        <f>AE72+1</f>
        <v>46221</v>
      </c>
      <c r="AK72" s="643"/>
      <c r="AL72" s="643"/>
      <c r="AM72" s="643"/>
      <c r="AN72" s="644"/>
      <c r="AO72" s="642">
        <f>AJ72+1</f>
        <v>46222</v>
      </c>
      <c r="AP72" s="643"/>
      <c r="AQ72" s="643"/>
      <c r="AR72" s="643"/>
      <c r="AS72" s="644"/>
      <c r="AT72" s="642">
        <f>AO72+1</f>
        <v>46223</v>
      </c>
      <c r="AU72" s="643"/>
      <c r="AV72" s="643"/>
      <c r="AW72" s="643"/>
      <c r="AX72" s="644"/>
    </row>
    <row r="73" spans="2:53" ht="15.75">
      <c r="B73" s="653"/>
      <c r="C73" s="653"/>
      <c r="D73" s="653"/>
      <c r="E73" s="653"/>
      <c r="F73" s="653"/>
      <c r="G73" s="653"/>
      <c r="H73" s="653"/>
      <c r="I73" s="204"/>
      <c r="J73" s="204"/>
      <c r="K73" s="204"/>
      <c r="L73" s="204"/>
      <c r="M73" s="205"/>
      <c r="N73" s="641"/>
      <c r="O73" s="641"/>
      <c r="P73" s="642" t="s">
        <v>317</v>
      </c>
      <c r="Q73" s="643"/>
      <c r="R73" s="643"/>
      <c r="S73" s="643"/>
      <c r="T73" s="644"/>
      <c r="U73" s="642" t="s">
        <v>318</v>
      </c>
      <c r="V73" s="643"/>
      <c r="W73" s="643"/>
      <c r="X73" s="643"/>
      <c r="Y73" s="644"/>
      <c r="Z73" s="642" t="s">
        <v>319</v>
      </c>
      <c r="AA73" s="643"/>
      <c r="AB73" s="643"/>
      <c r="AC73" s="643"/>
      <c r="AD73" s="644"/>
      <c r="AE73" s="642" t="s">
        <v>320</v>
      </c>
      <c r="AF73" s="643"/>
      <c r="AG73" s="643"/>
      <c r="AH73" s="643"/>
      <c r="AI73" s="644"/>
      <c r="AJ73" s="642" t="s">
        <v>321</v>
      </c>
      <c r="AK73" s="643"/>
      <c r="AL73" s="643"/>
      <c r="AM73" s="643"/>
      <c r="AN73" s="644"/>
      <c r="AO73" s="642" t="s">
        <v>322</v>
      </c>
      <c r="AP73" s="643"/>
      <c r="AQ73" s="643"/>
      <c r="AR73" s="643"/>
      <c r="AS73" s="644"/>
      <c r="AT73" s="642" t="s">
        <v>323</v>
      </c>
      <c r="AU73" s="643"/>
      <c r="AV73" s="643"/>
      <c r="AW73" s="643"/>
      <c r="AX73" s="644"/>
    </row>
    <row r="74" spans="2:53">
      <c r="B74" s="635" t="s">
        <v>410</v>
      </c>
      <c r="C74" s="635" t="s">
        <v>411</v>
      </c>
      <c r="D74" s="635"/>
      <c r="E74" s="635" t="s">
        <v>412</v>
      </c>
      <c r="F74" s="635"/>
      <c r="G74" s="635"/>
      <c r="H74" s="636" t="s">
        <v>413</v>
      </c>
      <c r="I74" s="619" t="s">
        <v>414</v>
      </c>
      <c r="J74" s="619"/>
      <c r="K74" s="619"/>
      <c r="L74" s="620" t="s">
        <v>413</v>
      </c>
      <c r="M74" s="626" t="s">
        <v>415</v>
      </c>
      <c r="N74" s="635"/>
      <c r="O74" s="635" t="s">
        <v>416</v>
      </c>
      <c r="P74" s="632" t="s">
        <v>417</v>
      </c>
      <c r="Q74" s="633"/>
      <c r="R74" s="633"/>
      <c r="S74" s="634"/>
      <c r="T74" s="635" t="s">
        <v>413</v>
      </c>
      <c r="U74" s="632" t="s">
        <v>417</v>
      </c>
      <c r="V74" s="633"/>
      <c r="W74" s="633"/>
      <c r="X74" s="634"/>
      <c r="Y74" s="635" t="s">
        <v>413</v>
      </c>
      <c r="Z74" s="632" t="s">
        <v>417</v>
      </c>
      <c r="AA74" s="633"/>
      <c r="AB74" s="633"/>
      <c r="AC74" s="634"/>
      <c r="AD74" s="635" t="s">
        <v>413</v>
      </c>
      <c r="AE74" s="632" t="s">
        <v>417</v>
      </c>
      <c r="AF74" s="633"/>
      <c r="AG74" s="633"/>
      <c r="AH74" s="634"/>
      <c r="AI74" s="635" t="s">
        <v>413</v>
      </c>
      <c r="AJ74" s="632" t="s">
        <v>417</v>
      </c>
      <c r="AK74" s="633"/>
      <c r="AL74" s="633"/>
      <c r="AM74" s="634"/>
      <c r="AN74" s="635" t="s">
        <v>413</v>
      </c>
      <c r="AO74" s="632" t="s">
        <v>417</v>
      </c>
      <c r="AP74" s="633"/>
      <c r="AQ74" s="633"/>
      <c r="AR74" s="634"/>
      <c r="AS74" s="635" t="s">
        <v>413</v>
      </c>
      <c r="AT74" s="632" t="s">
        <v>417</v>
      </c>
      <c r="AU74" s="633"/>
      <c r="AV74" s="633"/>
      <c r="AW74" s="634"/>
      <c r="AX74" s="635" t="s">
        <v>413</v>
      </c>
      <c r="BA74" s="635" t="s">
        <v>369</v>
      </c>
    </row>
    <row r="75" spans="2:53">
      <c r="B75" s="635"/>
      <c r="C75" s="635"/>
      <c r="D75" s="635"/>
      <c r="E75" s="635" t="s">
        <v>418</v>
      </c>
      <c r="F75" s="635"/>
      <c r="G75" s="635"/>
      <c r="H75" s="637"/>
      <c r="I75" s="619" t="s">
        <v>418</v>
      </c>
      <c r="J75" s="619"/>
      <c r="K75" s="619"/>
      <c r="L75" s="621"/>
      <c r="M75" s="627"/>
      <c r="N75" s="635"/>
      <c r="O75" s="635"/>
      <c r="P75" s="632" t="s">
        <v>419</v>
      </c>
      <c r="Q75" s="633"/>
      <c r="R75" s="633"/>
      <c r="S75" s="634"/>
      <c r="T75" s="635"/>
      <c r="U75" s="632" t="s">
        <v>419</v>
      </c>
      <c r="V75" s="633"/>
      <c r="W75" s="633"/>
      <c r="X75" s="634"/>
      <c r="Y75" s="635"/>
      <c r="Z75" s="632" t="s">
        <v>419</v>
      </c>
      <c r="AA75" s="633"/>
      <c r="AB75" s="633"/>
      <c r="AC75" s="634"/>
      <c r="AD75" s="635"/>
      <c r="AE75" s="632" t="s">
        <v>419</v>
      </c>
      <c r="AF75" s="633"/>
      <c r="AG75" s="633"/>
      <c r="AH75" s="634"/>
      <c r="AI75" s="635"/>
      <c r="AJ75" s="632" t="s">
        <v>419</v>
      </c>
      <c r="AK75" s="633"/>
      <c r="AL75" s="633"/>
      <c r="AM75" s="634"/>
      <c r="AN75" s="635"/>
      <c r="AO75" s="632" t="s">
        <v>419</v>
      </c>
      <c r="AP75" s="633"/>
      <c r="AQ75" s="633"/>
      <c r="AR75" s="634"/>
      <c r="AS75" s="635"/>
      <c r="AT75" s="632" t="s">
        <v>419</v>
      </c>
      <c r="AU75" s="633"/>
      <c r="AV75" s="633"/>
      <c r="AW75" s="634"/>
      <c r="AX75" s="635"/>
      <c r="BA75" s="635"/>
    </row>
    <row r="76" spans="2:53">
      <c r="B76" s="635"/>
      <c r="C76" s="635"/>
      <c r="D76" s="635"/>
      <c r="E76" s="286" t="s">
        <v>420</v>
      </c>
      <c r="F76" s="286" t="s">
        <v>421</v>
      </c>
      <c r="G76" s="286" t="s">
        <v>422</v>
      </c>
      <c r="H76" s="638"/>
      <c r="I76" s="285" t="s">
        <v>420</v>
      </c>
      <c r="J76" s="285" t="s">
        <v>421</v>
      </c>
      <c r="K76" s="285" t="s">
        <v>422</v>
      </c>
      <c r="L76" s="622"/>
      <c r="M76" s="628"/>
      <c r="N76" s="635"/>
      <c r="O76" s="635"/>
      <c r="P76" s="286" t="s">
        <v>420</v>
      </c>
      <c r="Q76" s="286" t="s">
        <v>421</v>
      </c>
      <c r="R76" s="286" t="s">
        <v>422</v>
      </c>
      <c r="S76" s="286" t="s">
        <v>415</v>
      </c>
      <c r="T76" s="635"/>
      <c r="U76" s="286" t="s">
        <v>420</v>
      </c>
      <c r="V76" s="286" t="s">
        <v>421</v>
      </c>
      <c r="W76" s="286" t="s">
        <v>422</v>
      </c>
      <c r="X76" s="286" t="s">
        <v>415</v>
      </c>
      <c r="Y76" s="635"/>
      <c r="Z76" s="286" t="s">
        <v>420</v>
      </c>
      <c r="AA76" s="286" t="s">
        <v>421</v>
      </c>
      <c r="AB76" s="286" t="s">
        <v>422</v>
      </c>
      <c r="AC76" s="286" t="s">
        <v>415</v>
      </c>
      <c r="AD76" s="635"/>
      <c r="AE76" s="286" t="s">
        <v>420</v>
      </c>
      <c r="AF76" s="286" t="s">
        <v>421</v>
      </c>
      <c r="AG76" s="286" t="s">
        <v>422</v>
      </c>
      <c r="AH76" s="286" t="s">
        <v>415</v>
      </c>
      <c r="AI76" s="635"/>
      <c r="AJ76" s="286" t="s">
        <v>420</v>
      </c>
      <c r="AK76" s="286" t="s">
        <v>421</v>
      </c>
      <c r="AL76" s="286" t="s">
        <v>422</v>
      </c>
      <c r="AM76" s="286" t="s">
        <v>415</v>
      </c>
      <c r="AN76" s="635"/>
      <c r="AO76" s="286" t="s">
        <v>420</v>
      </c>
      <c r="AP76" s="286" t="s">
        <v>421</v>
      </c>
      <c r="AQ76" s="286" t="s">
        <v>422</v>
      </c>
      <c r="AR76" s="286" t="s">
        <v>415</v>
      </c>
      <c r="AS76" s="635"/>
      <c r="AT76" s="286" t="s">
        <v>420</v>
      </c>
      <c r="AU76" s="286" t="s">
        <v>421</v>
      </c>
      <c r="AV76" s="286" t="s">
        <v>422</v>
      </c>
      <c r="AW76" s="286" t="s">
        <v>415</v>
      </c>
      <c r="AX76" s="635"/>
      <c r="AZ76" s="371" t="s">
        <v>370</v>
      </c>
      <c r="BA76" s="635"/>
    </row>
    <row r="77" spans="2:53">
      <c r="B77" s="635" t="s">
        <v>423</v>
      </c>
      <c r="C77" s="287">
        <v>1</v>
      </c>
      <c r="D77" s="201" t="s">
        <v>343</v>
      </c>
      <c r="E77" s="536">
        <v>6</v>
      </c>
      <c r="F77" s="201">
        <v>1500</v>
      </c>
      <c r="G77" s="199">
        <v>250</v>
      </c>
      <c r="H77" s="681">
        <f>AVERAGE(G77:G106)</f>
        <v>100.51696400416888</v>
      </c>
      <c r="I77" s="367">
        <f>IFERROR(AVERAGE(P77,U77,Z77,AE77,AJ77,AO77,AT77),"-")</f>
        <v>6</v>
      </c>
      <c r="J77" s="367">
        <f>IFERROR(AVERAGE(Q77,V77,AA77,AF77,AK77,AP77,AU77),"-")</f>
        <v>1459.5941806727874</v>
      </c>
      <c r="K77" s="199">
        <f>IFERROR(AVERAGE(R77,W77,AB77,AG77,AL77,AQ77,AV77),"-")</f>
        <v>243.26569677879792</v>
      </c>
      <c r="L77" s="616">
        <f>IFERROR(AVERAGE(K77:K106),"-")</f>
        <v>90.130488875607</v>
      </c>
      <c r="M77" s="200">
        <f>RANK(K77, K$77:$K$106)</f>
        <v>1</v>
      </c>
      <c r="N77" s="635"/>
      <c r="O77" s="635"/>
      <c r="P77" s="546">
        <v>6</v>
      </c>
      <c r="Q77" s="547">
        <v>1462.8510638297876</v>
      </c>
      <c r="R77" s="547">
        <v>243.80851063829792</v>
      </c>
      <c r="S77" s="546">
        <v>1</v>
      </c>
      <c r="T77" s="657">
        <v>90.838637896825588</v>
      </c>
      <c r="U77" s="546">
        <v>6</v>
      </c>
      <c r="V77" s="547">
        <v>1451.055319148936</v>
      </c>
      <c r="W77" s="547">
        <v>241.84255319148932</v>
      </c>
      <c r="X77" s="547">
        <v>1</v>
      </c>
      <c r="Y77" s="657">
        <v>91.152915831226295</v>
      </c>
      <c r="Z77" s="546">
        <v>6</v>
      </c>
      <c r="AA77" s="547">
        <v>1473.6662983425408</v>
      </c>
      <c r="AB77" s="547">
        <v>245.61104972375679</v>
      </c>
      <c r="AC77" s="547">
        <v>1</v>
      </c>
      <c r="AD77" s="657">
        <v>90.290581080910812</v>
      </c>
      <c r="AE77" s="546">
        <v>6</v>
      </c>
      <c r="AF77" s="547">
        <v>1449.3818181818185</v>
      </c>
      <c r="AG77" s="547">
        <v>241.56363636363642</v>
      </c>
      <c r="AH77" s="547">
        <v>2</v>
      </c>
      <c r="AI77" s="657">
        <v>90.495191415083141</v>
      </c>
      <c r="AJ77" s="546">
        <v>6</v>
      </c>
      <c r="AK77" s="547">
        <v>1448.6000000000004</v>
      </c>
      <c r="AL77" s="547">
        <v>241.43333333333339</v>
      </c>
      <c r="AM77" s="547">
        <v>1</v>
      </c>
      <c r="AN77" s="657">
        <v>89.948066460834369</v>
      </c>
      <c r="AO77" s="546">
        <v>6</v>
      </c>
      <c r="AP77" s="547">
        <v>1462.6610526315787</v>
      </c>
      <c r="AQ77" s="547">
        <v>243.77684210526311</v>
      </c>
      <c r="AR77" s="547">
        <v>1</v>
      </c>
      <c r="AS77" s="657">
        <v>90.840849385088646</v>
      </c>
      <c r="AT77" s="546">
        <v>6</v>
      </c>
      <c r="AU77" s="547">
        <v>1468.9437125748507</v>
      </c>
      <c r="AV77" s="547">
        <v>244.82395209580844</v>
      </c>
      <c r="AW77" s="547">
        <v>1</v>
      </c>
      <c r="AX77" s="657">
        <v>90.291601112241153</v>
      </c>
      <c r="AZ77" s="372" t="e">
        <f>RANK(AY77, AY$77:AY$106)</f>
        <v>#N/A</v>
      </c>
      <c r="BA77" s="659" t="e">
        <f>AVERAGE(AY77:AY106)</f>
        <v>#DIV/0!</v>
      </c>
    </row>
    <row r="78" spans="2:53">
      <c r="B78" s="646"/>
      <c r="C78" s="287">
        <v>2</v>
      </c>
      <c r="D78" s="201" t="s">
        <v>593</v>
      </c>
      <c r="E78" s="536">
        <v>6</v>
      </c>
      <c r="F78" s="201">
        <v>1636</v>
      </c>
      <c r="G78" s="199">
        <v>272.66666666666669</v>
      </c>
      <c r="H78" s="682"/>
      <c r="I78" s="367">
        <f t="shared" ref="I78:I106" si="15">IFERROR(AVERAGE(P78,U78,Z78,AE78,AJ78,AO78,AT78),"-")</f>
        <v>6</v>
      </c>
      <c r="J78" s="367">
        <f t="shared" ref="J78:J106" si="16">IFERROR(AVERAGE(Q78,V78,AA78,AF78,AK78,AP78,AU78),"-")</f>
        <v>1446.3977429955407</v>
      </c>
      <c r="K78" s="199">
        <f t="shared" ref="K78:K106" si="17">IFERROR(AVERAGE(R78,W78,AB78,AG78,AL78,AQ78,AV78),"-")</f>
        <v>241.06629049925681</v>
      </c>
      <c r="L78" s="617"/>
      <c r="M78" s="200">
        <f>RANK(K78, K$77:$K$106)</f>
        <v>2</v>
      </c>
      <c r="N78" s="635"/>
      <c r="O78" s="635"/>
      <c r="P78" s="546">
        <v>6</v>
      </c>
      <c r="Q78" s="547">
        <v>1451.4705882352941</v>
      </c>
      <c r="R78" s="547">
        <v>241.91176470588235</v>
      </c>
      <c r="S78" s="546">
        <v>2</v>
      </c>
      <c r="T78" s="657"/>
      <c r="U78" s="546">
        <v>6</v>
      </c>
      <c r="V78" s="547">
        <v>1437.3134328358208</v>
      </c>
      <c r="W78" s="547">
        <v>239.55223880597012</v>
      </c>
      <c r="X78" s="547">
        <v>2</v>
      </c>
      <c r="Y78" s="657"/>
      <c r="Z78" s="546">
        <v>6</v>
      </c>
      <c r="AA78" s="547">
        <v>1435.6521739130435</v>
      </c>
      <c r="AB78" s="547">
        <v>239.27536231884059</v>
      </c>
      <c r="AC78" s="547">
        <v>2</v>
      </c>
      <c r="AD78" s="657"/>
      <c r="AE78" s="546">
        <v>6</v>
      </c>
      <c r="AF78" s="547">
        <v>1464.23076923077</v>
      </c>
      <c r="AG78" s="547">
        <v>244.03846153846166</v>
      </c>
      <c r="AH78" s="547">
        <v>1</v>
      </c>
      <c r="AI78" s="657"/>
      <c r="AJ78" s="546">
        <v>6</v>
      </c>
      <c r="AK78" s="547">
        <v>1438.8000000000004</v>
      </c>
      <c r="AL78" s="547">
        <v>239.80000000000007</v>
      </c>
      <c r="AM78" s="547">
        <v>2</v>
      </c>
      <c r="AN78" s="657"/>
      <c r="AO78" s="546">
        <v>6</v>
      </c>
      <c r="AP78" s="547">
        <v>1436.1904761904757</v>
      </c>
      <c r="AQ78" s="547">
        <v>239.36507936507928</v>
      </c>
      <c r="AR78" s="547">
        <v>2</v>
      </c>
      <c r="AS78" s="657"/>
      <c r="AT78" s="546">
        <v>6</v>
      </c>
      <c r="AU78" s="547">
        <v>1461.1267605633807</v>
      </c>
      <c r="AV78" s="547">
        <v>243.52112676056345</v>
      </c>
      <c r="AW78" s="547">
        <v>2</v>
      </c>
      <c r="AX78" s="657"/>
      <c r="AZ78" s="372" t="e">
        <f t="shared" ref="AZ78:AZ106" si="18">RANK(AY78, AY$77:AY$106)</f>
        <v>#N/A</v>
      </c>
      <c r="BA78" s="659"/>
    </row>
    <row r="79" spans="2:53">
      <c r="B79" s="646"/>
      <c r="C79" s="287">
        <v>3</v>
      </c>
      <c r="D79" s="201" t="s">
        <v>584</v>
      </c>
      <c r="E79" s="536">
        <v>16</v>
      </c>
      <c r="F79" s="201">
        <v>1500</v>
      </c>
      <c r="G79" s="199">
        <v>93.75</v>
      </c>
      <c r="H79" s="682"/>
      <c r="I79" s="367">
        <f t="shared" si="15"/>
        <v>16.714285714285715</v>
      </c>
      <c r="J79" s="367">
        <f t="shared" si="16"/>
        <v>1364.4753872125859</v>
      </c>
      <c r="K79" s="199">
        <f t="shared" si="17"/>
        <v>81.685773788141631</v>
      </c>
      <c r="L79" s="617"/>
      <c r="M79" s="200">
        <f>RANK(K79, K$77:$K$106)</f>
        <v>9</v>
      </c>
      <c r="N79" s="635"/>
      <c r="O79" s="635"/>
      <c r="P79" s="546">
        <v>16</v>
      </c>
      <c r="Q79" s="547">
        <v>1354.2857142857147</v>
      </c>
      <c r="R79" s="547">
        <v>84.642857142857167</v>
      </c>
      <c r="S79" s="546">
        <v>8</v>
      </c>
      <c r="T79" s="657"/>
      <c r="U79" s="546">
        <v>17</v>
      </c>
      <c r="V79" s="547">
        <v>1370.2222222222231</v>
      </c>
      <c r="W79" s="547">
        <v>80.601307189542538</v>
      </c>
      <c r="X79" s="547">
        <v>10</v>
      </c>
      <c r="Y79" s="657"/>
      <c r="Z79" s="546">
        <v>17</v>
      </c>
      <c r="AA79" s="547">
        <v>1354.6153846153854</v>
      </c>
      <c r="AB79" s="547">
        <v>79.683257918552087</v>
      </c>
      <c r="AC79" s="547">
        <v>11</v>
      </c>
      <c r="AD79" s="657"/>
      <c r="AE79" s="546">
        <v>17</v>
      </c>
      <c r="AF79" s="547">
        <v>1350.1714285714272</v>
      </c>
      <c r="AG79" s="547">
        <v>79.421848739495715</v>
      </c>
      <c r="AH79" s="547">
        <v>11</v>
      </c>
      <c r="AI79" s="657"/>
      <c r="AJ79" s="546">
        <v>17</v>
      </c>
      <c r="AK79" s="547">
        <v>1378.7096774193549</v>
      </c>
      <c r="AL79" s="547">
        <v>81.100569259962057</v>
      </c>
      <c r="AM79" s="547">
        <v>8</v>
      </c>
      <c r="AN79" s="657"/>
      <c r="AO79" s="546">
        <v>17</v>
      </c>
      <c r="AP79" s="547">
        <v>1389.1390728476817</v>
      </c>
      <c r="AQ79" s="547">
        <v>81.714063108687157</v>
      </c>
      <c r="AR79" s="547">
        <v>8</v>
      </c>
      <c r="AS79" s="657"/>
      <c r="AT79" s="546">
        <v>16</v>
      </c>
      <c r="AU79" s="547">
        <v>1354.1842105263156</v>
      </c>
      <c r="AV79" s="547">
        <v>84.636513157894726</v>
      </c>
      <c r="AW79" s="547">
        <v>6</v>
      </c>
      <c r="AX79" s="657"/>
      <c r="AZ79" s="372" t="e">
        <f t="shared" si="18"/>
        <v>#N/A</v>
      </c>
      <c r="BA79" s="659"/>
    </row>
    <row r="80" spans="2:53">
      <c r="B80" s="646"/>
      <c r="C80" s="287">
        <v>4</v>
      </c>
      <c r="D80" s="201" t="s">
        <v>553</v>
      </c>
      <c r="E80" s="536">
        <v>18</v>
      </c>
      <c r="F80" s="201">
        <v>1500</v>
      </c>
      <c r="G80" s="199">
        <v>83.333333333333329</v>
      </c>
      <c r="H80" s="682"/>
      <c r="I80" s="367">
        <f t="shared" si="15"/>
        <v>18</v>
      </c>
      <c r="J80" s="367">
        <f t="shared" si="16"/>
        <v>1305.9438974612544</v>
      </c>
      <c r="K80" s="199">
        <f t="shared" si="17"/>
        <v>72.552438747847461</v>
      </c>
      <c r="L80" s="617"/>
      <c r="M80" s="200">
        <f>RANK(K80, K$77:$K$106)</f>
        <v>17</v>
      </c>
      <c r="N80" s="635"/>
      <c r="O80" s="635"/>
      <c r="P80" s="546">
        <v>18</v>
      </c>
      <c r="Q80" s="547">
        <v>1293.1914893617022</v>
      </c>
      <c r="R80" s="547">
        <v>71.843971631205676</v>
      </c>
      <c r="S80" s="546">
        <v>16</v>
      </c>
      <c r="T80" s="657"/>
      <c r="U80" s="546">
        <v>18</v>
      </c>
      <c r="V80" s="547">
        <v>1294.090909090909</v>
      </c>
      <c r="W80" s="547">
        <v>71.893939393939391</v>
      </c>
      <c r="X80" s="547">
        <v>16</v>
      </c>
      <c r="Y80" s="657"/>
      <c r="Z80" s="546">
        <v>18</v>
      </c>
      <c r="AA80" s="547">
        <v>1323.1578947368412</v>
      </c>
      <c r="AB80" s="547">
        <v>73.508771929824505</v>
      </c>
      <c r="AC80" s="547">
        <v>15</v>
      </c>
      <c r="AD80" s="657"/>
      <c r="AE80" s="546">
        <v>18</v>
      </c>
      <c r="AF80" s="547">
        <v>1303.3333333333321</v>
      </c>
      <c r="AG80" s="547">
        <v>72.407407407407334</v>
      </c>
      <c r="AH80" s="547">
        <v>16</v>
      </c>
      <c r="AI80" s="657"/>
      <c r="AJ80" s="546">
        <v>18</v>
      </c>
      <c r="AK80" s="547">
        <v>1294.9999999999991</v>
      </c>
      <c r="AL80" s="547">
        <v>71.9444444444444</v>
      </c>
      <c r="AM80" s="547">
        <v>16</v>
      </c>
      <c r="AN80" s="657"/>
      <c r="AO80" s="546">
        <v>18</v>
      </c>
      <c r="AP80" s="547">
        <v>1307.7272727272727</v>
      </c>
      <c r="AQ80" s="547">
        <v>72.651515151515156</v>
      </c>
      <c r="AR80" s="547">
        <v>16</v>
      </c>
      <c r="AS80" s="657"/>
      <c r="AT80" s="546">
        <v>18</v>
      </c>
      <c r="AU80" s="547">
        <v>1325.1063829787236</v>
      </c>
      <c r="AV80" s="547">
        <v>73.61702127659575</v>
      </c>
      <c r="AW80" s="547">
        <v>17</v>
      </c>
      <c r="AX80" s="657"/>
      <c r="AZ80" s="372" t="e">
        <f t="shared" si="18"/>
        <v>#N/A</v>
      </c>
      <c r="BA80" s="659"/>
    </row>
    <row r="81" spans="2:53">
      <c r="B81" s="646"/>
      <c r="C81" s="287">
        <v>5</v>
      </c>
      <c r="D81" s="201" t="s">
        <v>345</v>
      </c>
      <c r="E81" s="536">
        <v>16</v>
      </c>
      <c r="F81" s="201">
        <v>1565</v>
      </c>
      <c r="G81" s="199">
        <v>97.8125</v>
      </c>
      <c r="H81" s="682"/>
      <c r="I81" s="367">
        <f t="shared" si="15"/>
        <v>16</v>
      </c>
      <c r="J81" s="367">
        <f t="shared" si="16"/>
        <v>1363.9012487512496</v>
      </c>
      <c r="K81" s="199">
        <f t="shared" si="17"/>
        <v>85.243828046953098</v>
      </c>
      <c r="L81" s="617"/>
      <c r="M81" s="200">
        <f>RANK(K81, K$77:$K$106)</f>
        <v>6</v>
      </c>
      <c r="N81" s="635"/>
      <c r="O81" s="635"/>
      <c r="P81" s="546">
        <v>16</v>
      </c>
      <c r="Q81" s="547">
        <v>1358.2500000000016</v>
      </c>
      <c r="R81" s="547">
        <v>84.890625000000099</v>
      </c>
      <c r="S81" s="546">
        <v>7</v>
      </c>
      <c r="T81" s="657"/>
      <c r="U81" s="546">
        <v>16</v>
      </c>
      <c r="V81" s="547">
        <v>1388.3636363636379</v>
      </c>
      <c r="W81" s="547">
        <v>86.772727272727366</v>
      </c>
      <c r="X81" s="547">
        <v>7</v>
      </c>
      <c r="Y81" s="657"/>
      <c r="Z81" s="546">
        <v>16</v>
      </c>
      <c r="AA81" s="547">
        <v>1355.2000000000012</v>
      </c>
      <c r="AB81" s="547">
        <v>84.700000000000074</v>
      </c>
      <c r="AC81" s="547">
        <v>7</v>
      </c>
      <c r="AD81" s="657"/>
      <c r="AE81" s="546">
        <v>16</v>
      </c>
      <c r="AF81" s="547">
        <v>1353.5999999999995</v>
      </c>
      <c r="AG81" s="547">
        <v>84.599999999999966</v>
      </c>
      <c r="AH81" s="547">
        <v>8</v>
      </c>
      <c r="AI81" s="657"/>
      <c r="AJ81" s="546">
        <v>16</v>
      </c>
      <c r="AK81" s="547">
        <v>1377.818181818182</v>
      </c>
      <c r="AL81" s="547">
        <v>86.113636363636374</v>
      </c>
      <c r="AM81" s="547">
        <v>4</v>
      </c>
      <c r="AN81" s="657"/>
      <c r="AO81" s="546">
        <v>16</v>
      </c>
      <c r="AP81" s="547">
        <v>1362.0000000000007</v>
      </c>
      <c r="AQ81" s="547">
        <v>85.125000000000043</v>
      </c>
      <c r="AR81" s="547">
        <v>7</v>
      </c>
      <c r="AS81" s="657"/>
      <c r="AT81" s="546">
        <v>16</v>
      </c>
      <c r="AU81" s="547">
        <v>1352.0769230769238</v>
      </c>
      <c r="AV81" s="547">
        <v>84.504807692307736</v>
      </c>
      <c r="AW81" s="547">
        <v>7</v>
      </c>
      <c r="AX81" s="657"/>
      <c r="AZ81" s="372" t="e">
        <f t="shared" si="18"/>
        <v>#N/A</v>
      </c>
      <c r="BA81" s="659"/>
    </row>
    <row r="82" spans="2:53">
      <c r="B82" s="646"/>
      <c r="C82" s="287">
        <v>6</v>
      </c>
      <c r="D82" s="201" t="s">
        <v>639</v>
      </c>
      <c r="E82" s="536">
        <v>20</v>
      </c>
      <c r="F82" s="201">
        <v>1440</v>
      </c>
      <c r="G82" s="199">
        <v>72</v>
      </c>
      <c r="H82" s="682"/>
      <c r="I82" s="367">
        <f t="shared" si="15"/>
        <v>20.571428571428573</v>
      </c>
      <c r="J82" s="367">
        <f t="shared" si="16"/>
        <v>1274.3878744116694</v>
      </c>
      <c r="K82" s="199">
        <f t="shared" si="17"/>
        <v>61.99475838541629</v>
      </c>
      <c r="L82" s="617"/>
      <c r="M82" s="200">
        <f>RANK(K82, K$77:$K$106)</f>
        <v>23</v>
      </c>
      <c r="N82" s="635"/>
      <c r="O82" s="635"/>
      <c r="P82" s="546">
        <v>21</v>
      </c>
      <c r="Q82" s="547">
        <v>1264.4761904761917</v>
      </c>
      <c r="R82" s="547">
        <v>60.2131519274377</v>
      </c>
      <c r="S82" s="546">
        <v>22</v>
      </c>
      <c r="T82" s="657"/>
      <c r="U82" s="546">
        <v>21</v>
      </c>
      <c r="V82" s="547">
        <v>1275.850000000001</v>
      </c>
      <c r="W82" s="547">
        <v>60.754761904761956</v>
      </c>
      <c r="X82" s="547">
        <v>22</v>
      </c>
      <c r="Y82" s="657"/>
      <c r="Z82" s="546">
        <v>20</v>
      </c>
      <c r="AA82" s="547">
        <v>1268.3888888888896</v>
      </c>
      <c r="AB82" s="547">
        <v>63.41944444444448</v>
      </c>
      <c r="AC82" s="547">
        <v>22</v>
      </c>
      <c r="AD82" s="657"/>
      <c r="AE82" s="546">
        <v>21</v>
      </c>
      <c r="AF82" s="547">
        <v>1266.1016949152554</v>
      </c>
      <c r="AG82" s="547">
        <v>60.29055690072645</v>
      </c>
      <c r="AH82" s="547">
        <v>22</v>
      </c>
      <c r="AI82" s="657"/>
      <c r="AJ82" s="546">
        <v>21</v>
      </c>
      <c r="AK82" s="547">
        <v>1264.0000000000014</v>
      </c>
      <c r="AL82" s="547">
        <v>60.190476190476254</v>
      </c>
      <c r="AM82" s="547">
        <v>22</v>
      </c>
      <c r="AN82" s="657"/>
      <c r="AO82" s="546">
        <v>20</v>
      </c>
      <c r="AP82" s="547">
        <v>1297.3913043478249</v>
      </c>
      <c r="AQ82" s="547">
        <v>64.869565217391241</v>
      </c>
      <c r="AR82" s="547">
        <v>22</v>
      </c>
      <c r="AS82" s="657"/>
      <c r="AT82" s="546">
        <v>20</v>
      </c>
      <c r="AU82" s="547">
        <v>1284.5070422535198</v>
      </c>
      <c r="AV82" s="547">
        <v>64.225352112675992</v>
      </c>
      <c r="AW82" s="547">
        <v>23</v>
      </c>
      <c r="AX82" s="657"/>
      <c r="AZ82" s="372" t="e">
        <f t="shared" si="18"/>
        <v>#N/A</v>
      </c>
      <c r="BA82" s="659"/>
    </row>
    <row r="83" spans="2:53">
      <c r="B83" s="646"/>
      <c r="C83" s="287">
        <v>7</v>
      </c>
      <c r="D83" s="201" t="s">
        <v>612</v>
      </c>
      <c r="E83" s="536">
        <v>16</v>
      </c>
      <c r="F83" s="201">
        <v>1500</v>
      </c>
      <c r="G83" s="199">
        <v>93.75</v>
      </c>
      <c r="H83" s="682"/>
      <c r="I83" s="367">
        <f t="shared" si="15"/>
        <v>16</v>
      </c>
      <c r="J83" s="367">
        <f t="shared" si="16"/>
        <v>1374.9629082368633</v>
      </c>
      <c r="K83" s="199">
        <f t="shared" si="17"/>
        <v>85.935181764803957</v>
      </c>
      <c r="L83" s="617"/>
      <c r="M83" s="200">
        <f>RANK(K83, K$77:$K$106)</f>
        <v>5</v>
      </c>
      <c r="N83" s="635"/>
      <c r="O83" s="635"/>
      <c r="P83" s="546">
        <v>16</v>
      </c>
      <c r="Q83" s="547">
        <v>1358.7692307692323</v>
      </c>
      <c r="R83" s="547">
        <v>84.923076923077019</v>
      </c>
      <c r="S83" s="546">
        <v>6</v>
      </c>
      <c r="T83" s="657"/>
      <c r="U83" s="546">
        <v>16</v>
      </c>
      <c r="V83" s="547">
        <v>1372.6153846153861</v>
      </c>
      <c r="W83" s="547">
        <v>85.788461538461632</v>
      </c>
      <c r="X83" s="547">
        <v>8</v>
      </c>
      <c r="Y83" s="657"/>
      <c r="Z83" s="546">
        <v>16</v>
      </c>
      <c r="AA83" s="547">
        <v>1400.6557377049194</v>
      </c>
      <c r="AB83" s="547">
        <v>87.540983606557461</v>
      </c>
      <c r="AC83" s="547">
        <v>4</v>
      </c>
      <c r="AD83" s="657"/>
      <c r="AE83" s="546">
        <v>16</v>
      </c>
      <c r="AF83" s="547">
        <v>1353.5999999999997</v>
      </c>
      <c r="AG83" s="547">
        <v>84.59999999999998</v>
      </c>
      <c r="AH83" s="547">
        <v>7</v>
      </c>
      <c r="AI83" s="657"/>
      <c r="AJ83" s="546">
        <v>16</v>
      </c>
      <c r="AK83" s="547">
        <v>1377.1428571428567</v>
      </c>
      <c r="AL83" s="547">
        <v>86.071428571428541</v>
      </c>
      <c r="AM83" s="547">
        <v>5</v>
      </c>
      <c r="AN83" s="657"/>
      <c r="AO83" s="546">
        <v>16</v>
      </c>
      <c r="AP83" s="547">
        <v>1362.7118644067807</v>
      </c>
      <c r="AQ83" s="547">
        <v>85.169491525423794</v>
      </c>
      <c r="AR83" s="547">
        <v>6</v>
      </c>
      <c r="AS83" s="657"/>
      <c r="AT83" s="546">
        <v>16</v>
      </c>
      <c r="AU83" s="547">
        <v>1399.2452830188688</v>
      </c>
      <c r="AV83" s="547">
        <v>87.4528301886793</v>
      </c>
      <c r="AW83" s="547">
        <v>4</v>
      </c>
      <c r="AX83" s="657"/>
      <c r="AZ83" s="372" t="e">
        <f t="shared" si="18"/>
        <v>#N/A</v>
      </c>
      <c r="BA83" s="659"/>
    </row>
    <row r="84" spans="2:53">
      <c r="B84" s="646"/>
      <c r="C84" s="287">
        <v>8</v>
      </c>
      <c r="D84" s="201" t="s">
        <v>579</v>
      </c>
      <c r="E84" s="536">
        <v>18</v>
      </c>
      <c r="F84" s="201">
        <v>1636</v>
      </c>
      <c r="G84" s="199">
        <v>90.888888888888886</v>
      </c>
      <c r="H84" s="682"/>
      <c r="I84" s="367">
        <f t="shared" si="15"/>
        <v>18</v>
      </c>
      <c r="J84" s="367">
        <f t="shared" si="16"/>
        <v>1418.9465155484988</v>
      </c>
      <c r="K84" s="199">
        <f t="shared" si="17"/>
        <v>78.830361974916599</v>
      </c>
      <c r="L84" s="617"/>
      <c r="M84" s="200">
        <f>RANK(K84, K$77:$K$106)</f>
        <v>13</v>
      </c>
      <c r="N84" s="635"/>
      <c r="O84" s="635"/>
      <c r="P84" s="546">
        <v>18</v>
      </c>
      <c r="Q84" s="547">
        <v>1419.6923076923092</v>
      </c>
      <c r="R84" s="547">
        <v>78.871794871794961</v>
      </c>
      <c r="S84" s="546">
        <v>13</v>
      </c>
      <c r="T84" s="657"/>
      <c r="U84" s="546">
        <v>18</v>
      </c>
      <c r="V84" s="547">
        <v>1404.4067796610182</v>
      </c>
      <c r="W84" s="547">
        <v>78.022598870056569</v>
      </c>
      <c r="X84" s="547">
        <v>13</v>
      </c>
      <c r="Y84" s="657"/>
      <c r="Z84" s="546">
        <v>18</v>
      </c>
      <c r="AA84" s="547">
        <v>1420.8000000000004</v>
      </c>
      <c r="AB84" s="547">
        <v>78.933333333333351</v>
      </c>
      <c r="AC84" s="547">
        <v>12</v>
      </c>
      <c r="AD84" s="657"/>
      <c r="AE84" s="546">
        <v>18</v>
      </c>
      <c r="AF84" s="547">
        <v>1377.8947368421063</v>
      </c>
      <c r="AG84" s="547">
        <v>76.54970760233924</v>
      </c>
      <c r="AH84" s="547">
        <v>14</v>
      </c>
      <c r="AI84" s="657"/>
      <c r="AJ84" s="546">
        <v>18</v>
      </c>
      <c r="AK84" s="547">
        <v>1411.4754098360668</v>
      </c>
      <c r="AL84" s="547">
        <v>78.415300546448151</v>
      </c>
      <c r="AM84" s="547">
        <v>11</v>
      </c>
      <c r="AN84" s="657"/>
      <c r="AO84" s="546">
        <v>18</v>
      </c>
      <c r="AP84" s="547">
        <v>1456.451612903227</v>
      </c>
      <c r="AQ84" s="547">
        <v>80.91397849462372</v>
      </c>
      <c r="AR84" s="547">
        <v>10</v>
      </c>
      <c r="AS84" s="657"/>
      <c r="AT84" s="546">
        <v>18</v>
      </c>
      <c r="AU84" s="547">
        <v>1441.9047619047633</v>
      </c>
      <c r="AV84" s="547">
        <v>80.105820105820186</v>
      </c>
      <c r="AW84" s="547">
        <v>11</v>
      </c>
      <c r="AX84" s="657"/>
      <c r="AZ84" s="372" t="e">
        <f t="shared" si="18"/>
        <v>#N/A</v>
      </c>
      <c r="BA84" s="659"/>
    </row>
    <row r="85" spans="2:53">
      <c r="B85" s="646"/>
      <c r="C85" s="287">
        <v>9</v>
      </c>
      <c r="D85" s="201" t="s">
        <v>580</v>
      </c>
      <c r="E85" s="536">
        <v>18</v>
      </c>
      <c r="F85" s="201">
        <v>1636</v>
      </c>
      <c r="G85" s="199">
        <v>90.888888888888886</v>
      </c>
      <c r="H85" s="682"/>
      <c r="I85" s="367">
        <f t="shared" si="15"/>
        <v>18</v>
      </c>
      <c r="J85" s="367">
        <f t="shared" si="16"/>
        <v>1429.5809685391002</v>
      </c>
      <c r="K85" s="199">
        <f t="shared" si="17"/>
        <v>79.421164918838912</v>
      </c>
      <c r="L85" s="617"/>
      <c r="M85" s="200">
        <f>RANK(K85, K$77:$K$106)</f>
        <v>11</v>
      </c>
      <c r="N85" s="635"/>
      <c r="O85" s="635"/>
      <c r="P85" s="546">
        <v>18</v>
      </c>
      <c r="Q85" s="547">
        <v>1448.2352941176478</v>
      </c>
      <c r="R85" s="547">
        <v>80.457516339869315</v>
      </c>
      <c r="S85" s="546">
        <v>10</v>
      </c>
      <c r="T85" s="657"/>
      <c r="U85" s="546">
        <v>18</v>
      </c>
      <c r="V85" s="547">
        <v>1440</v>
      </c>
      <c r="W85" s="547">
        <v>80</v>
      </c>
      <c r="X85" s="547">
        <v>12</v>
      </c>
      <c r="Y85" s="657"/>
      <c r="Z85" s="546">
        <v>18</v>
      </c>
      <c r="AA85" s="547">
        <v>1443.0769230769222</v>
      </c>
      <c r="AB85" s="547">
        <v>80.170940170940128</v>
      </c>
      <c r="AC85" s="547">
        <v>9</v>
      </c>
      <c r="AD85" s="657"/>
      <c r="AE85" s="546">
        <v>18</v>
      </c>
      <c r="AF85" s="547">
        <v>1429.9999999999995</v>
      </c>
      <c r="AG85" s="547">
        <v>79.444444444444414</v>
      </c>
      <c r="AH85" s="547">
        <v>10</v>
      </c>
      <c r="AI85" s="657"/>
      <c r="AJ85" s="546">
        <v>18</v>
      </c>
      <c r="AK85" s="547">
        <v>1395.3191489361704</v>
      </c>
      <c r="AL85" s="547">
        <v>77.517730496453908</v>
      </c>
      <c r="AM85" s="547">
        <v>12</v>
      </c>
      <c r="AN85" s="657"/>
      <c r="AO85" s="546">
        <v>18</v>
      </c>
      <c r="AP85" s="547">
        <v>1417.3584905660387</v>
      </c>
      <c r="AQ85" s="547">
        <v>78.742138364779919</v>
      </c>
      <c r="AR85" s="547">
        <v>13</v>
      </c>
      <c r="AS85" s="657"/>
      <c r="AT85" s="546">
        <v>18</v>
      </c>
      <c r="AU85" s="547">
        <v>1433.0769230769238</v>
      </c>
      <c r="AV85" s="547">
        <v>79.615384615384656</v>
      </c>
      <c r="AW85" s="547">
        <v>12</v>
      </c>
      <c r="AX85" s="657"/>
      <c r="AZ85" s="372" t="e">
        <f t="shared" si="18"/>
        <v>#N/A</v>
      </c>
      <c r="BA85" s="659"/>
    </row>
    <row r="86" spans="2:53">
      <c r="B86" s="646"/>
      <c r="C86" s="287">
        <v>10</v>
      </c>
      <c r="D86" s="201" t="s">
        <v>333</v>
      </c>
      <c r="E86" s="536">
        <v>17</v>
      </c>
      <c r="F86" s="201">
        <v>1500</v>
      </c>
      <c r="G86" s="199">
        <v>88.235294117647058</v>
      </c>
      <c r="H86" s="682"/>
      <c r="I86" s="367">
        <f t="shared" si="15"/>
        <v>17</v>
      </c>
      <c r="J86" s="367">
        <f t="shared" si="16"/>
        <v>1369.9733650659584</v>
      </c>
      <c r="K86" s="199">
        <f t="shared" si="17"/>
        <v>80.586668533291686</v>
      </c>
      <c r="L86" s="617"/>
      <c r="M86" s="200">
        <f>RANK(K86, K$77:$K$106)</f>
        <v>10</v>
      </c>
      <c r="N86" s="635"/>
      <c r="O86" s="635"/>
      <c r="P86" s="546">
        <v>17</v>
      </c>
      <c r="Q86" s="547">
        <v>1349.4117647058829</v>
      </c>
      <c r="R86" s="547">
        <v>79.377162629757819</v>
      </c>
      <c r="S86" s="546">
        <v>12</v>
      </c>
      <c r="T86" s="657"/>
      <c r="U86" s="546">
        <v>17</v>
      </c>
      <c r="V86" s="547">
        <v>1392.8571428571424</v>
      </c>
      <c r="W86" s="547">
        <v>81.932773109243669</v>
      </c>
      <c r="X86" s="547">
        <v>9</v>
      </c>
      <c r="Y86" s="657"/>
      <c r="Z86" s="546">
        <v>17</v>
      </c>
      <c r="AA86" s="547">
        <v>1358.9999999999995</v>
      </c>
      <c r="AB86" s="547">
        <v>79.941176470588204</v>
      </c>
      <c r="AC86" s="547">
        <v>10</v>
      </c>
      <c r="AD86" s="657"/>
      <c r="AE86" s="546">
        <v>17</v>
      </c>
      <c r="AF86" s="547">
        <v>1344</v>
      </c>
      <c r="AG86" s="547">
        <v>79.058823529411768</v>
      </c>
      <c r="AH86" s="547">
        <v>12</v>
      </c>
      <c r="AI86" s="657"/>
      <c r="AJ86" s="546">
        <v>17</v>
      </c>
      <c r="AK86" s="547">
        <v>1366.3636363636365</v>
      </c>
      <c r="AL86" s="547">
        <v>80.37433155080214</v>
      </c>
      <c r="AM86" s="547">
        <v>9</v>
      </c>
      <c r="AN86" s="657"/>
      <c r="AO86" s="546">
        <v>17</v>
      </c>
      <c r="AP86" s="547">
        <v>1381.2244897959188</v>
      </c>
      <c r="AQ86" s="547">
        <v>81.248499399759922</v>
      </c>
      <c r="AR86" s="547">
        <v>9</v>
      </c>
      <c r="AS86" s="657"/>
      <c r="AT86" s="546">
        <v>17</v>
      </c>
      <c r="AU86" s="547">
        <v>1396.9565217391305</v>
      </c>
      <c r="AV86" s="547">
        <v>82.173913043478265</v>
      </c>
      <c r="AW86" s="547">
        <v>8</v>
      </c>
      <c r="AX86" s="657"/>
      <c r="AZ86" s="372" t="e">
        <f t="shared" si="18"/>
        <v>#N/A</v>
      </c>
      <c r="BA86" s="659"/>
    </row>
    <row r="87" spans="2:53">
      <c r="B87" s="646"/>
      <c r="C87" s="287">
        <v>11</v>
      </c>
      <c r="D87" s="201" t="s">
        <v>515</v>
      </c>
      <c r="E87" s="536">
        <v>20</v>
      </c>
      <c r="F87" s="201">
        <v>1440</v>
      </c>
      <c r="G87" s="199">
        <v>72</v>
      </c>
      <c r="H87" s="682"/>
      <c r="I87" s="367">
        <f t="shared" si="15"/>
        <v>20</v>
      </c>
      <c r="J87" s="367">
        <f t="shared" si="16"/>
        <v>1312.9981374462943</v>
      </c>
      <c r="K87" s="199">
        <f t="shared" si="17"/>
        <v>65.649906872314702</v>
      </c>
      <c r="L87" s="617"/>
      <c r="M87" s="200">
        <f>RANK(K87, K$77:$K$106)</f>
        <v>22</v>
      </c>
      <c r="N87" s="635"/>
      <c r="O87" s="635"/>
      <c r="P87" s="546">
        <v>20</v>
      </c>
      <c r="Q87" s="547">
        <v>1333.6708860759486</v>
      </c>
      <c r="R87" s="547">
        <v>66.683544303797433</v>
      </c>
      <c r="S87" s="546">
        <v>21</v>
      </c>
      <c r="T87" s="657"/>
      <c r="U87" s="546">
        <v>20</v>
      </c>
      <c r="V87" s="547">
        <v>1303.0985915492945</v>
      </c>
      <c r="W87" s="547">
        <v>65.154929577464728</v>
      </c>
      <c r="X87" s="547">
        <v>21</v>
      </c>
      <c r="Y87" s="657"/>
      <c r="Z87" s="546">
        <v>20</v>
      </c>
      <c r="AA87" s="547">
        <v>1316.1290322580658</v>
      </c>
      <c r="AB87" s="547">
        <v>65.806451612903288</v>
      </c>
      <c r="AC87" s="547">
        <v>21</v>
      </c>
      <c r="AD87" s="657"/>
      <c r="AE87" s="546">
        <v>20</v>
      </c>
      <c r="AF87" s="547">
        <v>1309.0000000000014</v>
      </c>
      <c r="AG87" s="547">
        <v>65.450000000000074</v>
      </c>
      <c r="AH87" s="547">
        <v>21</v>
      </c>
      <c r="AI87" s="657"/>
      <c r="AJ87" s="546">
        <v>20</v>
      </c>
      <c r="AK87" s="547">
        <v>1314.4615384615399</v>
      </c>
      <c r="AL87" s="547">
        <v>65.723076923077002</v>
      </c>
      <c r="AM87" s="547">
        <v>21</v>
      </c>
      <c r="AN87" s="657"/>
      <c r="AO87" s="546">
        <v>20</v>
      </c>
      <c r="AP87" s="547">
        <v>1300.2739726027387</v>
      </c>
      <c r="AQ87" s="547">
        <v>65.013698630136929</v>
      </c>
      <c r="AR87" s="547">
        <v>21</v>
      </c>
      <c r="AS87" s="657"/>
      <c r="AT87" s="546">
        <v>20</v>
      </c>
      <c r="AU87" s="547">
        <v>1314.3529411764705</v>
      </c>
      <c r="AV87" s="547">
        <v>65.71764705882353</v>
      </c>
      <c r="AW87" s="547">
        <v>22</v>
      </c>
      <c r="AX87" s="657"/>
      <c r="AZ87" s="372" t="e">
        <f t="shared" si="18"/>
        <v>#N/A</v>
      </c>
      <c r="BA87" s="659"/>
    </row>
    <row r="88" spans="2:53">
      <c r="B88" s="646"/>
      <c r="C88" s="287">
        <v>12</v>
      </c>
      <c r="D88" s="201" t="s">
        <v>346</v>
      </c>
      <c r="E88" s="536">
        <v>14</v>
      </c>
      <c r="F88" s="201">
        <v>1440</v>
      </c>
      <c r="G88" s="199">
        <v>102.85714285714286</v>
      </c>
      <c r="H88" s="682"/>
      <c r="I88" s="367">
        <f t="shared" si="15"/>
        <v>15</v>
      </c>
      <c r="J88" s="367">
        <f t="shared" si="16"/>
        <v>1313.3787437273827</v>
      </c>
      <c r="K88" s="199">
        <f t="shared" si="17"/>
        <v>87.558582915158837</v>
      </c>
      <c r="L88" s="617"/>
      <c r="M88" s="200">
        <f>RANK(K88, K$77:$K$106)</f>
        <v>4</v>
      </c>
      <c r="N88" s="635"/>
      <c r="O88" s="635"/>
      <c r="P88" s="546">
        <v>15</v>
      </c>
      <c r="Q88" s="547">
        <v>1342.758620689656</v>
      </c>
      <c r="R88" s="547">
        <v>89.517241379310406</v>
      </c>
      <c r="S88" s="546">
        <v>3</v>
      </c>
      <c r="T88" s="657"/>
      <c r="U88" s="546">
        <v>15</v>
      </c>
      <c r="V88" s="547">
        <v>1318.9285714285725</v>
      </c>
      <c r="W88" s="547">
        <v>87.928571428571502</v>
      </c>
      <c r="X88" s="547">
        <v>6</v>
      </c>
      <c r="Y88" s="657"/>
      <c r="Z88" s="546">
        <v>15</v>
      </c>
      <c r="AA88" s="547">
        <v>1310.4545454545455</v>
      </c>
      <c r="AB88" s="547">
        <v>87.36363636363636</v>
      </c>
      <c r="AC88" s="547">
        <v>5</v>
      </c>
      <c r="AD88" s="657"/>
      <c r="AE88" s="546">
        <v>15</v>
      </c>
      <c r="AF88" s="547">
        <v>1325.3333333333333</v>
      </c>
      <c r="AG88" s="547">
        <v>88.355555555555554</v>
      </c>
      <c r="AH88" s="547">
        <v>4</v>
      </c>
      <c r="AI88" s="657"/>
      <c r="AJ88" s="546">
        <v>15</v>
      </c>
      <c r="AK88" s="547">
        <v>1287.6923076923085</v>
      </c>
      <c r="AL88" s="547">
        <v>85.846153846153896</v>
      </c>
      <c r="AM88" s="547">
        <v>6</v>
      </c>
      <c r="AN88" s="657"/>
      <c r="AO88" s="546">
        <v>15</v>
      </c>
      <c r="AP88" s="547">
        <v>1316.7857142857151</v>
      </c>
      <c r="AQ88" s="547">
        <v>87.785714285714349</v>
      </c>
      <c r="AR88" s="547">
        <v>4</v>
      </c>
      <c r="AS88" s="657"/>
      <c r="AT88" s="546">
        <v>15</v>
      </c>
      <c r="AU88" s="547">
        <v>1291.698113207548</v>
      </c>
      <c r="AV88" s="547">
        <v>86.113207547169864</v>
      </c>
      <c r="AW88" s="547">
        <v>5</v>
      </c>
      <c r="AX88" s="657"/>
      <c r="AZ88" s="372" t="e">
        <f t="shared" si="18"/>
        <v>#N/A</v>
      </c>
      <c r="BA88" s="659"/>
    </row>
    <row r="89" spans="2:53">
      <c r="B89" s="646"/>
      <c r="C89" s="287">
        <v>13</v>
      </c>
      <c r="D89" s="201" t="s">
        <v>327</v>
      </c>
      <c r="E89" s="536">
        <v>19</v>
      </c>
      <c r="F89" s="201">
        <v>1440</v>
      </c>
      <c r="G89" s="199">
        <v>75.78947368421052</v>
      </c>
      <c r="H89" s="682"/>
      <c r="I89" s="367">
        <f t="shared" si="15"/>
        <v>19</v>
      </c>
      <c r="J89" s="367">
        <f t="shared" si="16"/>
        <v>1318.656005733294</v>
      </c>
      <c r="K89" s="199">
        <f t="shared" si="17"/>
        <v>69.402947670173361</v>
      </c>
      <c r="L89" s="617"/>
      <c r="M89" s="200">
        <f>RANK(K89, K$77:$K$106)</f>
        <v>18</v>
      </c>
      <c r="N89" s="635"/>
      <c r="O89" s="635"/>
      <c r="P89" s="546">
        <v>19</v>
      </c>
      <c r="Q89" s="547">
        <v>1333.695652173913</v>
      </c>
      <c r="R89" s="547">
        <v>70.19450800915331</v>
      </c>
      <c r="S89" s="546">
        <v>17</v>
      </c>
      <c r="T89" s="657"/>
      <c r="U89" s="546">
        <v>19</v>
      </c>
      <c r="V89" s="547">
        <v>1301.4814814814811</v>
      </c>
      <c r="W89" s="547">
        <v>68.499025341130576</v>
      </c>
      <c r="X89" s="547">
        <v>20</v>
      </c>
      <c r="Y89" s="657"/>
      <c r="Z89" s="546">
        <v>19</v>
      </c>
      <c r="AA89" s="547">
        <v>1296.3380281690127</v>
      </c>
      <c r="AB89" s="547">
        <v>68.228317272053303</v>
      </c>
      <c r="AC89" s="547">
        <v>20</v>
      </c>
      <c r="AD89" s="657"/>
      <c r="AE89" s="546">
        <v>19</v>
      </c>
      <c r="AF89" s="547">
        <v>1323.3333333333323</v>
      </c>
      <c r="AG89" s="547">
        <v>69.649122807017491</v>
      </c>
      <c r="AH89" s="547">
        <v>17</v>
      </c>
      <c r="AI89" s="657"/>
      <c r="AJ89" s="546">
        <v>19</v>
      </c>
      <c r="AK89" s="547">
        <v>1336.1538461538453</v>
      </c>
      <c r="AL89" s="547">
        <v>70.323886639676061</v>
      </c>
      <c r="AM89" s="547">
        <v>18</v>
      </c>
      <c r="AN89" s="657"/>
      <c r="AO89" s="546">
        <v>19</v>
      </c>
      <c r="AP89" s="547">
        <v>1323.0379746835438</v>
      </c>
      <c r="AQ89" s="547">
        <v>69.633577614923354</v>
      </c>
      <c r="AR89" s="547">
        <v>18</v>
      </c>
      <c r="AS89" s="657"/>
      <c r="AT89" s="546">
        <v>19</v>
      </c>
      <c r="AU89" s="547">
        <v>1316.5517241379307</v>
      </c>
      <c r="AV89" s="547">
        <v>69.292196007259506</v>
      </c>
      <c r="AW89" s="547">
        <v>20</v>
      </c>
      <c r="AX89" s="657"/>
      <c r="AZ89" s="372" t="e">
        <f t="shared" si="18"/>
        <v>#N/A</v>
      </c>
      <c r="BA89" s="659"/>
    </row>
    <row r="90" spans="2:53">
      <c r="B90" s="646"/>
      <c r="C90" s="287">
        <v>14</v>
      </c>
      <c r="D90" s="201" t="s">
        <v>344</v>
      </c>
      <c r="E90" s="536">
        <v>19</v>
      </c>
      <c r="F90" s="201">
        <v>1440</v>
      </c>
      <c r="G90" s="199">
        <v>75.78947368421052</v>
      </c>
      <c r="H90" s="682"/>
      <c r="I90" s="367">
        <f t="shared" si="15"/>
        <v>19</v>
      </c>
      <c r="J90" s="367">
        <f t="shared" si="16"/>
        <v>1311.1889747084472</v>
      </c>
      <c r="K90" s="199">
        <f t="shared" si="17"/>
        <v>69.009946037286696</v>
      </c>
      <c r="L90" s="617"/>
      <c r="M90" s="200">
        <f>RANK(K90, K$77:$K$106)</f>
        <v>21</v>
      </c>
      <c r="N90" s="635"/>
      <c r="O90" s="635"/>
      <c r="P90" s="546">
        <v>19</v>
      </c>
      <c r="Q90" s="547">
        <v>1312.0588235294135</v>
      </c>
      <c r="R90" s="547">
        <v>69.055727554179654</v>
      </c>
      <c r="S90" s="546">
        <v>19</v>
      </c>
      <c r="T90" s="657"/>
      <c r="U90" s="546">
        <v>19</v>
      </c>
      <c r="V90" s="547">
        <v>1305.0000000000016</v>
      </c>
      <c r="W90" s="547">
        <v>68.68421052631588</v>
      </c>
      <c r="X90" s="547">
        <v>19</v>
      </c>
      <c r="Y90" s="657"/>
      <c r="Z90" s="546">
        <v>19</v>
      </c>
      <c r="AA90" s="547">
        <v>1296.8421052631588</v>
      </c>
      <c r="AB90" s="547">
        <v>68.254847645429408</v>
      </c>
      <c r="AC90" s="547">
        <v>19</v>
      </c>
      <c r="AD90" s="657"/>
      <c r="AE90" s="546">
        <v>19</v>
      </c>
      <c r="AF90" s="547">
        <v>1287.9310344827597</v>
      </c>
      <c r="AG90" s="547">
        <v>67.785843920145254</v>
      </c>
      <c r="AH90" s="547">
        <v>20</v>
      </c>
      <c r="AI90" s="657"/>
      <c r="AJ90" s="546">
        <v>19</v>
      </c>
      <c r="AK90" s="547">
        <v>1305.9375000000016</v>
      </c>
      <c r="AL90" s="547">
        <v>68.73355263157903</v>
      </c>
      <c r="AM90" s="547">
        <v>20</v>
      </c>
      <c r="AN90" s="657"/>
      <c r="AO90" s="546">
        <v>19</v>
      </c>
      <c r="AP90" s="547">
        <v>1327.8260869565204</v>
      </c>
      <c r="AQ90" s="547">
        <v>69.885583524027382</v>
      </c>
      <c r="AR90" s="547">
        <v>17</v>
      </c>
      <c r="AS90" s="657"/>
      <c r="AT90" s="546">
        <v>19</v>
      </c>
      <c r="AU90" s="547">
        <v>1342.7272727272743</v>
      </c>
      <c r="AV90" s="547">
        <v>70.669856459330234</v>
      </c>
      <c r="AW90" s="547">
        <v>18</v>
      </c>
      <c r="AX90" s="657"/>
      <c r="AZ90" s="372" t="e">
        <f t="shared" si="18"/>
        <v>#N/A</v>
      </c>
      <c r="BA90" s="659"/>
    </row>
    <row r="91" spans="2:53">
      <c r="B91" s="646"/>
      <c r="C91" s="287">
        <v>15</v>
      </c>
      <c r="D91" s="201" t="s">
        <v>587</v>
      </c>
      <c r="E91" s="536">
        <v>18</v>
      </c>
      <c r="F91" s="201">
        <v>1500</v>
      </c>
      <c r="G91" s="199">
        <v>83.333333333333329</v>
      </c>
      <c r="H91" s="682"/>
      <c r="I91" s="367">
        <f t="shared" si="15"/>
        <v>18</v>
      </c>
      <c r="J91" s="367">
        <f t="shared" si="16"/>
        <v>1385.1724175444681</v>
      </c>
      <c r="K91" s="199">
        <f t="shared" si="17"/>
        <v>76.954023196914889</v>
      </c>
      <c r="L91" s="617"/>
      <c r="M91" s="200">
        <f>RANK(K91, K$77:$K$106)</f>
        <v>16</v>
      </c>
      <c r="N91" s="635"/>
      <c r="O91" s="635"/>
      <c r="P91" s="546">
        <v>18</v>
      </c>
      <c r="Q91" s="547">
        <v>1392.9230769230783</v>
      </c>
      <c r="R91" s="547">
        <v>77.384615384615458</v>
      </c>
      <c r="S91" s="546">
        <v>15</v>
      </c>
      <c r="T91" s="657"/>
      <c r="U91" s="546">
        <v>18</v>
      </c>
      <c r="V91" s="547">
        <v>1393.1506849315058</v>
      </c>
      <c r="W91" s="547">
        <v>77.397260273972549</v>
      </c>
      <c r="X91" s="547">
        <v>14</v>
      </c>
      <c r="Y91" s="657"/>
      <c r="Z91" s="546">
        <v>18</v>
      </c>
      <c r="AA91" s="547">
        <v>1369.8461538461554</v>
      </c>
      <c r="AB91" s="547">
        <v>76.102564102564187</v>
      </c>
      <c r="AC91" s="547">
        <v>14</v>
      </c>
      <c r="AD91" s="657"/>
      <c r="AE91" s="546">
        <v>18</v>
      </c>
      <c r="AF91" s="547">
        <v>1382.3529411764712</v>
      </c>
      <c r="AG91" s="547">
        <v>76.797385620915065</v>
      </c>
      <c r="AH91" s="547">
        <v>13</v>
      </c>
      <c r="AI91" s="657"/>
      <c r="AJ91" s="546">
        <v>18</v>
      </c>
      <c r="AK91" s="547">
        <v>1390.0000000000007</v>
      </c>
      <c r="AL91" s="547">
        <v>77.222222222222257</v>
      </c>
      <c r="AM91" s="547">
        <v>14</v>
      </c>
      <c r="AN91" s="657"/>
      <c r="AO91" s="546">
        <v>18</v>
      </c>
      <c r="AP91" s="547">
        <v>1393.0769230769222</v>
      </c>
      <c r="AQ91" s="547">
        <v>77.393162393162342</v>
      </c>
      <c r="AR91" s="547">
        <v>15</v>
      </c>
      <c r="AS91" s="657"/>
      <c r="AT91" s="546">
        <v>18</v>
      </c>
      <c r="AU91" s="547">
        <v>1374.8571428571413</v>
      </c>
      <c r="AV91" s="547">
        <v>76.380952380952294</v>
      </c>
      <c r="AW91" s="547">
        <v>15</v>
      </c>
      <c r="AX91" s="657"/>
      <c r="AZ91" s="372" t="e">
        <f t="shared" si="18"/>
        <v>#N/A</v>
      </c>
      <c r="BA91" s="659"/>
    </row>
    <row r="92" spans="2:53">
      <c r="B92" s="646"/>
      <c r="C92" s="287">
        <v>16</v>
      </c>
      <c r="D92" s="201" t="s">
        <v>512</v>
      </c>
      <c r="E92" s="536">
        <v>17</v>
      </c>
      <c r="F92" s="201">
        <v>1440</v>
      </c>
      <c r="G92" s="199">
        <v>84.705882352941174</v>
      </c>
      <c r="H92" s="682"/>
      <c r="I92" s="367">
        <f t="shared" si="15"/>
        <v>17</v>
      </c>
      <c r="J92" s="367">
        <f t="shared" si="16"/>
        <v>1317.1564278315143</v>
      </c>
      <c r="K92" s="199">
        <f t="shared" si="17"/>
        <v>77.479789872441998</v>
      </c>
      <c r="L92" s="617"/>
      <c r="M92" s="200">
        <f>RANK(K92, K$77:$K$106)</f>
        <v>15</v>
      </c>
      <c r="N92" s="635"/>
      <c r="O92" s="635"/>
      <c r="P92" s="546">
        <v>17</v>
      </c>
      <c r="Q92" s="547">
        <v>1327.1428571428569</v>
      </c>
      <c r="R92" s="547">
        <v>78.067226890756288</v>
      </c>
      <c r="S92" s="546">
        <v>14</v>
      </c>
      <c r="T92" s="657"/>
      <c r="U92" s="546">
        <v>17</v>
      </c>
      <c r="V92" s="547">
        <v>1306.8292682926826</v>
      </c>
      <c r="W92" s="547">
        <v>76.872309899569572</v>
      </c>
      <c r="X92" s="547">
        <v>15</v>
      </c>
      <c r="Y92" s="657"/>
      <c r="Z92" s="546">
        <v>17</v>
      </c>
      <c r="AA92" s="547">
        <v>1326.4285714285684</v>
      </c>
      <c r="AB92" s="547">
        <v>78.025210084033432</v>
      </c>
      <c r="AC92" s="547">
        <v>13</v>
      </c>
      <c r="AD92" s="657"/>
      <c r="AE92" s="546">
        <v>17</v>
      </c>
      <c r="AF92" s="547">
        <v>1297.2972972972962</v>
      </c>
      <c r="AG92" s="547">
        <v>76.311605723370363</v>
      </c>
      <c r="AH92" s="547">
        <v>15</v>
      </c>
      <c r="AI92" s="657"/>
      <c r="AJ92" s="546">
        <v>17</v>
      </c>
      <c r="AK92" s="547">
        <v>1316.7567567567557</v>
      </c>
      <c r="AL92" s="547">
        <v>77.456279809220931</v>
      </c>
      <c r="AM92" s="547">
        <v>13</v>
      </c>
      <c r="AN92" s="657"/>
      <c r="AO92" s="546">
        <v>17</v>
      </c>
      <c r="AP92" s="547">
        <v>1321.2500000000005</v>
      </c>
      <c r="AQ92" s="547">
        <v>77.720588235294144</v>
      </c>
      <c r="AR92" s="547">
        <v>14</v>
      </c>
      <c r="AS92" s="657"/>
      <c r="AT92" s="546">
        <v>17</v>
      </c>
      <c r="AU92" s="547">
        <v>1324.3902439024387</v>
      </c>
      <c r="AV92" s="547">
        <v>77.905308464849327</v>
      </c>
      <c r="AW92" s="547">
        <v>14</v>
      </c>
      <c r="AX92" s="657"/>
      <c r="AZ92" s="372" t="e">
        <f t="shared" si="18"/>
        <v>#N/A</v>
      </c>
      <c r="BA92" s="659"/>
    </row>
    <row r="93" spans="2:53">
      <c r="B93" s="646"/>
      <c r="C93" s="287">
        <v>17</v>
      </c>
      <c r="D93" s="201" t="s">
        <v>614</v>
      </c>
      <c r="E93" s="536">
        <v>16</v>
      </c>
      <c r="F93" s="201">
        <v>1636</v>
      </c>
      <c r="G93" s="199">
        <v>102.25</v>
      </c>
      <c r="H93" s="682"/>
      <c r="I93" s="367">
        <f t="shared" si="15"/>
        <v>16</v>
      </c>
      <c r="J93" s="367">
        <f t="shared" si="16"/>
        <v>1414.8237132432193</v>
      </c>
      <c r="K93" s="199">
        <f t="shared" si="17"/>
        <v>88.426482077701209</v>
      </c>
      <c r="L93" s="617"/>
      <c r="M93" s="200">
        <f>RANK(K93, K$77:$K$106)</f>
        <v>3</v>
      </c>
      <c r="N93" s="635"/>
      <c r="O93" s="635"/>
      <c r="P93" s="546">
        <v>16</v>
      </c>
      <c r="Q93" s="547">
        <v>1430.8695652173915</v>
      </c>
      <c r="R93" s="547">
        <v>89.429347826086968</v>
      </c>
      <c r="S93" s="546">
        <v>4</v>
      </c>
      <c r="T93" s="657"/>
      <c r="U93" s="546">
        <v>16</v>
      </c>
      <c r="V93" s="547">
        <v>1425.6521739130435</v>
      </c>
      <c r="W93" s="547">
        <v>89.103260869565219</v>
      </c>
      <c r="X93" s="547">
        <v>4</v>
      </c>
      <c r="Y93" s="657"/>
      <c r="Z93" s="546">
        <v>16</v>
      </c>
      <c r="AA93" s="547">
        <v>1441.7142857142842</v>
      </c>
      <c r="AB93" s="547">
        <v>90.107142857142762</v>
      </c>
      <c r="AC93" s="547">
        <v>3</v>
      </c>
      <c r="AD93" s="657"/>
      <c r="AE93" s="546">
        <v>16</v>
      </c>
      <c r="AF93" s="547">
        <v>1362.4390243902435</v>
      </c>
      <c r="AG93" s="547">
        <v>85.152439024390219</v>
      </c>
      <c r="AH93" s="547">
        <v>6</v>
      </c>
      <c r="AI93" s="657"/>
      <c r="AJ93" s="546">
        <v>16</v>
      </c>
      <c r="AK93" s="547">
        <v>1415.1219512195119</v>
      </c>
      <c r="AL93" s="547">
        <v>88.445121951219491</v>
      </c>
      <c r="AM93" s="547">
        <v>3</v>
      </c>
      <c r="AN93" s="657"/>
      <c r="AO93" s="546">
        <v>16</v>
      </c>
      <c r="AP93" s="547">
        <v>1418.6666666666667</v>
      </c>
      <c r="AQ93" s="547">
        <v>88.666666666666671</v>
      </c>
      <c r="AR93" s="547">
        <v>3</v>
      </c>
      <c r="AS93" s="657"/>
      <c r="AT93" s="546">
        <v>16</v>
      </c>
      <c r="AU93" s="547">
        <v>1409.3023255813951</v>
      </c>
      <c r="AV93" s="547">
        <v>88.081395348837191</v>
      </c>
      <c r="AW93" s="547">
        <v>3</v>
      </c>
      <c r="AX93" s="657"/>
      <c r="AZ93" s="372" t="e">
        <f t="shared" si="18"/>
        <v>#N/A</v>
      </c>
      <c r="BA93" s="659"/>
    </row>
    <row r="94" spans="2:53">
      <c r="B94" s="646"/>
      <c r="C94" s="287">
        <v>18</v>
      </c>
      <c r="D94" s="201" t="s">
        <v>626</v>
      </c>
      <c r="E94" s="536">
        <v>16</v>
      </c>
      <c r="F94" s="201">
        <v>1500</v>
      </c>
      <c r="G94" s="199">
        <v>93.75</v>
      </c>
      <c r="H94" s="682"/>
      <c r="I94" s="367">
        <f t="shared" si="15"/>
        <v>16.571428571428573</v>
      </c>
      <c r="J94" s="367">
        <f t="shared" si="16"/>
        <v>1370.2697270076785</v>
      </c>
      <c r="K94" s="199">
        <f t="shared" si="17"/>
        <v>82.774781682586877</v>
      </c>
      <c r="L94" s="617"/>
      <c r="M94" s="200">
        <f>RANK(K94, K$77:$K$106)</f>
        <v>8</v>
      </c>
      <c r="N94" s="635"/>
      <c r="O94" s="635"/>
      <c r="P94" s="546">
        <v>16</v>
      </c>
      <c r="Q94" s="547">
        <v>1366.1538461538469</v>
      </c>
      <c r="R94" s="547">
        <v>85.384615384615429</v>
      </c>
      <c r="S94" s="546">
        <v>5</v>
      </c>
      <c r="T94" s="657"/>
      <c r="U94" s="546">
        <v>17</v>
      </c>
      <c r="V94" s="547">
        <v>1362.3529411764712</v>
      </c>
      <c r="W94" s="547">
        <v>80.138408304498299</v>
      </c>
      <c r="X94" s="547">
        <v>11</v>
      </c>
      <c r="Y94" s="657"/>
      <c r="Z94" s="546">
        <v>16</v>
      </c>
      <c r="AA94" s="547">
        <v>1378.4210526315778</v>
      </c>
      <c r="AB94" s="547">
        <v>86.151315789473614</v>
      </c>
      <c r="AC94" s="547">
        <v>6</v>
      </c>
      <c r="AD94" s="657"/>
      <c r="AE94" s="546">
        <v>17</v>
      </c>
      <c r="AF94" s="547">
        <v>1355.1219512195119</v>
      </c>
      <c r="AG94" s="547">
        <v>79.713055954088929</v>
      </c>
      <c r="AH94" s="547">
        <v>9</v>
      </c>
      <c r="AI94" s="657"/>
      <c r="AJ94" s="546">
        <v>17</v>
      </c>
      <c r="AK94" s="547">
        <v>1350.6382978723407</v>
      </c>
      <c r="AL94" s="547">
        <v>79.44931163954945</v>
      </c>
      <c r="AM94" s="547">
        <v>10</v>
      </c>
      <c r="AN94" s="657"/>
      <c r="AO94" s="546">
        <v>16</v>
      </c>
      <c r="AP94" s="547">
        <v>1388.4000000000005</v>
      </c>
      <c r="AQ94" s="547">
        <v>86.775000000000034</v>
      </c>
      <c r="AR94" s="547">
        <v>5</v>
      </c>
      <c r="AS94" s="657"/>
      <c r="AT94" s="546">
        <v>17</v>
      </c>
      <c r="AU94" s="547">
        <v>1390.8000000000004</v>
      </c>
      <c r="AV94" s="547">
        <v>81.811764705882382</v>
      </c>
      <c r="AW94" s="547">
        <v>9</v>
      </c>
      <c r="AX94" s="657"/>
      <c r="AZ94" s="372" t="e">
        <f t="shared" si="18"/>
        <v>#N/A</v>
      </c>
      <c r="BA94" s="659"/>
    </row>
    <row r="95" spans="2:53">
      <c r="B95" s="646"/>
      <c r="C95" s="287">
        <v>19</v>
      </c>
      <c r="D95" s="201" t="s">
        <v>622</v>
      </c>
      <c r="E95" s="536">
        <v>16</v>
      </c>
      <c r="F95" s="201">
        <v>1500</v>
      </c>
      <c r="G95" s="199">
        <v>93.75</v>
      </c>
      <c r="H95" s="682"/>
      <c r="I95" s="367">
        <f t="shared" si="15"/>
        <v>15.428571428571429</v>
      </c>
      <c r="J95" s="367">
        <f t="shared" si="16"/>
        <v>1300.4781458293166</v>
      </c>
      <c r="K95" s="199">
        <f t="shared" si="17"/>
        <v>84.582813296568574</v>
      </c>
      <c r="L95" s="617"/>
      <c r="M95" s="200">
        <f>RANK(K95, K$77:$K$106)</f>
        <v>7</v>
      </c>
      <c r="N95" s="635"/>
      <c r="O95" s="635"/>
      <c r="P95" s="546">
        <v>16</v>
      </c>
      <c r="Q95" s="547">
        <v>1299.7674418604647</v>
      </c>
      <c r="R95" s="547">
        <v>81.235465116279045</v>
      </c>
      <c r="S95" s="546">
        <v>9</v>
      </c>
      <c r="T95" s="657"/>
      <c r="U95" s="546">
        <v>14</v>
      </c>
      <c r="V95" s="547">
        <v>1311.7499999999995</v>
      </c>
      <c r="W95" s="547">
        <v>93.696428571428541</v>
      </c>
      <c r="X95" s="547">
        <v>3</v>
      </c>
      <c r="Y95" s="657"/>
      <c r="Z95" s="546">
        <v>16</v>
      </c>
      <c r="AA95" s="547">
        <v>1301.1940298507448</v>
      </c>
      <c r="AB95" s="547">
        <v>81.324626865671547</v>
      </c>
      <c r="AC95" s="547">
        <v>8</v>
      </c>
      <c r="AD95" s="657"/>
      <c r="AE95" s="546">
        <v>14</v>
      </c>
      <c r="AF95" s="547">
        <v>1277.7464788732382</v>
      </c>
      <c r="AG95" s="547">
        <v>91.267605633802731</v>
      </c>
      <c r="AH95" s="547">
        <v>3</v>
      </c>
      <c r="AI95" s="657"/>
      <c r="AJ95" s="546">
        <v>16</v>
      </c>
      <c r="AK95" s="547">
        <v>1342.1052631578937</v>
      </c>
      <c r="AL95" s="547">
        <v>83.881578947368354</v>
      </c>
      <c r="AM95" s="547">
        <v>7</v>
      </c>
      <c r="AN95" s="657"/>
      <c r="AO95" s="546">
        <v>16</v>
      </c>
      <c r="AP95" s="547">
        <v>1281.4814814814811</v>
      </c>
      <c r="AQ95" s="547">
        <v>80.092592592592567</v>
      </c>
      <c r="AR95" s="547">
        <v>11</v>
      </c>
      <c r="AS95" s="657"/>
      <c r="AT95" s="546">
        <v>16</v>
      </c>
      <c r="AU95" s="547">
        <v>1289.3023255813951</v>
      </c>
      <c r="AV95" s="547">
        <v>80.581395348837191</v>
      </c>
      <c r="AW95" s="547">
        <v>10</v>
      </c>
      <c r="AX95" s="657"/>
      <c r="AZ95" s="372" t="e">
        <f t="shared" si="18"/>
        <v>#N/A</v>
      </c>
      <c r="BA95" s="659"/>
    </row>
    <row r="96" spans="2:53">
      <c r="B96" s="646"/>
      <c r="C96" s="287">
        <v>20</v>
      </c>
      <c r="D96" s="201" t="s">
        <v>630</v>
      </c>
      <c r="E96" s="536">
        <v>16</v>
      </c>
      <c r="F96" s="201">
        <v>1440</v>
      </c>
      <c r="G96" s="199">
        <v>90</v>
      </c>
      <c r="H96" s="682"/>
      <c r="I96" s="367">
        <f t="shared" si="15"/>
        <v>15.571428571428571</v>
      </c>
      <c r="J96" s="367">
        <f t="shared" si="16"/>
        <v>1234.606207637318</v>
      </c>
      <c r="K96" s="199">
        <f t="shared" si="17"/>
        <v>79.395285936516046</v>
      </c>
      <c r="L96" s="617"/>
      <c r="M96" s="200">
        <f>RANK(K96, K$77:$K$106)</f>
        <v>12</v>
      </c>
      <c r="N96" s="635"/>
      <c r="O96" s="635"/>
      <c r="P96" s="546">
        <v>16</v>
      </c>
      <c r="Q96" s="547">
        <v>1285.2631578947357</v>
      </c>
      <c r="R96" s="547">
        <v>80.328947368420984</v>
      </c>
      <c r="S96" s="546">
        <v>11</v>
      </c>
      <c r="T96" s="657"/>
      <c r="U96" s="546">
        <v>15</v>
      </c>
      <c r="V96" s="547">
        <v>1335.4285714285702</v>
      </c>
      <c r="W96" s="547">
        <v>89.02857142857134</v>
      </c>
      <c r="X96" s="547">
        <v>5</v>
      </c>
      <c r="Y96" s="657"/>
      <c r="Z96" s="546">
        <v>16</v>
      </c>
      <c r="AA96" s="547">
        <v>1109.9999999999984</v>
      </c>
      <c r="AB96" s="547">
        <v>69.374999999999901</v>
      </c>
      <c r="AC96" s="547">
        <v>16</v>
      </c>
      <c r="AD96" s="657"/>
      <c r="AE96" s="546">
        <v>15</v>
      </c>
      <c r="AF96" s="547">
        <v>1313.5714285714257</v>
      </c>
      <c r="AG96" s="547">
        <v>87.571428571428385</v>
      </c>
      <c r="AH96" s="547">
        <v>5</v>
      </c>
      <c r="AI96" s="657"/>
      <c r="AJ96" s="546">
        <v>15</v>
      </c>
      <c r="AK96" s="547">
        <v>1101.4285714285691</v>
      </c>
      <c r="AL96" s="547">
        <v>73.428571428571274</v>
      </c>
      <c r="AM96" s="547">
        <v>15</v>
      </c>
      <c r="AN96" s="657"/>
      <c r="AO96" s="546">
        <v>16</v>
      </c>
      <c r="AP96" s="547">
        <v>1279.9999999999984</v>
      </c>
      <c r="AQ96" s="547">
        <v>79.999999999999901</v>
      </c>
      <c r="AR96" s="547">
        <v>12</v>
      </c>
      <c r="AS96" s="657"/>
      <c r="AT96" s="546">
        <v>16</v>
      </c>
      <c r="AU96" s="547">
        <v>1216.5517241379287</v>
      </c>
      <c r="AV96" s="547">
        <v>76.034482758620541</v>
      </c>
      <c r="AW96" s="547">
        <v>16</v>
      </c>
      <c r="AX96" s="657"/>
      <c r="AZ96" s="372" t="e">
        <f t="shared" si="18"/>
        <v>#N/A</v>
      </c>
      <c r="BA96" s="659"/>
    </row>
    <row r="97" spans="2:53">
      <c r="B97" s="646"/>
      <c r="C97" s="287">
        <v>21</v>
      </c>
      <c r="D97" s="201" t="s">
        <v>642</v>
      </c>
      <c r="E97" s="536">
        <v>19</v>
      </c>
      <c r="F97" s="201">
        <v>1440</v>
      </c>
      <c r="G97" s="199">
        <v>75.78947368421052</v>
      </c>
      <c r="H97" s="682"/>
      <c r="I97" s="367">
        <f t="shared" si="15"/>
        <v>19</v>
      </c>
      <c r="J97" s="367">
        <f t="shared" si="16"/>
        <v>1312.2300887522692</v>
      </c>
      <c r="K97" s="199">
        <f t="shared" si="17"/>
        <v>69.064741513277326</v>
      </c>
      <c r="L97" s="617"/>
      <c r="M97" s="200">
        <f>RANK(K97, K$77:$K$106)</f>
        <v>20</v>
      </c>
      <c r="N97" s="635"/>
      <c r="O97" s="635"/>
      <c r="P97" s="546">
        <v>19</v>
      </c>
      <c r="Q97" s="547">
        <v>1300.285714285716</v>
      </c>
      <c r="R97" s="547">
        <v>68.436090225564001</v>
      </c>
      <c r="S97" s="546">
        <v>20</v>
      </c>
      <c r="T97" s="657"/>
      <c r="U97" s="546">
        <v>19</v>
      </c>
      <c r="V97" s="547">
        <v>1323.4285714285702</v>
      </c>
      <c r="W97" s="547">
        <v>69.654135338345796</v>
      </c>
      <c r="X97" s="547">
        <v>17</v>
      </c>
      <c r="Y97" s="657"/>
      <c r="Z97" s="546">
        <v>19</v>
      </c>
      <c r="AA97" s="547">
        <v>1308.8888888888896</v>
      </c>
      <c r="AB97" s="547">
        <v>68.888888888888928</v>
      </c>
      <c r="AC97" s="547">
        <v>18</v>
      </c>
      <c r="AD97" s="657"/>
      <c r="AE97" s="546">
        <v>19</v>
      </c>
      <c r="AF97" s="547">
        <v>1309.8113207547178</v>
      </c>
      <c r="AG97" s="547">
        <v>68.937437934458828</v>
      </c>
      <c r="AH97" s="547">
        <v>18</v>
      </c>
      <c r="AI97" s="657"/>
      <c r="AJ97" s="546">
        <v>19</v>
      </c>
      <c r="AK97" s="547">
        <v>1340.3389830508486</v>
      </c>
      <c r="AL97" s="547">
        <v>70.544157002676243</v>
      </c>
      <c r="AM97" s="547">
        <v>17</v>
      </c>
      <c r="AN97" s="657"/>
      <c r="AO97" s="546">
        <v>19</v>
      </c>
      <c r="AP97" s="547">
        <v>1312.3809523809502</v>
      </c>
      <c r="AQ97" s="547">
        <v>69.072681704260546</v>
      </c>
      <c r="AR97" s="547">
        <v>19</v>
      </c>
      <c r="AS97" s="657"/>
      <c r="AT97" s="546">
        <v>19</v>
      </c>
      <c r="AU97" s="547">
        <v>1290.476190476192</v>
      </c>
      <c r="AV97" s="547">
        <v>67.91979949874694</v>
      </c>
      <c r="AW97" s="547">
        <v>21</v>
      </c>
      <c r="AX97" s="657"/>
      <c r="AZ97" s="372" t="e">
        <f t="shared" si="18"/>
        <v>#N/A</v>
      </c>
      <c r="BA97" s="659"/>
    </row>
    <row r="98" spans="2:53">
      <c r="B98" s="646"/>
      <c r="C98" s="287">
        <v>22</v>
      </c>
      <c r="D98" s="201" t="s">
        <v>714</v>
      </c>
      <c r="E98" s="536">
        <v>21</v>
      </c>
      <c r="F98" s="201">
        <v>1440</v>
      </c>
      <c r="G98" s="199">
        <v>68.571428571428569</v>
      </c>
      <c r="H98" s="682"/>
      <c r="I98" s="367">
        <f t="shared" si="15"/>
        <v>21</v>
      </c>
      <c r="J98" s="367">
        <f t="shared" si="16"/>
        <v>1135.3123121164665</v>
      </c>
      <c r="K98" s="199">
        <f t="shared" si="17"/>
        <v>54.062491053165061</v>
      </c>
      <c r="L98" s="617"/>
      <c r="M98" s="200">
        <f>RANK(K98, K$77:$K$106)</f>
        <v>24</v>
      </c>
      <c r="N98" s="635"/>
      <c r="O98" s="635"/>
      <c r="P98" s="546">
        <v>21</v>
      </c>
      <c r="Q98" s="547">
        <v>1102.0183486238539</v>
      </c>
      <c r="R98" s="547">
        <v>52.477064220183514</v>
      </c>
      <c r="S98" s="546">
        <v>23</v>
      </c>
      <c r="T98" s="657"/>
      <c r="U98" s="546">
        <v>21</v>
      </c>
      <c r="V98" s="547">
        <v>1128.7850467289725</v>
      </c>
      <c r="W98" s="547">
        <v>53.751668891855829</v>
      </c>
      <c r="X98" s="547">
        <v>23</v>
      </c>
      <c r="Y98" s="657"/>
      <c r="Z98" s="546">
        <v>21</v>
      </c>
      <c r="AA98" s="547">
        <v>1153.9024390243897</v>
      </c>
      <c r="AB98" s="547">
        <v>54.947735191637605</v>
      </c>
      <c r="AC98" s="547">
        <v>23</v>
      </c>
      <c r="AD98" s="657"/>
      <c r="AE98" s="546">
        <v>21</v>
      </c>
      <c r="AF98" s="547">
        <v>1128.705882352941</v>
      </c>
      <c r="AG98" s="547">
        <v>53.747899159663859</v>
      </c>
      <c r="AH98" s="547">
        <v>23</v>
      </c>
      <c r="AI98" s="657"/>
      <c r="AJ98" s="546">
        <v>21</v>
      </c>
      <c r="AK98" s="547">
        <v>1168.2000000000003</v>
      </c>
      <c r="AL98" s="547">
        <v>55.628571428571441</v>
      </c>
      <c r="AM98" s="547">
        <v>23</v>
      </c>
      <c r="AN98" s="657"/>
      <c r="AO98" s="546">
        <v>21</v>
      </c>
      <c r="AP98" s="547">
        <v>1149.5744680851064</v>
      </c>
      <c r="AQ98" s="547">
        <v>54.741641337386021</v>
      </c>
      <c r="AR98" s="547">
        <v>23</v>
      </c>
      <c r="AS98" s="657"/>
      <c r="AT98" s="546">
        <v>21</v>
      </c>
      <c r="AU98" s="547">
        <v>1116</v>
      </c>
      <c r="AV98" s="547">
        <v>53.142857142857146</v>
      </c>
      <c r="AW98" s="547">
        <v>24</v>
      </c>
      <c r="AX98" s="657"/>
      <c r="AZ98" s="372" t="e">
        <f t="shared" si="18"/>
        <v>#N/A</v>
      </c>
      <c r="BA98" s="659"/>
    </row>
    <row r="99" spans="2:53">
      <c r="B99" s="646"/>
      <c r="C99" s="287">
        <v>23</v>
      </c>
      <c r="D99" s="201" t="s">
        <v>719</v>
      </c>
      <c r="E99" s="536">
        <v>19</v>
      </c>
      <c r="F99" s="201">
        <v>1440</v>
      </c>
      <c r="G99" s="199">
        <v>75.78947368421052</v>
      </c>
      <c r="H99" s="682"/>
      <c r="I99" s="367">
        <f t="shared" si="15"/>
        <v>19</v>
      </c>
      <c r="J99" s="367">
        <f t="shared" si="16"/>
        <v>1318.0506717285641</v>
      </c>
      <c r="K99" s="199">
        <f t="shared" si="17"/>
        <v>69.371087985713899</v>
      </c>
      <c r="L99" s="617"/>
      <c r="M99" s="200">
        <f>RANK(K99, K$77:$K$106)</f>
        <v>19</v>
      </c>
      <c r="N99" s="635"/>
      <c r="O99" s="635"/>
      <c r="P99" s="546">
        <v>19</v>
      </c>
      <c r="Q99" s="547">
        <v>1332.9230769230767</v>
      </c>
      <c r="R99" s="547">
        <v>70.153846153846146</v>
      </c>
      <c r="S99" s="546">
        <v>18</v>
      </c>
      <c r="T99" s="657"/>
      <c r="U99" s="546">
        <v>19</v>
      </c>
      <c r="V99" s="547">
        <v>1319.491525423728</v>
      </c>
      <c r="W99" s="547">
        <v>69.446922390722534</v>
      </c>
      <c r="X99" s="547">
        <v>18</v>
      </c>
      <c r="Y99" s="657"/>
      <c r="Z99" s="546">
        <v>19</v>
      </c>
      <c r="AA99" s="547">
        <v>1317.1428571428567</v>
      </c>
      <c r="AB99" s="547">
        <v>69.323308270676662</v>
      </c>
      <c r="AC99" s="547">
        <v>17</v>
      </c>
      <c r="AD99" s="657"/>
      <c r="AE99" s="546">
        <v>19</v>
      </c>
      <c r="AF99" s="547">
        <v>1304.8275862068963</v>
      </c>
      <c r="AG99" s="547">
        <v>68.67513611615243</v>
      </c>
      <c r="AH99" s="547">
        <v>19</v>
      </c>
      <c r="AI99" s="657"/>
      <c r="AJ99" s="546">
        <v>19</v>
      </c>
      <c r="AK99" s="547">
        <v>1314.0740740740737</v>
      </c>
      <c r="AL99" s="547">
        <v>69.161793372319664</v>
      </c>
      <c r="AM99" s="547">
        <v>19</v>
      </c>
      <c r="AN99" s="657"/>
      <c r="AO99" s="546">
        <v>19</v>
      </c>
      <c r="AP99" s="547">
        <v>1310.6666666666667</v>
      </c>
      <c r="AQ99" s="547">
        <v>68.982456140350877</v>
      </c>
      <c r="AR99" s="547">
        <v>20</v>
      </c>
      <c r="AS99" s="657"/>
      <c r="AT99" s="546">
        <v>19</v>
      </c>
      <c r="AU99" s="547">
        <v>1327.22891566265</v>
      </c>
      <c r="AV99" s="547">
        <v>69.854153455928952</v>
      </c>
      <c r="AW99" s="547">
        <v>19</v>
      </c>
      <c r="AX99" s="657"/>
      <c r="AZ99" s="372" t="e">
        <f t="shared" si="18"/>
        <v>#N/A</v>
      </c>
      <c r="BA99" s="659"/>
    </row>
    <row r="100" spans="2:53">
      <c r="B100" s="646"/>
      <c r="C100" s="287">
        <v>24</v>
      </c>
      <c r="D100" s="201" t="s">
        <v>743</v>
      </c>
      <c r="E100" s="536">
        <v>17</v>
      </c>
      <c r="F100" s="201">
        <v>1440</v>
      </c>
      <c r="G100" s="199">
        <v>84.705882352941174</v>
      </c>
      <c r="H100" s="682"/>
      <c r="I100" s="367">
        <f t="shared" si="15"/>
        <v>17</v>
      </c>
      <c r="J100" s="367">
        <f t="shared" si="16"/>
        <v>1339.8837209302324</v>
      </c>
      <c r="K100" s="199">
        <f t="shared" si="17"/>
        <v>78.816689466484263</v>
      </c>
      <c r="L100" s="617"/>
      <c r="M100" s="200">
        <f>RANK(K100, K$77:$K$106)</f>
        <v>14</v>
      </c>
      <c r="N100" s="635"/>
      <c r="O100" s="635"/>
      <c r="P100" s="546" t="s">
        <v>592</v>
      </c>
      <c r="Q100" s="547" t="s">
        <v>592</v>
      </c>
      <c r="R100" s="547" t="s">
        <v>592</v>
      </c>
      <c r="S100" s="546" t="e">
        <v>#VALUE!</v>
      </c>
      <c r="T100" s="657"/>
      <c r="U100" s="546" t="s">
        <v>592</v>
      </c>
      <c r="V100" s="547" t="s">
        <v>592</v>
      </c>
      <c r="W100" s="547" t="s">
        <v>592</v>
      </c>
      <c r="X100" s="547" t="e">
        <v>#VALUE!</v>
      </c>
      <c r="Y100" s="657"/>
      <c r="Z100" s="546" t="s">
        <v>592</v>
      </c>
      <c r="AA100" s="547" t="s">
        <v>592</v>
      </c>
      <c r="AB100" s="547" t="s">
        <v>592</v>
      </c>
      <c r="AC100" s="547" t="e">
        <v>#VALUE!</v>
      </c>
      <c r="AD100" s="657"/>
      <c r="AE100" s="546" t="s">
        <v>592</v>
      </c>
      <c r="AF100" s="547" t="s">
        <v>592</v>
      </c>
      <c r="AG100" s="547" t="s">
        <v>592</v>
      </c>
      <c r="AH100" s="547" t="e">
        <v>#VALUE!</v>
      </c>
      <c r="AI100" s="657"/>
      <c r="AJ100" s="546" t="s">
        <v>592</v>
      </c>
      <c r="AK100" s="547" t="s">
        <v>592</v>
      </c>
      <c r="AL100" s="547" t="s">
        <v>592</v>
      </c>
      <c r="AM100" s="547" t="e">
        <v>#VALUE!</v>
      </c>
      <c r="AN100" s="657"/>
      <c r="AO100" s="546" t="s">
        <v>592</v>
      </c>
      <c r="AP100" s="547" t="s">
        <v>592</v>
      </c>
      <c r="AQ100" s="547" t="s">
        <v>592</v>
      </c>
      <c r="AR100" s="547" t="e">
        <v>#VALUE!</v>
      </c>
      <c r="AS100" s="657"/>
      <c r="AT100" s="546">
        <v>17</v>
      </c>
      <c r="AU100" s="547">
        <v>1339.8837209302324</v>
      </c>
      <c r="AV100" s="547">
        <v>78.816689466484263</v>
      </c>
      <c r="AW100" s="547">
        <v>13</v>
      </c>
      <c r="AX100" s="657"/>
      <c r="AZ100" s="372" t="e">
        <f t="shared" si="18"/>
        <v>#N/A</v>
      </c>
      <c r="BA100" s="659"/>
    </row>
    <row r="101" spans="2:53">
      <c r="B101" s="646"/>
      <c r="C101" s="287">
        <v>25</v>
      </c>
      <c r="D101" s="201"/>
      <c r="E101" s="536"/>
      <c r="F101" s="201"/>
      <c r="G101" s="199"/>
      <c r="H101" s="682"/>
      <c r="I101" s="367" t="str">
        <f t="shared" si="15"/>
        <v>-</v>
      </c>
      <c r="J101" s="367" t="str">
        <f t="shared" si="16"/>
        <v>-</v>
      </c>
      <c r="K101" s="199" t="str">
        <f t="shared" si="17"/>
        <v>-</v>
      </c>
      <c r="L101" s="617"/>
      <c r="M101" s="200" t="e">
        <f>RANK(K101, K$77:$K$106)</f>
        <v>#VALUE!</v>
      </c>
      <c r="N101" s="635"/>
      <c r="O101" s="635"/>
      <c r="P101" s="546" t="s">
        <v>592</v>
      </c>
      <c r="Q101" s="547" t="s">
        <v>592</v>
      </c>
      <c r="R101" s="547" t="s">
        <v>592</v>
      </c>
      <c r="S101" s="546" t="e">
        <v>#VALUE!</v>
      </c>
      <c r="T101" s="657"/>
      <c r="U101" s="546" t="s">
        <v>592</v>
      </c>
      <c r="V101" s="547" t="s">
        <v>592</v>
      </c>
      <c r="W101" s="547" t="s">
        <v>592</v>
      </c>
      <c r="X101" s="547" t="e">
        <v>#VALUE!</v>
      </c>
      <c r="Y101" s="657"/>
      <c r="Z101" s="546" t="s">
        <v>592</v>
      </c>
      <c r="AA101" s="547" t="s">
        <v>592</v>
      </c>
      <c r="AB101" s="547" t="s">
        <v>592</v>
      </c>
      <c r="AC101" s="547" t="e">
        <v>#VALUE!</v>
      </c>
      <c r="AD101" s="657"/>
      <c r="AE101" s="546" t="s">
        <v>592</v>
      </c>
      <c r="AF101" s="547" t="s">
        <v>592</v>
      </c>
      <c r="AG101" s="547" t="s">
        <v>592</v>
      </c>
      <c r="AH101" s="547" t="e">
        <v>#VALUE!</v>
      </c>
      <c r="AI101" s="657"/>
      <c r="AJ101" s="546" t="s">
        <v>592</v>
      </c>
      <c r="AK101" s="547" t="s">
        <v>592</v>
      </c>
      <c r="AL101" s="547" t="s">
        <v>592</v>
      </c>
      <c r="AM101" s="547" t="e">
        <v>#VALUE!</v>
      </c>
      <c r="AN101" s="657"/>
      <c r="AO101" s="546" t="s">
        <v>592</v>
      </c>
      <c r="AP101" s="547" t="s">
        <v>592</v>
      </c>
      <c r="AQ101" s="547" t="s">
        <v>592</v>
      </c>
      <c r="AR101" s="547" t="e">
        <v>#VALUE!</v>
      </c>
      <c r="AS101" s="657"/>
      <c r="AT101" s="546" t="s">
        <v>592</v>
      </c>
      <c r="AU101" s="547" t="s">
        <v>592</v>
      </c>
      <c r="AV101" s="547" t="s">
        <v>592</v>
      </c>
      <c r="AW101" s="547" t="e">
        <v>#VALUE!</v>
      </c>
      <c r="AX101" s="657"/>
      <c r="AZ101" s="372" t="e">
        <f t="shared" si="18"/>
        <v>#N/A</v>
      </c>
      <c r="BA101" s="659"/>
    </row>
    <row r="102" spans="2:53">
      <c r="B102" s="646"/>
      <c r="C102" s="287">
        <v>26</v>
      </c>
      <c r="D102" s="201"/>
      <c r="E102" s="536"/>
      <c r="F102" s="201"/>
      <c r="G102" s="199"/>
      <c r="H102" s="682"/>
      <c r="I102" s="367" t="str">
        <f t="shared" si="15"/>
        <v>-</v>
      </c>
      <c r="J102" s="367" t="str">
        <f t="shared" si="16"/>
        <v>-</v>
      </c>
      <c r="K102" s="199" t="str">
        <f t="shared" si="17"/>
        <v>-</v>
      </c>
      <c r="L102" s="617"/>
      <c r="M102" s="200" t="e">
        <f>RANK(K102, K$77:$K$106)</f>
        <v>#VALUE!</v>
      </c>
      <c r="N102" s="635"/>
      <c r="O102" s="635"/>
      <c r="P102" s="546" t="s">
        <v>592</v>
      </c>
      <c r="Q102" s="547" t="s">
        <v>592</v>
      </c>
      <c r="R102" s="547" t="s">
        <v>592</v>
      </c>
      <c r="S102" s="546" t="e">
        <v>#VALUE!</v>
      </c>
      <c r="T102" s="657"/>
      <c r="U102" s="546" t="s">
        <v>592</v>
      </c>
      <c r="V102" s="547" t="s">
        <v>592</v>
      </c>
      <c r="W102" s="547" t="s">
        <v>592</v>
      </c>
      <c r="X102" s="547" t="e">
        <v>#VALUE!</v>
      </c>
      <c r="Y102" s="657"/>
      <c r="Z102" s="546" t="s">
        <v>592</v>
      </c>
      <c r="AA102" s="547" t="s">
        <v>592</v>
      </c>
      <c r="AB102" s="547" t="s">
        <v>592</v>
      </c>
      <c r="AC102" s="547" t="e">
        <v>#VALUE!</v>
      </c>
      <c r="AD102" s="657"/>
      <c r="AE102" s="546" t="s">
        <v>592</v>
      </c>
      <c r="AF102" s="547" t="s">
        <v>592</v>
      </c>
      <c r="AG102" s="547" t="s">
        <v>592</v>
      </c>
      <c r="AH102" s="547" t="e">
        <v>#VALUE!</v>
      </c>
      <c r="AI102" s="657"/>
      <c r="AJ102" s="546" t="s">
        <v>592</v>
      </c>
      <c r="AK102" s="547" t="s">
        <v>592</v>
      </c>
      <c r="AL102" s="547" t="s">
        <v>592</v>
      </c>
      <c r="AM102" s="547" t="e">
        <v>#VALUE!</v>
      </c>
      <c r="AN102" s="657"/>
      <c r="AO102" s="546" t="s">
        <v>592</v>
      </c>
      <c r="AP102" s="547" t="s">
        <v>592</v>
      </c>
      <c r="AQ102" s="547" t="s">
        <v>592</v>
      </c>
      <c r="AR102" s="547" t="e">
        <v>#VALUE!</v>
      </c>
      <c r="AS102" s="657"/>
      <c r="AT102" s="546" t="s">
        <v>592</v>
      </c>
      <c r="AU102" s="547" t="s">
        <v>592</v>
      </c>
      <c r="AV102" s="547" t="s">
        <v>592</v>
      </c>
      <c r="AW102" s="547" t="e">
        <v>#VALUE!</v>
      </c>
      <c r="AX102" s="657"/>
      <c r="AZ102" s="372" t="e">
        <f t="shared" si="18"/>
        <v>#N/A</v>
      </c>
      <c r="BA102" s="659"/>
    </row>
    <row r="103" spans="2:53">
      <c r="B103" s="646"/>
      <c r="C103" s="287">
        <v>27</v>
      </c>
      <c r="D103" s="201"/>
      <c r="E103" s="536"/>
      <c r="F103" s="201"/>
      <c r="G103" s="199"/>
      <c r="H103" s="682"/>
      <c r="I103" s="367" t="str">
        <f t="shared" si="15"/>
        <v>-</v>
      </c>
      <c r="J103" s="367" t="str">
        <f t="shared" si="16"/>
        <v>-</v>
      </c>
      <c r="K103" s="199" t="str">
        <f t="shared" si="17"/>
        <v>-</v>
      </c>
      <c r="L103" s="617"/>
      <c r="M103" s="200" t="e">
        <f>RANK(K103, K$77:$K$106)</f>
        <v>#VALUE!</v>
      </c>
      <c r="N103" s="635"/>
      <c r="O103" s="635"/>
      <c r="P103" s="546" t="s">
        <v>592</v>
      </c>
      <c r="Q103" s="547" t="s">
        <v>592</v>
      </c>
      <c r="R103" s="547" t="s">
        <v>592</v>
      </c>
      <c r="S103" s="546" t="e">
        <v>#VALUE!</v>
      </c>
      <c r="T103" s="657"/>
      <c r="U103" s="546" t="s">
        <v>592</v>
      </c>
      <c r="V103" s="547" t="s">
        <v>592</v>
      </c>
      <c r="W103" s="547" t="s">
        <v>592</v>
      </c>
      <c r="X103" s="547" t="e">
        <v>#VALUE!</v>
      </c>
      <c r="Y103" s="657"/>
      <c r="Z103" s="546" t="s">
        <v>592</v>
      </c>
      <c r="AA103" s="547" t="s">
        <v>592</v>
      </c>
      <c r="AB103" s="547" t="s">
        <v>592</v>
      </c>
      <c r="AC103" s="547" t="e">
        <v>#VALUE!</v>
      </c>
      <c r="AD103" s="657"/>
      <c r="AE103" s="546" t="s">
        <v>592</v>
      </c>
      <c r="AF103" s="547" t="s">
        <v>592</v>
      </c>
      <c r="AG103" s="547" t="s">
        <v>592</v>
      </c>
      <c r="AH103" s="547" t="e">
        <v>#VALUE!</v>
      </c>
      <c r="AI103" s="657"/>
      <c r="AJ103" s="546" t="s">
        <v>592</v>
      </c>
      <c r="AK103" s="547" t="s">
        <v>592</v>
      </c>
      <c r="AL103" s="547" t="s">
        <v>592</v>
      </c>
      <c r="AM103" s="547" t="e">
        <v>#VALUE!</v>
      </c>
      <c r="AN103" s="657"/>
      <c r="AO103" s="546" t="s">
        <v>592</v>
      </c>
      <c r="AP103" s="547" t="s">
        <v>592</v>
      </c>
      <c r="AQ103" s="547" t="s">
        <v>592</v>
      </c>
      <c r="AR103" s="547" t="e">
        <v>#VALUE!</v>
      </c>
      <c r="AS103" s="657"/>
      <c r="AT103" s="546" t="s">
        <v>592</v>
      </c>
      <c r="AU103" s="547" t="s">
        <v>592</v>
      </c>
      <c r="AV103" s="547" t="s">
        <v>592</v>
      </c>
      <c r="AW103" s="547" t="e">
        <v>#VALUE!</v>
      </c>
      <c r="AX103" s="657"/>
      <c r="AZ103" s="372" t="e">
        <f t="shared" si="18"/>
        <v>#N/A</v>
      </c>
      <c r="BA103" s="659"/>
    </row>
    <row r="104" spans="2:53">
      <c r="B104" s="646"/>
      <c r="C104" s="287">
        <v>28</v>
      </c>
      <c r="D104" s="201"/>
      <c r="E104" s="536"/>
      <c r="F104" s="201"/>
      <c r="G104" s="199"/>
      <c r="H104" s="682"/>
      <c r="I104" s="367" t="str">
        <f t="shared" si="15"/>
        <v>-</v>
      </c>
      <c r="J104" s="367" t="str">
        <f t="shared" si="16"/>
        <v>-</v>
      </c>
      <c r="K104" s="199" t="str">
        <f t="shared" si="17"/>
        <v>-</v>
      </c>
      <c r="L104" s="617"/>
      <c r="M104" s="200" t="e">
        <f>RANK(K104, K$77:$K$106)</f>
        <v>#VALUE!</v>
      </c>
      <c r="N104" s="635"/>
      <c r="O104" s="635"/>
      <c r="P104" s="546" t="s">
        <v>592</v>
      </c>
      <c r="Q104" s="547" t="s">
        <v>592</v>
      </c>
      <c r="R104" s="547" t="s">
        <v>592</v>
      </c>
      <c r="S104" s="546" t="e">
        <v>#VALUE!</v>
      </c>
      <c r="T104" s="657"/>
      <c r="U104" s="546" t="s">
        <v>592</v>
      </c>
      <c r="V104" s="547" t="s">
        <v>592</v>
      </c>
      <c r="W104" s="547" t="s">
        <v>592</v>
      </c>
      <c r="X104" s="547" t="e">
        <v>#VALUE!</v>
      </c>
      <c r="Y104" s="657"/>
      <c r="Z104" s="546" t="s">
        <v>592</v>
      </c>
      <c r="AA104" s="547" t="s">
        <v>592</v>
      </c>
      <c r="AB104" s="547" t="s">
        <v>592</v>
      </c>
      <c r="AC104" s="547" t="e">
        <v>#VALUE!</v>
      </c>
      <c r="AD104" s="657"/>
      <c r="AE104" s="546" t="s">
        <v>592</v>
      </c>
      <c r="AF104" s="547" t="s">
        <v>592</v>
      </c>
      <c r="AG104" s="547" t="s">
        <v>592</v>
      </c>
      <c r="AH104" s="547" t="e">
        <v>#VALUE!</v>
      </c>
      <c r="AI104" s="657"/>
      <c r="AJ104" s="546" t="s">
        <v>592</v>
      </c>
      <c r="AK104" s="547" t="s">
        <v>592</v>
      </c>
      <c r="AL104" s="547" t="s">
        <v>592</v>
      </c>
      <c r="AM104" s="547" t="e">
        <v>#VALUE!</v>
      </c>
      <c r="AN104" s="657"/>
      <c r="AO104" s="546" t="s">
        <v>592</v>
      </c>
      <c r="AP104" s="547" t="s">
        <v>592</v>
      </c>
      <c r="AQ104" s="547" t="s">
        <v>592</v>
      </c>
      <c r="AR104" s="547" t="e">
        <v>#VALUE!</v>
      </c>
      <c r="AS104" s="657"/>
      <c r="AT104" s="546" t="s">
        <v>592</v>
      </c>
      <c r="AU104" s="547" t="s">
        <v>592</v>
      </c>
      <c r="AV104" s="547" t="s">
        <v>592</v>
      </c>
      <c r="AW104" s="547" t="e">
        <v>#VALUE!</v>
      </c>
      <c r="AX104" s="657"/>
      <c r="AZ104" s="372" t="e">
        <f t="shared" si="18"/>
        <v>#N/A</v>
      </c>
      <c r="BA104" s="659"/>
    </row>
    <row r="105" spans="2:53">
      <c r="B105" s="646"/>
      <c r="C105" s="287">
        <v>29</v>
      </c>
      <c r="D105" s="201"/>
      <c r="E105" s="536"/>
      <c r="F105" s="201"/>
      <c r="G105" s="199"/>
      <c r="H105" s="682"/>
      <c r="I105" s="367" t="str">
        <f t="shared" si="15"/>
        <v>-</v>
      </c>
      <c r="J105" s="367" t="str">
        <f t="shared" si="16"/>
        <v>-</v>
      </c>
      <c r="K105" s="199" t="str">
        <f t="shared" si="17"/>
        <v>-</v>
      </c>
      <c r="L105" s="617"/>
      <c r="M105" s="200" t="e">
        <f>RANK(K105, K$77:$K$106)</f>
        <v>#VALUE!</v>
      </c>
      <c r="N105" s="635"/>
      <c r="O105" s="635"/>
      <c r="P105" s="546" t="s">
        <v>592</v>
      </c>
      <c r="Q105" s="547" t="s">
        <v>592</v>
      </c>
      <c r="R105" s="547" t="s">
        <v>592</v>
      </c>
      <c r="S105" s="546" t="e">
        <v>#VALUE!</v>
      </c>
      <c r="T105" s="657"/>
      <c r="U105" s="546" t="s">
        <v>592</v>
      </c>
      <c r="V105" s="547" t="s">
        <v>592</v>
      </c>
      <c r="W105" s="547" t="s">
        <v>592</v>
      </c>
      <c r="X105" s="547" t="e">
        <v>#VALUE!</v>
      </c>
      <c r="Y105" s="657"/>
      <c r="Z105" s="546" t="s">
        <v>592</v>
      </c>
      <c r="AA105" s="547" t="s">
        <v>592</v>
      </c>
      <c r="AB105" s="547" t="s">
        <v>592</v>
      </c>
      <c r="AC105" s="547" t="e">
        <v>#VALUE!</v>
      </c>
      <c r="AD105" s="657"/>
      <c r="AE105" s="546" t="s">
        <v>592</v>
      </c>
      <c r="AF105" s="547" t="s">
        <v>592</v>
      </c>
      <c r="AG105" s="547" t="s">
        <v>592</v>
      </c>
      <c r="AH105" s="547" t="e">
        <v>#VALUE!</v>
      </c>
      <c r="AI105" s="657"/>
      <c r="AJ105" s="546" t="s">
        <v>592</v>
      </c>
      <c r="AK105" s="547" t="s">
        <v>592</v>
      </c>
      <c r="AL105" s="547" t="s">
        <v>592</v>
      </c>
      <c r="AM105" s="547" t="e">
        <v>#VALUE!</v>
      </c>
      <c r="AN105" s="657"/>
      <c r="AO105" s="546" t="s">
        <v>592</v>
      </c>
      <c r="AP105" s="547" t="s">
        <v>592</v>
      </c>
      <c r="AQ105" s="547" t="s">
        <v>592</v>
      </c>
      <c r="AR105" s="547" t="e">
        <v>#VALUE!</v>
      </c>
      <c r="AS105" s="657"/>
      <c r="AT105" s="546" t="s">
        <v>592</v>
      </c>
      <c r="AU105" s="547" t="s">
        <v>592</v>
      </c>
      <c r="AV105" s="547" t="s">
        <v>592</v>
      </c>
      <c r="AW105" s="547" t="e">
        <v>#VALUE!</v>
      </c>
      <c r="AX105" s="657"/>
      <c r="AZ105" s="372" t="e">
        <f t="shared" si="18"/>
        <v>#N/A</v>
      </c>
      <c r="BA105" s="659"/>
    </row>
    <row r="106" spans="2:53">
      <c r="B106" s="646"/>
      <c r="C106" s="287">
        <v>30</v>
      </c>
      <c r="D106" s="201"/>
      <c r="E106" s="536"/>
      <c r="F106" s="201"/>
      <c r="G106" s="199"/>
      <c r="H106" s="683"/>
      <c r="I106" s="367" t="str">
        <f t="shared" si="15"/>
        <v>-</v>
      </c>
      <c r="J106" s="367" t="str">
        <f t="shared" si="16"/>
        <v>-</v>
      </c>
      <c r="K106" s="199" t="str">
        <f t="shared" si="17"/>
        <v>-</v>
      </c>
      <c r="L106" s="618"/>
      <c r="M106" s="200" t="e">
        <f>RANK(K106, K$77:$K$106)</f>
        <v>#VALUE!</v>
      </c>
      <c r="N106" s="635"/>
      <c r="O106" s="635"/>
      <c r="P106" s="546" t="s">
        <v>592</v>
      </c>
      <c r="Q106" s="547" t="s">
        <v>592</v>
      </c>
      <c r="R106" s="547" t="s">
        <v>592</v>
      </c>
      <c r="S106" s="546" t="e">
        <v>#VALUE!</v>
      </c>
      <c r="T106" s="657"/>
      <c r="U106" s="546" t="s">
        <v>592</v>
      </c>
      <c r="V106" s="547" t="s">
        <v>592</v>
      </c>
      <c r="W106" s="547" t="s">
        <v>592</v>
      </c>
      <c r="X106" s="547" t="e">
        <v>#VALUE!</v>
      </c>
      <c r="Y106" s="657"/>
      <c r="Z106" s="546" t="s">
        <v>592</v>
      </c>
      <c r="AA106" s="547" t="s">
        <v>592</v>
      </c>
      <c r="AB106" s="547" t="s">
        <v>592</v>
      </c>
      <c r="AC106" s="547" t="e">
        <v>#VALUE!</v>
      </c>
      <c r="AD106" s="657"/>
      <c r="AE106" s="546" t="s">
        <v>592</v>
      </c>
      <c r="AF106" s="547" t="s">
        <v>592</v>
      </c>
      <c r="AG106" s="547" t="s">
        <v>592</v>
      </c>
      <c r="AH106" s="547" t="e">
        <v>#VALUE!</v>
      </c>
      <c r="AI106" s="657"/>
      <c r="AJ106" s="546" t="s">
        <v>592</v>
      </c>
      <c r="AK106" s="547" t="s">
        <v>592</v>
      </c>
      <c r="AL106" s="547" t="s">
        <v>592</v>
      </c>
      <c r="AM106" s="547" t="e">
        <v>#VALUE!</v>
      </c>
      <c r="AN106" s="657"/>
      <c r="AO106" s="546" t="s">
        <v>592</v>
      </c>
      <c r="AP106" s="547" t="s">
        <v>592</v>
      </c>
      <c r="AQ106" s="547" t="s">
        <v>592</v>
      </c>
      <c r="AR106" s="547" t="e">
        <v>#VALUE!</v>
      </c>
      <c r="AS106" s="657"/>
      <c r="AT106" s="546" t="s">
        <v>592</v>
      </c>
      <c r="AU106" s="547" t="s">
        <v>592</v>
      </c>
      <c r="AV106" s="547" t="s">
        <v>592</v>
      </c>
      <c r="AW106" s="547" t="e">
        <v>#VALUE!</v>
      </c>
      <c r="AX106" s="657"/>
      <c r="AZ106" s="372" t="e">
        <f t="shared" si="18"/>
        <v>#N/A</v>
      </c>
      <c r="BA106" s="659"/>
    </row>
    <row r="107" spans="2:53" ht="15.75">
      <c r="B107" s="650" t="s">
        <v>162</v>
      </c>
      <c r="C107" s="651"/>
      <c r="D107" s="651"/>
      <c r="E107" s="651"/>
      <c r="F107" s="651"/>
      <c r="G107" s="651"/>
      <c r="H107" s="652"/>
      <c r="I107" s="207"/>
      <c r="J107" s="207"/>
      <c r="K107" s="207"/>
      <c r="L107" s="207"/>
      <c r="M107" s="206"/>
      <c r="N107" s="639" t="s">
        <v>156</v>
      </c>
      <c r="O107" s="639" t="s">
        <v>105</v>
      </c>
      <c r="P107" s="642">
        <f>P72+7</f>
        <v>46224</v>
      </c>
      <c r="Q107" s="643"/>
      <c r="R107" s="643"/>
      <c r="S107" s="643"/>
      <c r="T107" s="644"/>
      <c r="U107" s="642">
        <f>P107+1</f>
        <v>46225</v>
      </c>
      <c r="V107" s="643"/>
      <c r="W107" s="643"/>
      <c r="X107" s="643"/>
      <c r="Y107" s="644"/>
      <c r="Z107" s="642">
        <f>U107+1</f>
        <v>46226</v>
      </c>
      <c r="AA107" s="643"/>
      <c r="AB107" s="643"/>
      <c r="AC107" s="643"/>
      <c r="AD107" s="644"/>
      <c r="AE107" s="642">
        <f>Z107+1</f>
        <v>46227</v>
      </c>
      <c r="AF107" s="643"/>
      <c r="AG107" s="643"/>
      <c r="AH107" s="643"/>
      <c r="AI107" s="644"/>
      <c r="AJ107" s="642">
        <f>AE107+1</f>
        <v>46228</v>
      </c>
      <c r="AK107" s="643"/>
      <c r="AL107" s="643"/>
      <c r="AM107" s="643"/>
      <c r="AN107" s="644"/>
      <c r="AO107" s="642">
        <f>AJ107+1</f>
        <v>46229</v>
      </c>
      <c r="AP107" s="643"/>
      <c r="AQ107" s="643"/>
      <c r="AR107" s="643"/>
      <c r="AS107" s="644"/>
      <c r="AT107" s="642">
        <f>AO107+1</f>
        <v>46230</v>
      </c>
      <c r="AU107" s="643"/>
      <c r="AV107" s="643"/>
      <c r="AW107" s="643"/>
      <c r="AX107" s="644"/>
    </row>
    <row r="108" spans="2:53" ht="15.75">
      <c r="B108" s="653"/>
      <c r="C108" s="653"/>
      <c r="D108" s="653"/>
      <c r="E108" s="653"/>
      <c r="F108" s="653"/>
      <c r="G108" s="653"/>
      <c r="H108" s="653"/>
      <c r="I108" s="204"/>
      <c r="J108" s="204"/>
      <c r="K108" s="204"/>
      <c r="L108" s="204"/>
      <c r="M108" s="205"/>
      <c r="N108" s="641"/>
      <c r="O108" s="641"/>
      <c r="P108" s="642" t="s">
        <v>317</v>
      </c>
      <c r="Q108" s="643"/>
      <c r="R108" s="643"/>
      <c r="S108" s="643"/>
      <c r="T108" s="644"/>
      <c r="U108" s="642" t="s">
        <v>318</v>
      </c>
      <c r="V108" s="643"/>
      <c r="W108" s="643"/>
      <c r="X108" s="643"/>
      <c r="Y108" s="644"/>
      <c r="Z108" s="642" t="s">
        <v>319</v>
      </c>
      <c r="AA108" s="643"/>
      <c r="AB108" s="643"/>
      <c r="AC108" s="643"/>
      <c r="AD108" s="644"/>
      <c r="AE108" s="642" t="s">
        <v>320</v>
      </c>
      <c r="AF108" s="643"/>
      <c r="AG108" s="643"/>
      <c r="AH108" s="643"/>
      <c r="AI108" s="644"/>
      <c r="AJ108" s="642" t="s">
        <v>321</v>
      </c>
      <c r="AK108" s="643"/>
      <c r="AL108" s="643"/>
      <c r="AM108" s="643"/>
      <c r="AN108" s="644"/>
      <c r="AO108" s="642" t="s">
        <v>322</v>
      </c>
      <c r="AP108" s="643"/>
      <c r="AQ108" s="643"/>
      <c r="AR108" s="643"/>
      <c r="AS108" s="644"/>
      <c r="AT108" s="642" t="s">
        <v>323</v>
      </c>
      <c r="AU108" s="643"/>
      <c r="AV108" s="643"/>
      <c r="AW108" s="643"/>
      <c r="AX108" s="644"/>
    </row>
    <row r="109" spans="2:53">
      <c r="B109" s="635" t="s">
        <v>410</v>
      </c>
      <c r="C109" s="635" t="s">
        <v>411</v>
      </c>
      <c r="D109" s="635"/>
      <c r="E109" s="635" t="s">
        <v>412</v>
      </c>
      <c r="F109" s="635"/>
      <c r="G109" s="635"/>
      <c r="H109" s="636" t="s">
        <v>413</v>
      </c>
      <c r="I109" s="619" t="s">
        <v>414</v>
      </c>
      <c r="J109" s="619"/>
      <c r="K109" s="619"/>
      <c r="L109" s="620" t="s">
        <v>413</v>
      </c>
      <c r="M109" s="626" t="s">
        <v>415</v>
      </c>
      <c r="N109" s="635"/>
      <c r="O109" s="635" t="s">
        <v>416</v>
      </c>
      <c r="P109" s="632" t="s">
        <v>417</v>
      </c>
      <c r="Q109" s="633"/>
      <c r="R109" s="633"/>
      <c r="S109" s="634"/>
      <c r="T109" s="639" t="s">
        <v>413</v>
      </c>
      <c r="U109" s="632" t="s">
        <v>417</v>
      </c>
      <c r="V109" s="633"/>
      <c r="W109" s="633"/>
      <c r="X109" s="634"/>
      <c r="Y109" s="639" t="s">
        <v>413</v>
      </c>
      <c r="Z109" s="632" t="s">
        <v>417</v>
      </c>
      <c r="AA109" s="633"/>
      <c r="AB109" s="633"/>
      <c r="AC109" s="634"/>
      <c r="AD109" s="639" t="s">
        <v>413</v>
      </c>
      <c r="AE109" s="632" t="s">
        <v>417</v>
      </c>
      <c r="AF109" s="633"/>
      <c r="AG109" s="633"/>
      <c r="AH109" s="634"/>
      <c r="AI109" s="639" t="s">
        <v>413</v>
      </c>
      <c r="AJ109" s="632" t="s">
        <v>417</v>
      </c>
      <c r="AK109" s="633"/>
      <c r="AL109" s="633"/>
      <c r="AM109" s="634"/>
      <c r="AN109" s="639" t="s">
        <v>413</v>
      </c>
      <c r="AO109" s="632" t="s">
        <v>417</v>
      </c>
      <c r="AP109" s="633"/>
      <c r="AQ109" s="633"/>
      <c r="AR109" s="634"/>
      <c r="AS109" s="639" t="s">
        <v>413</v>
      </c>
      <c r="AT109" s="632" t="s">
        <v>417</v>
      </c>
      <c r="AU109" s="633"/>
      <c r="AV109" s="633"/>
      <c r="AW109" s="634"/>
      <c r="AX109" s="635" t="s">
        <v>413</v>
      </c>
      <c r="BA109" s="635" t="s">
        <v>369</v>
      </c>
    </row>
    <row r="110" spans="2:53">
      <c r="B110" s="635"/>
      <c r="C110" s="635"/>
      <c r="D110" s="635"/>
      <c r="E110" s="635" t="s">
        <v>418</v>
      </c>
      <c r="F110" s="635"/>
      <c r="G110" s="635"/>
      <c r="H110" s="637"/>
      <c r="I110" s="619" t="s">
        <v>418</v>
      </c>
      <c r="J110" s="619"/>
      <c r="K110" s="619"/>
      <c r="L110" s="621"/>
      <c r="M110" s="627"/>
      <c r="N110" s="635"/>
      <c r="O110" s="635"/>
      <c r="P110" s="632" t="s">
        <v>419</v>
      </c>
      <c r="Q110" s="633"/>
      <c r="R110" s="633"/>
      <c r="S110" s="634"/>
      <c r="T110" s="640"/>
      <c r="U110" s="632" t="s">
        <v>419</v>
      </c>
      <c r="V110" s="633"/>
      <c r="W110" s="633"/>
      <c r="X110" s="634"/>
      <c r="Y110" s="640"/>
      <c r="Z110" s="632" t="s">
        <v>419</v>
      </c>
      <c r="AA110" s="633"/>
      <c r="AB110" s="633"/>
      <c r="AC110" s="634"/>
      <c r="AD110" s="640"/>
      <c r="AE110" s="632" t="s">
        <v>419</v>
      </c>
      <c r="AF110" s="633"/>
      <c r="AG110" s="633"/>
      <c r="AH110" s="634"/>
      <c r="AI110" s="640"/>
      <c r="AJ110" s="632" t="s">
        <v>419</v>
      </c>
      <c r="AK110" s="633"/>
      <c r="AL110" s="633"/>
      <c r="AM110" s="634"/>
      <c r="AN110" s="640"/>
      <c r="AO110" s="632" t="s">
        <v>419</v>
      </c>
      <c r="AP110" s="633"/>
      <c r="AQ110" s="633"/>
      <c r="AR110" s="634"/>
      <c r="AS110" s="640"/>
      <c r="AT110" s="632" t="s">
        <v>419</v>
      </c>
      <c r="AU110" s="633"/>
      <c r="AV110" s="633"/>
      <c r="AW110" s="634"/>
      <c r="AX110" s="635"/>
      <c r="BA110" s="635"/>
    </row>
    <row r="111" spans="2:53">
      <c r="B111" s="635"/>
      <c r="C111" s="635"/>
      <c r="D111" s="635"/>
      <c r="E111" s="286" t="s">
        <v>420</v>
      </c>
      <c r="F111" s="286" t="s">
        <v>421</v>
      </c>
      <c r="G111" s="286" t="s">
        <v>422</v>
      </c>
      <c r="H111" s="638"/>
      <c r="I111" s="285" t="s">
        <v>420</v>
      </c>
      <c r="J111" s="285" t="s">
        <v>421</v>
      </c>
      <c r="K111" s="285" t="s">
        <v>422</v>
      </c>
      <c r="L111" s="622"/>
      <c r="M111" s="628"/>
      <c r="N111" s="635"/>
      <c r="O111" s="635"/>
      <c r="P111" s="480" t="s">
        <v>420</v>
      </c>
      <c r="Q111" s="480" t="s">
        <v>421</v>
      </c>
      <c r="R111" s="480" t="s">
        <v>422</v>
      </c>
      <c r="S111" s="480" t="s">
        <v>415</v>
      </c>
      <c r="T111" s="641"/>
      <c r="U111" s="480" t="s">
        <v>420</v>
      </c>
      <c r="V111" s="480" t="s">
        <v>421</v>
      </c>
      <c r="W111" s="480" t="s">
        <v>422</v>
      </c>
      <c r="X111" s="480" t="s">
        <v>415</v>
      </c>
      <c r="Y111" s="641"/>
      <c r="Z111" s="480" t="s">
        <v>420</v>
      </c>
      <c r="AA111" s="480" t="s">
        <v>421</v>
      </c>
      <c r="AB111" s="480" t="s">
        <v>422</v>
      </c>
      <c r="AC111" s="480" t="s">
        <v>415</v>
      </c>
      <c r="AD111" s="641"/>
      <c r="AE111" s="480" t="s">
        <v>420</v>
      </c>
      <c r="AF111" s="480" t="s">
        <v>421</v>
      </c>
      <c r="AG111" s="480" t="s">
        <v>422</v>
      </c>
      <c r="AH111" s="480" t="s">
        <v>415</v>
      </c>
      <c r="AI111" s="641"/>
      <c r="AJ111" s="480" t="s">
        <v>420</v>
      </c>
      <c r="AK111" s="480" t="s">
        <v>421</v>
      </c>
      <c r="AL111" s="480" t="s">
        <v>422</v>
      </c>
      <c r="AM111" s="480" t="s">
        <v>415</v>
      </c>
      <c r="AN111" s="641"/>
      <c r="AO111" s="480" t="s">
        <v>420</v>
      </c>
      <c r="AP111" s="480" t="s">
        <v>421</v>
      </c>
      <c r="AQ111" s="480" t="s">
        <v>422</v>
      </c>
      <c r="AR111" s="480" t="s">
        <v>415</v>
      </c>
      <c r="AS111" s="641"/>
      <c r="AT111" s="286" t="s">
        <v>420</v>
      </c>
      <c r="AU111" s="286" t="s">
        <v>421</v>
      </c>
      <c r="AV111" s="286" t="s">
        <v>422</v>
      </c>
      <c r="AW111" s="286" t="s">
        <v>415</v>
      </c>
      <c r="AX111" s="635"/>
      <c r="AZ111" s="371" t="s">
        <v>370</v>
      </c>
      <c r="BA111" s="635"/>
    </row>
    <row r="112" spans="2:53">
      <c r="B112" s="635" t="s">
        <v>423</v>
      </c>
      <c r="C112" s="287">
        <v>1</v>
      </c>
      <c r="D112" s="201" t="s">
        <v>343</v>
      </c>
      <c r="E112" s="536">
        <v>6</v>
      </c>
      <c r="F112" s="201">
        <v>1500</v>
      </c>
      <c r="G112" s="199">
        <v>250</v>
      </c>
      <c r="H112" s="681">
        <f>AVERAGE(G112:G141)</f>
        <v>100.51696400416888</v>
      </c>
      <c r="I112" s="367">
        <f>IFERROR(AVERAGE(P112,U112,Z112,AE112,AJ112,AO112,AT112),"-")</f>
        <v>6</v>
      </c>
      <c r="J112" s="367">
        <f>IFERROR(AVERAGE(Q112,V112,AA112,AF112,AK112,AP112,AU112),"-")</f>
        <v>1422.121488535488</v>
      </c>
      <c r="K112" s="199">
        <f>IFERROR(AVERAGE(R112,W112,AB112,AG112,AL112,AQ112,AV112),"-")</f>
        <v>237.02024808924804</v>
      </c>
      <c r="L112" s="616">
        <f>IFERROR(AVERAGE(K112:K141),"-")</f>
        <v>89.660550318931215</v>
      </c>
      <c r="M112" s="200">
        <f>RANK(K112, K$112:$K$141)</f>
        <v>2</v>
      </c>
      <c r="N112" s="635"/>
      <c r="O112" s="635"/>
      <c r="P112" s="555">
        <v>6</v>
      </c>
      <c r="Q112" s="556">
        <v>1417.716666666666</v>
      </c>
      <c r="R112" s="556">
        <v>236.28611111111101</v>
      </c>
      <c r="S112" s="555">
        <f>RANK(R112, R$112:R$141)</f>
        <v>2</v>
      </c>
      <c r="T112" s="659">
        <f>AVERAGE(R112:R141)</f>
        <v>89.504941431011176</v>
      </c>
      <c r="U112" s="555">
        <v>6</v>
      </c>
      <c r="V112" s="556">
        <v>1425.9567567567565</v>
      </c>
      <c r="W112" s="556">
        <v>237.65945945945941</v>
      </c>
      <c r="X112" s="555">
        <f>RANK(W112, W$112:W$141)</f>
        <v>1</v>
      </c>
      <c r="Y112" s="659">
        <f>AVERAGE(W112:W141)</f>
        <v>89.724521287685164</v>
      </c>
      <c r="Z112" s="555">
        <v>6</v>
      </c>
      <c r="AA112" s="556">
        <v>1418.5322834645676</v>
      </c>
      <c r="AB112" s="556">
        <v>236.42204724409461</v>
      </c>
      <c r="AC112" s="555">
        <f>RANK(AB112, AB$112:AB$141)</f>
        <v>2</v>
      </c>
      <c r="AD112" s="659">
        <f>AVERAGE(AB112:AB141)</f>
        <v>89.118826197050851</v>
      </c>
      <c r="AE112" s="555">
        <v>6</v>
      </c>
      <c r="AF112" s="556">
        <v>1429.6780487804874</v>
      </c>
      <c r="AG112" s="556">
        <v>238.27967479674791</v>
      </c>
      <c r="AH112" s="555">
        <f>RANK(AG112, AG$112:AG$141)</f>
        <v>2</v>
      </c>
      <c r="AI112" s="659">
        <f>AVERAGE(AG112:AG141)</f>
        <v>90.075654089503246</v>
      </c>
      <c r="AJ112" s="555">
        <v>6</v>
      </c>
      <c r="AK112" s="556">
        <v>1435.4440677966102</v>
      </c>
      <c r="AL112" s="556">
        <v>239.24067796610169</v>
      </c>
      <c r="AM112" s="555">
        <f>RANK(AL112, AL$112:AL$141)</f>
        <v>2</v>
      </c>
      <c r="AN112" s="659">
        <f>AVERAGE(AL112:AL141)</f>
        <v>89.863370842628896</v>
      </c>
      <c r="AO112" s="555">
        <v>6</v>
      </c>
      <c r="AP112" s="556">
        <v>1403.7949367088609</v>
      </c>
      <c r="AQ112" s="556">
        <v>233.96582278481014</v>
      </c>
      <c r="AR112" s="555">
        <f>RANK(AQ112, AQ$112:AQ$141)</f>
        <v>2</v>
      </c>
      <c r="AS112" s="659">
        <f>AVERAGE(AQ112:AQ141)</f>
        <v>90.322378480716338</v>
      </c>
      <c r="AT112" s="555">
        <v>6</v>
      </c>
      <c r="AU112" s="556">
        <v>1423.7276595744684</v>
      </c>
      <c r="AV112" s="556">
        <v>237.2879432624114</v>
      </c>
      <c r="AW112" s="555">
        <f>RANK(AV112, AV$112:AV$141)</f>
        <v>1</v>
      </c>
      <c r="AX112" s="659">
        <f>AVERAGE(AV112:AV141)</f>
        <v>89.014159903922803</v>
      </c>
      <c r="AZ112" s="372" t="e">
        <f>RANK(AY112, AY$112:AY$141)</f>
        <v>#N/A</v>
      </c>
      <c r="BA112" s="659" t="e">
        <f>AVERAGE(AY112:AY141)</f>
        <v>#DIV/0!</v>
      </c>
    </row>
    <row r="113" spans="2:53">
      <c r="B113" s="646"/>
      <c r="C113" s="287">
        <v>2</v>
      </c>
      <c r="D113" s="201" t="s">
        <v>593</v>
      </c>
      <c r="E113" s="536">
        <v>6</v>
      </c>
      <c r="F113" s="201">
        <v>1636</v>
      </c>
      <c r="G113" s="199">
        <v>272.66666666666669</v>
      </c>
      <c r="H113" s="682"/>
      <c r="I113" s="367">
        <f t="shared" ref="I113:I141" si="19">IFERROR(AVERAGE(P113,U113,Z113,AE113,AJ113,AO113,AT113),"-")</f>
        <v>6</v>
      </c>
      <c r="J113" s="367">
        <f t="shared" ref="J113:J141" si="20">IFERROR(AVERAGE(Q113,V113,AA113,AF113,AK113,AP113,AU113),"-")</f>
        <v>1427.4451843284571</v>
      </c>
      <c r="K113" s="199">
        <f t="shared" ref="K113:K141" si="21">IFERROR(AVERAGE(R113,W113,AB113,AG113,AL113,AQ113,AV113),"-")</f>
        <v>237.90753072140953</v>
      </c>
      <c r="L113" s="617"/>
      <c r="M113" s="200">
        <f>RANK(K113, K$112:$K$141)</f>
        <v>1</v>
      </c>
      <c r="N113" s="635"/>
      <c r="O113" s="635"/>
      <c r="P113" s="555">
        <v>6</v>
      </c>
      <c r="Q113" s="556">
        <v>1428.1690140845074</v>
      </c>
      <c r="R113" s="556">
        <v>238.02816901408457</v>
      </c>
      <c r="S113" s="555">
        <f t="shared" ref="S113:S141" si="22">RANK(R113, R$112:R$141)</f>
        <v>1</v>
      </c>
      <c r="T113" s="659"/>
      <c r="U113" s="555">
        <v>6</v>
      </c>
      <c r="V113" s="556">
        <v>1416.8571428571431</v>
      </c>
      <c r="W113" s="556">
        <v>236.1428571428572</v>
      </c>
      <c r="X113" s="555">
        <f t="shared" ref="X113:X141" si="23">RANK(W113, W$112:W$141)</f>
        <v>2</v>
      </c>
      <c r="Y113" s="659"/>
      <c r="Z113" s="555">
        <v>6</v>
      </c>
      <c r="AA113" s="556">
        <v>1442.4657534246578</v>
      </c>
      <c r="AB113" s="556">
        <v>240.41095890410963</v>
      </c>
      <c r="AC113" s="555">
        <f t="shared" ref="AC113:AC141" si="24">RANK(AB113, AB$112:AB$141)</f>
        <v>1</v>
      </c>
      <c r="AD113" s="659"/>
      <c r="AE113" s="555">
        <v>6</v>
      </c>
      <c r="AF113" s="556">
        <v>1443.2142857142869</v>
      </c>
      <c r="AG113" s="556">
        <v>240.53571428571448</v>
      </c>
      <c r="AH113" s="555">
        <f t="shared" ref="AH113:AH141" si="25">RANK(AG113, AG$112:AG$141)</f>
        <v>1</v>
      </c>
      <c r="AI113" s="659"/>
      <c r="AJ113" s="555">
        <v>6</v>
      </c>
      <c r="AK113" s="556">
        <v>1447.6595744680853</v>
      </c>
      <c r="AL113" s="556">
        <v>241.27659574468089</v>
      </c>
      <c r="AM113" s="555">
        <f t="shared" ref="AM113:AM141" si="26">RANK(AL113, AL$112:AL$141)</f>
        <v>1</v>
      </c>
      <c r="AN113" s="659"/>
      <c r="AO113" s="555">
        <v>6</v>
      </c>
      <c r="AP113" s="556">
        <v>1408.6153846153843</v>
      </c>
      <c r="AQ113" s="556">
        <v>234.76923076923072</v>
      </c>
      <c r="AR113" s="555">
        <f t="shared" ref="AR113:AR141" si="27">RANK(AQ113, AQ$112:AQ$141)</f>
        <v>1</v>
      </c>
      <c r="AS113" s="659"/>
      <c r="AT113" s="555">
        <v>6</v>
      </c>
      <c r="AU113" s="556">
        <v>1405.1351351351357</v>
      </c>
      <c r="AV113" s="556">
        <v>234.18918918918928</v>
      </c>
      <c r="AW113" s="555">
        <f t="shared" ref="AW113:AW141" si="28">RANK(AV113, AV$112:AV$141)</f>
        <v>2</v>
      </c>
      <c r="AX113" s="659"/>
      <c r="AZ113" s="372" t="e">
        <f t="shared" ref="AZ113:AZ141" si="29">RANK(AY113, AY$112:AY$141)</f>
        <v>#N/A</v>
      </c>
      <c r="BA113" s="659"/>
    </row>
    <row r="114" spans="2:53">
      <c r="B114" s="646"/>
      <c r="C114" s="287">
        <v>3</v>
      </c>
      <c r="D114" s="201" t="s">
        <v>584</v>
      </c>
      <c r="E114" s="536">
        <v>16</v>
      </c>
      <c r="F114" s="201">
        <v>1500</v>
      </c>
      <c r="G114" s="199">
        <v>93.75</v>
      </c>
      <c r="H114" s="682"/>
      <c r="I114" s="367">
        <f t="shared" si="19"/>
        <v>16.571428571428573</v>
      </c>
      <c r="J114" s="367">
        <f t="shared" si="20"/>
        <v>1394.0545437584894</v>
      </c>
      <c r="K114" s="199">
        <f t="shared" si="21"/>
        <v>84.209421055057561</v>
      </c>
      <c r="L114" s="617"/>
      <c r="M114" s="200">
        <f>RANK(K114, K$112:$K$141)</f>
        <v>8</v>
      </c>
      <c r="N114" s="635"/>
      <c r="O114" s="635"/>
      <c r="P114" s="555">
        <v>16</v>
      </c>
      <c r="Q114" s="556">
        <v>1405.7954545454545</v>
      </c>
      <c r="R114" s="556">
        <v>87.862215909090907</v>
      </c>
      <c r="S114" s="555">
        <f t="shared" si="22"/>
        <v>3</v>
      </c>
      <c r="T114" s="659"/>
      <c r="U114" s="555">
        <v>17</v>
      </c>
      <c r="V114" s="556">
        <v>1377.3073170731702</v>
      </c>
      <c r="W114" s="556">
        <v>81.018077474892365</v>
      </c>
      <c r="X114" s="555">
        <f t="shared" si="23"/>
        <v>9</v>
      </c>
      <c r="Y114" s="659"/>
      <c r="Z114" s="555">
        <v>17</v>
      </c>
      <c r="AA114" s="556">
        <v>1372.5000000000009</v>
      </c>
      <c r="AB114" s="556">
        <v>80.735294117647115</v>
      </c>
      <c r="AC114" s="555">
        <f t="shared" si="24"/>
        <v>9</v>
      </c>
      <c r="AD114" s="659"/>
      <c r="AE114" s="555">
        <v>16</v>
      </c>
      <c r="AF114" s="556">
        <v>1409.3333333333333</v>
      </c>
      <c r="AG114" s="556">
        <v>88.083333333333329</v>
      </c>
      <c r="AH114" s="555">
        <f t="shared" si="25"/>
        <v>4</v>
      </c>
      <c r="AI114" s="659"/>
      <c r="AJ114" s="555">
        <v>17</v>
      </c>
      <c r="AK114" s="556">
        <v>1413.1764705882349</v>
      </c>
      <c r="AL114" s="556">
        <v>83.128027681660882</v>
      </c>
      <c r="AM114" s="555">
        <f t="shared" si="26"/>
        <v>8</v>
      </c>
      <c r="AN114" s="659"/>
      <c r="AO114" s="555">
        <v>16</v>
      </c>
      <c r="AP114" s="556">
        <v>1385.5000000000005</v>
      </c>
      <c r="AQ114" s="556">
        <v>86.593750000000028</v>
      </c>
      <c r="AR114" s="555">
        <f t="shared" si="27"/>
        <v>5</v>
      </c>
      <c r="AS114" s="659"/>
      <c r="AT114" s="555">
        <v>17</v>
      </c>
      <c r="AU114" s="556">
        <v>1394.7692307692316</v>
      </c>
      <c r="AV114" s="556">
        <v>82.04524886877833</v>
      </c>
      <c r="AW114" s="555">
        <f t="shared" si="28"/>
        <v>9</v>
      </c>
      <c r="AX114" s="659"/>
      <c r="AZ114" s="372" t="e">
        <f t="shared" si="29"/>
        <v>#N/A</v>
      </c>
      <c r="BA114" s="659"/>
    </row>
    <row r="115" spans="2:53">
      <c r="B115" s="646"/>
      <c r="C115" s="287">
        <v>4</v>
      </c>
      <c r="D115" s="201" t="s">
        <v>553</v>
      </c>
      <c r="E115" s="536">
        <v>18</v>
      </c>
      <c r="F115" s="201">
        <v>1500</v>
      </c>
      <c r="G115" s="199">
        <v>83.333333333333329</v>
      </c>
      <c r="H115" s="682"/>
      <c r="I115" s="367">
        <f t="shared" si="19"/>
        <v>18</v>
      </c>
      <c r="J115" s="367">
        <f t="shared" si="20"/>
        <v>1317.6248436656886</v>
      </c>
      <c r="K115" s="199">
        <f t="shared" si="21"/>
        <v>73.201380203649379</v>
      </c>
      <c r="L115" s="617"/>
      <c r="M115" s="200">
        <f>RANK(K115, K$112:$K$141)</f>
        <v>17</v>
      </c>
      <c r="N115" s="635"/>
      <c r="O115" s="635"/>
      <c r="P115" s="555">
        <v>18</v>
      </c>
      <c r="Q115" s="556">
        <v>1290</v>
      </c>
      <c r="R115" s="556">
        <v>71.666666666666671</v>
      </c>
      <c r="S115" s="555">
        <f t="shared" si="22"/>
        <v>17</v>
      </c>
      <c r="T115" s="659"/>
      <c r="U115" s="555">
        <v>18</v>
      </c>
      <c r="V115" s="556">
        <v>1334.6341463414628</v>
      </c>
      <c r="W115" s="556">
        <v>74.146341463414601</v>
      </c>
      <c r="X115" s="555">
        <f t="shared" si="23"/>
        <v>17</v>
      </c>
      <c r="Y115" s="659"/>
      <c r="Z115" s="555">
        <v>18</v>
      </c>
      <c r="AA115" s="556">
        <v>1310.9999999999995</v>
      </c>
      <c r="AB115" s="556">
        <v>72.833333333333314</v>
      </c>
      <c r="AC115" s="555">
        <f t="shared" si="24"/>
        <v>16</v>
      </c>
      <c r="AD115" s="659"/>
      <c r="AE115" s="555">
        <v>18</v>
      </c>
      <c r="AF115" s="556">
        <v>1331.9999999999986</v>
      </c>
      <c r="AG115" s="556">
        <v>73.999999999999929</v>
      </c>
      <c r="AH115" s="555">
        <f t="shared" si="25"/>
        <v>16</v>
      </c>
      <c r="AI115" s="659"/>
      <c r="AJ115" s="555">
        <v>18</v>
      </c>
      <c r="AK115" s="556">
        <v>1327.0588235294101</v>
      </c>
      <c r="AL115" s="556">
        <v>73.72549019607834</v>
      </c>
      <c r="AM115" s="555">
        <f t="shared" si="26"/>
        <v>16</v>
      </c>
      <c r="AN115" s="659"/>
      <c r="AO115" s="555">
        <v>18</v>
      </c>
      <c r="AP115" s="556">
        <v>1333.1707317073167</v>
      </c>
      <c r="AQ115" s="556">
        <v>74.065040650406488</v>
      </c>
      <c r="AR115" s="555">
        <f t="shared" si="27"/>
        <v>17</v>
      </c>
      <c r="AS115" s="659"/>
      <c r="AT115" s="555">
        <v>18</v>
      </c>
      <c r="AU115" s="556">
        <v>1295.5102040816332</v>
      </c>
      <c r="AV115" s="556">
        <v>71.972789115646293</v>
      </c>
      <c r="AW115" s="555">
        <f t="shared" si="28"/>
        <v>16</v>
      </c>
      <c r="AX115" s="659"/>
      <c r="AZ115" s="372" t="e">
        <f t="shared" si="29"/>
        <v>#N/A</v>
      </c>
      <c r="BA115" s="659"/>
    </row>
    <row r="116" spans="2:53">
      <c r="B116" s="646"/>
      <c r="C116" s="287">
        <v>5</v>
      </c>
      <c r="D116" s="201" t="s">
        <v>345</v>
      </c>
      <c r="E116" s="536">
        <v>16</v>
      </c>
      <c r="F116" s="201">
        <v>1565</v>
      </c>
      <c r="G116" s="199">
        <v>97.8125</v>
      </c>
      <c r="H116" s="682"/>
      <c r="I116" s="367">
        <f t="shared" si="19"/>
        <v>16</v>
      </c>
      <c r="J116" s="367">
        <f t="shared" si="20"/>
        <v>1370.6423927641797</v>
      </c>
      <c r="K116" s="199">
        <f t="shared" si="21"/>
        <v>85.665149547761231</v>
      </c>
      <c r="L116" s="617"/>
      <c r="M116" s="200">
        <f>RANK(K116, K$112:$K$141)</f>
        <v>5</v>
      </c>
      <c r="N116" s="635"/>
      <c r="O116" s="635"/>
      <c r="P116" s="555">
        <v>16</v>
      </c>
      <c r="Q116" s="556">
        <v>1356.5517241379321</v>
      </c>
      <c r="R116" s="556">
        <v>84.784482758620754</v>
      </c>
      <c r="S116" s="555">
        <f t="shared" si="22"/>
        <v>7</v>
      </c>
      <c r="T116" s="659"/>
      <c r="U116" s="555">
        <v>16</v>
      </c>
      <c r="V116" s="556">
        <v>1383.0000000000007</v>
      </c>
      <c r="W116" s="556">
        <v>86.437500000000043</v>
      </c>
      <c r="X116" s="555">
        <f t="shared" si="23"/>
        <v>5</v>
      </c>
      <c r="Y116" s="659"/>
      <c r="Z116" s="555">
        <v>16</v>
      </c>
      <c r="AA116" s="556">
        <v>1367.3684210526308</v>
      </c>
      <c r="AB116" s="556">
        <v>85.460526315789423</v>
      </c>
      <c r="AC116" s="555">
        <f t="shared" si="24"/>
        <v>6</v>
      </c>
      <c r="AD116" s="659"/>
      <c r="AE116" s="555">
        <v>16</v>
      </c>
      <c r="AF116" s="556">
        <v>1357.0000000000014</v>
      </c>
      <c r="AG116" s="556">
        <v>84.812500000000085</v>
      </c>
      <c r="AH116" s="555">
        <f t="shared" si="25"/>
        <v>7</v>
      </c>
      <c r="AI116" s="659"/>
      <c r="AJ116" s="555">
        <v>16</v>
      </c>
      <c r="AK116" s="556">
        <v>1370.149253731345</v>
      </c>
      <c r="AL116" s="556">
        <v>85.634328358209061</v>
      </c>
      <c r="AM116" s="555">
        <f t="shared" si="26"/>
        <v>5</v>
      </c>
      <c r="AN116" s="659"/>
      <c r="AO116" s="555">
        <v>16</v>
      </c>
      <c r="AP116" s="556">
        <v>1371.5384615384608</v>
      </c>
      <c r="AQ116" s="556">
        <v>85.721153846153797</v>
      </c>
      <c r="AR116" s="555">
        <f t="shared" si="27"/>
        <v>6</v>
      </c>
      <c r="AS116" s="659"/>
      <c r="AT116" s="555">
        <v>16</v>
      </c>
      <c r="AU116" s="556">
        <v>1388.8888888888885</v>
      </c>
      <c r="AV116" s="556">
        <v>86.805555555555529</v>
      </c>
      <c r="AW116" s="555">
        <f t="shared" si="28"/>
        <v>4</v>
      </c>
      <c r="AX116" s="659"/>
      <c r="AZ116" s="372" t="e">
        <f t="shared" si="29"/>
        <v>#N/A</v>
      </c>
      <c r="BA116" s="659"/>
    </row>
    <row r="117" spans="2:53">
      <c r="B117" s="646"/>
      <c r="C117" s="287">
        <v>6</v>
      </c>
      <c r="D117" s="201" t="s">
        <v>639</v>
      </c>
      <c r="E117" s="536">
        <v>20</v>
      </c>
      <c r="F117" s="201">
        <v>1440</v>
      </c>
      <c r="G117" s="199">
        <v>72</v>
      </c>
      <c r="H117" s="682"/>
      <c r="I117" s="367">
        <f t="shared" si="19"/>
        <v>20.142857142857142</v>
      </c>
      <c r="J117" s="367">
        <f t="shared" si="20"/>
        <v>1247.8136375269205</v>
      </c>
      <c r="K117" s="199">
        <f t="shared" si="21"/>
        <v>61.962110447774592</v>
      </c>
      <c r="L117" s="617"/>
      <c r="M117" s="200">
        <f>RANK(K117, K$112:$K$141)</f>
        <v>23</v>
      </c>
      <c r="N117" s="635"/>
      <c r="O117" s="635"/>
      <c r="P117" s="555">
        <v>20</v>
      </c>
      <c r="Q117" s="556">
        <v>1261.7391304347811</v>
      </c>
      <c r="R117" s="556">
        <v>63.086956521739054</v>
      </c>
      <c r="S117" s="555">
        <f t="shared" si="22"/>
        <v>23</v>
      </c>
      <c r="T117" s="659"/>
      <c r="U117" s="555">
        <v>20</v>
      </c>
      <c r="V117" s="556">
        <v>1253.7313432835838</v>
      </c>
      <c r="W117" s="556">
        <v>62.686567164179188</v>
      </c>
      <c r="X117" s="555">
        <f t="shared" si="23"/>
        <v>23</v>
      </c>
      <c r="Y117" s="659"/>
      <c r="Z117" s="555">
        <v>21</v>
      </c>
      <c r="AA117" s="556">
        <v>1260.0000000000016</v>
      </c>
      <c r="AB117" s="556">
        <v>60.000000000000078</v>
      </c>
      <c r="AC117" s="555">
        <f t="shared" si="24"/>
        <v>23</v>
      </c>
      <c r="AD117" s="659"/>
      <c r="AE117" s="555">
        <v>20</v>
      </c>
      <c r="AF117" s="556">
        <v>1261.0526315789482</v>
      </c>
      <c r="AG117" s="556">
        <v>63.052631578947413</v>
      </c>
      <c r="AH117" s="555">
        <f t="shared" si="25"/>
        <v>23</v>
      </c>
      <c r="AI117" s="659"/>
      <c r="AJ117" s="555">
        <v>20</v>
      </c>
      <c r="AK117" s="556">
        <v>1151.0000000000043</v>
      </c>
      <c r="AL117" s="556">
        <v>57.550000000000217</v>
      </c>
      <c r="AM117" s="555">
        <f t="shared" si="26"/>
        <v>24</v>
      </c>
      <c r="AN117" s="659"/>
      <c r="AO117" s="555">
        <v>20</v>
      </c>
      <c r="AP117" s="556">
        <v>1280.5970149253717</v>
      </c>
      <c r="AQ117" s="556">
        <v>64.029850746268579</v>
      </c>
      <c r="AR117" s="555">
        <f t="shared" si="27"/>
        <v>23</v>
      </c>
      <c r="AS117" s="659"/>
      <c r="AT117" s="555">
        <v>20</v>
      </c>
      <c r="AU117" s="556">
        <v>1266.5753424657523</v>
      </c>
      <c r="AV117" s="556">
        <v>63.328767123287619</v>
      </c>
      <c r="AW117" s="555">
        <f t="shared" si="28"/>
        <v>23</v>
      </c>
      <c r="AX117" s="659"/>
      <c r="AZ117" s="372" t="e">
        <f t="shared" si="29"/>
        <v>#N/A</v>
      </c>
      <c r="BA117" s="659"/>
    </row>
    <row r="118" spans="2:53">
      <c r="B118" s="646"/>
      <c r="C118" s="287">
        <v>7</v>
      </c>
      <c r="D118" s="201" t="s">
        <v>612</v>
      </c>
      <c r="E118" s="536">
        <v>16</v>
      </c>
      <c r="F118" s="201">
        <v>1500</v>
      </c>
      <c r="G118" s="199">
        <v>93.75</v>
      </c>
      <c r="H118" s="682"/>
      <c r="I118" s="367">
        <f t="shared" si="19"/>
        <v>16</v>
      </c>
      <c r="J118" s="367">
        <f t="shared" si="20"/>
        <v>1370.1407626881451</v>
      </c>
      <c r="K118" s="199">
        <f t="shared" si="21"/>
        <v>85.633797668009066</v>
      </c>
      <c r="L118" s="617"/>
      <c r="M118" s="200">
        <f>RANK(K118, K$112:$K$141)</f>
        <v>6</v>
      </c>
      <c r="N118" s="635"/>
      <c r="O118" s="635"/>
      <c r="P118" s="555">
        <v>16</v>
      </c>
      <c r="Q118" s="556">
        <v>1368.4931506849302</v>
      </c>
      <c r="R118" s="556">
        <v>85.53082191780814</v>
      </c>
      <c r="S118" s="555">
        <f t="shared" si="22"/>
        <v>6</v>
      </c>
      <c r="T118" s="659"/>
      <c r="U118" s="555">
        <v>16</v>
      </c>
      <c r="V118" s="556">
        <v>1359.3442622950831</v>
      </c>
      <c r="W118" s="556">
        <v>84.959016393442695</v>
      </c>
      <c r="X118" s="555">
        <f t="shared" si="23"/>
        <v>7</v>
      </c>
      <c r="Y118" s="659"/>
      <c r="Z118" s="555">
        <v>16</v>
      </c>
      <c r="AA118" s="556">
        <v>1364.444444444445</v>
      </c>
      <c r="AB118" s="556">
        <v>85.277777777777814</v>
      </c>
      <c r="AC118" s="555">
        <f t="shared" si="24"/>
        <v>7</v>
      </c>
      <c r="AD118" s="659"/>
      <c r="AE118" s="555">
        <v>16</v>
      </c>
      <c r="AF118" s="556">
        <v>1381.2244897959188</v>
      </c>
      <c r="AG118" s="556">
        <v>86.326530612244923</v>
      </c>
      <c r="AH118" s="555">
        <f t="shared" si="25"/>
        <v>6</v>
      </c>
      <c r="AI118" s="659"/>
      <c r="AJ118" s="555">
        <v>16</v>
      </c>
      <c r="AK118" s="556">
        <v>1375.2941176470595</v>
      </c>
      <c r="AL118" s="556">
        <v>85.955882352941217</v>
      </c>
      <c r="AM118" s="555">
        <f t="shared" si="26"/>
        <v>4</v>
      </c>
      <c r="AN118" s="659"/>
      <c r="AO118" s="555">
        <v>16</v>
      </c>
      <c r="AP118" s="556">
        <v>1365.7142857142871</v>
      </c>
      <c r="AQ118" s="556">
        <v>85.357142857142946</v>
      </c>
      <c r="AR118" s="555">
        <f t="shared" si="27"/>
        <v>7</v>
      </c>
      <c r="AS118" s="659"/>
      <c r="AT118" s="555">
        <v>16</v>
      </c>
      <c r="AU118" s="556">
        <v>1376.4705882352923</v>
      </c>
      <c r="AV118" s="556">
        <v>86.02941176470577</v>
      </c>
      <c r="AW118" s="555">
        <f t="shared" si="28"/>
        <v>7</v>
      </c>
      <c r="AX118" s="659"/>
      <c r="AZ118" s="372" t="e">
        <f t="shared" si="29"/>
        <v>#N/A</v>
      </c>
      <c r="BA118" s="659"/>
    </row>
    <row r="119" spans="2:53">
      <c r="B119" s="646"/>
      <c r="C119" s="287">
        <v>8</v>
      </c>
      <c r="D119" s="201" t="s">
        <v>579</v>
      </c>
      <c r="E119" s="536">
        <v>18</v>
      </c>
      <c r="F119" s="201">
        <v>1636</v>
      </c>
      <c r="G119" s="199">
        <v>90.888888888888886</v>
      </c>
      <c r="H119" s="682"/>
      <c r="I119" s="367">
        <f t="shared" si="19"/>
        <v>18</v>
      </c>
      <c r="J119" s="367">
        <f t="shared" si="20"/>
        <v>1422.7627465050912</v>
      </c>
      <c r="K119" s="199">
        <f t="shared" si="21"/>
        <v>79.042374805838406</v>
      </c>
      <c r="L119" s="617"/>
      <c r="M119" s="200">
        <f>RANK(K119, K$112:$K$141)</f>
        <v>11</v>
      </c>
      <c r="N119" s="635"/>
      <c r="O119" s="635"/>
      <c r="P119" s="555">
        <v>18</v>
      </c>
      <c r="Q119" s="556">
        <v>1435.3846153846168</v>
      </c>
      <c r="R119" s="556">
        <v>79.743589743589823</v>
      </c>
      <c r="S119" s="555">
        <f t="shared" si="22"/>
        <v>11</v>
      </c>
      <c r="T119" s="659"/>
      <c r="U119" s="555">
        <v>18</v>
      </c>
      <c r="V119" s="556">
        <v>1437.9310344827597</v>
      </c>
      <c r="W119" s="556">
        <v>79.885057471264432</v>
      </c>
      <c r="X119" s="555">
        <f t="shared" si="23"/>
        <v>11</v>
      </c>
      <c r="Y119" s="659"/>
      <c r="Z119" s="555">
        <v>18</v>
      </c>
      <c r="AA119" s="556">
        <v>1434.8275862068974</v>
      </c>
      <c r="AB119" s="556">
        <v>79.712643678160973</v>
      </c>
      <c r="AC119" s="555">
        <f t="shared" si="24"/>
        <v>11</v>
      </c>
      <c r="AD119" s="659"/>
      <c r="AE119" s="555">
        <v>18</v>
      </c>
      <c r="AF119" s="556">
        <v>1386.4285714285725</v>
      </c>
      <c r="AG119" s="556">
        <v>77.023809523809575</v>
      </c>
      <c r="AH119" s="555">
        <f t="shared" si="25"/>
        <v>15</v>
      </c>
      <c r="AI119" s="659"/>
      <c r="AJ119" s="555">
        <v>18</v>
      </c>
      <c r="AK119" s="556">
        <v>1413.0000000000014</v>
      </c>
      <c r="AL119" s="556">
        <v>78.500000000000071</v>
      </c>
      <c r="AM119" s="555">
        <f t="shared" si="26"/>
        <v>13</v>
      </c>
      <c r="AN119" s="659"/>
      <c r="AO119" s="555">
        <v>18</v>
      </c>
      <c r="AP119" s="556">
        <v>1454.0625000000018</v>
      </c>
      <c r="AQ119" s="556">
        <v>80.781250000000099</v>
      </c>
      <c r="AR119" s="555">
        <f t="shared" si="27"/>
        <v>11</v>
      </c>
      <c r="AS119" s="659"/>
      <c r="AT119" s="555">
        <v>18</v>
      </c>
      <c r="AU119" s="556">
        <v>1397.7049180327881</v>
      </c>
      <c r="AV119" s="556">
        <v>77.650273224043787</v>
      </c>
      <c r="AW119" s="555">
        <f t="shared" si="28"/>
        <v>12</v>
      </c>
      <c r="AX119" s="659"/>
      <c r="AZ119" s="372" t="e">
        <f t="shared" si="29"/>
        <v>#N/A</v>
      </c>
      <c r="BA119" s="659"/>
    </row>
    <row r="120" spans="2:53">
      <c r="B120" s="646"/>
      <c r="C120" s="287">
        <v>9</v>
      </c>
      <c r="D120" s="201" t="s">
        <v>580</v>
      </c>
      <c r="E120" s="536">
        <v>18</v>
      </c>
      <c r="F120" s="201">
        <v>1636</v>
      </c>
      <c r="G120" s="199">
        <v>90.888888888888886</v>
      </c>
      <c r="H120" s="682"/>
      <c r="I120" s="367">
        <f t="shared" si="19"/>
        <v>18</v>
      </c>
      <c r="J120" s="367">
        <f t="shared" si="20"/>
        <v>1416.5903487601897</v>
      </c>
      <c r="K120" s="199">
        <f t="shared" si="21"/>
        <v>78.69946382001055</v>
      </c>
      <c r="L120" s="617"/>
      <c r="M120" s="200">
        <f>RANK(K120, K$112:$K$141)</f>
        <v>12</v>
      </c>
      <c r="N120" s="635"/>
      <c r="O120" s="635"/>
      <c r="P120" s="555">
        <v>18</v>
      </c>
      <c r="Q120" s="556">
        <v>1409.4339622641517</v>
      </c>
      <c r="R120" s="556">
        <v>78.301886792452876</v>
      </c>
      <c r="S120" s="555">
        <f t="shared" si="22"/>
        <v>13</v>
      </c>
      <c r="T120" s="659"/>
      <c r="U120" s="555">
        <v>18</v>
      </c>
      <c r="V120" s="556">
        <v>1416.5217391304348</v>
      </c>
      <c r="W120" s="556">
        <v>78.695652173913047</v>
      </c>
      <c r="X120" s="555">
        <f t="shared" si="23"/>
        <v>13</v>
      </c>
      <c r="Y120" s="659"/>
      <c r="Z120" s="555">
        <v>18</v>
      </c>
      <c r="AA120" s="556">
        <v>1435.0000000000005</v>
      </c>
      <c r="AB120" s="556">
        <v>79.722222222222243</v>
      </c>
      <c r="AC120" s="555">
        <f t="shared" si="24"/>
        <v>10</v>
      </c>
      <c r="AD120" s="659"/>
      <c r="AE120" s="555">
        <v>18</v>
      </c>
      <c r="AF120" s="556">
        <v>1424.2857142857138</v>
      </c>
      <c r="AG120" s="556">
        <v>79.126984126984098</v>
      </c>
      <c r="AH120" s="555">
        <f t="shared" si="25"/>
        <v>10</v>
      </c>
      <c r="AI120" s="659"/>
      <c r="AJ120" s="555">
        <v>18</v>
      </c>
      <c r="AK120" s="556">
        <v>1417.3333333333335</v>
      </c>
      <c r="AL120" s="556">
        <v>78.740740740740748</v>
      </c>
      <c r="AM120" s="555">
        <f t="shared" si="26"/>
        <v>12</v>
      </c>
      <c r="AN120" s="659"/>
      <c r="AO120" s="555">
        <v>18</v>
      </c>
      <c r="AP120" s="556">
        <v>1412.3076923076931</v>
      </c>
      <c r="AQ120" s="556">
        <v>78.46153846153851</v>
      </c>
      <c r="AR120" s="555">
        <f t="shared" si="27"/>
        <v>13</v>
      </c>
      <c r="AS120" s="659"/>
      <c r="AT120" s="555">
        <v>18</v>
      </c>
      <c r="AU120" s="556">
        <v>1401.2500000000005</v>
      </c>
      <c r="AV120" s="556">
        <v>77.847222222222243</v>
      </c>
      <c r="AW120" s="555">
        <f t="shared" si="28"/>
        <v>11</v>
      </c>
      <c r="AX120" s="659"/>
      <c r="AZ120" s="372" t="e">
        <f t="shared" si="29"/>
        <v>#N/A</v>
      </c>
      <c r="BA120" s="659"/>
    </row>
    <row r="121" spans="2:53">
      <c r="B121" s="646"/>
      <c r="C121" s="287">
        <v>10</v>
      </c>
      <c r="D121" s="201" t="s">
        <v>333</v>
      </c>
      <c r="E121" s="536">
        <v>17</v>
      </c>
      <c r="F121" s="201">
        <v>1500</v>
      </c>
      <c r="G121" s="199">
        <v>88.235294117647058</v>
      </c>
      <c r="H121" s="682"/>
      <c r="I121" s="367">
        <f t="shared" si="19"/>
        <v>17</v>
      </c>
      <c r="J121" s="367">
        <f t="shared" si="20"/>
        <v>1360.500461120922</v>
      </c>
      <c r="K121" s="199">
        <f t="shared" si="21"/>
        <v>80.029438889465993</v>
      </c>
      <c r="L121" s="617"/>
      <c r="M121" s="200">
        <f>RANK(K121, K$112:$K$141)</f>
        <v>10</v>
      </c>
      <c r="N121" s="635"/>
      <c r="O121" s="635"/>
      <c r="P121" s="555">
        <v>17</v>
      </c>
      <c r="Q121" s="556">
        <v>1368.5106382978724</v>
      </c>
      <c r="R121" s="556">
        <v>80.500625782227786</v>
      </c>
      <c r="S121" s="555">
        <f t="shared" si="22"/>
        <v>10</v>
      </c>
      <c r="T121" s="659"/>
      <c r="U121" s="555">
        <v>17</v>
      </c>
      <c r="V121" s="556">
        <v>1375.7142857142851</v>
      </c>
      <c r="W121" s="556">
        <v>80.924369747899121</v>
      </c>
      <c r="X121" s="555">
        <f t="shared" si="23"/>
        <v>10</v>
      </c>
      <c r="Y121" s="659"/>
      <c r="Z121" s="555">
        <v>17</v>
      </c>
      <c r="AA121" s="556">
        <v>1352.5000000000005</v>
      </c>
      <c r="AB121" s="556">
        <v>79.558823529411796</v>
      </c>
      <c r="AC121" s="555">
        <f t="shared" si="24"/>
        <v>12</v>
      </c>
      <c r="AD121" s="659"/>
      <c r="AE121" s="555">
        <v>17</v>
      </c>
      <c r="AF121" s="556">
        <v>1341.9512195121945</v>
      </c>
      <c r="AG121" s="556">
        <v>78.938307030129081</v>
      </c>
      <c r="AH121" s="555">
        <f t="shared" si="25"/>
        <v>11</v>
      </c>
      <c r="AI121" s="659"/>
      <c r="AJ121" s="555">
        <v>17</v>
      </c>
      <c r="AK121" s="556">
        <v>1386.9767441860463</v>
      </c>
      <c r="AL121" s="556">
        <v>81.586867305061546</v>
      </c>
      <c r="AM121" s="555">
        <f t="shared" si="26"/>
        <v>9</v>
      </c>
      <c r="AN121" s="659"/>
      <c r="AO121" s="555">
        <v>17</v>
      </c>
      <c r="AP121" s="556">
        <v>1359.1836734693882</v>
      </c>
      <c r="AQ121" s="556">
        <v>79.951980792316945</v>
      </c>
      <c r="AR121" s="555">
        <f t="shared" si="27"/>
        <v>12</v>
      </c>
      <c r="AS121" s="659"/>
      <c r="AT121" s="555">
        <v>17</v>
      </c>
      <c r="AU121" s="556">
        <v>1338.6666666666665</v>
      </c>
      <c r="AV121" s="556">
        <v>78.745098039215677</v>
      </c>
      <c r="AW121" s="555">
        <f t="shared" si="28"/>
        <v>10</v>
      </c>
      <c r="AX121" s="659"/>
      <c r="AZ121" s="372" t="e">
        <f t="shared" si="29"/>
        <v>#N/A</v>
      </c>
      <c r="BA121" s="659"/>
    </row>
    <row r="122" spans="2:53">
      <c r="B122" s="646"/>
      <c r="C122" s="287">
        <v>11</v>
      </c>
      <c r="D122" s="201" t="s">
        <v>515</v>
      </c>
      <c r="E122" s="536">
        <v>20</v>
      </c>
      <c r="F122" s="201">
        <v>1440</v>
      </c>
      <c r="G122" s="199">
        <v>72</v>
      </c>
      <c r="H122" s="682"/>
      <c r="I122" s="367">
        <f t="shared" si="19"/>
        <v>20</v>
      </c>
      <c r="J122" s="367">
        <f t="shared" si="20"/>
        <v>1325.202356439373</v>
      </c>
      <c r="K122" s="199">
        <f t="shared" si="21"/>
        <v>66.260117821968649</v>
      </c>
      <c r="L122" s="617"/>
      <c r="M122" s="200">
        <f>RANK(K122, K$112:$K$141)</f>
        <v>22</v>
      </c>
      <c r="N122" s="635"/>
      <c r="O122" s="635"/>
      <c r="P122" s="555">
        <v>20</v>
      </c>
      <c r="Q122" s="556">
        <v>1307.6923076923069</v>
      </c>
      <c r="R122" s="556">
        <v>65.384615384615344</v>
      </c>
      <c r="S122" s="555">
        <f t="shared" si="22"/>
        <v>22</v>
      </c>
      <c r="T122" s="659"/>
      <c r="U122" s="555">
        <v>20</v>
      </c>
      <c r="V122" s="556">
        <v>1328.4507042253508</v>
      </c>
      <c r="W122" s="556">
        <v>66.422535211267544</v>
      </c>
      <c r="X122" s="555">
        <f t="shared" si="23"/>
        <v>22</v>
      </c>
      <c r="Y122" s="659"/>
      <c r="Z122" s="555">
        <v>20</v>
      </c>
      <c r="AA122" s="556">
        <v>1325.9154929577451</v>
      </c>
      <c r="AB122" s="556">
        <v>66.295774647887256</v>
      </c>
      <c r="AC122" s="555">
        <f t="shared" si="24"/>
        <v>22</v>
      </c>
      <c r="AD122" s="659"/>
      <c r="AE122" s="555">
        <v>20</v>
      </c>
      <c r="AF122" s="556">
        <v>1330.7142857142867</v>
      </c>
      <c r="AG122" s="556">
        <v>66.535714285714334</v>
      </c>
      <c r="AH122" s="555">
        <f t="shared" si="25"/>
        <v>22</v>
      </c>
      <c r="AI122" s="659"/>
      <c r="AJ122" s="555">
        <v>20</v>
      </c>
      <c r="AK122" s="556">
        <v>1320.9230769230785</v>
      </c>
      <c r="AL122" s="556">
        <v>66.046153846153928</v>
      </c>
      <c r="AM122" s="555">
        <f t="shared" si="26"/>
        <v>22</v>
      </c>
      <c r="AN122" s="659"/>
      <c r="AO122" s="555">
        <v>20</v>
      </c>
      <c r="AP122" s="556">
        <v>1334.3661971830973</v>
      </c>
      <c r="AQ122" s="556">
        <v>66.718309859154857</v>
      </c>
      <c r="AR122" s="555">
        <f t="shared" si="27"/>
        <v>22</v>
      </c>
      <c r="AS122" s="659"/>
      <c r="AT122" s="555">
        <v>20</v>
      </c>
      <c r="AU122" s="556">
        <v>1328.3544303797462</v>
      </c>
      <c r="AV122" s="556">
        <v>66.417721518987307</v>
      </c>
      <c r="AW122" s="555">
        <f t="shared" si="28"/>
        <v>22</v>
      </c>
      <c r="AX122" s="659"/>
      <c r="AZ122" s="372" t="e">
        <f t="shared" si="29"/>
        <v>#N/A</v>
      </c>
      <c r="BA122" s="659"/>
    </row>
    <row r="123" spans="2:53">
      <c r="B123" s="646"/>
      <c r="C123" s="287">
        <v>12</v>
      </c>
      <c r="D123" s="201" t="s">
        <v>346</v>
      </c>
      <c r="E123" s="536">
        <v>14</v>
      </c>
      <c r="F123" s="201">
        <v>1440</v>
      </c>
      <c r="G123" s="199">
        <v>102.85714285714286</v>
      </c>
      <c r="H123" s="682"/>
      <c r="I123" s="367">
        <f t="shared" si="19"/>
        <v>15</v>
      </c>
      <c r="J123" s="367">
        <f t="shared" si="20"/>
        <v>1306.0273588739176</v>
      </c>
      <c r="K123" s="199">
        <f t="shared" si="21"/>
        <v>87.068490591594511</v>
      </c>
      <c r="L123" s="617"/>
      <c r="M123" s="200">
        <f>RANK(K123, K$112:$K$141)</f>
        <v>4</v>
      </c>
      <c r="N123" s="635"/>
      <c r="O123" s="635"/>
      <c r="P123" s="555">
        <v>15</v>
      </c>
      <c r="Q123" s="556">
        <v>1289.4545454545464</v>
      </c>
      <c r="R123" s="556">
        <v>85.963636363636425</v>
      </c>
      <c r="S123" s="555">
        <f t="shared" si="22"/>
        <v>5</v>
      </c>
      <c r="T123" s="659"/>
      <c r="U123" s="555">
        <v>15</v>
      </c>
      <c r="V123" s="556">
        <v>1325.882352941177</v>
      </c>
      <c r="W123" s="556">
        <v>88.392156862745139</v>
      </c>
      <c r="X123" s="555">
        <f t="shared" si="23"/>
        <v>3</v>
      </c>
      <c r="Y123" s="659"/>
      <c r="Z123" s="555">
        <v>15</v>
      </c>
      <c r="AA123" s="556">
        <v>1308.2352941176475</v>
      </c>
      <c r="AB123" s="556">
        <v>87.215686274509835</v>
      </c>
      <c r="AC123" s="555">
        <f t="shared" si="24"/>
        <v>4</v>
      </c>
      <c r="AD123" s="659"/>
      <c r="AE123" s="555">
        <v>15</v>
      </c>
      <c r="AF123" s="556">
        <v>1309.7872340425533</v>
      </c>
      <c r="AG123" s="556">
        <v>87.319148936170222</v>
      </c>
      <c r="AH123" s="555">
        <f t="shared" si="25"/>
        <v>5</v>
      </c>
      <c r="AI123" s="659"/>
      <c r="AJ123" s="555">
        <v>15</v>
      </c>
      <c r="AK123" s="556">
        <v>1282.8000000000004</v>
      </c>
      <c r="AL123" s="556">
        <v>85.520000000000024</v>
      </c>
      <c r="AM123" s="555">
        <f t="shared" si="26"/>
        <v>6</v>
      </c>
      <c r="AN123" s="659"/>
      <c r="AO123" s="555">
        <v>15</v>
      </c>
      <c r="AP123" s="556">
        <v>1333.0909090909099</v>
      </c>
      <c r="AQ123" s="556">
        <v>88.872727272727332</v>
      </c>
      <c r="AR123" s="555">
        <f t="shared" si="27"/>
        <v>4</v>
      </c>
      <c r="AS123" s="659"/>
      <c r="AT123" s="555">
        <v>15</v>
      </c>
      <c r="AU123" s="556">
        <v>1292.9411764705887</v>
      </c>
      <c r="AV123" s="556">
        <v>86.196078431372584</v>
      </c>
      <c r="AW123" s="555">
        <f t="shared" si="28"/>
        <v>5</v>
      </c>
      <c r="AX123" s="659"/>
      <c r="AZ123" s="372" t="e">
        <f t="shared" si="29"/>
        <v>#N/A</v>
      </c>
      <c r="BA123" s="659"/>
    </row>
    <row r="124" spans="2:53">
      <c r="B124" s="646"/>
      <c r="C124" s="287">
        <v>13</v>
      </c>
      <c r="D124" s="201" t="s">
        <v>327</v>
      </c>
      <c r="E124" s="536">
        <v>19</v>
      </c>
      <c r="F124" s="201">
        <v>1440</v>
      </c>
      <c r="G124" s="199">
        <v>75.78947368421052</v>
      </c>
      <c r="H124" s="682"/>
      <c r="I124" s="367">
        <f t="shared" si="19"/>
        <v>19</v>
      </c>
      <c r="J124" s="367">
        <f t="shared" si="20"/>
        <v>1321.7402781410844</v>
      </c>
      <c r="K124" s="199">
        <f t="shared" si="21"/>
        <v>69.565277796899181</v>
      </c>
      <c r="L124" s="617"/>
      <c r="M124" s="200">
        <f>RANK(K124, K$112:$K$141)</f>
        <v>18</v>
      </c>
      <c r="N124" s="635"/>
      <c r="O124" s="635"/>
      <c r="P124" s="555">
        <v>19</v>
      </c>
      <c r="Q124" s="556">
        <v>1309.5348837209301</v>
      </c>
      <c r="R124" s="556">
        <v>68.922888616891058</v>
      </c>
      <c r="S124" s="555">
        <f t="shared" si="22"/>
        <v>20</v>
      </c>
      <c r="T124" s="659"/>
      <c r="U124" s="555">
        <v>19</v>
      </c>
      <c r="V124" s="556">
        <v>1317.7777777777774</v>
      </c>
      <c r="W124" s="556">
        <v>69.356725146198812</v>
      </c>
      <c r="X124" s="555">
        <f t="shared" si="23"/>
        <v>20</v>
      </c>
      <c r="Y124" s="659"/>
      <c r="Z124" s="555">
        <v>19</v>
      </c>
      <c r="AA124" s="556">
        <v>1301.2499999999995</v>
      </c>
      <c r="AB124" s="556">
        <v>68.486842105263136</v>
      </c>
      <c r="AC124" s="555">
        <f t="shared" si="24"/>
        <v>19</v>
      </c>
      <c r="AD124" s="659"/>
      <c r="AE124" s="555">
        <v>19</v>
      </c>
      <c r="AF124" s="556">
        <v>1338.8059701492552</v>
      </c>
      <c r="AG124" s="556">
        <v>70.463472113118698</v>
      </c>
      <c r="AH124" s="555">
        <f t="shared" si="25"/>
        <v>18</v>
      </c>
      <c r="AI124" s="659"/>
      <c r="AJ124" s="555">
        <v>19</v>
      </c>
      <c r="AK124" s="556">
        <v>1331.0526315789464</v>
      </c>
      <c r="AL124" s="556">
        <v>70.055401662049803</v>
      </c>
      <c r="AM124" s="555">
        <f t="shared" si="26"/>
        <v>19</v>
      </c>
      <c r="AN124" s="659"/>
      <c r="AO124" s="555">
        <v>19</v>
      </c>
      <c r="AP124" s="556">
        <v>1331.5384615384608</v>
      </c>
      <c r="AQ124" s="556">
        <v>70.080971659918987</v>
      </c>
      <c r="AR124" s="555">
        <f t="shared" si="27"/>
        <v>18</v>
      </c>
      <c r="AS124" s="659"/>
      <c r="AT124" s="555">
        <v>19</v>
      </c>
      <c r="AU124" s="556">
        <v>1322.2222222222219</v>
      </c>
      <c r="AV124" s="556">
        <v>69.59064327485379</v>
      </c>
      <c r="AW124" s="555">
        <f t="shared" si="28"/>
        <v>18</v>
      </c>
      <c r="AX124" s="659"/>
      <c r="AZ124" s="372" t="e">
        <f t="shared" si="29"/>
        <v>#N/A</v>
      </c>
      <c r="BA124" s="659"/>
    </row>
    <row r="125" spans="2:53">
      <c r="B125" s="646"/>
      <c r="C125" s="287">
        <v>14</v>
      </c>
      <c r="D125" s="201" t="s">
        <v>344</v>
      </c>
      <c r="E125" s="536">
        <v>19</v>
      </c>
      <c r="F125" s="201">
        <v>1440</v>
      </c>
      <c r="G125" s="199">
        <v>75.78947368421052</v>
      </c>
      <c r="H125" s="682"/>
      <c r="I125" s="367">
        <f t="shared" si="19"/>
        <v>19</v>
      </c>
      <c r="J125" s="367">
        <f t="shared" si="20"/>
        <v>1318.2271210064132</v>
      </c>
      <c r="K125" s="199">
        <f t="shared" si="21"/>
        <v>69.380374789811214</v>
      </c>
      <c r="L125" s="617"/>
      <c r="M125" s="200">
        <f>RANK(K125, K$112:$K$141)</f>
        <v>19</v>
      </c>
      <c r="N125" s="635"/>
      <c r="O125" s="635"/>
      <c r="P125" s="555">
        <v>19</v>
      </c>
      <c r="Q125" s="556">
        <v>1304.5454545454561</v>
      </c>
      <c r="R125" s="556">
        <v>68.660287081339789</v>
      </c>
      <c r="S125" s="555">
        <f t="shared" si="22"/>
        <v>21</v>
      </c>
      <c r="T125" s="659"/>
      <c r="U125" s="555">
        <v>19</v>
      </c>
      <c r="V125" s="556">
        <v>1299.692307692309</v>
      </c>
      <c r="W125" s="556">
        <v>68.404858299595205</v>
      </c>
      <c r="X125" s="555">
        <f t="shared" si="23"/>
        <v>21</v>
      </c>
      <c r="Y125" s="659"/>
      <c r="Z125" s="555">
        <v>19</v>
      </c>
      <c r="AA125" s="556">
        <v>1294.1538461538476</v>
      </c>
      <c r="AB125" s="556">
        <v>68.11336032388671</v>
      </c>
      <c r="AC125" s="555">
        <f t="shared" si="24"/>
        <v>21</v>
      </c>
      <c r="AD125" s="659"/>
      <c r="AE125" s="555">
        <v>19</v>
      </c>
      <c r="AF125" s="556">
        <v>1335.5172413793114</v>
      </c>
      <c r="AG125" s="556">
        <v>70.290381125226915</v>
      </c>
      <c r="AH125" s="555">
        <f t="shared" si="25"/>
        <v>19</v>
      </c>
      <c r="AI125" s="659"/>
      <c r="AJ125" s="555">
        <v>19</v>
      </c>
      <c r="AK125" s="556">
        <v>1336.8750000000016</v>
      </c>
      <c r="AL125" s="556">
        <v>70.361842105263236</v>
      </c>
      <c r="AM125" s="555">
        <f t="shared" si="26"/>
        <v>18</v>
      </c>
      <c r="AN125" s="659"/>
      <c r="AO125" s="555">
        <v>19</v>
      </c>
      <c r="AP125" s="556">
        <v>1324.2253521126747</v>
      </c>
      <c r="AQ125" s="556">
        <v>69.696071163824982</v>
      </c>
      <c r="AR125" s="555">
        <f t="shared" si="27"/>
        <v>19</v>
      </c>
      <c r="AS125" s="659"/>
      <c r="AT125" s="555">
        <v>19</v>
      </c>
      <c r="AU125" s="556">
        <v>1332.5806451612914</v>
      </c>
      <c r="AV125" s="556">
        <v>70.135823429541645</v>
      </c>
      <c r="AW125" s="555">
        <f t="shared" si="28"/>
        <v>17</v>
      </c>
      <c r="AX125" s="659"/>
      <c r="AZ125" s="372" t="e">
        <f t="shared" si="29"/>
        <v>#N/A</v>
      </c>
      <c r="BA125" s="659"/>
    </row>
    <row r="126" spans="2:53">
      <c r="B126" s="646"/>
      <c r="C126" s="287">
        <v>15</v>
      </c>
      <c r="D126" s="201" t="s">
        <v>587</v>
      </c>
      <c r="E126" s="536">
        <v>18</v>
      </c>
      <c r="F126" s="201">
        <v>1500</v>
      </c>
      <c r="G126" s="199">
        <v>83.333333333333329</v>
      </c>
      <c r="H126" s="682"/>
      <c r="I126" s="367">
        <f t="shared" si="19"/>
        <v>18</v>
      </c>
      <c r="J126" s="367">
        <f t="shared" si="20"/>
        <v>1382.1357552720351</v>
      </c>
      <c r="K126" s="199">
        <f t="shared" si="21"/>
        <v>76.785319737335286</v>
      </c>
      <c r="L126" s="617"/>
      <c r="M126" s="200">
        <f>RANK(K126, K$112:$K$141)</f>
        <v>15</v>
      </c>
      <c r="N126" s="635"/>
      <c r="O126" s="635"/>
      <c r="P126" s="555">
        <v>18</v>
      </c>
      <c r="Q126" s="556">
        <v>1377.662337662337</v>
      </c>
      <c r="R126" s="556">
        <v>76.536796536796501</v>
      </c>
      <c r="S126" s="555">
        <f t="shared" si="22"/>
        <v>14</v>
      </c>
      <c r="T126" s="659"/>
      <c r="U126" s="555">
        <v>18</v>
      </c>
      <c r="V126" s="556">
        <v>1399.6875000000016</v>
      </c>
      <c r="W126" s="556">
        <v>77.760416666666757</v>
      </c>
      <c r="X126" s="555">
        <f t="shared" si="23"/>
        <v>14</v>
      </c>
      <c r="Y126" s="659"/>
      <c r="Z126" s="555">
        <v>18</v>
      </c>
      <c r="AA126" s="556">
        <v>1378.7234042553193</v>
      </c>
      <c r="AB126" s="556">
        <v>76.59574468085107</v>
      </c>
      <c r="AC126" s="555">
        <f t="shared" si="24"/>
        <v>14</v>
      </c>
      <c r="AD126" s="659"/>
      <c r="AE126" s="555">
        <v>18</v>
      </c>
      <c r="AF126" s="556">
        <v>1391.489361702128</v>
      </c>
      <c r="AG126" s="556">
        <v>77.304964539007116</v>
      </c>
      <c r="AH126" s="555">
        <f t="shared" si="25"/>
        <v>14</v>
      </c>
      <c r="AI126" s="659"/>
      <c r="AJ126" s="555">
        <v>18</v>
      </c>
      <c r="AK126" s="556">
        <v>1381.2000000000005</v>
      </c>
      <c r="AL126" s="556">
        <v>76.733333333333363</v>
      </c>
      <c r="AM126" s="555">
        <f t="shared" si="26"/>
        <v>15</v>
      </c>
      <c r="AN126" s="659"/>
      <c r="AO126" s="555">
        <v>18</v>
      </c>
      <c r="AP126" s="556">
        <v>1377.0967741935497</v>
      </c>
      <c r="AQ126" s="556">
        <v>76.505376344086088</v>
      </c>
      <c r="AR126" s="555">
        <f t="shared" si="27"/>
        <v>16</v>
      </c>
      <c r="AS126" s="659"/>
      <c r="AT126" s="555">
        <v>18</v>
      </c>
      <c r="AU126" s="556">
        <v>1369.0909090909104</v>
      </c>
      <c r="AV126" s="556">
        <v>76.060606060606133</v>
      </c>
      <c r="AW126" s="555">
        <f t="shared" si="28"/>
        <v>14</v>
      </c>
      <c r="AX126" s="659"/>
      <c r="AZ126" s="372" t="e">
        <f t="shared" si="29"/>
        <v>#N/A</v>
      </c>
      <c r="BA126" s="659"/>
    </row>
    <row r="127" spans="2:53">
      <c r="B127" s="646"/>
      <c r="C127" s="287">
        <v>16</v>
      </c>
      <c r="D127" s="201" t="s">
        <v>512</v>
      </c>
      <c r="E127" s="536">
        <v>17</v>
      </c>
      <c r="F127" s="201">
        <v>1440</v>
      </c>
      <c r="G127" s="199">
        <v>84.705882352941174</v>
      </c>
      <c r="H127" s="682"/>
      <c r="I127" s="367">
        <f t="shared" si="19"/>
        <v>17</v>
      </c>
      <c r="J127" s="367">
        <f t="shared" si="20"/>
        <v>1313.22575311022</v>
      </c>
      <c r="K127" s="199">
        <f t="shared" si="21"/>
        <v>77.248573712365882</v>
      </c>
      <c r="L127" s="617"/>
      <c r="M127" s="200">
        <f>RANK(K127, K$112:$K$141)</f>
        <v>13</v>
      </c>
      <c r="N127" s="635"/>
      <c r="O127" s="635"/>
      <c r="P127" s="555">
        <v>17</v>
      </c>
      <c r="Q127" s="556">
        <v>1295.4545454545455</v>
      </c>
      <c r="R127" s="556">
        <v>76.203208556149733</v>
      </c>
      <c r="S127" s="555">
        <f t="shared" si="22"/>
        <v>15</v>
      </c>
      <c r="T127" s="659"/>
      <c r="U127" s="555">
        <v>17</v>
      </c>
      <c r="V127" s="556">
        <v>1287.8048780487802</v>
      </c>
      <c r="W127" s="556">
        <v>75.753228120516482</v>
      </c>
      <c r="X127" s="555">
        <f t="shared" si="23"/>
        <v>16</v>
      </c>
      <c r="Y127" s="659"/>
      <c r="Z127" s="555">
        <v>17</v>
      </c>
      <c r="AA127" s="556">
        <v>1297.8947368421043</v>
      </c>
      <c r="AB127" s="556">
        <v>76.346749226006139</v>
      </c>
      <c r="AC127" s="555">
        <f t="shared" si="24"/>
        <v>15</v>
      </c>
      <c r="AD127" s="659"/>
      <c r="AE127" s="555">
        <v>17</v>
      </c>
      <c r="AF127" s="556">
        <v>1327.2727272727257</v>
      </c>
      <c r="AG127" s="556">
        <v>78.074866310160331</v>
      </c>
      <c r="AH127" s="555">
        <f t="shared" si="25"/>
        <v>13</v>
      </c>
      <c r="AI127" s="659"/>
      <c r="AJ127" s="555">
        <v>17</v>
      </c>
      <c r="AK127" s="556">
        <v>1344.3243243243232</v>
      </c>
      <c r="AL127" s="556">
        <v>79.077901430842545</v>
      </c>
      <c r="AM127" s="555">
        <f t="shared" si="26"/>
        <v>11</v>
      </c>
      <c r="AN127" s="659"/>
      <c r="AO127" s="555">
        <v>17</v>
      </c>
      <c r="AP127" s="556">
        <v>1324.4444444444453</v>
      </c>
      <c r="AQ127" s="556">
        <v>77.908496732026194</v>
      </c>
      <c r="AR127" s="555">
        <f t="shared" si="27"/>
        <v>15</v>
      </c>
      <c r="AS127" s="659"/>
      <c r="AT127" s="555">
        <v>17</v>
      </c>
      <c r="AU127" s="556">
        <v>1315.3846153846148</v>
      </c>
      <c r="AV127" s="556">
        <v>77.375565610859695</v>
      </c>
      <c r="AW127" s="555">
        <f t="shared" si="28"/>
        <v>13</v>
      </c>
      <c r="AX127" s="659"/>
      <c r="AZ127" s="372" t="e">
        <f t="shared" si="29"/>
        <v>#N/A</v>
      </c>
      <c r="BA127" s="659"/>
    </row>
    <row r="128" spans="2:53">
      <c r="B128" s="646"/>
      <c r="C128" s="287">
        <v>17</v>
      </c>
      <c r="D128" s="201" t="s">
        <v>614</v>
      </c>
      <c r="E128" s="536">
        <v>16</v>
      </c>
      <c r="F128" s="201">
        <v>1636</v>
      </c>
      <c r="G128" s="199">
        <v>102.25</v>
      </c>
      <c r="H128" s="682"/>
      <c r="I128" s="367">
        <f t="shared" si="19"/>
        <v>16</v>
      </c>
      <c r="J128" s="367">
        <f t="shared" si="20"/>
        <v>1408.3405094167015</v>
      </c>
      <c r="K128" s="199">
        <f t="shared" si="21"/>
        <v>88.021281838543842</v>
      </c>
      <c r="L128" s="617"/>
      <c r="M128" s="200">
        <f>RANK(K128, K$112:$K$141)</f>
        <v>3</v>
      </c>
      <c r="N128" s="635"/>
      <c r="O128" s="635"/>
      <c r="P128" s="555">
        <v>16</v>
      </c>
      <c r="Q128" s="556">
        <v>1395</v>
      </c>
      <c r="R128" s="556">
        <v>87.1875</v>
      </c>
      <c r="S128" s="555">
        <f t="shared" si="22"/>
        <v>4</v>
      </c>
      <c r="T128" s="659"/>
      <c r="U128" s="555">
        <v>16</v>
      </c>
      <c r="V128" s="556">
        <v>1407.2727272727273</v>
      </c>
      <c r="W128" s="556">
        <v>87.954545454545453</v>
      </c>
      <c r="X128" s="555">
        <f t="shared" si="23"/>
        <v>4</v>
      </c>
      <c r="Y128" s="659"/>
      <c r="Z128" s="555">
        <v>16</v>
      </c>
      <c r="AA128" s="556">
        <v>1399.4117647058806</v>
      </c>
      <c r="AB128" s="556">
        <v>87.463235294117538</v>
      </c>
      <c r="AC128" s="555">
        <f t="shared" si="24"/>
        <v>3</v>
      </c>
      <c r="AD128" s="659"/>
      <c r="AE128" s="555">
        <v>16</v>
      </c>
      <c r="AF128" s="556">
        <v>1410.9090909090889</v>
      </c>
      <c r="AG128" s="556">
        <v>88.181818181818059</v>
      </c>
      <c r="AH128" s="555">
        <f t="shared" si="25"/>
        <v>3</v>
      </c>
      <c r="AI128" s="659"/>
      <c r="AJ128" s="555">
        <v>16</v>
      </c>
      <c r="AK128" s="556">
        <v>1412.4324324324314</v>
      </c>
      <c r="AL128" s="556">
        <v>88.277027027026961</v>
      </c>
      <c r="AM128" s="555">
        <f t="shared" si="26"/>
        <v>3</v>
      </c>
      <c r="AN128" s="659"/>
      <c r="AO128" s="555">
        <v>16</v>
      </c>
      <c r="AP128" s="556">
        <v>1438.7234042553193</v>
      </c>
      <c r="AQ128" s="556">
        <v>89.920212765957459</v>
      </c>
      <c r="AR128" s="555">
        <f t="shared" si="27"/>
        <v>3</v>
      </c>
      <c r="AS128" s="659"/>
      <c r="AT128" s="555">
        <v>16</v>
      </c>
      <c r="AU128" s="556">
        <v>1394.6341463414628</v>
      </c>
      <c r="AV128" s="556">
        <v>87.164634146341427</v>
      </c>
      <c r="AW128" s="555">
        <f t="shared" si="28"/>
        <v>3</v>
      </c>
      <c r="AX128" s="659"/>
      <c r="AZ128" s="372" t="e">
        <f t="shared" si="29"/>
        <v>#N/A</v>
      </c>
      <c r="BA128" s="659"/>
    </row>
    <row r="129" spans="2:53">
      <c r="B129" s="646"/>
      <c r="C129" s="287">
        <v>18</v>
      </c>
      <c r="D129" s="201" t="s">
        <v>626</v>
      </c>
      <c r="E129" s="536">
        <v>16</v>
      </c>
      <c r="F129" s="201">
        <v>1500</v>
      </c>
      <c r="G129" s="199">
        <v>93.75</v>
      </c>
      <c r="H129" s="682"/>
      <c r="I129" s="367">
        <f t="shared" si="19"/>
        <v>16</v>
      </c>
      <c r="J129" s="367">
        <f t="shared" si="20"/>
        <v>1361.6754079786281</v>
      </c>
      <c r="K129" s="199">
        <f t="shared" si="21"/>
        <v>85.104712998664255</v>
      </c>
      <c r="L129" s="617"/>
      <c r="M129" s="200">
        <f>RANK(K129, K$112:$K$141)</f>
        <v>7</v>
      </c>
      <c r="N129" s="635"/>
      <c r="O129" s="635"/>
      <c r="P129" s="555">
        <v>16</v>
      </c>
      <c r="Q129" s="556">
        <v>1339.6153846153854</v>
      </c>
      <c r="R129" s="556">
        <v>83.72596153846159</v>
      </c>
      <c r="S129" s="555">
        <f t="shared" si="22"/>
        <v>8</v>
      </c>
      <c r="T129" s="659"/>
      <c r="U129" s="555">
        <v>16</v>
      </c>
      <c r="V129" s="556">
        <v>1366.1538461538469</v>
      </c>
      <c r="W129" s="556">
        <v>85.384615384615429</v>
      </c>
      <c r="X129" s="555">
        <f t="shared" si="23"/>
        <v>6</v>
      </c>
      <c r="Y129" s="659"/>
      <c r="Z129" s="555">
        <v>16</v>
      </c>
      <c r="AA129" s="556">
        <v>1368.5106382978724</v>
      </c>
      <c r="AB129" s="556">
        <v>85.531914893617028</v>
      </c>
      <c r="AC129" s="555">
        <f t="shared" si="24"/>
        <v>5</v>
      </c>
      <c r="AD129" s="659"/>
      <c r="AE129" s="555">
        <v>16</v>
      </c>
      <c r="AF129" s="556">
        <v>1355.1219512195119</v>
      </c>
      <c r="AG129" s="556">
        <v>84.695121951219491</v>
      </c>
      <c r="AH129" s="555">
        <f t="shared" si="25"/>
        <v>8</v>
      </c>
      <c r="AI129" s="659"/>
      <c r="AJ129" s="555">
        <v>16</v>
      </c>
      <c r="AK129" s="556">
        <v>1360.4347826086957</v>
      </c>
      <c r="AL129" s="556">
        <v>85.027173913043484</v>
      </c>
      <c r="AM129" s="555">
        <f t="shared" si="26"/>
        <v>7</v>
      </c>
      <c r="AN129" s="659"/>
      <c r="AO129" s="555">
        <v>16</v>
      </c>
      <c r="AP129" s="556">
        <v>1364.444444444445</v>
      </c>
      <c r="AQ129" s="556">
        <v>85.277777777777814</v>
      </c>
      <c r="AR129" s="555">
        <f t="shared" si="27"/>
        <v>8</v>
      </c>
      <c r="AS129" s="659"/>
      <c r="AT129" s="555">
        <v>16</v>
      </c>
      <c r="AU129" s="556">
        <v>1377.4468085106384</v>
      </c>
      <c r="AV129" s="556">
        <v>86.090425531914903</v>
      </c>
      <c r="AW129" s="555">
        <f t="shared" si="28"/>
        <v>6</v>
      </c>
      <c r="AX129" s="659"/>
      <c r="AZ129" s="372" t="e">
        <f t="shared" si="29"/>
        <v>#N/A</v>
      </c>
      <c r="BA129" s="659"/>
    </row>
    <row r="130" spans="2:53">
      <c r="B130" s="646"/>
      <c r="C130" s="287">
        <v>19</v>
      </c>
      <c r="D130" s="201" t="s">
        <v>622</v>
      </c>
      <c r="E130" s="536">
        <v>16</v>
      </c>
      <c r="F130" s="201">
        <v>1500</v>
      </c>
      <c r="G130" s="199">
        <v>93.75</v>
      </c>
      <c r="H130" s="682"/>
      <c r="I130" s="367">
        <f t="shared" si="19"/>
        <v>16</v>
      </c>
      <c r="J130" s="367">
        <f t="shared" si="20"/>
        <v>1314.310565233654</v>
      </c>
      <c r="K130" s="199">
        <f t="shared" si="21"/>
        <v>82.144410327103373</v>
      </c>
      <c r="L130" s="617"/>
      <c r="M130" s="200">
        <f>RANK(K130, K$112:$K$141)</f>
        <v>9</v>
      </c>
      <c r="N130" s="635"/>
      <c r="O130" s="635"/>
      <c r="P130" s="555">
        <v>16</v>
      </c>
      <c r="Q130" s="556">
        <v>1300.7142857142851</v>
      </c>
      <c r="R130" s="556">
        <v>81.294642857142819</v>
      </c>
      <c r="S130" s="555">
        <f t="shared" si="22"/>
        <v>9</v>
      </c>
      <c r="T130" s="659"/>
      <c r="U130" s="555">
        <v>16</v>
      </c>
      <c r="V130" s="556">
        <v>1304.8101265822777</v>
      </c>
      <c r="W130" s="556">
        <v>81.550632911392356</v>
      </c>
      <c r="X130" s="555">
        <f t="shared" si="23"/>
        <v>8</v>
      </c>
      <c r="Y130" s="659"/>
      <c r="Z130" s="555">
        <v>16</v>
      </c>
      <c r="AA130" s="556">
        <v>1301.599999999999</v>
      </c>
      <c r="AB130" s="556">
        <v>81.349999999999937</v>
      </c>
      <c r="AC130" s="555">
        <f t="shared" si="24"/>
        <v>8</v>
      </c>
      <c r="AD130" s="659"/>
      <c r="AE130" s="555">
        <v>16</v>
      </c>
      <c r="AF130" s="556">
        <v>1328.5714285714298</v>
      </c>
      <c r="AG130" s="556">
        <v>83.035714285714363</v>
      </c>
      <c r="AH130" s="555">
        <f t="shared" si="25"/>
        <v>9</v>
      </c>
      <c r="AI130" s="659"/>
      <c r="AJ130" s="555">
        <v>16</v>
      </c>
      <c r="AK130" s="556">
        <v>1293.2837837837826</v>
      </c>
      <c r="AL130" s="556">
        <v>80.830236486486413</v>
      </c>
      <c r="AM130" s="555">
        <f t="shared" si="26"/>
        <v>10</v>
      </c>
      <c r="AN130" s="659"/>
      <c r="AO130" s="555">
        <v>16</v>
      </c>
      <c r="AP130" s="556">
        <v>1334.6153846153838</v>
      </c>
      <c r="AQ130" s="556">
        <v>83.41346153846149</v>
      </c>
      <c r="AR130" s="555">
        <f t="shared" si="27"/>
        <v>10</v>
      </c>
      <c r="AS130" s="659"/>
      <c r="AT130" s="555">
        <v>16</v>
      </c>
      <c r="AU130" s="556">
        <v>1336.5789473684201</v>
      </c>
      <c r="AV130" s="556">
        <v>83.536184210526258</v>
      </c>
      <c r="AW130" s="555">
        <f t="shared" si="28"/>
        <v>8</v>
      </c>
      <c r="AX130" s="659"/>
      <c r="AZ130" s="372" t="e">
        <f t="shared" si="29"/>
        <v>#N/A</v>
      </c>
      <c r="BA130" s="659"/>
    </row>
    <row r="131" spans="2:53">
      <c r="B131" s="646"/>
      <c r="C131" s="287">
        <v>20</v>
      </c>
      <c r="D131" s="201" t="s">
        <v>630</v>
      </c>
      <c r="E131" s="536">
        <v>16</v>
      </c>
      <c r="F131" s="201">
        <v>1440</v>
      </c>
      <c r="G131" s="199">
        <v>90</v>
      </c>
      <c r="H131" s="682"/>
      <c r="I131" s="367">
        <f t="shared" si="19"/>
        <v>16</v>
      </c>
      <c r="J131" s="367">
        <f t="shared" si="20"/>
        <v>1201.5397849462338</v>
      </c>
      <c r="K131" s="199">
        <f t="shared" si="21"/>
        <v>75.096236559139612</v>
      </c>
      <c r="L131" s="617"/>
      <c r="M131" s="200">
        <f>RANK(K131, K$112:$K$141)</f>
        <v>16</v>
      </c>
      <c r="N131" s="635"/>
      <c r="O131" s="635"/>
      <c r="P131" s="555">
        <v>16</v>
      </c>
      <c r="Q131" s="556">
        <v>1271.9999999999977</v>
      </c>
      <c r="R131" s="556">
        <v>79.499999999999858</v>
      </c>
      <c r="S131" s="555">
        <f t="shared" si="22"/>
        <v>12</v>
      </c>
      <c r="T131" s="659"/>
      <c r="U131" s="555">
        <v>16</v>
      </c>
      <c r="V131" s="556">
        <v>1273.5483870967721</v>
      </c>
      <c r="W131" s="556">
        <v>79.596774193548256</v>
      </c>
      <c r="X131" s="555">
        <f t="shared" si="23"/>
        <v>12</v>
      </c>
      <c r="Y131" s="659"/>
      <c r="Z131" s="555">
        <v>16</v>
      </c>
      <c r="AA131" s="556">
        <v>1144.7999999999968</v>
      </c>
      <c r="AB131" s="556">
        <v>71.549999999999798</v>
      </c>
      <c r="AC131" s="555">
        <f t="shared" si="24"/>
        <v>17</v>
      </c>
      <c r="AD131" s="659"/>
      <c r="AE131" s="555">
        <v>16</v>
      </c>
      <c r="AF131" s="556">
        <v>1139.9999999999968</v>
      </c>
      <c r="AG131" s="556">
        <v>71.249999999999801</v>
      </c>
      <c r="AH131" s="555">
        <f t="shared" si="25"/>
        <v>17</v>
      </c>
      <c r="AI131" s="659"/>
      <c r="AJ131" s="555">
        <v>16</v>
      </c>
      <c r="AK131" s="556">
        <v>1137.7777777777751</v>
      </c>
      <c r="AL131" s="556">
        <v>71.111111111110944</v>
      </c>
      <c r="AM131" s="555">
        <f t="shared" si="26"/>
        <v>17</v>
      </c>
      <c r="AN131" s="659"/>
      <c r="AO131" s="555">
        <v>16</v>
      </c>
      <c r="AP131" s="556">
        <v>1347.096774193546</v>
      </c>
      <c r="AQ131" s="556">
        <v>84.193548387096627</v>
      </c>
      <c r="AR131" s="555">
        <f t="shared" si="27"/>
        <v>9</v>
      </c>
      <c r="AS131" s="659"/>
      <c r="AT131" s="555">
        <v>16</v>
      </c>
      <c r="AU131" s="556">
        <v>1095.5555555555529</v>
      </c>
      <c r="AV131" s="556">
        <v>68.472222222222058</v>
      </c>
      <c r="AW131" s="555">
        <f t="shared" si="28"/>
        <v>19</v>
      </c>
      <c r="AX131" s="659"/>
      <c r="AZ131" s="372" t="e">
        <f t="shared" si="29"/>
        <v>#N/A</v>
      </c>
      <c r="BA131" s="659"/>
    </row>
    <row r="132" spans="2:53">
      <c r="B132" s="646"/>
      <c r="C132" s="287">
        <v>21</v>
      </c>
      <c r="D132" s="201" t="s">
        <v>642</v>
      </c>
      <c r="E132" s="536">
        <v>19</v>
      </c>
      <c r="F132" s="201">
        <v>1440</v>
      </c>
      <c r="G132" s="199">
        <v>75.78947368421052</v>
      </c>
      <c r="H132" s="682"/>
      <c r="I132" s="367">
        <f t="shared" si="19"/>
        <v>19</v>
      </c>
      <c r="J132" s="367">
        <f t="shared" si="20"/>
        <v>1296.1653051032704</v>
      </c>
      <c r="K132" s="199">
        <f t="shared" si="21"/>
        <v>68.219226584382653</v>
      </c>
      <c r="L132" s="617"/>
      <c r="M132" s="200">
        <f>RANK(K132, K$112:$K$141)</f>
        <v>21</v>
      </c>
      <c r="N132" s="635"/>
      <c r="O132" s="635"/>
      <c r="P132" s="555">
        <v>19</v>
      </c>
      <c r="Q132" s="556">
        <v>1319.0625000000016</v>
      </c>
      <c r="R132" s="556">
        <v>69.424342105263236</v>
      </c>
      <c r="S132" s="555">
        <f t="shared" si="22"/>
        <v>19</v>
      </c>
      <c r="T132" s="659"/>
      <c r="U132" s="555">
        <v>19</v>
      </c>
      <c r="V132" s="556">
        <v>1332.7868852459028</v>
      </c>
      <c r="W132" s="556">
        <v>70.146678170836992</v>
      </c>
      <c r="X132" s="555">
        <f t="shared" si="23"/>
        <v>18</v>
      </c>
      <c r="Y132" s="659"/>
      <c r="Z132" s="555">
        <v>19</v>
      </c>
      <c r="AA132" s="556">
        <v>1296.2500000000002</v>
      </c>
      <c r="AB132" s="556">
        <v>68.223684210526329</v>
      </c>
      <c r="AC132" s="555">
        <f t="shared" si="24"/>
        <v>20</v>
      </c>
      <c r="AD132" s="659"/>
      <c r="AE132" s="555">
        <v>19</v>
      </c>
      <c r="AF132" s="556">
        <v>1297.3333333333335</v>
      </c>
      <c r="AG132" s="556">
        <v>68.280701754385973</v>
      </c>
      <c r="AH132" s="555">
        <f t="shared" si="25"/>
        <v>20</v>
      </c>
      <c r="AI132" s="659"/>
      <c r="AJ132" s="555">
        <v>19</v>
      </c>
      <c r="AK132" s="556">
        <v>1272.6315789473695</v>
      </c>
      <c r="AL132" s="556">
        <v>66.980609418282597</v>
      </c>
      <c r="AM132" s="555">
        <f t="shared" si="26"/>
        <v>21</v>
      </c>
      <c r="AN132" s="659"/>
      <c r="AO132" s="555">
        <v>19</v>
      </c>
      <c r="AP132" s="556">
        <v>1269.2307692307675</v>
      </c>
      <c r="AQ132" s="556">
        <v>66.801619433198283</v>
      </c>
      <c r="AR132" s="555">
        <f t="shared" si="27"/>
        <v>21</v>
      </c>
      <c r="AS132" s="659"/>
      <c r="AT132" s="555">
        <v>19</v>
      </c>
      <c r="AU132" s="556">
        <v>1285.8620689655181</v>
      </c>
      <c r="AV132" s="556">
        <v>67.676950998185163</v>
      </c>
      <c r="AW132" s="555">
        <f t="shared" si="28"/>
        <v>21</v>
      </c>
      <c r="AX132" s="659"/>
      <c r="AZ132" s="372" t="e">
        <f t="shared" si="29"/>
        <v>#N/A</v>
      </c>
      <c r="BA132" s="659"/>
    </row>
    <row r="133" spans="2:53">
      <c r="B133" s="646"/>
      <c r="C133" s="287">
        <v>22</v>
      </c>
      <c r="D133" s="201" t="s">
        <v>714</v>
      </c>
      <c r="E133" s="536">
        <v>21</v>
      </c>
      <c r="F133" s="201">
        <v>1440</v>
      </c>
      <c r="G133" s="199">
        <v>68.571428571428569</v>
      </c>
      <c r="H133" s="682"/>
      <c r="I133" s="367">
        <f t="shared" si="19"/>
        <v>20.571428571428573</v>
      </c>
      <c r="J133" s="367">
        <f t="shared" si="20"/>
        <v>1190.7799890196134</v>
      </c>
      <c r="K133" s="199">
        <f t="shared" si="21"/>
        <v>57.949087669815128</v>
      </c>
      <c r="L133" s="617"/>
      <c r="M133" s="200">
        <f>RANK(K133, K$112:$K$141)</f>
        <v>24</v>
      </c>
      <c r="N133" s="635"/>
      <c r="O133" s="635"/>
      <c r="P133" s="555">
        <v>21</v>
      </c>
      <c r="Q133" s="556">
        <v>1134.8780487804875</v>
      </c>
      <c r="R133" s="556">
        <v>54.041811846689882</v>
      </c>
      <c r="S133" s="555">
        <f t="shared" si="22"/>
        <v>24</v>
      </c>
      <c r="T133" s="659"/>
      <c r="U133" s="555">
        <v>21</v>
      </c>
      <c r="V133" s="556">
        <v>1132.6829268292679</v>
      </c>
      <c r="W133" s="556">
        <v>53.937282229965135</v>
      </c>
      <c r="X133" s="555">
        <f t="shared" si="23"/>
        <v>24</v>
      </c>
      <c r="Y133" s="659"/>
      <c r="Z133" s="555">
        <v>21</v>
      </c>
      <c r="AA133" s="556">
        <v>1159.9999999999989</v>
      </c>
      <c r="AB133" s="556">
        <v>55.238095238095184</v>
      </c>
      <c r="AC133" s="555">
        <f t="shared" si="24"/>
        <v>24</v>
      </c>
      <c r="AD133" s="659"/>
      <c r="AE133" s="555">
        <v>21</v>
      </c>
      <c r="AF133" s="556">
        <v>1246.7796610169503</v>
      </c>
      <c r="AG133" s="556">
        <v>59.370460048426203</v>
      </c>
      <c r="AH133" s="555">
        <f t="shared" si="25"/>
        <v>24</v>
      </c>
      <c r="AI133" s="659"/>
      <c r="AJ133" s="555">
        <v>20</v>
      </c>
      <c r="AK133" s="556">
        <v>1304.3076923076906</v>
      </c>
      <c r="AL133" s="556">
        <v>65.215384615384522</v>
      </c>
      <c r="AM133" s="555">
        <f t="shared" si="26"/>
        <v>23</v>
      </c>
      <c r="AN133" s="659"/>
      <c r="AO133" s="555">
        <v>20</v>
      </c>
      <c r="AP133" s="556">
        <v>1193.3333333333351</v>
      </c>
      <c r="AQ133" s="556">
        <v>59.666666666666757</v>
      </c>
      <c r="AR133" s="555">
        <f t="shared" si="27"/>
        <v>24</v>
      </c>
      <c r="AS133" s="659"/>
      <c r="AT133" s="555">
        <v>20</v>
      </c>
      <c r="AU133" s="556">
        <v>1163.4782608695641</v>
      </c>
      <c r="AV133" s="556">
        <v>58.173913043478208</v>
      </c>
      <c r="AW133" s="555">
        <f t="shared" si="28"/>
        <v>24</v>
      </c>
      <c r="AX133" s="659"/>
      <c r="AZ133" s="372" t="e">
        <f t="shared" si="29"/>
        <v>#N/A</v>
      </c>
      <c r="BA133" s="659"/>
    </row>
    <row r="134" spans="2:53">
      <c r="B134" s="646"/>
      <c r="C134" s="287">
        <v>23</v>
      </c>
      <c r="D134" s="201" t="s">
        <v>719</v>
      </c>
      <c r="E134" s="536">
        <v>19</v>
      </c>
      <c r="F134" s="201">
        <v>1440</v>
      </c>
      <c r="G134" s="199">
        <v>75.78947368421052</v>
      </c>
      <c r="H134" s="682"/>
      <c r="I134" s="367">
        <f t="shared" si="19"/>
        <v>19</v>
      </c>
      <c r="J134" s="367">
        <f t="shared" si="20"/>
        <v>1300.9385053356145</v>
      </c>
      <c r="K134" s="199">
        <f t="shared" si="21"/>
        <v>68.470447649242857</v>
      </c>
      <c r="L134" s="617"/>
      <c r="M134" s="200">
        <f>RANK(K134, K$112:$K$141)</f>
        <v>20</v>
      </c>
      <c r="N134" s="635"/>
      <c r="O134" s="635"/>
      <c r="P134" s="555">
        <v>19</v>
      </c>
      <c r="Q134" s="556">
        <v>1319.3333333333312</v>
      </c>
      <c r="R134" s="556">
        <v>69.438596491227955</v>
      </c>
      <c r="S134" s="555">
        <f t="shared" si="22"/>
        <v>18</v>
      </c>
      <c r="T134" s="659"/>
      <c r="U134" s="555">
        <v>19</v>
      </c>
      <c r="V134" s="556">
        <v>1323.1168831168823</v>
      </c>
      <c r="W134" s="556">
        <v>69.637730690362218</v>
      </c>
      <c r="X134" s="555">
        <f t="shared" si="23"/>
        <v>19</v>
      </c>
      <c r="Y134" s="659"/>
      <c r="Z134" s="555">
        <v>19</v>
      </c>
      <c r="AA134" s="556">
        <v>1313.2499999999995</v>
      </c>
      <c r="AB134" s="556">
        <v>69.118421052631561</v>
      </c>
      <c r="AC134" s="555">
        <f t="shared" si="24"/>
        <v>18</v>
      </c>
      <c r="AD134" s="659"/>
      <c r="AE134" s="555">
        <v>19</v>
      </c>
      <c r="AF134" s="556">
        <v>1296.6666666666656</v>
      </c>
      <c r="AG134" s="556">
        <v>68.245614035087669</v>
      </c>
      <c r="AH134" s="555">
        <f t="shared" si="25"/>
        <v>21</v>
      </c>
      <c r="AI134" s="659"/>
      <c r="AJ134" s="555">
        <v>19</v>
      </c>
      <c r="AK134" s="556">
        <v>1293.6585365853655</v>
      </c>
      <c r="AL134" s="556">
        <v>68.087291399229755</v>
      </c>
      <c r="AM134" s="555">
        <f t="shared" si="26"/>
        <v>20</v>
      </c>
      <c r="AN134" s="659"/>
      <c r="AO134" s="555">
        <v>19</v>
      </c>
      <c r="AP134" s="556">
        <v>1271.2941176470586</v>
      </c>
      <c r="AQ134" s="556">
        <v>66.910216718266241</v>
      </c>
      <c r="AR134" s="555">
        <f t="shared" si="27"/>
        <v>20</v>
      </c>
      <c r="AS134" s="659"/>
      <c r="AT134" s="555">
        <v>19</v>
      </c>
      <c r="AU134" s="556">
        <v>1289.2499999999995</v>
      </c>
      <c r="AV134" s="556">
        <v>67.855263157894711</v>
      </c>
      <c r="AW134" s="555">
        <f t="shared" si="28"/>
        <v>20</v>
      </c>
      <c r="AX134" s="659"/>
      <c r="AZ134" s="372" t="e">
        <f t="shared" si="29"/>
        <v>#N/A</v>
      </c>
      <c r="BA134" s="659"/>
    </row>
    <row r="135" spans="2:53">
      <c r="B135" s="646"/>
      <c r="C135" s="287">
        <v>24</v>
      </c>
      <c r="D135" s="201" t="s">
        <v>743</v>
      </c>
      <c r="E135" s="536">
        <v>17</v>
      </c>
      <c r="F135" s="201">
        <v>1440</v>
      </c>
      <c r="G135" s="199">
        <v>84.705882352941174</v>
      </c>
      <c r="H135" s="682"/>
      <c r="I135" s="367">
        <f t="shared" si="19"/>
        <v>17</v>
      </c>
      <c r="J135" s="367">
        <f t="shared" si="20"/>
        <v>1311.8684835973929</v>
      </c>
      <c r="K135" s="199">
        <f t="shared" si="21"/>
        <v>77.168734329258427</v>
      </c>
      <c r="L135" s="617"/>
      <c r="M135" s="200">
        <f>RANK(K135, K$112:$K$141)</f>
        <v>14</v>
      </c>
      <c r="N135" s="635"/>
      <c r="O135" s="635"/>
      <c r="P135" s="555">
        <v>17</v>
      </c>
      <c r="Q135" s="556">
        <v>1292.727272727273</v>
      </c>
      <c r="R135" s="556">
        <v>76.04278074866312</v>
      </c>
      <c r="S135" s="555">
        <f t="shared" si="22"/>
        <v>16</v>
      </c>
      <c r="T135" s="659"/>
      <c r="U135" s="555">
        <v>17</v>
      </c>
      <c r="V135" s="556">
        <v>1301.1023622047239</v>
      </c>
      <c r="W135" s="556">
        <v>76.535433070866119</v>
      </c>
      <c r="X135" s="555">
        <f t="shared" si="23"/>
        <v>15</v>
      </c>
      <c r="Y135" s="659"/>
      <c r="Z135" s="555">
        <v>17</v>
      </c>
      <c r="AA135" s="556">
        <v>1312.2077922077915</v>
      </c>
      <c r="AB135" s="556">
        <v>77.188693659281853</v>
      </c>
      <c r="AC135" s="555">
        <f t="shared" si="24"/>
        <v>13</v>
      </c>
      <c r="AD135" s="659"/>
      <c r="AE135" s="555">
        <v>17</v>
      </c>
      <c r="AF135" s="556">
        <v>1336.0000000000011</v>
      </c>
      <c r="AG135" s="556">
        <v>78.588235294117709</v>
      </c>
      <c r="AH135" s="555">
        <f t="shared" si="25"/>
        <v>12</v>
      </c>
      <c r="AI135" s="659"/>
      <c r="AJ135" s="555">
        <v>17</v>
      </c>
      <c r="AK135" s="556">
        <v>1327.0000000000014</v>
      </c>
      <c r="AL135" s="556">
        <v>78.058823529411839</v>
      </c>
      <c r="AM135" s="555">
        <f t="shared" si="26"/>
        <v>14</v>
      </c>
      <c r="AN135" s="659"/>
      <c r="AO135" s="555">
        <v>17</v>
      </c>
      <c r="AP135" s="556">
        <v>1327.2727272727288</v>
      </c>
      <c r="AQ135" s="556">
        <v>78.074866310160516</v>
      </c>
      <c r="AR135" s="555">
        <f t="shared" si="27"/>
        <v>14</v>
      </c>
      <c r="AS135" s="659"/>
      <c r="AT135" s="555">
        <v>17</v>
      </c>
      <c r="AU135" s="556">
        <v>1286.7692307692321</v>
      </c>
      <c r="AV135" s="556">
        <v>75.692307692307764</v>
      </c>
      <c r="AW135" s="555">
        <f t="shared" si="28"/>
        <v>15</v>
      </c>
      <c r="AX135" s="659"/>
      <c r="AZ135" s="372" t="e">
        <f t="shared" si="29"/>
        <v>#N/A</v>
      </c>
      <c r="BA135" s="659"/>
    </row>
    <row r="136" spans="2:53">
      <c r="B136" s="646"/>
      <c r="C136" s="287">
        <v>25</v>
      </c>
      <c r="D136" s="201"/>
      <c r="E136" s="536"/>
      <c r="F136" s="201"/>
      <c r="G136" s="199"/>
      <c r="H136" s="682"/>
      <c r="I136" s="367" t="str">
        <f t="shared" si="19"/>
        <v>-</v>
      </c>
      <c r="J136" s="367" t="str">
        <f t="shared" si="20"/>
        <v>-</v>
      </c>
      <c r="K136" s="199" t="str">
        <f t="shared" si="21"/>
        <v>-</v>
      </c>
      <c r="L136" s="617"/>
      <c r="M136" s="200" t="e">
        <f>RANK(K136, K$112:$K$141)</f>
        <v>#VALUE!</v>
      </c>
      <c r="N136" s="635"/>
      <c r="O136" s="635"/>
      <c r="P136" s="555" t="s">
        <v>592</v>
      </c>
      <c r="Q136" s="556" t="s">
        <v>592</v>
      </c>
      <c r="R136" s="556" t="s">
        <v>592</v>
      </c>
      <c r="S136" s="555" t="e">
        <f t="shared" si="22"/>
        <v>#VALUE!</v>
      </c>
      <c r="T136" s="659"/>
      <c r="U136" s="555" t="s">
        <v>592</v>
      </c>
      <c r="V136" s="556" t="s">
        <v>592</v>
      </c>
      <c r="W136" s="556" t="s">
        <v>592</v>
      </c>
      <c r="X136" s="555" t="e">
        <f t="shared" si="23"/>
        <v>#VALUE!</v>
      </c>
      <c r="Y136" s="659"/>
      <c r="Z136" s="555" t="s">
        <v>592</v>
      </c>
      <c r="AA136" s="556" t="s">
        <v>592</v>
      </c>
      <c r="AB136" s="556" t="s">
        <v>592</v>
      </c>
      <c r="AC136" s="555" t="e">
        <f t="shared" si="24"/>
        <v>#VALUE!</v>
      </c>
      <c r="AD136" s="659"/>
      <c r="AE136" s="555" t="s">
        <v>592</v>
      </c>
      <c r="AF136" s="556" t="s">
        <v>592</v>
      </c>
      <c r="AG136" s="556" t="s">
        <v>592</v>
      </c>
      <c r="AH136" s="555" t="e">
        <f t="shared" si="25"/>
        <v>#VALUE!</v>
      </c>
      <c r="AI136" s="659"/>
      <c r="AJ136" s="555" t="s">
        <v>592</v>
      </c>
      <c r="AK136" s="556" t="s">
        <v>592</v>
      </c>
      <c r="AL136" s="556" t="s">
        <v>592</v>
      </c>
      <c r="AM136" s="555" t="e">
        <f t="shared" si="26"/>
        <v>#VALUE!</v>
      </c>
      <c r="AN136" s="659"/>
      <c r="AO136" s="555" t="s">
        <v>592</v>
      </c>
      <c r="AP136" s="556" t="s">
        <v>592</v>
      </c>
      <c r="AQ136" s="556" t="s">
        <v>592</v>
      </c>
      <c r="AR136" s="555" t="e">
        <f t="shared" si="27"/>
        <v>#VALUE!</v>
      </c>
      <c r="AS136" s="659"/>
      <c r="AT136" s="555" t="s">
        <v>592</v>
      </c>
      <c r="AU136" s="556" t="s">
        <v>592</v>
      </c>
      <c r="AV136" s="556" t="s">
        <v>592</v>
      </c>
      <c r="AW136" s="555" t="e">
        <f t="shared" si="28"/>
        <v>#VALUE!</v>
      </c>
      <c r="AX136" s="659"/>
      <c r="AZ136" s="372" t="e">
        <f t="shared" si="29"/>
        <v>#N/A</v>
      </c>
      <c r="BA136" s="659"/>
    </row>
    <row r="137" spans="2:53">
      <c r="B137" s="646"/>
      <c r="C137" s="287">
        <v>26</v>
      </c>
      <c r="D137" s="201"/>
      <c r="E137" s="536"/>
      <c r="F137" s="201"/>
      <c r="G137" s="199"/>
      <c r="H137" s="682"/>
      <c r="I137" s="367" t="str">
        <f t="shared" si="19"/>
        <v>-</v>
      </c>
      <c r="J137" s="367" t="str">
        <f t="shared" si="20"/>
        <v>-</v>
      </c>
      <c r="K137" s="199" t="str">
        <f t="shared" si="21"/>
        <v>-</v>
      </c>
      <c r="L137" s="617"/>
      <c r="M137" s="200" t="e">
        <f>RANK(K137, K$112:$K$141)</f>
        <v>#VALUE!</v>
      </c>
      <c r="N137" s="635"/>
      <c r="O137" s="635"/>
      <c r="P137" s="555" t="s">
        <v>592</v>
      </c>
      <c r="Q137" s="556" t="s">
        <v>592</v>
      </c>
      <c r="R137" s="556" t="s">
        <v>592</v>
      </c>
      <c r="S137" s="555" t="e">
        <f t="shared" si="22"/>
        <v>#VALUE!</v>
      </c>
      <c r="T137" s="659"/>
      <c r="U137" s="555" t="s">
        <v>592</v>
      </c>
      <c r="V137" s="556" t="s">
        <v>592</v>
      </c>
      <c r="W137" s="556" t="s">
        <v>592</v>
      </c>
      <c r="X137" s="555" t="e">
        <f t="shared" si="23"/>
        <v>#VALUE!</v>
      </c>
      <c r="Y137" s="659"/>
      <c r="Z137" s="555" t="s">
        <v>592</v>
      </c>
      <c r="AA137" s="556" t="s">
        <v>592</v>
      </c>
      <c r="AB137" s="556" t="s">
        <v>592</v>
      </c>
      <c r="AC137" s="555" t="e">
        <f t="shared" si="24"/>
        <v>#VALUE!</v>
      </c>
      <c r="AD137" s="659"/>
      <c r="AE137" s="555" t="s">
        <v>592</v>
      </c>
      <c r="AF137" s="556" t="s">
        <v>592</v>
      </c>
      <c r="AG137" s="556" t="s">
        <v>592</v>
      </c>
      <c r="AH137" s="555" t="e">
        <f t="shared" si="25"/>
        <v>#VALUE!</v>
      </c>
      <c r="AI137" s="659"/>
      <c r="AJ137" s="555" t="s">
        <v>592</v>
      </c>
      <c r="AK137" s="556" t="s">
        <v>592</v>
      </c>
      <c r="AL137" s="556" t="s">
        <v>592</v>
      </c>
      <c r="AM137" s="555" t="e">
        <f t="shared" si="26"/>
        <v>#VALUE!</v>
      </c>
      <c r="AN137" s="659"/>
      <c r="AO137" s="555" t="s">
        <v>592</v>
      </c>
      <c r="AP137" s="556" t="s">
        <v>592</v>
      </c>
      <c r="AQ137" s="556" t="s">
        <v>592</v>
      </c>
      <c r="AR137" s="555" t="e">
        <f t="shared" si="27"/>
        <v>#VALUE!</v>
      </c>
      <c r="AS137" s="659"/>
      <c r="AT137" s="555" t="s">
        <v>592</v>
      </c>
      <c r="AU137" s="556" t="s">
        <v>592</v>
      </c>
      <c r="AV137" s="556" t="s">
        <v>592</v>
      </c>
      <c r="AW137" s="555" t="e">
        <f t="shared" si="28"/>
        <v>#VALUE!</v>
      </c>
      <c r="AX137" s="659"/>
      <c r="AZ137" s="372" t="e">
        <f t="shared" si="29"/>
        <v>#N/A</v>
      </c>
      <c r="BA137" s="659"/>
    </row>
    <row r="138" spans="2:53">
      <c r="B138" s="646"/>
      <c r="C138" s="287">
        <v>27</v>
      </c>
      <c r="D138" s="201"/>
      <c r="E138" s="536"/>
      <c r="F138" s="201"/>
      <c r="G138" s="199"/>
      <c r="H138" s="682"/>
      <c r="I138" s="367" t="str">
        <f t="shared" si="19"/>
        <v>-</v>
      </c>
      <c r="J138" s="367" t="str">
        <f t="shared" si="20"/>
        <v>-</v>
      </c>
      <c r="K138" s="199" t="str">
        <f t="shared" si="21"/>
        <v>-</v>
      </c>
      <c r="L138" s="617"/>
      <c r="M138" s="200" t="e">
        <f>RANK(K138, K$112:$K$141)</f>
        <v>#VALUE!</v>
      </c>
      <c r="N138" s="635"/>
      <c r="O138" s="635"/>
      <c r="P138" s="555" t="s">
        <v>592</v>
      </c>
      <c r="Q138" s="556" t="s">
        <v>592</v>
      </c>
      <c r="R138" s="556" t="s">
        <v>592</v>
      </c>
      <c r="S138" s="555" t="e">
        <f t="shared" si="22"/>
        <v>#VALUE!</v>
      </c>
      <c r="T138" s="659"/>
      <c r="U138" s="555" t="s">
        <v>592</v>
      </c>
      <c r="V138" s="556" t="s">
        <v>592</v>
      </c>
      <c r="W138" s="556" t="s">
        <v>592</v>
      </c>
      <c r="X138" s="555" t="e">
        <f t="shared" si="23"/>
        <v>#VALUE!</v>
      </c>
      <c r="Y138" s="659"/>
      <c r="Z138" s="555" t="s">
        <v>592</v>
      </c>
      <c r="AA138" s="556" t="s">
        <v>592</v>
      </c>
      <c r="AB138" s="556" t="s">
        <v>592</v>
      </c>
      <c r="AC138" s="555" t="e">
        <f t="shared" si="24"/>
        <v>#VALUE!</v>
      </c>
      <c r="AD138" s="659"/>
      <c r="AE138" s="555" t="s">
        <v>592</v>
      </c>
      <c r="AF138" s="556" t="s">
        <v>592</v>
      </c>
      <c r="AG138" s="556" t="s">
        <v>592</v>
      </c>
      <c r="AH138" s="555" t="e">
        <f t="shared" si="25"/>
        <v>#VALUE!</v>
      </c>
      <c r="AI138" s="659"/>
      <c r="AJ138" s="555" t="s">
        <v>592</v>
      </c>
      <c r="AK138" s="556" t="s">
        <v>592</v>
      </c>
      <c r="AL138" s="556" t="s">
        <v>592</v>
      </c>
      <c r="AM138" s="555" t="e">
        <f t="shared" si="26"/>
        <v>#VALUE!</v>
      </c>
      <c r="AN138" s="659"/>
      <c r="AO138" s="555" t="s">
        <v>592</v>
      </c>
      <c r="AP138" s="556" t="s">
        <v>592</v>
      </c>
      <c r="AQ138" s="556" t="s">
        <v>592</v>
      </c>
      <c r="AR138" s="555" t="e">
        <f t="shared" si="27"/>
        <v>#VALUE!</v>
      </c>
      <c r="AS138" s="659"/>
      <c r="AT138" s="555" t="s">
        <v>592</v>
      </c>
      <c r="AU138" s="556" t="s">
        <v>592</v>
      </c>
      <c r="AV138" s="556" t="s">
        <v>592</v>
      </c>
      <c r="AW138" s="555" t="e">
        <f t="shared" si="28"/>
        <v>#VALUE!</v>
      </c>
      <c r="AX138" s="659"/>
      <c r="AZ138" s="372" t="e">
        <f t="shared" si="29"/>
        <v>#N/A</v>
      </c>
      <c r="BA138" s="659"/>
    </row>
    <row r="139" spans="2:53">
      <c r="B139" s="646"/>
      <c r="C139" s="287">
        <v>28</v>
      </c>
      <c r="D139" s="201"/>
      <c r="E139" s="536"/>
      <c r="F139" s="201"/>
      <c r="G139" s="199"/>
      <c r="H139" s="682"/>
      <c r="I139" s="367" t="str">
        <f t="shared" si="19"/>
        <v>-</v>
      </c>
      <c r="J139" s="367" t="str">
        <f t="shared" si="20"/>
        <v>-</v>
      </c>
      <c r="K139" s="199" t="str">
        <f t="shared" si="21"/>
        <v>-</v>
      </c>
      <c r="L139" s="617"/>
      <c r="M139" s="200" t="e">
        <f>RANK(K139, K$112:$K$141)</f>
        <v>#VALUE!</v>
      </c>
      <c r="N139" s="635"/>
      <c r="O139" s="635"/>
      <c r="P139" s="555" t="s">
        <v>592</v>
      </c>
      <c r="Q139" s="556" t="s">
        <v>592</v>
      </c>
      <c r="R139" s="556" t="s">
        <v>592</v>
      </c>
      <c r="S139" s="555" t="e">
        <f t="shared" si="22"/>
        <v>#VALUE!</v>
      </c>
      <c r="T139" s="659"/>
      <c r="U139" s="555" t="s">
        <v>592</v>
      </c>
      <c r="V139" s="556" t="s">
        <v>592</v>
      </c>
      <c r="W139" s="556" t="s">
        <v>592</v>
      </c>
      <c r="X139" s="555" t="e">
        <f t="shared" si="23"/>
        <v>#VALUE!</v>
      </c>
      <c r="Y139" s="659"/>
      <c r="Z139" s="555" t="s">
        <v>592</v>
      </c>
      <c r="AA139" s="556" t="s">
        <v>592</v>
      </c>
      <c r="AB139" s="556" t="s">
        <v>592</v>
      </c>
      <c r="AC139" s="555" t="e">
        <f t="shared" si="24"/>
        <v>#VALUE!</v>
      </c>
      <c r="AD139" s="659"/>
      <c r="AE139" s="555" t="s">
        <v>592</v>
      </c>
      <c r="AF139" s="556" t="s">
        <v>592</v>
      </c>
      <c r="AG139" s="556" t="s">
        <v>592</v>
      </c>
      <c r="AH139" s="555" t="e">
        <f t="shared" si="25"/>
        <v>#VALUE!</v>
      </c>
      <c r="AI139" s="659"/>
      <c r="AJ139" s="555" t="s">
        <v>592</v>
      </c>
      <c r="AK139" s="556" t="s">
        <v>592</v>
      </c>
      <c r="AL139" s="556" t="s">
        <v>592</v>
      </c>
      <c r="AM139" s="555" t="e">
        <f t="shared" si="26"/>
        <v>#VALUE!</v>
      </c>
      <c r="AN139" s="659"/>
      <c r="AO139" s="555" t="s">
        <v>592</v>
      </c>
      <c r="AP139" s="556" t="s">
        <v>592</v>
      </c>
      <c r="AQ139" s="556" t="s">
        <v>592</v>
      </c>
      <c r="AR139" s="555" t="e">
        <f t="shared" si="27"/>
        <v>#VALUE!</v>
      </c>
      <c r="AS139" s="659"/>
      <c r="AT139" s="555" t="s">
        <v>592</v>
      </c>
      <c r="AU139" s="556" t="s">
        <v>592</v>
      </c>
      <c r="AV139" s="556" t="s">
        <v>592</v>
      </c>
      <c r="AW139" s="555" t="e">
        <f t="shared" si="28"/>
        <v>#VALUE!</v>
      </c>
      <c r="AX139" s="659"/>
      <c r="AZ139" s="372" t="e">
        <f t="shared" si="29"/>
        <v>#N/A</v>
      </c>
      <c r="BA139" s="659"/>
    </row>
    <row r="140" spans="2:53">
      <c r="B140" s="646"/>
      <c r="C140" s="287">
        <v>29</v>
      </c>
      <c r="D140" s="201"/>
      <c r="E140" s="536"/>
      <c r="F140" s="201"/>
      <c r="G140" s="199"/>
      <c r="H140" s="682"/>
      <c r="I140" s="367" t="str">
        <f t="shared" si="19"/>
        <v>-</v>
      </c>
      <c r="J140" s="367" t="str">
        <f t="shared" si="20"/>
        <v>-</v>
      </c>
      <c r="K140" s="199" t="str">
        <f t="shared" si="21"/>
        <v>-</v>
      </c>
      <c r="L140" s="617"/>
      <c r="M140" s="200" t="e">
        <f>RANK(K140, K$112:$K$141)</f>
        <v>#VALUE!</v>
      </c>
      <c r="N140" s="635"/>
      <c r="O140" s="635"/>
      <c r="P140" s="555" t="s">
        <v>592</v>
      </c>
      <c r="Q140" s="556" t="s">
        <v>592</v>
      </c>
      <c r="R140" s="556" t="s">
        <v>592</v>
      </c>
      <c r="S140" s="555" t="e">
        <f t="shared" si="22"/>
        <v>#VALUE!</v>
      </c>
      <c r="T140" s="659"/>
      <c r="U140" s="555" t="s">
        <v>592</v>
      </c>
      <c r="V140" s="556" t="s">
        <v>592</v>
      </c>
      <c r="W140" s="556" t="s">
        <v>592</v>
      </c>
      <c r="X140" s="555" t="e">
        <f t="shared" si="23"/>
        <v>#VALUE!</v>
      </c>
      <c r="Y140" s="659"/>
      <c r="Z140" s="555" t="s">
        <v>592</v>
      </c>
      <c r="AA140" s="556" t="s">
        <v>592</v>
      </c>
      <c r="AB140" s="556" t="s">
        <v>592</v>
      </c>
      <c r="AC140" s="555" t="e">
        <f t="shared" si="24"/>
        <v>#VALUE!</v>
      </c>
      <c r="AD140" s="659"/>
      <c r="AE140" s="555" t="s">
        <v>592</v>
      </c>
      <c r="AF140" s="556" t="s">
        <v>592</v>
      </c>
      <c r="AG140" s="556" t="s">
        <v>592</v>
      </c>
      <c r="AH140" s="555" t="e">
        <f t="shared" si="25"/>
        <v>#VALUE!</v>
      </c>
      <c r="AI140" s="659"/>
      <c r="AJ140" s="555" t="s">
        <v>592</v>
      </c>
      <c r="AK140" s="556" t="s">
        <v>592</v>
      </c>
      <c r="AL140" s="556" t="s">
        <v>592</v>
      </c>
      <c r="AM140" s="555" t="e">
        <f t="shared" si="26"/>
        <v>#VALUE!</v>
      </c>
      <c r="AN140" s="659"/>
      <c r="AO140" s="555" t="s">
        <v>592</v>
      </c>
      <c r="AP140" s="556" t="s">
        <v>592</v>
      </c>
      <c r="AQ140" s="556" t="s">
        <v>592</v>
      </c>
      <c r="AR140" s="555" t="e">
        <f t="shared" si="27"/>
        <v>#VALUE!</v>
      </c>
      <c r="AS140" s="659"/>
      <c r="AT140" s="555" t="s">
        <v>592</v>
      </c>
      <c r="AU140" s="556" t="s">
        <v>592</v>
      </c>
      <c r="AV140" s="556" t="s">
        <v>592</v>
      </c>
      <c r="AW140" s="555" t="e">
        <f t="shared" si="28"/>
        <v>#VALUE!</v>
      </c>
      <c r="AX140" s="659"/>
      <c r="AZ140" s="372" t="e">
        <f t="shared" si="29"/>
        <v>#N/A</v>
      </c>
      <c r="BA140" s="659"/>
    </row>
    <row r="141" spans="2:53">
      <c r="B141" s="646"/>
      <c r="C141" s="287">
        <v>30</v>
      </c>
      <c r="D141" s="201"/>
      <c r="E141" s="536"/>
      <c r="F141" s="201"/>
      <c r="G141" s="199"/>
      <c r="H141" s="683"/>
      <c r="I141" s="367" t="str">
        <f t="shared" si="19"/>
        <v>-</v>
      </c>
      <c r="J141" s="367" t="str">
        <f t="shared" si="20"/>
        <v>-</v>
      </c>
      <c r="K141" s="199" t="str">
        <f t="shared" si="21"/>
        <v>-</v>
      </c>
      <c r="L141" s="618"/>
      <c r="M141" s="200" t="e">
        <f>RANK(K141, K$112:$K$141)</f>
        <v>#VALUE!</v>
      </c>
      <c r="N141" s="635"/>
      <c r="O141" s="635"/>
      <c r="P141" s="555" t="s">
        <v>592</v>
      </c>
      <c r="Q141" s="556" t="s">
        <v>592</v>
      </c>
      <c r="R141" s="556" t="s">
        <v>592</v>
      </c>
      <c r="S141" s="555" t="e">
        <f t="shared" si="22"/>
        <v>#VALUE!</v>
      </c>
      <c r="T141" s="659"/>
      <c r="U141" s="555" t="s">
        <v>592</v>
      </c>
      <c r="V141" s="556" t="s">
        <v>592</v>
      </c>
      <c r="W141" s="556" t="s">
        <v>592</v>
      </c>
      <c r="X141" s="555" t="e">
        <f t="shared" si="23"/>
        <v>#VALUE!</v>
      </c>
      <c r="Y141" s="659"/>
      <c r="Z141" s="555" t="s">
        <v>592</v>
      </c>
      <c r="AA141" s="556" t="s">
        <v>592</v>
      </c>
      <c r="AB141" s="556" t="s">
        <v>592</v>
      </c>
      <c r="AC141" s="555" t="e">
        <f t="shared" si="24"/>
        <v>#VALUE!</v>
      </c>
      <c r="AD141" s="659"/>
      <c r="AE141" s="555" t="s">
        <v>592</v>
      </c>
      <c r="AF141" s="556" t="s">
        <v>592</v>
      </c>
      <c r="AG141" s="556" t="s">
        <v>592</v>
      </c>
      <c r="AH141" s="555" t="e">
        <f t="shared" si="25"/>
        <v>#VALUE!</v>
      </c>
      <c r="AI141" s="659"/>
      <c r="AJ141" s="555" t="s">
        <v>592</v>
      </c>
      <c r="AK141" s="556" t="s">
        <v>592</v>
      </c>
      <c r="AL141" s="556" t="s">
        <v>592</v>
      </c>
      <c r="AM141" s="555" t="e">
        <f t="shared" si="26"/>
        <v>#VALUE!</v>
      </c>
      <c r="AN141" s="659"/>
      <c r="AO141" s="555" t="s">
        <v>592</v>
      </c>
      <c r="AP141" s="556" t="s">
        <v>592</v>
      </c>
      <c r="AQ141" s="556" t="s">
        <v>592</v>
      </c>
      <c r="AR141" s="555" t="e">
        <f t="shared" si="27"/>
        <v>#VALUE!</v>
      </c>
      <c r="AS141" s="659"/>
      <c r="AT141" s="555" t="s">
        <v>592</v>
      </c>
      <c r="AU141" s="556" t="s">
        <v>592</v>
      </c>
      <c r="AV141" s="556" t="s">
        <v>592</v>
      </c>
      <c r="AW141" s="555" t="e">
        <f t="shared" si="28"/>
        <v>#VALUE!</v>
      </c>
      <c r="AX141" s="659"/>
      <c r="AZ141" s="372" t="e">
        <f t="shared" si="29"/>
        <v>#N/A</v>
      </c>
      <c r="BA141" s="659"/>
    </row>
    <row r="142" spans="2:53" ht="15.75">
      <c r="B142" s="650" t="s">
        <v>162</v>
      </c>
      <c r="C142" s="651"/>
      <c r="D142" s="651"/>
      <c r="E142" s="651"/>
      <c r="F142" s="651"/>
      <c r="G142" s="651"/>
      <c r="H142" s="652"/>
      <c r="I142" s="207"/>
      <c r="J142" s="207"/>
      <c r="K142" s="207"/>
      <c r="L142" s="207"/>
      <c r="M142" s="206"/>
      <c r="N142" s="639" t="s">
        <v>156</v>
      </c>
      <c r="O142" s="639" t="s">
        <v>105</v>
      </c>
      <c r="P142" s="632" t="s">
        <v>592</v>
      </c>
      <c r="Q142" s="695" t="s">
        <v>592</v>
      </c>
      <c r="R142" s="695" t="s">
        <v>592</v>
      </c>
      <c r="S142" s="633" t="e">
        <v>#VALUE!</v>
      </c>
      <c r="T142" s="696"/>
      <c r="U142" s="632" t="s">
        <v>592</v>
      </c>
      <c r="V142" s="695" t="s">
        <v>592</v>
      </c>
      <c r="W142" s="695" t="s">
        <v>592</v>
      </c>
      <c r="X142" s="633" t="e">
        <v>#VALUE!</v>
      </c>
      <c r="Y142" s="696"/>
      <c r="Z142" s="632" t="s">
        <v>592</v>
      </c>
      <c r="AA142" s="695" t="s">
        <v>592</v>
      </c>
      <c r="AB142" s="695" t="s">
        <v>592</v>
      </c>
      <c r="AC142" s="633" t="e">
        <v>#VALUE!</v>
      </c>
      <c r="AD142" s="696"/>
      <c r="AE142" s="632" t="s">
        <v>592</v>
      </c>
      <c r="AF142" s="695" t="s">
        <v>592</v>
      </c>
      <c r="AG142" s="695" t="s">
        <v>592</v>
      </c>
      <c r="AH142" s="633" t="e">
        <v>#VALUE!</v>
      </c>
      <c r="AI142" s="696"/>
      <c r="AJ142" s="632" t="s">
        <v>592</v>
      </c>
      <c r="AK142" s="695" t="s">
        <v>592</v>
      </c>
      <c r="AL142" s="695" t="s">
        <v>592</v>
      </c>
      <c r="AM142" s="633" t="e">
        <v>#VALUE!</v>
      </c>
      <c r="AN142" s="696"/>
      <c r="AO142" s="632" t="s">
        <v>592</v>
      </c>
      <c r="AP142" s="695" t="s">
        <v>592</v>
      </c>
      <c r="AQ142" s="695" t="s">
        <v>592</v>
      </c>
      <c r="AR142" s="633" t="e">
        <v>#VALUE!</v>
      </c>
      <c r="AS142" s="696"/>
      <c r="AT142" s="632" t="s">
        <v>592</v>
      </c>
      <c r="AU142" s="695" t="s">
        <v>592</v>
      </c>
      <c r="AV142" s="695" t="s">
        <v>592</v>
      </c>
      <c r="AW142" s="633" t="e">
        <v>#VALUE!</v>
      </c>
      <c r="AX142" s="696"/>
    </row>
    <row r="143" spans="2:53" ht="15.75">
      <c r="B143" s="653"/>
      <c r="C143" s="653"/>
      <c r="D143" s="653"/>
      <c r="E143" s="653"/>
      <c r="F143" s="653"/>
      <c r="G143" s="653"/>
      <c r="H143" s="653"/>
      <c r="I143" s="204"/>
      <c r="J143" s="204"/>
      <c r="K143" s="204"/>
      <c r="L143" s="204"/>
      <c r="M143" s="205"/>
      <c r="N143" s="641"/>
      <c r="O143" s="641"/>
      <c r="P143" s="635" t="s">
        <v>592</v>
      </c>
      <c r="Q143" s="657" t="s">
        <v>592</v>
      </c>
      <c r="R143" s="657" t="s">
        <v>592</v>
      </c>
      <c r="S143" s="646" t="e">
        <v>#VALUE!</v>
      </c>
      <c r="T143" s="659"/>
      <c r="U143" s="635" t="s">
        <v>592</v>
      </c>
      <c r="V143" s="657" t="s">
        <v>592</v>
      </c>
      <c r="W143" s="657" t="s">
        <v>592</v>
      </c>
      <c r="X143" s="646" t="e">
        <v>#VALUE!</v>
      </c>
      <c r="Y143" s="659"/>
      <c r="Z143" s="635" t="s">
        <v>592</v>
      </c>
      <c r="AA143" s="657" t="s">
        <v>592</v>
      </c>
      <c r="AB143" s="657" t="s">
        <v>592</v>
      </c>
      <c r="AC143" s="646" t="e">
        <v>#VALUE!</v>
      </c>
      <c r="AD143" s="659"/>
      <c r="AE143" s="635" t="s">
        <v>592</v>
      </c>
      <c r="AF143" s="657" t="s">
        <v>592</v>
      </c>
      <c r="AG143" s="657" t="s">
        <v>592</v>
      </c>
      <c r="AH143" s="646" t="e">
        <v>#VALUE!</v>
      </c>
      <c r="AI143" s="659"/>
      <c r="AJ143" s="635" t="s">
        <v>592</v>
      </c>
      <c r="AK143" s="657" t="s">
        <v>592</v>
      </c>
      <c r="AL143" s="657" t="s">
        <v>592</v>
      </c>
      <c r="AM143" s="646" t="e">
        <v>#VALUE!</v>
      </c>
      <c r="AN143" s="659"/>
      <c r="AO143" s="635" t="s">
        <v>592</v>
      </c>
      <c r="AP143" s="657" t="s">
        <v>592</v>
      </c>
      <c r="AQ143" s="657" t="s">
        <v>592</v>
      </c>
      <c r="AR143" s="646" t="e">
        <v>#VALUE!</v>
      </c>
      <c r="AS143" s="659"/>
      <c r="AT143" s="635" t="s">
        <v>592</v>
      </c>
      <c r="AU143" s="657" t="s">
        <v>592</v>
      </c>
      <c r="AV143" s="657" t="s">
        <v>592</v>
      </c>
      <c r="AW143" s="646" t="e">
        <v>#VALUE!</v>
      </c>
      <c r="AX143" s="659"/>
    </row>
    <row r="144" spans="2:53">
      <c r="B144" s="635" t="s">
        <v>410</v>
      </c>
      <c r="C144" s="635" t="s">
        <v>411</v>
      </c>
      <c r="D144" s="635"/>
      <c r="E144" s="635" t="s">
        <v>412</v>
      </c>
      <c r="F144" s="635"/>
      <c r="G144" s="635"/>
      <c r="H144" s="636" t="s">
        <v>413</v>
      </c>
      <c r="I144" s="619" t="s">
        <v>414</v>
      </c>
      <c r="J144" s="619"/>
      <c r="K144" s="619"/>
      <c r="L144" s="620" t="s">
        <v>413</v>
      </c>
      <c r="M144" s="626" t="s">
        <v>415</v>
      </c>
      <c r="N144" s="635"/>
      <c r="O144" s="635" t="s">
        <v>416</v>
      </c>
      <c r="P144" s="632" t="s">
        <v>417</v>
      </c>
      <c r="Q144" s="633"/>
      <c r="R144" s="633"/>
      <c r="S144" s="634"/>
      <c r="T144" s="635" t="s">
        <v>413</v>
      </c>
      <c r="U144" s="632" t="s">
        <v>417</v>
      </c>
      <c r="V144" s="633"/>
      <c r="W144" s="633"/>
      <c r="X144" s="634"/>
      <c r="Y144" s="635" t="s">
        <v>413</v>
      </c>
      <c r="Z144" s="632" t="s">
        <v>417</v>
      </c>
      <c r="AA144" s="633"/>
      <c r="AB144" s="633"/>
      <c r="AC144" s="634"/>
      <c r="AD144" s="635" t="s">
        <v>413</v>
      </c>
      <c r="AE144" s="632" t="s">
        <v>417</v>
      </c>
      <c r="AF144" s="633"/>
      <c r="AG144" s="633"/>
      <c r="AH144" s="634"/>
      <c r="AI144" s="635" t="s">
        <v>413</v>
      </c>
      <c r="AJ144" s="632" t="s">
        <v>417</v>
      </c>
      <c r="AK144" s="633"/>
      <c r="AL144" s="633"/>
      <c r="AM144" s="634"/>
      <c r="AN144" s="635" t="s">
        <v>413</v>
      </c>
      <c r="AO144" s="632" t="s">
        <v>417</v>
      </c>
      <c r="AP144" s="633"/>
      <c r="AQ144" s="633"/>
      <c r="AR144" s="634"/>
      <c r="AS144" s="635" t="s">
        <v>413</v>
      </c>
      <c r="AT144" s="632" t="s">
        <v>417</v>
      </c>
      <c r="AU144" s="633"/>
      <c r="AV144" s="633"/>
      <c r="AW144" s="634"/>
      <c r="AX144" s="635" t="s">
        <v>413</v>
      </c>
      <c r="BA144" s="635" t="s">
        <v>369</v>
      </c>
    </row>
    <row r="145" spans="2:53">
      <c r="B145" s="635"/>
      <c r="C145" s="635"/>
      <c r="D145" s="635"/>
      <c r="E145" s="635" t="s">
        <v>418</v>
      </c>
      <c r="F145" s="635"/>
      <c r="G145" s="635"/>
      <c r="H145" s="637"/>
      <c r="I145" s="619" t="s">
        <v>418</v>
      </c>
      <c r="J145" s="619"/>
      <c r="K145" s="619"/>
      <c r="L145" s="621"/>
      <c r="M145" s="627"/>
      <c r="N145" s="635"/>
      <c r="O145" s="635"/>
      <c r="P145" s="632" t="s">
        <v>419</v>
      </c>
      <c r="Q145" s="633"/>
      <c r="R145" s="633"/>
      <c r="S145" s="634"/>
      <c r="T145" s="635"/>
      <c r="U145" s="632" t="s">
        <v>419</v>
      </c>
      <c r="V145" s="633"/>
      <c r="W145" s="633"/>
      <c r="X145" s="634"/>
      <c r="Y145" s="635"/>
      <c r="Z145" s="632" t="s">
        <v>419</v>
      </c>
      <c r="AA145" s="633"/>
      <c r="AB145" s="633"/>
      <c r="AC145" s="634"/>
      <c r="AD145" s="635"/>
      <c r="AE145" s="632" t="s">
        <v>419</v>
      </c>
      <c r="AF145" s="633"/>
      <c r="AG145" s="633"/>
      <c r="AH145" s="634"/>
      <c r="AI145" s="635"/>
      <c r="AJ145" s="632" t="s">
        <v>419</v>
      </c>
      <c r="AK145" s="633"/>
      <c r="AL145" s="633"/>
      <c r="AM145" s="634"/>
      <c r="AN145" s="635"/>
      <c r="AO145" s="632" t="s">
        <v>419</v>
      </c>
      <c r="AP145" s="633"/>
      <c r="AQ145" s="633"/>
      <c r="AR145" s="634"/>
      <c r="AS145" s="635"/>
      <c r="AT145" s="632" t="s">
        <v>419</v>
      </c>
      <c r="AU145" s="633"/>
      <c r="AV145" s="633"/>
      <c r="AW145" s="634"/>
      <c r="AX145" s="635"/>
      <c r="BA145" s="635"/>
    </row>
    <row r="146" spans="2:53">
      <c r="B146" s="635"/>
      <c r="C146" s="635"/>
      <c r="D146" s="635"/>
      <c r="E146" s="283" t="s">
        <v>420</v>
      </c>
      <c r="F146" s="283" t="s">
        <v>421</v>
      </c>
      <c r="G146" s="283" t="s">
        <v>422</v>
      </c>
      <c r="H146" s="638"/>
      <c r="I146" s="284" t="s">
        <v>420</v>
      </c>
      <c r="J146" s="284" t="s">
        <v>421</v>
      </c>
      <c r="K146" s="284" t="s">
        <v>422</v>
      </c>
      <c r="L146" s="622"/>
      <c r="M146" s="628"/>
      <c r="N146" s="635"/>
      <c r="O146" s="635"/>
      <c r="P146" s="283" t="s">
        <v>420</v>
      </c>
      <c r="Q146" s="283" t="s">
        <v>421</v>
      </c>
      <c r="R146" s="283" t="s">
        <v>422</v>
      </c>
      <c r="S146" s="283" t="s">
        <v>415</v>
      </c>
      <c r="T146" s="635"/>
      <c r="U146" s="283" t="s">
        <v>420</v>
      </c>
      <c r="V146" s="283" t="s">
        <v>421</v>
      </c>
      <c r="W146" s="283" t="s">
        <v>422</v>
      </c>
      <c r="X146" s="283" t="s">
        <v>415</v>
      </c>
      <c r="Y146" s="635"/>
      <c r="Z146" s="283" t="s">
        <v>420</v>
      </c>
      <c r="AA146" s="283" t="s">
        <v>421</v>
      </c>
      <c r="AB146" s="283" t="s">
        <v>422</v>
      </c>
      <c r="AC146" s="283" t="s">
        <v>415</v>
      </c>
      <c r="AD146" s="635"/>
      <c r="AE146" s="283" t="s">
        <v>420</v>
      </c>
      <c r="AF146" s="283" t="s">
        <v>421</v>
      </c>
      <c r="AG146" s="283" t="s">
        <v>422</v>
      </c>
      <c r="AH146" s="283" t="s">
        <v>415</v>
      </c>
      <c r="AI146" s="635"/>
      <c r="AJ146" s="283" t="s">
        <v>420</v>
      </c>
      <c r="AK146" s="283" t="s">
        <v>421</v>
      </c>
      <c r="AL146" s="283" t="s">
        <v>422</v>
      </c>
      <c r="AM146" s="283" t="s">
        <v>415</v>
      </c>
      <c r="AN146" s="635"/>
      <c r="AO146" s="283" t="s">
        <v>420</v>
      </c>
      <c r="AP146" s="283" t="s">
        <v>421</v>
      </c>
      <c r="AQ146" s="283" t="s">
        <v>422</v>
      </c>
      <c r="AR146" s="283" t="s">
        <v>415</v>
      </c>
      <c r="AS146" s="635"/>
      <c r="AT146" s="283" t="s">
        <v>420</v>
      </c>
      <c r="AU146" s="283" t="s">
        <v>421</v>
      </c>
      <c r="AV146" s="283" t="s">
        <v>422</v>
      </c>
      <c r="AW146" s="283" t="s">
        <v>415</v>
      </c>
      <c r="AX146" s="635"/>
      <c r="AZ146" s="371" t="s">
        <v>370</v>
      </c>
      <c r="BA146" s="635"/>
    </row>
    <row r="147" spans="2:53">
      <c r="B147" s="635" t="s">
        <v>423</v>
      </c>
      <c r="C147" s="282">
        <v>1</v>
      </c>
      <c r="D147" s="201"/>
      <c r="E147" s="536"/>
      <c r="F147" s="201"/>
      <c r="G147" s="199"/>
      <c r="H147" s="681" t="e">
        <f>AVERAGE(G147:G176)</f>
        <v>#DIV/0!</v>
      </c>
      <c r="I147" s="367" t="str">
        <f>IFERROR(AVERAGE(P147,U147,Z147,AE147,AJ147,AO147,AT147),"-")</f>
        <v>-</v>
      </c>
      <c r="J147" s="367" t="str">
        <f>IFERROR(AVERAGE(Q147,V147,AA147,AF147,AK147,AP147,AU147),"-")</f>
        <v>-</v>
      </c>
      <c r="K147" s="199" t="str">
        <f>IFERROR(AVERAGE(R147,W147,AB147,AG147,AL147,AQ147,AV147),"-")</f>
        <v>-</v>
      </c>
      <c r="L147" s="616" t="str">
        <f>IFERROR(AVERAGE(K147:K176),"-")</f>
        <v>-</v>
      </c>
      <c r="M147" s="200" t="e">
        <f>RANK(K147, K$147:$K$176)</f>
        <v>#VALUE!</v>
      </c>
      <c r="N147" s="635"/>
      <c r="O147" s="635"/>
      <c r="P147" s="484"/>
      <c r="Q147" s="487"/>
      <c r="R147" s="487"/>
      <c r="S147" s="484"/>
      <c r="T147" s="659"/>
      <c r="U147" s="484"/>
      <c r="V147" s="487"/>
      <c r="W147" s="487"/>
      <c r="X147" s="484"/>
      <c r="Y147" s="659"/>
      <c r="Z147" s="484"/>
      <c r="AA147" s="487"/>
      <c r="AB147" s="487"/>
      <c r="AC147" s="484"/>
      <c r="AD147" s="659"/>
      <c r="AE147" s="484"/>
      <c r="AF147" s="487"/>
      <c r="AG147" s="487"/>
      <c r="AH147" s="484"/>
      <c r="AI147" s="659"/>
      <c r="AJ147" s="484"/>
      <c r="AK147" s="487"/>
      <c r="AL147" s="487"/>
      <c r="AM147" s="484"/>
      <c r="AN147" s="659"/>
      <c r="AO147" s="484"/>
      <c r="AP147" s="487"/>
      <c r="AQ147" s="487"/>
      <c r="AR147" s="484"/>
      <c r="AS147" s="659"/>
      <c r="AT147" s="484"/>
      <c r="AU147" s="487"/>
      <c r="AV147" s="487"/>
      <c r="AW147" s="484"/>
      <c r="AX147" s="659"/>
      <c r="AZ147" s="372" t="e">
        <f>RANK(AY147, AY$147:AY$176)</f>
        <v>#N/A</v>
      </c>
      <c r="BA147" s="659" t="e">
        <f>AVERAGE(AY147:AY176)</f>
        <v>#DIV/0!</v>
      </c>
    </row>
    <row r="148" spans="2:53">
      <c r="B148" s="646"/>
      <c r="C148" s="282">
        <v>2</v>
      </c>
      <c r="D148" s="201"/>
      <c r="E148" s="536"/>
      <c r="F148" s="201"/>
      <c r="G148" s="199"/>
      <c r="H148" s="682"/>
      <c r="I148" s="367" t="str">
        <f t="shared" ref="I148:I176" si="30">IFERROR(AVERAGE(P148,U148,Z148,AE148,AJ148,AO148,AT148),"-")</f>
        <v>-</v>
      </c>
      <c r="J148" s="367" t="str">
        <f t="shared" ref="J148:J176" si="31">IFERROR(AVERAGE(Q148,V148,AA148,AF148,AK148,AP148,AU148),"-")</f>
        <v>-</v>
      </c>
      <c r="K148" s="199" t="str">
        <f t="shared" ref="K148:K176" si="32">IFERROR(AVERAGE(R148,W148,AB148,AG148,AL148,AQ148,AV148),"-")</f>
        <v>-</v>
      </c>
      <c r="L148" s="617"/>
      <c r="M148" s="200" t="e">
        <f>RANK(K148, K$147:$K$176)</f>
        <v>#VALUE!</v>
      </c>
      <c r="N148" s="635"/>
      <c r="O148" s="635"/>
      <c r="P148" s="484"/>
      <c r="Q148" s="487"/>
      <c r="R148" s="487"/>
      <c r="S148" s="484"/>
      <c r="T148" s="659"/>
      <c r="U148" s="484"/>
      <c r="V148" s="487"/>
      <c r="W148" s="487"/>
      <c r="X148" s="484"/>
      <c r="Y148" s="659"/>
      <c r="Z148" s="484"/>
      <c r="AA148" s="487"/>
      <c r="AB148" s="487"/>
      <c r="AC148" s="484"/>
      <c r="AD148" s="659"/>
      <c r="AE148" s="484"/>
      <c r="AF148" s="487"/>
      <c r="AG148" s="487"/>
      <c r="AH148" s="484"/>
      <c r="AI148" s="659"/>
      <c r="AJ148" s="484"/>
      <c r="AK148" s="487"/>
      <c r="AL148" s="487"/>
      <c r="AM148" s="484"/>
      <c r="AN148" s="659"/>
      <c r="AO148" s="484"/>
      <c r="AP148" s="487"/>
      <c r="AQ148" s="487"/>
      <c r="AR148" s="484"/>
      <c r="AS148" s="659"/>
      <c r="AT148" s="484"/>
      <c r="AU148" s="487"/>
      <c r="AV148" s="487"/>
      <c r="AW148" s="484"/>
      <c r="AX148" s="659"/>
      <c r="AZ148" s="372" t="e">
        <f t="shared" ref="AZ148:AZ176" si="33">RANK(AY148, AY$147:AY$176)</f>
        <v>#N/A</v>
      </c>
      <c r="BA148" s="659"/>
    </row>
    <row r="149" spans="2:53">
      <c r="B149" s="646"/>
      <c r="C149" s="282">
        <v>3</v>
      </c>
      <c r="D149" s="201"/>
      <c r="E149" s="536"/>
      <c r="F149" s="201"/>
      <c r="G149" s="199"/>
      <c r="H149" s="682"/>
      <c r="I149" s="367" t="str">
        <f t="shared" si="30"/>
        <v>-</v>
      </c>
      <c r="J149" s="367" t="str">
        <f t="shared" si="31"/>
        <v>-</v>
      </c>
      <c r="K149" s="199" t="str">
        <f t="shared" si="32"/>
        <v>-</v>
      </c>
      <c r="L149" s="617"/>
      <c r="M149" s="200" t="e">
        <f>RANK(K149, K$147:$K$176)</f>
        <v>#VALUE!</v>
      </c>
      <c r="N149" s="635"/>
      <c r="O149" s="635"/>
      <c r="P149" s="484"/>
      <c r="Q149" s="487"/>
      <c r="R149" s="487"/>
      <c r="S149" s="484"/>
      <c r="T149" s="659"/>
      <c r="U149" s="484"/>
      <c r="V149" s="487"/>
      <c r="W149" s="487"/>
      <c r="X149" s="484"/>
      <c r="Y149" s="659"/>
      <c r="Z149" s="484"/>
      <c r="AA149" s="487"/>
      <c r="AB149" s="487"/>
      <c r="AC149" s="484"/>
      <c r="AD149" s="659"/>
      <c r="AE149" s="484"/>
      <c r="AF149" s="487"/>
      <c r="AG149" s="487"/>
      <c r="AH149" s="484"/>
      <c r="AI149" s="659"/>
      <c r="AJ149" s="484"/>
      <c r="AK149" s="487"/>
      <c r="AL149" s="487"/>
      <c r="AM149" s="484"/>
      <c r="AN149" s="659"/>
      <c r="AO149" s="484"/>
      <c r="AP149" s="487"/>
      <c r="AQ149" s="487"/>
      <c r="AR149" s="484"/>
      <c r="AS149" s="659"/>
      <c r="AT149" s="484"/>
      <c r="AU149" s="487"/>
      <c r="AV149" s="487"/>
      <c r="AW149" s="484"/>
      <c r="AX149" s="659"/>
      <c r="AZ149" s="372" t="e">
        <f t="shared" si="33"/>
        <v>#N/A</v>
      </c>
      <c r="BA149" s="659"/>
    </row>
    <row r="150" spans="2:53">
      <c r="B150" s="646"/>
      <c r="C150" s="282">
        <v>4</v>
      </c>
      <c r="D150" s="201"/>
      <c r="E150" s="536"/>
      <c r="F150" s="201"/>
      <c r="G150" s="199"/>
      <c r="H150" s="682"/>
      <c r="I150" s="367" t="str">
        <f t="shared" si="30"/>
        <v>-</v>
      </c>
      <c r="J150" s="367" t="str">
        <f t="shared" si="31"/>
        <v>-</v>
      </c>
      <c r="K150" s="199" t="str">
        <f t="shared" si="32"/>
        <v>-</v>
      </c>
      <c r="L150" s="617"/>
      <c r="M150" s="200" t="e">
        <f>RANK(K150, K$147:$K$176)</f>
        <v>#VALUE!</v>
      </c>
      <c r="N150" s="635"/>
      <c r="O150" s="635"/>
      <c r="P150" s="484"/>
      <c r="Q150" s="487"/>
      <c r="R150" s="487"/>
      <c r="S150" s="484"/>
      <c r="T150" s="659"/>
      <c r="U150" s="484"/>
      <c r="V150" s="487"/>
      <c r="W150" s="487"/>
      <c r="X150" s="484"/>
      <c r="Y150" s="659"/>
      <c r="Z150" s="484"/>
      <c r="AA150" s="487"/>
      <c r="AB150" s="487"/>
      <c r="AC150" s="484"/>
      <c r="AD150" s="659"/>
      <c r="AE150" s="484"/>
      <c r="AF150" s="487"/>
      <c r="AG150" s="487"/>
      <c r="AH150" s="484"/>
      <c r="AI150" s="659"/>
      <c r="AJ150" s="484"/>
      <c r="AK150" s="487"/>
      <c r="AL150" s="487"/>
      <c r="AM150" s="484"/>
      <c r="AN150" s="659"/>
      <c r="AO150" s="484"/>
      <c r="AP150" s="487"/>
      <c r="AQ150" s="487"/>
      <c r="AR150" s="484"/>
      <c r="AS150" s="659"/>
      <c r="AT150" s="484"/>
      <c r="AU150" s="487"/>
      <c r="AV150" s="487"/>
      <c r="AW150" s="484"/>
      <c r="AX150" s="659"/>
      <c r="AZ150" s="372" t="e">
        <f t="shared" si="33"/>
        <v>#N/A</v>
      </c>
      <c r="BA150" s="659"/>
    </row>
    <row r="151" spans="2:53">
      <c r="B151" s="646"/>
      <c r="C151" s="282">
        <v>5</v>
      </c>
      <c r="D151" s="201"/>
      <c r="E151" s="536"/>
      <c r="F151" s="201"/>
      <c r="G151" s="199"/>
      <c r="H151" s="682"/>
      <c r="I151" s="367" t="str">
        <f t="shared" si="30"/>
        <v>-</v>
      </c>
      <c r="J151" s="367" t="str">
        <f t="shared" si="31"/>
        <v>-</v>
      </c>
      <c r="K151" s="199" t="str">
        <f t="shared" si="32"/>
        <v>-</v>
      </c>
      <c r="L151" s="617"/>
      <c r="M151" s="200" t="e">
        <f>RANK(K151, K$147:$K$176)</f>
        <v>#VALUE!</v>
      </c>
      <c r="N151" s="635"/>
      <c r="O151" s="635"/>
      <c r="P151" s="484"/>
      <c r="Q151" s="487"/>
      <c r="R151" s="487"/>
      <c r="S151" s="484"/>
      <c r="T151" s="659"/>
      <c r="U151" s="484"/>
      <c r="V151" s="487"/>
      <c r="W151" s="487"/>
      <c r="X151" s="484"/>
      <c r="Y151" s="659"/>
      <c r="Z151" s="484"/>
      <c r="AA151" s="487"/>
      <c r="AB151" s="487"/>
      <c r="AC151" s="484"/>
      <c r="AD151" s="659"/>
      <c r="AE151" s="484"/>
      <c r="AF151" s="487"/>
      <c r="AG151" s="487"/>
      <c r="AH151" s="484"/>
      <c r="AI151" s="659"/>
      <c r="AJ151" s="484"/>
      <c r="AK151" s="487"/>
      <c r="AL151" s="487"/>
      <c r="AM151" s="484"/>
      <c r="AN151" s="659"/>
      <c r="AO151" s="484"/>
      <c r="AP151" s="487"/>
      <c r="AQ151" s="487"/>
      <c r="AR151" s="484"/>
      <c r="AS151" s="659"/>
      <c r="AT151" s="484"/>
      <c r="AU151" s="487"/>
      <c r="AV151" s="487"/>
      <c r="AW151" s="484"/>
      <c r="AX151" s="659"/>
      <c r="AZ151" s="372" t="e">
        <f t="shared" si="33"/>
        <v>#N/A</v>
      </c>
      <c r="BA151" s="659"/>
    </row>
    <row r="152" spans="2:53">
      <c r="B152" s="646"/>
      <c r="C152" s="282">
        <v>6</v>
      </c>
      <c r="D152" s="201"/>
      <c r="E152" s="536"/>
      <c r="F152" s="201"/>
      <c r="G152" s="199"/>
      <c r="H152" s="682"/>
      <c r="I152" s="367" t="str">
        <f t="shared" si="30"/>
        <v>-</v>
      </c>
      <c r="J152" s="367" t="str">
        <f t="shared" si="31"/>
        <v>-</v>
      </c>
      <c r="K152" s="199" t="str">
        <f t="shared" si="32"/>
        <v>-</v>
      </c>
      <c r="L152" s="617"/>
      <c r="M152" s="200" t="e">
        <f>RANK(K152, K$147:$K$176)</f>
        <v>#VALUE!</v>
      </c>
      <c r="N152" s="635"/>
      <c r="O152" s="635"/>
      <c r="P152" s="484"/>
      <c r="Q152" s="487"/>
      <c r="R152" s="487"/>
      <c r="S152" s="484"/>
      <c r="T152" s="659"/>
      <c r="U152" s="484"/>
      <c r="V152" s="487"/>
      <c r="W152" s="487"/>
      <c r="X152" s="484"/>
      <c r="Y152" s="659"/>
      <c r="Z152" s="484"/>
      <c r="AA152" s="487"/>
      <c r="AB152" s="487"/>
      <c r="AC152" s="484"/>
      <c r="AD152" s="659"/>
      <c r="AE152" s="484"/>
      <c r="AF152" s="487"/>
      <c r="AG152" s="487"/>
      <c r="AH152" s="484"/>
      <c r="AI152" s="659"/>
      <c r="AJ152" s="484"/>
      <c r="AK152" s="487"/>
      <c r="AL152" s="487"/>
      <c r="AM152" s="484"/>
      <c r="AN152" s="659"/>
      <c r="AO152" s="484"/>
      <c r="AP152" s="487"/>
      <c r="AQ152" s="487"/>
      <c r="AR152" s="484"/>
      <c r="AS152" s="659"/>
      <c r="AT152" s="484"/>
      <c r="AU152" s="487"/>
      <c r="AV152" s="487"/>
      <c r="AW152" s="484"/>
      <c r="AX152" s="659"/>
      <c r="AZ152" s="372" t="e">
        <f t="shared" si="33"/>
        <v>#N/A</v>
      </c>
      <c r="BA152" s="659"/>
    </row>
    <row r="153" spans="2:53">
      <c r="B153" s="646"/>
      <c r="C153" s="282">
        <v>7</v>
      </c>
      <c r="D153" s="201"/>
      <c r="E153" s="536"/>
      <c r="F153" s="201"/>
      <c r="G153" s="199"/>
      <c r="H153" s="682"/>
      <c r="I153" s="367" t="str">
        <f t="shared" si="30"/>
        <v>-</v>
      </c>
      <c r="J153" s="367" t="str">
        <f t="shared" si="31"/>
        <v>-</v>
      </c>
      <c r="K153" s="199" t="str">
        <f t="shared" si="32"/>
        <v>-</v>
      </c>
      <c r="L153" s="617"/>
      <c r="M153" s="200" t="e">
        <f>RANK(K153, K$147:$K$176)</f>
        <v>#VALUE!</v>
      </c>
      <c r="N153" s="635"/>
      <c r="O153" s="635"/>
      <c r="P153" s="484"/>
      <c r="Q153" s="487"/>
      <c r="R153" s="487"/>
      <c r="S153" s="484"/>
      <c r="T153" s="659"/>
      <c r="U153" s="484"/>
      <c r="V153" s="487"/>
      <c r="W153" s="487"/>
      <c r="X153" s="484"/>
      <c r="Y153" s="659"/>
      <c r="Z153" s="484"/>
      <c r="AA153" s="487"/>
      <c r="AB153" s="487"/>
      <c r="AC153" s="484"/>
      <c r="AD153" s="659"/>
      <c r="AE153" s="484"/>
      <c r="AF153" s="487"/>
      <c r="AG153" s="487"/>
      <c r="AH153" s="484"/>
      <c r="AI153" s="659"/>
      <c r="AJ153" s="484"/>
      <c r="AK153" s="487"/>
      <c r="AL153" s="487"/>
      <c r="AM153" s="484"/>
      <c r="AN153" s="659"/>
      <c r="AO153" s="484"/>
      <c r="AP153" s="487"/>
      <c r="AQ153" s="487"/>
      <c r="AR153" s="484"/>
      <c r="AS153" s="659"/>
      <c r="AT153" s="484"/>
      <c r="AU153" s="487"/>
      <c r="AV153" s="487"/>
      <c r="AW153" s="484"/>
      <c r="AX153" s="659"/>
      <c r="AZ153" s="372" t="e">
        <f t="shared" si="33"/>
        <v>#N/A</v>
      </c>
      <c r="BA153" s="659"/>
    </row>
    <row r="154" spans="2:53">
      <c r="B154" s="646"/>
      <c r="C154" s="282">
        <v>8</v>
      </c>
      <c r="D154" s="201"/>
      <c r="E154" s="536"/>
      <c r="F154" s="201"/>
      <c r="G154" s="199"/>
      <c r="H154" s="682"/>
      <c r="I154" s="367" t="str">
        <f t="shared" si="30"/>
        <v>-</v>
      </c>
      <c r="J154" s="367" t="str">
        <f t="shared" si="31"/>
        <v>-</v>
      </c>
      <c r="K154" s="199" t="str">
        <f t="shared" si="32"/>
        <v>-</v>
      </c>
      <c r="L154" s="617"/>
      <c r="M154" s="200" t="e">
        <f>RANK(K154, K$147:$K$176)</f>
        <v>#VALUE!</v>
      </c>
      <c r="N154" s="635"/>
      <c r="O154" s="635"/>
      <c r="P154" s="484"/>
      <c r="Q154" s="487"/>
      <c r="R154" s="487"/>
      <c r="S154" s="484"/>
      <c r="T154" s="659"/>
      <c r="U154" s="484"/>
      <c r="V154" s="487"/>
      <c r="W154" s="487"/>
      <c r="X154" s="484"/>
      <c r="Y154" s="659"/>
      <c r="Z154" s="484"/>
      <c r="AA154" s="487"/>
      <c r="AB154" s="487"/>
      <c r="AC154" s="484"/>
      <c r="AD154" s="659"/>
      <c r="AE154" s="484"/>
      <c r="AF154" s="487"/>
      <c r="AG154" s="487"/>
      <c r="AH154" s="484"/>
      <c r="AI154" s="659"/>
      <c r="AJ154" s="484"/>
      <c r="AK154" s="487"/>
      <c r="AL154" s="487"/>
      <c r="AM154" s="484"/>
      <c r="AN154" s="659"/>
      <c r="AO154" s="484"/>
      <c r="AP154" s="487"/>
      <c r="AQ154" s="487"/>
      <c r="AR154" s="484"/>
      <c r="AS154" s="659"/>
      <c r="AT154" s="484"/>
      <c r="AU154" s="487"/>
      <c r="AV154" s="487"/>
      <c r="AW154" s="484"/>
      <c r="AX154" s="659"/>
      <c r="AZ154" s="372" t="e">
        <f t="shared" si="33"/>
        <v>#N/A</v>
      </c>
      <c r="BA154" s="659"/>
    </row>
    <row r="155" spans="2:53">
      <c r="B155" s="646"/>
      <c r="C155" s="282">
        <v>9</v>
      </c>
      <c r="D155" s="201"/>
      <c r="E155" s="536"/>
      <c r="F155" s="201"/>
      <c r="G155" s="199"/>
      <c r="H155" s="682"/>
      <c r="I155" s="367" t="str">
        <f t="shared" si="30"/>
        <v>-</v>
      </c>
      <c r="J155" s="367" t="str">
        <f t="shared" si="31"/>
        <v>-</v>
      </c>
      <c r="K155" s="199" t="str">
        <f t="shared" si="32"/>
        <v>-</v>
      </c>
      <c r="L155" s="617"/>
      <c r="M155" s="200" t="e">
        <f>RANK(K155, K$147:$K$176)</f>
        <v>#VALUE!</v>
      </c>
      <c r="N155" s="635"/>
      <c r="O155" s="635"/>
      <c r="P155" s="484"/>
      <c r="Q155" s="487"/>
      <c r="R155" s="487"/>
      <c r="S155" s="484"/>
      <c r="T155" s="659"/>
      <c r="U155" s="484"/>
      <c r="V155" s="487"/>
      <c r="W155" s="487"/>
      <c r="X155" s="484"/>
      <c r="Y155" s="659"/>
      <c r="Z155" s="484"/>
      <c r="AA155" s="487"/>
      <c r="AB155" s="487"/>
      <c r="AC155" s="484"/>
      <c r="AD155" s="659"/>
      <c r="AE155" s="484"/>
      <c r="AF155" s="487"/>
      <c r="AG155" s="487"/>
      <c r="AH155" s="484"/>
      <c r="AI155" s="659"/>
      <c r="AJ155" s="484"/>
      <c r="AK155" s="487"/>
      <c r="AL155" s="487"/>
      <c r="AM155" s="484"/>
      <c r="AN155" s="659"/>
      <c r="AO155" s="484"/>
      <c r="AP155" s="487"/>
      <c r="AQ155" s="487"/>
      <c r="AR155" s="484"/>
      <c r="AS155" s="659"/>
      <c r="AT155" s="484"/>
      <c r="AU155" s="487"/>
      <c r="AV155" s="487"/>
      <c r="AW155" s="484"/>
      <c r="AX155" s="659"/>
      <c r="AZ155" s="372" t="e">
        <f t="shared" si="33"/>
        <v>#N/A</v>
      </c>
      <c r="BA155" s="659"/>
    </row>
    <row r="156" spans="2:53">
      <c r="B156" s="646"/>
      <c r="C156" s="282">
        <v>10</v>
      </c>
      <c r="D156" s="201"/>
      <c r="E156" s="536"/>
      <c r="F156" s="201"/>
      <c r="G156" s="199"/>
      <c r="H156" s="682"/>
      <c r="I156" s="367" t="str">
        <f t="shared" si="30"/>
        <v>-</v>
      </c>
      <c r="J156" s="367" t="str">
        <f t="shared" si="31"/>
        <v>-</v>
      </c>
      <c r="K156" s="199" t="str">
        <f t="shared" si="32"/>
        <v>-</v>
      </c>
      <c r="L156" s="617"/>
      <c r="M156" s="200" t="e">
        <f>RANK(K156, K$147:$K$176)</f>
        <v>#VALUE!</v>
      </c>
      <c r="N156" s="635"/>
      <c r="O156" s="635"/>
      <c r="P156" s="484"/>
      <c r="Q156" s="487"/>
      <c r="R156" s="487"/>
      <c r="S156" s="484"/>
      <c r="T156" s="659"/>
      <c r="U156" s="484"/>
      <c r="V156" s="487"/>
      <c r="W156" s="487"/>
      <c r="X156" s="484"/>
      <c r="Y156" s="659"/>
      <c r="Z156" s="484"/>
      <c r="AA156" s="487"/>
      <c r="AB156" s="487"/>
      <c r="AC156" s="484"/>
      <c r="AD156" s="659"/>
      <c r="AE156" s="484"/>
      <c r="AF156" s="487"/>
      <c r="AG156" s="487"/>
      <c r="AH156" s="484"/>
      <c r="AI156" s="659"/>
      <c r="AJ156" s="484"/>
      <c r="AK156" s="487"/>
      <c r="AL156" s="487"/>
      <c r="AM156" s="484"/>
      <c r="AN156" s="659"/>
      <c r="AO156" s="484"/>
      <c r="AP156" s="487"/>
      <c r="AQ156" s="487"/>
      <c r="AR156" s="484"/>
      <c r="AS156" s="659"/>
      <c r="AT156" s="484"/>
      <c r="AU156" s="487"/>
      <c r="AV156" s="487"/>
      <c r="AW156" s="484"/>
      <c r="AX156" s="659"/>
      <c r="AZ156" s="372" t="e">
        <f t="shared" si="33"/>
        <v>#N/A</v>
      </c>
      <c r="BA156" s="659"/>
    </row>
    <row r="157" spans="2:53">
      <c r="B157" s="646"/>
      <c r="C157" s="282">
        <v>11</v>
      </c>
      <c r="D157" s="201"/>
      <c r="E157" s="536"/>
      <c r="F157" s="201"/>
      <c r="G157" s="199"/>
      <c r="H157" s="682"/>
      <c r="I157" s="367" t="str">
        <f t="shared" si="30"/>
        <v>-</v>
      </c>
      <c r="J157" s="367" t="str">
        <f t="shared" si="31"/>
        <v>-</v>
      </c>
      <c r="K157" s="199" t="str">
        <f t="shared" si="32"/>
        <v>-</v>
      </c>
      <c r="L157" s="617"/>
      <c r="M157" s="200" t="e">
        <f>RANK(K157, K$147:$K$176)</f>
        <v>#VALUE!</v>
      </c>
      <c r="N157" s="635"/>
      <c r="O157" s="635"/>
      <c r="P157" s="484"/>
      <c r="Q157" s="487"/>
      <c r="R157" s="487"/>
      <c r="S157" s="484"/>
      <c r="T157" s="659"/>
      <c r="U157" s="484"/>
      <c r="V157" s="487"/>
      <c r="W157" s="487"/>
      <c r="X157" s="484"/>
      <c r="Y157" s="659"/>
      <c r="Z157" s="484"/>
      <c r="AA157" s="487"/>
      <c r="AB157" s="487"/>
      <c r="AC157" s="484"/>
      <c r="AD157" s="659"/>
      <c r="AE157" s="484"/>
      <c r="AF157" s="487"/>
      <c r="AG157" s="487"/>
      <c r="AH157" s="484"/>
      <c r="AI157" s="659"/>
      <c r="AJ157" s="484"/>
      <c r="AK157" s="487"/>
      <c r="AL157" s="487"/>
      <c r="AM157" s="484"/>
      <c r="AN157" s="659"/>
      <c r="AO157" s="484"/>
      <c r="AP157" s="487"/>
      <c r="AQ157" s="487"/>
      <c r="AR157" s="484"/>
      <c r="AS157" s="659"/>
      <c r="AT157" s="484"/>
      <c r="AU157" s="487"/>
      <c r="AV157" s="487"/>
      <c r="AW157" s="484"/>
      <c r="AX157" s="659"/>
      <c r="AZ157" s="372" t="e">
        <f t="shared" si="33"/>
        <v>#N/A</v>
      </c>
      <c r="BA157" s="659"/>
    </row>
    <row r="158" spans="2:53">
      <c r="B158" s="646"/>
      <c r="C158" s="282">
        <v>12</v>
      </c>
      <c r="D158" s="201"/>
      <c r="E158" s="536"/>
      <c r="F158" s="201"/>
      <c r="G158" s="199"/>
      <c r="H158" s="682"/>
      <c r="I158" s="367" t="str">
        <f t="shared" si="30"/>
        <v>-</v>
      </c>
      <c r="J158" s="367" t="str">
        <f t="shared" si="31"/>
        <v>-</v>
      </c>
      <c r="K158" s="199" t="str">
        <f t="shared" si="32"/>
        <v>-</v>
      </c>
      <c r="L158" s="617"/>
      <c r="M158" s="200" t="e">
        <f>RANK(K158, K$147:$K$176)</f>
        <v>#VALUE!</v>
      </c>
      <c r="N158" s="635"/>
      <c r="O158" s="635"/>
      <c r="P158" s="484"/>
      <c r="Q158" s="487"/>
      <c r="R158" s="487"/>
      <c r="S158" s="484"/>
      <c r="T158" s="659"/>
      <c r="U158" s="484"/>
      <c r="V158" s="487"/>
      <c r="W158" s="487"/>
      <c r="X158" s="484"/>
      <c r="Y158" s="659"/>
      <c r="Z158" s="484"/>
      <c r="AA158" s="487"/>
      <c r="AB158" s="487"/>
      <c r="AC158" s="484"/>
      <c r="AD158" s="659"/>
      <c r="AE158" s="484"/>
      <c r="AF158" s="487"/>
      <c r="AG158" s="487"/>
      <c r="AH158" s="484"/>
      <c r="AI158" s="659"/>
      <c r="AJ158" s="484"/>
      <c r="AK158" s="487"/>
      <c r="AL158" s="487"/>
      <c r="AM158" s="484"/>
      <c r="AN158" s="659"/>
      <c r="AO158" s="484"/>
      <c r="AP158" s="487"/>
      <c r="AQ158" s="487"/>
      <c r="AR158" s="484"/>
      <c r="AS158" s="659"/>
      <c r="AT158" s="484"/>
      <c r="AU158" s="487"/>
      <c r="AV158" s="487"/>
      <c r="AW158" s="484"/>
      <c r="AX158" s="659"/>
      <c r="AZ158" s="372" t="e">
        <f t="shared" si="33"/>
        <v>#N/A</v>
      </c>
      <c r="BA158" s="659"/>
    </row>
    <row r="159" spans="2:53">
      <c r="B159" s="646"/>
      <c r="C159" s="282">
        <v>13</v>
      </c>
      <c r="D159" s="201"/>
      <c r="E159" s="536"/>
      <c r="F159" s="201"/>
      <c r="G159" s="199"/>
      <c r="H159" s="682"/>
      <c r="I159" s="367" t="str">
        <f t="shared" si="30"/>
        <v>-</v>
      </c>
      <c r="J159" s="367" t="str">
        <f t="shared" si="31"/>
        <v>-</v>
      </c>
      <c r="K159" s="199" t="str">
        <f t="shared" si="32"/>
        <v>-</v>
      </c>
      <c r="L159" s="617"/>
      <c r="M159" s="200" t="e">
        <f>RANK(K159, K$147:$K$176)</f>
        <v>#VALUE!</v>
      </c>
      <c r="N159" s="635"/>
      <c r="O159" s="635"/>
      <c r="P159" s="484"/>
      <c r="Q159" s="487"/>
      <c r="R159" s="487"/>
      <c r="S159" s="484"/>
      <c r="T159" s="659"/>
      <c r="U159" s="484"/>
      <c r="V159" s="487"/>
      <c r="W159" s="487"/>
      <c r="X159" s="484"/>
      <c r="Y159" s="659"/>
      <c r="Z159" s="484"/>
      <c r="AA159" s="487"/>
      <c r="AB159" s="487"/>
      <c r="AC159" s="484"/>
      <c r="AD159" s="659"/>
      <c r="AE159" s="484"/>
      <c r="AF159" s="487"/>
      <c r="AG159" s="487"/>
      <c r="AH159" s="484"/>
      <c r="AI159" s="659"/>
      <c r="AJ159" s="484"/>
      <c r="AK159" s="487"/>
      <c r="AL159" s="487"/>
      <c r="AM159" s="484"/>
      <c r="AN159" s="659"/>
      <c r="AO159" s="484"/>
      <c r="AP159" s="487"/>
      <c r="AQ159" s="487"/>
      <c r="AR159" s="484"/>
      <c r="AS159" s="659"/>
      <c r="AT159" s="484"/>
      <c r="AU159" s="487"/>
      <c r="AV159" s="487"/>
      <c r="AW159" s="484"/>
      <c r="AX159" s="659"/>
      <c r="AZ159" s="372" t="e">
        <f t="shared" si="33"/>
        <v>#N/A</v>
      </c>
      <c r="BA159" s="659"/>
    </row>
    <row r="160" spans="2:53">
      <c r="B160" s="646"/>
      <c r="C160" s="282">
        <v>14</v>
      </c>
      <c r="D160" s="201"/>
      <c r="E160" s="536"/>
      <c r="F160" s="201"/>
      <c r="G160" s="199"/>
      <c r="H160" s="682"/>
      <c r="I160" s="367" t="str">
        <f t="shared" si="30"/>
        <v>-</v>
      </c>
      <c r="J160" s="367" t="str">
        <f t="shared" si="31"/>
        <v>-</v>
      </c>
      <c r="K160" s="199" t="str">
        <f t="shared" si="32"/>
        <v>-</v>
      </c>
      <c r="L160" s="617"/>
      <c r="M160" s="200" t="e">
        <f>RANK(K160, K$147:$K$176)</f>
        <v>#VALUE!</v>
      </c>
      <c r="N160" s="635"/>
      <c r="O160" s="635"/>
      <c r="P160" s="484"/>
      <c r="Q160" s="487"/>
      <c r="R160" s="487"/>
      <c r="S160" s="484"/>
      <c r="T160" s="659"/>
      <c r="U160" s="484"/>
      <c r="V160" s="487"/>
      <c r="W160" s="487"/>
      <c r="X160" s="484"/>
      <c r="Y160" s="659"/>
      <c r="Z160" s="484"/>
      <c r="AA160" s="487"/>
      <c r="AB160" s="487"/>
      <c r="AC160" s="484"/>
      <c r="AD160" s="659"/>
      <c r="AE160" s="484"/>
      <c r="AF160" s="487"/>
      <c r="AG160" s="487"/>
      <c r="AH160" s="484"/>
      <c r="AI160" s="659"/>
      <c r="AJ160" s="484"/>
      <c r="AK160" s="487"/>
      <c r="AL160" s="487"/>
      <c r="AM160" s="484"/>
      <c r="AN160" s="659"/>
      <c r="AO160" s="484"/>
      <c r="AP160" s="487"/>
      <c r="AQ160" s="487"/>
      <c r="AR160" s="484"/>
      <c r="AS160" s="659"/>
      <c r="AT160" s="484"/>
      <c r="AU160" s="487"/>
      <c r="AV160" s="487"/>
      <c r="AW160" s="484"/>
      <c r="AX160" s="659"/>
      <c r="AZ160" s="372" t="e">
        <f t="shared" si="33"/>
        <v>#N/A</v>
      </c>
      <c r="BA160" s="659"/>
    </row>
    <row r="161" spans="2:53">
      <c r="B161" s="646"/>
      <c r="C161" s="282">
        <v>15</v>
      </c>
      <c r="D161" s="201"/>
      <c r="E161" s="536"/>
      <c r="F161" s="201"/>
      <c r="G161" s="199"/>
      <c r="H161" s="682"/>
      <c r="I161" s="367" t="str">
        <f t="shared" si="30"/>
        <v>-</v>
      </c>
      <c r="J161" s="367" t="str">
        <f t="shared" si="31"/>
        <v>-</v>
      </c>
      <c r="K161" s="199" t="str">
        <f t="shared" si="32"/>
        <v>-</v>
      </c>
      <c r="L161" s="617"/>
      <c r="M161" s="198" t="e">
        <f>RANK(K161, K$147:$K$176)</f>
        <v>#VALUE!</v>
      </c>
      <c r="N161" s="635"/>
      <c r="O161" s="635"/>
      <c r="P161" s="484"/>
      <c r="Q161" s="487"/>
      <c r="R161" s="487"/>
      <c r="S161" s="484"/>
      <c r="T161" s="659"/>
      <c r="U161" s="484"/>
      <c r="V161" s="487"/>
      <c r="W161" s="487"/>
      <c r="X161" s="484"/>
      <c r="Y161" s="659"/>
      <c r="Z161" s="484"/>
      <c r="AA161" s="487"/>
      <c r="AB161" s="487"/>
      <c r="AC161" s="484"/>
      <c r="AD161" s="659"/>
      <c r="AE161" s="484"/>
      <c r="AF161" s="487"/>
      <c r="AG161" s="487"/>
      <c r="AH161" s="484"/>
      <c r="AI161" s="659"/>
      <c r="AJ161" s="484"/>
      <c r="AK161" s="487"/>
      <c r="AL161" s="487"/>
      <c r="AM161" s="484"/>
      <c r="AN161" s="659"/>
      <c r="AO161" s="484"/>
      <c r="AP161" s="487"/>
      <c r="AQ161" s="487"/>
      <c r="AR161" s="484"/>
      <c r="AS161" s="659"/>
      <c r="AT161" s="484"/>
      <c r="AU161" s="487"/>
      <c r="AV161" s="487"/>
      <c r="AW161" s="484"/>
      <c r="AX161" s="659"/>
      <c r="AZ161" s="372" t="e">
        <f t="shared" si="33"/>
        <v>#N/A</v>
      </c>
      <c r="BA161" s="659"/>
    </row>
    <row r="162" spans="2:53">
      <c r="B162" s="646"/>
      <c r="C162" s="282">
        <v>16</v>
      </c>
      <c r="D162" s="201"/>
      <c r="E162" s="536"/>
      <c r="F162" s="201"/>
      <c r="G162" s="199"/>
      <c r="H162" s="682"/>
      <c r="I162" s="367" t="str">
        <f t="shared" si="30"/>
        <v>-</v>
      </c>
      <c r="J162" s="367" t="str">
        <f t="shared" si="31"/>
        <v>-</v>
      </c>
      <c r="K162" s="199" t="str">
        <f t="shared" si="32"/>
        <v>-</v>
      </c>
      <c r="L162" s="617"/>
      <c r="M162" s="198" t="e">
        <f>RANK(K162, K$147:$K$176)</f>
        <v>#VALUE!</v>
      </c>
      <c r="N162" s="635"/>
      <c r="O162" s="635"/>
      <c r="P162" s="484"/>
      <c r="Q162" s="487"/>
      <c r="R162" s="487"/>
      <c r="S162" s="484"/>
      <c r="T162" s="659"/>
      <c r="U162" s="484"/>
      <c r="V162" s="487"/>
      <c r="W162" s="487"/>
      <c r="X162" s="484"/>
      <c r="Y162" s="659"/>
      <c r="Z162" s="484"/>
      <c r="AA162" s="487"/>
      <c r="AB162" s="487"/>
      <c r="AC162" s="484"/>
      <c r="AD162" s="659"/>
      <c r="AE162" s="484"/>
      <c r="AF162" s="487"/>
      <c r="AG162" s="487"/>
      <c r="AH162" s="484"/>
      <c r="AI162" s="659"/>
      <c r="AJ162" s="484"/>
      <c r="AK162" s="487"/>
      <c r="AL162" s="487"/>
      <c r="AM162" s="484"/>
      <c r="AN162" s="659"/>
      <c r="AO162" s="484"/>
      <c r="AP162" s="487"/>
      <c r="AQ162" s="487"/>
      <c r="AR162" s="484"/>
      <c r="AS162" s="659"/>
      <c r="AT162" s="484"/>
      <c r="AU162" s="487"/>
      <c r="AV162" s="487"/>
      <c r="AW162" s="484"/>
      <c r="AX162" s="659"/>
      <c r="AZ162" s="372" t="e">
        <f t="shared" si="33"/>
        <v>#N/A</v>
      </c>
      <c r="BA162" s="659"/>
    </row>
    <row r="163" spans="2:53">
      <c r="B163" s="646"/>
      <c r="C163" s="282">
        <v>17</v>
      </c>
      <c r="D163" s="201"/>
      <c r="E163" s="536"/>
      <c r="F163" s="201"/>
      <c r="G163" s="199"/>
      <c r="H163" s="682"/>
      <c r="I163" s="367" t="str">
        <f t="shared" si="30"/>
        <v>-</v>
      </c>
      <c r="J163" s="367" t="str">
        <f t="shared" si="31"/>
        <v>-</v>
      </c>
      <c r="K163" s="199" t="str">
        <f t="shared" si="32"/>
        <v>-</v>
      </c>
      <c r="L163" s="617"/>
      <c r="M163" s="198" t="e">
        <f>RANK(K163, K$147:$K$176)</f>
        <v>#VALUE!</v>
      </c>
      <c r="N163" s="635"/>
      <c r="O163" s="635"/>
      <c r="P163" s="484"/>
      <c r="Q163" s="487"/>
      <c r="R163" s="487"/>
      <c r="S163" s="484"/>
      <c r="T163" s="659"/>
      <c r="U163" s="484"/>
      <c r="V163" s="487"/>
      <c r="W163" s="487"/>
      <c r="X163" s="484"/>
      <c r="Y163" s="659"/>
      <c r="Z163" s="484"/>
      <c r="AA163" s="487"/>
      <c r="AB163" s="487"/>
      <c r="AC163" s="484"/>
      <c r="AD163" s="659"/>
      <c r="AE163" s="484"/>
      <c r="AF163" s="487"/>
      <c r="AG163" s="487"/>
      <c r="AH163" s="484"/>
      <c r="AI163" s="659"/>
      <c r="AJ163" s="484"/>
      <c r="AK163" s="487"/>
      <c r="AL163" s="487"/>
      <c r="AM163" s="484"/>
      <c r="AN163" s="659"/>
      <c r="AO163" s="484"/>
      <c r="AP163" s="487"/>
      <c r="AQ163" s="487"/>
      <c r="AR163" s="484"/>
      <c r="AS163" s="659"/>
      <c r="AT163" s="484"/>
      <c r="AU163" s="487"/>
      <c r="AV163" s="487"/>
      <c r="AW163" s="484"/>
      <c r="AX163" s="659"/>
      <c r="AZ163" s="372" t="e">
        <f t="shared" si="33"/>
        <v>#N/A</v>
      </c>
      <c r="BA163" s="659"/>
    </row>
    <row r="164" spans="2:53">
      <c r="B164" s="646"/>
      <c r="C164" s="282">
        <v>18</v>
      </c>
      <c r="D164" s="201"/>
      <c r="E164" s="536"/>
      <c r="F164" s="201"/>
      <c r="G164" s="199"/>
      <c r="H164" s="682"/>
      <c r="I164" s="367" t="str">
        <f t="shared" si="30"/>
        <v>-</v>
      </c>
      <c r="J164" s="367" t="str">
        <f t="shared" si="31"/>
        <v>-</v>
      </c>
      <c r="K164" s="199" t="str">
        <f t="shared" si="32"/>
        <v>-</v>
      </c>
      <c r="L164" s="617"/>
      <c r="M164" s="198" t="e">
        <f>RANK(K164, K$147:$K$176)</f>
        <v>#VALUE!</v>
      </c>
      <c r="N164" s="635"/>
      <c r="O164" s="635"/>
      <c r="P164" s="484"/>
      <c r="Q164" s="487"/>
      <c r="R164" s="487"/>
      <c r="S164" s="484"/>
      <c r="T164" s="659"/>
      <c r="U164" s="484"/>
      <c r="V164" s="487"/>
      <c r="W164" s="487"/>
      <c r="X164" s="484"/>
      <c r="Y164" s="659"/>
      <c r="Z164" s="484"/>
      <c r="AA164" s="487"/>
      <c r="AB164" s="487"/>
      <c r="AC164" s="484"/>
      <c r="AD164" s="659"/>
      <c r="AE164" s="484"/>
      <c r="AF164" s="487"/>
      <c r="AG164" s="487"/>
      <c r="AH164" s="484"/>
      <c r="AI164" s="659"/>
      <c r="AJ164" s="484"/>
      <c r="AK164" s="487"/>
      <c r="AL164" s="487"/>
      <c r="AM164" s="484"/>
      <c r="AN164" s="659"/>
      <c r="AO164" s="484"/>
      <c r="AP164" s="487"/>
      <c r="AQ164" s="487"/>
      <c r="AR164" s="484"/>
      <c r="AS164" s="659"/>
      <c r="AT164" s="484"/>
      <c r="AU164" s="487"/>
      <c r="AV164" s="487"/>
      <c r="AW164" s="484"/>
      <c r="AX164" s="659"/>
      <c r="AZ164" s="372" t="e">
        <f t="shared" si="33"/>
        <v>#N/A</v>
      </c>
      <c r="BA164" s="659"/>
    </row>
    <row r="165" spans="2:53">
      <c r="B165" s="646"/>
      <c r="C165" s="282">
        <v>19</v>
      </c>
      <c r="D165" s="201"/>
      <c r="E165" s="536"/>
      <c r="F165" s="201"/>
      <c r="G165" s="199"/>
      <c r="H165" s="682"/>
      <c r="I165" s="367" t="str">
        <f t="shared" si="30"/>
        <v>-</v>
      </c>
      <c r="J165" s="367" t="str">
        <f t="shared" si="31"/>
        <v>-</v>
      </c>
      <c r="K165" s="199" t="str">
        <f t="shared" si="32"/>
        <v>-</v>
      </c>
      <c r="L165" s="617"/>
      <c r="M165" s="198" t="e">
        <f>RANK(K165, K$147:$K$176)</f>
        <v>#VALUE!</v>
      </c>
      <c r="N165" s="635"/>
      <c r="O165" s="635"/>
      <c r="P165" s="484"/>
      <c r="Q165" s="487"/>
      <c r="R165" s="487"/>
      <c r="S165" s="484"/>
      <c r="T165" s="659"/>
      <c r="U165" s="484"/>
      <c r="V165" s="487"/>
      <c r="W165" s="487"/>
      <c r="X165" s="484"/>
      <c r="Y165" s="659"/>
      <c r="Z165" s="484"/>
      <c r="AA165" s="487"/>
      <c r="AB165" s="487"/>
      <c r="AC165" s="484"/>
      <c r="AD165" s="659"/>
      <c r="AE165" s="484"/>
      <c r="AF165" s="487"/>
      <c r="AG165" s="487"/>
      <c r="AH165" s="484"/>
      <c r="AI165" s="659"/>
      <c r="AJ165" s="484"/>
      <c r="AK165" s="487"/>
      <c r="AL165" s="487"/>
      <c r="AM165" s="484"/>
      <c r="AN165" s="659"/>
      <c r="AO165" s="484"/>
      <c r="AP165" s="487"/>
      <c r="AQ165" s="487"/>
      <c r="AR165" s="484"/>
      <c r="AS165" s="659"/>
      <c r="AT165" s="484"/>
      <c r="AU165" s="487"/>
      <c r="AV165" s="487"/>
      <c r="AW165" s="484"/>
      <c r="AX165" s="659"/>
      <c r="AZ165" s="372" t="e">
        <f t="shared" si="33"/>
        <v>#N/A</v>
      </c>
      <c r="BA165" s="659"/>
    </row>
    <row r="166" spans="2:53">
      <c r="B166" s="646"/>
      <c r="C166" s="282">
        <v>20</v>
      </c>
      <c r="D166" s="201"/>
      <c r="E166" s="536"/>
      <c r="F166" s="201"/>
      <c r="G166" s="199"/>
      <c r="H166" s="682"/>
      <c r="I166" s="367" t="str">
        <f t="shared" si="30"/>
        <v>-</v>
      </c>
      <c r="J166" s="367" t="str">
        <f t="shared" si="31"/>
        <v>-</v>
      </c>
      <c r="K166" s="199" t="str">
        <f t="shared" si="32"/>
        <v>-</v>
      </c>
      <c r="L166" s="617"/>
      <c r="M166" s="198" t="e">
        <f>RANK(K166, K$147:$K$176)</f>
        <v>#VALUE!</v>
      </c>
      <c r="N166" s="635"/>
      <c r="O166" s="635"/>
      <c r="P166" s="484"/>
      <c r="Q166" s="487"/>
      <c r="R166" s="487"/>
      <c r="S166" s="484"/>
      <c r="T166" s="659"/>
      <c r="U166" s="484"/>
      <c r="V166" s="487"/>
      <c r="W166" s="487"/>
      <c r="X166" s="484"/>
      <c r="Y166" s="659"/>
      <c r="Z166" s="484"/>
      <c r="AA166" s="487"/>
      <c r="AB166" s="487"/>
      <c r="AC166" s="484"/>
      <c r="AD166" s="659"/>
      <c r="AE166" s="484"/>
      <c r="AF166" s="487"/>
      <c r="AG166" s="487"/>
      <c r="AH166" s="484"/>
      <c r="AI166" s="659"/>
      <c r="AJ166" s="484"/>
      <c r="AK166" s="487"/>
      <c r="AL166" s="487"/>
      <c r="AM166" s="484"/>
      <c r="AN166" s="659"/>
      <c r="AO166" s="484"/>
      <c r="AP166" s="487"/>
      <c r="AQ166" s="487"/>
      <c r="AR166" s="484"/>
      <c r="AS166" s="659"/>
      <c r="AT166" s="484"/>
      <c r="AU166" s="487"/>
      <c r="AV166" s="487"/>
      <c r="AW166" s="484"/>
      <c r="AX166" s="659"/>
      <c r="AZ166" s="372" t="e">
        <f t="shared" si="33"/>
        <v>#N/A</v>
      </c>
      <c r="BA166" s="659"/>
    </row>
    <row r="167" spans="2:53">
      <c r="B167" s="646"/>
      <c r="C167" s="282">
        <v>21</v>
      </c>
      <c r="D167" s="201"/>
      <c r="E167" s="536"/>
      <c r="F167" s="201"/>
      <c r="G167" s="199"/>
      <c r="H167" s="682"/>
      <c r="I167" s="367" t="str">
        <f t="shared" si="30"/>
        <v>-</v>
      </c>
      <c r="J167" s="367" t="str">
        <f t="shared" si="31"/>
        <v>-</v>
      </c>
      <c r="K167" s="199" t="str">
        <f t="shared" si="32"/>
        <v>-</v>
      </c>
      <c r="L167" s="617"/>
      <c r="M167" s="198" t="e">
        <f>RANK(K167, K$147:$K$176)</f>
        <v>#VALUE!</v>
      </c>
      <c r="N167" s="635"/>
      <c r="O167" s="635"/>
      <c r="P167" s="484"/>
      <c r="Q167" s="487"/>
      <c r="R167" s="487"/>
      <c r="S167" s="484"/>
      <c r="T167" s="659"/>
      <c r="U167" s="484"/>
      <c r="V167" s="487"/>
      <c r="W167" s="487"/>
      <c r="X167" s="484"/>
      <c r="Y167" s="659"/>
      <c r="Z167" s="484"/>
      <c r="AA167" s="487"/>
      <c r="AB167" s="487"/>
      <c r="AC167" s="484"/>
      <c r="AD167" s="659"/>
      <c r="AE167" s="484"/>
      <c r="AF167" s="487"/>
      <c r="AG167" s="487"/>
      <c r="AH167" s="484"/>
      <c r="AI167" s="659"/>
      <c r="AJ167" s="484"/>
      <c r="AK167" s="487"/>
      <c r="AL167" s="487"/>
      <c r="AM167" s="484"/>
      <c r="AN167" s="659"/>
      <c r="AO167" s="484"/>
      <c r="AP167" s="487"/>
      <c r="AQ167" s="487"/>
      <c r="AR167" s="484"/>
      <c r="AS167" s="659"/>
      <c r="AT167" s="484"/>
      <c r="AU167" s="487"/>
      <c r="AV167" s="487"/>
      <c r="AW167" s="484"/>
      <c r="AX167" s="659"/>
      <c r="AZ167" s="372" t="e">
        <f t="shared" si="33"/>
        <v>#N/A</v>
      </c>
      <c r="BA167" s="659"/>
    </row>
    <row r="168" spans="2:53">
      <c r="B168" s="646"/>
      <c r="C168" s="282">
        <v>22</v>
      </c>
      <c r="D168" s="201"/>
      <c r="E168" s="536"/>
      <c r="F168" s="201"/>
      <c r="G168" s="199"/>
      <c r="H168" s="682"/>
      <c r="I168" s="367" t="str">
        <f t="shared" si="30"/>
        <v>-</v>
      </c>
      <c r="J168" s="367" t="str">
        <f t="shared" si="31"/>
        <v>-</v>
      </c>
      <c r="K168" s="199" t="str">
        <f t="shared" si="32"/>
        <v>-</v>
      </c>
      <c r="L168" s="617"/>
      <c r="M168" s="198" t="e">
        <f>RANK(K168, K$147:$K$176)</f>
        <v>#VALUE!</v>
      </c>
      <c r="N168" s="635"/>
      <c r="O168" s="635"/>
      <c r="P168" s="484"/>
      <c r="Q168" s="487"/>
      <c r="R168" s="487"/>
      <c r="S168" s="484"/>
      <c r="T168" s="659"/>
      <c r="U168" s="484"/>
      <c r="V168" s="487"/>
      <c r="W168" s="487"/>
      <c r="X168" s="484"/>
      <c r="Y168" s="659"/>
      <c r="Z168" s="484"/>
      <c r="AA168" s="487"/>
      <c r="AB168" s="487"/>
      <c r="AC168" s="484"/>
      <c r="AD168" s="659"/>
      <c r="AE168" s="484"/>
      <c r="AF168" s="487"/>
      <c r="AG168" s="487"/>
      <c r="AH168" s="484"/>
      <c r="AI168" s="659"/>
      <c r="AJ168" s="484"/>
      <c r="AK168" s="487"/>
      <c r="AL168" s="487"/>
      <c r="AM168" s="484"/>
      <c r="AN168" s="659"/>
      <c r="AO168" s="484"/>
      <c r="AP168" s="487"/>
      <c r="AQ168" s="487"/>
      <c r="AR168" s="484"/>
      <c r="AS168" s="659"/>
      <c r="AT168" s="484"/>
      <c r="AU168" s="487"/>
      <c r="AV168" s="487"/>
      <c r="AW168" s="484"/>
      <c r="AX168" s="659"/>
      <c r="AZ168" s="372" t="e">
        <f t="shared" si="33"/>
        <v>#N/A</v>
      </c>
      <c r="BA168" s="659"/>
    </row>
    <row r="169" spans="2:53">
      <c r="B169" s="646"/>
      <c r="C169" s="282">
        <v>23</v>
      </c>
      <c r="D169" s="201"/>
      <c r="E169" s="536"/>
      <c r="F169" s="201"/>
      <c r="G169" s="199"/>
      <c r="H169" s="682"/>
      <c r="I169" s="367" t="str">
        <f t="shared" si="30"/>
        <v>-</v>
      </c>
      <c r="J169" s="367" t="str">
        <f t="shared" si="31"/>
        <v>-</v>
      </c>
      <c r="K169" s="199" t="str">
        <f t="shared" si="32"/>
        <v>-</v>
      </c>
      <c r="L169" s="617"/>
      <c r="M169" s="198" t="e">
        <f>RANK(K169, K$147:$K$176)</f>
        <v>#VALUE!</v>
      </c>
      <c r="N169" s="635"/>
      <c r="O169" s="635"/>
      <c r="P169" s="484"/>
      <c r="Q169" s="487"/>
      <c r="R169" s="487"/>
      <c r="S169" s="484"/>
      <c r="T169" s="659"/>
      <c r="U169" s="484"/>
      <c r="V169" s="487"/>
      <c r="W169" s="487"/>
      <c r="X169" s="484"/>
      <c r="Y169" s="659"/>
      <c r="Z169" s="484"/>
      <c r="AA169" s="487"/>
      <c r="AB169" s="487"/>
      <c r="AC169" s="484"/>
      <c r="AD169" s="659"/>
      <c r="AE169" s="484"/>
      <c r="AF169" s="487"/>
      <c r="AG169" s="487"/>
      <c r="AH169" s="484"/>
      <c r="AI169" s="659"/>
      <c r="AJ169" s="484"/>
      <c r="AK169" s="487"/>
      <c r="AL169" s="487"/>
      <c r="AM169" s="484"/>
      <c r="AN169" s="659"/>
      <c r="AO169" s="484"/>
      <c r="AP169" s="487"/>
      <c r="AQ169" s="487"/>
      <c r="AR169" s="484"/>
      <c r="AS169" s="659"/>
      <c r="AT169" s="484"/>
      <c r="AU169" s="487"/>
      <c r="AV169" s="487"/>
      <c r="AW169" s="484"/>
      <c r="AX169" s="659"/>
      <c r="AZ169" s="372" t="e">
        <f t="shared" si="33"/>
        <v>#N/A</v>
      </c>
      <c r="BA169" s="659"/>
    </row>
    <row r="170" spans="2:53">
      <c r="B170" s="646"/>
      <c r="C170" s="282">
        <v>24</v>
      </c>
      <c r="D170" s="201"/>
      <c r="E170" s="536"/>
      <c r="F170" s="201"/>
      <c r="G170" s="199"/>
      <c r="H170" s="682"/>
      <c r="I170" s="367" t="str">
        <f t="shared" si="30"/>
        <v>-</v>
      </c>
      <c r="J170" s="367" t="str">
        <f t="shared" si="31"/>
        <v>-</v>
      </c>
      <c r="K170" s="199" t="str">
        <f t="shared" si="32"/>
        <v>-</v>
      </c>
      <c r="L170" s="617"/>
      <c r="M170" s="198" t="e">
        <f>RANK(K170, K$147:$K$176)</f>
        <v>#VALUE!</v>
      </c>
      <c r="N170" s="635"/>
      <c r="O170" s="635"/>
      <c r="P170" s="484"/>
      <c r="Q170" s="487"/>
      <c r="R170" s="487"/>
      <c r="S170" s="484"/>
      <c r="T170" s="659"/>
      <c r="U170" s="484"/>
      <c r="V170" s="487"/>
      <c r="W170" s="487"/>
      <c r="X170" s="484"/>
      <c r="Y170" s="659"/>
      <c r="Z170" s="484"/>
      <c r="AA170" s="487"/>
      <c r="AB170" s="487"/>
      <c r="AC170" s="484"/>
      <c r="AD170" s="659"/>
      <c r="AE170" s="484"/>
      <c r="AF170" s="487"/>
      <c r="AG170" s="487"/>
      <c r="AH170" s="484"/>
      <c r="AI170" s="659"/>
      <c r="AJ170" s="484"/>
      <c r="AK170" s="487"/>
      <c r="AL170" s="487"/>
      <c r="AM170" s="484"/>
      <c r="AN170" s="659"/>
      <c r="AO170" s="484"/>
      <c r="AP170" s="487"/>
      <c r="AQ170" s="487"/>
      <c r="AR170" s="484"/>
      <c r="AS170" s="659"/>
      <c r="AT170" s="484"/>
      <c r="AU170" s="487"/>
      <c r="AV170" s="487"/>
      <c r="AW170" s="484"/>
      <c r="AX170" s="659"/>
      <c r="AZ170" s="372" t="e">
        <f t="shared" si="33"/>
        <v>#N/A</v>
      </c>
      <c r="BA170" s="659"/>
    </row>
    <row r="171" spans="2:53">
      <c r="B171" s="646"/>
      <c r="C171" s="282">
        <v>25</v>
      </c>
      <c r="D171" s="201"/>
      <c r="E171" s="536"/>
      <c r="F171" s="201"/>
      <c r="G171" s="199"/>
      <c r="H171" s="682"/>
      <c r="I171" s="367" t="str">
        <f t="shared" si="30"/>
        <v>-</v>
      </c>
      <c r="J171" s="367" t="str">
        <f t="shared" si="31"/>
        <v>-</v>
      </c>
      <c r="K171" s="199" t="str">
        <f t="shared" si="32"/>
        <v>-</v>
      </c>
      <c r="L171" s="617"/>
      <c r="M171" s="198" t="e">
        <f>RANK(K171, K$147:$K$176)</f>
        <v>#VALUE!</v>
      </c>
      <c r="N171" s="635"/>
      <c r="O171" s="635"/>
      <c r="P171" s="484"/>
      <c r="Q171" s="487"/>
      <c r="R171" s="487"/>
      <c r="S171" s="484"/>
      <c r="T171" s="659"/>
      <c r="U171" s="484"/>
      <c r="V171" s="487"/>
      <c r="W171" s="487"/>
      <c r="X171" s="484"/>
      <c r="Y171" s="659"/>
      <c r="Z171" s="484"/>
      <c r="AA171" s="487"/>
      <c r="AB171" s="487"/>
      <c r="AC171" s="484"/>
      <c r="AD171" s="659"/>
      <c r="AE171" s="484"/>
      <c r="AF171" s="487"/>
      <c r="AG171" s="487"/>
      <c r="AH171" s="484"/>
      <c r="AI171" s="659"/>
      <c r="AJ171" s="484"/>
      <c r="AK171" s="487"/>
      <c r="AL171" s="487"/>
      <c r="AM171" s="484"/>
      <c r="AN171" s="659"/>
      <c r="AO171" s="484"/>
      <c r="AP171" s="487"/>
      <c r="AQ171" s="487"/>
      <c r="AR171" s="484"/>
      <c r="AS171" s="659"/>
      <c r="AT171" s="484"/>
      <c r="AU171" s="487"/>
      <c r="AV171" s="487"/>
      <c r="AW171" s="484"/>
      <c r="AX171" s="659"/>
      <c r="AZ171" s="372" t="e">
        <f t="shared" si="33"/>
        <v>#N/A</v>
      </c>
      <c r="BA171" s="659"/>
    </row>
    <row r="172" spans="2:53">
      <c r="B172" s="646"/>
      <c r="C172" s="282">
        <v>26</v>
      </c>
      <c r="D172" s="201"/>
      <c r="E172" s="536"/>
      <c r="F172" s="201"/>
      <c r="G172" s="199"/>
      <c r="H172" s="682"/>
      <c r="I172" s="367" t="str">
        <f t="shared" si="30"/>
        <v>-</v>
      </c>
      <c r="J172" s="367" t="str">
        <f t="shared" si="31"/>
        <v>-</v>
      </c>
      <c r="K172" s="199" t="str">
        <f t="shared" si="32"/>
        <v>-</v>
      </c>
      <c r="L172" s="617"/>
      <c r="M172" s="198" t="e">
        <f>RANK(K172, K$147:$K$176)</f>
        <v>#VALUE!</v>
      </c>
      <c r="N172" s="635"/>
      <c r="O172" s="635"/>
      <c r="P172" s="484"/>
      <c r="Q172" s="487"/>
      <c r="R172" s="487"/>
      <c r="S172" s="484"/>
      <c r="T172" s="659"/>
      <c r="U172" s="484"/>
      <c r="V172" s="487"/>
      <c r="W172" s="487"/>
      <c r="X172" s="484"/>
      <c r="Y172" s="659"/>
      <c r="Z172" s="484"/>
      <c r="AA172" s="487"/>
      <c r="AB172" s="487"/>
      <c r="AC172" s="484"/>
      <c r="AD172" s="659"/>
      <c r="AE172" s="484"/>
      <c r="AF172" s="487"/>
      <c r="AG172" s="487"/>
      <c r="AH172" s="484"/>
      <c r="AI172" s="659"/>
      <c r="AJ172" s="484"/>
      <c r="AK172" s="487"/>
      <c r="AL172" s="487"/>
      <c r="AM172" s="484"/>
      <c r="AN172" s="659"/>
      <c r="AO172" s="484"/>
      <c r="AP172" s="487"/>
      <c r="AQ172" s="487"/>
      <c r="AR172" s="484"/>
      <c r="AS172" s="659"/>
      <c r="AT172" s="484"/>
      <c r="AU172" s="487"/>
      <c r="AV172" s="487"/>
      <c r="AW172" s="484"/>
      <c r="AX172" s="659"/>
      <c r="AZ172" s="372" t="e">
        <f t="shared" si="33"/>
        <v>#N/A</v>
      </c>
      <c r="BA172" s="659"/>
    </row>
    <row r="173" spans="2:53">
      <c r="B173" s="646"/>
      <c r="C173" s="282">
        <v>27</v>
      </c>
      <c r="D173" s="201"/>
      <c r="E173" s="536"/>
      <c r="F173" s="201"/>
      <c r="G173" s="199"/>
      <c r="H173" s="682"/>
      <c r="I173" s="367" t="str">
        <f t="shared" si="30"/>
        <v>-</v>
      </c>
      <c r="J173" s="367" t="str">
        <f t="shared" si="31"/>
        <v>-</v>
      </c>
      <c r="K173" s="199" t="str">
        <f t="shared" si="32"/>
        <v>-</v>
      </c>
      <c r="L173" s="617"/>
      <c r="M173" s="198" t="e">
        <f>RANK(K173, K$147:$K$176)</f>
        <v>#VALUE!</v>
      </c>
      <c r="N173" s="635"/>
      <c r="O173" s="635"/>
      <c r="P173" s="484"/>
      <c r="Q173" s="487"/>
      <c r="R173" s="487"/>
      <c r="S173" s="484"/>
      <c r="T173" s="659"/>
      <c r="U173" s="484"/>
      <c r="V173" s="487"/>
      <c r="W173" s="487"/>
      <c r="X173" s="484"/>
      <c r="Y173" s="659"/>
      <c r="Z173" s="484"/>
      <c r="AA173" s="487"/>
      <c r="AB173" s="487"/>
      <c r="AC173" s="484"/>
      <c r="AD173" s="659"/>
      <c r="AE173" s="484"/>
      <c r="AF173" s="487"/>
      <c r="AG173" s="487"/>
      <c r="AH173" s="484"/>
      <c r="AI173" s="659"/>
      <c r="AJ173" s="484"/>
      <c r="AK173" s="487"/>
      <c r="AL173" s="487"/>
      <c r="AM173" s="484"/>
      <c r="AN173" s="659"/>
      <c r="AO173" s="484"/>
      <c r="AP173" s="487"/>
      <c r="AQ173" s="487"/>
      <c r="AR173" s="484"/>
      <c r="AS173" s="659"/>
      <c r="AT173" s="484"/>
      <c r="AU173" s="487"/>
      <c r="AV173" s="487"/>
      <c r="AW173" s="484"/>
      <c r="AX173" s="659"/>
      <c r="AZ173" s="372" t="e">
        <f t="shared" si="33"/>
        <v>#N/A</v>
      </c>
      <c r="BA173" s="659"/>
    </row>
    <row r="174" spans="2:53">
      <c r="B174" s="646"/>
      <c r="C174" s="282">
        <v>28</v>
      </c>
      <c r="D174" s="201"/>
      <c r="E174" s="536"/>
      <c r="F174" s="201"/>
      <c r="G174" s="199"/>
      <c r="H174" s="682"/>
      <c r="I174" s="367" t="str">
        <f t="shared" si="30"/>
        <v>-</v>
      </c>
      <c r="J174" s="367" t="str">
        <f t="shared" si="31"/>
        <v>-</v>
      </c>
      <c r="K174" s="199" t="str">
        <f t="shared" si="32"/>
        <v>-</v>
      </c>
      <c r="L174" s="617"/>
      <c r="M174" s="198" t="e">
        <f>RANK(K174, K$147:$K$176)</f>
        <v>#VALUE!</v>
      </c>
      <c r="N174" s="635"/>
      <c r="O174" s="635"/>
      <c r="P174" s="484"/>
      <c r="Q174" s="487"/>
      <c r="R174" s="487"/>
      <c r="S174" s="484"/>
      <c r="T174" s="659"/>
      <c r="U174" s="484"/>
      <c r="V174" s="487"/>
      <c r="W174" s="487"/>
      <c r="X174" s="484"/>
      <c r="Y174" s="659"/>
      <c r="Z174" s="484"/>
      <c r="AA174" s="487"/>
      <c r="AB174" s="487"/>
      <c r="AC174" s="484"/>
      <c r="AD174" s="659"/>
      <c r="AE174" s="484"/>
      <c r="AF174" s="487"/>
      <c r="AG174" s="487"/>
      <c r="AH174" s="484"/>
      <c r="AI174" s="659"/>
      <c r="AJ174" s="484"/>
      <c r="AK174" s="487"/>
      <c r="AL174" s="487"/>
      <c r="AM174" s="484"/>
      <c r="AN174" s="659"/>
      <c r="AO174" s="484"/>
      <c r="AP174" s="487"/>
      <c r="AQ174" s="487"/>
      <c r="AR174" s="484"/>
      <c r="AS174" s="659"/>
      <c r="AT174" s="484"/>
      <c r="AU174" s="487"/>
      <c r="AV174" s="487"/>
      <c r="AW174" s="484"/>
      <c r="AX174" s="659"/>
      <c r="AZ174" s="372" t="e">
        <f t="shared" si="33"/>
        <v>#N/A</v>
      </c>
      <c r="BA174" s="659"/>
    </row>
    <row r="175" spans="2:53">
      <c r="B175" s="646"/>
      <c r="C175" s="282">
        <v>29</v>
      </c>
      <c r="D175" s="201"/>
      <c r="E175" s="536"/>
      <c r="F175" s="201"/>
      <c r="G175" s="199"/>
      <c r="H175" s="682"/>
      <c r="I175" s="367" t="str">
        <f t="shared" si="30"/>
        <v>-</v>
      </c>
      <c r="J175" s="367" t="str">
        <f t="shared" si="31"/>
        <v>-</v>
      </c>
      <c r="K175" s="199" t="str">
        <f t="shared" si="32"/>
        <v>-</v>
      </c>
      <c r="L175" s="617"/>
      <c r="M175" s="198" t="e">
        <f>RANK(K175, K$147:$K$176)</f>
        <v>#VALUE!</v>
      </c>
      <c r="N175" s="635"/>
      <c r="O175" s="635"/>
      <c r="P175" s="484"/>
      <c r="Q175" s="487"/>
      <c r="R175" s="487"/>
      <c r="S175" s="484"/>
      <c r="T175" s="659"/>
      <c r="U175" s="484"/>
      <c r="V175" s="487"/>
      <c r="W175" s="487"/>
      <c r="X175" s="484"/>
      <c r="Y175" s="659"/>
      <c r="Z175" s="484"/>
      <c r="AA175" s="487"/>
      <c r="AB175" s="487"/>
      <c r="AC175" s="484"/>
      <c r="AD175" s="659"/>
      <c r="AE175" s="484"/>
      <c r="AF175" s="487"/>
      <c r="AG175" s="487"/>
      <c r="AH175" s="484"/>
      <c r="AI175" s="659"/>
      <c r="AJ175" s="484"/>
      <c r="AK175" s="487"/>
      <c r="AL175" s="487"/>
      <c r="AM175" s="484"/>
      <c r="AN175" s="659"/>
      <c r="AO175" s="484"/>
      <c r="AP175" s="487"/>
      <c r="AQ175" s="487"/>
      <c r="AR175" s="484"/>
      <c r="AS175" s="659"/>
      <c r="AT175" s="484"/>
      <c r="AU175" s="487"/>
      <c r="AV175" s="487"/>
      <c r="AW175" s="484"/>
      <c r="AX175" s="659"/>
      <c r="AZ175" s="372" t="e">
        <f t="shared" si="33"/>
        <v>#N/A</v>
      </c>
      <c r="BA175" s="659"/>
    </row>
    <row r="176" spans="2:53">
      <c r="B176" s="646"/>
      <c r="C176" s="282">
        <v>30</v>
      </c>
      <c r="D176" s="201"/>
      <c r="E176" s="536"/>
      <c r="F176" s="201"/>
      <c r="G176" s="199"/>
      <c r="H176" s="683"/>
      <c r="I176" s="367" t="str">
        <f t="shared" si="30"/>
        <v>-</v>
      </c>
      <c r="J176" s="367" t="str">
        <f t="shared" si="31"/>
        <v>-</v>
      </c>
      <c r="K176" s="199" t="str">
        <f t="shared" si="32"/>
        <v>-</v>
      </c>
      <c r="L176" s="618"/>
      <c r="M176" s="198" t="e">
        <f>RANK(K176, K$147:$K$176)</f>
        <v>#VALUE!</v>
      </c>
      <c r="N176" s="635"/>
      <c r="O176" s="635"/>
      <c r="P176" s="484"/>
      <c r="Q176" s="487"/>
      <c r="R176" s="487"/>
      <c r="S176" s="484"/>
      <c r="T176" s="659"/>
      <c r="U176" s="484"/>
      <c r="V176" s="487"/>
      <c r="W176" s="487"/>
      <c r="X176" s="484"/>
      <c r="Y176" s="659"/>
      <c r="Z176" s="484"/>
      <c r="AA176" s="487"/>
      <c r="AB176" s="487"/>
      <c r="AC176" s="484"/>
      <c r="AD176" s="659"/>
      <c r="AE176" s="484"/>
      <c r="AF176" s="487"/>
      <c r="AG176" s="487"/>
      <c r="AH176" s="484"/>
      <c r="AI176" s="659"/>
      <c r="AJ176" s="484"/>
      <c r="AK176" s="487"/>
      <c r="AL176" s="487"/>
      <c r="AM176" s="484"/>
      <c r="AN176" s="659"/>
      <c r="AO176" s="484"/>
      <c r="AP176" s="487"/>
      <c r="AQ176" s="487"/>
      <c r="AR176" s="484"/>
      <c r="AS176" s="659"/>
      <c r="AT176" s="484"/>
      <c r="AU176" s="487"/>
      <c r="AV176" s="487"/>
      <c r="AW176" s="484"/>
      <c r="AX176" s="659"/>
      <c r="AZ176" s="372" t="e">
        <f t="shared" si="33"/>
        <v>#N/A</v>
      </c>
      <c r="BA176" s="659"/>
    </row>
    <row r="177" spans="2:53" ht="15.75">
      <c r="B177" s="650" t="s">
        <v>162</v>
      </c>
      <c r="C177" s="651"/>
      <c r="D177" s="651"/>
      <c r="E177" s="651"/>
      <c r="F177" s="651"/>
      <c r="G177" s="651"/>
      <c r="H177" s="652"/>
      <c r="I177" s="207"/>
      <c r="J177" s="207"/>
      <c r="K177" s="207"/>
      <c r="L177" s="207"/>
      <c r="M177" s="206"/>
      <c r="N177" s="639" t="s">
        <v>156</v>
      </c>
      <c r="O177" s="639" t="s">
        <v>105</v>
      </c>
      <c r="P177" s="635" t="s">
        <v>592</v>
      </c>
      <c r="Q177" s="657" t="s">
        <v>592</v>
      </c>
      <c r="R177" s="657" t="s">
        <v>592</v>
      </c>
      <c r="S177" s="646"/>
      <c r="T177" s="659"/>
      <c r="U177" s="632" t="s">
        <v>592</v>
      </c>
      <c r="V177" s="695" t="s">
        <v>592</v>
      </c>
      <c r="W177" s="695" t="s">
        <v>592</v>
      </c>
      <c r="X177" s="633"/>
      <c r="Y177" s="696"/>
      <c r="Z177" s="632" t="s">
        <v>592</v>
      </c>
      <c r="AA177" s="695" t="s">
        <v>592</v>
      </c>
      <c r="AB177" s="695" t="s">
        <v>592</v>
      </c>
      <c r="AC177" s="633"/>
      <c r="AD177" s="696"/>
      <c r="AE177" s="632" t="s">
        <v>592</v>
      </c>
      <c r="AF177" s="695" t="s">
        <v>592</v>
      </c>
      <c r="AG177" s="695" t="s">
        <v>592</v>
      </c>
      <c r="AH177" s="633"/>
      <c r="AI177" s="696"/>
      <c r="AJ177" s="632" t="s">
        <v>592</v>
      </c>
      <c r="AK177" s="695" t="s">
        <v>592</v>
      </c>
      <c r="AL177" s="695" t="s">
        <v>592</v>
      </c>
      <c r="AM177" s="633"/>
      <c r="AN177" s="696"/>
      <c r="AO177" s="632" t="s">
        <v>592</v>
      </c>
      <c r="AP177" s="695" t="s">
        <v>592</v>
      </c>
      <c r="AQ177" s="695" t="s">
        <v>592</v>
      </c>
      <c r="AR177" s="633"/>
      <c r="AS177" s="696"/>
      <c r="AT177" s="632" t="s">
        <v>592</v>
      </c>
      <c r="AU177" s="695" t="s">
        <v>592</v>
      </c>
      <c r="AV177" s="695" t="s">
        <v>592</v>
      </c>
      <c r="AW177" s="633"/>
      <c r="AX177" s="696"/>
    </row>
    <row r="178" spans="2:53" ht="15.75">
      <c r="B178" s="653"/>
      <c r="C178" s="653"/>
      <c r="D178" s="653"/>
      <c r="E178" s="653"/>
      <c r="F178" s="653"/>
      <c r="G178" s="653"/>
      <c r="H178" s="653"/>
      <c r="I178" s="204"/>
      <c r="J178" s="204"/>
      <c r="K178" s="204"/>
      <c r="L178" s="204"/>
      <c r="M178" s="205"/>
      <c r="N178" s="641"/>
      <c r="O178" s="641"/>
      <c r="P178" s="635" t="s">
        <v>592</v>
      </c>
      <c r="Q178" s="657" t="s">
        <v>592</v>
      </c>
      <c r="R178" s="657" t="s">
        <v>592</v>
      </c>
      <c r="S178" s="646"/>
      <c r="T178" s="659"/>
      <c r="U178" s="635" t="s">
        <v>592</v>
      </c>
      <c r="V178" s="657" t="s">
        <v>592</v>
      </c>
      <c r="W178" s="657" t="s">
        <v>592</v>
      </c>
      <c r="X178" s="646"/>
      <c r="Y178" s="659"/>
      <c r="Z178" s="635" t="s">
        <v>592</v>
      </c>
      <c r="AA178" s="657" t="s">
        <v>592</v>
      </c>
      <c r="AB178" s="657" t="s">
        <v>592</v>
      </c>
      <c r="AC178" s="646"/>
      <c r="AD178" s="659"/>
      <c r="AE178" s="635" t="s">
        <v>592</v>
      </c>
      <c r="AF178" s="657" t="s">
        <v>592</v>
      </c>
      <c r="AG178" s="657" t="s">
        <v>592</v>
      </c>
      <c r="AH178" s="646"/>
      <c r="AI178" s="659"/>
      <c r="AJ178" s="635" t="s">
        <v>592</v>
      </c>
      <c r="AK178" s="657" t="s">
        <v>592</v>
      </c>
      <c r="AL178" s="657" t="s">
        <v>592</v>
      </c>
      <c r="AM178" s="646"/>
      <c r="AN178" s="659"/>
      <c r="AO178" s="635" t="s">
        <v>592</v>
      </c>
      <c r="AP178" s="657" t="s">
        <v>592</v>
      </c>
      <c r="AQ178" s="657" t="s">
        <v>592</v>
      </c>
      <c r="AR178" s="646"/>
      <c r="AS178" s="659"/>
      <c r="AT178" s="635" t="s">
        <v>592</v>
      </c>
      <c r="AU178" s="657" t="s">
        <v>592</v>
      </c>
      <c r="AV178" s="657" t="s">
        <v>592</v>
      </c>
      <c r="AW178" s="646"/>
      <c r="AX178" s="659"/>
    </row>
    <row r="179" spans="2:53">
      <c r="B179" s="635" t="s">
        <v>154</v>
      </c>
      <c r="C179" s="635" t="s">
        <v>382</v>
      </c>
      <c r="D179" s="635"/>
      <c r="E179" s="635" t="s">
        <v>373</v>
      </c>
      <c r="F179" s="635"/>
      <c r="G179" s="635"/>
      <c r="H179" s="636" t="s">
        <v>369</v>
      </c>
      <c r="I179" s="619" t="s">
        <v>374</v>
      </c>
      <c r="J179" s="619"/>
      <c r="K179" s="619"/>
      <c r="L179" s="620" t="s">
        <v>369</v>
      </c>
      <c r="M179" s="626" t="s">
        <v>370</v>
      </c>
      <c r="N179" s="635"/>
      <c r="O179" s="635" t="s">
        <v>375</v>
      </c>
      <c r="P179" s="632" t="s">
        <v>371</v>
      </c>
      <c r="Q179" s="633"/>
      <c r="R179" s="633"/>
      <c r="S179" s="634"/>
      <c r="T179" s="635" t="s">
        <v>369</v>
      </c>
      <c r="U179" s="632" t="s">
        <v>371</v>
      </c>
      <c r="V179" s="633"/>
      <c r="W179" s="633"/>
      <c r="X179" s="634"/>
      <c r="Y179" s="635" t="s">
        <v>369</v>
      </c>
      <c r="Z179" s="632" t="s">
        <v>371</v>
      </c>
      <c r="AA179" s="633"/>
      <c r="AB179" s="633"/>
      <c r="AC179" s="634"/>
      <c r="AD179" s="635" t="s">
        <v>369</v>
      </c>
      <c r="AE179" s="632" t="s">
        <v>371</v>
      </c>
      <c r="AF179" s="633"/>
      <c r="AG179" s="633"/>
      <c r="AH179" s="634"/>
      <c r="AI179" s="635" t="s">
        <v>369</v>
      </c>
      <c r="AJ179" s="632" t="s">
        <v>371</v>
      </c>
      <c r="AK179" s="633"/>
      <c r="AL179" s="633"/>
      <c r="AM179" s="634"/>
      <c r="AN179" s="635" t="s">
        <v>369</v>
      </c>
      <c r="AO179" s="632" t="s">
        <v>371</v>
      </c>
      <c r="AP179" s="633"/>
      <c r="AQ179" s="633"/>
      <c r="AR179" s="634"/>
      <c r="AS179" s="635" t="s">
        <v>369</v>
      </c>
      <c r="AT179" s="632" t="s">
        <v>371</v>
      </c>
      <c r="AU179" s="633"/>
      <c r="AV179" s="633"/>
      <c r="AW179" s="634"/>
      <c r="AX179" s="635" t="s">
        <v>369</v>
      </c>
      <c r="BA179" s="635" t="s">
        <v>369</v>
      </c>
    </row>
    <row r="180" spans="2:53">
      <c r="B180" s="635"/>
      <c r="C180" s="635"/>
      <c r="D180" s="635"/>
      <c r="E180" s="635" t="s">
        <v>376</v>
      </c>
      <c r="F180" s="635"/>
      <c r="G180" s="635"/>
      <c r="H180" s="637"/>
      <c r="I180" s="619" t="s">
        <v>376</v>
      </c>
      <c r="J180" s="619"/>
      <c r="K180" s="619"/>
      <c r="L180" s="621"/>
      <c r="M180" s="627"/>
      <c r="N180" s="635"/>
      <c r="O180" s="635"/>
      <c r="P180" s="632" t="s">
        <v>377</v>
      </c>
      <c r="Q180" s="633"/>
      <c r="R180" s="633"/>
      <c r="S180" s="634"/>
      <c r="T180" s="635"/>
      <c r="U180" s="632" t="s">
        <v>377</v>
      </c>
      <c r="V180" s="633"/>
      <c r="W180" s="633"/>
      <c r="X180" s="634"/>
      <c r="Y180" s="635"/>
      <c r="Z180" s="632" t="s">
        <v>377</v>
      </c>
      <c r="AA180" s="633"/>
      <c r="AB180" s="633"/>
      <c r="AC180" s="634"/>
      <c r="AD180" s="635"/>
      <c r="AE180" s="632" t="s">
        <v>377</v>
      </c>
      <c r="AF180" s="633"/>
      <c r="AG180" s="633"/>
      <c r="AH180" s="634"/>
      <c r="AI180" s="635"/>
      <c r="AJ180" s="632" t="s">
        <v>377</v>
      </c>
      <c r="AK180" s="633"/>
      <c r="AL180" s="633"/>
      <c r="AM180" s="634"/>
      <c r="AN180" s="635"/>
      <c r="AO180" s="632" t="s">
        <v>377</v>
      </c>
      <c r="AP180" s="633"/>
      <c r="AQ180" s="633"/>
      <c r="AR180" s="634"/>
      <c r="AS180" s="635"/>
      <c r="AT180" s="632" t="s">
        <v>377</v>
      </c>
      <c r="AU180" s="633"/>
      <c r="AV180" s="633"/>
      <c r="AW180" s="634"/>
      <c r="AX180" s="635"/>
      <c r="BA180" s="635"/>
    </row>
    <row r="181" spans="2:53">
      <c r="B181" s="635"/>
      <c r="C181" s="635"/>
      <c r="D181" s="635"/>
      <c r="E181" s="308" t="s">
        <v>378</v>
      </c>
      <c r="F181" s="308" t="s">
        <v>379</v>
      </c>
      <c r="G181" s="308" t="s">
        <v>380</v>
      </c>
      <c r="H181" s="638"/>
      <c r="I181" s="309" t="s">
        <v>378</v>
      </c>
      <c r="J181" s="309" t="s">
        <v>379</v>
      </c>
      <c r="K181" s="309" t="s">
        <v>380</v>
      </c>
      <c r="L181" s="622"/>
      <c r="M181" s="628"/>
      <c r="N181" s="635"/>
      <c r="O181" s="635"/>
      <c r="P181" s="308" t="s">
        <v>378</v>
      </c>
      <c r="Q181" s="308" t="s">
        <v>379</v>
      </c>
      <c r="R181" s="308" t="s">
        <v>380</v>
      </c>
      <c r="S181" s="308" t="s">
        <v>370</v>
      </c>
      <c r="T181" s="635"/>
      <c r="U181" s="308" t="s">
        <v>378</v>
      </c>
      <c r="V181" s="308" t="s">
        <v>379</v>
      </c>
      <c r="W181" s="308" t="s">
        <v>380</v>
      </c>
      <c r="X181" s="308" t="s">
        <v>370</v>
      </c>
      <c r="Y181" s="635"/>
      <c r="Z181" s="308" t="s">
        <v>378</v>
      </c>
      <c r="AA181" s="308" t="s">
        <v>379</v>
      </c>
      <c r="AB181" s="308" t="s">
        <v>380</v>
      </c>
      <c r="AC181" s="308" t="s">
        <v>370</v>
      </c>
      <c r="AD181" s="635"/>
      <c r="AE181" s="308" t="s">
        <v>378</v>
      </c>
      <c r="AF181" s="308" t="s">
        <v>379</v>
      </c>
      <c r="AG181" s="308" t="s">
        <v>380</v>
      </c>
      <c r="AH181" s="308" t="s">
        <v>370</v>
      </c>
      <c r="AI181" s="635"/>
      <c r="AJ181" s="308" t="s">
        <v>378</v>
      </c>
      <c r="AK181" s="308" t="s">
        <v>379</v>
      </c>
      <c r="AL181" s="308" t="s">
        <v>380</v>
      </c>
      <c r="AM181" s="308" t="s">
        <v>370</v>
      </c>
      <c r="AN181" s="635"/>
      <c r="AO181" s="308" t="s">
        <v>378</v>
      </c>
      <c r="AP181" s="308" t="s">
        <v>379</v>
      </c>
      <c r="AQ181" s="308" t="s">
        <v>380</v>
      </c>
      <c r="AR181" s="308" t="s">
        <v>370</v>
      </c>
      <c r="AS181" s="635"/>
      <c r="AT181" s="308" t="s">
        <v>378</v>
      </c>
      <c r="AU181" s="308" t="s">
        <v>379</v>
      </c>
      <c r="AV181" s="308" t="s">
        <v>380</v>
      </c>
      <c r="AW181" s="308" t="s">
        <v>370</v>
      </c>
      <c r="AX181" s="635"/>
      <c r="AZ181" s="371" t="s">
        <v>370</v>
      </c>
      <c r="BA181" s="635"/>
    </row>
    <row r="182" spans="2:53">
      <c r="B182" s="635" t="s">
        <v>134</v>
      </c>
      <c r="C182" s="307">
        <v>1</v>
      </c>
      <c r="D182" s="201"/>
      <c r="E182" s="536"/>
      <c r="F182" s="201"/>
      <c r="G182" s="199"/>
      <c r="H182" s="681" t="e">
        <f>AVERAGE(G182:G211)</f>
        <v>#DIV/0!</v>
      </c>
      <c r="I182" s="367" t="str">
        <f>IFERROR(AVERAGE(P182,U182,Z182,AE182,AJ182,AO182,AT182),"-")</f>
        <v>-</v>
      </c>
      <c r="J182" s="367" t="str">
        <f>IFERROR(AVERAGE(Q182,V182,AA182,AF182,AK182,AP182,AU182),"-")</f>
        <v>-</v>
      </c>
      <c r="K182" s="199" t="str">
        <f>IFERROR(AVERAGE(R182,W182,AB182,AG182,AL182,AQ182,AV182),"-")</f>
        <v>-</v>
      </c>
      <c r="L182" s="616" t="str">
        <f>IFERROR(AVERAGE(K182:K211),"-")</f>
        <v>-</v>
      </c>
      <c r="M182" s="200" t="e">
        <f>RANK(K182, K$147:$K$176)</f>
        <v>#VALUE!</v>
      </c>
      <c r="N182" s="635"/>
      <c r="O182" s="635"/>
      <c r="P182" s="528"/>
      <c r="Q182" s="530"/>
      <c r="R182" s="530"/>
      <c r="S182" s="528"/>
      <c r="T182" s="659"/>
      <c r="U182" s="528"/>
      <c r="V182" s="530"/>
      <c r="W182" s="530"/>
      <c r="X182" s="528"/>
      <c r="Y182" s="659"/>
      <c r="Z182" s="528"/>
      <c r="AA182" s="530"/>
      <c r="AB182" s="530"/>
      <c r="AC182" s="528"/>
      <c r="AD182" s="659"/>
      <c r="AE182" s="528"/>
      <c r="AF182" s="530"/>
      <c r="AG182" s="530"/>
      <c r="AH182" s="528"/>
      <c r="AI182" s="659"/>
      <c r="AJ182" s="528"/>
      <c r="AK182" s="530"/>
      <c r="AL182" s="530"/>
      <c r="AM182" s="528"/>
      <c r="AN182" s="659"/>
      <c r="AO182" s="528"/>
      <c r="AP182" s="530"/>
      <c r="AQ182" s="530"/>
      <c r="AR182" s="528"/>
      <c r="AS182" s="659"/>
      <c r="AT182" s="528"/>
      <c r="AU182" s="530"/>
      <c r="AV182" s="530"/>
      <c r="AW182" s="528"/>
      <c r="AX182" s="659"/>
      <c r="AZ182" s="372" t="e">
        <f>RANK(AY182, AY$182:AY$211)</f>
        <v>#N/A</v>
      </c>
      <c r="BA182" s="659" t="e">
        <f>AVERAGE(AY182:AY211)</f>
        <v>#DIV/0!</v>
      </c>
    </row>
    <row r="183" spans="2:53">
      <c r="B183" s="646"/>
      <c r="C183" s="307">
        <v>2</v>
      </c>
      <c r="D183" s="201"/>
      <c r="E183" s="536"/>
      <c r="F183" s="201"/>
      <c r="G183" s="199"/>
      <c r="H183" s="682"/>
      <c r="I183" s="367" t="str">
        <f t="shared" ref="I183:I211" si="34">IFERROR(AVERAGE(P183,U183,Z183,AE183,AJ183,AO183,AT183),"-")</f>
        <v>-</v>
      </c>
      <c r="J183" s="367" t="str">
        <f t="shared" ref="J183:J211" si="35">IFERROR(AVERAGE(Q183,V183,AA183,AF183,AK183,AP183,AU183),"-")</f>
        <v>-</v>
      </c>
      <c r="K183" s="199" t="str">
        <f t="shared" ref="K183:K211" si="36">IFERROR(AVERAGE(R183,W183,AB183,AG183,AL183,AQ183,AV183),"-")</f>
        <v>-</v>
      </c>
      <c r="L183" s="617"/>
      <c r="M183" s="200" t="e">
        <f>RANK(K183, K$147:$K$176)</f>
        <v>#VALUE!</v>
      </c>
      <c r="N183" s="635"/>
      <c r="O183" s="635"/>
      <c r="P183" s="528"/>
      <c r="Q183" s="530"/>
      <c r="R183" s="530"/>
      <c r="S183" s="528"/>
      <c r="T183" s="659"/>
      <c r="U183" s="528"/>
      <c r="V183" s="530"/>
      <c r="W183" s="530"/>
      <c r="X183" s="528"/>
      <c r="Y183" s="659"/>
      <c r="Z183" s="528"/>
      <c r="AA183" s="530"/>
      <c r="AB183" s="530"/>
      <c r="AC183" s="528"/>
      <c r="AD183" s="659"/>
      <c r="AE183" s="528"/>
      <c r="AF183" s="530"/>
      <c r="AG183" s="530"/>
      <c r="AH183" s="528"/>
      <c r="AI183" s="659"/>
      <c r="AJ183" s="528"/>
      <c r="AK183" s="530"/>
      <c r="AL183" s="530"/>
      <c r="AM183" s="528"/>
      <c r="AN183" s="659"/>
      <c r="AO183" s="528"/>
      <c r="AP183" s="530"/>
      <c r="AQ183" s="530"/>
      <c r="AR183" s="528"/>
      <c r="AS183" s="659"/>
      <c r="AT183" s="528"/>
      <c r="AU183" s="530"/>
      <c r="AV183" s="530"/>
      <c r="AW183" s="528"/>
      <c r="AX183" s="659"/>
      <c r="AZ183" s="372" t="e">
        <f t="shared" ref="AZ183:AZ211" si="37">RANK(AY183, AY$182:AY$211)</f>
        <v>#N/A</v>
      </c>
      <c r="BA183" s="659"/>
    </row>
    <row r="184" spans="2:53">
      <c r="B184" s="646"/>
      <c r="C184" s="307">
        <v>3</v>
      </c>
      <c r="D184" s="201"/>
      <c r="E184" s="536"/>
      <c r="F184" s="201"/>
      <c r="G184" s="199"/>
      <c r="H184" s="682"/>
      <c r="I184" s="367" t="str">
        <f t="shared" si="34"/>
        <v>-</v>
      </c>
      <c r="J184" s="367" t="str">
        <f t="shared" si="35"/>
        <v>-</v>
      </c>
      <c r="K184" s="199" t="str">
        <f t="shared" si="36"/>
        <v>-</v>
      </c>
      <c r="L184" s="617"/>
      <c r="M184" s="200" t="e">
        <f>RANK(K184, K$147:$K$176)</f>
        <v>#VALUE!</v>
      </c>
      <c r="N184" s="635"/>
      <c r="O184" s="635"/>
      <c r="P184" s="528"/>
      <c r="Q184" s="530"/>
      <c r="R184" s="530"/>
      <c r="S184" s="528"/>
      <c r="T184" s="659"/>
      <c r="U184" s="528"/>
      <c r="V184" s="530"/>
      <c r="W184" s="530"/>
      <c r="X184" s="528"/>
      <c r="Y184" s="659"/>
      <c r="Z184" s="528"/>
      <c r="AA184" s="530"/>
      <c r="AB184" s="530"/>
      <c r="AC184" s="528"/>
      <c r="AD184" s="659"/>
      <c r="AE184" s="528"/>
      <c r="AF184" s="530"/>
      <c r="AG184" s="530"/>
      <c r="AH184" s="528"/>
      <c r="AI184" s="659"/>
      <c r="AJ184" s="528"/>
      <c r="AK184" s="530"/>
      <c r="AL184" s="530"/>
      <c r="AM184" s="528"/>
      <c r="AN184" s="659"/>
      <c r="AO184" s="528"/>
      <c r="AP184" s="530"/>
      <c r="AQ184" s="530"/>
      <c r="AR184" s="528"/>
      <c r="AS184" s="659"/>
      <c r="AT184" s="528"/>
      <c r="AU184" s="530"/>
      <c r="AV184" s="530"/>
      <c r="AW184" s="528"/>
      <c r="AX184" s="659"/>
      <c r="AZ184" s="372" t="e">
        <f t="shared" si="37"/>
        <v>#N/A</v>
      </c>
      <c r="BA184" s="659"/>
    </row>
    <row r="185" spans="2:53">
      <c r="B185" s="646"/>
      <c r="C185" s="307">
        <v>4</v>
      </c>
      <c r="D185" s="201"/>
      <c r="E185" s="536"/>
      <c r="F185" s="201"/>
      <c r="G185" s="199"/>
      <c r="H185" s="682"/>
      <c r="I185" s="367" t="str">
        <f t="shared" si="34"/>
        <v>-</v>
      </c>
      <c r="J185" s="367" t="str">
        <f t="shared" si="35"/>
        <v>-</v>
      </c>
      <c r="K185" s="199" t="str">
        <f t="shared" si="36"/>
        <v>-</v>
      </c>
      <c r="L185" s="617"/>
      <c r="M185" s="200" t="e">
        <f>RANK(K185, K$147:$K$176)</f>
        <v>#VALUE!</v>
      </c>
      <c r="N185" s="635"/>
      <c r="O185" s="635"/>
      <c r="P185" s="528"/>
      <c r="Q185" s="530"/>
      <c r="R185" s="530"/>
      <c r="S185" s="528"/>
      <c r="T185" s="659"/>
      <c r="U185" s="528"/>
      <c r="V185" s="530"/>
      <c r="W185" s="530"/>
      <c r="X185" s="528"/>
      <c r="Y185" s="659"/>
      <c r="Z185" s="528"/>
      <c r="AA185" s="530"/>
      <c r="AB185" s="530"/>
      <c r="AC185" s="528"/>
      <c r="AD185" s="659"/>
      <c r="AE185" s="528"/>
      <c r="AF185" s="530"/>
      <c r="AG185" s="530"/>
      <c r="AH185" s="528"/>
      <c r="AI185" s="659"/>
      <c r="AJ185" s="528"/>
      <c r="AK185" s="530"/>
      <c r="AL185" s="530"/>
      <c r="AM185" s="528"/>
      <c r="AN185" s="659"/>
      <c r="AO185" s="528"/>
      <c r="AP185" s="530"/>
      <c r="AQ185" s="530"/>
      <c r="AR185" s="528"/>
      <c r="AS185" s="659"/>
      <c r="AT185" s="528"/>
      <c r="AU185" s="530"/>
      <c r="AV185" s="530"/>
      <c r="AW185" s="528"/>
      <c r="AX185" s="659"/>
      <c r="AZ185" s="372" t="e">
        <f t="shared" si="37"/>
        <v>#N/A</v>
      </c>
      <c r="BA185" s="659"/>
    </row>
    <row r="186" spans="2:53">
      <c r="B186" s="646"/>
      <c r="C186" s="307">
        <v>5</v>
      </c>
      <c r="D186" s="201"/>
      <c r="E186" s="536"/>
      <c r="F186" s="201"/>
      <c r="G186" s="199"/>
      <c r="H186" s="682"/>
      <c r="I186" s="367" t="str">
        <f t="shared" si="34"/>
        <v>-</v>
      </c>
      <c r="J186" s="367" t="str">
        <f t="shared" si="35"/>
        <v>-</v>
      </c>
      <c r="K186" s="199" t="str">
        <f t="shared" si="36"/>
        <v>-</v>
      </c>
      <c r="L186" s="617"/>
      <c r="M186" s="200" t="e">
        <f>RANK(K186, K$147:$K$176)</f>
        <v>#VALUE!</v>
      </c>
      <c r="N186" s="635"/>
      <c r="O186" s="635"/>
      <c r="P186" s="528"/>
      <c r="Q186" s="530"/>
      <c r="R186" s="530"/>
      <c r="S186" s="528"/>
      <c r="T186" s="659"/>
      <c r="U186" s="528"/>
      <c r="V186" s="530"/>
      <c r="W186" s="530"/>
      <c r="X186" s="528"/>
      <c r="Y186" s="659"/>
      <c r="Z186" s="528"/>
      <c r="AA186" s="530"/>
      <c r="AB186" s="530"/>
      <c r="AC186" s="528"/>
      <c r="AD186" s="659"/>
      <c r="AE186" s="528"/>
      <c r="AF186" s="530"/>
      <c r="AG186" s="530"/>
      <c r="AH186" s="528"/>
      <c r="AI186" s="659"/>
      <c r="AJ186" s="528"/>
      <c r="AK186" s="530"/>
      <c r="AL186" s="530"/>
      <c r="AM186" s="528"/>
      <c r="AN186" s="659"/>
      <c r="AO186" s="528"/>
      <c r="AP186" s="530"/>
      <c r="AQ186" s="530"/>
      <c r="AR186" s="528"/>
      <c r="AS186" s="659"/>
      <c r="AT186" s="528"/>
      <c r="AU186" s="530"/>
      <c r="AV186" s="530"/>
      <c r="AW186" s="528"/>
      <c r="AX186" s="659"/>
      <c r="AZ186" s="372" t="e">
        <f t="shared" si="37"/>
        <v>#N/A</v>
      </c>
      <c r="BA186" s="659"/>
    </row>
    <row r="187" spans="2:53">
      <c r="B187" s="646"/>
      <c r="C187" s="307">
        <v>6</v>
      </c>
      <c r="D187" s="201"/>
      <c r="E187" s="536"/>
      <c r="F187" s="201"/>
      <c r="G187" s="199"/>
      <c r="H187" s="682"/>
      <c r="I187" s="367" t="str">
        <f t="shared" si="34"/>
        <v>-</v>
      </c>
      <c r="J187" s="367" t="str">
        <f t="shared" si="35"/>
        <v>-</v>
      </c>
      <c r="K187" s="199" t="str">
        <f t="shared" si="36"/>
        <v>-</v>
      </c>
      <c r="L187" s="617"/>
      <c r="M187" s="200" t="e">
        <f>RANK(K187, K$147:$K$176)</f>
        <v>#VALUE!</v>
      </c>
      <c r="N187" s="635"/>
      <c r="O187" s="635"/>
      <c r="P187" s="528"/>
      <c r="Q187" s="530"/>
      <c r="R187" s="530"/>
      <c r="S187" s="528"/>
      <c r="T187" s="659"/>
      <c r="U187" s="528"/>
      <c r="V187" s="530"/>
      <c r="W187" s="530"/>
      <c r="X187" s="528"/>
      <c r="Y187" s="659"/>
      <c r="Z187" s="528"/>
      <c r="AA187" s="530"/>
      <c r="AB187" s="530"/>
      <c r="AC187" s="528"/>
      <c r="AD187" s="659"/>
      <c r="AE187" s="528"/>
      <c r="AF187" s="530"/>
      <c r="AG187" s="530"/>
      <c r="AH187" s="528"/>
      <c r="AI187" s="659"/>
      <c r="AJ187" s="528"/>
      <c r="AK187" s="530"/>
      <c r="AL187" s="530"/>
      <c r="AM187" s="528"/>
      <c r="AN187" s="659"/>
      <c r="AO187" s="528"/>
      <c r="AP187" s="530"/>
      <c r="AQ187" s="530"/>
      <c r="AR187" s="528"/>
      <c r="AS187" s="659"/>
      <c r="AT187" s="528"/>
      <c r="AU187" s="530"/>
      <c r="AV187" s="530"/>
      <c r="AW187" s="528"/>
      <c r="AX187" s="659"/>
      <c r="AZ187" s="372" t="e">
        <f t="shared" si="37"/>
        <v>#N/A</v>
      </c>
      <c r="BA187" s="659"/>
    </row>
    <row r="188" spans="2:53">
      <c r="B188" s="646"/>
      <c r="C188" s="307">
        <v>7</v>
      </c>
      <c r="D188" s="201"/>
      <c r="E188" s="536"/>
      <c r="F188" s="201"/>
      <c r="G188" s="199"/>
      <c r="H188" s="682"/>
      <c r="I188" s="367" t="str">
        <f t="shared" si="34"/>
        <v>-</v>
      </c>
      <c r="J188" s="367" t="str">
        <f t="shared" si="35"/>
        <v>-</v>
      </c>
      <c r="K188" s="199" t="str">
        <f t="shared" si="36"/>
        <v>-</v>
      </c>
      <c r="L188" s="617"/>
      <c r="M188" s="200" t="e">
        <f>RANK(K188, K$147:$K$176)</f>
        <v>#VALUE!</v>
      </c>
      <c r="N188" s="635"/>
      <c r="O188" s="635"/>
      <c r="P188" s="528"/>
      <c r="Q188" s="530"/>
      <c r="R188" s="530"/>
      <c r="S188" s="528"/>
      <c r="T188" s="659"/>
      <c r="U188" s="528"/>
      <c r="V188" s="530"/>
      <c r="W188" s="530"/>
      <c r="X188" s="528"/>
      <c r="Y188" s="659"/>
      <c r="Z188" s="528"/>
      <c r="AA188" s="530"/>
      <c r="AB188" s="530"/>
      <c r="AC188" s="528"/>
      <c r="AD188" s="659"/>
      <c r="AE188" s="528"/>
      <c r="AF188" s="530"/>
      <c r="AG188" s="530"/>
      <c r="AH188" s="528"/>
      <c r="AI188" s="659"/>
      <c r="AJ188" s="528"/>
      <c r="AK188" s="530"/>
      <c r="AL188" s="530"/>
      <c r="AM188" s="528"/>
      <c r="AN188" s="659"/>
      <c r="AO188" s="528"/>
      <c r="AP188" s="530"/>
      <c r="AQ188" s="530"/>
      <c r="AR188" s="528"/>
      <c r="AS188" s="659"/>
      <c r="AT188" s="528"/>
      <c r="AU188" s="530"/>
      <c r="AV188" s="530"/>
      <c r="AW188" s="528"/>
      <c r="AX188" s="659"/>
      <c r="AZ188" s="372" t="e">
        <f t="shared" si="37"/>
        <v>#N/A</v>
      </c>
      <c r="BA188" s="659"/>
    </row>
    <row r="189" spans="2:53">
      <c r="B189" s="646"/>
      <c r="C189" s="307">
        <v>8</v>
      </c>
      <c r="D189" s="201"/>
      <c r="E189" s="536"/>
      <c r="F189" s="201"/>
      <c r="G189" s="199"/>
      <c r="H189" s="682"/>
      <c r="I189" s="367" t="str">
        <f t="shared" si="34"/>
        <v>-</v>
      </c>
      <c r="J189" s="367" t="str">
        <f t="shared" si="35"/>
        <v>-</v>
      </c>
      <c r="K189" s="199" t="str">
        <f t="shared" si="36"/>
        <v>-</v>
      </c>
      <c r="L189" s="617"/>
      <c r="M189" s="200" t="e">
        <f>RANK(K189, K$147:$K$176)</f>
        <v>#VALUE!</v>
      </c>
      <c r="N189" s="635"/>
      <c r="O189" s="635"/>
      <c r="P189" s="528"/>
      <c r="Q189" s="530"/>
      <c r="R189" s="530"/>
      <c r="S189" s="528"/>
      <c r="T189" s="659"/>
      <c r="U189" s="528"/>
      <c r="V189" s="530"/>
      <c r="W189" s="530"/>
      <c r="X189" s="528"/>
      <c r="Y189" s="659"/>
      <c r="Z189" s="528"/>
      <c r="AA189" s="530"/>
      <c r="AB189" s="530"/>
      <c r="AC189" s="528"/>
      <c r="AD189" s="659"/>
      <c r="AE189" s="528"/>
      <c r="AF189" s="530"/>
      <c r="AG189" s="530"/>
      <c r="AH189" s="528"/>
      <c r="AI189" s="659"/>
      <c r="AJ189" s="528"/>
      <c r="AK189" s="530"/>
      <c r="AL189" s="530"/>
      <c r="AM189" s="528"/>
      <c r="AN189" s="659"/>
      <c r="AO189" s="528"/>
      <c r="AP189" s="530"/>
      <c r="AQ189" s="530"/>
      <c r="AR189" s="528"/>
      <c r="AS189" s="659"/>
      <c r="AT189" s="528"/>
      <c r="AU189" s="530"/>
      <c r="AV189" s="530"/>
      <c r="AW189" s="528"/>
      <c r="AX189" s="659"/>
      <c r="AZ189" s="372" t="e">
        <f t="shared" si="37"/>
        <v>#N/A</v>
      </c>
      <c r="BA189" s="659"/>
    </row>
    <row r="190" spans="2:53">
      <c r="B190" s="646"/>
      <c r="C190" s="307">
        <v>9</v>
      </c>
      <c r="D190" s="201"/>
      <c r="E190" s="536"/>
      <c r="F190" s="201"/>
      <c r="G190" s="199"/>
      <c r="H190" s="682"/>
      <c r="I190" s="367" t="str">
        <f t="shared" si="34"/>
        <v>-</v>
      </c>
      <c r="J190" s="367" t="str">
        <f t="shared" si="35"/>
        <v>-</v>
      </c>
      <c r="K190" s="199" t="str">
        <f t="shared" si="36"/>
        <v>-</v>
      </c>
      <c r="L190" s="617"/>
      <c r="M190" s="200" t="e">
        <f>RANK(K190, K$147:$K$176)</f>
        <v>#VALUE!</v>
      </c>
      <c r="N190" s="635"/>
      <c r="O190" s="635"/>
      <c r="P190" s="528"/>
      <c r="Q190" s="530"/>
      <c r="R190" s="530"/>
      <c r="S190" s="528"/>
      <c r="T190" s="659"/>
      <c r="U190" s="528"/>
      <c r="V190" s="530"/>
      <c r="W190" s="530"/>
      <c r="X190" s="528"/>
      <c r="Y190" s="659"/>
      <c r="Z190" s="528"/>
      <c r="AA190" s="530"/>
      <c r="AB190" s="530"/>
      <c r="AC190" s="528"/>
      <c r="AD190" s="659"/>
      <c r="AE190" s="528"/>
      <c r="AF190" s="530"/>
      <c r="AG190" s="530"/>
      <c r="AH190" s="528"/>
      <c r="AI190" s="659"/>
      <c r="AJ190" s="528"/>
      <c r="AK190" s="530"/>
      <c r="AL190" s="530"/>
      <c r="AM190" s="528"/>
      <c r="AN190" s="659"/>
      <c r="AO190" s="528"/>
      <c r="AP190" s="530"/>
      <c r="AQ190" s="530"/>
      <c r="AR190" s="528"/>
      <c r="AS190" s="659"/>
      <c r="AT190" s="528"/>
      <c r="AU190" s="530"/>
      <c r="AV190" s="530"/>
      <c r="AW190" s="528"/>
      <c r="AX190" s="659"/>
      <c r="AZ190" s="372" t="e">
        <f t="shared" si="37"/>
        <v>#N/A</v>
      </c>
      <c r="BA190" s="659"/>
    </row>
    <row r="191" spans="2:53">
      <c r="B191" s="646"/>
      <c r="C191" s="307">
        <v>10</v>
      </c>
      <c r="D191" s="201"/>
      <c r="E191" s="536"/>
      <c r="F191" s="201"/>
      <c r="G191" s="199"/>
      <c r="H191" s="682"/>
      <c r="I191" s="367" t="str">
        <f t="shared" si="34"/>
        <v>-</v>
      </c>
      <c r="J191" s="367" t="str">
        <f t="shared" si="35"/>
        <v>-</v>
      </c>
      <c r="K191" s="199" t="str">
        <f t="shared" si="36"/>
        <v>-</v>
      </c>
      <c r="L191" s="617"/>
      <c r="M191" s="200" t="e">
        <f>RANK(K191, K$147:$K$176)</f>
        <v>#VALUE!</v>
      </c>
      <c r="N191" s="635"/>
      <c r="O191" s="635"/>
      <c r="P191" s="528"/>
      <c r="Q191" s="530"/>
      <c r="R191" s="530"/>
      <c r="S191" s="528"/>
      <c r="T191" s="659"/>
      <c r="U191" s="528"/>
      <c r="V191" s="530"/>
      <c r="W191" s="530"/>
      <c r="X191" s="528"/>
      <c r="Y191" s="659"/>
      <c r="Z191" s="528"/>
      <c r="AA191" s="530"/>
      <c r="AB191" s="530"/>
      <c r="AC191" s="528"/>
      <c r="AD191" s="659"/>
      <c r="AE191" s="528"/>
      <c r="AF191" s="530"/>
      <c r="AG191" s="530"/>
      <c r="AH191" s="528"/>
      <c r="AI191" s="659"/>
      <c r="AJ191" s="528"/>
      <c r="AK191" s="530"/>
      <c r="AL191" s="530"/>
      <c r="AM191" s="528"/>
      <c r="AN191" s="659"/>
      <c r="AO191" s="528"/>
      <c r="AP191" s="530"/>
      <c r="AQ191" s="530"/>
      <c r="AR191" s="528"/>
      <c r="AS191" s="659"/>
      <c r="AT191" s="528"/>
      <c r="AU191" s="530"/>
      <c r="AV191" s="530"/>
      <c r="AW191" s="528"/>
      <c r="AX191" s="659"/>
      <c r="AZ191" s="372" t="e">
        <f t="shared" si="37"/>
        <v>#N/A</v>
      </c>
      <c r="BA191" s="659"/>
    </row>
    <row r="192" spans="2:53">
      <c r="B192" s="646"/>
      <c r="C192" s="307">
        <v>11</v>
      </c>
      <c r="D192" s="201"/>
      <c r="E192" s="536"/>
      <c r="F192" s="201"/>
      <c r="G192" s="199"/>
      <c r="H192" s="682"/>
      <c r="I192" s="367" t="str">
        <f t="shared" si="34"/>
        <v>-</v>
      </c>
      <c r="J192" s="367" t="str">
        <f t="shared" si="35"/>
        <v>-</v>
      </c>
      <c r="K192" s="199" t="str">
        <f t="shared" si="36"/>
        <v>-</v>
      </c>
      <c r="L192" s="617"/>
      <c r="M192" s="200" t="e">
        <f>RANK(K192, K$147:$K$176)</f>
        <v>#VALUE!</v>
      </c>
      <c r="N192" s="635"/>
      <c r="O192" s="635"/>
      <c r="P192" s="528"/>
      <c r="Q192" s="530"/>
      <c r="R192" s="530"/>
      <c r="S192" s="528"/>
      <c r="T192" s="659"/>
      <c r="U192" s="528"/>
      <c r="V192" s="530"/>
      <c r="W192" s="530"/>
      <c r="X192" s="528"/>
      <c r="Y192" s="659"/>
      <c r="Z192" s="528"/>
      <c r="AA192" s="530"/>
      <c r="AB192" s="530"/>
      <c r="AC192" s="528"/>
      <c r="AD192" s="659"/>
      <c r="AE192" s="528"/>
      <c r="AF192" s="530"/>
      <c r="AG192" s="530"/>
      <c r="AH192" s="528"/>
      <c r="AI192" s="659"/>
      <c r="AJ192" s="528"/>
      <c r="AK192" s="530"/>
      <c r="AL192" s="530"/>
      <c r="AM192" s="528"/>
      <c r="AN192" s="659"/>
      <c r="AO192" s="528"/>
      <c r="AP192" s="530"/>
      <c r="AQ192" s="530"/>
      <c r="AR192" s="528"/>
      <c r="AS192" s="659"/>
      <c r="AT192" s="528"/>
      <c r="AU192" s="530"/>
      <c r="AV192" s="530"/>
      <c r="AW192" s="528"/>
      <c r="AX192" s="659"/>
      <c r="AZ192" s="372" t="e">
        <f t="shared" si="37"/>
        <v>#N/A</v>
      </c>
      <c r="BA192" s="659"/>
    </row>
    <row r="193" spans="2:53">
      <c r="B193" s="646"/>
      <c r="C193" s="307">
        <v>12</v>
      </c>
      <c r="D193" s="201"/>
      <c r="E193" s="536"/>
      <c r="F193" s="201"/>
      <c r="G193" s="199"/>
      <c r="H193" s="682"/>
      <c r="I193" s="367" t="str">
        <f t="shared" si="34"/>
        <v>-</v>
      </c>
      <c r="J193" s="367" t="str">
        <f t="shared" si="35"/>
        <v>-</v>
      </c>
      <c r="K193" s="199" t="str">
        <f t="shared" si="36"/>
        <v>-</v>
      </c>
      <c r="L193" s="617"/>
      <c r="M193" s="200" t="e">
        <f>RANK(K193, K$147:$K$176)</f>
        <v>#VALUE!</v>
      </c>
      <c r="N193" s="635"/>
      <c r="O193" s="635"/>
      <c r="P193" s="528"/>
      <c r="Q193" s="530"/>
      <c r="R193" s="530"/>
      <c r="S193" s="528"/>
      <c r="T193" s="659"/>
      <c r="U193" s="528"/>
      <c r="V193" s="530"/>
      <c r="W193" s="530"/>
      <c r="X193" s="528"/>
      <c r="Y193" s="659"/>
      <c r="Z193" s="528"/>
      <c r="AA193" s="530"/>
      <c r="AB193" s="530"/>
      <c r="AC193" s="528"/>
      <c r="AD193" s="659"/>
      <c r="AE193" s="528"/>
      <c r="AF193" s="530"/>
      <c r="AG193" s="530"/>
      <c r="AH193" s="528"/>
      <c r="AI193" s="659"/>
      <c r="AJ193" s="528"/>
      <c r="AK193" s="530"/>
      <c r="AL193" s="530"/>
      <c r="AM193" s="528"/>
      <c r="AN193" s="659"/>
      <c r="AO193" s="528"/>
      <c r="AP193" s="530"/>
      <c r="AQ193" s="530"/>
      <c r="AR193" s="528"/>
      <c r="AS193" s="659"/>
      <c r="AT193" s="528"/>
      <c r="AU193" s="530"/>
      <c r="AV193" s="530"/>
      <c r="AW193" s="528"/>
      <c r="AX193" s="659"/>
      <c r="AZ193" s="372" t="e">
        <f t="shared" si="37"/>
        <v>#N/A</v>
      </c>
      <c r="BA193" s="659"/>
    </row>
    <row r="194" spans="2:53">
      <c r="B194" s="646"/>
      <c r="C194" s="307">
        <v>13</v>
      </c>
      <c r="D194" s="201"/>
      <c r="E194" s="536"/>
      <c r="F194" s="201"/>
      <c r="G194" s="199"/>
      <c r="H194" s="682"/>
      <c r="I194" s="367" t="str">
        <f t="shared" si="34"/>
        <v>-</v>
      </c>
      <c r="J194" s="367" t="str">
        <f t="shared" si="35"/>
        <v>-</v>
      </c>
      <c r="K194" s="199" t="str">
        <f t="shared" si="36"/>
        <v>-</v>
      </c>
      <c r="L194" s="617"/>
      <c r="M194" s="200" t="e">
        <f>RANK(K194, K$147:$K$176)</f>
        <v>#VALUE!</v>
      </c>
      <c r="N194" s="635"/>
      <c r="O194" s="635"/>
      <c r="P194" s="528"/>
      <c r="Q194" s="530"/>
      <c r="R194" s="530"/>
      <c r="S194" s="528"/>
      <c r="T194" s="659"/>
      <c r="U194" s="528"/>
      <c r="V194" s="530"/>
      <c r="W194" s="530"/>
      <c r="X194" s="528"/>
      <c r="Y194" s="659"/>
      <c r="Z194" s="528"/>
      <c r="AA194" s="530"/>
      <c r="AB194" s="530"/>
      <c r="AC194" s="528"/>
      <c r="AD194" s="659"/>
      <c r="AE194" s="528"/>
      <c r="AF194" s="530"/>
      <c r="AG194" s="530"/>
      <c r="AH194" s="528"/>
      <c r="AI194" s="659"/>
      <c r="AJ194" s="528"/>
      <c r="AK194" s="530"/>
      <c r="AL194" s="530"/>
      <c r="AM194" s="528"/>
      <c r="AN194" s="659"/>
      <c r="AO194" s="528"/>
      <c r="AP194" s="530"/>
      <c r="AQ194" s="530"/>
      <c r="AR194" s="528"/>
      <c r="AS194" s="659"/>
      <c r="AT194" s="528"/>
      <c r="AU194" s="530"/>
      <c r="AV194" s="530"/>
      <c r="AW194" s="528"/>
      <c r="AX194" s="659"/>
      <c r="AZ194" s="372" t="e">
        <f t="shared" si="37"/>
        <v>#N/A</v>
      </c>
      <c r="BA194" s="659"/>
    </row>
    <row r="195" spans="2:53">
      <c r="B195" s="646"/>
      <c r="C195" s="307">
        <v>14</v>
      </c>
      <c r="D195" s="201"/>
      <c r="E195" s="536"/>
      <c r="F195" s="201"/>
      <c r="G195" s="199"/>
      <c r="H195" s="682"/>
      <c r="I195" s="367" t="str">
        <f t="shared" si="34"/>
        <v>-</v>
      </c>
      <c r="J195" s="367" t="str">
        <f t="shared" si="35"/>
        <v>-</v>
      </c>
      <c r="K195" s="199" t="str">
        <f t="shared" si="36"/>
        <v>-</v>
      </c>
      <c r="L195" s="617"/>
      <c r="M195" s="200" t="e">
        <f>RANK(K195, K$147:$K$176)</f>
        <v>#VALUE!</v>
      </c>
      <c r="N195" s="635"/>
      <c r="O195" s="635"/>
      <c r="P195" s="528"/>
      <c r="Q195" s="530"/>
      <c r="R195" s="530"/>
      <c r="S195" s="528"/>
      <c r="T195" s="659"/>
      <c r="U195" s="528"/>
      <c r="V195" s="530"/>
      <c r="W195" s="530"/>
      <c r="X195" s="528"/>
      <c r="Y195" s="659"/>
      <c r="Z195" s="528"/>
      <c r="AA195" s="530"/>
      <c r="AB195" s="530"/>
      <c r="AC195" s="528"/>
      <c r="AD195" s="659"/>
      <c r="AE195" s="528"/>
      <c r="AF195" s="530"/>
      <c r="AG195" s="530"/>
      <c r="AH195" s="528"/>
      <c r="AI195" s="659"/>
      <c r="AJ195" s="528"/>
      <c r="AK195" s="530"/>
      <c r="AL195" s="530"/>
      <c r="AM195" s="528"/>
      <c r="AN195" s="659"/>
      <c r="AO195" s="528"/>
      <c r="AP195" s="530"/>
      <c r="AQ195" s="530"/>
      <c r="AR195" s="528"/>
      <c r="AS195" s="659"/>
      <c r="AT195" s="528"/>
      <c r="AU195" s="530"/>
      <c r="AV195" s="530"/>
      <c r="AW195" s="528"/>
      <c r="AX195" s="659"/>
      <c r="AZ195" s="372" t="e">
        <f t="shared" si="37"/>
        <v>#N/A</v>
      </c>
      <c r="BA195" s="659"/>
    </row>
    <row r="196" spans="2:53">
      <c r="B196" s="646"/>
      <c r="C196" s="307">
        <v>15</v>
      </c>
      <c r="D196" s="201"/>
      <c r="E196" s="536"/>
      <c r="F196" s="201"/>
      <c r="G196" s="199"/>
      <c r="H196" s="682"/>
      <c r="I196" s="367" t="str">
        <f t="shared" si="34"/>
        <v>-</v>
      </c>
      <c r="J196" s="367" t="str">
        <f t="shared" si="35"/>
        <v>-</v>
      </c>
      <c r="K196" s="199" t="str">
        <f t="shared" si="36"/>
        <v>-</v>
      </c>
      <c r="L196" s="617"/>
      <c r="M196" s="198" t="e">
        <f>RANK(K196, K$147:$K$176)</f>
        <v>#VALUE!</v>
      </c>
      <c r="N196" s="635"/>
      <c r="O196" s="635"/>
      <c r="P196" s="528"/>
      <c r="Q196" s="530"/>
      <c r="R196" s="530"/>
      <c r="S196" s="528"/>
      <c r="T196" s="659"/>
      <c r="U196" s="528"/>
      <c r="V196" s="530"/>
      <c r="W196" s="530"/>
      <c r="X196" s="528"/>
      <c r="Y196" s="659"/>
      <c r="Z196" s="528"/>
      <c r="AA196" s="530"/>
      <c r="AB196" s="530"/>
      <c r="AC196" s="528"/>
      <c r="AD196" s="659"/>
      <c r="AE196" s="528"/>
      <c r="AF196" s="530"/>
      <c r="AG196" s="530"/>
      <c r="AH196" s="528"/>
      <c r="AI196" s="659"/>
      <c r="AJ196" s="528"/>
      <c r="AK196" s="530"/>
      <c r="AL196" s="530"/>
      <c r="AM196" s="528"/>
      <c r="AN196" s="659"/>
      <c r="AO196" s="528"/>
      <c r="AP196" s="530"/>
      <c r="AQ196" s="530"/>
      <c r="AR196" s="528"/>
      <c r="AS196" s="659"/>
      <c r="AT196" s="528"/>
      <c r="AU196" s="530"/>
      <c r="AV196" s="530"/>
      <c r="AW196" s="528"/>
      <c r="AX196" s="659"/>
      <c r="AZ196" s="372" t="e">
        <f t="shared" si="37"/>
        <v>#N/A</v>
      </c>
      <c r="BA196" s="659"/>
    </row>
    <row r="197" spans="2:53">
      <c r="B197" s="646"/>
      <c r="C197" s="307">
        <v>16</v>
      </c>
      <c r="D197" s="201"/>
      <c r="E197" s="536"/>
      <c r="F197" s="201"/>
      <c r="G197" s="199"/>
      <c r="H197" s="682"/>
      <c r="I197" s="367" t="str">
        <f t="shared" si="34"/>
        <v>-</v>
      </c>
      <c r="J197" s="367" t="str">
        <f t="shared" si="35"/>
        <v>-</v>
      </c>
      <c r="K197" s="199" t="str">
        <f t="shared" si="36"/>
        <v>-</v>
      </c>
      <c r="L197" s="617"/>
      <c r="M197" s="198" t="e">
        <f>RANK(K197, K$147:$K$176)</f>
        <v>#VALUE!</v>
      </c>
      <c r="N197" s="635"/>
      <c r="O197" s="635"/>
      <c r="P197" s="528"/>
      <c r="Q197" s="530"/>
      <c r="R197" s="530"/>
      <c r="S197" s="528"/>
      <c r="T197" s="659"/>
      <c r="U197" s="528"/>
      <c r="V197" s="530"/>
      <c r="W197" s="530"/>
      <c r="X197" s="528"/>
      <c r="Y197" s="659"/>
      <c r="Z197" s="528"/>
      <c r="AA197" s="530"/>
      <c r="AB197" s="530"/>
      <c r="AC197" s="528"/>
      <c r="AD197" s="659"/>
      <c r="AE197" s="528"/>
      <c r="AF197" s="530"/>
      <c r="AG197" s="530"/>
      <c r="AH197" s="528"/>
      <c r="AI197" s="659"/>
      <c r="AJ197" s="528"/>
      <c r="AK197" s="530"/>
      <c r="AL197" s="530"/>
      <c r="AM197" s="528"/>
      <c r="AN197" s="659"/>
      <c r="AO197" s="528"/>
      <c r="AP197" s="530"/>
      <c r="AQ197" s="530"/>
      <c r="AR197" s="528"/>
      <c r="AS197" s="659"/>
      <c r="AT197" s="528"/>
      <c r="AU197" s="530"/>
      <c r="AV197" s="530"/>
      <c r="AW197" s="528"/>
      <c r="AX197" s="659"/>
      <c r="AZ197" s="372" t="e">
        <f t="shared" si="37"/>
        <v>#N/A</v>
      </c>
      <c r="BA197" s="659"/>
    </row>
    <row r="198" spans="2:53">
      <c r="B198" s="646"/>
      <c r="C198" s="307">
        <v>17</v>
      </c>
      <c r="D198" s="201"/>
      <c r="E198" s="536"/>
      <c r="F198" s="201"/>
      <c r="G198" s="199"/>
      <c r="H198" s="682"/>
      <c r="I198" s="367" t="str">
        <f t="shared" si="34"/>
        <v>-</v>
      </c>
      <c r="J198" s="367" t="str">
        <f t="shared" si="35"/>
        <v>-</v>
      </c>
      <c r="K198" s="199" t="str">
        <f t="shared" si="36"/>
        <v>-</v>
      </c>
      <c r="L198" s="617"/>
      <c r="M198" s="198" t="e">
        <f>RANK(K198, K$147:$K$176)</f>
        <v>#VALUE!</v>
      </c>
      <c r="N198" s="635"/>
      <c r="O198" s="635"/>
      <c r="P198" s="528"/>
      <c r="Q198" s="530"/>
      <c r="R198" s="530"/>
      <c r="S198" s="528"/>
      <c r="T198" s="659"/>
      <c r="U198" s="528"/>
      <c r="V198" s="530"/>
      <c r="W198" s="530"/>
      <c r="X198" s="528"/>
      <c r="Y198" s="659"/>
      <c r="Z198" s="528"/>
      <c r="AA198" s="530"/>
      <c r="AB198" s="530"/>
      <c r="AC198" s="528"/>
      <c r="AD198" s="659"/>
      <c r="AE198" s="528"/>
      <c r="AF198" s="530"/>
      <c r="AG198" s="530"/>
      <c r="AH198" s="528"/>
      <c r="AI198" s="659"/>
      <c r="AJ198" s="528"/>
      <c r="AK198" s="530"/>
      <c r="AL198" s="530"/>
      <c r="AM198" s="528"/>
      <c r="AN198" s="659"/>
      <c r="AO198" s="528"/>
      <c r="AP198" s="530"/>
      <c r="AQ198" s="530"/>
      <c r="AR198" s="528"/>
      <c r="AS198" s="659"/>
      <c r="AT198" s="528"/>
      <c r="AU198" s="530"/>
      <c r="AV198" s="530"/>
      <c r="AW198" s="528"/>
      <c r="AX198" s="659"/>
      <c r="AZ198" s="372" t="e">
        <f t="shared" si="37"/>
        <v>#N/A</v>
      </c>
      <c r="BA198" s="659"/>
    </row>
    <row r="199" spans="2:53">
      <c r="B199" s="646"/>
      <c r="C199" s="307">
        <v>18</v>
      </c>
      <c r="D199" s="201"/>
      <c r="E199" s="536"/>
      <c r="F199" s="201"/>
      <c r="G199" s="199"/>
      <c r="H199" s="682"/>
      <c r="I199" s="367" t="str">
        <f t="shared" si="34"/>
        <v>-</v>
      </c>
      <c r="J199" s="367" t="str">
        <f t="shared" si="35"/>
        <v>-</v>
      </c>
      <c r="K199" s="199" t="str">
        <f t="shared" si="36"/>
        <v>-</v>
      </c>
      <c r="L199" s="617"/>
      <c r="M199" s="198" t="e">
        <f>RANK(K199, K$147:$K$176)</f>
        <v>#VALUE!</v>
      </c>
      <c r="N199" s="635"/>
      <c r="O199" s="635"/>
      <c r="P199" s="528"/>
      <c r="Q199" s="530"/>
      <c r="R199" s="530"/>
      <c r="S199" s="528"/>
      <c r="T199" s="659"/>
      <c r="U199" s="528"/>
      <c r="V199" s="530"/>
      <c r="W199" s="530"/>
      <c r="X199" s="528"/>
      <c r="Y199" s="659"/>
      <c r="Z199" s="528"/>
      <c r="AA199" s="530"/>
      <c r="AB199" s="530"/>
      <c r="AC199" s="528"/>
      <c r="AD199" s="659"/>
      <c r="AE199" s="528"/>
      <c r="AF199" s="530"/>
      <c r="AG199" s="530"/>
      <c r="AH199" s="528"/>
      <c r="AI199" s="659"/>
      <c r="AJ199" s="528"/>
      <c r="AK199" s="530"/>
      <c r="AL199" s="530"/>
      <c r="AM199" s="528"/>
      <c r="AN199" s="659"/>
      <c r="AO199" s="528"/>
      <c r="AP199" s="530"/>
      <c r="AQ199" s="530"/>
      <c r="AR199" s="528"/>
      <c r="AS199" s="659"/>
      <c r="AT199" s="528"/>
      <c r="AU199" s="530"/>
      <c r="AV199" s="530"/>
      <c r="AW199" s="528"/>
      <c r="AX199" s="659"/>
      <c r="AZ199" s="372" t="e">
        <f t="shared" si="37"/>
        <v>#N/A</v>
      </c>
      <c r="BA199" s="659"/>
    </row>
    <row r="200" spans="2:53">
      <c r="B200" s="646"/>
      <c r="C200" s="307">
        <v>19</v>
      </c>
      <c r="D200" s="201"/>
      <c r="E200" s="536"/>
      <c r="F200" s="201"/>
      <c r="G200" s="199"/>
      <c r="H200" s="682"/>
      <c r="I200" s="367" t="str">
        <f t="shared" si="34"/>
        <v>-</v>
      </c>
      <c r="J200" s="367" t="str">
        <f t="shared" si="35"/>
        <v>-</v>
      </c>
      <c r="K200" s="199" t="str">
        <f t="shared" si="36"/>
        <v>-</v>
      </c>
      <c r="L200" s="617"/>
      <c r="M200" s="198" t="e">
        <f>RANK(K200, K$147:$K$176)</f>
        <v>#VALUE!</v>
      </c>
      <c r="N200" s="635"/>
      <c r="O200" s="635"/>
      <c r="P200" s="528"/>
      <c r="Q200" s="530"/>
      <c r="R200" s="530"/>
      <c r="S200" s="528"/>
      <c r="T200" s="659"/>
      <c r="U200" s="528"/>
      <c r="V200" s="530"/>
      <c r="W200" s="530"/>
      <c r="X200" s="528"/>
      <c r="Y200" s="659"/>
      <c r="Z200" s="528"/>
      <c r="AA200" s="530"/>
      <c r="AB200" s="530"/>
      <c r="AC200" s="528"/>
      <c r="AD200" s="659"/>
      <c r="AE200" s="528"/>
      <c r="AF200" s="530"/>
      <c r="AG200" s="530"/>
      <c r="AH200" s="528"/>
      <c r="AI200" s="659"/>
      <c r="AJ200" s="528"/>
      <c r="AK200" s="530"/>
      <c r="AL200" s="530"/>
      <c r="AM200" s="528"/>
      <c r="AN200" s="659"/>
      <c r="AO200" s="528"/>
      <c r="AP200" s="530"/>
      <c r="AQ200" s="530"/>
      <c r="AR200" s="528"/>
      <c r="AS200" s="659"/>
      <c r="AT200" s="528"/>
      <c r="AU200" s="530"/>
      <c r="AV200" s="530"/>
      <c r="AW200" s="528"/>
      <c r="AX200" s="659"/>
      <c r="AZ200" s="372" t="e">
        <f t="shared" si="37"/>
        <v>#N/A</v>
      </c>
      <c r="BA200" s="659"/>
    </row>
    <row r="201" spans="2:53">
      <c r="B201" s="646"/>
      <c r="C201" s="307">
        <v>20</v>
      </c>
      <c r="D201" s="201"/>
      <c r="E201" s="536"/>
      <c r="F201" s="201"/>
      <c r="G201" s="199"/>
      <c r="H201" s="682"/>
      <c r="I201" s="367" t="str">
        <f t="shared" si="34"/>
        <v>-</v>
      </c>
      <c r="J201" s="367" t="str">
        <f t="shared" si="35"/>
        <v>-</v>
      </c>
      <c r="K201" s="199" t="str">
        <f t="shared" si="36"/>
        <v>-</v>
      </c>
      <c r="L201" s="617"/>
      <c r="M201" s="198" t="e">
        <f>RANK(K201, K$147:$K$176)</f>
        <v>#VALUE!</v>
      </c>
      <c r="N201" s="635"/>
      <c r="O201" s="635"/>
      <c r="P201" s="528"/>
      <c r="Q201" s="530"/>
      <c r="R201" s="530"/>
      <c r="S201" s="528"/>
      <c r="T201" s="659"/>
      <c r="U201" s="528"/>
      <c r="V201" s="530"/>
      <c r="W201" s="530"/>
      <c r="X201" s="528"/>
      <c r="Y201" s="659"/>
      <c r="Z201" s="528"/>
      <c r="AA201" s="530"/>
      <c r="AB201" s="530"/>
      <c r="AC201" s="528"/>
      <c r="AD201" s="659"/>
      <c r="AE201" s="528"/>
      <c r="AF201" s="530"/>
      <c r="AG201" s="530"/>
      <c r="AH201" s="528"/>
      <c r="AI201" s="659"/>
      <c r="AJ201" s="528"/>
      <c r="AK201" s="530"/>
      <c r="AL201" s="530"/>
      <c r="AM201" s="528"/>
      <c r="AN201" s="659"/>
      <c r="AO201" s="528"/>
      <c r="AP201" s="530"/>
      <c r="AQ201" s="530"/>
      <c r="AR201" s="528"/>
      <c r="AS201" s="659"/>
      <c r="AT201" s="528"/>
      <c r="AU201" s="530"/>
      <c r="AV201" s="530"/>
      <c r="AW201" s="528"/>
      <c r="AX201" s="659"/>
      <c r="AZ201" s="372" t="e">
        <f t="shared" si="37"/>
        <v>#N/A</v>
      </c>
      <c r="BA201" s="659"/>
    </row>
    <row r="202" spans="2:53">
      <c r="B202" s="646"/>
      <c r="C202" s="307">
        <v>21</v>
      </c>
      <c r="D202" s="201"/>
      <c r="E202" s="536"/>
      <c r="F202" s="201"/>
      <c r="G202" s="199"/>
      <c r="H202" s="682"/>
      <c r="I202" s="367" t="str">
        <f t="shared" si="34"/>
        <v>-</v>
      </c>
      <c r="J202" s="367" t="str">
        <f t="shared" si="35"/>
        <v>-</v>
      </c>
      <c r="K202" s="199" t="str">
        <f t="shared" si="36"/>
        <v>-</v>
      </c>
      <c r="L202" s="617"/>
      <c r="M202" s="198" t="e">
        <f>RANK(K202, K$147:$K$176)</f>
        <v>#VALUE!</v>
      </c>
      <c r="N202" s="635"/>
      <c r="O202" s="635"/>
      <c r="P202" s="528"/>
      <c r="Q202" s="530"/>
      <c r="R202" s="530"/>
      <c r="S202" s="528"/>
      <c r="T202" s="659"/>
      <c r="U202" s="528"/>
      <c r="V202" s="530"/>
      <c r="W202" s="530"/>
      <c r="X202" s="528"/>
      <c r="Y202" s="659"/>
      <c r="Z202" s="528"/>
      <c r="AA202" s="530"/>
      <c r="AB202" s="530"/>
      <c r="AC202" s="528"/>
      <c r="AD202" s="659"/>
      <c r="AE202" s="528"/>
      <c r="AF202" s="530"/>
      <c r="AG202" s="530"/>
      <c r="AH202" s="528"/>
      <c r="AI202" s="659"/>
      <c r="AJ202" s="528"/>
      <c r="AK202" s="530"/>
      <c r="AL202" s="530"/>
      <c r="AM202" s="528"/>
      <c r="AN202" s="659"/>
      <c r="AO202" s="528"/>
      <c r="AP202" s="530"/>
      <c r="AQ202" s="530"/>
      <c r="AR202" s="528"/>
      <c r="AS202" s="659"/>
      <c r="AT202" s="528"/>
      <c r="AU202" s="530"/>
      <c r="AV202" s="530"/>
      <c r="AW202" s="528"/>
      <c r="AX202" s="659"/>
      <c r="AZ202" s="372" t="e">
        <f t="shared" si="37"/>
        <v>#N/A</v>
      </c>
      <c r="BA202" s="659"/>
    </row>
    <row r="203" spans="2:53">
      <c r="B203" s="646"/>
      <c r="C203" s="307">
        <v>22</v>
      </c>
      <c r="D203" s="201"/>
      <c r="E203" s="536"/>
      <c r="F203" s="201"/>
      <c r="G203" s="199"/>
      <c r="H203" s="682"/>
      <c r="I203" s="367" t="str">
        <f t="shared" si="34"/>
        <v>-</v>
      </c>
      <c r="J203" s="367" t="str">
        <f t="shared" si="35"/>
        <v>-</v>
      </c>
      <c r="K203" s="199" t="str">
        <f t="shared" si="36"/>
        <v>-</v>
      </c>
      <c r="L203" s="617"/>
      <c r="M203" s="198" t="e">
        <f>RANK(K203, K$147:$K$176)</f>
        <v>#VALUE!</v>
      </c>
      <c r="N203" s="635"/>
      <c r="O203" s="635"/>
      <c r="P203" s="528"/>
      <c r="Q203" s="530"/>
      <c r="R203" s="530"/>
      <c r="S203" s="528"/>
      <c r="T203" s="659"/>
      <c r="U203" s="528"/>
      <c r="V203" s="530"/>
      <c r="W203" s="530"/>
      <c r="X203" s="528"/>
      <c r="Y203" s="659"/>
      <c r="Z203" s="528"/>
      <c r="AA203" s="530"/>
      <c r="AB203" s="530"/>
      <c r="AC203" s="528"/>
      <c r="AD203" s="659"/>
      <c r="AE203" s="528"/>
      <c r="AF203" s="530"/>
      <c r="AG203" s="530"/>
      <c r="AH203" s="528"/>
      <c r="AI203" s="659"/>
      <c r="AJ203" s="528"/>
      <c r="AK203" s="530"/>
      <c r="AL203" s="530"/>
      <c r="AM203" s="528"/>
      <c r="AN203" s="659"/>
      <c r="AO203" s="528"/>
      <c r="AP203" s="530"/>
      <c r="AQ203" s="530"/>
      <c r="AR203" s="528"/>
      <c r="AS203" s="659"/>
      <c r="AT203" s="528"/>
      <c r="AU203" s="530"/>
      <c r="AV203" s="530"/>
      <c r="AW203" s="528"/>
      <c r="AX203" s="659"/>
      <c r="AZ203" s="372" t="e">
        <f t="shared" si="37"/>
        <v>#N/A</v>
      </c>
      <c r="BA203" s="659"/>
    </row>
    <row r="204" spans="2:53">
      <c r="B204" s="646"/>
      <c r="C204" s="307">
        <v>23</v>
      </c>
      <c r="D204" s="201"/>
      <c r="E204" s="536"/>
      <c r="F204" s="201"/>
      <c r="G204" s="199"/>
      <c r="H204" s="682"/>
      <c r="I204" s="367" t="str">
        <f t="shared" si="34"/>
        <v>-</v>
      </c>
      <c r="J204" s="367" t="str">
        <f t="shared" si="35"/>
        <v>-</v>
      </c>
      <c r="K204" s="199" t="str">
        <f t="shared" si="36"/>
        <v>-</v>
      </c>
      <c r="L204" s="617"/>
      <c r="M204" s="198" t="e">
        <f>RANK(K204, K$147:$K$176)</f>
        <v>#VALUE!</v>
      </c>
      <c r="N204" s="635"/>
      <c r="O204" s="635"/>
      <c r="P204" s="528"/>
      <c r="Q204" s="530"/>
      <c r="R204" s="530"/>
      <c r="S204" s="528"/>
      <c r="T204" s="659"/>
      <c r="U204" s="528"/>
      <c r="V204" s="530"/>
      <c r="W204" s="530"/>
      <c r="X204" s="528"/>
      <c r="Y204" s="659"/>
      <c r="Z204" s="528"/>
      <c r="AA204" s="530"/>
      <c r="AB204" s="530"/>
      <c r="AC204" s="528"/>
      <c r="AD204" s="659"/>
      <c r="AE204" s="528"/>
      <c r="AF204" s="530"/>
      <c r="AG204" s="530"/>
      <c r="AH204" s="528"/>
      <c r="AI204" s="659"/>
      <c r="AJ204" s="528"/>
      <c r="AK204" s="530"/>
      <c r="AL204" s="530"/>
      <c r="AM204" s="528"/>
      <c r="AN204" s="659"/>
      <c r="AO204" s="528"/>
      <c r="AP204" s="530"/>
      <c r="AQ204" s="530"/>
      <c r="AR204" s="528"/>
      <c r="AS204" s="659"/>
      <c r="AT204" s="528"/>
      <c r="AU204" s="530"/>
      <c r="AV204" s="530"/>
      <c r="AW204" s="528"/>
      <c r="AX204" s="659"/>
      <c r="AZ204" s="372" t="e">
        <f t="shared" si="37"/>
        <v>#N/A</v>
      </c>
      <c r="BA204" s="659"/>
    </row>
    <row r="205" spans="2:53">
      <c r="B205" s="646"/>
      <c r="C205" s="307">
        <v>24</v>
      </c>
      <c r="D205" s="201"/>
      <c r="E205" s="536"/>
      <c r="F205" s="201"/>
      <c r="G205" s="199"/>
      <c r="H205" s="682"/>
      <c r="I205" s="367" t="str">
        <f t="shared" si="34"/>
        <v>-</v>
      </c>
      <c r="J205" s="367" t="str">
        <f t="shared" si="35"/>
        <v>-</v>
      </c>
      <c r="K205" s="199" t="str">
        <f t="shared" si="36"/>
        <v>-</v>
      </c>
      <c r="L205" s="617"/>
      <c r="M205" s="198" t="e">
        <f>RANK(K205, K$147:$K$176)</f>
        <v>#VALUE!</v>
      </c>
      <c r="N205" s="635"/>
      <c r="O205" s="635"/>
      <c r="P205" s="528"/>
      <c r="Q205" s="530"/>
      <c r="R205" s="530"/>
      <c r="S205" s="528"/>
      <c r="T205" s="659"/>
      <c r="U205" s="528"/>
      <c r="V205" s="530"/>
      <c r="W205" s="530"/>
      <c r="X205" s="528"/>
      <c r="Y205" s="659"/>
      <c r="Z205" s="528"/>
      <c r="AA205" s="530"/>
      <c r="AB205" s="530"/>
      <c r="AC205" s="528"/>
      <c r="AD205" s="659"/>
      <c r="AE205" s="528"/>
      <c r="AF205" s="530"/>
      <c r="AG205" s="530"/>
      <c r="AH205" s="528"/>
      <c r="AI205" s="659"/>
      <c r="AJ205" s="528"/>
      <c r="AK205" s="530"/>
      <c r="AL205" s="530"/>
      <c r="AM205" s="528"/>
      <c r="AN205" s="659"/>
      <c r="AO205" s="528"/>
      <c r="AP205" s="530"/>
      <c r="AQ205" s="530"/>
      <c r="AR205" s="528"/>
      <c r="AS205" s="659"/>
      <c r="AT205" s="528"/>
      <c r="AU205" s="530"/>
      <c r="AV205" s="530"/>
      <c r="AW205" s="528"/>
      <c r="AX205" s="659"/>
      <c r="AZ205" s="372" t="e">
        <f t="shared" si="37"/>
        <v>#N/A</v>
      </c>
      <c r="BA205" s="659"/>
    </row>
    <row r="206" spans="2:53">
      <c r="B206" s="646"/>
      <c r="C206" s="307">
        <v>25</v>
      </c>
      <c r="D206" s="201"/>
      <c r="E206" s="536"/>
      <c r="F206" s="201"/>
      <c r="G206" s="199"/>
      <c r="H206" s="682"/>
      <c r="I206" s="367" t="str">
        <f t="shared" si="34"/>
        <v>-</v>
      </c>
      <c r="J206" s="367" t="str">
        <f t="shared" si="35"/>
        <v>-</v>
      </c>
      <c r="K206" s="199" t="str">
        <f t="shared" si="36"/>
        <v>-</v>
      </c>
      <c r="L206" s="617"/>
      <c r="M206" s="198" t="e">
        <f>RANK(K206, K$147:$K$176)</f>
        <v>#VALUE!</v>
      </c>
      <c r="N206" s="635"/>
      <c r="O206" s="635"/>
      <c r="P206" s="528"/>
      <c r="Q206" s="530"/>
      <c r="R206" s="530"/>
      <c r="S206" s="528"/>
      <c r="T206" s="659"/>
      <c r="U206" s="528"/>
      <c r="V206" s="530"/>
      <c r="W206" s="530"/>
      <c r="X206" s="528"/>
      <c r="Y206" s="659"/>
      <c r="Z206" s="528"/>
      <c r="AA206" s="530"/>
      <c r="AB206" s="530"/>
      <c r="AC206" s="528"/>
      <c r="AD206" s="659"/>
      <c r="AE206" s="528"/>
      <c r="AF206" s="530"/>
      <c r="AG206" s="530"/>
      <c r="AH206" s="528"/>
      <c r="AI206" s="659"/>
      <c r="AJ206" s="528"/>
      <c r="AK206" s="530"/>
      <c r="AL206" s="530"/>
      <c r="AM206" s="528"/>
      <c r="AN206" s="659"/>
      <c r="AO206" s="528"/>
      <c r="AP206" s="530"/>
      <c r="AQ206" s="530"/>
      <c r="AR206" s="528"/>
      <c r="AS206" s="659"/>
      <c r="AT206" s="528"/>
      <c r="AU206" s="530"/>
      <c r="AV206" s="530"/>
      <c r="AW206" s="528"/>
      <c r="AX206" s="659"/>
      <c r="AZ206" s="372" t="e">
        <f t="shared" si="37"/>
        <v>#N/A</v>
      </c>
      <c r="BA206" s="659"/>
    </row>
    <row r="207" spans="2:53">
      <c r="B207" s="646"/>
      <c r="C207" s="307">
        <v>26</v>
      </c>
      <c r="D207" s="201"/>
      <c r="E207" s="536"/>
      <c r="F207" s="201"/>
      <c r="G207" s="199"/>
      <c r="H207" s="682"/>
      <c r="I207" s="367" t="str">
        <f t="shared" si="34"/>
        <v>-</v>
      </c>
      <c r="J207" s="367" t="str">
        <f t="shared" si="35"/>
        <v>-</v>
      </c>
      <c r="K207" s="199" t="str">
        <f t="shared" si="36"/>
        <v>-</v>
      </c>
      <c r="L207" s="617"/>
      <c r="M207" s="198" t="e">
        <f>RANK(K207, K$147:$K$176)</f>
        <v>#VALUE!</v>
      </c>
      <c r="N207" s="635"/>
      <c r="O207" s="635"/>
      <c r="P207" s="528"/>
      <c r="Q207" s="530"/>
      <c r="R207" s="530"/>
      <c r="S207" s="528"/>
      <c r="T207" s="659"/>
      <c r="U207" s="528"/>
      <c r="V207" s="530"/>
      <c r="W207" s="530"/>
      <c r="X207" s="528"/>
      <c r="Y207" s="659"/>
      <c r="Z207" s="528"/>
      <c r="AA207" s="530"/>
      <c r="AB207" s="530"/>
      <c r="AC207" s="528"/>
      <c r="AD207" s="659"/>
      <c r="AE207" s="528"/>
      <c r="AF207" s="530"/>
      <c r="AG207" s="530"/>
      <c r="AH207" s="528"/>
      <c r="AI207" s="659"/>
      <c r="AJ207" s="528"/>
      <c r="AK207" s="530"/>
      <c r="AL207" s="530"/>
      <c r="AM207" s="528"/>
      <c r="AN207" s="659"/>
      <c r="AO207" s="528"/>
      <c r="AP207" s="530"/>
      <c r="AQ207" s="530"/>
      <c r="AR207" s="528"/>
      <c r="AS207" s="659"/>
      <c r="AT207" s="528"/>
      <c r="AU207" s="530"/>
      <c r="AV207" s="530"/>
      <c r="AW207" s="528"/>
      <c r="AX207" s="659"/>
      <c r="AZ207" s="372" t="e">
        <f t="shared" si="37"/>
        <v>#N/A</v>
      </c>
      <c r="BA207" s="659"/>
    </row>
    <row r="208" spans="2:53">
      <c r="B208" s="646"/>
      <c r="C208" s="307">
        <v>27</v>
      </c>
      <c r="D208" s="201"/>
      <c r="E208" s="536"/>
      <c r="F208" s="201"/>
      <c r="G208" s="199"/>
      <c r="H208" s="682"/>
      <c r="I208" s="367" t="str">
        <f t="shared" si="34"/>
        <v>-</v>
      </c>
      <c r="J208" s="367" t="str">
        <f t="shared" si="35"/>
        <v>-</v>
      </c>
      <c r="K208" s="199" t="str">
        <f t="shared" si="36"/>
        <v>-</v>
      </c>
      <c r="L208" s="617"/>
      <c r="M208" s="198" t="e">
        <f>RANK(K208, K$147:$K$176)</f>
        <v>#VALUE!</v>
      </c>
      <c r="N208" s="635"/>
      <c r="O208" s="635"/>
      <c r="P208" s="528"/>
      <c r="Q208" s="530"/>
      <c r="R208" s="530"/>
      <c r="S208" s="528"/>
      <c r="T208" s="659"/>
      <c r="U208" s="528"/>
      <c r="V208" s="530"/>
      <c r="W208" s="530"/>
      <c r="X208" s="528"/>
      <c r="Y208" s="659"/>
      <c r="Z208" s="528"/>
      <c r="AA208" s="530"/>
      <c r="AB208" s="530"/>
      <c r="AC208" s="528"/>
      <c r="AD208" s="659"/>
      <c r="AE208" s="528"/>
      <c r="AF208" s="530"/>
      <c r="AG208" s="530"/>
      <c r="AH208" s="528"/>
      <c r="AI208" s="659"/>
      <c r="AJ208" s="528"/>
      <c r="AK208" s="530"/>
      <c r="AL208" s="530"/>
      <c r="AM208" s="528"/>
      <c r="AN208" s="659"/>
      <c r="AO208" s="528"/>
      <c r="AP208" s="530"/>
      <c r="AQ208" s="530"/>
      <c r="AR208" s="528"/>
      <c r="AS208" s="659"/>
      <c r="AT208" s="528"/>
      <c r="AU208" s="530"/>
      <c r="AV208" s="530"/>
      <c r="AW208" s="528"/>
      <c r="AX208" s="659"/>
      <c r="AZ208" s="372" t="e">
        <f t="shared" si="37"/>
        <v>#N/A</v>
      </c>
      <c r="BA208" s="659"/>
    </row>
    <row r="209" spans="2:53">
      <c r="B209" s="646"/>
      <c r="C209" s="307">
        <v>28</v>
      </c>
      <c r="D209" s="201"/>
      <c r="E209" s="536"/>
      <c r="F209" s="201"/>
      <c r="G209" s="199"/>
      <c r="H209" s="682"/>
      <c r="I209" s="367" t="str">
        <f t="shared" si="34"/>
        <v>-</v>
      </c>
      <c r="J209" s="367" t="str">
        <f t="shared" si="35"/>
        <v>-</v>
      </c>
      <c r="K209" s="199" t="str">
        <f t="shared" si="36"/>
        <v>-</v>
      </c>
      <c r="L209" s="617"/>
      <c r="M209" s="198" t="e">
        <f>RANK(K209, K$147:$K$176)</f>
        <v>#VALUE!</v>
      </c>
      <c r="N209" s="635"/>
      <c r="O209" s="635"/>
      <c r="P209" s="528"/>
      <c r="Q209" s="530"/>
      <c r="R209" s="530"/>
      <c r="S209" s="528"/>
      <c r="T209" s="659"/>
      <c r="U209" s="528"/>
      <c r="V209" s="530"/>
      <c r="W209" s="530"/>
      <c r="X209" s="528"/>
      <c r="Y209" s="659"/>
      <c r="Z209" s="528"/>
      <c r="AA209" s="530"/>
      <c r="AB209" s="530"/>
      <c r="AC209" s="528"/>
      <c r="AD209" s="659"/>
      <c r="AE209" s="528"/>
      <c r="AF209" s="530"/>
      <c r="AG209" s="530"/>
      <c r="AH209" s="528"/>
      <c r="AI209" s="659"/>
      <c r="AJ209" s="528"/>
      <c r="AK209" s="530"/>
      <c r="AL209" s="530"/>
      <c r="AM209" s="528"/>
      <c r="AN209" s="659"/>
      <c r="AO209" s="528"/>
      <c r="AP209" s="530"/>
      <c r="AQ209" s="530"/>
      <c r="AR209" s="528"/>
      <c r="AS209" s="659"/>
      <c r="AT209" s="528"/>
      <c r="AU209" s="530"/>
      <c r="AV209" s="530"/>
      <c r="AW209" s="528"/>
      <c r="AX209" s="659"/>
      <c r="AZ209" s="372" t="e">
        <f t="shared" si="37"/>
        <v>#N/A</v>
      </c>
      <c r="BA209" s="659"/>
    </row>
    <row r="210" spans="2:53">
      <c r="B210" s="646"/>
      <c r="C210" s="307">
        <v>29</v>
      </c>
      <c r="D210" s="201"/>
      <c r="E210" s="536"/>
      <c r="F210" s="201"/>
      <c r="G210" s="199"/>
      <c r="H210" s="682"/>
      <c r="I210" s="367" t="str">
        <f t="shared" si="34"/>
        <v>-</v>
      </c>
      <c r="J210" s="367" t="str">
        <f t="shared" si="35"/>
        <v>-</v>
      </c>
      <c r="K210" s="199" t="str">
        <f t="shared" si="36"/>
        <v>-</v>
      </c>
      <c r="L210" s="617"/>
      <c r="M210" s="198" t="e">
        <f>RANK(K210, K$147:$K$176)</f>
        <v>#VALUE!</v>
      </c>
      <c r="N210" s="635"/>
      <c r="O210" s="635"/>
      <c r="P210" s="528"/>
      <c r="Q210" s="530"/>
      <c r="R210" s="530"/>
      <c r="S210" s="528"/>
      <c r="T210" s="659"/>
      <c r="U210" s="528"/>
      <c r="V210" s="530"/>
      <c r="W210" s="530"/>
      <c r="X210" s="528"/>
      <c r="Y210" s="659"/>
      <c r="Z210" s="528"/>
      <c r="AA210" s="530"/>
      <c r="AB210" s="530"/>
      <c r="AC210" s="528"/>
      <c r="AD210" s="659"/>
      <c r="AE210" s="528"/>
      <c r="AF210" s="530"/>
      <c r="AG210" s="530"/>
      <c r="AH210" s="528"/>
      <c r="AI210" s="659"/>
      <c r="AJ210" s="528"/>
      <c r="AK210" s="530"/>
      <c r="AL210" s="530"/>
      <c r="AM210" s="528"/>
      <c r="AN210" s="659"/>
      <c r="AO210" s="528"/>
      <c r="AP210" s="530"/>
      <c r="AQ210" s="530"/>
      <c r="AR210" s="528"/>
      <c r="AS210" s="659"/>
      <c r="AT210" s="528"/>
      <c r="AU210" s="530"/>
      <c r="AV210" s="530"/>
      <c r="AW210" s="528"/>
      <c r="AX210" s="659"/>
      <c r="AZ210" s="372" t="e">
        <f t="shared" si="37"/>
        <v>#N/A</v>
      </c>
      <c r="BA210" s="659"/>
    </row>
    <row r="211" spans="2:53">
      <c r="B211" s="646"/>
      <c r="C211" s="307">
        <v>30</v>
      </c>
      <c r="D211" s="201"/>
      <c r="E211" s="536"/>
      <c r="F211" s="201"/>
      <c r="G211" s="199"/>
      <c r="H211" s="683"/>
      <c r="I211" s="367" t="str">
        <f t="shared" si="34"/>
        <v>-</v>
      </c>
      <c r="J211" s="367" t="str">
        <f t="shared" si="35"/>
        <v>-</v>
      </c>
      <c r="K211" s="199" t="str">
        <f t="shared" si="36"/>
        <v>-</v>
      </c>
      <c r="L211" s="618"/>
      <c r="M211" s="198" t="e">
        <f>RANK(K211, K$147:$K$176)</f>
        <v>#VALUE!</v>
      </c>
      <c r="N211" s="635"/>
      <c r="O211" s="635"/>
      <c r="P211" s="528"/>
      <c r="Q211" s="530"/>
      <c r="R211" s="530"/>
      <c r="S211" s="528"/>
      <c r="T211" s="659"/>
      <c r="U211" s="528"/>
      <c r="V211" s="530"/>
      <c r="W211" s="530"/>
      <c r="X211" s="528"/>
      <c r="Y211" s="659"/>
      <c r="Z211" s="528"/>
      <c r="AA211" s="530"/>
      <c r="AB211" s="530"/>
      <c r="AC211" s="528"/>
      <c r="AD211" s="659"/>
      <c r="AE211" s="528"/>
      <c r="AF211" s="530"/>
      <c r="AG211" s="530"/>
      <c r="AH211" s="528"/>
      <c r="AI211" s="659"/>
      <c r="AJ211" s="528"/>
      <c r="AK211" s="530"/>
      <c r="AL211" s="530"/>
      <c r="AM211" s="528"/>
      <c r="AN211" s="659"/>
      <c r="AO211" s="528"/>
      <c r="AP211" s="530"/>
      <c r="AQ211" s="530"/>
      <c r="AR211" s="528"/>
      <c r="AS211" s="659"/>
      <c r="AT211" s="528"/>
      <c r="AU211" s="530"/>
      <c r="AV211" s="530"/>
      <c r="AW211" s="528"/>
      <c r="AX211" s="659"/>
      <c r="AZ211" s="372" t="e">
        <f t="shared" si="37"/>
        <v>#N/A</v>
      </c>
      <c r="BA211" s="659"/>
    </row>
    <row r="213" spans="2:53" ht="15.75">
      <c r="B213" s="672" t="s">
        <v>475</v>
      </c>
      <c r="C213" s="673"/>
      <c r="D213" s="673"/>
      <c r="E213" s="673"/>
      <c r="F213" s="673"/>
      <c r="G213" s="673"/>
      <c r="H213" s="674"/>
      <c r="I213" s="311"/>
      <c r="J213" s="311"/>
      <c r="K213" s="311"/>
      <c r="L213" s="311"/>
      <c r="M213" s="312"/>
    </row>
    <row r="214" spans="2:53" ht="15.75">
      <c r="B214" s="675"/>
      <c r="C214" s="675"/>
      <c r="D214" s="675"/>
      <c r="E214" s="675"/>
      <c r="F214" s="675"/>
      <c r="G214" s="675"/>
      <c r="H214" s="675"/>
      <c r="I214" s="313"/>
      <c r="J214" s="313"/>
      <c r="K214" s="313"/>
      <c r="L214" s="313"/>
      <c r="M214" s="314"/>
    </row>
    <row r="215" spans="2:53">
      <c r="B215" s="635" t="s">
        <v>476</v>
      </c>
      <c r="C215" s="635" t="s">
        <v>477</v>
      </c>
      <c r="D215" s="635"/>
      <c r="E215" s="635" t="s">
        <v>478</v>
      </c>
      <c r="F215" s="635"/>
      <c r="G215" s="635"/>
      <c r="H215" s="635" t="s">
        <v>479</v>
      </c>
      <c r="I215" s="676" t="s">
        <v>480</v>
      </c>
      <c r="J215" s="676"/>
      <c r="K215" s="676"/>
      <c r="L215" s="676" t="s">
        <v>479</v>
      </c>
      <c r="M215" s="676" t="s">
        <v>481</v>
      </c>
    </row>
    <row r="216" spans="2:53">
      <c r="B216" s="635"/>
      <c r="C216" s="635"/>
      <c r="D216" s="635"/>
      <c r="E216" s="635" t="s">
        <v>482</v>
      </c>
      <c r="F216" s="635"/>
      <c r="G216" s="635"/>
      <c r="H216" s="635"/>
      <c r="I216" s="676" t="s">
        <v>482</v>
      </c>
      <c r="J216" s="676"/>
      <c r="K216" s="676"/>
      <c r="L216" s="676"/>
      <c r="M216" s="676"/>
    </row>
    <row r="217" spans="2:53">
      <c r="B217" s="635"/>
      <c r="C217" s="635"/>
      <c r="D217" s="635"/>
      <c r="E217" s="308" t="s">
        <v>483</v>
      </c>
      <c r="F217" s="308" t="s">
        <v>484</v>
      </c>
      <c r="G217" s="308" t="s">
        <v>485</v>
      </c>
      <c r="H217" s="635"/>
      <c r="I217" s="315" t="s">
        <v>483</v>
      </c>
      <c r="J217" s="315" t="s">
        <v>484</v>
      </c>
      <c r="K217" s="315" t="s">
        <v>485</v>
      </c>
      <c r="L217" s="676"/>
      <c r="M217" s="676"/>
    </row>
    <row r="218" spans="2:53">
      <c r="B218" s="635" t="s">
        <v>490</v>
      </c>
      <c r="C218" s="307">
        <v>1</v>
      </c>
      <c r="D218" s="307"/>
      <c r="E218" s="181"/>
      <c r="F218" s="307"/>
      <c r="G218" s="310"/>
      <c r="H218" s="659" t="e">
        <f>AVERAGE(G218:G247)</f>
        <v>#DIV/0!</v>
      </c>
      <c r="I218" s="198" t="e">
        <f t="shared" ref="I218:J241" si="38">AVERAGEIF($D$7:$D$211,$D218,I$7:I$211)</f>
        <v>#DIV/0!</v>
      </c>
      <c r="J218" s="198" t="e">
        <f t="shared" si="38"/>
        <v>#DIV/0!</v>
      </c>
      <c r="K218" s="198" t="e">
        <f t="shared" ref="K218:K241" si="39">AVERAGEIF($D$7:$D$211,$D218,K$7:K$211)</f>
        <v>#DIV/0!</v>
      </c>
      <c r="L218" s="677" t="e">
        <f>AVERAGE(K218:K247)</f>
        <v>#DIV/0!</v>
      </c>
      <c r="M218" s="198" t="e">
        <f>RANK(K218, K$218:$K$247)</f>
        <v>#DIV/0!</v>
      </c>
    </row>
    <row r="219" spans="2:53">
      <c r="B219" s="646"/>
      <c r="C219" s="307">
        <v>2</v>
      </c>
      <c r="D219" s="307"/>
      <c r="E219" s="181"/>
      <c r="F219" s="307"/>
      <c r="G219" s="310"/>
      <c r="H219" s="659"/>
      <c r="I219" s="198" t="e">
        <f t="shared" si="38"/>
        <v>#DIV/0!</v>
      </c>
      <c r="J219" s="198" t="e">
        <f t="shared" si="38"/>
        <v>#DIV/0!</v>
      </c>
      <c r="K219" s="198" t="e">
        <f t="shared" si="39"/>
        <v>#DIV/0!</v>
      </c>
      <c r="L219" s="677"/>
      <c r="M219" s="198" t="e">
        <f>RANK(K219, K$218:$K$247)</f>
        <v>#DIV/0!</v>
      </c>
    </row>
    <row r="220" spans="2:53">
      <c r="B220" s="646"/>
      <c r="C220" s="307">
        <v>3</v>
      </c>
      <c r="D220" s="307"/>
      <c r="E220" s="181"/>
      <c r="F220" s="307"/>
      <c r="G220" s="310"/>
      <c r="H220" s="659"/>
      <c r="I220" s="198" t="e">
        <f t="shared" si="38"/>
        <v>#DIV/0!</v>
      </c>
      <c r="J220" s="198" t="e">
        <f t="shared" si="38"/>
        <v>#DIV/0!</v>
      </c>
      <c r="K220" s="198" t="e">
        <f t="shared" si="39"/>
        <v>#DIV/0!</v>
      </c>
      <c r="L220" s="677"/>
      <c r="M220" s="198" t="e">
        <f>RANK(K220, K$218:$K$247)</f>
        <v>#DIV/0!</v>
      </c>
    </row>
    <row r="221" spans="2:53">
      <c r="B221" s="646"/>
      <c r="C221" s="307">
        <v>4</v>
      </c>
      <c r="D221" s="307"/>
      <c r="E221" s="181"/>
      <c r="F221" s="307"/>
      <c r="G221" s="310"/>
      <c r="H221" s="659"/>
      <c r="I221" s="198" t="e">
        <f t="shared" si="38"/>
        <v>#DIV/0!</v>
      </c>
      <c r="J221" s="198" t="e">
        <f t="shared" si="38"/>
        <v>#DIV/0!</v>
      </c>
      <c r="K221" s="198" t="e">
        <f t="shared" si="39"/>
        <v>#DIV/0!</v>
      </c>
      <c r="L221" s="677"/>
      <c r="M221" s="198" t="e">
        <f>RANK(K221, K$218:$K$247)</f>
        <v>#DIV/0!</v>
      </c>
    </row>
    <row r="222" spans="2:53">
      <c r="B222" s="646"/>
      <c r="C222" s="307">
        <v>5</v>
      </c>
      <c r="D222" s="307"/>
      <c r="E222" s="181"/>
      <c r="F222" s="307"/>
      <c r="G222" s="310"/>
      <c r="H222" s="659"/>
      <c r="I222" s="198" t="e">
        <f t="shared" si="38"/>
        <v>#DIV/0!</v>
      </c>
      <c r="J222" s="198" t="e">
        <f t="shared" si="38"/>
        <v>#DIV/0!</v>
      </c>
      <c r="K222" s="198" t="e">
        <f t="shared" si="39"/>
        <v>#DIV/0!</v>
      </c>
      <c r="L222" s="677"/>
      <c r="M222" s="198" t="e">
        <f>RANK(K222, K$218:$K$247)</f>
        <v>#DIV/0!</v>
      </c>
    </row>
    <row r="223" spans="2:53">
      <c r="B223" s="646"/>
      <c r="C223" s="307">
        <v>6</v>
      </c>
      <c r="D223" s="307"/>
      <c r="E223" s="181"/>
      <c r="F223" s="307"/>
      <c r="G223" s="310"/>
      <c r="H223" s="659"/>
      <c r="I223" s="198" t="e">
        <f t="shared" si="38"/>
        <v>#DIV/0!</v>
      </c>
      <c r="J223" s="198" t="e">
        <f t="shared" si="38"/>
        <v>#DIV/0!</v>
      </c>
      <c r="K223" s="198" t="e">
        <f t="shared" si="39"/>
        <v>#DIV/0!</v>
      </c>
      <c r="L223" s="677"/>
      <c r="M223" s="198" t="e">
        <f>RANK(K223, K$218:$K$247)</f>
        <v>#DIV/0!</v>
      </c>
    </row>
    <row r="224" spans="2:53">
      <c r="B224" s="646"/>
      <c r="C224" s="307">
        <v>7</v>
      </c>
      <c r="D224" s="307"/>
      <c r="E224" s="181"/>
      <c r="F224" s="307"/>
      <c r="G224" s="310"/>
      <c r="H224" s="659"/>
      <c r="I224" s="198" t="e">
        <f t="shared" si="38"/>
        <v>#DIV/0!</v>
      </c>
      <c r="J224" s="198" t="e">
        <f t="shared" si="38"/>
        <v>#DIV/0!</v>
      </c>
      <c r="K224" s="198" t="e">
        <f t="shared" si="39"/>
        <v>#DIV/0!</v>
      </c>
      <c r="L224" s="677"/>
      <c r="M224" s="198" t="e">
        <f>RANK(K224, K$218:$K$247)</f>
        <v>#DIV/0!</v>
      </c>
    </row>
    <row r="225" spans="2:39">
      <c r="B225" s="646"/>
      <c r="C225" s="307">
        <v>8</v>
      </c>
      <c r="D225" s="307"/>
      <c r="E225" s="181"/>
      <c r="F225" s="307"/>
      <c r="G225" s="310"/>
      <c r="H225" s="659"/>
      <c r="I225" s="198" t="e">
        <f t="shared" si="38"/>
        <v>#DIV/0!</v>
      </c>
      <c r="J225" s="198" t="e">
        <f t="shared" si="38"/>
        <v>#DIV/0!</v>
      </c>
      <c r="K225" s="198" t="e">
        <f t="shared" si="39"/>
        <v>#DIV/0!</v>
      </c>
      <c r="L225" s="677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46"/>
      <c r="C226" s="307">
        <v>9</v>
      </c>
      <c r="D226" s="307"/>
      <c r="E226" s="181"/>
      <c r="F226" s="307"/>
      <c r="G226" s="310"/>
      <c r="H226" s="659"/>
      <c r="I226" s="198" t="e">
        <f t="shared" si="38"/>
        <v>#DIV/0!</v>
      </c>
      <c r="J226" s="198" t="e">
        <f t="shared" si="38"/>
        <v>#DIV/0!</v>
      </c>
      <c r="K226" s="198" t="e">
        <f t="shared" si="39"/>
        <v>#DIV/0!</v>
      </c>
      <c r="L226" s="677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46"/>
      <c r="C227" s="307">
        <v>10</v>
      </c>
      <c r="D227" s="307"/>
      <c r="E227" s="181"/>
      <c r="F227" s="307"/>
      <c r="G227" s="310"/>
      <c r="H227" s="659"/>
      <c r="I227" s="198" t="e">
        <f t="shared" si="38"/>
        <v>#DIV/0!</v>
      </c>
      <c r="J227" s="198" t="e">
        <f t="shared" si="38"/>
        <v>#DIV/0!</v>
      </c>
      <c r="K227" s="198" t="e">
        <f t="shared" si="39"/>
        <v>#DIV/0!</v>
      </c>
      <c r="L227" s="677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46"/>
      <c r="C228" s="307">
        <v>11</v>
      </c>
      <c r="D228" s="307"/>
      <c r="E228" s="181"/>
      <c r="F228" s="307"/>
      <c r="G228" s="310"/>
      <c r="H228" s="659"/>
      <c r="I228" s="198" t="e">
        <f t="shared" si="38"/>
        <v>#DIV/0!</v>
      </c>
      <c r="J228" s="198" t="e">
        <f t="shared" si="38"/>
        <v>#DIV/0!</v>
      </c>
      <c r="K228" s="198" t="e">
        <f t="shared" si="39"/>
        <v>#DIV/0!</v>
      </c>
      <c r="L228" s="677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46"/>
      <c r="C229" s="307">
        <v>12</v>
      </c>
      <c r="D229" s="307"/>
      <c r="E229" s="181"/>
      <c r="F229" s="307"/>
      <c r="G229" s="310"/>
      <c r="H229" s="659"/>
      <c r="I229" s="198" t="e">
        <f t="shared" si="38"/>
        <v>#DIV/0!</v>
      </c>
      <c r="J229" s="198" t="e">
        <f t="shared" si="38"/>
        <v>#DIV/0!</v>
      </c>
      <c r="K229" s="198" t="e">
        <f t="shared" si="39"/>
        <v>#DIV/0!</v>
      </c>
      <c r="L229" s="677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46"/>
      <c r="C230" s="307">
        <v>13</v>
      </c>
      <c r="D230" s="307"/>
      <c r="E230" s="181"/>
      <c r="F230" s="307"/>
      <c r="G230" s="310"/>
      <c r="H230" s="659"/>
      <c r="I230" s="198" t="e">
        <f t="shared" si="38"/>
        <v>#DIV/0!</v>
      </c>
      <c r="J230" s="198" t="e">
        <f t="shared" si="38"/>
        <v>#DIV/0!</v>
      </c>
      <c r="K230" s="198" t="e">
        <f t="shared" si="39"/>
        <v>#DIV/0!</v>
      </c>
      <c r="L230" s="677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46"/>
      <c r="C231" s="307">
        <v>14</v>
      </c>
      <c r="D231" s="307"/>
      <c r="E231" s="181"/>
      <c r="F231" s="307"/>
      <c r="G231" s="310"/>
      <c r="H231" s="659"/>
      <c r="I231" s="198" t="e">
        <f t="shared" si="38"/>
        <v>#DIV/0!</v>
      </c>
      <c r="J231" s="198" t="e">
        <f t="shared" si="38"/>
        <v>#DIV/0!</v>
      </c>
      <c r="K231" s="198" t="e">
        <f t="shared" si="39"/>
        <v>#DIV/0!</v>
      </c>
      <c r="L231" s="677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46"/>
      <c r="C232" s="307">
        <v>15</v>
      </c>
      <c r="D232" s="307"/>
      <c r="E232" s="181"/>
      <c r="F232" s="307"/>
      <c r="G232" s="310"/>
      <c r="H232" s="659"/>
      <c r="I232" s="198" t="e">
        <f t="shared" si="38"/>
        <v>#DIV/0!</v>
      </c>
      <c r="J232" s="198" t="e">
        <f t="shared" si="38"/>
        <v>#DIV/0!</v>
      </c>
      <c r="K232" s="198" t="e">
        <f t="shared" si="39"/>
        <v>#DIV/0!</v>
      </c>
      <c r="L232" s="677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46"/>
      <c r="C233" s="307">
        <v>16</v>
      </c>
      <c r="D233" s="307"/>
      <c r="E233" s="181"/>
      <c r="F233" s="307"/>
      <c r="G233" s="310"/>
      <c r="H233" s="659"/>
      <c r="I233" s="198" t="e">
        <f t="shared" si="38"/>
        <v>#DIV/0!</v>
      </c>
      <c r="J233" s="198" t="e">
        <f t="shared" si="38"/>
        <v>#DIV/0!</v>
      </c>
      <c r="K233" s="198" t="e">
        <f t="shared" si="39"/>
        <v>#DIV/0!</v>
      </c>
      <c r="L233" s="677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46"/>
      <c r="C234" s="307">
        <v>17</v>
      </c>
      <c r="D234" s="307"/>
      <c r="E234" s="181"/>
      <c r="F234" s="307"/>
      <c r="G234" s="310"/>
      <c r="H234" s="659"/>
      <c r="I234" s="198" t="e">
        <f t="shared" si="38"/>
        <v>#DIV/0!</v>
      </c>
      <c r="J234" s="198" t="e">
        <f t="shared" si="38"/>
        <v>#DIV/0!</v>
      </c>
      <c r="K234" s="198" t="e">
        <f t="shared" si="39"/>
        <v>#DIV/0!</v>
      </c>
      <c r="L234" s="677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46"/>
      <c r="C235" s="307">
        <v>18</v>
      </c>
      <c r="D235" s="307"/>
      <c r="E235" s="181"/>
      <c r="F235" s="307"/>
      <c r="G235" s="310"/>
      <c r="H235" s="659"/>
      <c r="I235" s="198" t="e">
        <f t="shared" si="38"/>
        <v>#DIV/0!</v>
      </c>
      <c r="J235" s="198" t="e">
        <f t="shared" si="38"/>
        <v>#DIV/0!</v>
      </c>
      <c r="K235" s="198" t="e">
        <f t="shared" si="39"/>
        <v>#DIV/0!</v>
      </c>
      <c r="L235" s="677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46"/>
      <c r="C236" s="307">
        <v>19</v>
      </c>
      <c r="D236" s="307"/>
      <c r="E236" s="181"/>
      <c r="F236" s="307"/>
      <c r="G236" s="310"/>
      <c r="H236" s="659"/>
      <c r="I236" s="198" t="e">
        <f t="shared" si="38"/>
        <v>#DIV/0!</v>
      </c>
      <c r="J236" s="198" t="e">
        <f t="shared" si="38"/>
        <v>#DIV/0!</v>
      </c>
      <c r="K236" s="198" t="e">
        <f t="shared" si="39"/>
        <v>#DIV/0!</v>
      </c>
      <c r="L236" s="677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46"/>
      <c r="C237" s="307">
        <v>20</v>
      </c>
      <c r="D237" s="307"/>
      <c r="E237" s="181"/>
      <c r="F237" s="307"/>
      <c r="G237" s="310"/>
      <c r="H237" s="659"/>
      <c r="I237" s="198" t="e">
        <f t="shared" si="38"/>
        <v>#DIV/0!</v>
      </c>
      <c r="J237" s="198" t="e">
        <f t="shared" si="38"/>
        <v>#DIV/0!</v>
      </c>
      <c r="K237" s="198" t="e">
        <f t="shared" si="39"/>
        <v>#DIV/0!</v>
      </c>
      <c r="L237" s="677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46"/>
      <c r="C238" s="307">
        <v>21</v>
      </c>
      <c r="D238" s="307"/>
      <c r="E238" s="181"/>
      <c r="F238" s="307"/>
      <c r="G238" s="310"/>
      <c r="H238" s="659"/>
      <c r="I238" s="198" t="e">
        <f t="shared" si="38"/>
        <v>#DIV/0!</v>
      </c>
      <c r="J238" s="198" t="e">
        <f t="shared" si="38"/>
        <v>#DIV/0!</v>
      </c>
      <c r="K238" s="198" t="e">
        <f t="shared" si="39"/>
        <v>#DIV/0!</v>
      </c>
      <c r="L238" s="677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46"/>
      <c r="C239" s="307">
        <v>22</v>
      </c>
      <c r="D239" s="307"/>
      <c r="E239" s="181"/>
      <c r="F239" s="307"/>
      <c r="G239" s="310"/>
      <c r="H239" s="659"/>
      <c r="I239" s="198" t="e">
        <f t="shared" si="38"/>
        <v>#DIV/0!</v>
      </c>
      <c r="J239" s="198" t="e">
        <f t="shared" si="38"/>
        <v>#DIV/0!</v>
      </c>
      <c r="K239" s="198" t="e">
        <f t="shared" si="39"/>
        <v>#DIV/0!</v>
      </c>
      <c r="L239" s="677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46"/>
      <c r="C240" s="307">
        <v>23</v>
      </c>
      <c r="D240" s="307"/>
      <c r="E240" s="181"/>
      <c r="F240" s="307"/>
      <c r="G240" s="310"/>
      <c r="H240" s="659"/>
      <c r="I240" s="198" t="e">
        <f t="shared" si="38"/>
        <v>#DIV/0!</v>
      </c>
      <c r="J240" s="198" t="e">
        <f t="shared" si="38"/>
        <v>#DIV/0!</v>
      </c>
      <c r="K240" s="198" t="e">
        <f t="shared" si="39"/>
        <v>#DIV/0!</v>
      </c>
      <c r="L240" s="677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46"/>
      <c r="C241" s="307">
        <v>24</v>
      </c>
      <c r="D241" s="307"/>
      <c r="E241" s="181"/>
      <c r="F241" s="307"/>
      <c r="G241" s="310"/>
      <c r="H241" s="659"/>
      <c r="I241" s="198" t="e">
        <f t="shared" si="38"/>
        <v>#DIV/0!</v>
      </c>
      <c r="J241" s="198" t="e">
        <f t="shared" si="38"/>
        <v>#DIV/0!</v>
      </c>
      <c r="K241" s="198" t="e">
        <f t="shared" si="39"/>
        <v>#DIV/0!</v>
      </c>
      <c r="L241" s="677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46"/>
      <c r="C242" s="307">
        <v>25</v>
      </c>
      <c r="D242" s="307"/>
      <c r="E242" s="181"/>
      <c r="F242" s="307"/>
      <c r="G242" s="310"/>
      <c r="H242" s="659"/>
      <c r="I242" s="198"/>
      <c r="J242" s="198"/>
      <c r="K242" s="198"/>
      <c r="L242" s="677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46"/>
      <c r="C243" s="307">
        <v>26</v>
      </c>
      <c r="D243" s="307"/>
      <c r="E243" s="181"/>
      <c r="F243" s="307"/>
      <c r="G243" s="310"/>
      <c r="H243" s="659"/>
      <c r="I243" s="198"/>
      <c r="J243" s="198"/>
      <c r="K243" s="198"/>
      <c r="L243" s="677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46"/>
      <c r="C244" s="307">
        <v>27</v>
      </c>
      <c r="D244" s="307"/>
      <c r="E244" s="181"/>
      <c r="F244" s="307"/>
      <c r="G244" s="310"/>
      <c r="H244" s="659"/>
      <c r="I244" s="198"/>
      <c r="J244" s="198"/>
      <c r="K244" s="198"/>
      <c r="L244" s="677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46"/>
      <c r="C245" s="307">
        <v>28</v>
      </c>
      <c r="D245" s="307"/>
      <c r="E245" s="181"/>
      <c r="F245" s="307"/>
      <c r="G245" s="310"/>
      <c r="H245" s="659"/>
      <c r="I245" s="198"/>
      <c r="J245" s="198"/>
      <c r="K245" s="198"/>
      <c r="L245" s="677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46"/>
      <c r="C246" s="307">
        <v>29</v>
      </c>
      <c r="D246" s="307"/>
      <c r="E246" s="181"/>
      <c r="F246" s="307"/>
      <c r="G246" s="310"/>
      <c r="H246" s="659"/>
      <c r="I246" s="198"/>
      <c r="J246" s="198"/>
      <c r="K246" s="198"/>
      <c r="L246" s="677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46"/>
      <c r="C247" s="307">
        <v>30</v>
      </c>
      <c r="D247" s="307"/>
      <c r="E247" s="181"/>
      <c r="F247" s="307"/>
      <c r="G247" s="310"/>
      <c r="H247" s="659"/>
      <c r="I247" s="198"/>
      <c r="J247" s="198"/>
      <c r="K247" s="198"/>
      <c r="L247" s="677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</sheetData>
  <mergeCells count="379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16" zoomScale="55" zoomScaleNormal="55" workbookViewId="0">
      <pane xSplit="15" topLeftCell="Z1" activePane="topRight" state="frozen"/>
      <selection activeCell="T27" sqref="S27:T41"/>
      <selection pane="topRight" activeCell="D67" sqref="D67:D79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71.542705273267316</v>
      </c>
    </row>
    <row r="2" spans="1:53" ht="15.75">
      <c r="A2" s="81"/>
      <c r="B2" s="650" t="s">
        <v>162</v>
      </c>
      <c r="C2" s="650"/>
      <c r="D2" s="650"/>
      <c r="E2" s="650"/>
      <c r="F2" s="650"/>
      <c r="G2" s="650"/>
      <c r="H2" s="650"/>
      <c r="I2" s="288"/>
      <c r="J2" s="288"/>
      <c r="K2" s="288"/>
      <c r="L2" s="288"/>
      <c r="M2" s="196"/>
      <c r="N2" s="639" t="s">
        <v>156</v>
      </c>
      <c r="O2" s="639" t="s">
        <v>155</v>
      </c>
      <c r="P2" s="645">
        <v>46203</v>
      </c>
      <c r="Q2" s="646"/>
      <c r="R2" s="646"/>
      <c r="S2" s="646"/>
      <c r="T2" s="646"/>
      <c r="U2" s="642">
        <f>P2+1</f>
        <v>46204</v>
      </c>
      <c r="V2" s="643"/>
      <c r="W2" s="643"/>
      <c r="X2" s="643"/>
      <c r="Y2" s="644"/>
      <c r="Z2" s="642">
        <f>U2+1</f>
        <v>46205</v>
      </c>
      <c r="AA2" s="643"/>
      <c r="AB2" s="643"/>
      <c r="AC2" s="643"/>
      <c r="AD2" s="644"/>
      <c r="AE2" s="642">
        <f>Z2+1</f>
        <v>46206</v>
      </c>
      <c r="AF2" s="643"/>
      <c r="AG2" s="643"/>
      <c r="AH2" s="643"/>
      <c r="AI2" s="644"/>
      <c r="AJ2" s="642">
        <f>AE2+1</f>
        <v>46207</v>
      </c>
      <c r="AK2" s="643"/>
      <c r="AL2" s="643"/>
      <c r="AM2" s="643"/>
      <c r="AN2" s="644"/>
      <c r="AO2" s="642">
        <f>AJ2+1</f>
        <v>46208</v>
      </c>
      <c r="AP2" s="643"/>
      <c r="AQ2" s="643"/>
      <c r="AR2" s="643"/>
      <c r="AS2" s="644"/>
      <c r="AT2" s="642">
        <f>AO2+1</f>
        <v>46209</v>
      </c>
      <c r="AU2" s="643"/>
      <c r="AV2" s="643"/>
      <c r="AW2" s="643"/>
      <c r="AX2" s="644"/>
    </row>
    <row r="3" spans="1:53" ht="15.75">
      <c r="A3" s="81"/>
      <c r="B3" s="684"/>
      <c r="C3" s="684"/>
      <c r="D3" s="684"/>
      <c r="E3" s="684"/>
      <c r="F3" s="684"/>
      <c r="G3" s="684"/>
      <c r="H3" s="684"/>
      <c r="I3" s="289"/>
      <c r="J3" s="289"/>
      <c r="K3" s="289"/>
      <c r="L3" s="289"/>
      <c r="M3" s="197"/>
      <c r="N3" s="641"/>
      <c r="O3" s="641"/>
      <c r="P3" s="645" t="s">
        <v>158</v>
      </c>
      <c r="Q3" s="646"/>
      <c r="R3" s="646"/>
      <c r="S3" s="646"/>
      <c r="T3" s="646"/>
      <c r="U3" s="645" t="s">
        <v>114</v>
      </c>
      <c r="V3" s="646"/>
      <c r="W3" s="646"/>
      <c r="X3" s="646"/>
      <c r="Y3" s="646"/>
      <c r="Z3" s="645" t="s">
        <v>159</v>
      </c>
      <c r="AA3" s="646"/>
      <c r="AB3" s="646"/>
      <c r="AC3" s="646"/>
      <c r="AD3" s="646"/>
      <c r="AE3" s="645" t="s">
        <v>157</v>
      </c>
      <c r="AF3" s="646"/>
      <c r="AG3" s="646"/>
      <c r="AH3" s="646"/>
      <c r="AI3" s="646"/>
      <c r="AJ3" s="645" t="s">
        <v>160</v>
      </c>
      <c r="AK3" s="646"/>
      <c r="AL3" s="646"/>
      <c r="AM3" s="646"/>
      <c r="AN3" s="646"/>
      <c r="AO3" s="645" t="s">
        <v>115</v>
      </c>
      <c r="AP3" s="646"/>
      <c r="AQ3" s="646"/>
      <c r="AR3" s="646"/>
      <c r="AS3" s="646"/>
      <c r="AT3" s="645" t="s">
        <v>161</v>
      </c>
      <c r="AU3" s="646"/>
      <c r="AV3" s="646"/>
      <c r="AW3" s="646"/>
      <c r="AX3" s="646"/>
    </row>
    <row r="4" spans="1:53" ht="14.25">
      <c r="A4" s="81"/>
      <c r="B4" s="635" t="s">
        <v>154</v>
      </c>
      <c r="C4" s="635" t="s">
        <v>382</v>
      </c>
      <c r="D4" s="635"/>
      <c r="E4" s="635" t="s">
        <v>373</v>
      </c>
      <c r="F4" s="635"/>
      <c r="G4" s="635"/>
      <c r="H4" s="636" t="s">
        <v>369</v>
      </c>
      <c r="I4" s="619" t="s">
        <v>374</v>
      </c>
      <c r="J4" s="619"/>
      <c r="K4" s="619"/>
      <c r="L4" s="620" t="s">
        <v>369</v>
      </c>
      <c r="M4" s="626" t="s">
        <v>370</v>
      </c>
      <c r="N4" s="635"/>
      <c r="O4" s="635" t="s">
        <v>375</v>
      </c>
      <c r="P4" s="632" t="s">
        <v>371</v>
      </c>
      <c r="Q4" s="633"/>
      <c r="R4" s="633"/>
      <c r="S4" s="634"/>
      <c r="T4" s="635" t="s">
        <v>369</v>
      </c>
      <c r="U4" s="632" t="s">
        <v>371</v>
      </c>
      <c r="V4" s="633"/>
      <c r="W4" s="633"/>
      <c r="X4" s="634"/>
      <c r="Y4" s="635" t="s">
        <v>369</v>
      </c>
      <c r="Z4" s="632" t="s">
        <v>371</v>
      </c>
      <c r="AA4" s="633"/>
      <c r="AB4" s="633"/>
      <c r="AC4" s="634"/>
      <c r="AD4" s="635" t="s">
        <v>369</v>
      </c>
      <c r="AE4" s="632" t="s">
        <v>371</v>
      </c>
      <c r="AF4" s="633"/>
      <c r="AG4" s="633"/>
      <c r="AH4" s="634"/>
      <c r="AI4" s="635" t="s">
        <v>369</v>
      </c>
      <c r="AJ4" s="632" t="s">
        <v>371</v>
      </c>
      <c r="AK4" s="633"/>
      <c r="AL4" s="633"/>
      <c r="AM4" s="634"/>
      <c r="AN4" s="635" t="s">
        <v>369</v>
      </c>
      <c r="AO4" s="632" t="s">
        <v>371</v>
      </c>
      <c r="AP4" s="633"/>
      <c r="AQ4" s="633"/>
      <c r="AR4" s="634"/>
      <c r="AS4" s="635" t="s">
        <v>369</v>
      </c>
      <c r="AT4" s="632" t="s">
        <v>371</v>
      </c>
      <c r="AU4" s="633"/>
      <c r="AV4" s="633"/>
      <c r="AW4" s="634"/>
      <c r="AX4" s="635" t="s">
        <v>369</v>
      </c>
      <c r="BA4" s="635" t="s">
        <v>369</v>
      </c>
    </row>
    <row r="5" spans="1:53" ht="14.25">
      <c r="A5" s="81"/>
      <c r="B5" s="635"/>
      <c r="C5" s="635"/>
      <c r="D5" s="635"/>
      <c r="E5" s="635" t="s">
        <v>376</v>
      </c>
      <c r="F5" s="635"/>
      <c r="G5" s="635"/>
      <c r="H5" s="637"/>
      <c r="I5" s="619" t="s">
        <v>376</v>
      </c>
      <c r="J5" s="619"/>
      <c r="K5" s="619"/>
      <c r="L5" s="621"/>
      <c r="M5" s="627"/>
      <c r="N5" s="635"/>
      <c r="O5" s="635"/>
      <c r="P5" s="632" t="s">
        <v>377</v>
      </c>
      <c r="Q5" s="633"/>
      <c r="R5" s="633"/>
      <c r="S5" s="634"/>
      <c r="T5" s="635"/>
      <c r="U5" s="632" t="s">
        <v>377</v>
      </c>
      <c r="V5" s="633"/>
      <c r="W5" s="633"/>
      <c r="X5" s="634"/>
      <c r="Y5" s="635"/>
      <c r="Z5" s="632" t="s">
        <v>377</v>
      </c>
      <c r="AA5" s="633"/>
      <c r="AB5" s="633"/>
      <c r="AC5" s="634"/>
      <c r="AD5" s="635"/>
      <c r="AE5" s="632" t="s">
        <v>377</v>
      </c>
      <c r="AF5" s="633"/>
      <c r="AG5" s="633"/>
      <c r="AH5" s="634"/>
      <c r="AI5" s="635"/>
      <c r="AJ5" s="632" t="s">
        <v>377</v>
      </c>
      <c r="AK5" s="633"/>
      <c r="AL5" s="633"/>
      <c r="AM5" s="634"/>
      <c r="AN5" s="635"/>
      <c r="AO5" s="632" t="s">
        <v>377</v>
      </c>
      <c r="AP5" s="633"/>
      <c r="AQ5" s="633"/>
      <c r="AR5" s="634"/>
      <c r="AS5" s="635"/>
      <c r="AT5" s="632" t="s">
        <v>377</v>
      </c>
      <c r="AU5" s="633"/>
      <c r="AV5" s="633"/>
      <c r="AW5" s="634"/>
      <c r="AX5" s="635"/>
      <c r="BA5" s="635"/>
    </row>
    <row r="6" spans="1:53" ht="14.25">
      <c r="A6" s="79"/>
      <c r="B6" s="635"/>
      <c r="C6" s="635"/>
      <c r="D6" s="635"/>
      <c r="E6" s="382" t="s">
        <v>378</v>
      </c>
      <c r="F6" s="382" t="s">
        <v>379</v>
      </c>
      <c r="G6" s="382" t="s">
        <v>380</v>
      </c>
      <c r="H6" s="638"/>
      <c r="I6" s="381" t="s">
        <v>378</v>
      </c>
      <c r="J6" s="381" t="s">
        <v>379</v>
      </c>
      <c r="K6" s="381" t="s">
        <v>380</v>
      </c>
      <c r="L6" s="622"/>
      <c r="M6" s="628"/>
      <c r="N6" s="635"/>
      <c r="O6" s="635"/>
      <c r="P6" s="533" t="s">
        <v>378</v>
      </c>
      <c r="Q6" s="533" t="s">
        <v>379</v>
      </c>
      <c r="R6" s="533" t="s">
        <v>380</v>
      </c>
      <c r="S6" s="533" t="s">
        <v>370</v>
      </c>
      <c r="T6" s="635"/>
      <c r="U6" s="533" t="s">
        <v>378</v>
      </c>
      <c r="V6" s="533" t="s">
        <v>379</v>
      </c>
      <c r="W6" s="533" t="s">
        <v>380</v>
      </c>
      <c r="X6" s="533" t="s">
        <v>370</v>
      </c>
      <c r="Y6" s="635"/>
      <c r="Z6" s="533" t="s">
        <v>378</v>
      </c>
      <c r="AA6" s="533" t="s">
        <v>379</v>
      </c>
      <c r="AB6" s="533" t="s">
        <v>380</v>
      </c>
      <c r="AC6" s="533" t="s">
        <v>370</v>
      </c>
      <c r="AD6" s="635"/>
      <c r="AE6" s="533" t="s">
        <v>378</v>
      </c>
      <c r="AF6" s="533" t="s">
        <v>379</v>
      </c>
      <c r="AG6" s="533" t="s">
        <v>380</v>
      </c>
      <c r="AH6" s="533" t="s">
        <v>370</v>
      </c>
      <c r="AI6" s="635"/>
      <c r="AJ6" s="533" t="s">
        <v>378</v>
      </c>
      <c r="AK6" s="533" t="s">
        <v>379</v>
      </c>
      <c r="AL6" s="533" t="s">
        <v>380</v>
      </c>
      <c r="AM6" s="533" t="s">
        <v>370</v>
      </c>
      <c r="AN6" s="635"/>
      <c r="AO6" s="533" t="s">
        <v>378</v>
      </c>
      <c r="AP6" s="533" t="s">
        <v>379</v>
      </c>
      <c r="AQ6" s="533" t="s">
        <v>380</v>
      </c>
      <c r="AR6" s="533" t="s">
        <v>370</v>
      </c>
      <c r="AS6" s="635"/>
      <c r="AT6" s="533" t="s">
        <v>378</v>
      </c>
      <c r="AU6" s="533" t="s">
        <v>379</v>
      </c>
      <c r="AV6" s="533" t="s">
        <v>380</v>
      </c>
      <c r="AW6" s="533" t="s">
        <v>370</v>
      </c>
      <c r="AX6" s="635"/>
      <c r="AZ6" s="371" t="s">
        <v>370</v>
      </c>
      <c r="BA6" s="635"/>
    </row>
    <row r="7" spans="1:53" ht="14.25">
      <c r="A7" s="81"/>
      <c r="B7" s="635" t="s">
        <v>132</v>
      </c>
      <c r="C7" s="383">
        <v>1</v>
      </c>
      <c r="D7" s="225" t="s">
        <v>615</v>
      </c>
      <c r="E7" s="539">
        <v>17</v>
      </c>
      <c r="F7" s="535">
        <v>1440</v>
      </c>
      <c r="G7" s="534">
        <v>84.7</v>
      </c>
      <c r="H7" s="681">
        <f>AVERAGE(G7:G21)</f>
        <v>80.15384615384616</v>
      </c>
      <c r="I7" s="385">
        <f t="shared" ref="I7:I20" si="0">IFERROR(AVERAGE(P7,U7,Z7,AE7,AJ7,AO7,AT7),"-")</f>
        <v>17</v>
      </c>
      <c r="J7" s="385">
        <f t="shared" ref="J7:J20" si="1">IFERROR(AVERAGE(Q7,V7,AA7,AF7,AK7,AP7,AU7),"-")</f>
        <v>1276.6923260010074</v>
      </c>
      <c r="K7" s="199">
        <f t="shared" ref="K7:K20" si="2">IFERROR(AVERAGE(R7,W7,AB7,AG7,AL7,AQ7,AV7),"-")</f>
        <v>75.099548588294539</v>
      </c>
      <c r="L7" s="616">
        <f>IFERROR(AVERAGE(K7:K21),"-")</f>
        <v>72.105368819045779</v>
      </c>
      <c r="M7" s="387">
        <f>RANK(K7, K$7:$K$21)</f>
        <v>6</v>
      </c>
      <c r="N7" s="635"/>
      <c r="O7" s="635"/>
      <c r="P7" s="535">
        <v>17</v>
      </c>
      <c r="Q7" s="539">
        <v>1285.9615384615392</v>
      </c>
      <c r="R7" s="539">
        <v>75.64479638009054</v>
      </c>
      <c r="S7" s="535">
        <v>4</v>
      </c>
      <c r="T7" s="659">
        <v>71.992443418346824</v>
      </c>
      <c r="U7" s="535">
        <v>17</v>
      </c>
      <c r="V7" s="539">
        <v>1270.6250000000005</v>
      </c>
      <c r="W7" s="539">
        <v>74.74264705882355</v>
      </c>
      <c r="X7" s="535">
        <v>5</v>
      </c>
      <c r="Y7" s="659">
        <v>72.303897793137708</v>
      </c>
      <c r="Z7" s="535">
        <v>17</v>
      </c>
      <c r="AA7" s="539">
        <v>1259.9999999999989</v>
      </c>
      <c r="AB7" s="539">
        <v>74.117647058823465</v>
      </c>
      <c r="AC7" s="535">
        <v>5</v>
      </c>
      <c r="AD7" s="659">
        <v>71.809182697489575</v>
      </c>
      <c r="AE7" s="535">
        <v>17</v>
      </c>
      <c r="AF7" s="539">
        <v>1279.1999999999989</v>
      </c>
      <c r="AG7" s="539">
        <v>75.247058823529343</v>
      </c>
      <c r="AH7" s="535">
        <v>5</v>
      </c>
      <c r="AI7" s="659">
        <v>72.28586712161831</v>
      </c>
      <c r="AJ7" s="535">
        <v>17</v>
      </c>
      <c r="AK7" s="539">
        <v>1274.8387096774195</v>
      </c>
      <c r="AL7" s="539">
        <v>74.990512333965853</v>
      </c>
      <c r="AM7" s="535">
        <v>4</v>
      </c>
      <c r="AN7" s="659">
        <v>71.667256465038733</v>
      </c>
      <c r="AO7" s="535">
        <v>17</v>
      </c>
      <c r="AP7" s="539">
        <v>1271.515151515152</v>
      </c>
      <c r="AQ7" s="539">
        <v>74.795008912656002</v>
      </c>
      <c r="AR7" s="535">
        <v>5</v>
      </c>
      <c r="AS7" s="659">
        <v>71.763464348509856</v>
      </c>
      <c r="AT7" s="535">
        <v>17</v>
      </c>
      <c r="AU7" s="539">
        <v>1294.7058823529419</v>
      </c>
      <c r="AV7" s="539">
        <v>76.159169550173047</v>
      </c>
      <c r="AW7" s="535">
        <v>4</v>
      </c>
      <c r="AX7" s="659">
        <v>71.330505925231208</v>
      </c>
      <c r="AZ7" s="372" t="e">
        <f t="shared" ref="AZ7:AZ21" si="3">RANK(AY7, AY$7:AY$21)</f>
        <v>#N/A</v>
      </c>
      <c r="BA7" s="659" t="e">
        <f t="shared" ref="BA7" si="4">AVERAGE(AY7:AY21)</f>
        <v>#DIV/0!</v>
      </c>
    </row>
    <row r="8" spans="1:53" ht="15" customHeight="1">
      <c r="A8" s="81"/>
      <c r="B8" s="646"/>
      <c r="C8" s="383">
        <v>2</v>
      </c>
      <c r="D8" s="225" t="s">
        <v>347</v>
      </c>
      <c r="E8" s="539">
        <v>18</v>
      </c>
      <c r="F8" s="535">
        <v>1440</v>
      </c>
      <c r="G8" s="534">
        <v>80</v>
      </c>
      <c r="H8" s="682"/>
      <c r="I8" s="385">
        <f t="shared" si="0"/>
        <v>18</v>
      </c>
      <c r="J8" s="385">
        <f t="shared" si="1"/>
        <v>1280.6657183499278</v>
      </c>
      <c r="K8" s="199">
        <f t="shared" si="2"/>
        <v>71.148095463884886</v>
      </c>
      <c r="L8" s="617"/>
      <c r="M8" s="387">
        <f>RANK(K8, K$7:$K$21)</f>
        <v>7</v>
      </c>
      <c r="N8" s="635"/>
      <c r="O8" s="635"/>
      <c r="P8" s="535">
        <v>18</v>
      </c>
      <c r="Q8" s="539">
        <v>1276.9230769230762</v>
      </c>
      <c r="R8" s="539">
        <v>70.940170940170901</v>
      </c>
      <c r="S8" s="535">
        <v>8</v>
      </c>
      <c r="T8" s="659"/>
      <c r="U8" s="535">
        <v>18</v>
      </c>
      <c r="V8" s="539">
        <v>1279.4594594594585</v>
      </c>
      <c r="W8" s="539">
        <v>71.081081081081024</v>
      </c>
      <c r="X8" s="535">
        <v>7</v>
      </c>
      <c r="Y8" s="659"/>
      <c r="Z8" s="535">
        <v>18</v>
      </c>
      <c r="AA8" s="539">
        <v>1263.0769230769224</v>
      </c>
      <c r="AB8" s="539">
        <v>70.170940170940128</v>
      </c>
      <c r="AC8" s="535">
        <v>9</v>
      </c>
      <c r="AD8" s="659"/>
      <c r="AE8" s="535">
        <v>18</v>
      </c>
      <c r="AF8" s="539">
        <v>1301.9999999999977</v>
      </c>
      <c r="AG8" s="539">
        <v>72.333333333333201</v>
      </c>
      <c r="AH8" s="535">
        <v>6</v>
      </c>
      <c r="AI8" s="659"/>
      <c r="AJ8" s="535">
        <v>18</v>
      </c>
      <c r="AK8" s="539">
        <v>1300.5405405405395</v>
      </c>
      <c r="AL8" s="539">
        <v>72.252252252252191</v>
      </c>
      <c r="AM8" s="535">
        <v>6</v>
      </c>
      <c r="AN8" s="659"/>
      <c r="AO8" s="535">
        <v>18</v>
      </c>
      <c r="AP8" s="539">
        <v>1261.5789473684201</v>
      </c>
      <c r="AQ8" s="539">
        <v>70.08771929824556</v>
      </c>
      <c r="AR8" s="535">
        <v>8</v>
      </c>
      <c r="AS8" s="659"/>
      <c r="AT8" s="535">
        <v>18</v>
      </c>
      <c r="AU8" s="539">
        <v>1281.0810810810801</v>
      </c>
      <c r="AV8" s="539">
        <v>71.171171171171125</v>
      </c>
      <c r="AW8" s="535">
        <v>6</v>
      </c>
      <c r="AX8" s="659"/>
      <c r="AZ8" s="372" t="e">
        <f t="shared" si="3"/>
        <v>#N/A</v>
      </c>
      <c r="BA8" s="659"/>
    </row>
    <row r="9" spans="1:53" ht="14.25">
      <c r="A9" s="81"/>
      <c r="B9" s="646"/>
      <c r="C9" s="383">
        <v>3</v>
      </c>
      <c r="D9" s="225" t="s">
        <v>348</v>
      </c>
      <c r="E9" s="539">
        <v>17</v>
      </c>
      <c r="F9" s="535">
        <v>1440</v>
      </c>
      <c r="G9" s="534">
        <v>84.7</v>
      </c>
      <c r="H9" s="682"/>
      <c r="I9" s="385">
        <f t="shared" si="0"/>
        <v>17</v>
      </c>
      <c r="J9" s="385">
        <f t="shared" si="1"/>
        <v>1324.0913146246105</v>
      </c>
      <c r="K9" s="199">
        <f t="shared" si="2"/>
        <v>77.887724389682958</v>
      </c>
      <c r="L9" s="617"/>
      <c r="M9" s="387">
        <f>RANK(K9, K$7:$K$21)</f>
        <v>3</v>
      </c>
      <c r="N9" s="635"/>
      <c r="O9" s="635"/>
      <c r="P9" s="535">
        <v>17</v>
      </c>
      <c r="Q9" s="539">
        <v>1320.6315789473686</v>
      </c>
      <c r="R9" s="539">
        <v>77.684210526315795</v>
      </c>
      <c r="S9" s="535">
        <v>3</v>
      </c>
      <c r="T9" s="659"/>
      <c r="U9" s="535">
        <v>17</v>
      </c>
      <c r="V9" s="539">
        <v>1339.0588235294115</v>
      </c>
      <c r="W9" s="539">
        <v>78.768166089965376</v>
      </c>
      <c r="X9" s="535">
        <v>3</v>
      </c>
      <c r="Y9" s="659"/>
      <c r="Z9" s="535">
        <v>17</v>
      </c>
      <c r="AA9" s="539">
        <v>1337.0370370370365</v>
      </c>
      <c r="AB9" s="539">
        <v>78.649237472766856</v>
      </c>
      <c r="AC9" s="535">
        <v>3</v>
      </c>
      <c r="AD9" s="659"/>
      <c r="AE9" s="535">
        <v>17</v>
      </c>
      <c r="AF9" s="539">
        <v>1346.1971830985917</v>
      </c>
      <c r="AG9" s="539">
        <v>79.188069594034801</v>
      </c>
      <c r="AH9" s="535">
        <v>2</v>
      </c>
      <c r="AI9" s="659"/>
      <c r="AJ9" s="535">
        <v>17</v>
      </c>
      <c r="AK9" s="539">
        <v>1306.3636363636365</v>
      </c>
      <c r="AL9" s="539">
        <v>76.84491978609627</v>
      </c>
      <c r="AM9" s="535">
        <v>3</v>
      </c>
      <c r="AN9" s="659"/>
      <c r="AO9" s="535">
        <v>17</v>
      </c>
      <c r="AP9" s="539">
        <v>1315.2000000000003</v>
      </c>
      <c r="AQ9" s="539">
        <v>77.364705882352951</v>
      </c>
      <c r="AR9" s="535">
        <v>3</v>
      </c>
      <c r="AS9" s="659"/>
      <c r="AT9" s="535">
        <v>17</v>
      </c>
      <c r="AU9" s="539">
        <v>1304.1509433962271</v>
      </c>
      <c r="AV9" s="539">
        <v>76.71476137624866</v>
      </c>
      <c r="AW9" s="535">
        <v>3</v>
      </c>
      <c r="AX9" s="659"/>
      <c r="AZ9" s="372" t="e">
        <f t="shared" si="3"/>
        <v>#N/A</v>
      </c>
      <c r="BA9" s="659"/>
    </row>
    <row r="10" spans="1:53" ht="14.25">
      <c r="A10" s="81"/>
      <c r="B10" s="646"/>
      <c r="C10" s="383">
        <v>4</v>
      </c>
      <c r="D10" s="225" t="s">
        <v>349</v>
      </c>
      <c r="E10" s="539">
        <v>17</v>
      </c>
      <c r="F10" s="535">
        <v>1440</v>
      </c>
      <c r="G10" s="534">
        <v>84.7</v>
      </c>
      <c r="H10" s="682"/>
      <c r="I10" s="385">
        <f t="shared" si="0"/>
        <v>17</v>
      </c>
      <c r="J10" s="385">
        <f t="shared" si="1"/>
        <v>1279.9999999999977</v>
      </c>
      <c r="K10" s="199">
        <f t="shared" si="2"/>
        <v>75.294117647058684</v>
      </c>
      <c r="L10" s="617"/>
      <c r="M10" s="387">
        <f>RANK(K10, K$7:$K$21)</f>
        <v>5</v>
      </c>
      <c r="N10" s="635"/>
      <c r="O10" s="635"/>
      <c r="P10" s="535">
        <v>17</v>
      </c>
      <c r="Q10" s="539">
        <v>1279.9999999999977</v>
      </c>
      <c r="R10" s="539">
        <v>75.294117647058684</v>
      </c>
      <c r="S10" s="535">
        <v>6</v>
      </c>
      <c r="T10" s="659"/>
      <c r="U10" s="535" t="s">
        <v>592</v>
      </c>
      <c r="V10" s="539" t="s">
        <v>592</v>
      </c>
      <c r="W10" s="539" t="s">
        <v>592</v>
      </c>
      <c r="X10" s="535" t="e">
        <v>#VALUE!</v>
      </c>
      <c r="Y10" s="659"/>
      <c r="Z10" s="535" t="s">
        <v>592</v>
      </c>
      <c r="AA10" s="539" t="s">
        <v>592</v>
      </c>
      <c r="AB10" s="539" t="s">
        <v>592</v>
      </c>
      <c r="AC10" s="535" t="e">
        <v>#VALUE!</v>
      </c>
      <c r="AD10" s="659"/>
      <c r="AE10" s="535" t="s">
        <v>592</v>
      </c>
      <c r="AF10" s="539" t="s">
        <v>592</v>
      </c>
      <c r="AG10" s="539" t="s">
        <v>592</v>
      </c>
      <c r="AH10" s="535" t="e">
        <v>#VALUE!</v>
      </c>
      <c r="AI10" s="659"/>
      <c r="AJ10" s="535" t="s">
        <v>592</v>
      </c>
      <c r="AK10" s="539" t="s">
        <v>592</v>
      </c>
      <c r="AL10" s="539" t="s">
        <v>592</v>
      </c>
      <c r="AM10" s="535" t="e">
        <v>#VALUE!</v>
      </c>
      <c r="AN10" s="659"/>
      <c r="AO10" s="535" t="s">
        <v>592</v>
      </c>
      <c r="AP10" s="539" t="s">
        <v>592</v>
      </c>
      <c r="AQ10" s="539" t="s">
        <v>592</v>
      </c>
      <c r="AR10" s="535" t="e">
        <v>#VALUE!</v>
      </c>
      <c r="AS10" s="659"/>
      <c r="AT10" s="535" t="s">
        <v>592</v>
      </c>
      <c r="AU10" s="539" t="s">
        <v>592</v>
      </c>
      <c r="AV10" s="539" t="s">
        <v>592</v>
      </c>
      <c r="AW10" s="535" t="e">
        <v>#VALUE!</v>
      </c>
      <c r="AX10" s="659"/>
      <c r="AZ10" s="372" t="e">
        <f t="shared" si="3"/>
        <v>#N/A</v>
      </c>
      <c r="BA10" s="659"/>
    </row>
    <row r="11" spans="1:53" ht="14.25">
      <c r="A11" s="81"/>
      <c r="B11" s="646"/>
      <c r="C11" s="383">
        <v>5</v>
      </c>
      <c r="D11" s="225" t="s">
        <v>350</v>
      </c>
      <c r="E11" s="539">
        <v>21</v>
      </c>
      <c r="F11" s="535">
        <v>1385</v>
      </c>
      <c r="G11" s="534">
        <v>65.900000000000006</v>
      </c>
      <c r="H11" s="682"/>
      <c r="I11" s="385">
        <f t="shared" si="0"/>
        <v>21</v>
      </c>
      <c r="J11" s="385">
        <f t="shared" si="1"/>
        <v>1283.3874932635965</v>
      </c>
      <c r="K11" s="199">
        <f t="shared" si="2"/>
        <v>61.113690155409351</v>
      </c>
      <c r="L11" s="617"/>
      <c r="M11" s="387">
        <f>RANK(K11, K$7:$K$21)</f>
        <v>12</v>
      </c>
      <c r="N11" s="635"/>
      <c r="O11" s="635"/>
      <c r="P11" s="535">
        <v>21</v>
      </c>
      <c r="Q11" s="539">
        <v>1273.5135135135142</v>
      </c>
      <c r="R11" s="539">
        <v>60.64350064350068</v>
      </c>
      <c r="S11" s="535">
        <v>12</v>
      </c>
      <c r="T11" s="659"/>
      <c r="U11" s="535">
        <v>21</v>
      </c>
      <c r="V11" s="539">
        <v>1285.102040816327</v>
      </c>
      <c r="W11" s="539">
        <v>61.195335276967953</v>
      </c>
      <c r="X11" s="535">
        <v>11</v>
      </c>
      <c r="Y11" s="659"/>
      <c r="Z11" s="535">
        <v>21</v>
      </c>
      <c r="AA11" s="539">
        <v>1269.8823529411761</v>
      </c>
      <c r="AB11" s="539">
        <v>60.470588235294102</v>
      </c>
      <c r="AC11" s="535">
        <v>11</v>
      </c>
      <c r="AD11" s="659"/>
      <c r="AE11" s="535">
        <v>21</v>
      </c>
      <c r="AF11" s="539">
        <v>1302.8571428571418</v>
      </c>
      <c r="AG11" s="539">
        <v>62.04081632653056</v>
      </c>
      <c r="AH11" s="535">
        <v>11</v>
      </c>
      <c r="AI11" s="659"/>
      <c r="AJ11" s="535">
        <v>21</v>
      </c>
      <c r="AK11" s="539">
        <v>1276.0465116279067</v>
      </c>
      <c r="AL11" s="539">
        <v>60.764119601328893</v>
      </c>
      <c r="AM11" s="535">
        <v>11</v>
      </c>
      <c r="AN11" s="659"/>
      <c r="AO11" s="535">
        <v>21</v>
      </c>
      <c r="AP11" s="539">
        <v>1268.9108910891093</v>
      </c>
      <c r="AQ11" s="539">
        <v>60.424328147100447</v>
      </c>
      <c r="AR11" s="535">
        <v>11</v>
      </c>
      <c r="AS11" s="659"/>
      <c r="AT11" s="535">
        <v>21</v>
      </c>
      <c r="AU11" s="539">
        <v>1307.4000000000003</v>
      </c>
      <c r="AV11" s="539">
        <v>62.257142857142874</v>
      </c>
      <c r="AW11" s="535">
        <v>11</v>
      </c>
      <c r="AX11" s="659"/>
      <c r="AZ11" s="372" t="e">
        <f t="shared" si="3"/>
        <v>#N/A</v>
      </c>
      <c r="BA11" s="659"/>
    </row>
    <row r="12" spans="1:53" ht="14.25">
      <c r="A12" s="81"/>
      <c r="B12" s="646"/>
      <c r="C12" s="383">
        <v>6</v>
      </c>
      <c r="D12" s="225" t="s">
        <v>351</v>
      </c>
      <c r="E12" s="539">
        <v>19</v>
      </c>
      <c r="F12" s="535">
        <v>1440</v>
      </c>
      <c r="G12" s="534">
        <v>75.8</v>
      </c>
      <c r="H12" s="682"/>
      <c r="I12" s="385">
        <f t="shared" si="0"/>
        <v>19</v>
      </c>
      <c r="J12" s="385">
        <f t="shared" si="1"/>
        <v>1342.3336178759896</v>
      </c>
      <c r="K12" s="199">
        <f t="shared" si="2"/>
        <v>70.649137782946823</v>
      </c>
      <c r="L12" s="617"/>
      <c r="M12" s="387">
        <f>RANK(K12, K$7:$K$21)</f>
        <v>8</v>
      </c>
      <c r="N12" s="635"/>
      <c r="O12" s="635"/>
      <c r="P12" s="535">
        <v>19</v>
      </c>
      <c r="Q12" s="539">
        <v>1352.0454545454545</v>
      </c>
      <c r="R12" s="539">
        <v>71.160287081339717</v>
      </c>
      <c r="S12" s="535">
        <v>7</v>
      </c>
      <c r="T12" s="659"/>
      <c r="U12" s="535">
        <v>19</v>
      </c>
      <c r="V12" s="539">
        <v>1356.9863013698618</v>
      </c>
      <c r="W12" s="539">
        <v>71.420331651045359</v>
      </c>
      <c r="X12" s="535">
        <v>6</v>
      </c>
      <c r="Y12" s="659"/>
      <c r="Z12" s="535">
        <v>19</v>
      </c>
      <c r="AA12" s="539">
        <v>1334.0740740740735</v>
      </c>
      <c r="AB12" s="539">
        <v>70.21442495126702</v>
      </c>
      <c r="AC12" s="535">
        <v>8</v>
      </c>
      <c r="AD12" s="659"/>
      <c r="AE12" s="535">
        <v>19</v>
      </c>
      <c r="AF12" s="539">
        <v>1344.7826086956522</v>
      </c>
      <c r="AG12" s="539">
        <v>70.778032036613283</v>
      </c>
      <c r="AH12" s="535">
        <v>8</v>
      </c>
      <c r="AI12" s="659"/>
      <c r="AJ12" s="535">
        <v>19</v>
      </c>
      <c r="AK12" s="539">
        <v>1329.5238095238108</v>
      </c>
      <c r="AL12" s="539">
        <v>69.974937343358462</v>
      </c>
      <c r="AM12" s="535">
        <v>9</v>
      </c>
      <c r="AN12" s="659"/>
      <c r="AO12" s="535">
        <v>19</v>
      </c>
      <c r="AP12" s="539">
        <v>1346.923076923076</v>
      </c>
      <c r="AQ12" s="539">
        <v>70.890688259109268</v>
      </c>
      <c r="AR12" s="535">
        <v>7</v>
      </c>
      <c r="AS12" s="659"/>
      <c r="AT12" s="535">
        <v>19</v>
      </c>
      <c r="AU12" s="539">
        <v>1331.9999999999989</v>
      </c>
      <c r="AV12" s="539">
        <v>70.105263157894683</v>
      </c>
      <c r="AW12" s="535">
        <v>9</v>
      </c>
      <c r="AX12" s="659"/>
      <c r="AZ12" s="372" t="e">
        <f t="shared" si="3"/>
        <v>#N/A</v>
      </c>
      <c r="BA12" s="659"/>
    </row>
    <row r="13" spans="1:53" ht="14.25">
      <c r="A13" s="81"/>
      <c r="B13" s="646"/>
      <c r="C13" s="383">
        <v>7</v>
      </c>
      <c r="D13" s="225" t="s">
        <v>494</v>
      </c>
      <c r="E13" s="539">
        <v>18</v>
      </c>
      <c r="F13" s="535">
        <v>1385</v>
      </c>
      <c r="G13" s="534">
        <v>76.900000000000006</v>
      </c>
      <c r="H13" s="682"/>
      <c r="I13" s="385">
        <f t="shared" si="0"/>
        <v>18</v>
      </c>
      <c r="J13" s="385">
        <f t="shared" si="1"/>
        <v>1268.4837177276879</v>
      </c>
      <c r="K13" s="199">
        <f t="shared" si="2"/>
        <v>70.471317651538229</v>
      </c>
      <c r="L13" s="617"/>
      <c r="M13" s="387">
        <f>RANK(K13, K$7:$K$21)</f>
        <v>9</v>
      </c>
      <c r="N13" s="635"/>
      <c r="O13" s="635"/>
      <c r="P13" s="535">
        <v>18</v>
      </c>
      <c r="Q13" s="539">
        <v>1254.6268656716402</v>
      </c>
      <c r="R13" s="539">
        <v>69.701492537313342</v>
      </c>
      <c r="S13" s="535">
        <v>10</v>
      </c>
      <c r="T13" s="659"/>
      <c r="U13" s="535">
        <v>18</v>
      </c>
      <c r="V13" s="539">
        <v>1266.6666666666679</v>
      </c>
      <c r="W13" s="539">
        <v>70.370370370370438</v>
      </c>
      <c r="X13" s="535">
        <v>8</v>
      </c>
      <c r="Y13" s="659"/>
      <c r="Z13" s="535">
        <v>18</v>
      </c>
      <c r="AA13" s="539">
        <v>1267.1186440677975</v>
      </c>
      <c r="AB13" s="539">
        <v>70.395480225988749</v>
      </c>
      <c r="AC13" s="535">
        <v>6</v>
      </c>
      <c r="AD13" s="659"/>
      <c r="AE13" s="535">
        <v>18</v>
      </c>
      <c r="AF13" s="539">
        <v>1276.4705882352946</v>
      </c>
      <c r="AG13" s="539">
        <v>70.915032679738587</v>
      </c>
      <c r="AH13" s="535">
        <v>7</v>
      </c>
      <c r="AI13" s="659"/>
      <c r="AJ13" s="535">
        <v>18</v>
      </c>
      <c r="AK13" s="539">
        <v>1267.1186440677975</v>
      </c>
      <c r="AL13" s="539">
        <v>70.395480225988749</v>
      </c>
      <c r="AM13" s="535">
        <v>7</v>
      </c>
      <c r="AN13" s="659"/>
      <c r="AO13" s="535">
        <v>18</v>
      </c>
      <c r="AP13" s="539">
        <v>1280.0000000000014</v>
      </c>
      <c r="AQ13" s="539">
        <v>71.111111111111185</v>
      </c>
      <c r="AR13" s="535">
        <v>6</v>
      </c>
      <c r="AS13" s="659"/>
      <c r="AT13" s="535">
        <v>18</v>
      </c>
      <c r="AU13" s="539">
        <v>1267.3846153846168</v>
      </c>
      <c r="AV13" s="539">
        <v>70.410256410256494</v>
      </c>
      <c r="AW13" s="535">
        <v>8</v>
      </c>
      <c r="AX13" s="659"/>
      <c r="AZ13" s="372" t="e">
        <f t="shared" si="3"/>
        <v>#N/A</v>
      </c>
      <c r="BA13" s="659"/>
    </row>
    <row r="14" spans="1:53" ht="14.25">
      <c r="A14" s="81"/>
      <c r="B14" s="646"/>
      <c r="C14" s="383">
        <v>8</v>
      </c>
      <c r="D14" s="225" t="s">
        <v>496</v>
      </c>
      <c r="E14" s="539">
        <v>18</v>
      </c>
      <c r="F14" s="535">
        <v>1385</v>
      </c>
      <c r="G14" s="534">
        <v>76.900000000000006</v>
      </c>
      <c r="H14" s="682"/>
      <c r="I14" s="385">
        <f t="shared" si="0"/>
        <v>18.142857142857142</v>
      </c>
      <c r="J14" s="385">
        <f t="shared" si="1"/>
        <v>1262.6926895498323</v>
      </c>
      <c r="K14" s="199">
        <f t="shared" si="2"/>
        <v>69.609730692437452</v>
      </c>
      <c r="L14" s="617"/>
      <c r="M14" s="387">
        <f>RANK(K14, K$7:$K$21)</f>
        <v>10</v>
      </c>
      <c r="N14" s="635"/>
      <c r="O14" s="635"/>
      <c r="P14" s="535">
        <v>18</v>
      </c>
      <c r="Q14" s="539">
        <v>1276.9230769230762</v>
      </c>
      <c r="R14" s="539">
        <v>70.940170940170901</v>
      </c>
      <c r="S14" s="535">
        <v>8</v>
      </c>
      <c r="T14" s="659"/>
      <c r="U14" s="535">
        <v>18</v>
      </c>
      <c r="V14" s="539">
        <v>1254.8571428571415</v>
      </c>
      <c r="W14" s="539">
        <v>69.714285714285637</v>
      </c>
      <c r="X14" s="535">
        <v>9</v>
      </c>
      <c r="Y14" s="659"/>
      <c r="Z14" s="535">
        <v>18</v>
      </c>
      <c r="AA14" s="539">
        <v>1245.4054054054045</v>
      </c>
      <c r="AB14" s="539">
        <v>69.189189189189136</v>
      </c>
      <c r="AC14" s="535">
        <v>10</v>
      </c>
      <c r="AD14" s="659"/>
      <c r="AE14" s="535">
        <v>18</v>
      </c>
      <c r="AF14" s="539">
        <v>1260.0000000000043</v>
      </c>
      <c r="AG14" s="539">
        <v>70.000000000000242</v>
      </c>
      <c r="AH14" s="535">
        <v>9</v>
      </c>
      <c r="AI14" s="659"/>
      <c r="AJ14" s="535">
        <v>18</v>
      </c>
      <c r="AK14" s="539">
        <v>1230.76923076923</v>
      </c>
      <c r="AL14" s="539">
        <v>68.376068376068332</v>
      </c>
      <c r="AM14" s="535">
        <v>10</v>
      </c>
      <c r="AN14" s="659"/>
      <c r="AO14" s="535">
        <v>19</v>
      </c>
      <c r="AP14" s="539">
        <v>1292.4324324324314</v>
      </c>
      <c r="AQ14" s="539">
        <v>68.022759601706909</v>
      </c>
      <c r="AR14" s="535">
        <v>10</v>
      </c>
      <c r="AS14" s="659"/>
      <c r="AT14" s="535">
        <v>18</v>
      </c>
      <c r="AU14" s="539">
        <v>1278.4615384615377</v>
      </c>
      <c r="AV14" s="539">
        <v>71.025641025640979</v>
      </c>
      <c r="AW14" s="535">
        <v>7</v>
      </c>
      <c r="AX14" s="659"/>
      <c r="AZ14" s="372" t="e">
        <f t="shared" si="3"/>
        <v>#N/A</v>
      </c>
      <c r="BA14" s="659"/>
    </row>
    <row r="15" spans="1:53" ht="14.25">
      <c r="A15" s="81"/>
      <c r="B15" s="646"/>
      <c r="C15" s="383">
        <v>9</v>
      </c>
      <c r="D15" s="225" t="s">
        <v>513</v>
      </c>
      <c r="E15" s="539">
        <v>16</v>
      </c>
      <c r="F15" s="535">
        <v>1440</v>
      </c>
      <c r="G15" s="534">
        <v>90</v>
      </c>
      <c r="H15" s="682"/>
      <c r="I15" s="385">
        <f t="shared" si="0"/>
        <v>16</v>
      </c>
      <c r="J15" s="385">
        <f t="shared" si="1"/>
        <v>1333.2432591899244</v>
      </c>
      <c r="K15" s="199">
        <f t="shared" si="2"/>
        <v>83.327703699370275</v>
      </c>
      <c r="L15" s="617"/>
      <c r="M15" s="387">
        <f>RANK(K15, K$7:$K$21)</f>
        <v>1</v>
      </c>
      <c r="N15" s="635"/>
      <c r="O15" s="635"/>
      <c r="P15" s="535">
        <v>16</v>
      </c>
      <c r="Q15" s="539">
        <v>1337.9999999999991</v>
      </c>
      <c r="R15" s="539">
        <v>83.624999999999943</v>
      </c>
      <c r="S15" s="535">
        <v>1</v>
      </c>
      <c r="T15" s="659"/>
      <c r="U15" s="535">
        <v>16</v>
      </c>
      <c r="V15" s="539">
        <v>1349.932584269663</v>
      </c>
      <c r="W15" s="539">
        <v>84.37078651685394</v>
      </c>
      <c r="X15" s="535">
        <v>1</v>
      </c>
      <c r="Y15" s="659"/>
      <c r="Z15" s="535">
        <v>16</v>
      </c>
      <c r="AA15" s="539">
        <v>1329.7142857142865</v>
      </c>
      <c r="AB15" s="539">
        <v>83.107142857142904</v>
      </c>
      <c r="AC15" s="535">
        <v>1</v>
      </c>
      <c r="AD15" s="659"/>
      <c r="AE15" s="535">
        <v>16</v>
      </c>
      <c r="AF15" s="539">
        <v>1347.1578947368423</v>
      </c>
      <c r="AG15" s="539">
        <v>84.197368421052644</v>
      </c>
      <c r="AH15" s="535">
        <v>1</v>
      </c>
      <c r="AI15" s="659"/>
      <c r="AJ15" s="535">
        <v>16</v>
      </c>
      <c r="AK15" s="539">
        <v>1325.7894736842097</v>
      </c>
      <c r="AL15" s="539">
        <v>82.861842105263108</v>
      </c>
      <c r="AM15" s="535">
        <v>1</v>
      </c>
      <c r="AN15" s="659"/>
      <c r="AO15" s="535">
        <v>16</v>
      </c>
      <c r="AP15" s="539">
        <v>1341.4634146341457</v>
      </c>
      <c r="AQ15" s="539">
        <v>83.841463414634106</v>
      </c>
      <c r="AR15" s="535">
        <v>1</v>
      </c>
      <c r="AS15" s="659"/>
      <c r="AT15" s="535">
        <v>16</v>
      </c>
      <c r="AU15" s="539">
        <v>1300.645161290322</v>
      </c>
      <c r="AV15" s="539">
        <v>81.290322580645125</v>
      </c>
      <c r="AW15" s="535">
        <v>1</v>
      </c>
      <c r="AX15" s="659"/>
      <c r="AZ15" s="372" t="e">
        <f t="shared" si="3"/>
        <v>#N/A</v>
      </c>
      <c r="BA15" s="659"/>
    </row>
    <row r="16" spans="1:53" ht="14.25">
      <c r="A16" s="81"/>
      <c r="B16" s="646"/>
      <c r="C16" s="383">
        <v>10</v>
      </c>
      <c r="D16" s="225" t="s">
        <v>566</v>
      </c>
      <c r="E16" s="539">
        <v>19</v>
      </c>
      <c r="F16" s="535">
        <v>1636</v>
      </c>
      <c r="G16" s="534">
        <v>86.1</v>
      </c>
      <c r="H16" s="682"/>
      <c r="I16" s="385">
        <f t="shared" si="0"/>
        <v>19</v>
      </c>
      <c r="J16" s="385">
        <f t="shared" si="1"/>
        <v>1431.044183834613</v>
      </c>
      <c r="K16" s="199">
        <f t="shared" si="2"/>
        <v>75.31811493866384</v>
      </c>
      <c r="L16" s="617"/>
      <c r="M16" s="387">
        <f>RANK(K16, K$7:$K$21)</f>
        <v>4</v>
      </c>
      <c r="N16" s="635"/>
      <c r="O16" s="635"/>
      <c r="P16" s="535">
        <v>19</v>
      </c>
      <c r="Q16" s="539">
        <v>1433.6619718309862</v>
      </c>
      <c r="R16" s="539">
        <v>75.455893254262435</v>
      </c>
      <c r="S16" s="535">
        <v>5</v>
      </c>
      <c r="T16" s="659"/>
      <c r="U16" s="535">
        <v>19</v>
      </c>
      <c r="V16" s="539">
        <v>1445.594594594595</v>
      </c>
      <c r="W16" s="539">
        <v>76.083926031294482</v>
      </c>
      <c r="X16" s="535">
        <v>4</v>
      </c>
      <c r="Y16" s="659"/>
      <c r="Z16" s="535">
        <v>19</v>
      </c>
      <c r="AA16" s="539">
        <v>1453.9104000000002</v>
      </c>
      <c r="AB16" s="539">
        <v>76.521600000000007</v>
      </c>
      <c r="AC16" s="535">
        <v>4</v>
      </c>
      <c r="AD16" s="659"/>
      <c r="AE16" s="535">
        <v>19</v>
      </c>
      <c r="AF16" s="539">
        <v>1459.1999999999994</v>
      </c>
      <c r="AG16" s="539">
        <v>76.799999999999969</v>
      </c>
      <c r="AH16" s="535">
        <v>4</v>
      </c>
      <c r="AI16" s="659"/>
      <c r="AJ16" s="535">
        <v>19</v>
      </c>
      <c r="AK16" s="539">
        <v>1416.3804878048775</v>
      </c>
      <c r="AL16" s="539">
        <v>74.546341463414606</v>
      </c>
      <c r="AM16" s="535">
        <v>5</v>
      </c>
      <c r="AN16" s="659"/>
      <c r="AO16" s="535">
        <v>19</v>
      </c>
      <c r="AP16" s="539">
        <v>1435.2896103896103</v>
      </c>
      <c r="AQ16" s="539">
        <v>75.541558441558436</v>
      </c>
      <c r="AR16" s="535">
        <v>4</v>
      </c>
      <c r="AS16" s="659"/>
      <c r="AT16" s="535">
        <v>19</v>
      </c>
      <c r="AU16" s="539">
        <v>1373.2722222222219</v>
      </c>
      <c r="AV16" s="539">
        <v>72.277485380116943</v>
      </c>
      <c r="AW16" s="535">
        <v>5</v>
      </c>
      <c r="AX16" s="659"/>
      <c r="AZ16" s="372" t="e">
        <f t="shared" si="3"/>
        <v>#N/A</v>
      </c>
      <c r="BA16" s="659"/>
    </row>
    <row r="17" spans="2:53">
      <c r="B17" s="646"/>
      <c r="C17" s="383">
        <v>11</v>
      </c>
      <c r="D17" s="225" t="s">
        <v>589</v>
      </c>
      <c r="E17" s="539">
        <v>19</v>
      </c>
      <c r="F17" s="535">
        <v>1440</v>
      </c>
      <c r="G17" s="534">
        <v>75.8</v>
      </c>
      <c r="H17" s="682"/>
      <c r="I17" s="385">
        <f t="shared" si="0"/>
        <v>18.142857142857142</v>
      </c>
      <c r="J17" s="385">
        <f t="shared" si="1"/>
        <v>1067.3872549019645</v>
      </c>
      <c r="K17" s="199">
        <f t="shared" si="2"/>
        <v>58.852863367569469</v>
      </c>
      <c r="L17" s="617"/>
      <c r="M17" s="387">
        <f>RANK(K17, K$7:$K$21)</f>
        <v>13</v>
      </c>
      <c r="N17" s="635"/>
      <c r="O17" s="635"/>
      <c r="P17" s="535">
        <v>18</v>
      </c>
      <c r="Q17" s="539">
        <v>1056.6666666666704</v>
      </c>
      <c r="R17" s="539">
        <v>58.703703703703908</v>
      </c>
      <c r="S17" s="535">
        <v>13</v>
      </c>
      <c r="T17" s="659"/>
      <c r="U17" s="535">
        <v>18</v>
      </c>
      <c r="V17" s="539">
        <v>1094.1176470588273</v>
      </c>
      <c r="W17" s="539">
        <v>60.784313725490406</v>
      </c>
      <c r="X17" s="535">
        <v>12</v>
      </c>
      <c r="Y17" s="659"/>
      <c r="Z17" s="535">
        <v>18</v>
      </c>
      <c r="AA17" s="539">
        <v>1051.7647058823566</v>
      </c>
      <c r="AB17" s="539">
        <v>58.431372549019812</v>
      </c>
      <c r="AC17" s="535">
        <v>12</v>
      </c>
      <c r="AD17" s="659"/>
      <c r="AE17" s="535">
        <v>18</v>
      </c>
      <c r="AF17" s="539">
        <v>1055.0000000000039</v>
      </c>
      <c r="AG17" s="539">
        <v>58.611111111111327</v>
      </c>
      <c r="AH17" s="535">
        <v>12</v>
      </c>
      <c r="AI17" s="659"/>
      <c r="AJ17" s="535">
        <v>18</v>
      </c>
      <c r="AK17" s="539">
        <v>1069.4117647058863</v>
      </c>
      <c r="AL17" s="539">
        <v>59.411764705882575</v>
      </c>
      <c r="AM17" s="535">
        <v>12</v>
      </c>
      <c r="AN17" s="659"/>
      <c r="AO17" s="535">
        <v>18</v>
      </c>
      <c r="AP17" s="539">
        <v>1076.0000000000039</v>
      </c>
      <c r="AQ17" s="539">
        <v>59.777777777777992</v>
      </c>
      <c r="AR17" s="535">
        <v>12</v>
      </c>
      <c r="AS17" s="659"/>
      <c r="AT17" s="535">
        <v>19</v>
      </c>
      <c r="AU17" s="539">
        <v>1068.7500000000039</v>
      </c>
      <c r="AV17" s="539">
        <v>56.250000000000206</v>
      </c>
      <c r="AW17" s="535">
        <v>12</v>
      </c>
      <c r="AX17" s="659"/>
      <c r="AZ17" s="372" t="e">
        <f t="shared" si="3"/>
        <v>#N/A</v>
      </c>
      <c r="BA17" s="659"/>
    </row>
    <row r="18" spans="2:53">
      <c r="B18" s="646"/>
      <c r="C18" s="383">
        <v>12</v>
      </c>
      <c r="D18" s="225" t="s">
        <v>596</v>
      </c>
      <c r="E18" s="539">
        <v>17</v>
      </c>
      <c r="F18" s="535">
        <v>1440</v>
      </c>
      <c r="G18" s="534">
        <v>84.7</v>
      </c>
      <c r="H18" s="682"/>
      <c r="I18" s="385">
        <f t="shared" si="0"/>
        <v>17</v>
      </c>
      <c r="J18" s="385">
        <f t="shared" si="1"/>
        <v>1348.3607583734904</v>
      </c>
      <c r="K18" s="199">
        <f t="shared" si="2"/>
        <v>79.315338727852392</v>
      </c>
      <c r="L18" s="617"/>
      <c r="M18" s="387">
        <f>RANK(K18, K$7:$K$21)</f>
        <v>2</v>
      </c>
      <c r="N18" s="635"/>
      <c r="O18" s="635"/>
      <c r="P18" s="535">
        <v>17</v>
      </c>
      <c r="Q18" s="539">
        <v>1364.3809523809523</v>
      </c>
      <c r="R18" s="539">
        <v>80.257703081232492</v>
      </c>
      <c r="S18" s="535">
        <v>2</v>
      </c>
      <c r="T18" s="659"/>
      <c r="U18" s="535">
        <v>17</v>
      </c>
      <c r="V18" s="539">
        <v>1350.7619047619044</v>
      </c>
      <c r="W18" s="539">
        <v>79.456582633053202</v>
      </c>
      <c r="X18" s="535">
        <v>2</v>
      </c>
      <c r="Y18" s="659"/>
      <c r="Z18" s="535">
        <v>17</v>
      </c>
      <c r="AA18" s="539">
        <v>1363.0499999999993</v>
      </c>
      <c r="AB18" s="539">
        <v>80.179411764705833</v>
      </c>
      <c r="AC18" s="535">
        <v>2</v>
      </c>
      <c r="AD18" s="659"/>
      <c r="AE18" s="535">
        <v>17</v>
      </c>
      <c r="AF18" s="539">
        <v>1323.3802816901411</v>
      </c>
      <c r="AG18" s="539">
        <v>77.845898922949473</v>
      </c>
      <c r="AH18" s="535">
        <v>3</v>
      </c>
      <c r="AI18" s="659"/>
      <c r="AJ18" s="535">
        <v>17</v>
      </c>
      <c r="AK18" s="539">
        <v>1348.5365853658532</v>
      </c>
      <c r="AL18" s="539">
        <v>79.325681492109013</v>
      </c>
      <c r="AM18" s="535">
        <v>2</v>
      </c>
      <c r="AN18" s="659"/>
      <c r="AO18" s="535">
        <v>17</v>
      </c>
      <c r="AP18" s="539">
        <v>1347.2727272727268</v>
      </c>
      <c r="AQ18" s="539">
        <v>79.251336898395692</v>
      </c>
      <c r="AR18" s="535">
        <v>2</v>
      </c>
      <c r="AS18" s="659"/>
      <c r="AT18" s="535">
        <v>17</v>
      </c>
      <c r="AU18" s="539">
        <v>1341.1428571428569</v>
      </c>
      <c r="AV18" s="539">
        <v>78.890756302520998</v>
      </c>
      <c r="AW18" s="535">
        <v>2</v>
      </c>
      <c r="AX18" s="659"/>
      <c r="AZ18" s="372" t="e">
        <f t="shared" si="3"/>
        <v>#N/A</v>
      </c>
      <c r="BA18" s="659"/>
    </row>
    <row r="19" spans="2:53">
      <c r="B19" s="646"/>
      <c r="C19" s="383">
        <v>13</v>
      </c>
      <c r="D19" s="225" t="s">
        <v>654</v>
      </c>
      <c r="E19" s="539">
        <v>19</v>
      </c>
      <c r="F19" s="535">
        <v>1440</v>
      </c>
      <c r="G19" s="534">
        <v>75.8</v>
      </c>
      <c r="H19" s="682"/>
      <c r="I19" s="385">
        <f t="shared" si="0"/>
        <v>19</v>
      </c>
      <c r="J19" s="385">
        <f t="shared" si="1"/>
        <v>1316.3658193148381</v>
      </c>
      <c r="K19" s="199">
        <f t="shared" si="2"/>
        <v>69.282411542886209</v>
      </c>
      <c r="L19" s="617"/>
      <c r="M19" s="387">
        <f>RANK(K19, K$7:$K$21)</f>
        <v>11</v>
      </c>
      <c r="N19" s="635"/>
      <c r="O19" s="635"/>
      <c r="P19" s="535">
        <v>19</v>
      </c>
      <c r="Q19" s="539">
        <v>1251.1636363636362</v>
      </c>
      <c r="R19" s="539">
        <v>65.850717703349275</v>
      </c>
      <c r="S19" s="535">
        <v>11</v>
      </c>
      <c r="T19" s="659"/>
      <c r="U19" s="535">
        <v>19</v>
      </c>
      <c r="V19" s="539">
        <v>1323.52</v>
      </c>
      <c r="W19" s="539">
        <v>69.658947368421053</v>
      </c>
      <c r="X19" s="535">
        <v>10</v>
      </c>
      <c r="Y19" s="659"/>
      <c r="Z19" s="535">
        <v>19</v>
      </c>
      <c r="AA19" s="539">
        <v>1334.9999999999995</v>
      </c>
      <c r="AB19" s="539">
        <v>70.263157894736821</v>
      </c>
      <c r="AC19" s="535">
        <v>7</v>
      </c>
      <c r="AD19" s="659"/>
      <c r="AE19" s="535">
        <v>19</v>
      </c>
      <c r="AF19" s="539">
        <v>1320.0000000000011</v>
      </c>
      <c r="AG19" s="539">
        <v>69.473684210526372</v>
      </c>
      <c r="AH19" s="535">
        <v>10</v>
      </c>
      <c r="AI19" s="659"/>
      <c r="AJ19" s="535">
        <v>19</v>
      </c>
      <c r="AK19" s="539">
        <v>1334.9999999999989</v>
      </c>
      <c r="AL19" s="539">
        <v>70.263157894736779</v>
      </c>
      <c r="AM19" s="535">
        <v>8</v>
      </c>
      <c r="AN19" s="659"/>
      <c r="AO19" s="535">
        <v>19</v>
      </c>
      <c r="AP19" s="539">
        <v>1331.0091743119276</v>
      </c>
      <c r="AQ19" s="539">
        <v>70.053114437469873</v>
      </c>
      <c r="AR19" s="535">
        <v>9</v>
      </c>
      <c r="AS19" s="659"/>
      <c r="AT19" s="535">
        <v>19</v>
      </c>
      <c r="AU19" s="539">
        <v>1318.8679245283026</v>
      </c>
      <c r="AV19" s="539">
        <v>69.414101290963302</v>
      </c>
      <c r="AW19" s="535">
        <v>10</v>
      </c>
      <c r="AX19" s="659"/>
      <c r="AZ19" s="372" t="e">
        <f t="shared" si="3"/>
        <v>#N/A</v>
      </c>
      <c r="BA19" s="659"/>
    </row>
    <row r="20" spans="2:53">
      <c r="B20" s="646"/>
      <c r="C20" s="383">
        <v>14</v>
      </c>
      <c r="D20" s="225"/>
      <c r="E20" s="539"/>
      <c r="F20" s="535"/>
      <c r="G20" s="534"/>
      <c r="H20" s="682"/>
      <c r="I20" s="385" t="str">
        <f t="shared" si="0"/>
        <v>-</v>
      </c>
      <c r="J20" s="385" t="str">
        <f t="shared" si="1"/>
        <v>-</v>
      </c>
      <c r="K20" s="199" t="str">
        <f t="shared" si="2"/>
        <v>-</v>
      </c>
      <c r="L20" s="617"/>
      <c r="M20" s="387" t="e">
        <f>RANK(K20, K$7:$K$21)</f>
        <v>#VALUE!</v>
      </c>
      <c r="N20" s="635"/>
      <c r="O20" s="635"/>
      <c r="P20" s="535" t="s">
        <v>592</v>
      </c>
      <c r="Q20" s="539" t="s">
        <v>592</v>
      </c>
      <c r="R20" s="539" t="s">
        <v>592</v>
      </c>
      <c r="S20" s="535" t="e">
        <v>#VALUE!</v>
      </c>
      <c r="T20" s="659"/>
      <c r="U20" s="535" t="s">
        <v>592</v>
      </c>
      <c r="V20" s="539" t="s">
        <v>592</v>
      </c>
      <c r="W20" s="539" t="s">
        <v>592</v>
      </c>
      <c r="X20" s="535" t="e">
        <v>#VALUE!</v>
      </c>
      <c r="Y20" s="659"/>
      <c r="Z20" s="535" t="s">
        <v>592</v>
      </c>
      <c r="AA20" s="539" t="s">
        <v>592</v>
      </c>
      <c r="AB20" s="539" t="s">
        <v>592</v>
      </c>
      <c r="AC20" s="535" t="e">
        <v>#VALUE!</v>
      </c>
      <c r="AD20" s="659"/>
      <c r="AE20" s="535" t="s">
        <v>592</v>
      </c>
      <c r="AF20" s="539" t="s">
        <v>592</v>
      </c>
      <c r="AG20" s="539" t="s">
        <v>592</v>
      </c>
      <c r="AH20" s="535" t="e">
        <v>#VALUE!</v>
      </c>
      <c r="AI20" s="659"/>
      <c r="AJ20" s="535" t="s">
        <v>592</v>
      </c>
      <c r="AK20" s="539" t="s">
        <v>592</v>
      </c>
      <c r="AL20" s="539" t="s">
        <v>592</v>
      </c>
      <c r="AM20" s="535" t="e">
        <v>#VALUE!</v>
      </c>
      <c r="AN20" s="659"/>
      <c r="AO20" s="535" t="s">
        <v>592</v>
      </c>
      <c r="AP20" s="539" t="s">
        <v>592</v>
      </c>
      <c r="AQ20" s="539" t="s">
        <v>592</v>
      </c>
      <c r="AR20" s="535" t="e">
        <v>#VALUE!</v>
      </c>
      <c r="AS20" s="659"/>
      <c r="AT20" s="535" t="s">
        <v>592</v>
      </c>
      <c r="AU20" s="539" t="s">
        <v>592</v>
      </c>
      <c r="AV20" s="539" t="s">
        <v>592</v>
      </c>
      <c r="AW20" s="535" t="e">
        <v>#VALUE!</v>
      </c>
      <c r="AX20" s="659"/>
      <c r="AZ20" s="372" t="e">
        <f t="shared" si="3"/>
        <v>#N/A</v>
      </c>
      <c r="BA20" s="659"/>
    </row>
    <row r="21" spans="2:53">
      <c r="B21" s="646"/>
      <c r="C21" s="383">
        <v>15</v>
      </c>
      <c r="D21" s="225"/>
      <c r="E21" s="539"/>
      <c r="F21" s="535"/>
      <c r="G21" s="534"/>
      <c r="H21" s="683"/>
      <c r="I21" s="201"/>
      <c r="J21" s="201"/>
      <c r="K21" s="201"/>
      <c r="L21" s="618"/>
      <c r="M21" s="390" t="e">
        <f>RANK(K21, K$7:$K$21)</f>
        <v>#N/A</v>
      </c>
      <c r="N21" s="635"/>
      <c r="O21" s="635"/>
      <c r="P21" s="535" t="s">
        <v>592</v>
      </c>
      <c r="Q21" s="539" t="s">
        <v>592</v>
      </c>
      <c r="R21" s="539" t="s">
        <v>592</v>
      </c>
      <c r="S21" s="535" t="e">
        <v>#VALUE!</v>
      </c>
      <c r="T21" s="659"/>
      <c r="U21" s="535" t="s">
        <v>592</v>
      </c>
      <c r="V21" s="539" t="s">
        <v>592</v>
      </c>
      <c r="W21" s="539" t="s">
        <v>592</v>
      </c>
      <c r="X21" s="535" t="e">
        <v>#VALUE!</v>
      </c>
      <c r="Y21" s="659"/>
      <c r="Z21" s="535" t="s">
        <v>592</v>
      </c>
      <c r="AA21" s="539" t="s">
        <v>592</v>
      </c>
      <c r="AB21" s="539" t="s">
        <v>592</v>
      </c>
      <c r="AC21" s="535" t="e">
        <v>#VALUE!</v>
      </c>
      <c r="AD21" s="659"/>
      <c r="AE21" s="535" t="s">
        <v>592</v>
      </c>
      <c r="AF21" s="539" t="s">
        <v>592</v>
      </c>
      <c r="AG21" s="539" t="s">
        <v>592</v>
      </c>
      <c r="AH21" s="535" t="e">
        <v>#VALUE!</v>
      </c>
      <c r="AI21" s="659"/>
      <c r="AJ21" s="535" t="s">
        <v>592</v>
      </c>
      <c r="AK21" s="539" t="s">
        <v>592</v>
      </c>
      <c r="AL21" s="539" t="s">
        <v>592</v>
      </c>
      <c r="AM21" s="535" t="e">
        <v>#VALUE!</v>
      </c>
      <c r="AN21" s="659"/>
      <c r="AO21" s="535" t="s">
        <v>592</v>
      </c>
      <c r="AP21" s="539" t="s">
        <v>592</v>
      </c>
      <c r="AQ21" s="539" t="s">
        <v>592</v>
      </c>
      <c r="AR21" s="535" t="e">
        <v>#VALUE!</v>
      </c>
      <c r="AS21" s="659"/>
      <c r="AT21" s="535" t="s">
        <v>592</v>
      </c>
      <c r="AU21" s="539" t="s">
        <v>592</v>
      </c>
      <c r="AV21" s="539" t="s">
        <v>592</v>
      </c>
      <c r="AW21" s="535" t="e">
        <v>#VALUE!</v>
      </c>
      <c r="AX21" s="659"/>
      <c r="AZ21" s="372" t="e">
        <f t="shared" si="3"/>
        <v>#N/A</v>
      </c>
      <c r="BA21" s="659"/>
    </row>
    <row r="22" spans="2:53" ht="15.75">
      <c r="B22" s="666" t="s">
        <v>162</v>
      </c>
      <c r="C22" s="667"/>
      <c r="D22" s="667"/>
      <c r="E22" s="667"/>
      <c r="F22" s="667"/>
      <c r="G22" s="667"/>
      <c r="H22" s="667"/>
      <c r="I22" s="202"/>
      <c r="J22" s="202"/>
      <c r="K22" s="202"/>
      <c r="L22" s="202"/>
      <c r="M22" s="203"/>
      <c r="N22" s="639" t="s">
        <v>156</v>
      </c>
      <c r="O22" s="639" t="s">
        <v>105</v>
      </c>
      <c r="P22" s="645">
        <f>P2+7</f>
        <v>46210</v>
      </c>
      <c r="Q22" s="646"/>
      <c r="R22" s="646"/>
      <c r="S22" s="646"/>
      <c r="T22" s="646"/>
      <c r="U22" s="642">
        <f>P22+1</f>
        <v>46211</v>
      </c>
      <c r="V22" s="643"/>
      <c r="W22" s="643"/>
      <c r="X22" s="643"/>
      <c r="Y22" s="644"/>
      <c r="Z22" s="642">
        <f>U22+1</f>
        <v>46212</v>
      </c>
      <c r="AA22" s="643"/>
      <c r="AB22" s="643"/>
      <c r="AC22" s="643"/>
      <c r="AD22" s="644"/>
      <c r="AE22" s="642">
        <f>Z22+1</f>
        <v>46213</v>
      </c>
      <c r="AF22" s="643"/>
      <c r="AG22" s="643"/>
      <c r="AH22" s="643"/>
      <c r="AI22" s="644"/>
      <c r="AJ22" s="642">
        <f>AE22+1</f>
        <v>46214</v>
      </c>
      <c r="AK22" s="643"/>
      <c r="AL22" s="643"/>
      <c r="AM22" s="643"/>
      <c r="AN22" s="644"/>
      <c r="AO22" s="642">
        <f>AJ22+1</f>
        <v>46215</v>
      </c>
      <c r="AP22" s="643"/>
      <c r="AQ22" s="643"/>
      <c r="AR22" s="643"/>
      <c r="AS22" s="644"/>
      <c r="AT22" s="642">
        <f>AO22+1</f>
        <v>46216</v>
      </c>
      <c r="AU22" s="643"/>
      <c r="AV22" s="643"/>
      <c r="AW22" s="643"/>
      <c r="AX22" s="644"/>
    </row>
    <row r="23" spans="2:53" ht="15.75">
      <c r="B23" s="653"/>
      <c r="C23" s="653"/>
      <c r="D23" s="653"/>
      <c r="E23" s="653"/>
      <c r="F23" s="653"/>
      <c r="G23" s="653"/>
      <c r="H23" s="653"/>
      <c r="I23" s="204"/>
      <c r="J23" s="204"/>
      <c r="K23" s="204"/>
      <c r="L23" s="204"/>
      <c r="M23" s="205"/>
      <c r="N23" s="641"/>
      <c r="O23" s="641"/>
      <c r="P23" s="645" t="s">
        <v>317</v>
      </c>
      <c r="Q23" s="646"/>
      <c r="R23" s="646"/>
      <c r="S23" s="646"/>
      <c r="T23" s="646"/>
      <c r="U23" s="645" t="s">
        <v>318</v>
      </c>
      <c r="V23" s="646"/>
      <c r="W23" s="646"/>
      <c r="X23" s="646"/>
      <c r="Y23" s="646"/>
      <c r="Z23" s="645" t="s">
        <v>319</v>
      </c>
      <c r="AA23" s="646"/>
      <c r="AB23" s="646"/>
      <c r="AC23" s="646"/>
      <c r="AD23" s="646"/>
      <c r="AE23" s="645" t="s">
        <v>320</v>
      </c>
      <c r="AF23" s="646"/>
      <c r="AG23" s="646"/>
      <c r="AH23" s="646"/>
      <c r="AI23" s="646"/>
      <c r="AJ23" s="645" t="s">
        <v>321</v>
      </c>
      <c r="AK23" s="646"/>
      <c r="AL23" s="646"/>
      <c r="AM23" s="646"/>
      <c r="AN23" s="646"/>
      <c r="AO23" s="645" t="s">
        <v>322</v>
      </c>
      <c r="AP23" s="646"/>
      <c r="AQ23" s="646"/>
      <c r="AR23" s="646"/>
      <c r="AS23" s="646"/>
      <c r="AT23" s="645" t="s">
        <v>323</v>
      </c>
      <c r="AU23" s="646"/>
      <c r="AV23" s="646"/>
      <c r="AW23" s="646"/>
      <c r="AX23" s="646"/>
    </row>
    <row r="24" spans="2:53">
      <c r="B24" s="635" t="s">
        <v>154</v>
      </c>
      <c r="C24" s="635" t="s">
        <v>382</v>
      </c>
      <c r="D24" s="635"/>
      <c r="E24" s="635" t="s">
        <v>373</v>
      </c>
      <c r="F24" s="635"/>
      <c r="G24" s="635"/>
      <c r="H24" s="636" t="s">
        <v>369</v>
      </c>
      <c r="I24" s="619" t="s">
        <v>374</v>
      </c>
      <c r="J24" s="619"/>
      <c r="K24" s="619"/>
      <c r="L24" s="620" t="s">
        <v>369</v>
      </c>
      <c r="M24" s="626" t="s">
        <v>370</v>
      </c>
      <c r="N24" s="635"/>
      <c r="O24" s="635" t="s">
        <v>375</v>
      </c>
      <c r="P24" s="632" t="s">
        <v>371</v>
      </c>
      <c r="Q24" s="633"/>
      <c r="R24" s="633"/>
      <c r="S24" s="634"/>
      <c r="T24" s="635" t="s">
        <v>369</v>
      </c>
      <c r="U24" s="632" t="s">
        <v>371</v>
      </c>
      <c r="V24" s="633"/>
      <c r="W24" s="633"/>
      <c r="X24" s="634"/>
      <c r="Y24" s="635" t="s">
        <v>369</v>
      </c>
      <c r="Z24" s="632" t="s">
        <v>371</v>
      </c>
      <c r="AA24" s="633"/>
      <c r="AB24" s="633"/>
      <c r="AC24" s="634"/>
      <c r="AD24" s="635" t="s">
        <v>369</v>
      </c>
      <c r="AE24" s="632" t="s">
        <v>371</v>
      </c>
      <c r="AF24" s="633"/>
      <c r="AG24" s="633"/>
      <c r="AH24" s="634"/>
      <c r="AI24" s="635" t="s">
        <v>369</v>
      </c>
      <c r="AJ24" s="632" t="s">
        <v>371</v>
      </c>
      <c r="AK24" s="633"/>
      <c r="AL24" s="633"/>
      <c r="AM24" s="634"/>
      <c r="AN24" s="635" t="s">
        <v>369</v>
      </c>
      <c r="AO24" s="632" t="s">
        <v>371</v>
      </c>
      <c r="AP24" s="633"/>
      <c r="AQ24" s="633"/>
      <c r="AR24" s="634"/>
      <c r="AS24" s="635" t="s">
        <v>369</v>
      </c>
      <c r="AT24" s="632" t="s">
        <v>371</v>
      </c>
      <c r="AU24" s="633"/>
      <c r="AV24" s="633"/>
      <c r="AW24" s="634"/>
      <c r="AX24" s="635" t="s">
        <v>369</v>
      </c>
      <c r="BA24" s="635" t="s">
        <v>369</v>
      </c>
    </row>
    <row r="25" spans="2:53">
      <c r="B25" s="635"/>
      <c r="C25" s="635"/>
      <c r="D25" s="635"/>
      <c r="E25" s="635" t="s">
        <v>376</v>
      </c>
      <c r="F25" s="635"/>
      <c r="G25" s="635"/>
      <c r="H25" s="637"/>
      <c r="I25" s="619" t="s">
        <v>376</v>
      </c>
      <c r="J25" s="619"/>
      <c r="K25" s="619"/>
      <c r="L25" s="621"/>
      <c r="M25" s="627"/>
      <c r="N25" s="635"/>
      <c r="O25" s="635"/>
      <c r="P25" s="632" t="s">
        <v>377</v>
      </c>
      <c r="Q25" s="633"/>
      <c r="R25" s="633"/>
      <c r="S25" s="634"/>
      <c r="T25" s="635"/>
      <c r="U25" s="632" t="s">
        <v>377</v>
      </c>
      <c r="V25" s="633"/>
      <c r="W25" s="633"/>
      <c r="X25" s="634"/>
      <c r="Y25" s="635"/>
      <c r="Z25" s="632" t="s">
        <v>377</v>
      </c>
      <c r="AA25" s="633"/>
      <c r="AB25" s="633"/>
      <c r="AC25" s="634"/>
      <c r="AD25" s="635"/>
      <c r="AE25" s="632" t="s">
        <v>377</v>
      </c>
      <c r="AF25" s="633"/>
      <c r="AG25" s="633"/>
      <c r="AH25" s="634"/>
      <c r="AI25" s="635"/>
      <c r="AJ25" s="632" t="s">
        <v>377</v>
      </c>
      <c r="AK25" s="633"/>
      <c r="AL25" s="633"/>
      <c r="AM25" s="634"/>
      <c r="AN25" s="635"/>
      <c r="AO25" s="632" t="s">
        <v>377</v>
      </c>
      <c r="AP25" s="633"/>
      <c r="AQ25" s="633"/>
      <c r="AR25" s="634"/>
      <c r="AS25" s="635"/>
      <c r="AT25" s="632" t="s">
        <v>377</v>
      </c>
      <c r="AU25" s="633"/>
      <c r="AV25" s="633"/>
      <c r="AW25" s="634"/>
      <c r="AX25" s="635"/>
      <c r="BA25" s="635"/>
    </row>
    <row r="26" spans="2:53">
      <c r="B26" s="635"/>
      <c r="C26" s="635"/>
      <c r="D26" s="635"/>
      <c r="E26" s="382" t="s">
        <v>378</v>
      </c>
      <c r="F26" s="382" t="s">
        <v>379</v>
      </c>
      <c r="G26" s="382" t="s">
        <v>380</v>
      </c>
      <c r="H26" s="638"/>
      <c r="I26" s="381" t="s">
        <v>378</v>
      </c>
      <c r="J26" s="381" t="s">
        <v>379</v>
      </c>
      <c r="K26" s="381" t="s">
        <v>380</v>
      </c>
      <c r="L26" s="622"/>
      <c r="M26" s="628"/>
      <c r="N26" s="635"/>
      <c r="O26" s="635"/>
      <c r="P26" s="382" t="s">
        <v>378</v>
      </c>
      <c r="Q26" s="382" t="s">
        <v>379</v>
      </c>
      <c r="R26" s="382" t="s">
        <v>380</v>
      </c>
      <c r="S26" s="382" t="s">
        <v>370</v>
      </c>
      <c r="T26" s="635"/>
      <c r="U26" s="382" t="s">
        <v>378</v>
      </c>
      <c r="V26" s="382" t="s">
        <v>379</v>
      </c>
      <c r="W26" s="382" t="s">
        <v>380</v>
      </c>
      <c r="X26" s="382" t="s">
        <v>370</v>
      </c>
      <c r="Y26" s="635"/>
      <c r="Z26" s="382" t="s">
        <v>378</v>
      </c>
      <c r="AA26" s="382" t="s">
        <v>379</v>
      </c>
      <c r="AB26" s="382" t="s">
        <v>380</v>
      </c>
      <c r="AC26" s="382" t="s">
        <v>370</v>
      </c>
      <c r="AD26" s="635"/>
      <c r="AE26" s="382" t="s">
        <v>378</v>
      </c>
      <c r="AF26" s="382" t="s">
        <v>379</v>
      </c>
      <c r="AG26" s="382" t="s">
        <v>380</v>
      </c>
      <c r="AH26" s="382" t="s">
        <v>370</v>
      </c>
      <c r="AI26" s="635"/>
      <c r="AJ26" s="382" t="s">
        <v>378</v>
      </c>
      <c r="AK26" s="382" t="s">
        <v>379</v>
      </c>
      <c r="AL26" s="382" t="s">
        <v>380</v>
      </c>
      <c r="AM26" s="382" t="s">
        <v>370</v>
      </c>
      <c r="AN26" s="635"/>
      <c r="AO26" s="382" t="s">
        <v>378</v>
      </c>
      <c r="AP26" s="382" t="s">
        <v>379</v>
      </c>
      <c r="AQ26" s="382" t="s">
        <v>380</v>
      </c>
      <c r="AR26" s="382" t="s">
        <v>370</v>
      </c>
      <c r="AS26" s="635"/>
      <c r="AT26" s="382" t="s">
        <v>378</v>
      </c>
      <c r="AU26" s="382" t="s">
        <v>379</v>
      </c>
      <c r="AV26" s="382" t="s">
        <v>380</v>
      </c>
      <c r="AW26" s="382" t="s">
        <v>370</v>
      </c>
      <c r="AX26" s="635"/>
      <c r="AZ26" s="371" t="s">
        <v>370</v>
      </c>
      <c r="BA26" s="635"/>
    </row>
    <row r="27" spans="2:53">
      <c r="B27" s="635" t="s">
        <v>132</v>
      </c>
      <c r="C27" s="383">
        <v>1</v>
      </c>
      <c r="D27" s="225" t="s">
        <v>615</v>
      </c>
      <c r="E27" s="539">
        <v>17</v>
      </c>
      <c r="F27" s="535">
        <v>1440</v>
      </c>
      <c r="G27" s="534">
        <v>84.7</v>
      </c>
      <c r="H27" s="681">
        <f>AVERAGE(G27:G41)</f>
        <v>79.792307692307688</v>
      </c>
      <c r="I27" s="385">
        <f t="shared" ref="I27:I40" si="5">IFERROR(AVERAGE(P27,U27,Z27,AE27,AJ27,AO27,AT27),"-")</f>
        <v>17</v>
      </c>
      <c r="J27" s="385">
        <f t="shared" ref="J27:J40" si="6">IFERROR(AVERAGE(Q27,V27,AA27,AF27,AK27,AP27,AU27),"-")</f>
        <v>1278.5345025055626</v>
      </c>
      <c r="K27" s="199">
        <f t="shared" ref="K27:K40" si="7">IFERROR(AVERAGE(R27,W27,AB27,AG27,AL27,AQ27,AV27),"-")</f>
        <v>75.207911912091916</v>
      </c>
      <c r="L27" s="616">
        <f>IFERROR(AVERAGE(K27:K41),"-")</f>
        <v>71.354005780177403</v>
      </c>
      <c r="M27" s="387">
        <f>RANK(K27, K$24:$K$41)</f>
        <v>4</v>
      </c>
      <c r="N27" s="635"/>
      <c r="O27" s="635"/>
      <c r="P27" s="542">
        <v>17</v>
      </c>
      <c r="Q27" s="543">
        <v>1293.0337078651685</v>
      </c>
      <c r="R27" s="543">
        <v>76.060806345009908</v>
      </c>
      <c r="S27" s="542">
        <f t="shared" ref="S27:S41" si="8">RANK(R27, R$27:R$41)</f>
        <v>4</v>
      </c>
      <c r="T27" s="647">
        <f t="shared" ref="T27" si="9">AVERAGE(R27:R41)</f>
        <v>71.982158285246726</v>
      </c>
      <c r="U27" s="542">
        <v>17</v>
      </c>
      <c r="V27" s="543">
        <v>1277.0637362637362</v>
      </c>
      <c r="W27" s="543">
        <v>75.121396250808019</v>
      </c>
      <c r="X27" s="542">
        <f t="shared" ref="X27:X41" si="10">RANK(W27, W$27:W$41)</f>
        <v>4</v>
      </c>
      <c r="Y27" s="647">
        <f t="shared" ref="Y27" si="11">AVERAGE(W27:W41)</f>
        <v>71.076674296388262</v>
      </c>
      <c r="Z27" s="542">
        <v>17</v>
      </c>
      <c r="AA27" s="543">
        <v>1283.7500000000005</v>
      </c>
      <c r="AB27" s="543">
        <v>75.51470588235297</v>
      </c>
      <c r="AC27" s="542">
        <f t="shared" ref="AC27:AC41" si="12">RANK(AB27, AB$27:AB$41)</f>
        <v>4</v>
      </c>
      <c r="AD27" s="647">
        <f t="shared" ref="AD27" si="13">AVERAGE(AB27:AB41)</f>
        <v>71.493221208601796</v>
      </c>
      <c r="AE27" s="542">
        <v>17</v>
      </c>
      <c r="AF27" s="543">
        <v>1272.8571428571424</v>
      </c>
      <c r="AG27" s="543">
        <v>74.873949579831901</v>
      </c>
      <c r="AH27" s="542">
        <f t="shared" ref="AH27:AH41" si="14">RANK(AG27, AG$27:AG$41)</f>
        <v>4</v>
      </c>
      <c r="AI27" s="647">
        <f t="shared" ref="AI27" si="15">AVERAGE(AG27:AG41)</f>
        <v>70.739085784090079</v>
      </c>
      <c r="AJ27" s="542">
        <v>17</v>
      </c>
      <c r="AK27" s="543">
        <v>1265.5172413793114</v>
      </c>
      <c r="AL27" s="543">
        <v>74.442190669371257</v>
      </c>
      <c r="AM27" s="542">
        <f t="shared" ref="AM27:AM41" si="16">RANK(AL27, AL$27:AL$41)</f>
        <v>5</v>
      </c>
      <c r="AN27" s="647">
        <f t="shared" ref="AN27" si="17">AVERAGE(AL27:AL41)</f>
        <v>70.924599229046748</v>
      </c>
      <c r="AO27" s="542">
        <v>17</v>
      </c>
      <c r="AP27" s="543">
        <v>1293.0337078651685</v>
      </c>
      <c r="AQ27" s="543">
        <v>76.060806345009908</v>
      </c>
      <c r="AR27" s="542">
        <f t="shared" ref="AR27:AR41" si="18">RANK(AQ27, AQ$27:AQ$41)</f>
        <v>4</v>
      </c>
      <c r="AS27" s="647">
        <f t="shared" ref="AS27" si="19">AVERAGE(AQ27:AQ41)</f>
        <v>71.982158285246726</v>
      </c>
      <c r="AT27" s="542">
        <v>17</v>
      </c>
      <c r="AU27" s="543">
        <v>1264.4859813084111</v>
      </c>
      <c r="AV27" s="543">
        <v>74.381528312259476</v>
      </c>
      <c r="AW27" s="542">
        <f t="shared" ref="AW27:AW41" si="20">RANK(AV27, AV$27:AV$41)</f>
        <v>4</v>
      </c>
      <c r="AX27" s="647">
        <f t="shared" ref="AX27" si="21">AVERAGE(AV27:AV41)</f>
        <v>71.280143372621509</v>
      </c>
      <c r="AZ27" s="372" t="e">
        <f t="shared" ref="AZ27:AZ41" si="22">RANK(AY27, AY$27:AY$41)</f>
        <v>#N/A</v>
      </c>
      <c r="BA27" s="647" t="e">
        <f t="shared" ref="BA27" si="23">AVERAGE(AY27:AY41)</f>
        <v>#DIV/0!</v>
      </c>
    </row>
    <row r="28" spans="2:53">
      <c r="B28" s="646"/>
      <c r="C28" s="383">
        <v>2</v>
      </c>
      <c r="D28" s="225" t="s">
        <v>347</v>
      </c>
      <c r="E28" s="539">
        <v>18</v>
      </c>
      <c r="F28" s="535">
        <v>1440</v>
      </c>
      <c r="G28" s="534">
        <v>80</v>
      </c>
      <c r="H28" s="682"/>
      <c r="I28" s="385">
        <f t="shared" si="5"/>
        <v>18</v>
      </c>
      <c r="J28" s="385">
        <f t="shared" si="6"/>
        <v>1261.5854706747552</v>
      </c>
      <c r="K28" s="199">
        <f t="shared" si="7"/>
        <v>70.088081704153069</v>
      </c>
      <c r="L28" s="617"/>
      <c r="M28" s="391">
        <f>RANK(K28, K$24:$K$41)</f>
        <v>9</v>
      </c>
      <c r="N28" s="635"/>
      <c r="O28" s="635"/>
      <c r="P28" s="542">
        <v>18</v>
      </c>
      <c r="Q28" s="543">
        <v>1277.8378378378368</v>
      </c>
      <c r="R28" s="543">
        <v>70.990990990990937</v>
      </c>
      <c r="S28" s="542">
        <f t="shared" si="8"/>
        <v>9</v>
      </c>
      <c r="T28" s="648"/>
      <c r="U28" s="542">
        <v>18</v>
      </c>
      <c r="V28" s="543">
        <v>1229.9999999999984</v>
      </c>
      <c r="W28" s="543">
        <v>68.333333333333243</v>
      </c>
      <c r="X28" s="542">
        <f t="shared" si="10"/>
        <v>10</v>
      </c>
      <c r="Y28" s="648"/>
      <c r="Z28" s="542">
        <v>18</v>
      </c>
      <c r="AA28" s="543">
        <v>1254.9999999999991</v>
      </c>
      <c r="AB28" s="543">
        <v>69.722222222222172</v>
      </c>
      <c r="AC28" s="542">
        <f t="shared" si="12"/>
        <v>8</v>
      </c>
      <c r="AD28" s="648"/>
      <c r="AE28" s="542">
        <v>18</v>
      </c>
      <c r="AF28" s="543">
        <v>1254.3749999999982</v>
      </c>
      <c r="AG28" s="543">
        <v>69.687499999999901</v>
      </c>
      <c r="AH28" s="542">
        <f t="shared" si="14"/>
        <v>10</v>
      </c>
      <c r="AI28" s="648"/>
      <c r="AJ28" s="542">
        <v>18</v>
      </c>
      <c r="AK28" s="543">
        <v>1237.7142857142844</v>
      </c>
      <c r="AL28" s="543">
        <v>68.761904761904688</v>
      </c>
      <c r="AM28" s="542">
        <f t="shared" si="16"/>
        <v>10</v>
      </c>
      <c r="AN28" s="648"/>
      <c r="AO28" s="542">
        <v>18</v>
      </c>
      <c r="AP28" s="543">
        <v>1277.8378378378368</v>
      </c>
      <c r="AQ28" s="543">
        <v>70.990990990990937</v>
      </c>
      <c r="AR28" s="542">
        <f t="shared" si="18"/>
        <v>9</v>
      </c>
      <c r="AS28" s="648"/>
      <c r="AT28" s="542">
        <v>18</v>
      </c>
      <c r="AU28" s="543">
        <v>1298.3333333333323</v>
      </c>
      <c r="AV28" s="543">
        <v>72.129629629629576</v>
      </c>
      <c r="AW28" s="542">
        <f t="shared" si="20"/>
        <v>5</v>
      </c>
      <c r="AX28" s="648"/>
      <c r="AZ28" s="372" t="e">
        <f t="shared" si="22"/>
        <v>#N/A</v>
      </c>
      <c r="BA28" s="648"/>
    </row>
    <row r="29" spans="2:53">
      <c r="B29" s="646"/>
      <c r="C29" s="383">
        <v>3</v>
      </c>
      <c r="D29" s="225" t="s">
        <v>348</v>
      </c>
      <c r="E29" s="539">
        <v>17</v>
      </c>
      <c r="F29" s="535">
        <v>1440</v>
      </c>
      <c r="G29" s="534">
        <v>84.7</v>
      </c>
      <c r="H29" s="682"/>
      <c r="I29" s="385">
        <f t="shared" si="5"/>
        <v>17</v>
      </c>
      <c r="J29" s="385">
        <f t="shared" si="6"/>
        <v>1320.4356896396844</v>
      </c>
      <c r="K29" s="199">
        <f t="shared" si="7"/>
        <v>77.672687625863787</v>
      </c>
      <c r="L29" s="617"/>
      <c r="M29" s="391">
        <f>RANK(K29, K$24:$K$41)</f>
        <v>3</v>
      </c>
      <c r="N29" s="635"/>
      <c r="O29" s="635"/>
      <c r="P29" s="542">
        <v>17</v>
      </c>
      <c r="Q29" s="543">
        <v>1331.8681318681317</v>
      </c>
      <c r="R29" s="543">
        <v>78.34518422753716</v>
      </c>
      <c r="S29" s="542">
        <f t="shared" si="8"/>
        <v>3</v>
      </c>
      <c r="T29" s="648"/>
      <c r="U29" s="542">
        <v>17</v>
      </c>
      <c r="V29" s="543">
        <v>1295.0561797752807</v>
      </c>
      <c r="W29" s="543">
        <v>76.179775280898866</v>
      </c>
      <c r="X29" s="542">
        <f t="shared" si="10"/>
        <v>3</v>
      </c>
      <c r="Y29" s="648"/>
      <c r="Z29" s="542">
        <v>17</v>
      </c>
      <c r="AA29" s="543">
        <v>1324.6666666666667</v>
      </c>
      <c r="AB29" s="543">
        <v>77.921568627450981</v>
      </c>
      <c r="AC29" s="542">
        <f t="shared" si="12"/>
        <v>3</v>
      </c>
      <c r="AD29" s="648"/>
      <c r="AE29" s="542">
        <v>17</v>
      </c>
      <c r="AF29" s="543">
        <v>1323.2666666666669</v>
      </c>
      <c r="AG29" s="543">
        <v>77.839215686274528</v>
      </c>
      <c r="AH29" s="542">
        <f t="shared" si="14"/>
        <v>3</v>
      </c>
      <c r="AI29" s="648"/>
      <c r="AJ29" s="542">
        <v>17</v>
      </c>
      <c r="AK29" s="543">
        <v>1311.5240506329123</v>
      </c>
      <c r="AL29" s="543">
        <v>77.148473566641897</v>
      </c>
      <c r="AM29" s="542">
        <f t="shared" si="16"/>
        <v>3</v>
      </c>
      <c r="AN29" s="648"/>
      <c r="AO29" s="542">
        <v>17</v>
      </c>
      <c r="AP29" s="543">
        <v>1331.8681318681317</v>
      </c>
      <c r="AQ29" s="543">
        <v>78.34518422753716</v>
      </c>
      <c r="AR29" s="542">
        <f t="shared" si="18"/>
        <v>3</v>
      </c>
      <c r="AS29" s="648"/>
      <c r="AT29" s="542">
        <v>17</v>
      </c>
      <c r="AU29" s="543">
        <v>1324.8000000000004</v>
      </c>
      <c r="AV29" s="543">
        <v>77.929411764705904</v>
      </c>
      <c r="AW29" s="542">
        <f t="shared" si="20"/>
        <v>3</v>
      </c>
      <c r="AX29" s="648"/>
      <c r="AZ29" s="372" t="e">
        <f t="shared" si="22"/>
        <v>#N/A</v>
      </c>
      <c r="BA29" s="648"/>
    </row>
    <row r="30" spans="2:53">
      <c r="B30" s="646"/>
      <c r="C30" s="383">
        <v>4</v>
      </c>
      <c r="D30" s="225" t="s">
        <v>350</v>
      </c>
      <c r="E30" s="539">
        <v>21</v>
      </c>
      <c r="F30" s="535">
        <v>1385</v>
      </c>
      <c r="G30" s="534">
        <v>65.900000000000006</v>
      </c>
      <c r="H30" s="682"/>
      <c r="I30" s="385">
        <f t="shared" si="5"/>
        <v>21</v>
      </c>
      <c r="J30" s="385">
        <f t="shared" si="6"/>
        <v>1299.0319102929684</v>
      </c>
      <c r="K30" s="199">
        <f t="shared" si="7"/>
        <v>61.858662394903263</v>
      </c>
      <c r="L30" s="617"/>
      <c r="M30" s="391">
        <f>RANK(K30, K$24:$K$41)</f>
        <v>12</v>
      </c>
      <c r="N30" s="635"/>
      <c r="O30" s="635"/>
      <c r="P30" s="542">
        <v>21</v>
      </c>
      <c r="Q30" s="543">
        <v>1298.901098901099</v>
      </c>
      <c r="R30" s="543">
        <v>61.852433281004714</v>
      </c>
      <c r="S30" s="542">
        <f t="shared" si="8"/>
        <v>12</v>
      </c>
      <c r="T30" s="648"/>
      <c r="U30" s="542">
        <v>21</v>
      </c>
      <c r="V30" s="543">
        <v>1319.2941176470586</v>
      </c>
      <c r="W30" s="543">
        <v>62.823529411764696</v>
      </c>
      <c r="X30" s="542">
        <f t="shared" si="10"/>
        <v>12</v>
      </c>
      <c r="Y30" s="648"/>
      <c r="Z30" s="542">
        <v>21</v>
      </c>
      <c r="AA30" s="543">
        <v>1296.4044943820224</v>
      </c>
      <c r="AB30" s="543">
        <v>61.733547351524876</v>
      </c>
      <c r="AC30" s="542">
        <f t="shared" si="12"/>
        <v>12</v>
      </c>
      <c r="AD30" s="648"/>
      <c r="AE30" s="542">
        <v>21</v>
      </c>
      <c r="AF30" s="543">
        <v>1307.4418604651162</v>
      </c>
      <c r="AG30" s="543">
        <v>62.259136212624583</v>
      </c>
      <c r="AH30" s="542">
        <f t="shared" si="14"/>
        <v>12</v>
      </c>
      <c r="AI30" s="648"/>
      <c r="AJ30" s="542">
        <v>21</v>
      </c>
      <c r="AK30" s="543">
        <v>1281.3333333333333</v>
      </c>
      <c r="AL30" s="543">
        <v>61.015873015873012</v>
      </c>
      <c r="AM30" s="542">
        <f t="shared" si="16"/>
        <v>12</v>
      </c>
      <c r="AN30" s="648"/>
      <c r="AO30" s="542">
        <v>21</v>
      </c>
      <c r="AP30" s="543">
        <v>1298.901098901099</v>
      </c>
      <c r="AQ30" s="543">
        <v>61.852433281004714</v>
      </c>
      <c r="AR30" s="542">
        <f t="shared" si="18"/>
        <v>12</v>
      </c>
      <c r="AS30" s="648"/>
      <c r="AT30" s="542">
        <v>21</v>
      </c>
      <c r="AU30" s="543">
        <v>1290.9473684210516</v>
      </c>
      <c r="AV30" s="543">
        <v>61.473684210526265</v>
      </c>
      <c r="AW30" s="542">
        <f t="shared" si="20"/>
        <v>12</v>
      </c>
      <c r="AX30" s="648"/>
      <c r="AZ30" s="372" t="e">
        <f t="shared" si="22"/>
        <v>#N/A</v>
      </c>
      <c r="BA30" s="648"/>
    </row>
    <row r="31" spans="2:53">
      <c r="B31" s="646"/>
      <c r="C31" s="383">
        <v>5</v>
      </c>
      <c r="D31" s="225" t="s">
        <v>351</v>
      </c>
      <c r="E31" s="539">
        <v>19</v>
      </c>
      <c r="F31" s="535">
        <v>1440</v>
      </c>
      <c r="G31" s="534">
        <v>75.8</v>
      </c>
      <c r="H31" s="682"/>
      <c r="I31" s="385">
        <f t="shared" si="5"/>
        <v>19</v>
      </c>
      <c r="J31" s="385">
        <f t="shared" si="6"/>
        <v>1341.315056333716</v>
      </c>
      <c r="K31" s="199">
        <f t="shared" si="7"/>
        <v>70.595529280721877</v>
      </c>
      <c r="L31" s="617"/>
      <c r="M31" s="391">
        <f>RANK(K31, K$24:$K$41)</f>
        <v>8</v>
      </c>
      <c r="N31" s="635"/>
      <c r="O31" s="635"/>
      <c r="P31" s="542">
        <v>19</v>
      </c>
      <c r="Q31" s="543">
        <v>1361.095890410958</v>
      </c>
      <c r="R31" s="543">
        <v>71.636625811103045</v>
      </c>
      <c r="S31" s="542">
        <f t="shared" si="8"/>
        <v>8</v>
      </c>
      <c r="T31" s="648"/>
      <c r="U31" s="542">
        <v>19</v>
      </c>
      <c r="V31" s="543">
        <v>1330.4347826086941</v>
      </c>
      <c r="W31" s="543">
        <v>70.022883295194433</v>
      </c>
      <c r="X31" s="542">
        <f t="shared" si="10"/>
        <v>9</v>
      </c>
      <c r="Y31" s="648"/>
      <c r="Z31" s="542">
        <v>19</v>
      </c>
      <c r="AA31" s="543">
        <v>1315.1724137931033</v>
      </c>
      <c r="AB31" s="543">
        <v>69.219600725952802</v>
      </c>
      <c r="AC31" s="542">
        <f t="shared" si="12"/>
        <v>9</v>
      </c>
      <c r="AD31" s="648"/>
      <c r="AE31" s="542">
        <v>19</v>
      </c>
      <c r="AF31" s="543">
        <v>1348.2352941176455</v>
      </c>
      <c r="AG31" s="543">
        <v>70.959752321981341</v>
      </c>
      <c r="AH31" s="542">
        <f t="shared" si="14"/>
        <v>6</v>
      </c>
      <c r="AI31" s="648"/>
      <c r="AJ31" s="542">
        <v>19</v>
      </c>
      <c r="AK31" s="543">
        <v>1347.3529411764689</v>
      </c>
      <c r="AL31" s="543">
        <v>70.913312693498369</v>
      </c>
      <c r="AM31" s="542">
        <f t="shared" si="16"/>
        <v>6</v>
      </c>
      <c r="AN31" s="648"/>
      <c r="AO31" s="542">
        <v>19</v>
      </c>
      <c r="AP31" s="543">
        <v>1361.095890410958</v>
      </c>
      <c r="AQ31" s="543">
        <v>71.636625811103045</v>
      </c>
      <c r="AR31" s="542">
        <f t="shared" si="18"/>
        <v>8</v>
      </c>
      <c r="AS31" s="648"/>
      <c r="AT31" s="542">
        <v>19</v>
      </c>
      <c r="AU31" s="543">
        <v>1325.8181818181833</v>
      </c>
      <c r="AV31" s="543">
        <v>69.779904306220175</v>
      </c>
      <c r="AW31" s="542">
        <f t="shared" si="20"/>
        <v>9</v>
      </c>
      <c r="AX31" s="648"/>
      <c r="AZ31" s="372" t="e">
        <f t="shared" si="22"/>
        <v>#N/A</v>
      </c>
      <c r="BA31" s="648"/>
    </row>
    <row r="32" spans="2:53">
      <c r="B32" s="646"/>
      <c r="C32" s="383">
        <v>6</v>
      </c>
      <c r="D32" s="225" t="s">
        <v>494</v>
      </c>
      <c r="E32" s="539">
        <v>18</v>
      </c>
      <c r="F32" s="535">
        <v>1385</v>
      </c>
      <c r="G32" s="534">
        <v>76.900000000000006</v>
      </c>
      <c r="H32" s="682"/>
      <c r="I32" s="385">
        <f t="shared" si="5"/>
        <v>18</v>
      </c>
      <c r="J32" s="385">
        <f t="shared" si="6"/>
        <v>1276.467836898099</v>
      </c>
      <c r="K32" s="199">
        <f t="shared" si="7"/>
        <v>70.914879827672166</v>
      </c>
      <c r="L32" s="617"/>
      <c r="M32" s="391">
        <f>RANK(K32, K$24:$K$41)</f>
        <v>7</v>
      </c>
      <c r="N32" s="635"/>
      <c r="O32" s="635"/>
      <c r="P32" s="542">
        <v>18</v>
      </c>
      <c r="Q32" s="543">
        <v>1300.6451612903238</v>
      </c>
      <c r="R32" s="543">
        <v>72.258064516129096</v>
      </c>
      <c r="S32" s="542">
        <f t="shared" si="8"/>
        <v>7</v>
      </c>
      <c r="T32" s="648"/>
      <c r="U32" s="542">
        <v>18</v>
      </c>
      <c r="V32" s="543">
        <v>1278.6206896551735</v>
      </c>
      <c r="W32" s="543">
        <v>71.034482758620754</v>
      </c>
      <c r="X32" s="542">
        <f t="shared" si="10"/>
        <v>8</v>
      </c>
      <c r="Y32" s="648"/>
      <c r="Z32" s="542">
        <v>18</v>
      </c>
      <c r="AA32" s="543">
        <v>1269.6750000000015</v>
      </c>
      <c r="AB32" s="543">
        <v>70.53750000000008</v>
      </c>
      <c r="AC32" s="542">
        <f t="shared" si="12"/>
        <v>7</v>
      </c>
      <c r="AD32" s="648"/>
      <c r="AE32" s="542">
        <v>18</v>
      </c>
      <c r="AF32" s="543">
        <v>1266.1440000000007</v>
      </c>
      <c r="AG32" s="543">
        <v>70.341333333333367</v>
      </c>
      <c r="AH32" s="542">
        <f t="shared" si="14"/>
        <v>8</v>
      </c>
      <c r="AI32" s="648"/>
      <c r="AJ32" s="542">
        <v>18</v>
      </c>
      <c r="AK32" s="543">
        <v>1271.1111111111118</v>
      </c>
      <c r="AL32" s="543">
        <v>70.61728395061732</v>
      </c>
      <c r="AM32" s="542">
        <f t="shared" si="16"/>
        <v>7</v>
      </c>
      <c r="AN32" s="648"/>
      <c r="AO32" s="542">
        <v>18</v>
      </c>
      <c r="AP32" s="543">
        <v>1300.6451612903238</v>
      </c>
      <c r="AQ32" s="543">
        <v>72.258064516129096</v>
      </c>
      <c r="AR32" s="542">
        <f t="shared" si="18"/>
        <v>7</v>
      </c>
      <c r="AS32" s="648"/>
      <c r="AT32" s="542">
        <v>18</v>
      </c>
      <c r="AU32" s="543">
        <v>1248.4337349397588</v>
      </c>
      <c r="AV32" s="543">
        <v>69.357429718875494</v>
      </c>
      <c r="AW32" s="542">
        <f t="shared" si="20"/>
        <v>10</v>
      </c>
      <c r="AX32" s="648"/>
      <c r="AZ32" s="372" t="e">
        <f t="shared" si="22"/>
        <v>#N/A</v>
      </c>
      <c r="BA32" s="648"/>
    </row>
    <row r="33" spans="2:53">
      <c r="B33" s="646"/>
      <c r="C33" s="383">
        <v>7</v>
      </c>
      <c r="D33" s="225" t="s">
        <v>496</v>
      </c>
      <c r="E33" s="539">
        <v>18</v>
      </c>
      <c r="F33" s="535">
        <v>1385</v>
      </c>
      <c r="G33" s="534">
        <v>76.900000000000006</v>
      </c>
      <c r="H33" s="682"/>
      <c r="I33" s="385">
        <f t="shared" si="5"/>
        <v>18</v>
      </c>
      <c r="J33" s="385">
        <f t="shared" si="6"/>
        <v>1285.5515715088745</v>
      </c>
      <c r="K33" s="199">
        <f t="shared" si="7"/>
        <v>71.419531750493022</v>
      </c>
      <c r="L33" s="617"/>
      <c r="M33" s="391">
        <f>RANK(K33, K$24:$K$41)</f>
        <v>6</v>
      </c>
      <c r="N33" s="635"/>
      <c r="O33" s="635"/>
      <c r="P33" s="542">
        <v>18</v>
      </c>
      <c r="Q33" s="543">
        <v>1318.3783783783774</v>
      </c>
      <c r="R33" s="543">
        <v>73.243243243243185</v>
      </c>
      <c r="S33" s="542">
        <f t="shared" si="8"/>
        <v>6</v>
      </c>
      <c r="T33" s="648"/>
      <c r="U33" s="542">
        <v>18</v>
      </c>
      <c r="V33" s="543">
        <v>1308.7499999999982</v>
      </c>
      <c r="W33" s="543">
        <v>72.708333333333229</v>
      </c>
      <c r="X33" s="542">
        <f t="shared" si="10"/>
        <v>6</v>
      </c>
      <c r="Y33" s="648"/>
      <c r="Z33" s="542">
        <v>18</v>
      </c>
      <c r="AA33" s="543">
        <v>1239.4736842105253</v>
      </c>
      <c r="AB33" s="543">
        <v>68.859649122806957</v>
      </c>
      <c r="AC33" s="542">
        <f t="shared" si="12"/>
        <v>10</v>
      </c>
      <c r="AD33" s="648"/>
      <c r="AE33" s="542">
        <v>18</v>
      </c>
      <c r="AF33" s="543">
        <v>1267.2727272727257</v>
      </c>
      <c r="AG33" s="543">
        <v>70.404040404040316</v>
      </c>
      <c r="AH33" s="542">
        <f t="shared" si="14"/>
        <v>7</v>
      </c>
      <c r="AI33" s="648"/>
      <c r="AJ33" s="542">
        <v>18</v>
      </c>
      <c r="AK33" s="543">
        <v>1248.6486486486478</v>
      </c>
      <c r="AL33" s="543">
        <v>69.369369369369323</v>
      </c>
      <c r="AM33" s="542">
        <f t="shared" si="16"/>
        <v>9</v>
      </c>
      <c r="AN33" s="648"/>
      <c r="AO33" s="542">
        <v>18</v>
      </c>
      <c r="AP33" s="543">
        <v>1318.3783783783774</v>
      </c>
      <c r="AQ33" s="543">
        <v>73.243243243243185</v>
      </c>
      <c r="AR33" s="542">
        <f t="shared" si="18"/>
        <v>6</v>
      </c>
      <c r="AS33" s="648"/>
      <c r="AT33" s="542">
        <v>18</v>
      </c>
      <c r="AU33" s="543">
        <v>1297.9591836734696</v>
      </c>
      <c r="AV33" s="543">
        <v>72.108843537414984</v>
      </c>
      <c r="AW33" s="542">
        <f t="shared" si="20"/>
        <v>6</v>
      </c>
      <c r="AX33" s="648"/>
      <c r="AZ33" s="372" t="e">
        <f t="shared" si="22"/>
        <v>#N/A</v>
      </c>
      <c r="BA33" s="648"/>
    </row>
    <row r="34" spans="2:53">
      <c r="B34" s="646"/>
      <c r="C34" s="383">
        <v>8</v>
      </c>
      <c r="D34" s="225" t="s">
        <v>513</v>
      </c>
      <c r="E34" s="539">
        <v>16</v>
      </c>
      <c r="F34" s="535">
        <v>1440</v>
      </c>
      <c r="G34" s="534">
        <v>90</v>
      </c>
      <c r="H34" s="682"/>
      <c r="I34" s="385">
        <f t="shared" si="5"/>
        <v>16.142857142857142</v>
      </c>
      <c r="J34" s="385">
        <f t="shared" si="6"/>
        <v>1318.7725376003284</v>
      </c>
      <c r="K34" s="199">
        <f t="shared" si="7"/>
        <v>81.725856539308595</v>
      </c>
      <c r="L34" s="617"/>
      <c r="M34" s="391">
        <f>RANK(K34, K$24:$K$41)</f>
        <v>1</v>
      </c>
      <c r="N34" s="635"/>
      <c r="O34" s="635"/>
      <c r="P34" s="542">
        <v>16</v>
      </c>
      <c r="Q34" s="543">
        <v>1312.6956521739121</v>
      </c>
      <c r="R34" s="543">
        <v>82.043478260869506</v>
      </c>
      <c r="S34" s="542">
        <f t="shared" si="8"/>
        <v>1</v>
      </c>
      <c r="T34" s="648"/>
      <c r="U34" s="542">
        <v>16</v>
      </c>
      <c r="V34" s="543">
        <v>1316.8421052631572</v>
      </c>
      <c r="W34" s="543">
        <v>82.302631578947327</v>
      </c>
      <c r="X34" s="542">
        <f t="shared" si="10"/>
        <v>1</v>
      </c>
      <c r="Y34" s="648"/>
      <c r="Z34" s="542">
        <v>16</v>
      </c>
      <c r="AA34" s="543">
        <v>1303.636363636364</v>
      </c>
      <c r="AB34" s="543">
        <v>81.477272727272748</v>
      </c>
      <c r="AC34" s="542">
        <f t="shared" si="12"/>
        <v>1</v>
      </c>
      <c r="AD34" s="648"/>
      <c r="AE34" s="542">
        <v>17</v>
      </c>
      <c r="AF34" s="543">
        <v>1327.9011235955056</v>
      </c>
      <c r="AG34" s="543">
        <v>78.111830799735628</v>
      </c>
      <c r="AH34" s="542">
        <f t="shared" si="14"/>
        <v>2</v>
      </c>
      <c r="AI34" s="648"/>
      <c r="AJ34" s="542">
        <v>16</v>
      </c>
      <c r="AK34" s="543">
        <v>1331.9225806451616</v>
      </c>
      <c r="AL34" s="543">
        <v>83.245161290322599</v>
      </c>
      <c r="AM34" s="542">
        <f t="shared" si="16"/>
        <v>1</v>
      </c>
      <c r="AN34" s="648"/>
      <c r="AO34" s="542">
        <v>16</v>
      </c>
      <c r="AP34" s="543">
        <v>1312.6956521739121</v>
      </c>
      <c r="AQ34" s="543">
        <v>82.043478260869506</v>
      </c>
      <c r="AR34" s="542">
        <f t="shared" si="18"/>
        <v>1</v>
      </c>
      <c r="AS34" s="648"/>
      <c r="AT34" s="542">
        <v>16</v>
      </c>
      <c r="AU34" s="543">
        <v>1325.7142857142856</v>
      </c>
      <c r="AV34" s="543">
        <v>82.857142857142847</v>
      </c>
      <c r="AW34" s="542">
        <f t="shared" si="20"/>
        <v>1</v>
      </c>
      <c r="AX34" s="648"/>
      <c r="AZ34" s="372" t="e">
        <f t="shared" si="22"/>
        <v>#N/A</v>
      </c>
      <c r="BA34" s="648"/>
    </row>
    <row r="35" spans="2:53">
      <c r="B35" s="646"/>
      <c r="C35" s="383">
        <v>9</v>
      </c>
      <c r="D35" s="225" t="s">
        <v>566</v>
      </c>
      <c r="E35" s="539">
        <v>19</v>
      </c>
      <c r="F35" s="535">
        <v>1636</v>
      </c>
      <c r="G35" s="534">
        <v>86.1</v>
      </c>
      <c r="H35" s="682"/>
      <c r="I35" s="385">
        <f t="shared" si="5"/>
        <v>19</v>
      </c>
      <c r="J35" s="385">
        <f t="shared" si="6"/>
        <v>1418.1188794567063</v>
      </c>
      <c r="K35" s="199">
        <f t="shared" si="7"/>
        <v>74.637835760879284</v>
      </c>
      <c r="L35" s="617"/>
      <c r="M35" s="391">
        <f>RANK(K35, K$24:$K$41)</f>
        <v>5</v>
      </c>
      <c r="N35" s="635"/>
      <c r="O35" s="635"/>
      <c r="P35" s="542">
        <v>19</v>
      </c>
      <c r="Q35" s="543">
        <v>1439.2258064516129</v>
      </c>
      <c r="R35" s="543">
        <v>75.748726655348051</v>
      </c>
      <c r="S35" s="542">
        <f t="shared" si="8"/>
        <v>5</v>
      </c>
      <c r="T35" s="648"/>
      <c r="U35" s="542">
        <v>19</v>
      </c>
      <c r="V35" s="543">
        <v>1411.953947368421</v>
      </c>
      <c r="W35" s="543">
        <v>74.31336565096953</v>
      </c>
      <c r="X35" s="542">
        <f t="shared" si="10"/>
        <v>5</v>
      </c>
      <c r="Y35" s="648"/>
      <c r="Z35" s="542">
        <v>19</v>
      </c>
      <c r="AA35" s="543">
        <v>1429.4758064516134</v>
      </c>
      <c r="AB35" s="543">
        <v>75.23556876061123</v>
      </c>
      <c r="AC35" s="542">
        <f t="shared" si="12"/>
        <v>5</v>
      </c>
      <c r="AD35" s="648"/>
      <c r="AE35" s="542">
        <v>19</v>
      </c>
      <c r="AF35" s="543">
        <v>1421.0549999999998</v>
      </c>
      <c r="AG35" s="543">
        <v>74.792368421052629</v>
      </c>
      <c r="AH35" s="542">
        <f t="shared" si="14"/>
        <v>5</v>
      </c>
      <c r="AI35" s="648"/>
      <c r="AJ35" s="542">
        <v>19</v>
      </c>
      <c r="AK35" s="543">
        <v>1416.8000000000004</v>
      </c>
      <c r="AL35" s="543">
        <v>74.568421052631606</v>
      </c>
      <c r="AM35" s="542">
        <f t="shared" si="16"/>
        <v>4</v>
      </c>
      <c r="AN35" s="648"/>
      <c r="AO35" s="542">
        <v>19</v>
      </c>
      <c r="AP35" s="543">
        <v>1439.2258064516129</v>
      </c>
      <c r="AQ35" s="543">
        <v>75.748726655348051</v>
      </c>
      <c r="AR35" s="542">
        <f t="shared" si="18"/>
        <v>5</v>
      </c>
      <c r="AS35" s="648"/>
      <c r="AT35" s="542">
        <v>19</v>
      </c>
      <c r="AU35" s="543">
        <v>1369.0957894736844</v>
      </c>
      <c r="AV35" s="543">
        <v>72.057673130193919</v>
      </c>
      <c r="AW35" s="542">
        <f t="shared" si="20"/>
        <v>7</v>
      </c>
      <c r="AX35" s="648"/>
      <c r="AZ35" s="372" t="e">
        <f t="shared" si="22"/>
        <v>#N/A</v>
      </c>
      <c r="BA35" s="648"/>
    </row>
    <row r="36" spans="2:53">
      <c r="B36" s="646"/>
      <c r="C36" s="383">
        <v>10</v>
      </c>
      <c r="D36" s="225" t="s">
        <v>589</v>
      </c>
      <c r="E36" s="539">
        <v>19</v>
      </c>
      <c r="F36" s="535">
        <v>1440</v>
      </c>
      <c r="G36" s="534">
        <v>75.8</v>
      </c>
      <c r="H36" s="682"/>
      <c r="I36" s="385">
        <f t="shared" si="5"/>
        <v>18.714285714285715</v>
      </c>
      <c r="J36" s="385">
        <f t="shared" si="6"/>
        <v>1056.8265306122487</v>
      </c>
      <c r="K36" s="199">
        <f t="shared" si="7"/>
        <v>56.504654493376499</v>
      </c>
      <c r="L36" s="617"/>
      <c r="M36" s="391">
        <f>RANK(K36, K$24:$K$41)</f>
        <v>13</v>
      </c>
      <c r="N36" s="635"/>
      <c r="O36" s="635"/>
      <c r="P36" s="542">
        <v>19</v>
      </c>
      <c r="Q36" s="543">
        <v>1076.2500000000039</v>
      </c>
      <c r="R36" s="543">
        <v>56.644736842105466</v>
      </c>
      <c r="S36" s="542">
        <f t="shared" si="8"/>
        <v>13</v>
      </c>
      <c r="T36" s="648"/>
      <c r="U36" s="542">
        <v>19</v>
      </c>
      <c r="V36" s="543">
        <v>1044.0000000000036</v>
      </c>
      <c r="W36" s="543">
        <v>54.947368421052822</v>
      </c>
      <c r="X36" s="542">
        <f t="shared" si="10"/>
        <v>13</v>
      </c>
      <c r="Y36" s="648"/>
      <c r="Z36" s="542">
        <v>18</v>
      </c>
      <c r="AA36" s="543">
        <v>1080.0000000000039</v>
      </c>
      <c r="AB36" s="543">
        <v>60.000000000000213</v>
      </c>
      <c r="AC36" s="542">
        <f t="shared" si="12"/>
        <v>13</v>
      </c>
      <c r="AD36" s="648"/>
      <c r="AE36" s="542">
        <v>19</v>
      </c>
      <c r="AF36" s="543">
        <v>1005.0000000000036</v>
      </c>
      <c r="AG36" s="543">
        <v>52.894736842105452</v>
      </c>
      <c r="AH36" s="542">
        <f t="shared" si="14"/>
        <v>13</v>
      </c>
      <c r="AI36" s="648"/>
      <c r="AJ36" s="542">
        <v>18</v>
      </c>
      <c r="AK36" s="543">
        <v>1032.0000000000036</v>
      </c>
      <c r="AL36" s="543">
        <v>57.333333333333535</v>
      </c>
      <c r="AM36" s="542">
        <f t="shared" si="16"/>
        <v>13</v>
      </c>
      <c r="AN36" s="648"/>
      <c r="AO36" s="542">
        <v>19</v>
      </c>
      <c r="AP36" s="543">
        <v>1076.2500000000039</v>
      </c>
      <c r="AQ36" s="543">
        <v>56.644736842105466</v>
      </c>
      <c r="AR36" s="542">
        <f t="shared" si="18"/>
        <v>13</v>
      </c>
      <c r="AS36" s="648"/>
      <c r="AT36" s="542">
        <v>19</v>
      </c>
      <c r="AU36" s="543">
        <v>1084.2857142857183</v>
      </c>
      <c r="AV36" s="543">
        <v>57.06766917293254</v>
      </c>
      <c r="AW36" s="542">
        <f t="shared" si="20"/>
        <v>13</v>
      </c>
      <c r="AX36" s="648"/>
      <c r="AZ36" s="372" t="e">
        <f t="shared" si="22"/>
        <v>#N/A</v>
      </c>
      <c r="BA36" s="648"/>
    </row>
    <row r="37" spans="2:53">
      <c r="B37" s="646"/>
      <c r="C37" s="383">
        <v>11</v>
      </c>
      <c r="D37" s="225" t="s">
        <v>596</v>
      </c>
      <c r="E37" s="539">
        <v>17</v>
      </c>
      <c r="F37" s="535">
        <v>1440</v>
      </c>
      <c r="G37" s="534">
        <v>84.7</v>
      </c>
      <c r="H37" s="682"/>
      <c r="I37" s="385">
        <f t="shared" si="5"/>
        <v>17</v>
      </c>
      <c r="J37" s="385">
        <f t="shared" si="6"/>
        <v>1342.5471643899266</v>
      </c>
      <c r="K37" s="199">
        <f t="shared" si="7"/>
        <v>78.973362611172135</v>
      </c>
      <c r="L37" s="617"/>
      <c r="M37" s="391">
        <f>RANK(K37, K$24:$K$41)</f>
        <v>2</v>
      </c>
      <c r="N37" s="635"/>
      <c r="O37" s="635"/>
      <c r="P37" s="542">
        <v>17</v>
      </c>
      <c r="Q37" s="543">
        <v>1351.7903225806449</v>
      </c>
      <c r="R37" s="543">
        <v>79.517077798861465</v>
      </c>
      <c r="S37" s="542">
        <f t="shared" si="8"/>
        <v>2</v>
      </c>
      <c r="T37" s="648"/>
      <c r="U37" s="542">
        <v>17</v>
      </c>
      <c r="V37" s="543">
        <v>1326.6393442622946</v>
      </c>
      <c r="W37" s="543">
        <v>78.037608486017334</v>
      </c>
      <c r="X37" s="542">
        <f t="shared" si="10"/>
        <v>2</v>
      </c>
      <c r="Y37" s="648"/>
      <c r="Z37" s="542">
        <v>17</v>
      </c>
      <c r="AA37" s="543">
        <v>1347.6666666666663</v>
      </c>
      <c r="AB37" s="543">
        <v>79.274509803921546</v>
      </c>
      <c r="AC37" s="542">
        <f t="shared" si="12"/>
        <v>2</v>
      </c>
      <c r="AD37" s="648"/>
      <c r="AE37" s="542">
        <v>17</v>
      </c>
      <c r="AF37" s="543">
        <v>1347.6705882352946</v>
      </c>
      <c r="AG37" s="543">
        <v>79.274740484429103</v>
      </c>
      <c r="AH37" s="542">
        <f t="shared" si="14"/>
        <v>1</v>
      </c>
      <c r="AI37" s="648"/>
      <c r="AJ37" s="542">
        <v>17</v>
      </c>
      <c r="AK37" s="543">
        <v>1341.5142857142846</v>
      </c>
      <c r="AL37" s="543">
        <v>78.912605042016736</v>
      </c>
      <c r="AM37" s="542">
        <f t="shared" si="16"/>
        <v>2</v>
      </c>
      <c r="AN37" s="648"/>
      <c r="AO37" s="542">
        <v>17</v>
      </c>
      <c r="AP37" s="543">
        <v>1351.7903225806449</v>
      </c>
      <c r="AQ37" s="543">
        <v>79.517077798861465</v>
      </c>
      <c r="AR37" s="542">
        <f t="shared" si="18"/>
        <v>2</v>
      </c>
      <c r="AS37" s="648"/>
      <c r="AT37" s="542">
        <v>17</v>
      </c>
      <c r="AU37" s="543">
        <v>1330.7586206896551</v>
      </c>
      <c r="AV37" s="543">
        <v>78.279918864097354</v>
      </c>
      <c r="AW37" s="542">
        <f t="shared" si="20"/>
        <v>2</v>
      </c>
      <c r="AX37" s="648"/>
      <c r="AZ37" s="372" t="e">
        <f t="shared" si="22"/>
        <v>#N/A</v>
      </c>
      <c r="BA37" s="648"/>
    </row>
    <row r="38" spans="2:53">
      <c r="B38" s="646"/>
      <c r="C38" s="383">
        <v>12</v>
      </c>
      <c r="D38" s="225" t="s">
        <v>654</v>
      </c>
      <c r="E38" s="539">
        <v>19</v>
      </c>
      <c r="F38" s="535">
        <v>1440</v>
      </c>
      <c r="G38" s="534">
        <v>75.8</v>
      </c>
      <c r="H38" s="682"/>
      <c r="I38" s="385">
        <f t="shared" si="5"/>
        <v>19</v>
      </c>
      <c r="J38" s="385">
        <f t="shared" si="6"/>
        <v>1317.605902739949</v>
      </c>
      <c r="K38" s="199">
        <f t="shared" si="7"/>
        <v>69.347679091576239</v>
      </c>
      <c r="L38" s="617"/>
      <c r="M38" s="391">
        <f>RANK(K38, K$24:$K$41)</f>
        <v>10</v>
      </c>
      <c r="N38" s="635"/>
      <c r="O38" s="635"/>
      <c r="P38" s="542">
        <v>19</v>
      </c>
      <c r="Q38" s="543">
        <v>1326.5217391304348</v>
      </c>
      <c r="R38" s="543">
        <v>69.816933638443928</v>
      </c>
      <c r="S38" s="542">
        <f t="shared" si="8"/>
        <v>10</v>
      </c>
      <c r="T38" s="648"/>
      <c r="U38" s="542">
        <v>19</v>
      </c>
      <c r="V38" s="543">
        <v>1350.6976744186045</v>
      </c>
      <c r="W38" s="543">
        <v>71.089351285189707</v>
      </c>
      <c r="X38" s="542">
        <f t="shared" si="10"/>
        <v>7</v>
      </c>
      <c r="Y38" s="648"/>
      <c r="Z38" s="542">
        <v>19</v>
      </c>
      <c r="AA38" s="543">
        <v>1291.1538461538469</v>
      </c>
      <c r="AB38" s="543">
        <v>67.955465587044571</v>
      </c>
      <c r="AC38" s="542">
        <f t="shared" si="12"/>
        <v>11</v>
      </c>
      <c r="AD38" s="648"/>
      <c r="AE38" s="542">
        <v>19</v>
      </c>
      <c r="AF38" s="543">
        <v>1292.7272727272727</v>
      </c>
      <c r="AG38" s="543">
        <v>68.038277511961724</v>
      </c>
      <c r="AH38" s="542">
        <f t="shared" si="14"/>
        <v>11</v>
      </c>
      <c r="AI38" s="648"/>
      <c r="AJ38" s="542">
        <v>19</v>
      </c>
      <c r="AK38" s="543">
        <v>1327.6190476190488</v>
      </c>
      <c r="AL38" s="543">
        <v>69.874686716792041</v>
      </c>
      <c r="AM38" s="542">
        <f t="shared" si="16"/>
        <v>8</v>
      </c>
      <c r="AN38" s="648"/>
      <c r="AO38" s="542">
        <v>19</v>
      </c>
      <c r="AP38" s="543">
        <v>1326.5217391304348</v>
      </c>
      <c r="AQ38" s="543">
        <v>69.816933638443928</v>
      </c>
      <c r="AR38" s="542">
        <f t="shared" si="18"/>
        <v>10</v>
      </c>
      <c r="AS38" s="648"/>
      <c r="AT38" s="542">
        <v>19</v>
      </c>
      <c r="AU38" s="543">
        <v>1307.9999999999995</v>
      </c>
      <c r="AV38" s="543">
        <v>68.842105263157876</v>
      </c>
      <c r="AW38" s="542">
        <f t="shared" si="20"/>
        <v>11</v>
      </c>
      <c r="AX38" s="648"/>
      <c r="AZ38" s="372" t="e">
        <f t="shared" si="22"/>
        <v>#N/A</v>
      </c>
      <c r="BA38" s="648"/>
    </row>
    <row r="39" spans="2:53">
      <c r="B39" s="646"/>
      <c r="C39" s="383">
        <v>13</v>
      </c>
      <c r="D39" s="225" t="s">
        <v>716</v>
      </c>
      <c r="E39" s="539">
        <v>18</v>
      </c>
      <c r="F39" s="535">
        <v>1440</v>
      </c>
      <c r="G39" s="534">
        <v>80</v>
      </c>
      <c r="H39" s="682"/>
      <c r="I39" s="385">
        <f t="shared" si="5"/>
        <v>18.571428571428573</v>
      </c>
      <c r="J39" s="385">
        <f t="shared" si="6"/>
        <v>1274.100009198452</v>
      </c>
      <c r="K39" s="199">
        <f t="shared" si="7"/>
        <v>68.655402150094361</v>
      </c>
      <c r="L39" s="617"/>
      <c r="M39" s="391">
        <f>RANK(K39, K$24:$K$41)</f>
        <v>11</v>
      </c>
      <c r="N39" s="635"/>
      <c r="O39" s="635"/>
      <c r="P39" s="542">
        <v>19</v>
      </c>
      <c r="Q39" s="543">
        <v>1284.5853658536589</v>
      </c>
      <c r="R39" s="543">
        <v>67.609756097560989</v>
      </c>
      <c r="S39" s="542">
        <f t="shared" si="8"/>
        <v>11</v>
      </c>
      <c r="T39" s="648"/>
      <c r="U39" s="542">
        <v>19</v>
      </c>
      <c r="V39" s="543">
        <v>1274.5714285714287</v>
      </c>
      <c r="W39" s="543">
        <v>67.082706766917298</v>
      </c>
      <c r="X39" s="542">
        <f t="shared" si="10"/>
        <v>11</v>
      </c>
      <c r="Y39" s="648"/>
      <c r="Z39" s="542">
        <v>18</v>
      </c>
      <c r="AA39" s="543">
        <v>1295.28476821192</v>
      </c>
      <c r="AB39" s="543">
        <v>71.960264900662224</v>
      </c>
      <c r="AC39" s="542">
        <f t="shared" si="12"/>
        <v>6</v>
      </c>
      <c r="AD39" s="648"/>
      <c r="AE39" s="542">
        <v>18</v>
      </c>
      <c r="AF39" s="543">
        <v>1262.3622047244091</v>
      </c>
      <c r="AG39" s="543">
        <v>70.131233595800509</v>
      </c>
      <c r="AH39" s="542">
        <f t="shared" si="14"/>
        <v>9</v>
      </c>
      <c r="AI39" s="648"/>
      <c r="AJ39" s="542">
        <v>19</v>
      </c>
      <c r="AK39" s="543">
        <v>1250.5263157894733</v>
      </c>
      <c r="AL39" s="543">
        <v>65.817174515235436</v>
      </c>
      <c r="AM39" s="542">
        <f t="shared" si="16"/>
        <v>11</v>
      </c>
      <c r="AN39" s="648"/>
      <c r="AO39" s="542">
        <v>19</v>
      </c>
      <c r="AP39" s="543">
        <v>1284.5853658536589</v>
      </c>
      <c r="AQ39" s="543">
        <v>67.609756097560989</v>
      </c>
      <c r="AR39" s="542">
        <f t="shared" si="18"/>
        <v>11</v>
      </c>
      <c r="AS39" s="648"/>
      <c r="AT39" s="542">
        <v>18</v>
      </c>
      <c r="AU39" s="543">
        <v>1266.7846153846158</v>
      </c>
      <c r="AV39" s="543">
        <v>70.376923076923106</v>
      </c>
      <c r="AW39" s="542">
        <f t="shared" si="20"/>
        <v>8</v>
      </c>
      <c r="AX39" s="648"/>
      <c r="AZ39" s="372" t="e">
        <f t="shared" si="22"/>
        <v>#N/A</v>
      </c>
      <c r="BA39" s="648"/>
    </row>
    <row r="40" spans="2:53">
      <c r="B40" s="646"/>
      <c r="C40" s="383">
        <v>14</v>
      </c>
      <c r="D40" s="225"/>
      <c r="E40" s="539"/>
      <c r="F40" s="535"/>
      <c r="G40" s="534"/>
      <c r="H40" s="682"/>
      <c r="I40" s="385" t="str">
        <f t="shared" si="5"/>
        <v>-</v>
      </c>
      <c r="J40" s="385" t="str">
        <f t="shared" si="6"/>
        <v>-</v>
      </c>
      <c r="K40" s="199" t="str">
        <f t="shared" si="7"/>
        <v>-</v>
      </c>
      <c r="L40" s="617"/>
      <c r="M40" s="391" t="e">
        <f>RANK(K40, K$24:$K$41)</f>
        <v>#VALUE!</v>
      </c>
      <c r="N40" s="635"/>
      <c r="O40" s="635"/>
      <c r="P40" s="542" t="s">
        <v>592</v>
      </c>
      <c r="Q40" s="543" t="s">
        <v>592</v>
      </c>
      <c r="R40" s="543" t="s">
        <v>592</v>
      </c>
      <c r="S40" s="542" t="e">
        <f t="shared" si="8"/>
        <v>#VALUE!</v>
      </c>
      <c r="T40" s="648"/>
      <c r="U40" s="542" t="s">
        <v>592</v>
      </c>
      <c r="V40" s="543" t="s">
        <v>592</v>
      </c>
      <c r="W40" s="543" t="s">
        <v>592</v>
      </c>
      <c r="X40" s="542" t="e">
        <f t="shared" si="10"/>
        <v>#VALUE!</v>
      </c>
      <c r="Y40" s="648"/>
      <c r="Z40" s="542" t="s">
        <v>592</v>
      </c>
      <c r="AA40" s="543" t="s">
        <v>592</v>
      </c>
      <c r="AB40" s="543" t="s">
        <v>592</v>
      </c>
      <c r="AC40" s="542" t="e">
        <f t="shared" si="12"/>
        <v>#VALUE!</v>
      </c>
      <c r="AD40" s="648"/>
      <c r="AE40" s="542" t="s">
        <v>592</v>
      </c>
      <c r="AF40" s="543" t="s">
        <v>592</v>
      </c>
      <c r="AG40" s="543" t="s">
        <v>592</v>
      </c>
      <c r="AH40" s="542" t="e">
        <f t="shared" si="14"/>
        <v>#VALUE!</v>
      </c>
      <c r="AI40" s="648"/>
      <c r="AJ40" s="542" t="s">
        <v>592</v>
      </c>
      <c r="AK40" s="543" t="s">
        <v>592</v>
      </c>
      <c r="AL40" s="543" t="s">
        <v>592</v>
      </c>
      <c r="AM40" s="542" t="e">
        <f t="shared" si="16"/>
        <v>#VALUE!</v>
      </c>
      <c r="AN40" s="648"/>
      <c r="AO40" s="542" t="s">
        <v>592</v>
      </c>
      <c r="AP40" s="543" t="s">
        <v>592</v>
      </c>
      <c r="AQ40" s="543" t="s">
        <v>592</v>
      </c>
      <c r="AR40" s="542" t="e">
        <f t="shared" si="18"/>
        <v>#VALUE!</v>
      </c>
      <c r="AS40" s="648"/>
      <c r="AT40" s="542" t="s">
        <v>592</v>
      </c>
      <c r="AU40" s="543" t="s">
        <v>592</v>
      </c>
      <c r="AV40" s="543" t="s">
        <v>592</v>
      </c>
      <c r="AW40" s="542" t="e">
        <f t="shared" si="20"/>
        <v>#VALUE!</v>
      </c>
      <c r="AX40" s="648"/>
      <c r="AZ40" s="372" t="e">
        <f t="shared" si="22"/>
        <v>#N/A</v>
      </c>
      <c r="BA40" s="648"/>
    </row>
    <row r="41" spans="2:53">
      <c r="B41" s="646"/>
      <c r="C41" s="383">
        <v>15</v>
      </c>
      <c r="D41" s="225"/>
      <c r="E41" s="539"/>
      <c r="F41" s="535"/>
      <c r="G41" s="534"/>
      <c r="H41" s="683"/>
      <c r="I41" s="201"/>
      <c r="J41" s="201"/>
      <c r="K41" s="201"/>
      <c r="L41" s="618"/>
      <c r="M41" s="390" t="e">
        <f>RANK(K41, K$24:$K$41)</f>
        <v>#N/A</v>
      </c>
      <c r="N41" s="635"/>
      <c r="O41" s="635"/>
      <c r="P41" s="542" t="s">
        <v>592</v>
      </c>
      <c r="Q41" s="543" t="s">
        <v>592</v>
      </c>
      <c r="R41" s="543" t="s">
        <v>592</v>
      </c>
      <c r="S41" s="542" t="e">
        <f t="shared" si="8"/>
        <v>#VALUE!</v>
      </c>
      <c r="T41" s="649"/>
      <c r="U41" s="542" t="s">
        <v>592</v>
      </c>
      <c r="V41" s="543" t="s">
        <v>592</v>
      </c>
      <c r="W41" s="543" t="s">
        <v>592</v>
      </c>
      <c r="X41" s="542" t="e">
        <f t="shared" si="10"/>
        <v>#VALUE!</v>
      </c>
      <c r="Y41" s="649"/>
      <c r="Z41" s="542" t="s">
        <v>592</v>
      </c>
      <c r="AA41" s="543" t="s">
        <v>592</v>
      </c>
      <c r="AB41" s="543" t="s">
        <v>592</v>
      </c>
      <c r="AC41" s="542" t="e">
        <f t="shared" si="12"/>
        <v>#VALUE!</v>
      </c>
      <c r="AD41" s="649"/>
      <c r="AE41" s="542" t="s">
        <v>592</v>
      </c>
      <c r="AF41" s="543" t="s">
        <v>592</v>
      </c>
      <c r="AG41" s="543" t="s">
        <v>592</v>
      </c>
      <c r="AH41" s="542" t="e">
        <f t="shared" si="14"/>
        <v>#VALUE!</v>
      </c>
      <c r="AI41" s="649"/>
      <c r="AJ41" s="542" t="s">
        <v>592</v>
      </c>
      <c r="AK41" s="543" t="s">
        <v>592</v>
      </c>
      <c r="AL41" s="543" t="s">
        <v>592</v>
      </c>
      <c r="AM41" s="542" t="e">
        <f t="shared" si="16"/>
        <v>#VALUE!</v>
      </c>
      <c r="AN41" s="649"/>
      <c r="AO41" s="542" t="s">
        <v>592</v>
      </c>
      <c r="AP41" s="543" t="s">
        <v>592</v>
      </c>
      <c r="AQ41" s="543" t="s">
        <v>592</v>
      </c>
      <c r="AR41" s="542" t="e">
        <f t="shared" si="18"/>
        <v>#VALUE!</v>
      </c>
      <c r="AS41" s="649"/>
      <c r="AT41" s="542" t="s">
        <v>592</v>
      </c>
      <c r="AU41" s="543" t="s">
        <v>592</v>
      </c>
      <c r="AV41" s="543" t="s">
        <v>592</v>
      </c>
      <c r="AW41" s="542" t="e">
        <f t="shared" si="20"/>
        <v>#VALUE!</v>
      </c>
      <c r="AX41" s="649"/>
      <c r="AZ41" s="372" t="e">
        <f t="shared" si="22"/>
        <v>#N/A</v>
      </c>
      <c r="BA41" s="649"/>
    </row>
    <row r="42" spans="2:53" ht="15.75">
      <c r="B42" s="666" t="s">
        <v>162</v>
      </c>
      <c r="C42" s="667"/>
      <c r="D42" s="667"/>
      <c r="E42" s="667"/>
      <c r="F42" s="667"/>
      <c r="G42" s="667"/>
      <c r="H42" s="667"/>
      <c r="I42" s="207"/>
      <c r="J42" s="202"/>
      <c r="K42" s="207"/>
      <c r="L42" s="207"/>
      <c r="M42" s="203"/>
      <c r="N42" s="639" t="s">
        <v>156</v>
      </c>
      <c r="O42" s="639" t="s">
        <v>105</v>
      </c>
      <c r="P42" s="645">
        <f>P22+7</f>
        <v>46217</v>
      </c>
      <c r="Q42" s="646"/>
      <c r="R42" s="646"/>
      <c r="S42" s="646"/>
      <c r="T42" s="646"/>
      <c r="U42" s="642">
        <f>P42+1</f>
        <v>46218</v>
      </c>
      <c r="V42" s="643"/>
      <c r="W42" s="643"/>
      <c r="X42" s="643"/>
      <c r="Y42" s="644"/>
      <c r="Z42" s="642">
        <f>U42+1</f>
        <v>46219</v>
      </c>
      <c r="AA42" s="643"/>
      <c r="AB42" s="643"/>
      <c r="AC42" s="643"/>
      <c r="AD42" s="644"/>
      <c r="AE42" s="642">
        <f>Z42+1</f>
        <v>46220</v>
      </c>
      <c r="AF42" s="643"/>
      <c r="AG42" s="643"/>
      <c r="AH42" s="643"/>
      <c r="AI42" s="644"/>
      <c r="AJ42" s="642">
        <f>AE42+1</f>
        <v>46221</v>
      </c>
      <c r="AK42" s="643"/>
      <c r="AL42" s="643"/>
      <c r="AM42" s="643"/>
      <c r="AN42" s="644"/>
      <c r="AO42" s="642">
        <f>AJ42+1</f>
        <v>46222</v>
      </c>
      <c r="AP42" s="643"/>
      <c r="AQ42" s="643"/>
      <c r="AR42" s="643"/>
      <c r="AS42" s="644"/>
      <c r="AT42" s="642">
        <f>AO42+1</f>
        <v>46223</v>
      </c>
      <c r="AU42" s="643"/>
      <c r="AV42" s="643"/>
      <c r="AW42" s="643"/>
      <c r="AX42" s="644"/>
    </row>
    <row r="43" spans="2:53" ht="15.75">
      <c r="B43" s="653"/>
      <c r="C43" s="653"/>
      <c r="D43" s="653"/>
      <c r="E43" s="653"/>
      <c r="F43" s="653"/>
      <c r="G43" s="653"/>
      <c r="H43" s="653"/>
      <c r="I43" s="204"/>
      <c r="J43" s="204"/>
      <c r="K43" s="204"/>
      <c r="L43" s="204"/>
      <c r="M43" s="205"/>
      <c r="N43" s="641"/>
      <c r="O43" s="641"/>
      <c r="P43" s="645" t="s">
        <v>317</v>
      </c>
      <c r="Q43" s="646"/>
      <c r="R43" s="646"/>
      <c r="S43" s="646"/>
      <c r="T43" s="646"/>
      <c r="U43" s="645" t="s">
        <v>318</v>
      </c>
      <c r="V43" s="646"/>
      <c r="W43" s="646"/>
      <c r="X43" s="646"/>
      <c r="Y43" s="646"/>
      <c r="Z43" s="645" t="s">
        <v>319</v>
      </c>
      <c r="AA43" s="646"/>
      <c r="AB43" s="646"/>
      <c r="AC43" s="646"/>
      <c r="AD43" s="646"/>
      <c r="AE43" s="645" t="s">
        <v>320</v>
      </c>
      <c r="AF43" s="646"/>
      <c r="AG43" s="646"/>
      <c r="AH43" s="646"/>
      <c r="AI43" s="646"/>
      <c r="AJ43" s="645" t="s">
        <v>321</v>
      </c>
      <c r="AK43" s="646"/>
      <c r="AL43" s="646"/>
      <c r="AM43" s="646"/>
      <c r="AN43" s="646"/>
      <c r="AO43" s="645" t="s">
        <v>322</v>
      </c>
      <c r="AP43" s="646"/>
      <c r="AQ43" s="646"/>
      <c r="AR43" s="646"/>
      <c r="AS43" s="646"/>
      <c r="AT43" s="645" t="s">
        <v>323</v>
      </c>
      <c r="AU43" s="646"/>
      <c r="AV43" s="646"/>
      <c r="AW43" s="646"/>
      <c r="AX43" s="646"/>
    </row>
    <row r="44" spans="2:53">
      <c r="B44" s="635" t="s">
        <v>456</v>
      </c>
      <c r="C44" s="635" t="s">
        <v>382</v>
      </c>
      <c r="D44" s="635"/>
      <c r="E44" s="635" t="s">
        <v>373</v>
      </c>
      <c r="F44" s="635"/>
      <c r="G44" s="635"/>
      <c r="H44" s="636" t="s">
        <v>369</v>
      </c>
      <c r="I44" s="619" t="s">
        <v>374</v>
      </c>
      <c r="J44" s="619"/>
      <c r="K44" s="619"/>
      <c r="L44" s="620" t="s">
        <v>369</v>
      </c>
      <c r="M44" s="626" t="s">
        <v>370</v>
      </c>
      <c r="N44" s="635"/>
      <c r="O44" s="635" t="s">
        <v>375</v>
      </c>
      <c r="P44" s="632" t="s">
        <v>371</v>
      </c>
      <c r="Q44" s="633"/>
      <c r="R44" s="633"/>
      <c r="S44" s="634"/>
      <c r="T44" s="635" t="s">
        <v>369</v>
      </c>
      <c r="U44" s="632" t="s">
        <v>371</v>
      </c>
      <c r="V44" s="633"/>
      <c r="W44" s="633"/>
      <c r="X44" s="634"/>
      <c r="Y44" s="635" t="s">
        <v>369</v>
      </c>
      <c r="Z44" s="632" t="s">
        <v>371</v>
      </c>
      <c r="AA44" s="633"/>
      <c r="AB44" s="633"/>
      <c r="AC44" s="634"/>
      <c r="AD44" s="635" t="s">
        <v>369</v>
      </c>
      <c r="AE44" s="632" t="s">
        <v>371</v>
      </c>
      <c r="AF44" s="633"/>
      <c r="AG44" s="633"/>
      <c r="AH44" s="634"/>
      <c r="AI44" s="635" t="s">
        <v>369</v>
      </c>
      <c r="AJ44" s="632" t="s">
        <v>371</v>
      </c>
      <c r="AK44" s="633"/>
      <c r="AL44" s="633"/>
      <c r="AM44" s="634"/>
      <c r="AN44" s="635" t="s">
        <v>369</v>
      </c>
      <c r="AO44" s="632" t="s">
        <v>371</v>
      </c>
      <c r="AP44" s="633"/>
      <c r="AQ44" s="633"/>
      <c r="AR44" s="634"/>
      <c r="AS44" s="635" t="s">
        <v>369</v>
      </c>
      <c r="AT44" s="632" t="s">
        <v>371</v>
      </c>
      <c r="AU44" s="633"/>
      <c r="AV44" s="633"/>
      <c r="AW44" s="634"/>
      <c r="AX44" s="635" t="s">
        <v>369</v>
      </c>
      <c r="BA44" s="635" t="s">
        <v>369</v>
      </c>
    </row>
    <row r="45" spans="2:53">
      <c r="B45" s="635"/>
      <c r="C45" s="635"/>
      <c r="D45" s="635"/>
      <c r="E45" s="635" t="s">
        <v>376</v>
      </c>
      <c r="F45" s="635"/>
      <c r="G45" s="635"/>
      <c r="H45" s="637"/>
      <c r="I45" s="619" t="s">
        <v>376</v>
      </c>
      <c r="J45" s="619"/>
      <c r="K45" s="619"/>
      <c r="L45" s="621"/>
      <c r="M45" s="627"/>
      <c r="N45" s="635"/>
      <c r="O45" s="635"/>
      <c r="P45" s="632" t="s">
        <v>377</v>
      </c>
      <c r="Q45" s="633"/>
      <c r="R45" s="633"/>
      <c r="S45" s="634"/>
      <c r="T45" s="635"/>
      <c r="U45" s="632" t="s">
        <v>377</v>
      </c>
      <c r="V45" s="633"/>
      <c r="W45" s="633"/>
      <c r="X45" s="634"/>
      <c r="Y45" s="635"/>
      <c r="Z45" s="632" t="s">
        <v>377</v>
      </c>
      <c r="AA45" s="633"/>
      <c r="AB45" s="633"/>
      <c r="AC45" s="634"/>
      <c r="AD45" s="635"/>
      <c r="AE45" s="632" t="s">
        <v>377</v>
      </c>
      <c r="AF45" s="633"/>
      <c r="AG45" s="633"/>
      <c r="AH45" s="634"/>
      <c r="AI45" s="635"/>
      <c r="AJ45" s="632" t="s">
        <v>377</v>
      </c>
      <c r="AK45" s="633"/>
      <c r="AL45" s="633"/>
      <c r="AM45" s="634"/>
      <c r="AN45" s="635"/>
      <c r="AO45" s="632" t="s">
        <v>377</v>
      </c>
      <c r="AP45" s="633"/>
      <c r="AQ45" s="633"/>
      <c r="AR45" s="634"/>
      <c r="AS45" s="635"/>
      <c r="AT45" s="632" t="s">
        <v>377</v>
      </c>
      <c r="AU45" s="633"/>
      <c r="AV45" s="633"/>
      <c r="AW45" s="634"/>
      <c r="AX45" s="635"/>
      <c r="BA45" s="635"/>
    </row>
    <row r="46" spans="2:53">
      <c r="B46" s="635"/>
      <c r="C46" s="635"/>
      <c r="D46" s="635"/>
      <c r="E46" s="382" t="s">
        <v>378</v>
      </c>
      <c r="F46" s="382" t="s">
        <v>379</v>
      </c>
      <c r="G46" s="382" t="s">
        <v>380</v>
      </c>
      <c r="H46" s="638"/>
      <c r="I46" s="381" t="s">
        <v>378</v>
      </c>
      <c r="J46" s="381" t="s">
        <v>379</v>
      </c>
      <c r="K46" s="381" t="s">
        <v>380</v>
      </c>
      <c r="L46" s="622"/>
      <c r="M46" s="628"/>
      <c r="N46" s="635"/>
      <c r="O46" s="635"/>
      <c r="P46" s="382" t="s">
        <v>378</v>
      </c>
      <c r="Q46" s="382" t="s">
        <v>379</v>
      </c>
      <c r="R46" s="382" t="s">
        <v>380</v>
      </c>
      <c r="S46" s="382" t="s">
        <v>370</v>
      </c>
      <c r="T46" s="635"/>
      <c r="U46" s="382" t="s">
        <v>378</v>
      </c>
      <c r="V46" s="382" t="s">
        <v>379</v>
      </c>
      <c r="W46" s="382" t="s">
        <v>380</v>
      </c>
      <c r="X46" s="382" t="s">
        <v>370</v>
      </c>
      <c r="Y46" s="635"/>
      <c r="Z46" s="382" t="s">
        <v>378</v>
      </c>
      <c r="AA46" s="382" t="s">
        <v>379</v>
      </c>
      <c r="AB46" s="382" t="s">
        <v>380</v>
      </c>
      <c r="AC46" s="382" t="s">
        <v>370</v>
      </c>
      <c r="AD46" s="635"/>
      <c r="AE46" s="382" t="s">
        <v>378</v>
      </c>
      <c r="AF46" s="382" t="s">
        <v>379</v>
      </c>
      <c r="AG46" s="382" t="s">
        <v>380</v>
      </c>
      <c r="AH46" s="382" t="s">
        <v>370</v>
      </c>
      <c r="AI46" s="635"/>
      <c r="AJ46" s="382" t="s">
        <v>378</v>
      </c>
      <c r="AK46" s="382" t="s">
        <v>379</v>
      </c>
      <c r="AL46" s="382" t="s">
        <v>380</v>
      </c>
      <c r="AM46" s="382" t="s">
        <v>370</v>
      </c>
      <c r="AN46" s="635"/>
      <c r="AO46" s="382" t="s">
        <v>378</v>
      </c>
      <c r="AP46" s="382" t="s">
        <v>379</v>
      </c>
      <c r="AQ46" s="382" t="s">
        <v>380</v>
      </c>
      <c r="AR46" s="382" t="s">
        <v>370</v>
      </c>
      <c r="AS46" s="635"/>
      <c r="AT46" s="382" t="s">
        <v>378</v>
      </c>
      <c r="AU46" s="382" t="s">
        <v>379</v>
      </c>
      <c r="AV46" s="382" t="s">
        <v>380</v>
      </c>
      <c r="AW46" s="382" t="s">
        <v>370</v>
      </c>
      <c r="AX46" s="635"/>
      <c r="AZ46" s="371" t="s">
        <v>565</v>
      </c>
      <c r="BA46" s="635"/>
    </row>
    <row r="47" spans="2:53">
      <c r="B47" s="635" t="s">
        <v>470</v>
      </c>
      <c r="C47" s="383">
        <v>1</v>
      </c>
      <c r="D47" s="225" t="s">
        <v>615</v>
      </c>
      <c r="E47" s="539">
        <v>17</v>
      </c>
      <c r="F47" s="535">
        <v>1440</v>
      </c>
      <c r="G47" s="534">
        <v>84.7</v>
      </c>
      <c r="H47" s="681">
        <f>AVERAGE(G47:G61)</f>
        <v>79.792307692307688</v>
      </c>
      <c r="I47" s="385">
        <f t="shared" ref="I47:I60" si="24">IFERROR(AVERAGE(P47,U47,Z47,AE47,AJ47,AO47,AT47),"-")</f>
        <v>17</v>
      </c>
      <c r="J47" s="385">
        <f t="shared" ref="J47:J60" si="25">IFERROR(AVERAGE(Q47,V47,AA47,AF47,AK47,AP47,AU47),"-")</f>
        <v>1287.0689893051317</v>
      </c>
      <c r="K47" s="199">
        <f t="shared" ref="K47:K60" si="26">IFERROR(AVERAGE(R47,W47,AB47,AG47,AL47,AQ47,AV47),"-")</f>
        <v>75.709940547360702</v>
      </c>
      <c r="L47" s="616">
        <f>IFERROR(AVERAGE(K47:K61),"-")</f>
        <v>71.112092657491672</v>
      </c>
      <c r="M47" s="387">
        <f>RANK(K47, K$47:$K$61)</f>
        <v>4</v>
      </c>
      <c r="N47" s="635"/>
      <c r="O47" s="635"/>
      <c r="P47" s="546">
        <v>17</v>
      </c>
      <c r="Q47" s="547">
        <v>1301.5384615384623</v>
      </c>
      <c r="R47" s="547">
        <v>76.561085972850719</v>
      </c>
      <c r="S47" s="546">
        <v>4</v>
      </c>
      <c r="T47" s="659">
        <v>71.015749035820335</v>
      </c>
      <c r="U47" s="546">
        <v>17</v>
      </c>
      <c r="V47" s="547">
        <v>1297.731958762887</v>
      </c>
      <c r="W47" s="547">
        <v>76.337174044875709</v>
      </c>
      <c r="X47" s="546">
        <v>4</v>
      </c>
      <c r="Y47" s="659">
        <v>71.535600039609633</v>
      </c>
      <c r="Z47" s="546">
        <v>17</v>
      </c>
      <c r="AA47" s="547">
        <v>1288.3870967741937</v>
      </c>
      <c r="AB47" s="547">
        <v>75.787476280834923</v>
      </c>
      <c r="AC47" s="547">
        <v>4</v>
      </c>
      <c r="AD47" s="657">
        <v>71.666107850761264</v>
      </c>
      <c r="AE47" s="546">
        <v>17</v>
      </c>
      <c r="AF47" s="547">
        <v>1283.8235294117649</v>
      </c>
      <c r="AG47" s="547">
        <v>75.519031141868524</v>
      </c>
      <c r="AH47" s="547">
        <v>4</v>
      </c>
      <c r="AI47" s="657">
        <v>70.526800599503403</v>
      </c>
      <c r="AJ47" s="546">
        <v>17</v>
      </c>
      <c r="AK47" s="547">
        <v>1270.8433734939756</v>
      </c>
      <c r="AL47" s="547">
        <v>74.755492558469157</v>
      </c>
      <c r="AM47" s="547">
        <v>4</v>
      </c>
      <c r="AN47" s="657">
        <v>70.268719973575543</v>
      </c>
      <c r="AO47" s="546">
        <v>17</v>
      </c>
      <c r="AP47" s="547">
        <v>1292.7835051546385</v>
      </c>
      <c r="AQ47" s="547">
        <v>76.046088538508144</v>
      </c>
      <c r="AR47" s="547">
        <v>4</v>
      </c>
      <c r="AS47" s="657">
        <v>71.369612920786224</v>
      </c>
      <c r="AT47" s="546">
        <v>17</v>
      </c>
      <c r="AU47" s="547">
        <v>1274.3750000000005</v>
      </c>
      <c r="AV47" s="547">
        <v>74.96323529411768</v>
      </c>
      <c r="AW47" s="547">
        <v>4</v>
      </c>
      <c r="AX47" s="657">
        <v>71.402058182385403</v>
      </c>
      <c r="AZ47" s="372" t="e">
        <f t="shared" ref="AZ47:AZ61" si="27">RANK(AY47, AY$47:AY$61)</f>
        <v>#N/A</v>
      </c>
      <c r="BA47" s="647" t="e">
        <f t="shared" ref="BA47" si="28">AVERAGE(AY47:AY61)</f>
        <v>#DIV/0!</v>
      </c>
    </row>
    <row r="48" spans="2:53">
      <c r="B48" s="646"/>
      <c r="C48" s="383">
        <v>2</v>
      </c>
      <c r="D48" s="225" t="s">
        <v>347</v>
      </c>
      <c r="E48" s="539">
        <v>18</v>
      </c>
      <c r="F48" s="535">
        <v>1440</v>
      </c>
      <c r="G48" s="534">
        <v>80</v>
      </c>
      <c r="H48" s="682"/>
      <c r="I48" s="385">
        <f t="shared" si="24"/>
        <v>18</v>
      </c>
      <c r="J48" s="385">
        <f t="shared" si="25"/>
        <v>1267.2240386143312</v>
      </c>
      <c r="K48" s="199">
        <f t="shared" si="26"/>
        <v>70.401335478573969</v>
      </c>
      <c r="L48" s="617"/>
      <c r="M48" s="431">
        <f>RANK(K48, K$47:$K$61)</f>
        <v>6</v>
      </c>
      <c r="N48" s="635"/>
      <c r="O48" s="635"/>
      <c r="P48" s="546">
        <v>18</v>
      </c>
      <c r="Q48" s="547">
        <v>1314.3749999999982</v>
      </c>
      <c r="R48" s="547">
        <v>73.020833333333229</v>
      </c>
      <c r="S48" s="546">
        <v>5</v>
      </c>
      <c r="T48" s="659"/>
      <c r="U48" s="546">
        <v>18</v>
      </c>
      <c r="V48" s="547">
        <v>1313.9999999999975</v>
      </c>
      <c r="W48" s="547">
        <v>72.999999999999858</v>
      </c>
      <c r="X48" s="546">
        <v>5</v>
      </c>
      <c r="Y48" s="659"/>
      <c r="Z48" s="546">
        <v>18</v>
      </c>
      <c r="AA48" s="547">
        <v>1338.6206896551698</v>
      </c>
      <c r="AB48" s="547">
        <v>74.367816091953884</v>
      </c>
      <c r="AC48" s="547">
        <v>5</v>
      </c>
      <c r="AD48" s="657"/>
      <c r="AE48" s="546">
        <v>18</v>
      </c>
      <c r="AF48" s="547">
        <v>1121.2499999999984</v>
      </c>
      <c r="AG48" s="547">
        <v>62.291666666666579</v>
      </c>
      <c r="AH48" s="547">
        <v>11</v>
      </c>
      <c r="AI48" s="657"/>
      <c r="AJ48" s="546">
        <v>18</v>
      </c>
      <c r="AK48" s="547">
        <v>1151.999999999998</v>
      </c>
      <c r="AL48" s="547">
        <v>63.999999999999886</v>
      </c>
      <c r="AM48" s="547">
        <v>11</v>
      </c>
      <c r="AN48" s="657"/>
      <c r="AO48" s="546">
        <v>18</v>
      </c>
      <c r="AP48" s="547">
        <v>1310.3225806451592</v>
      </c>
      <c r="AQ48" s="547">
        <v>72.79569892473107</v>
      </c>
      <c r="AR48" s="547">
        <v>5</v>
      </c>
      <c r="AS48" s="657"/>
      <c r="AT48" s="546">
        <v>18</v>
      </c>
      <c r="AU48" s="547">
        <v>1319.9999999999982</v>
      </c>
      <c r="AV48" s="547">
        <v>73.333333333333229</v>
      </c>
      <c r="AW48" s="547">
        <v>6</v>
      </c>
      <c r="AX48" s="657"/>
      <c r="AZ48" s="372" t="e">
        <f t="shared" si="27"/>
        <v>#N/A</v>
      </c>
      <c r="BA48" s="648"/>
    </row>
    <row r="49" spans="2:53">
      <c r="B49" s="646"/>
      <c r="C49" s="383">
        <v>3</v>
      </c>
      <c r="D49" s="225" t="s">
        <v>348</v>
      </c>
      <c r="E49" s="539">
        <v>17</v>
      </c>
      <c r="F49" s="535">
        <v>1440</v>
      </c>
      <c r="G49" s="534">
        <v>84.7</v>
      </c>
      <c r="H49" s="682"/>
      <c r="I49" s="385">
        <f t="shared" si="24"/>
        <v>17</v>
      </c>
      <c r="J49" s="385">
        <f t="shared" si="25"/>
        <v>1329.926609480777</v>
      </c>
      <c r="K49" s="199">
        <f t="shared" si="26"/>
        <v>78.230977028281004</v>
      </c>
      <c r="L49" s="617"/>
      <c r="M49" s="431">
        <f>RANK(K49, K$47:$K$61)</f>
        <v>3</v>
      </c>
      <c r="N49" s="635"/>
      <c r="O49" s="635"/>
      <c r="P49" s="546">
        <v>17</v>
      </c>
      <c r="Q49" s="547">
        <v>1332.5274725274726</v>
      </c>
      <c r="R49" s="547">
        <v>78.383968972204272</v>
      </c>
      <c r="S49" s="546">
        <v>3</v>
      </c>
      <c r="T49" s="659"/>
      <c r="U49" s="546">
        <v>17</v>
      </c>
      <c r="V49" s="547">
        <v>1322.7586206896549</v>
      </c>
      <c r="W49" s="547">
        <v>77.809330628803224</v>
      </c>
      <c r="X49" s="546">
        <v>3</v>
      </c>
      <c r="Y49" s="659"/>
      <c r="Z49" s="546">
        <v>17</v>
      </c>
      <c r="AA49" s="547">
        <v>1319.2500000000007</v>
      </c>
      <c r="AB49" s="547">
        <v>77.602941176470623</v>
      </c>
      <c r="AC49" s="547">
        <v>3</v>
      </c>
      <c r="AD49" s="657"/>
      <c r="AE49" s="546">
        <v>17</v>
      </c>
      <c r="AF49" s="547">
        <v>1347.2727272727279</v>
      </c>
      <c r="AG49" s="547">
        <v>79.251336898395763</v>
      </c>
      <c r="AH49" s="547">
        <v>3</v>
      </c>
      <c r="AI49" s="657"/>
      <c r="AJ49" s="546">
        <v>17</v>
      </c>
      <c r="AK49" s="547">
        <v>1309.7560975609765</v>
      </c>
      <c r="AL49" s="547">
        <v>77.044476327116271</v>
      </c>
      <c r="AM49" s="547">
        <v>3</v>
      </c>
      <c r="AN49" s="657"/>
      <c r="AO49" s="546">
        <v>17</v>
      </c>
      <c r="AP49" s="547">
        <v>1335</v>
      </c>
      <c r="AQ49" s="547">
        <v>78.529411764705884</v>
      </c>
      <c r="AR49" s="547">
        <v>3</v>
      </c>
      <c r="AS49" s="657"/>
      <c r="AT49" s="546">
        <v>17</v>
      </c>
      <c r="AU49" s="547">
        <v>1342.9213483146068</v>
      </c>
      <c r="AV49" s="547">
        <v>78.995373430270988</v>
      </c>
      <c r="AW49" s="547">
        <v>2</v>
      </c>
      <c r="AX49" s="657"/>
      <c r="AZ49" s="372" t="e">
        <f t="shared" si="27"/>
        <v>#N/A</v>
      </c>
      <c r="BA49" s="648"/>
    </row>
    <row r="50" spans="2:53">
      <c r="B50" s="646"/>
      <c r="C50" s="383">
        <v>4</v>
      </c>
      <c r="D50" s="225" t="s">
        <v>350</v>
      </c>
      <c r="E50" s="539">
        <v>21</v>
      </c>
      <c r="F50" s="535">
        <v>1385</v>
      </c>
      <c r="G50" s="534">
        <v>65.900000000000006</v>
      </c>
      <c r="H50" s="682"/>
      <c r="I50" s="385">
        <f t="shared" si="24"/>
        <v>21</v>
      </c>
      <c r="J50" s="385">
        <f t="shared" si="25"/>
        <v>1284.4075478769573</v>
      </c>
      <c r="K50" s="199">
        <f t="shared" si="26"/>
        <v>61.162264184617015</v>
      </c>
      <c r="L50" s="617"/>
      <c r="M50" s="431">
        <f>RANK(K50, K$47:$K$61)</f>
        <v>12</v>
      </c>
      <c r="N50" s="635"/>
      <c r="O50" s="635"/>
      <c r="P50" s="546">
        <v>21</v>
      </c>
      <c r="Q50" s="547">
        <v>1273.8461538461545</v>
      </c>
      <c r="R50" s="547">
        <v>60.659340659340693</v>
      </c>
      <c r="S50" s="546">
        <v>12</v>
      </c>
      <c r="T50" s="659"/>
      <c r="U50" s="546">
        <v>21</v>
      </c>
      <c r="V50" s="547">
        <v>1296.9230769230769</v>
      </c>
      <c r="W50" s="547">
        <v>61.758241758241759</v>
      </c>
      <c r="X50" s="546">
        <v>12</v>
      </c>
      <c r="Y50" s="659"/>
      <c r="Z50" s="546">
        <v>21</v>
      </c>
      <c r="AA50" s="547">
        <v>1300.7407407407404</v>
      </c>
      <c r="AB50" s="547">
        <v>61.940035273368593</v>
      </c>
      <c r="AC50" s="547">
        <v>12</v>
      </c>
      <c r="AD50" s="657"/>
      <c r="AE50" s="546">
        <v>21</v>
      </c>
      <c r="AF50" s="547">
        <v>1278.9873417721512</v>
      </c>
      <c r="AG50" s="547">
        <v>60.904159132007202</v>
      </c>
      <c r="AH50" s="547">
        <v>12</v>
      </c>
      <c r="AI50" s="657"/>
      <c r="AJ50" s="546">
        <v>21</v>
      </c>
      <c r="AK50" s="547">
        <v>1264.8837209302324</v>
      </c>
      <c r="AL50" s="547">
        <v>60.232558139534873</v>
      </c>
      <c r="AM50" s="547">
        <v>12</v>
      </c>
      <c r="AN50" s="657"/>
      <c r="AO50" s="546">
        <v>21</v>
      </c>
      <c r="AP50" s="547">
        <v>1291.7355371900821</v>
      </c>
      <c r="AQ50" s="547">
        <v>61.511216056670577</v>
      </c>
      <c r="AR50" s="547">
        <v>12</v>
      </c>
      <c r="AS50" s="657"/>
      <c r="AT50" s="546">
        <v>21</v>
      </c>
      <c r="AU50" s="547">
        <v>1283.7362637362637</v>
      </c>
      <c r="AV50" s="547">
        <v>61.130298273155418</v>
      </c>
      <c r="AW50" s="547">
        <v>13</v>
      </c>
      <c r="AX50" s="657"/>
      <c r="AZ50" s="372" t="e">
        <f t="shared" si="27"/>
        <v>#N/A</v>
      </c>
      <c r="BA50" s="648"/>
    </row>
    <row r="51" spans="2:53">
      <c r="B51" s="646"/>
      <c r="C51" s="383">
        <v>5</v>
      </c>
      <c r="D51" s="225" t="s">
        <v>351</v>
      </c>
      <c r="E51" s="539">
        <v>19</v>
      </c>
      <c r="F51" s="535">
        <v>1440</v>
      </c>
      <c r="G51" s="534">
        <v>75.8</v>
      </c>
      <c r="H51" s="682"/>
      <c r="I51" s="385">
        <f t="shared" si="24"/>
        <v>19</v>
      </c>
      <c r="J51" s="385">
        <f t="shared" si="25"/>
        <v>1306.0120042891758</v>
      </c>
      <c r="K51" s="199">
        <f t="shared" si="26"/>
        <v>68.737473909956634</v>
      </c>
      <c r="L51" s="617"/>
      <c r="M51" s="431">
        <f>RANK(K51, K$47:$K$61)</f>
        <v>8</v>
      </c>
      <c r="N51" s="635"/>
      <c r="O51" s="635"/>
      <c r="P51" s="546">
        <v>19</v>
      </c>
      <c r="Q51" s="547">
        <v>1167.1000000000042</v>
      </c>
      <c r="R51" s="547">
        <v>61.426315789473904</v>
      </c>
      <c r="S51" s="546">
        <v>11</v>
      </c>
      <c r="T51" s="659"/>
      <c r="U51" s="546">
        <v>19</v>
      </c>
      <c r="V51" s="547">
        <v>1324.6388059701476</v>
      </c>
      <c r="W51" s="547">
        <v>69.717831893165666</v>
      </c>
      <c r="X51" s="546">
        <v>9</v>
      </c>
      <c r="Y51" s="659"/>
      <c r="Z51" s="546">
        <v>19</v>
      </c>
      <c r="AA51" s="547">
        <v>1342.0253164556955</v>
      </c>
      <c r="AB51" s="547">
        <v>70.63291139240502</v>
      </c>
      <c r="AC51" s="547">
        <v>7</v>
      </c>
      <c r="AD51" s="657"/>
      <c r="AE51" s="546">
        <v>19</v>
      </c>
      <c r="AF51" s="547">
        <v>1324.7058823529419</v>
      </c>
      <c r="AG51" s="547">
        <v>69.721362229102212</v>
      </c>
      <c r="AH51" s="547">
        <v>7</v>
      </c>
      <c r="AI51" s="657"/>
      <c r="AJ51" s="546">
        <v>19</v>
      </c>
      <c r="AK51" s="547">
        <v>1328.709677419356</v>
      </c>
      <c r="AL51" s="547">
        <v>69.93208828522927</v>
      </c>
      <c r="AM51" s="547">
        <v>7</v>
      </c>
      <c r="AN51" s="657"/>
      <c r="AO51" s="546">
        <v>19</v>
      </c>
      <c r="AP51" s="547">
        <v>1321.304347826087</v>
      </c>
      <c r="AQ51" s="547">
        <v>69.54233409610984</v>
      </c>
      <c r="AR51" s="547">
        <v>9</v>
      </c>
      <c r="AS51" s="657"/>
      <c r="AT51" s="546">
        <v>19</v>
      </c>
      <c r="AU51" s="547">
        <v>1333.599999999999</v>
      </c>
      <c r="AV51" s="547">
        <v>70.189473684210469</v>
      </c>
      <c r="AW51" s="547">
        <v>7</v>
      </c>
      <c r="AX51" s="657"/>
      <c r="AZ51" s="372" t="e">
        <f t="shared" si="27"/>
        <v>#N/A</v>
      </c>
      <c r="BA51" s="648"/>
    </row>
    <row r="52" spans="2:53">
      <c r="B52" s="646"/>
      <c r="C52" s="383">
        <v>6</v>
      </c>
      <c r="D52" s="225" t="s">
        <v>494</v>
      </c>
      <c r="E52" s="539">
        <v>18</v>
      </c>
      <c r="F52" s="535">
        <v>1385</v>
      </c>
      <c r="G52" s="534">
        <v>76.900000000000006</v>
      </c>
      <c r="H52" s="682"/>
      <c r="I52" s="385">
        <f t="shared" si="24"/>
        <v>18</v>
      </c>
      <c r="J52" s="385">
        <f t="shared" si="25"/>
        <v>1230.3203474239101</v>
      </c>
      <c r="K52" s="199">
        <f t="shared" si="26"/>
        <v>68.35113041243946</v>
      </c>
      <c r="L52" s="617"/>
      <c r="M52" s="431">
        <f>RANK(K52, K$47:$K$61)</f>
        <v>10</v>
      </c>
      <c r="N52" s="635"/>
      <c r="O52" s="635"/>
      <c r="P52" s="546">
        <v>18</v>
      </c>
      <c r="Q52" s="547">
        <v>1230.3529411764705</v>
      </c>
      <c r="R52" s="547">
        <v>68.35294117647058</v>
      </c>
      <c r="S52" s="546">
        <v>8</v>
      </c>
      <c r="T52" s="659"/>
      <c r="U52" s="546">
        <v>18</v>
      </c>
      <c r="V52" s="547">
        <v>1246.1538461538476</v>
      </c>
      <c r="W52" s="547">
        <v>69.230769230769312</v>
      </c>
      <c r="X52" s="546">
        <v>10</v>
      </c>
      <c r="Y52" s="659"/>
      <c r="Z52" s="546">
        <v>18</v>
      </c>
      <c r="AA52" s="547">
        <v>1227.9999999999991</v>
      </c>
      <c r="AB52" s="547">
        <v>68.222222222222172</v>
      </c>
      <c r="AC52" s="547">
        <v>9</v>
      </c>
      <c r="AD52" s="657"/>
      <c r="AE52" s="546">
        <v>18</v>
      </c>
      <c r="AF52" s="547">
        <v>1215</v>
      </c>
      <c r="AG52" s="547">
        <v>67.5</v>
      </c>
      <c r="AH52" s="547">
        <v>9</v>
      </c>
      <c r="AI52" s="657"/>
      <c r="AJ52" s="546">
        <v>18</v>
      </c>
      <c r="AK52" s="547">
        <v>1245.0000000000009</v>
      </c>
      <c r="AL52" s="547">
        <v>69.166666666666714</v>
      </c>
      <c r="AM52" s="547">
        <v>9</v>
      </c>
      <c r="AN52" s="657"/>
      <c r="AO52" s="546">
        <v>18</v>
      </c>
      <c r="AP52" s="547">
        <v>1226.1971830985904</v>
      </c>
      <c r="AQ52" s="547">
        <v>68.122065727699464</v>
      </c>
      <c r="AR52" s="547">
        <v>11</v>
      </c>
      <c r="AS52" s="657"/>
      <c r="AT52" s="546">
        <v>18</v>
      </c>
      <c r="AU52" s="547">
        <v>1221.5384615384621</v>
      </c>
      <c r="AV52" s="547">
        <v>67.863247863247892</v>
      </c>
      <c r="AW52" s="547">
        <v>11</v>
      </c>
      <c r="AX52" s="657"/>
      <c r="AZ52" s="372" t="e">
        <f t="shared" si="27"/>
        <v>#N/A</v>
      </c>
      <c r="BA52" s="648"/>
    </row>
    <row r="53" spans="2:53">
      <c r="B53" s="646"/>
      <c r="C53" s="383">
        <v>7</v>
      </c>
      <c r="D53" s="225" t="s">
        <v>496</v>
      </c>
      <c r="E53" s="539">
        <v>18</v>
      </c>
      <c r="F53" s="535">
        <v>1385</v>
      </c>
      <c r="G53" s="534">
        <v>76.900000000000006</v>
      </c>
      <c r="H53" s="682"/>
      <c r="I53" s="385">
        <f t="shared" si="24"/>
        <v>18</v>
      </c>
      <c r="J53" s="385">
        <f t="shared" si="25"/>
        <v>1224.7517597096689</v>
      </c>
      <c r="K53" s="199">
        <f t="shared" si="26"/>
        <v>68.041764428314949</v>
      </c>
      <c r="L53" s="617"/>
      <c r="M53" s="431">
        <f>RANK(K53, K$47:$K$61)</f>
        <v>11</v>
      </c>
      <c r="N53" s="635"/>
      <c r="O53" s="635"/>
      <c r="P53" s="546">
        <v>18</v>
      </c>
      <c r="Q53" s="547">
        <v>1229.3877551020412</v>
      </c>
      <c r="R53" s="547">
        <v>68.299319727891174</v>
      </c>
      <c r="S53" s="546">
        <v>9</v>
      </c>
      <c r="T53" s="659"/>
      <c r="U53" s="546">
        <v>18</v>
      </c>
      <c r="V53" s="547">
        <v>1213.3333333333333</v>
      </c>
      <c r="W53" s="547">
        <v>67.407407407407405</v>
      </c>
      <c r="X53" s="546">
        <v>11</v>
      </c>
      <c r="Y53" s="659"/>
      <c r="Z53" s="546">
        <v>18</v>
      </c>
      <c r="AA53" s="547">
        <v>1214.9999999999995</v>
      </c>
      <c r="AB53" s="547">
        <v>67.499999999999972</v>
      </c>
      <c r="AC53" s="547">
        <v>11</v>
      </c>
      <c r="AD53" s="657"/>
      <c r="AE53" s="546">
        <v>18</v>
      </c>
      <c r="AF53" s="547">
        <v>1225.1612903225819</v>
      </c>
      <c r="AG53" s="547">
        <v>68.064516129032327</v>
      </c>
      <c r="AH53" s="547">
        <v>8</v>
      </c>
      <c r="AI53" s="657"/>
      <c r="AJ53" s="546">
        <v>18</v>
      </c>
      <c r="AK53" s="547">
        <v>1210.0000000000011</v>
      </c>
      <c r="AL53" s="547">
        <v>67.222222222222285</v>
      </c>
      <c r="AM53" s="547">
        <v>10</v>
      </c>
      <c r="AN53" s="657"/>
      <c r="AO53" s="546">
        <v>18</v>
      </c>
      <c r="AP53" s="547">
        <v>1253.5714285714278</v>
      </c>
      <c r="AQ53" s="547">
        <v>69.642857142857096</v>
      </c>
      <c r="AR53" s="547">
        <v>8</v>
      </c>
      <c r="AS53" s="657"/>
      <c r="AT53" s="546">
        <v>18</v>
      </c>
      <c r="AU53" s="547">
        <v>1226.8085106382982</v>
      </c>
      <c r="AV53" s="547">
        <v>68.156028368794352</v>
      </c>
      <c r="AW53" s="547">
        <v>10</v>
      </c>
      <c r="AX53" s="657"/>
      <c r="AZ53" s="372" t="e">
        <f t="shared" si="27"/>
        <v>#N/A</v>
      </c>
      <c r="BA53" s="648"/>
    </row>
    <row r="54" spans="2:53">
      <c r="B54" s="646"/>
      <c r="C54" s="383">
        <v>8</v>
      </c>
      <c r="D54" s="225" t="s">
        <v>513</v>
      </c>
      <c r="E54" s="539">
        <v>16</v>
      </c>
      <c r="F54" s="535">
        <v>1440</v>
      </c>
      <c r="G54" s="534">
        <v>90</v>
      </c>
      <c r="H54" s="682"/>
      <c r="I54" s="385">
        <f t="shared" si="24"/>
        <v>16</v>
      </c>
      <c r="J54" s="385">
        <f t="shared" si="25"/>
        <v>1320.8064014815259</v>
      </c>
      <c r="K54" s="199">
        <f t="shared" si="26"/>
        <v>82.550400092595368</v>
      </c>
      <c r="L54" s="617"/>
      <c r="M54" s="431">
        <f>RANK(K54, K$47:$K$61)</f>
        <v>1</v>
      </c>
      <c r="N54" s="635"/>
      <c r="O54" s="635"/>
      <c r="P54" s="546">
        <v>16</v>
      </c>
      <c r="Q54" s="547">
        <v>1350.4999999999993</v>
      </c>
      <c r="R54" s="547">
        <v>84.406249999999957</v>
      </c>
      <c r="S54" s="546">
        <v>1</v>
      </c>
      <c r="T54" s="659"/>
      <c r="U54" s="546">
        <v>16</v>
      </c>
      <c r="V54" s="547">
        <v>1333.3980000000004</v>
      </c>
      <c r="W54" s="547">
        <v>83.337375000000023</v>
      </c>
      <c r="X54" s="546">
        <v>1</v>
      </c>
      <c r="Y54" s="659"/>
      <c r="Z54" s="546">
        <v>16</v>
      </c>
      <c r="AA54" s="547">
        <v>1348.5148514851492</v>
      </c>
      <c r="AB54" s="547">
        <v>84.282178217821823</v>
      </c>
      <c r="AC54" s="547">
        <v>1</v>
      </c>
      <c r="AD54" s="657"/>
      <c r="AE54" s="546">
        <v>16</v>
      </c>
      <c r="AF54" s="547">
        <v>1340.7692307692314</v>
      </c>
      <c r="AG54" s="547">
        <v>83.798076923076962</v>
      </c>
      <c r="AH54" s="547">
        <v>1</v>
      </c>
      <c r="AI54" s="657"/>
      <c r="AJ54" s="546">
        <v>16</v>
      </c>
      <c r="AK54" s="547">
        <v>1294.5283018867931</v>
      </c>
      <c r="AL54" s="547">
        <v>80.908018867924568</v>
      </c>
      <c r="AM54" s="547">
        <v>1</v>
      </c>
      <c r="AN54" s="657"/>
      <c r="AO54" s="546">
        <v>16</v>
      </c>
      <c r="AP54" s="547">
        <v>1293.9344262295076</v>
      </c>
      <c r="AQ54" s="547">
        <v>80.870901639344225</v>
      </c>
      <c r="AR54" s="547">
        <v>1</v>
      </c>
      <c r="AS54" s="657"/>
      <c r="AT54" s="546">
        <v>16</v>
      </c>
      <c r="AU54" s="547">
        <v>1283.9999999999995</v>
      </c>
      <c r="AV54" s="547">
        <v>80.249999999999972</v>
      </c>
      <c r="AW54" s="547">
        <v>1</v>
      </c>
      <c r="AX54" s="657"/>
      <c r="AZ54" s="372" t="e">
        <f t="shared" si="27"/>
        <v>#N/A</v>
      </c>
      <c r="BA54" s="648"/>
    </row>
    <row r="55" spans="2:53">
      <c r="B55" s="646"/>
      <c r="C55" s="383">
        <v>9</v>
      </c>
      <c r="D55" s="225" t="s">
        <v>566</v>
      </c>
      <c r="E55" s="539">
        <v>19</v>
      </c>
      <c r="F55" s="535">
        <v>1636</v>
      </c>
      <c r="G55" s="534">
        <v>86.1</v>
      </c>
      <c r="H55" s="682"/>
      <c r="I55" s="385">
        <f t="shared" si="24"/>
        <v>19</v>
      </c>
      <c r="J55" s="385">
        <f t="shared" si="25"/>
        <v>1385.613133981419</v>
      </c>
      <c r="K55" s="199">
        <f t="shared" si="26"/>
        <v>72.927007051653618</v>
      </c>
      <c r="L55" s="617"/>
      <c r="M55" s="431">
        <f>RANK(K55, K$47:$K$61)</f>
        <v>5</v>
      </c>
      <c r="N55" s="635"/>
      <c r="O55" s="635"/>
      <c r="P55" s="546">
        <v>19</v>
      </c>
      <c r="Q55" s="547">
        <v>1377.0566037735846</v>
      </c>
      <c r="R55" s="547">
        <v>72.476663356504446</v>
      </c>
      <c r="S55" s="546">
        <v>6</v>
      </c>
      <c r="T55" s="659"/>
      <c r="U55" s="546">
        <v>19</v>
      </c>
      <c r="V55" s="547">
        <v>1379.7500000000005</v>
      </c>
      <c r="W55" s="547">
        <v>72.618421052631604</v>
      </c>
      <c r="X55" s="546">
        <v>6</v>
      </c>
      <c r="Y55" s="659"/>
      <c r="Z55" s="546">
        <v>19</v>
      </c>
      <c r="AA55" s="547">
        <v>1380.7248322147657</v>
      </c>
      <c r="AB55" s="547">
        <v>72.669728011303462</v>
      </c>
      <c r="AC55" s="547">
        <v>6</v>
      </c>
      <c r="AD55" s="657"/>
      <c r="AE55" s="546">
        <v>19</v>
      </c>
      <c r="AF55" s="547">
        <v>1373.8378378378384</v>
      </c>
      <c r="AG55" s="547">
        <v>72.30725462304413</v>
      </c>
      <c r="AH55" s="547">
        <v>5</v>
      </c>
      <c r="AI55" s="657"/>
      <c r="AJ55" s="546">
        <v>19</v>
      </c>
      <c r="AK55" s="547">
        <v>1404.6986301369861</v>
      </c>
      <c r="AL55" s="547">
        <v>73.931506849315056</v>
      </c>
      <c r="AM55" s="547">
        <v>5</v>
      </c>
      <c r="AN55" s="657"/>
      <c r="AO55" s="546">
        <v>19</v>
      </c>
      <c r="AP55" s="547">
        <v>1373.5287958115186</v>
      </c>
      <c r="AQ55" s="547">
        <v>72.290989253237825</v>
      </c>
      <c r="AR55" s="547">
        <v>6</v>
      </c>
      <c r="AS55" s="657"/>
      <c r="AT55" s="546">
        <v>19</v>
      </c>
      <c r="AU55" s="547">
        <v>1409.6952380952384</v>
      </c>
      <c r="AV55" s="547">
        <v>74.194486215538859</v>
      </c>
      <c r="AW55" s="547">
        <v>5</v>
      </c>
      <c r="AX55" s="657"/>
      <c r="AZ55" s="372" t="e">
        <f t="shared" si="27"/>
        <v>#N/A</v>
      </c>
      <c r="BA55" s="648"/>
    </row>
    <row r="56" spans="2:53">
      <c r="B56" s="646"/>
      <c r="C56" s="383">
        <v>10</v>
      </c>
      <c r="D56" s="225" t="s">
        <v>589</v>
      </c>
      <c r="E56" s="539">
        <v>19</v>
      </c>
      <c r="F56" s="535">
        <v>1440</v>
      </c>
      <c r="G56" s="534">
        <v>75.8</v>
      </c>
      <c r="H56" s="682"/>
      <c r="I56" s="385">
        <f t="shared" si="24"/>
        <v>18</v>
      </c>
      <c r="J56" s="385">
        <f t="shared" si="25"/>
        <v>1086.0556110556151</v>
      </c>
      <c r="K56" s="199">
        <f t="shared" si="26"/>
        <v>60.336422836423047</v>
      </c>
      <c r="L56" s="617"/>
      <c r="M56" s="431">
        <f>RANK(K56, K$47:$K$61)</f>
        <v>13</v>
      </c>
      <c r="N56" s="635"/>
      <c r="O56" s="635"/>
      <c r="P56" s="546">
        <v>18</v>
      </c>
      <c r="Q56" s="547">
        <v>1085.0000000000039</v>
      </c>
      <c r="R56" s="547">
        <v>60.277777777777992</v>
      </c>
      <c r="S56" s="546">
        <v>13</v>
      </c>
      <c r="T56" s="659"/>
      <c r="U56" s="546">
        <v>18</v>
      </c>
      <c r="V56" s="547">
        <v>1075.0000000000039</v>
      </c>
      <c r="W56" s="547">
        <v>59.722222222222435</v>
      </c>
      <c r="X56" s="546">
        <v>13</v>
      </c>
      <c r="Y56" s="659"/>
      <c r="Z56" s="546">
        <v>18</v>
      </c>
      <c r="AA56" s="547">
        <v>1105.0000000000039</v>
      </c>
      <c r="AB56" s="547">
        <v>61.388888888889106</v>
      </c>
      <c r="AC56" s="547">
        <v>13</v>
      </c>
      <c r="AD56" s="657"/>
      <c r="AE56" s="546">
        <v>18</v>
      </c>
      <c r="AF56" s="547">
        <v>1086.6666666666704</v>
      </c>
      <c r="AG56" s="547">
        <v>60.37037037037058</v>
      </c>
      <c r="AH56" s="547">
        <v>13</v>
      </c>
      <c r="AI56" s="657"/>
      <c r="AJ56" s="546">
        <v>18</v>
      </c>
      <c r="AK56" s="547">
        <v>1046.6666666666704</v>
      </c>
      <c r="AL56" s="547">
        <v>58.148148148148351</v>
      </c>
      <c r="AM56" s="547">
        <v>13</v>
      </c>
      <c r="AN56" s="657"/>
      <c r="AO56" s="546">
        <v>18</v>
      </c>
      <c r="AP56" s="547">
        <v>1096.3636363636401</v>
      </c>
      <c r="AQ56" s="547">
        <v>60.90909090909112</v>
      </c>
      <c r="AR56" s="547">
        <v>13</v>
      </c>
      <c r="AS56" s="657"/>
      <c r="AT56" s="546">
        <v>18</v>
      </c>
      <c r="AU56" s="547">
        <v>1107.6923076923117</v>
      </c>
      <c r="AV56" s="547">
        <v>61.53846153846176</v>
      </c>
      <c r="AW56" s="547">
        <v>12</v>
      </c>
      <c r="AX56" s="657"/>
      <c r="AZ56" s="372" t="e">
        <f t="shared" si="27"/>
        <v>#N/A</v>
      </c>
      <c r="BA56" s="648"/>
    </row>
    <row r="57" spans="2:53">
      <c r="B57" s="646"/>
      <c r="C57" s="383">
        <v>11</v>
      </c>
      <c r="D57" s="225" t="s">
        <v>596</v>
      </c>
      <c r="E57" s="539">
        <v>17</v>
      </c>
      <c r="F57" s="535">
        <v>1440</v>
      </c>
      <c r="G57" s="534">
        <v>84.7</v>
      </c>
      <c r="H57" s="682"/>
      <c r="I57" s="385">
        <f t="shared" si="24"/>
        <v>17</v>
      </c>
      <c r="J57" s="385">
        <f t="shared" si="25"/>
        <v>1344.1262490101815</v>
      </c>
      <c r="K57" s="199">
        <f t="shared" si="26"/>
        <v>79.066249941775368</v>
      </c>
      <c r="L57" s="617"/>
      <c r="M57" s="431">
        <f>RANK(K57, K$47:$K$61)</f>
        <v>2</v>
      </c>
      <c r="N57" s="635"/>
      <c r="O57" s="635"/>
      <c r="P57" s="546">
        <v>17</v>
      </c>
      <c r="Q57" s="547">
        <v>1363.4042553191491</v>
      </c>
      <c r="R57" s="547">
        <v>80.200250312891129</v>
      </c>
      <c r="S57" s="546">
        <v>2</v>
      </c>
      <c r="T57" s="659"/>
      <c r="U57" s="546">
        <v>17</v>
      </c>
      <c r="V57" s="547">
        <v>1335.929203539823</v>
      </c>
      <c r="W57" s="547">
        <v>78.584070796460182</v>
      </c>
      <c r="X57" s="546">
        <v>2</v>
      </c>
      <c r="Y57" s="659"/>
      <c r="Z57" s="546">
        <v>17</v>
      </c>
      <c r="AA57" s="547">
        <v>1343.4545454545453</v>
      </c>
      <c r="AB57" s="547">
        <v>79.026737967914428</v>
      </c>
      <c r="AC57" s="547">
        <v>2</v>
      </c>
      <c r="AD57" s="657"/>
      <c r="AE57" s="546">
        <v>17</v>
      </c>
      <c r="AF57" s="547">
        <v>1352.7272727272727</v>
      </c>
      <c r="AG57" s="547">
        <v>79.572192513368989</v>
      </c>
      <c r="AH57" s="547">
        <v>2</v>
      </c>
      <c r="AI57" s="657"/>
      <c r="AJ57" s="546">
        <v>17</v>
      </c>
      <c r="AK57" s="547">
        <v>1333.2352941176468</v>
      </c>
      <c r="AL57" s="547">
        <v>78.425605536332171</v>
      </c>
      <c r="AM57" s="547">
        <v>2</v>
      </c>
      <c r="AN57" s="657"/>
      <c r="AO57" s="546">
        <v>17</v>
      </c>
      <c r="AP57" s="547">
        <v>1339.285714285714</v>
      </c>
      <c r="AQ57" s="547">
        <v>78.781512605041996</v>
      </c>
      <c r="AR57" s="547">
        <v>2</v>
      </c>
      <c r="AS57" s="657"/>
      <c r="AT57" s="546">
        <v>17</v>
      </c>
      <c r="AU57" s="547">
        <v>1340.8474576271187</v>
      </c>
      <c r="AV57" s="547">
        <v>78.873379860418751</v>
      </c>
      <c r="AW57" s="547">
        <v>3</v>
      </c>
      <c r="AX57" s="657"/>
      <c r="AZ57" s="372" t="e">
        <f t="shared" si="27"/>
        <v>#N/A</v>
      </c>
      <c r="BA57" s="648"/>
    </row>
    <row r="58" spans="2:53">
      <c r="B58" s="646"/>
      <c r="C58" s="383">
        <v>12</v>
      </c>
      <c r="D58" s="225" t="s">
        <v>654</v>
      </c>
      <c r="E58" s="539">
        <v>19</v>
      </c>
      <c r="F58" s="535">
        <v>1440</v>
      </c>
      <c r="G58" s="534">
        <v>75.8</v>
      </c>
      <c r="H58" s="682"/>
      <c r="I58" s="385">
        <f t="shared" si="24"/>
        <v>19</v>
      </c>
      <c r="J58" s="385">
        <f t="shared" si="25"/>
        <v>1302.5692851162016</v>
      </c>
      <c r="K58" s="199">
        <f t="shared" si="26"/>
        <v>68.556278164010607</v>
      </c>
      <c r="L58" s="617"/>
      <c r="M58" s="431">
        <f>RANK(K58, K$47:$K$61)</f>
        <v>9</v>
      </c>
      <c r="N58" s="635"/>
      <c r="O58" s="635"/>
      <c r="P58" s="546">
        <v>19</v>
      </c>
      <c r="Q58" s="547">
        <v>1288.4999999999995</v>
      </c>
      <c r="R58" s="547">
        <v>67.815789473684191</v>
      </c>
      <c r="S58" s="546">
        <v>10</v>
      </c>
      <c r="T58" s="659"/>
      <c r="U58" s="546">
        <v>19</v>
      </c>
      <c r="V58" s="547">
        <v>1325.5813953488371</v>
      </c>
      <c r="W58" s="547">
        <v>69.767441860465112</v>
      </c>
      <c r="X58" s="546">
        <v>8</v>
      </c>
      <c r="Y58" s="659"/>
      <c r="Z58" s="546">
        <v>19</v>
      </c>
      <c r="AA58" s="547">
        <v>1290.6666666666667</v>
      </c>
      <c r="AB58" s="547">
        <v>67.929824561403507</v>
      </c>
      <c r="AC58" s="547">
        <v>10</v>
      </c>
      <c r="AD58" s="657"/>
      <c r="AE58" s="546">
        <v>19</v>
      </c>
      <c r="AF58" s="547">
        <v>1280.9999999999995</v>
      </c>
      <c r="AG58" s="547">
        <v>67.421052631578917</v>
      </c>
      <c r="AH58" s="547">
        <v>10</v>
      </c>
      <c r="AI58" s="657"/>
      <c r="AJ58" s="546">
        <v>19</v>
      </c>
      <c r="AK58" s="547">
        <v>1330.2857142857129</v>
      </c>
      <c r="AL58" s="547">
        <v>70.015037593984886</v>
      </c>
      <c r="AM58" s="547">
        <v>6</v>
      </c>
      <c r="AN58" s="657"/>
      <c r="AO58" s="546">
        <v>19</v>
      </c>
      <c r="AP58" s="547">
        <v>1298.0487804878044</v>
      </c>
      <c r="AQ58" s="547">
        <v>68.318356867779173</v>
      </c>
      <c r="AR58" s="547">
        <v>10</v>
      </c>
      <c r="AS58" s="657"/>
      <c r="AT58" s="546">
        <v>19</v>
      </c>
      <c r="AU58" s="547">
        <v>1303.9024390243897</v>
      </c>
      <c r="AV58" s="547">
        <v>68.626444159178405</v>
      </c>
      <c r="AW58" s="547">
        <v>9</v>
      </c>
      <c r="AX58" s="657"/>
      <c r="AZ58" s="372" t="e">
        <f t="shared" si="27"/>
        <v>#N/A</v>
      </c>
      <c r="BA58" s="648"/>
    </row>
    <row r="59" spans="2:53">
      <c r="B59" s="646"/>
      <c r="C59" s="383">
        <v>13</v>
      </c>
      <c r="D59" s="225" t="s">
        <v>716</v>
      </c>
      <c r="E59" s="539">
        <v>18</v>
      </c>
      <c r="F59" s="535">
        <v>1440</v>
      </c>
      <c r="G59" s="534">
        <v>80</v>
      </c>
      <c r="H59" s="682"/>
      <c r="I59" s="385">
        <f t="shared" si="24"/>
        <v>18</v>
      </c>
      <c r="J59" s="385">
        <f t="shared" si="25"/>
        <v>1266.9472884850222</v>
      </c>
      <c r="K59" s="199">
        <f t="shared" si="26"/>
        <v>70.385960471390135</v>
      </c>
      <c r="L59" s="617"/>
      <c r="M59" s="431">
        <f>RANK(K59, K$47:$K$61)</f>
        <v>7</v>
      </c>
      <c r="N59" s="635"/>
      <c r="O59" s="635"/>
      <c r="P59" s="546">
        <v>18</v>
      </c>
      <c r="Q59" s="547">
        <v>1283.8356164383563</v>
      </c>
      <c r="R59" s="547">
        <v>71.324200913242009</v>
      </c>
      <c r="S59" s="546">
        <v>7</v>
      </c>
      <c r="T59" s="659"/>
      <c r="U59" s="546">
        <v>18</v>
      </c>
      <c r="V59" s="547">
        <v>1272.1052631578946</v>
      </c>
      <c r="W59" s="547">
        <v>70.672514619883032</v>
      </c>
      <c r="X59" s="546">
        <v>7</v>
      </c>
      <c r="Y59" s="659"/>
      <c r="Z59" s="546">
        <v>18</v>
      </c>
      <c r="AA59" s="547">
        <v>1265.5555555555552</v>
      </c>
      <c r="AB59" s="547">
        <v>70.308641975308618</v>
      </c>
      <c r="AC59" s="547">
        <v>8</v>
      </c>
      <c r="AD59" s="657"/>
      <c r="AE59" s="546">
        <v>18</v>
      </c>
      <c r="AF59" s="547">
        <v>1262.2929936305732</v>
      </c>
      <c r="AG59" s="547">
        <v>70.127388535031841</v>
      </c>
      <c r="AH59" s="547">
        <v>6</v>
      </c>
      <c r="AI59" s="657"/>
      <c r="AJ59" s="546">
        <v>18</v>
      </c>
      <c r="AK59" s="547">
        <v>1254.8076923076919</v>
      </c>
      <c r="AL59" s="547">
        <v>69.711538461538439</v>
      </c>
      <c r="AM59" s="547">
        <v>8</v>
      </c>
      <c r="AN59" s="657"/>
      <c r="AO59" s="546">
        <v>18</v>
      </c>
      <c r="AP59" s="547">
        <v>1268</v>
      </c>
      <c r="AQ59" s="547">
        <v>70.444444444444443</v>
      </c>
      <c r="AR59" s="547">
        <v>7</v>
      </c>
      <c r="AS59" s="657"/>
      <c r="AT59" s="546">
        <v>18</v>
      </c>
      <c r="AU59" s="547">
        <v>1262.0338983050849</v>
      </c>
      <c r="AV59" s="547">
        <v>70.112994350282491</v>
      </c>
      <c r="AW59" s="547">
        <v>8</v>
      </c>
      <c r="AX59" s="657"/>
      <c r="AZ59" s="372" t="e">
        <f t="shared" si="27"/>
        <v>#N/A</v>
      </c>
      <c r="BA59" s="648"/>
    </row>
    <row r="60" spans="2:53">
      <c r="B60" s="646"/>
      <c r="C60" s="383">
        <v>14</v>
      </c>
      <c r="D60" s="225"/>
      <c r="E60" s="539"/>
      <c r="F60" s="535"/>
      <c r="G60" s="534"/>
      <c r="H60" s="682"/>
      <c r="I60" s="385" t="str">
        <f t="shared" si="24"/>
        <v>-</v>
      </c>
      <c r="J60" s="385" t="str">
        <f t="shared" si="25"/>
        <v>-</v>
      </c>
      <c r="K60" s="199" t="str">
        <f t="shared" si="26"/>
        <v>-</v>
      </c>
      <c r="L60" s="617"/>
      <c r="M60" s="431" t="e">
        <f>RANK(K60, K$47:$K$61)</f>
        <v>#VALUE!</v>
      </c>
      <c r="N60" s="635"/>
      <c r="O60" s="635"/>
      <c r="P60" s="546" t="s">
        <v>592</v>
      </c>
      <c r="Q60" s="547" t="s">
        <v>592</v>
      </c>
      <c r="R60" s="547" t="s">
        <v>592</v>
      </c>
      <c r="S60" s="546" t="e">
        <v>#VALUE!</v>
      </c>
      <c r="T60" s="659"/>
      <c r="U60" s="546" t="s">
        <v>592</v>
      </c>
      <c r="V60" s="547" t="s">
        <v>592</v>
      </c>
      <c r="W60" s="547" t="s">
        <v>592</v>
      </c>
      <c r="X60" s="546" t="e">
        <v>#VALUE!</v>
      </c>
      <c r="Y60" s="659"/>
      <c r="Z60" s="546" t="s">
        <v>592</v>
      </c>
      <c r="AA60" s="547" t="s">
        <v>592</v>
      </c>
      <c r="AB60" s="547" t="s">
        <v>592</v>
      </c>
      <c r="AC60" s="547" t="e">
        <v>#VALUE!</v>
      </c>
      <c r="AD60" s="657"/>
      <c r="AE60" s="546" t="s">
        <v>592</v>
      </c>
      <c r="AF60" s="547" t="s">
        <v>592</v>
      </c>
      <c r="AG60" s="547" t="s">
        <v>592</v>
      </c>
      <c r="AH60" s="547" t="e">
        <v>#VALUE!</v>
      </c>
      <c r="AI60" s="657"/>
      <c r="AJ60" s="546" t="s">
        <v>592</v>
      </c>
      <c r="AK60" s="547" t="s">
        <v>592</v>
      </c>
      <c r="AL60" s="547" t="s">
        <v>592</v>
      </c>
      <c r="AM60" s="547" t="e">
        <v>#VALUE!</v>
      </c>
      <c r="AN60" s="657"/>
      <c r="AO60" s="546" t="s">
        <v>592</v>
      </c>
      <c r="AP60" s="547" t="s">
        <v>592</v>
      </c>
      <c r="AQ60" s="547" t="s">
        <v>592</v>
      </c>
      <c r="AR60" s="547" t="e">
        <v>#VALUE!</v>
      </c>
      <c r="AS60" s="657"/>
      <c r="AT60" s="546" t="s">
        <v>592</v>
      </c>
      <c r="AU60" s="547" t="s">
        <v>592</v>
      </c>
      <c r="AV60" s="547" t="s">
        <v>592</v>
      </c>
      <c r="AW60" s="547" t="e">
        <v>#VALUE!</v>
      </c>
      <c r="AX60" s="657"/>
      <c r="AZ60" s="372" t="e">
        <f t="shared" si="27"/>
        <v>#N/A</v>
      </c>
      <c r="BA60" s="648"/>
    </row>
    <row r="61" spans="2:53">
      <c r="B61" s="646"/>
      <c r="C61" s="383">
        <v>15</v>
      </c>
      <c r="D61" s="225"/>
      <c r="E61" s="539"/>
      <c r="F61" s="535"/>
      <c r="G61" s="534"/>
      <c r="H61" s="683"/>
      <c r="I61" s="434" t="str">
        <f t="shared" ref="I61" si="29">IFERROR(AVERAGE(P61,U61,Z61,AE61,AJ61,AO61,AT61),"-")</f>
        <v>-</v>
      </c>
      <c r="J61" s="434" t="str">
        <f t="shared" ref="J61" si="30">IFERROR(AVERAGE(Q61,V61,AA61,AF61,AK61,AP61,AU61),"-")</f>
        <v>-</v>
      </c>
      <c r="K61" s="199" t="str">
        <f t="shared" ref="K61" si="31">IFERROR(AVERAGE(R61,W61,AB61,AG61,AL61,AQ61,AV61),"-")</f>
        <v>-</v>
      </c>
      <c r="L61" s="618"/>
      <c r="M61" s="431" t="e">
        <f>RANK(K61, K$47:$K$61)</f>
        <v>#VALUE!</v>
      </c>
      <c r="N61" s="635"/>
      <c r="O61" s="635"/>
      <c r="P61" s="546" t="s">
        <v>592</v>
      </c>
      <c r="Q61" s="547" t="s">
        <v>592</v>
      </c>
      <c r="R61" s="547" t="s">
        <v>592</v>
      </c>
      <c r="S61" s="546" t="e">
        <v>#VALUE!</v>
      </c>
      <c r="T61" s="659"/>
      <c r="U61" s="546" t="s">
        <v>592</v>
      </c>
      <c r="V61" s="547" t="s">
        <v>592</v>
      </c>
      <c r="W61" s="547" t="s">
        <v>592</v>
      </c>
      <c r="X61" s="546" t="e">
        <v>#VALUE!</v>
      </c>
      <c r="Y61" s="659"/>
      <c r="Z61" s="546" t="s">
        <v>592</v>
      </c>
      <c r="AA61" s="547" t="s">
        <v>592</v>
      </c>
      <c r="AB61" s="547" t="s">
        <v>592</v>
      </c>
      <c r="AC61" s="547" t="e">
        <v>#VALUE!</v>
      </c>
      <c r="AD61" s="657"/>
      <c r="AE61" s="546" t="s">
        <v>592</v>
      </c>
      <c r="AF61" s="547" t="s">
        <v>592</v>
      </c>
      <c r="AG61" s="547" t="s">
        <v>592</v>
      </c>
      <c r="AH61" s="547" t="e">
        <v>#VALUE!</v>
      </c>
      <c r="AI61" s="657"/>
      <c r="AJ61" s="546" t="s">
        <v>592</v>
      </c>
      <c r="AK61" s="547" t="s">
        <v>592</v>
      </c>
      <c r="AL61" s="547" t="s">
        <v>592</v>
      </c>
      <c r="AM61" s="547" t="e">
        <v>#VALUE!</v>
      </c>
      <c r="AN61" s="657"/>
      <c r="AO61" s="546" t="s">
        <v>592</v>
      </c>
      <c r="AP61" s="547" t="s">
        <v>592</v>
      </c>
      <c r="AQ61" s="547" t="s">
        <v>592</v>
      </c>
      <c r="AR61" s="547" t="e">
        <v>#VALUE!</v>
      </c>
      <c r="AS61" s="657"/>
      <c r="AT61" s="546" t="s">
        <v>592</v>
      </c>
      <c r="AU61" s="547" t="s">
        <v>592</v>
      </c>
      <c r="AV61" s="547" t="s">
        <v>592</v>
      </c>
      <c r="AW61" s="547" t="e">
        <v>#VALUE!</v>
      </c>
      <c r="AX61" s="657"/>
      <c r="AZ61" s="372" t="e">
        <f t="shared" si="27"/>
        <v>#N/A</v>
      </c>
      <c r="BA61" s="649"/>
    </row>
    <row r="62" spans="2:53" ht="15.75">
      <c r="B62" s="650" t="s">
        <v>162</v>
      </c>
      <c r="C62" s="651"/>
      <c r="D62" s="651"/>
      <c r="E62" s="651"/>
      <c r="F62" s="651"/>
      <c r="G62" s="651"/>
      <c r="H62" s="652"/>
      <c r="I62" s="207"/>
      <c r="J62" s="207"/>
      <c r="K62" s="207"/>
      <c r="L62" s="207"/>
      <c r="M62" s="206"/>
      <c r="N62" s="639" t="s">
        <v>156</v>
      </c>
      <c r="O62" s="639" t="s">
        <v>105</v>
      </c>
      <c r="P62" s="645">
        <f>P42+7</f>
        <v>46224</v>
      </c>
      <c r="Q62" s="646"/>
      <c r="R62" s="646"/>
      <c r="S62" s="646"/>
      <c r="T62" s="646"/>
      <c r="U62" s="642">
        <f>P62+1</f>
        <v>46225</v>
      </c>
      <c r="V62" s="643"/>
      <c r="W62" s="643"/>
      <c r="X62" s="643"/>
      <c r="Y62" s="644"/>
      <c r="Z62" s="642">
        <f>U62+1</f>
        <v>46226</v>
      </c>
      <c r="AA62" s="643"/>
      <c r="AB62" s="643"/>
      <c r="AC62" s="643"/>
      <c r="AD62" s="644"/>
      <c r="AE62" s="642">
        <f>Z62+1</f>
        <v>46227</v>
      </c>
      <c r="AF62" s="643"/>
      <c r="AG62" s="643"/>
      <c r="AH62" s="643"/>
      <c r="AI62" s="644"/>
      <c r="AJ62" s="642">
        <f>AE62+1</f>
        <v>46228</v>
      </c>
      <c r="AK62" s="643"/>
      <c r="AL62" s="643"/>
      <c r="AM62" s="643"/>
      <c r="AN62" s="644"/>
      <c r="AO62" s="642">
        <f>AJ62+1</f>
        <v>46229</v>
      </c>
      <c r="AP62" s="643"/>
      <c r="AQ62" s="643"/>
      <c r="AR62" s="643"/>
      <c r="AS62" s="644"/>
      <c r="AT62" s="642">
        <f>AO62+1</f>
        <v>46230</v>
      </c>
      <c r="AU62" s="643"/>
      <c r="AV62" s="643"/>
      <c r="AW62" s="643"/>
      <c r="AX62" s="644"/>
    </row>
    <row r="63" spans="2:53" ht="15.75">
      <c r="B63" s="653"/>
      <c r="C63" s="653"/>
      <c r="D63" s="653"/>
      <c r="E63" s="653"/>
      <c r="F63" s="653"/>
      <c r="G63" s="653"/>
      <c r="H63" s="653"/>
      <c r="I63" s="204"/>
      <c r="J63" s="204"/>
      <c r="K63" s="204"/>
      <c r="L63" s="204"/>
      <c r="M63" s="205"/>
      <c r="N63" s="641"/>
      <c r="O63" s="641"/>
      <c r="P63" s="645" t="s">
        <v>317</v>
      </c>
      <c r="Q63" s="646"/>
      <c r="R63" s="646"/>
      <c r="S63" s="646"/>
      <c r="T63" s="646"/>
      <c r="U63" s="645" t="s">
        <v>318</v>
      </c>
      <c r="V63" s="646"/>
      <c r="W63" s="646"/>
      <c r="X63" s="646"/>
      <c r="Y63" s="646"/>
      <c r="Z63" s="645" t="s">
        <v>319</v>
      </c>
      <c r="AA63" s="646"/>
      <c r="AB63" s="646"/>
      <c r="AC63" s="646"/>
      <c r="AD63" s="646"/>
      <c r="AE63" s="645" t="s">
        <v>320</v>
      </c>
      <c r="AF63" s="646"/>
      <c r="AG63" s="646"/>
      <c r="AH63" s="646"/>
      <c r="AI63" s="646"/>
      <c r="AJ63" s="645" t="s">
        <v>321</v>
      </c>
      <c r="AK63" s="646"/>
      <c r="AL63" s="646"/>
      <c r="AM63" s="646"/>
      <c r="AN63" s="646"/>
      <c r="AO63" s="645" t="s">
        <v>322</v>
      </c>
      <c r="AP63" s="646"/>
      <c r="AQ63" s="646"/>
      <c r="AR63" s="646"/>
      <c r="AS63" s="646"/>
      <c r="AT63" s="645" t="s">
        <v>323</v>
      </c>
      <c r="AU63" s="646"/>
      <c r="AV63" s="646"/>
      <c r="AW63" s="646"/>
      <c r="AX63" s="646"/>
    </row>
    <row r="64" spans="2:53">
      <c r="B64" s="635" t="s">
        <v>372</v>
      </c>
      <c r="C64" s="635" t="s">
        <v>382</v>
      </c>
      <c r="D64" s="635"/>
      <c r="E64" s="635" t="s">
        <v>373</v>
      </c>
      <c r="F64" s="635"/>
      <c r="G64" s="635"/>
      <c r="H64" s="636" t="s">
        <v>369</v>
      </c>
      <c r="I64" s="619" t="s">
        <v>374</v>
      </c>
      <c r="J64" s="619"/>
      <c r="K64" s="619"/>
      <c r="L64" s="620" t="s">
        <v>369</v>
      </c>
      <c r="M64" s="626" t="s">
        <v>370</v>
      </c>
      <c r="N64" s="635"/>
      <c r="O64" s="635" t="s">
        <v>375</v>
      </c>
      <c r="P64" s="632" t="s">
        <v>371</v>
      </c>
      <c r="Q64" s="633"/>
      <c r="R64" s="633"/>
      <c r="S64" s="634"/>
      <c r="T64" s="635" t="s">
        <v>369</v>
      </c>
      <c r="U64" s="632" t="s">
        <v>371</v>
      </c>
      <c r="V64" s="633"/>
      <c r="W64" s="633"/>
      <c r="X64" s="634"/>
      <c r="Y64" s="635" t="s">
        <v>369</v>
      </c>
      <c r="Z64" s="632" t="s">
        <v>371</v>
      </c>
      <c r="AA64" s="633"/>
      <c r="AB64" s="633"/>
      <c r="AC64" s="634"/>
      <c r="AD64" s="635" t="s">
        <v>369</v>
      </c>
      <c r="AE64" s="632" t="s">
        <v>371</v>
      </c>
      <c r="AF64" s="633"/>
      <c r="AG64" s="633"/>
      <c r="AH64" s="634"/>
      <c r="AI64" s="635" t="s">
        <v>369</v>
      </c>
      <c r="AJ64" s="632" t="s">
        <v>371</v>
      </c>
      <c r="AK64" s="633"/>
      <c r="AL64" s="633"/>
      <c r="AM64" s="634"/>
      <c r="AN64" s="635" t="s">
        <v>369</v>
      </c>
      <c r="AO64" s="632" t="s">
        <v>371</v>
      </c>
      <c r="AP64" s="633"/>
      <c r="AQ64" s="633"/>
      <c r="AR64" s="634"/>
      <c r="AS64" s="635" t="s">
        <v>369</v>
      </c>
      <c r="AT64" s="632" t="s">
        <v>371</v>
      </c>
      <c r="AU64" s="633"/>
      <c r="AV64" s="633"/>
      <c r="AW64" s="634"/>
      <c r="AX64" s="635" t="s">
        <v>369</v>
      </c>
      <c r="BA64" s="635" t="s">
        <v>369</v>
      </c>
    </row>
    <row r="65" spans="2:53">
      <c r="B65" s="635"/>
      <c r="C65" s="635"/>
      <c r="D65" s="635"/>
      <c r="E65" s="635" t="s">
        <v>376</v>
      </c>
      <c r="F65" s="635"/>
      <c r="G65" s="635"/>
      <c r="H65" s="637"/>
      <c r="I65" s="619" t="s">
        <v>376</v>
      </c>
      <c r="J65" s="619"/>
      <c r="K65" s="619"/>
      <c r="L65" s="621"/>
      <c r="M65" s="627"/>
      <c r="N65" s="635"/>
      <c r="O65" s="635"/>
      <c r="P65" s="632" t="s">
        <v>377</v>
      </c>
      <c r="Q65" s="633"/>
      <c r="R65" s="633"/>
      <c r="S65" s="634"/>
      <c r="T65" s="635"/>
      <c r="U65" s="632" t="s">
        <v>377</v>
      </c>
      <c r="V65" s="633"/>
      <c r="W65" s="633"/>
      <c r="X65" s="634"/>
      <c r="Y65" s="635"/>
      <c r="Z65" s="632" t="s">
        <v>377</v>
      </c>
      <c r="AA65" s="633"/>
      <c r="AB65" s="633"/>
      <c r="AC65" s="634"/>
      <c r="AD65" s="635"/>
      <c r="AE65" s="632" t="s">
        <v>377</v>
      </c>
      <c r="AF65" s="633"/>
      <c r="AG65" s="633"/>
      <c r="AH65" s="634"/>
      <c r="AI65" s="635"/>
      <c r="AJ65" s="632" t="s">
        <v>377</v>
      </c>
      <c r="AK65" s="633"/>
      <c r="AL65" s="633"/>
      <c r="AM65" s="634"/>
      <c r="AN65" s="635"/>
      <c r="AO65" s="632" t="s">
        <v>377</v>
      </c>
      <c r="AP65" s="633"/>
      <c r="AQ65" s="633"/>
      <c r="AR65" s="634"/>
      <c r="AS65" s="635"/>
      <c r="AT65" s="632" t="s">
        <v>377</v>
      </c>
      <c r="AU65" s="633"/>
      <c r="AV65" s="633"/>
      <c r="AW65" s="634"/>
      <c r="AX65" s="635"/>
      <c r="BA65" s="635"/>
    </row>
    <row r="66" spans="2:53">
      <c r="B66" s="635"/>
      <c r="C66" s="635"/>
      <c r="D66" s="635"/>
      <c r="E66" s="382" t="s">
        <v>378</v>
      </c>
      <c r="F66" s="382" t="s">
        <v>379</v>
      </c>
      <c r="G66" s="382" t="s">
        <v>380</v>
      </c>
      <c r="H66" s="638"/>
      <c r="I66" s="381" t="s">
        <v>378</v>
      </c>
      <c r="J66" s="381" t="s">
        <v>379</v>
      </c>
      <c r="K66" s="381" t="s">
        <v>380</v>
      </c>
      <c r="L66" s="622"/>
      <c r="M66" s="628"/>
      <c r="N66" s="635"/>
      <c r="O66" s="635"/>
      <c r="P66" s="382" t="s">
        <v>378</v>
      </c>
      <c r="Q66" s="382" t="s">
        <v>379</v>
      </c>
      <c r="R66" s="382" t="s">
        <v>380</v>
      </c>
      <c r="S66" s="382" t="s">
        <v>370</v>
      </c>
      <c r="T66" s="635"/>
      <c r="U66" s="382" t="s">
        <v>378</v>
      </c>
      <c r="V66" s="382" t="s">
        <v>379</v>
      </c>
      <c r="W66" s="382" t="s">
        <v>380</v>
      </c>
      <c r="X66" s="382" t="s">
        <v>370</v>
      </c>
      <c r="Y66" s="635"/>
      <c r="Z66" s="382" t="s">
        <v>378</v>
      </c>
      <c r="AA66" s="382" t="s">
        <v>379</v>
      </c>
      <c r="AB66" s="382" t="s">
        <v>380</v>
      </c>
      <c r="AC66" s="382" t="s">
        <v>370</v>
      </c>
      <c r="AD66" s="635"/>
      <c r="AE66" s="382" t="s">
        <v>378</v>
      </c>
      <c r="AF66" s="382" t="s">
        <v>379</v>
      </c>
      <c r="AG66" s="382" t="s">
        <v>380</v>
      </c>
      <c r="AH66" s="382" t="s">
        <v>370</v>
      </c>
      <c r="AI66" s="635"/>
      <c r="AJ66" s="382" t="s">
        <v>378</v>
      </c>
      <c r="AK66" s="382" t="s">
        <v>379</v>
      </c>
      <c r="AL66" s="382" t="s">
        <v>380</v>
      </c>
      <c r="AM66" s="382" t="s">
        <v>370</v>
      </c>
      <c r="AN66" s="635"/>
      <c r="AO66" s="382" t="s">
        <v>378</v>
      </c>
      <c r="AP66" s="382" t="s">
        <v>379</v>
      </c>
      <c r="AQ66" s="382" t="s">
        <v>380</v>
      </c>
      <c r="AR66" s="382" t="s">
        <v>370</v>
      </c>
      <c r="AS66" s="635"/>
      <c r="AT66" s="382" t="s">
        <v>378</v>
      </c>
      <c r="AU66" s="382" t="s">
        <v>379</v>
      </c>
      <c r="AV66" s="382" t="s">
        <v>380</v>
      </c>
      <c r="AW66" s="382" t="s">
        <v>370</v>
      </c>
      <c r="AX66" s="635"/>
      <c r="AZ66" s="371" t="s">
        <v>370</v>
      </c>
      <c r="BA66" s="635"/>
    </row>
    <row r="67" spans="2:53">
      <c r="B67" s="635" t="s">
        <v>390</v>
      </c>
      <c r="C67" s="383">
        <v>1</v>
      </c>
      <c r="D67" s="225" t="s">
        <v>615</v>
      </c>
      <c r="E67" s="539">
        <v>17</v>
      </c>
      <c r="F67" s="535">
        <v>1440</v>
      </c>
      <c r="G67" s="534">
        <v>84.7</v>
      </c>
      <c r="H67" s="681">
        <f>AVERAGE(G67:G81)</f>
        <v>79.792307692307688</v>
      </c>
      <c r="I67" s="385">
        <f t="shared" ref="I67:I79" si="32">IFERROR(AVERAGE(P67,U67,Z67,AE67,AJ67,AO67,AT67),"-")</f>
        <v>17</v>
      </c>
      <c r="J67" s="385">
        <f t="shared" ref="J67:J79" si="33">IFERROR(AVERAGE(Q67,V67,AA67,AF67,AK67,AP67,AU67),"-")</f>
        <v>1292.0043689157992</v>
      </c>
      <c r="K67" s="199">
        <f t="shared" ref="K67:K79" si="34">IFERROR(AVERAGE(R67,W67,AB67,AG67,AL67,AQ67,AV67),"-")</f>
        <v>76.00025699504701</v>
      </c>
      <c r="L67" s="616">
        <f>IFERROR(AVERAGE(K67:K81),"-")</f>
        <v>71.59935383635441</v>
      </c>
      <c r="M67" s="387">
        <f>RANK(K67, K$67:$K$81)</f>
        <v>5</v>
      </c>
      <c r="N67" s="635"/>
      <c r="O67" s="635"/>
      <c r="P67" s="555">
        <v>17</v>
      </c>
      <c r="Q67" s="556">
        <v>1298.2978723404256</v>
      </c>
      <c r="R67" s="556">
        <v>76.370463078848559</v>
      </c>
      <c r="S67" s="555">
        <f t="shared" ref="S67:S81" si="35">RANK(R67, R$67:R$81)</f>
        <v>4</v>
      </c>
      <c r="T67" s="647">
        <f t="shared" ref="T67" si="36">AVERAGE(R67:R81)</f>
        <v>71.832421544217354</v>
      </c>
      <c r="U67" s="555">
        <v>17</v>
      </c>
      <c r="V67" s="556">
        <v>1278.4615384615383</v>
      </c>
      <c r="W67" s="556">
        <v>75.203619909502251</v>
      </c>
      <c r="X67" s="555">
        <f t="shared" ref="X67:X81" si="37">RANK(W67, W$67:W$81)</f>
        <v>5</v>
      </c>
      <c r="Y67" s="647">
        <f t="shared" ref="Y67" si="38">AVERAGE(W67:W81)</f>
        <v>71.535568688115148</v>
      </c>
      <c r="Z67" s="555">
        <v>17</v>
      </c>
      <c r="AA67" s="556">
        <v>1295.4216867469875</v>
      </c>
      <c r="AB67" s="556">
        <v>76.201275690999267</v>
      </c>
      <c r="AC67" s="555">
        <f t="shared" ref="AC67:AC81" si="39">RANK(AB67, AB$67:AB$81)</f>
        <v>4</v>
      </c>
      <c r="AD67" s="647">
        <f t="shared" ref="AD67" si="40">AVERAGE(AB67:AB81)</f>
        <v>71.759656537423893</v>
      </c>
      <c r="AE67" s="555">
        <v>17</v>
      </c>
      <c r="AF67" s="556">
        <v>1317.662337662337</v>
      </c>
      <c r="AG67" s="556">
        <v>77.509549274255122</v>
      </c>
      <c r="AH67" s="555">
        <f t="shared" ref="AH67:AH81" si="41">RANK(AG67, AG$67:AG$81)</f>
        <v>4</v>
      </c>
      <c r="AI67" s="647">
        <f t="shared" ref="AI67" si="42">AVERAGE(AG67:AG81)</f>
        <v>71.033065141154353</v>
      </c>
      <c r="AJ67" s="555">
        <v>17</v>
      </c>
      <c r="AK67" s="556">
        <v>1280.9999999999995</v>
      </c>
      <c r="AL67" s="556">
        <v>75.352941176470566</v>
      </c>
      <c r="AM67" s="555">
        <f t="shared" ref="AM67:AM81" si="43">RANK(AL67, AL$67:AL$81)</f>
        <v>5</v>
      </c>
      <c r="AN67" s="647">
        <f t="shared" ref="AN67" si="44">AVERAGE(AL67:AL81)</f>
        <v>71.125076201641775</v>
      </c>
      <c r="AO67" s="555">
        <v>17</v>
      </c>
      <c r="AP67" s="556">
        <v>1288.0851063829789</v>
      </c>
      <c r="AQ67" s="556">
        <v>75.76971214017523</v>
      </c>
      <c r="AR67" s="555">
        <f t="shared" ref="AR67:AR81" si="45">RANK(AQ67, AQ$67:AQ$81)</f>
        <v>5</v>
      </c>
      <c r="AS67" s="647">
        <f t="shared" ref="AS67" si="46">AVERAGE(AQ67:AQ81)</f>
        <v>72.253997754912547</v>
      </c>
      <c r="AT67" s="555">
        <v>17</v>
      </c>
      <c r="AU67" s="556">
        <v>1285.102040816327</v>
      </c>
      <c r="AV67" s="556">
        <v>75.59423769507805</v>
      </c>
      <c r="AW67" s="555">
        <f t="shared" ref="AW67:AW81" si="47">RANK(AV67, AV$67:AV$81)</f>
        <v>5</v>
      </c>
      <c r="AX67" s="647">
        <f t="shared" ref="AX67" si="48">AVERAGE(AV67:AV81)</f>
        <v>71.655690987015745</v>
      </c>
      <c r="AZ67" s="372" t="e">
        <f t="shared" ref="AZ67:AZ81" si="49">RANK(AY67, AY$67:AY$81)</f>
        <v>#N/A</v>
      </c>
      <c r="BA67" s="647" t="e">
        <f t="shared" ref="BA67" si="50">AVERAGE(AY67:AY81)</f>
        <v>#DIV/0!</v>
      </c>
    </row>
    <row r="68" spans="2:53">
      <c r="B68" s="646"/>
      <c r="C68" s="383">
        <v>2</v>
      </c>
      <c r="D68" s="225" t="s">
        <v>347</v>
      </c>
      <c r="E68" s="539">
        <v>18</v>
      </c>
      <c r="F68" s="535">
        <v>1440</v>
      </c>
      <c r="G68" s="534">
        <v>80</v>
      </c>
      <c r="H68" s="682"/>
      <c r="I68" s="385">
        <f t="shared" si="32"/>
        <v>18</v>
      </c>
      <c r="J68" s="385">
        <f t="shared" si="33"/>
        <v>1237.645490454245</v>
      </c>
      <c r="K68" s="199">
        <f t="shared" si="34"/>
        <v>68.758082803013622</v>
      </c>
      <c r="L68" s="617"/>
      <c r="M68" s="435">
        <f>RANK(K68, K$67:$K$81)</f>
        <v>9</v>
      </c>
      <c r="N68" s="635"/>
      <c r="O68" s="635"/>
      <c r="P68" s="555">
        <v>18</v>
      </c>
      <c r="Q68" s="556">
        <v>1263.999999999998</v>
      </c>
      <c r="R68" s="556">
        <v>70.222222222222115</v>
      </c>
      <c r="S68" s="555">
        <f t="shared" si="35"/>
        <v>7</v>
      </c>
      <c r="T68" s="648"/>
      <c r="U68" s="555">
        <v>18</v>
      </c>
      <c r="V68" s="556">
        <v>1293.9999999999977</v>
      </c>
      <c r="W68" s="556">
        <v>71.888888888888758</v>
      </c>
      <c r="X68" s="555">
        <f t="shared" si="37"/>
        <v>6</v>
      </c>
      <c r="Y68" s="648"/>
      <c r="Z68" s="555">
        <v>18</v>
      </c>
      <c r="AA68" s="556">
        <v>1294.8387096774172</v>
      </c>
      <c r="AB68" s="556">
        <v>71.93548387096763</v>
      </c>
      <c r="AC68" s="555">
        <f t="shared" si="39"/>
        <v>6</v>
      </c>
      <c r="AD68" s="648"/>
      <c r="AE68" s="555">
        <v>18</v>
      </c>
      <c r="AF68" s="556">
        <v>1102.5000000000014</v>
      </c>
      <c r="AG68" s="556">
        <v>61.250000000000078</v>
      </c>
      <c r="AH68" s="555">
        <f t="shared" si="41"/>
        <v>11</v>
      </c>
      <c r="AI68" s="648"/>
      <c r="AJ68" s="555">
        <v>18</v>
      </c>
      <c r="AK68" s="556">
        <v>1095.0000000000009</v>
      </c>
      <c r="AL68" s="556">
        <v>60.833333333333385</v>
      </c>
      <c r="AM68" s="555">
        <f t="shared" si="43"/>
        <v>13</v>
      </c>
      <c r="AN68" s="648"/>
      <c r="AO68" s="555">
        <v>18</v>
      </c>
      <c r="AP68" s="556">
        <v>1310.3225806451592</v>
      </c>
      <c r="AQ68" s="556">
        <v>72.79569892473107</v>
      </c>
      <c r="AR68" s="555">
        <f t="shared" si="45"/>
        <v>7</v>
      </c>
      <c r="AS68" s="648"/>
      <c r="AT68" s="555">
        <v>18</v>
      </c>
      <c r="AU68" s="556">
        <v>1302.8571428571418</v>
      </c>
      <c r="AV68" s="556">
        <v>72.380952380952323</v>
      </c>
      <c r="AW68" s="555">
        <f t="shared" si="47"/>
        <v>7</v>
      </c>
      <c r="AX68" s="648"/>
      <c r="AZ68" s="372" t="e">
        <f t="shared" si="49"/>
        <v>#N/A</v>
      </c>
      <c r="BA68" s="648"/>
    </row>
    <row r="69" spans="2:53">
      <c r="B69" s="646"/>
      <c r="C69" s="383">
        <v>3</v>
      </c>
      <c r="D69" s="225" t="s">
        <v>348</v>
      </c>
      <c r="E69" s="539">
        <v>17</v>
      </c>
      <c r="F69" s="535">
        <v>1440</v>
      </c>
      <c r="G69" s="534">
        <v>84.7</v>
      </c>
      <c r="H69" s="682"/>
      <c r="I69" s="385">
        <f t="shared" si="32"/>
        <v>17</v>
      </c>
      <c r="J69" s="385">
        <f t="shared" si="33"/>
        <v>1338.0259887225748</v>
      </c>
      <c r="K69" s="199">
        <f t="shared" si="34"/>
        <v>78.707411101327935</v>
      </c>
      <c r="L69" s="617"/>
      <c r="M69" s="435">
        <f>RANK(K69, K$67:$K$81)</f>
        <v>3</v>
      </c>
      <c r="N69" s="635"/>
      <c r="O69" s="635"/>
      <c r="P69" s="555">
        <v>17</v>
      </c>
      <c r="Q69" s="556">
        <v>1343.5714285714282</v>
      </c>
      <c r="R69" s="556">
        <v>79.033613445378137</v>
      </c>
      <c r="S69" s="555">
        <f t="shared" si="35"/>
        <v>3</v>
      </c>
      <c r="T69" s="648"/>
      <c r="U69" s="555">
        <v>17</v>
      </c>
      <c r="V69" s="556">
        <v>1338.4615384615377</v>
      </c>
      <c r="W69" s="556">
        <v>78.733031674208092</v>
      </c>
      <c r="X69" s="555">
        <f t="shared" si="37"/>
        <v>3</v>
      </c>
      <c r="Y69" s="648"/>
      <c r="Z69" s="555">
        <v>17</v>
      </c>
      <c r="AA69" s="556">
        <v>1317.7611940298525</v>
      </c>
      <c r="AB69" s="556">
        <v>77.515364354697212</v>
      </c>
      <c r="AC69" s="555">
        <f t="shared" si="39"/>
        <v>3</v>
      </c>
      <c r="AD69" s="648"/>
      <c r="AE69" s="555">
        <v>17</v>
      </c>
      <c r="AF69" s="556">
        <v>1346.8656716417927</v>
      </c>
      <c r="AG69" s="556">
        <v>79.227392449517211</v>
      </c>
      <c r="AH69" s="555">
        <f t="shared" si="41"/>
        <v>3</v>
      </c>
      <c r="AI69" s="648"/>
      <c r="AJ69" s="555">
        <v>17</v>
      </c>
      <c r="AK69" s="556">
        <v>1331.666666666667</v>
      </c>
      <c r="AL69" s="556">
        <v>78.333333333333357</v>
      </c>
      <c r="AM69" s="555">
        <f t="shared" si="43"/>
        <v>3</v>
      </c>
      <c r="AN69" s="648"/>
      <c r="AO69" s="555">
        <v>17</v>
      </c>
      <c r="AP69" s="556">
        <v>1343.9999999999995</v>
      </c>
      <c r="AQ69" s="556">
        <v>79.05882352941174</v>
      </c>
      <c r="AR69" s="555">
        <f t="shared" si="45"/>
        <v>3</v>
      </c>
      <c r="AS69" s="648"/>
      <c r="AT69" s="555">
        <v>17</v>
      </c>
      <c r="AU69" s="556">
        <v>1343.8554216867465</v>
      </c>
      <c r="AV69" s="556">
        <v>79.050318922749796</v>
      </c>
      <c r="AW69" s="555">
        <f t="shared" si="47"/>
        <v>3</v>
      </c>
      <c r="AX69" s="648"/>
      <c r="AZ69" s="372" t="e">
        <f t="shared" si="49"/>
        <v>#N/A</v>
      </c>
      <c r="BA69" s="648"/>
    </row>
    <row r="70" spans="2:53">
      <c r="B70" s="646"/>
      <c r="C70" s="383">
        <v>4</v>
      </c>
      <c r="D70" s="225" t="s">
        <v>350</v>
      </c>
      <c r="E70" s="539">
        <v>21</v>
      </c>
      <c r="F70" s="535">
        <v>1385</v>
      </c>
      <c r="G70" s="534">
        <v>65.900000000000006</v>
      </c>
      <c r="H70" s="682"/>
      <c r="I70" s="385">
        <f t="shared" si="32"/>
        <v>21</v>
      </c>
      <c r="J70" s="385">
        <f t="shared" si="33"/>
        <v>1275.334204801406</v>
      </c>
      <c r="K70" s="199">
        <f t="shared" si="34"/>
        <v>60.730200228638388</v>
      </c>
      <c r="L70" s="617"/>
      <c r="M70" s="435">
        <f>RANK(K70, K$67:$K$81)</f>
        <v>12</v>
      </c>
      <c r="N70" s="635"/>
      <c r="O70" s="635"/>
      <c r="P70" s="555">
        <v>21</v>
      </c>
      <c r="Q70" s="556">
        <v>1266.5934065934066</v>
      </c>
      <c r="R70" s="556">
        <v>60.313971742543174</v>
      </c>
      <c r="S70" s="555">
        <f t="shared" si="35"/>
        <v>12</v>
      </c>
      <c r="T70" s="648"/>
      <c r="U70" s="555">
        <v>21</v>
      </c>
      <c r="V70" s="556">
        <v>1288.8888888888885</v>
      </c>
      <c r="W70" s="556">
        <v>61.375661375661352</v>
      </c>
      <c r="X70" s="555">
        <f t="shared" si="37"/>
        <v>12</v>
      </c>
      <c r="Y70" s="648"/>
      <c r="Z70" s="555">
        <v>21</v>
      </c>
      <c r="AA70" s="556">
        <v>1263.6585365853655</v>
      </c>
      <c r="AB70" s="556">
        <v>60.17421602787455</v>
      </c>
      <c r="AC70" s="555">
        <f t="shared" si="39"/>
        <v>12</v>
      </c>
      <c r="AD70" s="648"/>
      <c r="AE70" s="555">
        <v>21</v>
      </c>
      <c r="AF70" s="556">
        <v>1263.7499999999995</v>
      </c>
      <c r="AG70" s="556">
        <v>60.178571428571409</v>
      </c>
      <c r="AH70" s="555">
        <f t="shared" si="41"/>
        <v>12</v>
      </c>
      <c r="AI70" s="648"/>
      <c r="AJ70" s="555">
        <v>21</v>
      </c>
      <c r="AK70" s="556">
        <v>1279.285714285714</v>
      </c>
      <c r="AL70" s="556">
        <v>60.918367346938759</v>
      </c>
      <c r="AM70" s="555">
        <f t="shared" si="43"/>
        <v>11</v>
      </c>
      <c r="AN70" s="648"/>
      <c r="AO70" s="555">
        <v>21</v>
      </c>
      <c r="AP70" s="556">
        <v>1280.8064516129029</v>
      </c>
      <c r="AQ70" s="556">
        <v>60.990783410138235</v>
      </c>
      <c r="AR70" s="555">
        <f t="shared" si="45"/>
        <v>13</v>
      </c>
      <c r="AS70" s="648"/>
      <c r="AT70" s="555">
        <v>21</v>
      </c>
      <c r="AU70" s="556">
        <v>1284.356435643565</v>
      </c>
      <c r="AV70" s="556">
        <v>61.159830268741189</v>
      </c>
      <c r="AW70" s="555">
        <f t="shared" si="47"/>
        <v>12</v>
      </c>
      <c r="AX70" s="648"/>
      <c r="AZ70" s="372" t="e">
        <f t="shared" si="49"/>
        <v>#N/A</v>
      </c>
      <c r="BA70" s="648"/>
    </row>
    <row r="71" spans="2:53">
      <c r="B71" s="646"/>
      <c r="C71" s="383">
        <v>5</v>
      </c>
      <c r="D71" s="225" t="s">
        <v>351</v>
      </c>
      <c r="E71" s="539">
        <v>19</v>
      </c>
      <c r="F71" s="535">
        <v>1440</v>
      </c>
      <c r="G71" s="534">
        <v>75.8</v>
      </c>
      <c r="H71" s="682"/>
      <c r="I71" s="385">
        <f t="shared" si="32"/>
        <v>19</v>
      </c>
      <c r="J71" s="385">
        <f t="shared" si="33"/>
        <v>1322.893417378463</v>
      </c>
      <c r="K71" s="199">
        <f t="shared" si="34"/>
        <v>69.625969335708561</v>
      </c>
      <c r="L71" s="617"/>
      <c r="M71" s="435">
        <f>RANK(K71, K$67:$K$81)</f>
        <v>7</v>
      </c>
      <c r="N71" s="635"/>
      <c r="O71" s="635"/>
      <c r="P71" s="555">
        <v>19</v>
      </c>
      <c r="Q71" s="556">
        <v>1331.2941176470586</v>
      </c>
      <c r="R71" s="556">
        <v>70.068111455108351</v>
      </c>
      <c r="S71" s="555">
        <f t="shared" si="35"/>
        <v>8</v>
      </c>
      <c r="T71" s="648"/>
      <c r="U71" s="555">
        <v>19</v>
      </c>
      <c r="V71" s="556">
        <v>1311.6923076923092</v>
      </c>
      <c r="W71" s="556">
        <v>69.036437246963644</v>
      </c>
      <c r="X71" s="555">
        <f t="shared" si="37"/>
        <v>9</v>
      </c>
      <c r="Y71" s="648"/>
      <c r="Z71" s="555">
        <v>19</v>
      </c>
      <c r="AA71" s="556">
        <v>1297.5000000000016</v>
      </c>
      <c r="AB71" s="556">
        <v>68.289473684210606</v>
      </c>
      <c r="AC71" s="555">
        <f t="shared" si="39"/>
        <v>10</v>
      </c>
      <c r="AD71" s="648"/>
      <c r="AE71" s="555">
        <v>19</v>
      </c>
      <c r="AF71" s="556">
        <v>1338.8888888888896</v>
      </c>
      <c r="AG71" s="556">
        <v>70.467836257309983</v>
      </c>
      <c r="AH71" s="555">
        <f t="shared" si="41"/>
        <v>7</v>
      </c>
      <c r="AI71" s="648"/>
      <c r="AJ71" s="555">
        <v>19</v>
      </c>
      <c r="AK71" s="556">
        <v>1324.0677966101705</v>
      </c>
      <c r="AL71" s="556">
        <v>69.687778768956335</v>
      </c>
      <c r="AM71" s="555">
        <f t="shared" si="43"/>
        <v>7</v>
      </c>
      <c r="AN71" s="648"/>
      <c r="AO71" s="555">
        <v>19</v>
      </c>
      <c r="AP71" s="556">
        <v>1336</v>
      </c>
      <c r="AQ71" s="556">
        <v>70.315789473684205</v>
      </c>
      <c r="AR71" s="555">
        <f t="shared" si="45"/>
        <v>8</v>
      </c>
      <c r="AS71" s="648"/>
      <c r="AT71" s="555">
        <v>19</v>
      </c>
      <c r="AU71" s="556">
        <v>1320.8108108108099</v>
      </c>
      <c r="AV71" s="556">
        <v>69.516358463726831</v>
      </c>
      <c r="AW71" s="555">
        <f t="shared" si="47"/>
        <v>8</v>
      </c>
      <c r="AX71" s="648"/>
      <c r="AZ71" s="372" t="e">
        <f t="shared" si="49"/>
        <v>#N/A</v>
      </c>
      <c r="BA71" s="648"/>
    </row>
    <row r="72" spans="2:53">
      <c r="B72" s="646"/>
      <c r="C72" s="383">
        <v>6</v>
      </c>
      <c r="D72" s="225" t="s">
        <v>494</v>
      </c>
      <c r="E72" s="539">
        <v>18</v>
      </c>
      <c r="F72" s="535">
        <v>1385</v>
      </c>
      <c r="G72" s="534">
        <v>76.900000000000006</v>
      </c>
      <c r="H72" s="682"/>
      <c r="I72" s="385">
        <f t="shared" si="32"/>
        <v>18</v>
      </c>
      <c r="J72" s="385">
        <f t="shared" si="33"/>
        <v>1238.4033993397009</v>
      </c>
      <c r="K72" s="199">
        <f t="shared" si="34"/>
        <v>68.800188852205608</v>
      </c>
      <c r="L72" s="617"/>
      <c r="M72" s="435">
        <f>RANK(K72, K$67:$K$81)</f>
        <v>8</v>
      </c>
      <c r="N72" s="635"/>
      <c r="O72" s="635"/>
      <c r="P72" s="555">
        <v>18</v>
      </c>
      <c r="Q72" s="556">
        <v>1242.4999999999991</v>
      </c>
      <c r="R72" s="556">
        <v>69.027777777777729</v>
      </c>
      <c r="S72" s="555">
        <f t="shared" si="35"/>
        <v>10</v>
      </c>
      <c r="T72" s="648"/>
      <c r="U72" s="555">
        <v>18</v>
      </c>
      <c r="V72" s="556">
        <v>1235.6250000000014</v>
      </c>
      <c r="W72" s="556">
        <v>68.645833333333414</v>
      </c>
      <c r="X72" s="555">
        <f t="shared" si="37"/>
        <v>10</v>
      </c>
      <c r="Y72" s="648"/>
      <c r="Z72" s="555">
        <v>18</v>
      </c>
      <c r="AA72" s="556">
        <v>1225.5737704918045</v>
      </c>
      <c r="AB72" s="556">
        <v>68.087431693989132</v>
      </c>
      <c r="AC72" s="555">
        <f t="shared" si="39"/>
        <v>11</v>
      </c>
      <c r="AD72" s="648"/>
      <c r="AE72" s="555">
        <v>18</v>
      </c>
      <c r="AF72" s="556">
        <v>1251.5789473684222</v>
      </c>
      <c r="AG72" s="556">
        <v>69.532163742690116</v>
      </c>
      <c r="AH72" s="555">
        <f t="shared" si="41"/>
        <v>9</v>
      </c>
      <c r="AI72" s="648"/>
      <c r="AJ72" s="555">
        <v>18</v>
      </c>
      <c r="AK72" s="556">
        <v>1251.7241379310353</v>
      </c>
      <c r="AL72" s="556">
        <v>69.540229885057514</v>
      </c>
      <c r="AM72" s="555">
        <f t="shared" si="43"/>
        <v>8</v>
      </c>
      <c r="AN72" s="648"/>
      <c r="AO72" s="555">
        <v>18</v>
      </c>
      <c r="AP72" s="556">
        <v>1241.3513513513503</v>
      </c>
      <c r="AQ72" s="556">
        <v>68.963963963963906</v>
      </c>
      <c r="AR72" s="555">
        <f t="shared" si="45"/>
        <v>9</v>
      </c>
      <c r="AS72" s="648"/>
      <c r="AT72" s="555">
        <v>18</v>
      </c>
      <c r="AU72" s="556">
        <v>1220.4705882352939</v>
      </c>
      <c r="AV72" s="556">
        <v>67.803921568627445</v>
      </c>
      <c r="AW72" s="555">
        <f t="shared" si="47"/>
        <v>9</v>
      </c>
      <c r="AX72" s="648"/>
      <c r="AZ72" s="372" t="e">
        <f t="shared" si="49"/>
        <v>#N/A</v>
      </c>
      <c r="BA72" s="648"/>
    </row>
    <row r="73" spans="2:53">
      <c r="B73" s="646"/>
      <c r="C73" s="383">
        <v>7</v>
      </c>
      <c r="D73" s="225" t="s">
        <v>496</v>
      </c>
      <c r="E73" s="539">
        <v>18</v>
      </c>
      <c r="F73" s="535">
        <v>1385</v>
      </c>
      <c r="G73" s="534">
        <v>76.900000000000006</v>
      </c>
      <c r="H73" s="682"/>
      <c r="I73" s="385">
        <f t="shared" si="32"/>
        <v>18</v>
      </c>
      <c r="J73" s="385">
        <f t="shared" si="33"/>
        <v>1236.0982501486694</v>
      </c>
      <c r="K73" s="199">
        <f t="shared" si="34"/>
        <v>68.672125008259414</v>
      </c>
      <c r="L73" s="617"/>
      <c r="M73" s="435">
        <f>RANK(K73, K$67:$K$81)</f>
        <v>11</v>
      </c>
      <c r="N73" s="635"/>
      <c r="O73" s="635"/>
      <c r="P73" s="555">
        <v>18</v>
      </c>
      <c r="Q73" s="556">
        <v>1241.142857142856</v>
      </c>
      <c r="R73" s="556">
        <v>68.952380952380892</v>
      </c>
      <c r="S73" s="555">
        <f t="shared" si="35"/>
        <v>11</v>
      </c>
      <c r="T73" s="648"/>
      <c r="U73" s="555">
        <v>18</v>
      </c>
      <c r="V73" s="556">
        <v>1209.2307692307686</v>
      </c>
      <c r="W73" s="556">
        <v>67.17948717948714</v>
      </c>
      <c r="X73" s="555">
        <f t="shared" si="37"/>
        <v>11</v>
      </c>
      <c r="Y73" s="648"/>
      <c r="Z73" s="555">
        <v>18</v>
      </c>
      <c r="AA73" s="556">
        <v>1253.5135135135126</v>
      </c>
      <c r="AB73" s="556">
        <v>69.639639639639597</v>
      </c>
      <c r="AC73" s="555">
        <f t="shared" si="39"/>
        <v>8</v>
      </c>
      <c r="AD73" s="648"/>
      <c r="AE73" s="555">
        <v>18</v>
      </c>
      <c r="AF73" s="556">
        <v>1268.5714285714273</v>
      </c>
      <c r="AG73" s="556">
        <v>70.476190476190411</v>
      </c>
      <c r="AH73" s="555">
        <f t="shared" si="41"/>
        <v>6</v>
      </c>
      <c r="AI73" s="648"/>
      <c r="AJ73" s="555">
        <v>18</v>
      </c>
      <c r="AK73" s="556">
        <v>1235.2941176470572</v>
      </c>
      <c r="AL73" s="556">
        <v>68.627450980392069</v>
      </c>
      <c r="AM73" s="555">
        <f t="shared" si="43"/>
        <v>10</v>
      </c>
      <c r="AN73" s="648"/>
      <c r="AO73" s="555">
        <v>18</v>
      </c>
      <c r="AP73" s="556">
        <v>1228.5714285714282</v>
      </c>
      <c r="AQ73" s="556">
        <v>68.253968253968239</v>
      </c>
      <c r="AR73" s="555">
        <f t="shared" si="45"/>
        <v>10</v>
      </c>
      <c r="AS73" s="648"/>
      <c r="AT73" s="555">
        <v>18</v>
      </c>
      <c r="AU73" s="556">
        <v>1216.3636363636365</v>
      </c>
      <c r="AV73" s="556">
        <v>67.575757575757578</v>
      </c>
      <c r="AW73" s="555">
        <f t="shared" si="47"/>
        <v>10</v>
      </c>
      <c r="AX73" s="648"/>
      <c r="AZ73" s="372" t="e">
        <f t="shared" si="49"/>
        <v>#N/A</v>
      </c>
      <c r="BA73" s="648"/>
    </row>
    <row r="74" spans="2:53">
      <c r="B74" s="646"/>
      <c r="C74" s="383">
        <v>8</v>
      </c>
      <c r="D74" s="225" t="s">
        <v>513</v>
      </c>
      <c r="E74" s="539">
        <v>16</v>
      </c>
      <c r="F74" s="535">
        <v>1440</v>
      </c>
      <c r="G74" s="534">
        <v>90</v>
      </c>
      <c r="H74" s="682"/>
      <c r="I74" s="385">
        <f t="shared" si="32"/>
        <v>16</v>
      </c>
      <c r="J74" s="385">
        <f t="shared" si="33"/>
        <v>1334.3779866884956</v>
      </c>
      <c r="K74" s="199">
        <f t="shared" si="34"/>
        <v>83.398624168030977</v>
      </c>
      <c r="L74" s="617"/>
      <c r="M74" s="435">
        <f>RANK(K74, K$67:$K$81)</f>
        <v>1</v>
      </c>
      <c r="N74" s="635"/>
      <c r="O74" s="635"/>
      <c r="P74" s="555">
        <v>16</v>
      </c>
      <c r="Q74" s="556">
        <v>1336.842105263157</v>
      </c>
      <c r="R74" s="556">
        <v>83.552631578947313</v>
      </c>
      <c r="S74" s="555">
        <f t="shared" si="35"/>
        <v>1</v>
      </c>
      <c r="T74" s="648"/>
      <c r="U74" s="555">
        <v>16</v>
      </c>
      <c r="V74" s="556">
        <v>1331.891891891891</v>
      </c>
      <c r="W74" s="556">
        <v>83.243243243243185</v>
      </c>
      <c r="X74" s="555">
        <f t="shared" si="37"/>
        <v>1</v>
      </c>
      <c r="Y74" s="648"/>
      <c r="Z74" s="555">
        <v>16</v>
      </c>
      <c r="AA74" s="556">
        <v>1353.0000000000005</v>
      </c>
      <c r="AB74" s="556">
        <v>84.562500000000028</v>
      </c>
      <c r="AC74" s="555">
        <f t="shared" si="39"/>
        <v>1</v>
      </c>
      <c r="AD74" s="648"/>
      <c r="AE74" s="555">
        <v>16</v>
      </c>
      <c r="AF74" s="556">
        <v>1321.7821782178223</v>
      </c>
      <c r="AG74" s="556">
        <v>82.611386138613895</v>
      </c>
      <c r="AH74" s="555">
        <f t="shared" si="41"/>
        <v>1</v>
      </c>
      <c r="AI74" s="648"/>
      <c r="AJ74" s="555">
        <v>16</v>
      </c>
      <c r="AK74" s="556">
        <v>1333.1250000000005</v>
      </c>
      <c r="AL74" s="556">
        <v>83.320312500000028</v>
      </c>
      <c r="AM74" s="555">
        <f t="shared" si="43"/>
        <v>1</v>
      </c>
      <c r="AN74" s="648"/>
      <c r="AO74" s="555">
        <v>16</v>
      </c>
      <c r="AP74" s="556">
        <v>1327.5445544554461</v>
      </c>
      <c r="AQ74" s="556">
        <v>82.971534653465383</v>
      </c>
      <c r="AR74" s="555">
        <f t="shared" si="45"/>
        <v>1</v>
      </c>
      <c r="AS74" s="648"/>
      <c r="AT74" s="555">
        <v>16</v>
      </c>
      <c r="AU74" s="556">
        <v>1336.4601769911515</v>
      </c>
      <c r="AV74" s="556">
        <v>83.528761061946966</v>
      </c>
      <c r="AW74" s="555">
        <f t="shared" si="47"/>
        <v>1</v>
      </c>
      <c r="AX74" s="648"/>
      <c r="AZ74" s="372" t="e">
        <f t="shared" si="49"/>
        <v>#N/A</v>
      </c>
      <c r="BA74" s="648"/>
    </row>
    <row r="75" spans="2:53">
      <c r="B75" s="646"/>
      <c r="C75" s="383">
        <v>9</v>
      </c>
      <c r="D75" s="225" t="s">
        <v>566</v>
      </c>
      <c r="E75" s="539">
        <v>19</v>
      </c>
      <c r="F75" s="535">
        <v>1636</v>
      </c>
      <c r="G75" s="534">
        <v>86.1</v>
      </c>
      <c r="H75" s="682"/>
      <c r="I75" s="385">
        <f t="shared" si="32"/>
        <v>19</v>
      </c>
      <c r="J75" s="385">
        <f t="shared" si="33"/>
        <v>1445.3310146265678</v>
      </c>
      <c r="K75" s="199">
        <f t="shared" si="34"/>
        <v>76.070053401398312</v>
      </c>
      <c r="L75" s="617"/>
      <c r="M75" s="435">
        <f>RANK(K75, K$67:$K$81)</f>
        <v>4</v>
      </c>
      <c r="N75" s="635"/>
      <c r="O75" s="635"/>
      <c r="P75" s="555">
        <v>19</v>
      </c>
      <c r="Q75" s="556">
        <v>1438.5517241379309</v>
      </c>
      <c r="R75" s="556">
        <v>75.713248638838465</v>
      </c>
      <c r="S75" s="555">
        <f t="shared" si="35"/>
        <v>5</v>
      </c>
      <c r="T75" s="648"/>
      <c r="U75" s="555">
        <v>19</v>
      </c>
      <c r="V75" s="556">
        <v>1441.840909090909</v>
      </c>
      <c r="W75" s="556">
        <v>75.886363636363626</v>
      </c>
      <c r="X75" s="555">
        <f t="shared" si="37"/>
        <v>4</v>
      </c>
      <c r="Y75" s="648"/>
      <c r="Z75" s="555">
        <v>19</v>
      </c>
      <c r="AA75" s="556">
        <v>1444.2162162162165</v>
      </c>
      <c r="AB75" s="556">
        <v>76.011379800853504</v>
      </c>
      <c r="AC75" s="555">
        <f t="shared" si="39"/>
        <v>5</v>
      </c>
      <c r="AD75" s="648"/>
      <c r="AE75" s="555">
        <v>19</v>
      </c>
      <c r="AF75" s="556">
        <v>1429.7041420118346</v>
      </c>
      <c r="AG75" s="556">
        <v>75.247586421675507</v>
      </c>
      <c r="AH75" s="555">
        <f t="shared" si="41"/>
        <v>5</v>
      </c>
      <c r="AI75" s="648"/>
      <c r="AJ75" s="555">
        <v>19</v>
      </c>
      <c r="AK75" s="556">
        <v>1445.0310559006211</v>
      </c>
      <c r="AL75" s="556">
        <v>76.054266100032692</v>
      </c>
      <c r="AM75" s="555">
        <f t="shared" si="43"/>
        <v>4</v>
      </c>
      <c r="AN75" s="648"/>
      <c r="AO75" s="555">
        <v>19</v>
      </c>
      <c r="AP75" s="556">
        <v>1461.8117647058821</v>
      </c>
      <c r="AQ75" s="556">
        <v>76.937461300309579</v>
      </c>
      <c r="AR75" s="555">
        <f t="shared" si="45"/>
        <v>4</v>
      </c>
      <c r="AS75" s="648"/>
      <c r="AT75" s="555">
        <v>19</v>
      </c>
      <c r="AU75" s="556">
        <v>1456.16129032258</v>
      </c>
      <c r="AV75" s="556">
        <v>76.640067911714738</v>
      </c>
      <c r="AW75" s="555">
        <f t="shared" si="47"/>
        <v>4</v>
      </c>
      <c r="AX75" s="648"/>
      <c r="AZ75" s="372" t="e">
        <f t="shared" si="49"/>
        <v>#N/A</v>
      </c>
      <c r="BA75" s="648"/>
    </row>
    <row r="76" spans="2:53">
      <c r="B76" s="646"/>
      <c r="C76" s="383">
        <v>10</v>
      </c>
      <c r="D76" s="225" t="s">
        <v>589</v>
      </c>
      <c r="E76" s="539">
        <v>19</v>
      </c>
      <c r="F76" s="535">
        <v>1440</v>
      </c>
      <c r="G76" s="534">
        <v>75.8</v>
      </c>
      <c r="H76" s="682"/>
      <c r="I76" s="385">
        <f t="shared" si="32"/>
        <v>18.142857142857142</v>
      </c>
      <c r="J76" s="385">
        <f t="shared" si="33"/>
        <v>1071.3586889301214</v>
      </c>
      <c r="K76" s="199">
        <f t="shared" si="34"/>
        <v>59.075960102276099</v>
      </c>
      <c r="L76" s="617"/>
      <c r="M76" s="435">
        <f>RANK(K76, K$67:$K$81)</f>
        <v>13</v>
      </c>
      <c r="N76" s="635"/>
      <c r="O76" s="635"/>
      <c r="P76" s="555">
        <v>18</v>
      </c>
      <c r="Q76" s="556">
        <v>1080.0000000000039</v>
      </c>
      <c r="R76" s="556">
        <v>60.000000000000213</v>
      </c>
      <c r="S76" s="555">
        <f t="shared" si="35"/>
        <v>13</v>
      </c>
      <c r="T76" s="648"/>
      <c r="U76" s="555">
        <v>18</v>
      </c>
      <c r="V76" s="556">
        <v>1075.7142857142894</v>
      </c>
      <c r="W76" s="556">
        <v>59.761904761904965</v>
      </c>
      <c r="X76" s="555">
        <f t="shared" si="37"/>
        <v>13</v>
      </c>
      <c r="Y76" s="648"/>
      <c r="Z76" s="555">
        <v>18</v>
      </c>
      <c r="AA76" s="556">
        <v>1072.0000000000039</v>
      </c>
      <c r="AB76" s="556">
        <v>59.55555555555577</v>
      </c>
      <c r="AC76" s="555">
        <f t="shared" si="39"/>
        <v>13</v>
      </c>
      <c r="AD76" s="648"/>
      <c r="AE76" s="555">
        <v>18</v>
      </c>
      <c r="AF76" s="556">
        <v>1006.6666666666704</v>
      </c>
      <c r="AG76" s="556">
        <v>55.92592592592613</v>
      </c>
      <c r="AH76" s="555">
        <f t="shared" si="41"/>
        <v>13</v>
      </c>
      <c r="AI76" s="648"/>
      <c r="AJ76" s="555">
        <v>18</v>
      </c>
      <c r="AK76" s="556">
        <v>1095.0000000000039</v>
      </c>
      <c r="AL76" s="556">
        <v>60.833333333333549</v>
      </c>
      <c r="AM76" s="555">
        <f t="shared" si="43"/>
        <v>12</v>
      </c>
      <c r="AN76" s="648"/>
      <c r="AO76" s="555">
        <v>18</v>
      </c>
      <c r="AP76" s="556">
        <v>1107.2727272727313</v>
      </c>
      <c r="AQ76" s="556">
        <v>61.515151515151743</v>
      </c>
      <c r="AR76" s="555">
        <f t="shared" si="45"/>
        <v>12</v>
      </c>
      <c r="AS76" s="648"/>
      <c r="AT76" s="555">
        <v>19</v>
      </c>
      <c r="AU76" s="556">
        <v>1062.8571428571465</v>
      </c>
      <c r="AV76" s="556">
        <v>55.939849624060344</v>
      </c>
      <c r="AW76" s="555">
        <f t="shared" si="47"/>
        <v>13</v>
      </c>
      <c r="AX76" s="648"/>
      <c r="AZ76" s="372" t="e">
        <f t="shared" si="49"/>
        <v>#N/A</v>
      </c>
      <c r="BA76" s="648"/>
    </row>
    <row r="77" spans="2:53">
      <c r="B77" s="646"/>
      <c r="C77" s="383">
        <v>11</v>
      </c>
      <c r="D77" s="225" t="s">
        <v>596</v>
      </c>
      <c r="E77" s="539">
        <v>17</v>
      </c>
      <c r="F77" s="535">
        <v>1440</v>
      </c>
      <c r="G77" s="534">
        <v>84.7</v>
      </c>
      <c r="H77" s="682"/>
      <c r="I77" s="385">
        <f t="shared" si="32"/>
        <v>17</v>
      </c>
      <c r="J77" s="385">
        <f t="shared" si="33"/>
        <v>1365.7544478003297</v>
      </c>
      <c r="K77" s="199">
        <f t="shared" si="34"/>
        <v>80.338496929431145</v>
      </c>
      <c r="L77" s="617"/>
      <c r="M77" s="435">
        <f>RANK(K77, K$67:$K$81)</f>
        <v>2</v>
      </c>
      <c r="N77" s="635"/>
      <c r="O77" s="635"/>
      <c r="P77" s="555">
        <v>17</v>
      </c>
      <c r="Q77" s="556">
        <v>1364.8818897637791</v>
      </c>
      <c r="R77" s="556">
        <v>80.287169986104658</v>
      </c>
      <c r="S77" s="555">
        <f t="shared" si="35"/>
        <v>2</v>
      </c>
      <c r="T77" s="648"/>
      <c r="U77" s="555">
        <v>17</v>
      </c>
      <c r="V77" s="556">
        <v>1350.7964601769911</v>
      </c>
      <c r="W77" s="556">
        <v>79.458615304528891</v>
      </c>
      <c r="X77" s="555">
        <f t="shared" si="37"/>
        <v>2</v>
      </c>
      <c r="Y77" s="648"/>
      <c r="Z77" s="555">
        <v>17</v>
      </c>
      <c r="AA77" s="556">
        <v>1349.2682926829264</v>
      </c>
      <c r="AB77" s="556">
        <v>79.368723098995673</v>
      </c>
      <c r="AC77" s="555">
        <f t="shared" si="39"/>
        <v>2</v>
      </c>
      <c r="AD77" s="648"/>
      <c r="AE77" s="555">
        <v>17</v>
      </c>
      <c r="AF77" s="556">
        <v>1389.2727272727275</v>
      </c>
      <c r="AG77" s="556">
        <v>81.721925133689851</v>
      </c>
      <c r="AH77" s="555">
        <f t="shared" si="41"/>
        <v>2</v>
      </c>
      <c r="AI77" s="648"/>
      <c r="AJ77" s="555">
        <v>17</v>
      </c>
      <c r="AK77" s="556">
        <v>1369.4117647058824</v>
      </c>
      <c r="AL77" s="556">
        <v>80.553633217993081</v>
      </c>
      <c r="AM77" s="555">
        <f t="shared" si="43"/>
        <v>2</v>
      </c>
      <c r="AN77" s="648"/>
      <c r="AO77" s="555">
        <v>17</v>
      </c>
      <c r="AP77" s="556">
        <v>1355.8500000000001</v>
      </c>
      <c r="AQ77" s="556">
        <v>79.755882352941185</v>
      </c>
      <c r="AR77" s="555">
        <f t="shared" si="45"/>
        <v>2</v>
      </c>
      <c r="AS77" s="648"/>
      <c r="AT77" s="555">
        <v>17</v>
      </c>
      <c r="AU77" s="556">
        <v>1380.8000000000004</v>
      </c>
      <c r="AV77" s="556">
        <v>81.22352941176473</v>
      </c>
      <c r="AW77" s="555">
        <f t="shared" si="47"/>
        <v>2</v>
      </c>
      <c r="AX77" s="648"/>
      <c r="AZ77" s="372" t="e">
        <f t="shared" si="49"/>
        <v>#N/A</v>
      </c>
      <c r="BA77" s="648"/>
    </row>
    <row r="78" spans="2:53">
      <c r="B78" s="646"/>
      <c r="C78" s="383">
        <v>12</v>
      </c>
      <c r="D78" s="225" t="s">
        <v>654</v>
      </c>
      <c r="E78" s="539">
        <v>19</v>
      </c>
      <c r="F78" s="535">
        <v>1440</v>
      </c>
      <c r="G78" s="534">
        <v>75.8</v>
      </c>
      <c r="H78" s="682"/>
      <c r="I78" s="385">
        <f t="shared" si="32"/>
        <v>19</v>
      </c>
      <c r="J78" s="385">
        <f t="shared" si="33"/>
        <v>1305.6405671198845</v>
      </c>
      <c r="K78" s="199">
        <f t="shared" si="34"/>
        <v>68.71792458525708</v>
      </c>
      <c r="L78" s="617"/>
      <c r="M78" s="435">
        <f>RANK(K78, K$67:$K$81)</f>
        <v>10</v>
      </c>
      <c r="N78" s="635"/>
      <c r="O78" s="635"/>
      <c r="P78" s="555">
        <v>19</v>
      </c>
      <c r="Q78" s="556">
        <v>1323.1578947368412</v>
      </c>
      <c r="R78" s="556">
        <v>69.639889196675853</v>
      </c>
      <c r="S78" s="555">
        <f t="shared" si="35"/>
        <v>9</v>
      </c>
      <c r="T78" s="648"/>
      <c r="U78" s="555">
        <v>19</v>
      </c>
      <c r="V78" s="556">
        <v>1312.3076923076917</v>
      </c>
      <c r="W78" s="556">
        <v>69.068825910931139</v>
      </c>
      <c r="X78" s="555">
        <f t="shared" si="37"/>
        <v>8</v>
      </c>
      <c r="Y78" s="648"/>
      <c r="Z78" s="555">
        <v>19</v>
      </c>
      <c r="AA78" s="556">
        <v>1322.9999999999995</v>
      </c>
      <c r="AB78" s="556">
        <v>69.631578947368396</v>
      </c>
      <c r="AC78" s="555">
        <f t="shared" si="39"/>
        <v>9</v>
      </c>
      <c r="AD78" s="648"/>
      <c r="AE78" s="555">
        <v>19</v>
      </c>
      <c r="AF78" s="556">
        <v>1307.5862068965491</v>
      </c>
      <c r="AG78" s="556">
        <v>68.820326678765738</v>
      </c>
      <c r="AH78" s="555">
        <f t="shared" si="41"/>
        <v>10</v>
      </c>
      <c r="AI78" s="648"/>
      <c r="AJ78" s="555">
        <v>19</v>
      </c>
      <c r="AK78" s="556">
        <v>1309.6551724137905</v>
      </c>
      <c r="AL78" s="556">
        <v>68.929219600725816</v>
      </c>
      <c r="AM78" s="555">
        <f t="shared" si="43"/>
        <v>9</v>
      </c>
      <c r="AN78" s="648"/>
      <c r="AO78" s="555">
        <v>19</v>
      </c>
      <c r="AP78" s="556">
        <v>1289.1428571428557</v>
      </c>
      <c r="AQ78" s="556">
        <v>67.849624060150305</v>
      </c>
      <c r="AR78" s="555">
        <f t="shared" si="45"/>
        <v>11</v>
      </c>
      <c r="AS78" s="648"/>
      <c r="AT78" s="555">
        <v>19</v>
      </c>
      <c r="AU78" s="556">
        <v>1274.6341463414628</v>
      </c>
      <c r="AV78" s="556">
        <v>67.086007702182258</v>
      </c>
      <c r="AW78" s="555">
        <f t="shared" si="47"/>
        <v>11</v>
      </c>
      <c r="AX78" s="648"/>
      <c r="AZ78" s="372" t="e">
        <f t="shared" si="49"/>
        <v>#N/A</v>
      </c>
      <c r="BA78" s="648"/>
    </row>
    <row r="79" spans="2:53">
      <c r="B79" s="646"/>
      <c r="C79" s="383">
        <v>13</v>
      </c>
      <c r="D79" s="225" t="s">
        <v>716</v>
      </c>
      <c r="E79" s="539">
        <v>18</v>
      </c>
      <c r="F79" s="535">
        <v>1440</v>
      </c>
      <c r="G79" s="534">
        <v>80</v>
      </c>
      <c r="H79" s="682"/>
      <c r="I79" s="385">
        <f t="shared" si="32"/>
        <v>18</v>
      </c>
      <c r="J79" s="385">
        <f t="shared" si="33"/>
        <v>1294.1335145162368</v>
      </c>
      <c r="K79" s="199">
        <f t="shared" si="34"/>
        <v>71.896306362013163</v>
      </c>
      <c r="L79" s="617"/>
      <c r="M79" s="435">
        <f>RANK(K79, K$67:$K$81)</f>
        <v>6</v>
      </c>
      <c r="N79" s="635"/>
      <c r="O79" s="635"/>
      <c r="P79" s="555">
        <v>18</v>
      </c>
      <c r="Q79" s="556">
        <v>1271.5200000000007</v>
      </c>
      <c r="R79" s="556">
        <v>70.640000000000043</v>
      </c>
      <c r="S79" s="555">
        <f t="shared" si="35"/>
        <v>6</v>
      </c>
      <c r="T79" s="648"/>
      <c r="U79" s="555">
        <v>18</v>
      </c>
      <c r="V79" s="556">
        <v>1268.6486486486485</v>
      </c>
      <c r="W79" s="556">
        <v>70.48048048048048</v>
      </c>
      <c r="X79" s="555">
        <f t="shared" si="37"/>
        <v>7</v>
      </c>
      <c r="Y79" s="648"/>
      <c r="Z79" s="555">
        <v>18</v>
      </c>
      <c r="AA79" s="556">
        <v>1294.2524271844657</v>
      </c>
      <c r="AB79" s="556">
        <v>71.902912621359206</v>
      </c>
      <c r="AC79" s="555">
        <f t="shared" si="39"/>
        <v>7</v>
      </c>
      <c r="AD79" s="648"/>
      <c r="AE79" s="555">
        <v>18</v>
      </c>
      <c r="AF79" s="556">
        <v>1268.2978723404256</v>
      </c>
      <c r="AG79" s="556">
        <v>70.460992907801426</v>
      </c>
      <c r="AH79" s="555">
        <f t="shared" si="41"/>
        <v>8</v>
      </c>
      <c r="AI79" s="648"/>
      <c r="AJ79" s="555">
        <v>18</v>
      </c>
      <c r="AK79" s="556">
        <v>1289.5522388059703</v>
      </c>
      <c r="AL79" s="556">
        <v>71.641791044776127</v>
      </c>
      <c r="AM79" s="555">
        <f t="shared" si="43"/>
        <v>6</v>
      </c>
      <c r="AN79" s="648"/>
      <c r="AO79" s="555">
        <v>18</v>
      </c>
      <c r="AP79" s="556">
        <v>1334.224390243902</v>
      </c>
      <c r="AQ79" s="556">
        <v>74.123577235772331</v>
      </c>
      <c r="AR79" s="555">
        <f t="shared" si="45"/>
        <v>6</v>
      </c>
      <c r="AS79" s="648"/>
      <c r="AT79" s="555">
        <v>18</v>
      </c>
      <c r="AU79" s="556">
        <v>1332.4390243902435</v>
      </c>
      <c r="AV79" s="556">
        <v>74.024390243902417</v>
      </c>
      <c r="AW79" s="555">
        <f t="shared" si="47"/>
        <v>6</v>
      </c>
      <c r="AX79" s="648"/>
      <c r="AZ79" s="372" t="e">
        <f t="shared" si="49"/>
        <v>#N/A</v>
      </c>
      <c r="BA79" s="648"/>
    </row>
    <row r="80" spans="2:53">
      <c r="B80" s="646"/>
      <c r="C80" s="383">
        <v>14</v>
      </c>
      <c r="D80" s="225"/>
      <c r="E80" s="539"/>
      <c r="F80" s="535"/>
      <c r="G80" s="534"/>
      <c r="H80" s="682"/>
      <c r="I80" s="434" t="str">
        <f t="shared" ref="I80:I81" si="51">IFERROR(AVERAGE(P80,U80,Z80,AE80,AJ80,AO80,AT80),"-")</f>
        <v>-</v>
      </c>
      <c r="J80" s="434" t="str">
        <f t="shared" ref="J80:J81" si="52">IFERROR(AVERAGE(Q80,V80,AA80,AF80,AK80,AP80,AU80),"-")</f>
        <v>-</v>
      </c>
      <c r="K80" s="199" t="str">
        <f t="shared" ref="K80:K81" si="53">IFERROR(AVERAGE(R80,W80,AB80,AG80,AL80,AQ80,AV80),"-")</f>
        <v>-</v>
      </c>
      <c r="L80" s="617"/>
      <c r="M80" s="435" t="e">
        <f>RANK(K80, K$67:$K$81)</f>
        <v>#VALUE!</v>
      </c>
      <c r="N80" s="635"/>
      <c r="O80" s="635"/>
      <c r="P80" s="555" t="s">
        <v>592</v>
      </c>
      <c r="Q80" s="556" t="s">
        <v>592</v>
      </c>
      <c r="R80" s="556" t="s">
        <v>592</v>
      </c>
      <c r="S80" s="555" t="e">
        <f t="shared" si="35"/>
        <v>#VALUE!</v>
      </c>
      <c r="T80" s="648"/>
      <c r="U80" s="555" t="s">
        <v>592</v>
      </c>
      <c r="V80" s="556" t="s">
        <v>592</v>
      </c>
      <c r="W80" s="556" t="s">
        <v>592</v>
      </c>
      <c r="X80" s="555" t="e">
        <f t="shared" si="37"/>
        <v>#VALUE!</v>
      </c>
      <c r="Y80" s="648"/>
      <c r="Z80" s="555" t="s">
        <v>592</v>
      </c>
      <c r="AA80" s="556" t="s">
        <v>592</v>
      </c>
      <c r="AB80" s="556" t="s">
        <v>592</v>
      </c>
      <c r="AC80" s="555" t="e">
        <f t="shared" si="39"/>
        <v>#VALUE!</v>
      </c>
      <c r="AD80" s="648"/>
      <c r="AE80" s="555" t="s">
        <v>592</v>
      </c>
      <c r="AF80" s="556" t="s">
        <v>592</v>
      </c>
      <c r="AG80" s="556" t="s">
        <v>592</v>
      </c>
      <c r="AH80" s="555" t="e">
        <f t="shared" si="41"/>
        <v>#VALUE!</v>
      </c>
      <c r="AI80" s="648"/>
      <c r="AJ80" s="555" t="s">
        <v>592</v>
      </c>
      <c r="AK80" s="556" t="s">
        <v>592</v>
      </c>
      <c r="AL80" s="556" t="s">
        <v>592</v>
      </c>
      <c r="AM80" s="555" t="e">
        <f t="shared" si="43"/>
        <v>#VALUE!</v>
      </c>
      <c r="AN80" s="648"/>
      <c r="AO80" s="555" t="s">
        <v>592</v>
      </c>
      <c r="AP80" s="556" t="s">
        <v>592</v>
      </c>
      <c r="AQ80" s="556" t="s">
        <v>592</v>
      </c>
      <c r="AR80" s="555" t="e">
        <f t="shared" si="45"/>
        <v>#VALUE!</v>
      </c>
      <c r="AS80" s="648"/>
      <c r="AT80" s="555" t="s">
        <v>592</v>
      </c>
      <c r="AU80" s="556" t="s">
        <v>592</v>
      </c>
      <c r="AV80" s="556" t="s">
        <v>592</v>
      </c>
      <c r="AW80" s="555" t="e">
        <f t="shared" si="47"/>
        <v>#VALUE!</v>
      </c>
      <c r="AX80" s="648"/>
      <c r="AZ80" s="372" t="e">
        <f t="shared" si="49"/>
        <v>#N/A</v>
      </c>
      <c r="BA80" s="648"/>
    </row>
    <row r="81" spans="2:53">
      <c r="B81" s="646"/>
      <c r="C81" s="383">
        <v>15</v>
      </c>
      <c r="D81" s="225"/>
      <c r="E81" s="539"/>
      <c r="F81" s="535"/>
      <c r="G81" s="534"/>
      <c r="H81" s="683"/>
      <c r="I81" s="434" t="str">
        <f t="shared" si="51"/>
        <v>-</v>
      </c>
      <c r="J81" s="434" t="str">
        <f t="shared" si="52"/>
        <v>-</v>
      </c>
      <c r="K81" s="199" t="str">
        <f t="shared" si="53"/>
        <v>-</v>
      </c>
      <c r="L81" s="618"/>
      <c r="M81" s="435" t="e">
        <f>RANK(K81, K$67:$K$81)</f>
        <v>#VALUE!</v>
      </c>
      <c r="N81" s="635"/>
      <c r="O81" s="635"/>
      <c r="P81" s="555" t="s">
        <v>592</v>
      </c>
      <c r="Q81" s="556" t="s">
        <v>592</v>
      </c>
      <c r="R81" s="556" t="s">
        <v>592</v>
      </c>
      <c r="S81" s="555" t="e">
        <f t="shared" si="35"/>
        <v>#VALUE!</v>
      </c>
      <c r="T81" s="649"/>
      <c r="U81" s="555" t="s">
        <v>592</v>
      </c>
      <c r="V81" s="556" t="s">
        <v>592</v>
      </c>
      <c r="W81" s="556" t="s">
        <v>592</v>
      </c>
      <c r="X81" s="555" t="e">
        <f t="shared" si="37"/>
        <v>#VALUE!</v>
      </c>
      <c r="Y81" s="649"/>
      <c r="Z81" s="555" t="s">
        <v>592</v>
      </c>
      <c r="AA81" s="556" t="s">
        <v>592</v>
      </c>
      <c r="AB81" s="556" t="s">
        <v>592</v>
      </c>
      <c r="AC81" s="555" t="e">
        <f t="shared" si="39"/>
        <v>#VALUE!</v>
      </c>
      <c r="AD81" s="649"/>
      <c r="AE81" s="555" t="s">
        <v>592</v>
      </c>
      <c r="AF81" s="556" t="s">
        <v>592</v>
      </c>
      <c r="AG81" s="556" t="s">
        <v>592</v>
      </c>
      <c r="AH81" s="555" t="e">
        <f t="shared" si="41"/>
        <v>#VALUE!</v>
      </c>
      <c r="AI81" s="649"/>
      <c r="AJ81" s="555" t="s">
        <v>592</v>
      </c>
      <c r="AK81" s="556" t="s">
        <v>592</v>
      </c>
      <c r="AL81" s="556" t="s">
        <v>592</v>
      </c>
      <c r="AM81" s="555" t="e">
        <f t="shared" si="43"/>
        <v>#VALUE!</v>
      </c>
      <c r="AN81" s="649"/>
      <c r="AO81" s="555" t="s">
        <v>592</v>
      </c>
      <c r="AP81" s="556" t="s">
        <v>592</v>
      </c>
      <c r="AQ81" s="556" t="s">
        <v>592</v>
      </c>
      <c r="AR81" s="555" t="e">
        <f t="shared" si="45"/>
        <v>#VALUE!</v>
      </c>
      <c r="AS81" s="649"/>
      <c r="AT81" s="555" t="s">
        <v>592</v>
      </c>
      <c r="AU81" s="556" t="s">
        <v>592</v>
      </c>
      <c r="AV81" s="556" t="s">
        <v>592</v>
      </c>
      <c r="AW81" s="555" t="e">
        <f t="shared" si="47"/>
        <v>#VALUE!</v>
      </c>
      <c r="AX81" s="649"/>
      <c r="AZ81" s="372" t="e">
        <f t="shared" si="49"/>
        <v>#N/A</v>
      </c>
      <c r="BA81" s="649"/>
    </row>
    <row r="82" spans="2:53" ht="15.75">
      <c r="B82" s="650" t="s">
        <v>162</v>
      </c>
      <c r="C82" s="651"/>
      <c r="D82" s="651"/>
      <c r="E82" s="651"/>
      <c r="F82" s="651"/>
      <c r="G82" s="651"/>
      <c r="H82" s="652"/>
      <c r="I82" s="207"/>
      <c r="J82" s="207"/>
      <c r="K82" s="207"/>
      <c r="L82" s="207"/>
      <c r="M82" s="206"/>
      <c r="N82" s="639" t="s">
        <v>156</v>
      </c>
      <c r="O82" s="639" t="s">
        <v>105</v>
      </c>
      <c r="P82" s="645">
        <f>P62+7</f>
        <v>46231</v>
      </c>
      <c r="Q82" s="646"/>
      <c r="R82" s="646"/>
      <c r="S82" s="646"/>
      <c r="T82" s="646"/>
      <c r="U82" s="642">
        <f>P82+1</f>
        <v>46232</v>
      </c>
      <c r="V82" s="643"/>
      <c r="W82" s="643"/>
      <c r="X82" s="643"/>
      <c r="Y82" s="644"/>
      <c r="Z82" s="642">
        <f>U82+1</f>
        <v>46233</v>
      </c>
      <c r="AA82" s="643"/>
      <c r="AB82" s="643"/>
      <c r="AC82" s="643"/>
      <c r="AD82" s="644"/>
      <c r="AE82" s="642">
        <f>Z82+1</f>
        <v>46234</v>
      </c>
      <c r="AF82" s="643"/>
      <c r="AG82" s="643"/>
      <c r="AH82" s="643"/>
      <c r="AI82" s="644"/>
      <c r="AJ82" s="642">
        <f>AE82+1</f>
        <v>46235</v>
      </c>
      <c r="AK82" s="643"/>
      <c r="AL82" s="643"/>
      <c r="AM82" s="643"/>
      <c r="AN82" s="644"/>
      <c r="AO82" s="642">
        <f>AJ82+1</f>
        <v>46236</v>
      </c>
      <c r="AP82" s="643"/>
      <c r="AQ82" s="643"/>
      <c r="AR82" s="643"/>
      <c r="AS82" s="644"/>
      <c r="AT82" s="642">
        <f>AO82+1</f>
        <v>46237</v>
      </c>
      <c r="AU82" s="643"/>
      <c r="AV82" s="643"/>
      <c r="AW82" s="643"/>
      <c r="AX82" s="644"/>
    </row>
    <row r="83" spans="2:53" ht="15.75">
      <c r="B83" s="653"/>
      <c r="C83" s="653"/>
      <c r="D83" s="653"/>
      <c r="E83" s="653"/>
      <c r="F83" s="653"/>
      <c r="G83" s="653"/>
      <c r="H83" s="653"/>
      <c r="I83" s="204"/>
      <c r="J83" s="204"/>
      <c r="K83" s="204"/>
      <c r="L83" s="204"/>
      <c r="M83" s="205"/>
      <c r="N83" s="641"/>
      <c r="O83" s="641"/>
      <c r="P83" s="645" t="s">
        <v>317</v>
      </c>
      <c r="Q83" s="646"/>
      <c r="R83" s="646"/>
      <c r="S83" s="646"/>
      <c r="T83" s="646"/>
      <c r="U83" s="645" t="s">
        <v>318</v>
      </c>
      <c r="V83" s="646"/>
      <c r="W83" s="646"/>
      <c r="X83" s="646"/>
      <c r="Y83" s="646"/>
      <c r="Z83" s="645" t="s">
        <v>319</v>
      </c>
      <c r="AA83" s="646"/>
      <c r="AB83" s="646"/>
      <c r="AC83" s="646"/>
      <c r="AD83" s="646"/>
      <c r="AE83" s="645" t="s">
        <v>320</v>
      </c>
      <c r="AF83" s="646"/>
      <c r="AG83" s="646"/>
      <c r="AH83" s="646"/>
      <c r="AI83" s="646"/>
      <c r="AJ83" s="645" t="s">
        <v>321</v>
      </c>
      <c r="AK83" s="646"/>
      <c r="AL83" s="646"/>
      <c r="AM83" s="646"/>
      <c r="AN83" s="646"/>
      <c r="AO83" s="645" t="s">
        <v>322</v>
      </c>
      <c r="AP83" s="646"/>
      <c r="AQ83" s="646"/>
      <c r="AR83" s="646"/>
      <c r="AS83" s="646"/>
      <c r="AT83" s="645" t="s">
        <v>323</v>
      </c>
      <c r="AU83" s="646"/>
      <c r="AV83" s="646"/>
      <c r="AW83" s="646"/>
      <c r="AX83" s="646"/>
    </row>
    <row r="84" spans="2:53">
      <c r="B84" s="635" t="s">
        <v>392</v>
      </c>
      <c r="C84" s="635" t="s">
        <v>382</v>
      </c>
      <c r="D84" s="635"/>
      <c r="E84" s="635" t="s">
        <v>373</v>
      </c>
      <c r="F84" s="635"/>
      <c r="G84" s="635"/>
      <c r="H84" s="636" t="s">
        <v>369</v>
      </c>
      <c r="I84" s="619" t="s">
        <v>374</v>
      </c>
      <c r="J84" s="619"/>
      <c r="K84" s="619"/>
      <c r="L84" s="620" t="s">
        <v>369</v>
      </c>
      <c r="M84" s="626" t="s">
        <v>370</v>
      </c>
      <c r="N84" s="635"/>
      <c r="O84" s="635" t="s">
        <v>375</v>
      </c>
      <c r="P84" s="632" t="s">
        <v>371</v>
      </c>
      <c r="Q84" s="633"/>
      <c r="R84" s="633"/>
      <c r="S84" s="634"/>
      <c r="T84" s="635" t="s">
        <v>369</v>
      </c>
      <c r="U84" s="632" t="s">
        <v>371</v>
      </c>
      <c r="V84" s="633"/>
      <c r="W84" s="633"/>
      <c r="X84" s="634"/>
      <c r="Y84" s="635" t="s">
        <v>369</v>
      </c>
      <c r="Z84" s="632" t="s">
        <v>371</v>
      </c>
      <c r="AA84" s="633"/>
      <c r="AB84" s="633"/>
      <c r="AC84" s="634"/>
      <c r="AD84" s="635" t="s">
        <v>369</v>
      </c>
      <c r="AE84" s="632" t="s">
        <v>371</v>
      </c>
      <c r="AF84" s="633"/>
      <c r="AG84" s="633"/>
      <c r="AH84" s="634"/>
      <c r="AI84" s="635" t="s">
        <v>369</v>
      </c>
      <c r="AJ84" s="632" t="s">
        <v>371</v>
      </c>
      <c r="AK84" s="633"/>
      <c r="AL84" s="633"/>
      <c r="AM84" s="634"/>
      <c r="AN84" s="635" t="s">
        <v>369</v>
      </c>
      <c r="AO84" s="632" t="s">
        <v>371</v>
      </c>
      <c r="AP84" s="633"/>
      <c r="AQ84" s="633"/>
      <c r="AR84" s="634"/>
      <c r="AS84" s="635" t="s">
        <v>369</v>
      </c>
      <c r="AT84" s="632" t="s">
        <v>371</v>
      </c>
      <c r="AU84" s="633"/>
      <c r="AV84" s="633"/>
      <c r="AW84" s="634"/>
      <c r="AX84" s="635" t="s">
        <v>369</v>
      </c>
      <c r="BA84" s="635" t="s">
        <v>369</v>
      </c>
    </row>
    <row r="85" spans="2:53">
      <c r="B85" s="635"/>
      <c r="C85" s="635"/>
      <c r="D85" s="635"/>
      <c r="E85" s="635" t="s">
        <v>376</v>
      </c>
      <c r="F85" s="635"/>
      <c r="G85" s="635"/>
      <c r="H85" s="637"/>
      <c r="I85" s="619" t="s">
        <v>376</v>
      </c>
      <c r="J85" s="619"/>
      <c r="K85" s="619"/>
      <c r="L85" s="621"/>
      <c r="M85" s="627"/>
      <c r="N85" s="635"/>
      <c r="O85" s="635"/>
      <c r="P85" s="632" t="s">
        <v>377</v>
      </c>
      <c r="Q85" s="633"/>
      <c r="R85" s="633"/>
      <c r="S85" s="634"/>
      <c r="T85" s="635"/>
      <c r="U85" s="632" t="s">
        <v>377</v>
      </c>
      <c r="V85" s="633"/>
      <c r="W85" s="633"/>
      <c r="X85" s="634"/>
      <c r="Y85" s="635"/>
      <c r="Z85" s="632" t="s">
        <v>377</v>
      </c>
      <c r="AA85" s="633"/>
      <c r="AB85" s="633"/>
      <c r="AC85" s="634"/>
      <c r="AD85" s="635"/>
      <c r="AE85" s="632" t="s">
        <v>377</v>
      </c>
      <c r="AF85" s="633"/>
      <c r="AG85" s="633"/>
      <c r="AH85" s="634"/>
      <c r="AI85" s="635"/>
      <c r="AJ85" s="632" t="s">
        <v>377</v>
      </c>
      <c r="AK85" s="633"/>
      <c r="AL85" s="633"/>
      <c r="AM85" s="634"/>
      <c r="AN85" s="635"/>
      <c r="AO85" s="632" t="s">
        <v>377</v>
      </c>
      <c r="AP85" s="633"/>
      <c r="AQ85" s="633"/>
      <c r="AR85" s="634"/>
      <c r="AS85" s="635"/>
      <c r="AT85" s="632" t="s">
        <v>377</v>
      </c>
      <c r="AU85" s="633"/>
      <c r="AV85" s="633"/>
      <c r="AW85" s="634"/>
      <c r="AX85" s="635"/>
      <c r="BA85" s="635"/>
    </row>
    <row r="86" spans="2:53">
      <c r="B86" s="635"/>
      <c r="C86" s="635"/>
      <c r="D86" s="635"/>
      <c r="E86" s="382" t="s">
        <v>378</v>
      </c>
      <c r="F86" s="382" t="s">
        <v>379</v>
      </c>
      <c r="G86" s="382" t="s">
        <v>380</v>
      </c>
      <c r="H86" s="638"/>
      <c r="I86" s="381" t="s">
        <v>378</v>
      </c>
      <c r="J86" s="381" t="s">
        <v>379</v>
      </c>
      <c r="K86" s="381" t="s">
        <v>380</v>
      </c>
      <c r="L86" s="622"/>
      <c r="M86" s="628"/>
      <c r="N86" s="635"/>
      <c r="O86" s="635"/>
      <c r="P86" s="382" t="s">
        <v>378</v>
      </c>
      <c r="Q86" s="382" t="s">
        <v>379</v>
      </c>
      <c r="R86" s="382" t="s">
        <v>380</v>
      </c>
      <c r="S86" s="382" t="s">
        <v>370</v>
      </c>
      <c r="T86" s="635"/>
      <c r="U86" s="382" t="s">
        <v>378</v>
      </c>
      <c r="V86" s="382" t="s">
        <v>379</v>
      </c>
      <c r="W86" s="382" t="s">
        <v>380</v>
      </c>
      <c r="X86" s="382" t="s">
        <v>370</v>
      </c>
      <c r="Y86" s="635"/>
      <c r="Z86" s="382" t="s">
        <v>378</v>
      </c>
      <c r="AA86" s="382" t="s">
        <v>379</v>
      </c>
      <c r="AB86" s="382" t="s">
        <v>380</v>
      </c>
      <c r="AC86" s="382" t="s">
        <v>370</v>
      </c>
      <c r="AD86" s="635"/>
      <c r="AE86" s="382" t="s">
        <v>378</v>
      </c>
      <c r="AF86" s="382" t="s">
        <v>379</v>
      </c>
      <c r="AG86" s="382" t="s">
        <v>380</v>
      </c>
      <c r="AH86" s="382" t="s">
        <v>370</v>
      </c>
      <c r="AI86" s="635"/>
      <c r="AJ86" s="382" t="s">
        <v>378</v>
      </c>
      <c r="AK86" s="382" t="s">
        <v>379</v>
      </c>
      <c r="AL86" s="382" t="s">
        <v>380</v>
      </c>
      <c r="AM86" s="382" t="s">
        <v>370</v>
      </c>
      <c r="AN86" s="635"/>
      <c r="AO86" s="382" t="s">
        <v>378</v>
      </c>
      <c r="AP86" s="382" t="s">
        <v>379</v>
      </c>
      <c r="AQ86" s="382" t="s">
        <v>380</v>
      </c>
      <c r="AR86" s="382" t="s">
        <v>370</v>
      </c>
      <c r="AS86" s="635"/>
      <c r="AT86" s="382" t="s">
        <v>378</v>
      </c>
      <c r="AU86" s="382" t="s">
        <v>379</v>
      </c>
      <c r="AV86" s="382" t="s">
        <v>380</v>
      </c>
      <c r="AW86" s="382" t="s">
        <v>370</v>
      </c>
      <c r="AX86" s="635"/>
      <c r="AZ86" s="371" t="s">
        <v>370</v>
      </c>
      <c r="BA86" s="635"/>
    </row>
    <row r="87" spans="2:53">
      <c r="B87" s="635" t="s">
        <v>408</v>
      </c>
      <c r="C87" s="383">
        <v>1</v>
      </c>
      <c r="D87" s="225"/>
      <c r="E87" s="539"/>
      <c r="F87" s="535"/>
      <c r="G87" s="534"/>
      <c r="H87" s="681" t="e">
        <f>AVERAGE(G87:G101)</f>
        <v>#DIV/0!</v>
      </c>
      <c r="I87" s="385" t="str">
        <f t="shared" ref="I87:I100" si="54">IFERROR(AVERAGE(P87,U87,Z87,AE87,AJ87,AO87,AT87),"-")</f>
        <v>-</v>
      </c>
      <c r="J87" s="385" t="str">
        <f t="shared" ref="J87:J100" si="55">IFERROR(AVERAGE(Q87,V87,AA87,AF87,AK87,AP87,AU87),"-")</f>
        <v>-</v>
      </c>
      <c r="K87" s="199" t="str">
        <f t="shared" ref="K87:K100" si="56">IFERROR(AVERAGE(R87,W87,AB87,AG87,AL87,AQ87,AV87),"-")</f>
        <v>-</v>
      </c>
      <c r="L87" s="616" t="str">
        <f>IFERROR(AVERAGE(K87:K101),"-")</f>
        <v>-</v>
      </c>
      <c r="M87" s="387" t="e">
        <f>RANK(K87, K$87:$K$101)</f>
        <v>#VALUE!</v>
      </c>
      <c r="N87" s="635"/>
      <c r="O87" s="635"/>
      <c r="P87" s="484"/>
      <c r="Q87" s="487"/>
      <c r="R87" s="487"/>
      <c r="S87" s="484"/>
      <c r="T87" s="659"/>
      <c r="U87" s="484"/>
      <c r="V87" s="487"/>
      <c r="W87" s="487"/>
      <c r="X87" s="484"/>
      <c r="Y87" s="659"/>
      <c r="Z87" s="484"/>
      <c r="AA87" s="487"/>
      <c r="AB87" s="487"/>
      <c r="AC87" s="484"/>
      <c r="AD87" s="659"/>
      <c r="AE87" s="484"/>
      <c r="AF87" s="487"/>
      <c r="AG87" s="487"/>
      <c r="AH87" s="484"/>
      <c r="AI87" s="659"/>
      <c r="AJ87" s="484"/>
      <c r="AK87" s="487"/>
      <c r="AL87" s="487"/>
      <c r="AM87" s="484"/>
      <c r="AN87" s="659"/>
      <c r="AO87" s="484"/>
      <c r="AP87" s="487"/>
      <c r="AQ87" s="487"/>
      <c r="AR87" s="484"/>
      <c r="AS87" s="659"/>
      <c r="AT87" s="484"/>
      <c r="AU87" s="487"/>
      <c r="AV87" s="487"/>
      <c r="AW87" s="484"/>
      <c r="AX87" s="659"/>
      <c r="AZ87" s="372" t="e">
        <f t="shared" ref="AZ87:AZ101" si="57">RANK(AY87, AY$87:AY$101)</f>
        <v>#N/A</v>
      </c>
      <c r="BA87" s="659" t="e">
        <f t="shared" ref="BA87" si="58">AVERAGE(AY87:AY101)</f>
        <v>#DIV/0!</v>
      </c>
    </row>
    <row r="88" spans="2:53">
      <c r="B88" s="646"/>
      <c r="C88" s="383">
        <v>2</v>
      </c>
      <c r="D88" s="225"/>
      <c r="E88" s="539"/>
      <c r="F88" s="535"/>
      <c r="G88" s="534"/>
      <c r="H88" s="682"/>
      <c r="I88" s="385" t="str">
        <f t="shared" si="54"/>
        <v>-</v>
      </c>
      <c r="J88" s="385" t="str">
        <f t="shared" si="55"/>
        <v>-</v>
      </c>
      <c r="K88" s="199" t="str">
        <f t="shared" si="56"/>
        <v>-</v>
      </c>
      <c r="L88" s="617"/>
      <c r="M88" s="486" t="e">
        <f>RANK(K88, K$87:$K$101)</f>
        <v>#VALUE!</v>
      </c>
      <c r="N88" s="635"/>
      <c r="O88" s="635"/>
      <c r="P88" s="484"/>
      <c r="Q88" s="487"/>
      <c r="R88" s="487"/>
      <c r="S88" s="484"/>
      <c r="T88" s="659"/>
      <c r="U88" s="484"/>
      <c r="V88" s="487"/>
      <c r="W88" s="487"/>
      <c r="X88" s="484"/>
      <c r="Y88" s="659"/>
      <c r="Z88" s="484"/>
      <c r="AA88" s="487"/>
      <c r="AB88" s="487"/>
      <c r="AC88" s="484"/>
      <c r="AD88" s="659"/>
      <c r="AE88" s="484"/>
      <c r="AF88" s="487"/>
      <c r="AG88" s="487"/>
      <c r="AH88" s="484"/>
      <c r="AI88" s="659"/>
      <c r="AJ88" s="484"/>
      <c r="AK88" s="487"/>
      <c r="AL88" s="487"/>
      <c r="AM88" s="484"/>
      <c r="AN88" s="659"/>
      <c r="AO88" s="484"/>
      <c r="AP88" s="487"/>
      <c r="AQ88" s="487"/>
      <c r="AR88" s="484"/>
      <c r="AS88" s="659"/>
      <c r="AT88" s="484"/>
      <c r="AU88" s="487"/>
      <c r="AV88" s="487"/>
      <c r="AW88" s="484"/>
      <c r="AX88" s="659"/>
      <c r="AZ88" s="372" t="e">
        <f t="shared" si="57"/>
        <v>#N/A</v>
      </c>
      <c r="BA88" s="659"/>
    </row>
    <row r="89" spans="2:53">
      <c r="B89" s="646"/>
      <c r="C89" s="383">
        <v>3</v>
      </c>
      <c r="D89" s="225"/>
      <c r="E89" s="539"/>
      <c r="F89" s="535"/>
      <c r="G89" s="534"/>
      <c r="H89" s="682"/>
      <c r="I89" s="385" t="str">
        <f t="shared" si="54"/>
        <v>-</v>
      </c>
      <c r="J89" s="385" t="str">
        <f t="shared" si="55"/>
        <v>-</v>
      </c>
      <c r="K89" s="199" t="str">
        <f t="shared" si="56"/>
        <v>-</v>
      </c>
      <c r="L89" s="617"/>
      <c r="M89" s="486" t="e">
        <f>RANK(K89, K$87:$K$101)</f>
        <v>#VALUE!</v>
      </c>
      <c r="N89" s="635"/>
      <c r="O89" s="635"/>
      <c r="P89" s="484"/>
      <c r="Q89" s="487"/>
      <c r="R89" s="487"/>
      <c r="S89" s="484"/>
      <c r="T89" s="659"/>
      <c r="U89" s="484"/>
      <c r="V89" s="487"/>
      <c r="W89" s="487"/>
      <c r="X89" s="484"/>
      <c r="Y89" s="659"/>
      <c r="Z89" s="484"/>
      <c r="AA89" s="487"/>
      <c r="AB89" s="487"/>
      <c r="AC89" s="484"/>
      <c r="AD89" s="659"/>
      <c r="AE89" s="484"/>
      <c r="AF89" s="487"/>
      <c r="AG89" s="487"/>
      <c r="AH89" s="484"/>
      <c r="AI89" s="659"/>
      <c r="AJ89" s="484"/>
      <c r="AK89" s="487"/>
      <c r="AL89" s="487"/>
      <c r="AM89" s="484"/>
      <c r="AN89" s="659"/>
      <c r="AO89" s="484"/>
      <c r="AP89" s="487"/>
      <c r="AQ89" s="487"/>
      <c r="AR89" s="484"/>
      <c r="AS89" s="659"/>
      <c r="AT89" s="484"/>
      <c r="AU89" s="487"/>
      <c r="AV89" s="487"/>
      <c r="AW89" s="484"/>
      <c r="AX89" s="659"/>
      <c r="AZ89" s="372" t="e">
        <f t="shared" si="57"/>
        <v>#N/A</v>
      </c>
      <c r="BA89" s="659"/>
    </row>
    <row r="90" spans="2:53">
      <c r="B90" s="646"/>
      <c r="C90" s="383">
        <v>4</v>
      </c>
      <c r="D90" s="225"/>
      <c r="E90" s="539"/>
      <c r="F90" s="535"/>
      <c r="G90" s="534"/>
      <c r="H90" s="682"/>
      <c r="I90" s="385" t="str">
        <f t="shared" si="54"/>
        <v>-</v>
      </c>
      <c r="J90" s="385" t="str">
        <f t="shared" si="55"/>
        <v>-</v>
      </c>
      <c r="K90" s="199" t="str">
        <f t="shared" si="56"/>
        <v>-</v>
      </c>
      <c r="L90" s="617"/>
      <c r="M90" s="486" t="e">
        <f>RANK(K90, K$87:$K$101)</f>
        <v>#VALUE!</v>
      </c>
      <c r="N90" s="635"/>
      <c r="O90" s="635"/>
      <c r="P90" s="484"/>
      <c r="Q90" s="487"/>
      <c r="R90" s="487"/>
      <c r="S90" s="484"/>
      <c r="T90" s="659"/>
      <c r="U90" s="484"/>
      <c r="V90" s="487"/>
      <c r="W90" s="487"/>
      <c r="X90" s="484"/>
      <c r="Y90" s="659"/>
      <c r="Z90" s="484"/>
      <c r="AA90" s="487"/>
      <c r="AB90" s="487"/>
      <c r="AC90" s="484"/>
      <c r="AD90" s="659"/>
      <c r="AE90" s="484"/>
      <c r="AF90" s="487"/>
      <c r="AG90" s="487"/>
      <c r="AH90" s="484"/>
      <c r="AI90" s="659"/>
      <c r="AJ90" s="484"/>
      <c r="AK90" s="487"/>
      <c r="AL90" s="487"/>
      <c r="AM90" s="484"/>
      <c r="AN90" s="659"/>
      <c r="AO90" s="484"/>
      <c r="AP90" s="487"/>
      <c r="AQ90" s="487"/>
      <c r="AR90" s="484"/>
      <c r="AS90" s="659"/>
      <c r="AT90" s="484"/>
      <c r="AU90" s="487"/>
      <c r="AV90" s="487"/>
      <c r="AW90" s="484"/>
      <c r="AX90" s="659"/>
      <c r="AZ90" s="372" t="e">
        <f t="shared" si="57"/>
        <v>#N/A</v>
      </c>
      <c r="BA90" s="659"/>
    </row>
    <row r="91" spans="2:53">
      <c r="B91" s="646"/>
      <c r="C91" s="383">
        <v>5</v>
      </c>
      <c r="D91" s="225"/>
      <c r="E91" s="539"/>
      <c r="F91" s="535"/>
      <c r="G91" s="534"/>
      <c r="H91" s="682"/>
      <c r="I91" s="385" t="str">
        <f t="shared" si="54"/>
        <v>-</v>
      </c>
      <c r="J91" s="385" t="str">
        <f t="shared" si="55"/>
        <v>-</v>
      </c>
      <c r="K91" s="199" t="str">
        <f t="shared" si="56"/>
        <v>-</v>
      </c>
      <c r="L91" s="617"/>
      <c r="M91" s="486" t="e">
        <f>RANK(K91, K$87:$K$101)</f>
        <v>#VALUE!</v>
      </c>
      <c r="N91" s="635"/>
      <c r="O91" s="635"/>
      <c r="P91" s="484"/>
      <c r="Q91" s="487"/>
      <c r="R91" s="487"/>
      <c r="S91" s="484"/>
      <c r="T91" s="659"/>
      <c r="U91" s="484"/>
      <c r="V91" s="487"/>
      <c r="W91" s="487"/>
      <c r="X91" s="484"/>
      <c r="Y91" s="659"/>
      <c r="Z91" s="484"/>
      <c r="AA91" s="487"/>
      <c r="AB91" s="487"/>
      <c r="AC91" s="484"/>
      <c r="AD91" s="659"/>
      <c r="AE91" s="484"/>
      <c r="AF91" s="487"/>
      <c r="AG91" s="487"/>
      <c r="AH91" s="484"/>
      <c r="AI91" s="659"/>
      <c r="AJ91" s="484"/>
      <c r="AK91" s="487"/>
      <c r="AL91" s="487"/>
      <c r="AM91" s="484"/>
      <c r="AN91" s="659"/>
      <c r="AO91" s="484"/>
      <c r="AP91" s="487"/>
      <c r="AQ91" s="487"/>
      <c r="AR91" s="484"/>
      <c r="AS91" s="659"/>
      <c r="AT91" s="484"/>
      <c r="AU91" s="487"/>
      <c r="AV91" s="487"/>
      <c r="AW91" s="484"/>
      <c r="AX91" s="659"/>
      <c r="AZ91" s="372" t="e">
        <f t="shared" si="57"/>
        <v>#N/A</v>
      </c>
      <c r="BA91" s="659"/>
    </row>
    <row r="92" spans="2:53">
      <c r="B92" s="646"/>
      <c r="C92" s="383">
        <v>6</v>
      </c>
      <c r="D92" s="225"/>
      <c r="E92" s="539"/>
      <c r="F92" s="535"/>
      <c r="G92" s="534"/>
      <c r="H92" s="682"/>
      <c r="I92" s="385" t="str">
        <f t="shared" si="54"/>
        <v>-</v>
      </c>
      <c r="J92" s="385" t="str">
        <f t="shared" si="55"/>
        <v>-</v>
      </c>
      <c r="K92" s="199" t="str">
        <f t="shared" si="56"/>
        <v>-</v>
      </c>
      <c r="L92" s="617"/>
      <c r="M92" s="486" t="e">
        <f>RANK(K92, K$87:$K$101)</f>
        <v>#VALUE!</v>
      </c>
      <c r="N92" s="635"/>
      <c r="O92" s="635"/>
      <c r="P92" s="484"/>
      <c r="Q92" s="487"/>
      <c r="R92" s="487"/>
      <c r="S92" s="484"/>
      <c r="T92" s="659"/>
      <c r="U92" s="484"/>
      <c r="V92" s="487"/>
      <c r="W92" s="487"/>
      <c r="X92" s="484"/>
      <c r="Y92" s="659"/>
      <c r="Z92" s="484"/>
      <c r="AA92" s="487"/>
      <c r="AB92" s="487"/>
      <c r="AC92" s="484"/>
      <c r="AD92" s="659"/>
      <c r="AE92" s="484"/>
      <c r="AF92" s="487"/>
      <c r="AG92" s="487"/>
      <c r="AH92" s="484"/>
      <c r="AI92" s="659"/>
      <c r="AJ92" s="484"/>
      <c r="AK92" s="487"/>
      <c r="AL92" s="487"/>
      <c r="AM92" s="484"/>
      <c r="AN92" s="659"/>
      <c r="AO92" s="484"/>
      <c r="AP92" s="487"/>
      <c r="AQ92" s="487"/>
      <c r="AR92" s="484"/>
      <c r="AS92" s="659"/>
      <c r="AT92" s="484"/>
      <c r="AU92" s="487"/>
      <c r="AV92" s="487"/>
      <c r="AW92" s="484"/>
      <c r="AX92" s="659"/>
      <c r="AZ92" s="372" t="e">
        <f t="shared" si="57"/>
        <v>#N/A</v>
      </c>
      <c r="BA92" s="659"/>
    </row>
    <row r="93" spans="2:53">
      <c r="B93" s="646"/>
      <c r="C93" s="383">
        <v>7</v>
      </c>
      <c r="D93" s="225"/>
      <c r="E93" s="539"/>
      <c r="F93" s="535"/>
      <c r="G93" s="534"/>
      <c r="H93" s="682"/>
      <c r="I93" s="385" t="str">
        <f t="shared" si="54"/>
        <v>-</v>
      </c>
      <c r="J93" s="385" t="str">
        <f t="shared" si="55"/>
        <v>-</v>
      </c>
      <c r="K93" s="199" t="str">
        <f t="shared" si="56"/>
        <v>-</v>
      </c>
      <c r="L93" s="617"/>
      <c r="M93" s="486" t="e">
        <f>RANK(K93, K$87:$K$101)</f>
        <v>#VALUE!</v>
      </c>
      <c r="N93" s="635"/>
      <c r="O93" s="635"/>
      <c r="P93" s="484"/>
      <c r="Q93" s="487"/>
      <c r="R93" s="487"/>
      <c r="S93" s="484"/>
      <c r="T93" s="659"/>
      <c r="U93" s="484"/>
      <c r="V93" s="487"/>
      <c r="W93" s="487"/>
      <c r="X93" s="484"/>
      <c r="Y93" s="659"/>
      <c r="Z93" s="484"/>
      <c r="AA93" s="487"/>
      <c r="AB93" s="487"/>
      <c r="AC93" s="484"/>
      <c r="AD93" s="659"/>
      <c r="AE93" s="484"/>
      <c r="AF93" s="487"/>
      <c r="AG93" s="487"/>
      <c r="AH93" s="484"/>
      <c r="AI93" s="659"/>
      <c r="AJ93" s="484"/>
      <c r="AK93" s="487"/>
      <c r="AL93" s="487"/>
      <c r="AM93" s="484"/>
      <c r="AN93" s="659"/>
      <c r="AO93" s="484"/>
      <c r="AP93" s="487"/>
      <c r="AQ93" s="487"/>
      <c r="AR93" s="484"/>
      <c r="AS93" s="659"/>
      <c r="AT93" s="484"/>
      <c r="AU93" s="487"/>
      <c r="AV93" s="487"/>
      <c r="AW93" s="484"/>
      <c r="AX93" s="659"/>
      <c r="AZ93" s="372" t="e">
        <f t="shared" si="57"/>
        <v>#N/A</v>
      </c>
      <c r="BA93" s="659"/>
    </row>
    <row r="94" spans="2:53">
      <c r="B94" s="646"/>
      <c r="C94" s="383">
        <v>8</v>
      </c>
      <c r="D94" s="225"/>
      <c r="E94" s="539"/>
      <c r="F94" s="535"/>
      <c r="G94" s="534"/>
      <c r="H94" s="682"/>
      <c r="I94" s="385" t="str">
        <f t="shared" si="54"/>
        <v>-</v>
      </c>
      <c r="J94" s="385" t="str">
        <f t="shared" si="55"/>
        <v>-</v>
      </c>
      <c r="K94" s="199" t="str">
        <f t="shared" si="56"/>
        <v>-</v>
      </c>
      <c r="L94" s="617"/>
      <c r="M94" s="486" t="e">
        <f>RANK(K94, K$87:$K$101)</f>
        <v>#VALUE!</v>
      </c>
      <c r="N94" s="635"/>
      <c r="O94" s="635"/>
      <c r="P94" s="484"/>
      <c r="Q94" s="487"/>
      <c r="R94" s="487"/>
      <c r="S94" s="484"/>
      <c r="T94" s="659"/>
      <c r="U94" s="484"/>
      <c r="V94" s="487"/>
      <c r="W94" s="487"/>
      <c r="X94" s="484"/>
      <c r="Y94" s="659"/>
      <c r="Z94" s="484"/>
      <c r="AA94" s="487"/>
      <c r="AB94" s="487"/>
      <c r="AC94" s="484"/>
      <c r="AD94" s="659"/>
      <c r="AE94" s="484"/>
      <c r="AF94" s="487"/>
      <c r="AG94" s="487"/>
      <c r="AH94" s="484"/>
      <c r="AI94" s="659"/>
      <c r="AJ94" s="484"/>
      <c r="AK94" s="487"/>
      <c r="AL94" s="487"/>
      <c r="AM94" s="484"/>
      <c r="AN94" s="659"/>
      <c r="AO94" s="484"/>
      <c r="AP94" s="487"/>
      <c r="AQ94" s="487"/>
      <c r="AR94" s="484"/>
      <c r="AS94" s="659"/>
      <c r="AT94" s="484"/>
      <c r="AU94" s="487"/>
      <c r="AV94" s="487"/>
      <c r="AW94" s="484"/>
      <c r="AX94" s="659"/>
      <c r="AZ94" s="372" t="e">
        <f t="shared" si="57"/>
        <v>#N/A</v>
      </c>
      <c r="BA94" s="659"/>
    </row>
    <row r="95" spans="2:53">
      <c r="B95" s="646"/>
      <c r="C95" s="383">
        <v>9</v>
      </c>
      <c r="D95" s="225"/>
      <c r="E95" s="539"/>
      <c r="F95" s="535"/>
      <c r="G95" s="534"/>
      <c r="H95" s="682"/>
      <c r="I95" s="385" t="str">
        <f t="shared" si="54"/>
        <v>-</v>
      </c>
      <c r="J95" s="385" t="str">
        <f t="shared" si="55"/>
        <v>-</v>
      </c>
      <c r="K95" s="199" t="str">
        <f t="shared" si="56"/>
        <v>-</v>
      </c>
      <c r="L95" s="617"/>
      <c r="M95" s="486" t="e">
        <f>RANK(K95, K$87:$K$101)</f>
        <v>#VALUE!</v>
      </c>
      <c r="N95" s="635"/>
      <c r="O95" s="635"/>
      <c r="P95" s="484"/>
      <c r="Q95" s="487"/>
      <c r="R95" s="487"/>
      <c r="S95" s="484"/>
      <c r="T95" s="659"/>
      <c r="U95" s="484"/>
      <c r="V95" s="487"/>
      <c r="W95" s="487"/>
      <c r="X95" s="484"/>
      <c r="Y95" s="659"/>
      <c r="Z95" s="484"/>
      <c r="AA95" s="487"/>
      <c r="AB95" s="487"/>
      <c r="AC95" s="484"/>
      <c r="AD95" s="659"/>
      <c r="AE95" s="484"/>
      <c r="AF95" s="487"/>
      <c r="AG95" s="487"/>
      <c r="AH95" s="484"/>
      <c r="AI95" s="659"/>
      <c r="AJ95" s="484"/>
      <c r="AK95" s="487"/>
      <c r="AL95" s="487"/>
      <c r="AM95" s="484"/>
      <c r="AN95" s="659"/>
      <c r="AO95" s="484"/>
      <c r="AP95" s="487"/>
      <c r="AQ95" s="487"/>
      <c r="AR95" s="484"/>
      <c r="AS95" s="659"/>
      <c r="AT95" s="484"/>
      <c r="AU95" s="487"/>
      <c r="AV95" s="487"/>
      <c r="AW95" s="484"/>
      <c r="AX95" s="659"/>
      <c r="AZ95" s="372" t="e">
        <f t="shared" si="57"/>
        <v>#N/A</v>
      </c>
      <c r="BA95" s="659"/>
    </row>
    <row r="96" spans="2:53">
      <c r="B96" s="646"/>
      <c r="C96" s="383">
        <v>10</v>
      </c>
      <c r="D96" s="225"/>
      <c r="E96" s="539"/>
      <c r="F96" s="535"/>
      <c r="G96" s="534"/>
      <c r="H96" s="682"/>
      <c r="I96" s="385" t="str">
        <f t="shared" si="54"/>
        <v>-</v>
      </c>
      <c r="J96" s="385" t="str">
        <f t="shared" si="55"/>
        <v>-</v>
      </c>
      <c r="K96" s="199" t="str">
        <f t="shared" si="56"/>
        <v>-</v>
      </c>
      <c r="L96" s="617"/>
      <c r="M96" s="486" t="e">
        <f>RANK(K96, K$87:$K$101)</f>
        <v>#VALUE!</v>
      </c>
      <c r="N96" s="635"/>
      <c r="O96" s="635"/>
      <c r="P96" s="484"/>
      <c r="Q96" s="487"/>
      <c r="R96" s="487"/>
      <c r="S96" s="484"/>
      <c r="T96" s="659"/>
      <c r="U96" s="484"/>
      <c r="V96" s="487"/>
      <c r="W96" s="487"/>
      <c r="X96" s="484"/>
      <c r="Y96" s="659"/>
      <c r="Z96" s="484"/>
      <c r="AA96" s="487"/>
      <c r="AB96" s="487"/>
      <c r="AC96" s="484"/>
      <c r="AD96" s="659"/>
      <c r="AE96" s="484"/>
      <c r="AF96" s="487"/>
      <c r="AG96" s="487"/>
      <c r="AH96" s="484"/>
      <c r="AI96" s="659"/>
      <c r="AJ96" s="484"/>
      <c r="AK96" s="487"/>
      <c r="AL96" s="487"/>
      <c r="AM96" s="484"/>
      <c r="AN96" s="659"/>
      <c r="AO96" s="484"/>
      <c r="AP96" s="487"/>
      <c r="AQ96" s="487"/>
      <c r="AR96" s="484"/>
      <c r="AS96" s="659"/>
      <c r="AT96" s="484"/>
      <c r="AU96" s="487"/>
      <c r="AV96" s="487"/>
      <c r="AW96" s="484"/>
      <c r="AX96" s="659"/>
      <c r="AZ96" s="372" t="e">
        <f t="shared" si="57"/>
        <v>#N/A</v>
      </c>
      <c r="BA96" s="659"/>
    </row>
    <row r="97" spans="2:53">
      <c r="B97" s="646"/>
      <c r="C97" s="383">
        <v>11</v>
      </c>
      <c r="D97" s="225"/>
      <c r="E97" s="539"/>
      <c r="F97" s="535"/>
      <c r="G97" s="534"/>
      <c r="H97" s="682"/>
      <c r="I97" s="385" t="str">
        <f t="shared" si="54"/>
        <v>-</v>
      </c>
      <c r="J97" s="385" t="str">
        <f t="shared" si="55"/>
        <v>-</v>
      </c>
      <c r="K97" s="199" t="str">
        <f t="shared" si="56"/>
        <v>-</v>
      </c>
      <c r="L97" s="617"/>
      <c r="M97" s="486" t="e">
        <f>RANK(K97, K$87:$K$101)</f>
        <v>#VALUE!</v>
      </c>
      <c r="N97" s="635"/>
      <c r="O97" s="635"/>
      <c r="P97" s="484"/>
      <c r="Q97" s="487"/>
      <c r="R97" s="487"/>
      <c r="S97" s="484"/>
      <c r="T97" s="659"/>
      <c r="U97" s="484"/>
      <c r="V97" s="487"/>
      <c r="W97" s="487"/>
      <c r="X97" s="484"/>
      <c r="Y97" s="659"/>
      <c r="Z97" s="484"/>
      <c r="AA97" s="487"/>
      <c r="AB97" s="487"/>
      <c r="AC97" s="484"/>
      <c r="AD97" s="659"/>
      <c r="AE97" s="484"/>
      <c r="AF97" s="487"/>
      <c r="AG97" s="487"/>
      <c r="AH97" s="484"/>
      <c r="AI97" s="659"/>
      <c r="AJ97" s="484"/>
      <c r="AK97" s="487"/>
      <c r="AL97" s="487"/>
      <c r="AM97" s="484"/>
      <c r="AN97" s="659"/>
      <c r="AO97" s="484"/>
      <c r="AP97" s="487"/>
      <c r="AQ97" s="487"/>
      <c r="AR97" s="484"/>
      <c r="AS97" s="659"/>
      <c r="AT97" s="484"/>
      <c r="AU97" s="487"/>
      <c r="AV97" s="487"/>
      <c r="AW97" s="484"/>
      <c r="AX97" s="659"/>
      <c r="AZ97" s="372" t="e">
        <f t="shared" si="57"/>
        <v>#N/A</v>
      </c>
      <c r="BA97" s="659"/>
    </row>
    <row r="98" spans="2:53">
      <c r="B98" s="646"/>
      <c r="C98" s="383">
        <v>12</v>
      </c>
      <c r="D98" s="225"/>
      <c r="E98" s="539"/>
      <c r="F98" s="535"/>
      <c r="G98" s="534"/>
      <c r="H98" s="682"/>
      <c r="I98" s="385" t="str">
        <f t="shared" si="54"/>
        <v>-</v>
      </c>
      <c r="J98" s="385" t="str">
        <f t="shared" si="55"/>
        <v>-</v>
      </c>
      <c r="K98" s="199" t="str">
        <f t="shared" si="56"/>
        <v>-</v>
      </c>
      <c r="L98" s="617"/>
      <c r="M98" s="486" t="e">
        <f>RANK(K98, K$87:$K$101)</f>
        <v>#VALUE!</v>
      </c>
      <c r="N98" s="635"/>
      <c r="O98" s="635"/>
      <c r="P98" s="484"/>
      <c r="Q98" s="487"/>
      <c r="R98" s="487"/>
      <c r="S98" s="484"/>
      <c r="T98" s="659"/>
      <c r="U98" s="484"/>
      <c r="V98" s="487"/>
      <c r="W98" s="487"/>
      <c r="X98" s="484"/>
      <c r="Y98" s="659"/>
      <c r="Z98" s="484"/>
      <c r="AA98" s="487"/>
      <c r="AB98" s="487"/>
      <c r="AC98" s="484"/>
      <c r="AD98" s="659"/>
      <c r="AE98" s="484"/>
      <c r="AF98" s="487"/>
      <c r="AG98" s="487"/>
      <c r="AH98" s="484"/>
      <c r="AI98" s="659"/>
      <c r="AJ98" s="484"/>
      <c r="AK98" s="487"/>
      <c r="AL98" s="487"/>
      <c r="AM98" s="484"/>
      <c r="AN98" s="659"/>
      <c r="AO98" s="484"/>
      <c r="AP98" s="487"/>
      <c r="AQ98" s="487"/>
      <c r="AR98" s="484"/>
      <c r="AS98" s="659"/>
      <c r="AT98" s="484"/>
      <c r="AU98" s="487"/>
      <c r="AV98" s="487"/>
      <c r="AW98" s="484"/>
      <c r="AX98" s="659"/>
      <c r="AZ98" s="372" t="e">
        <f t="shared" si="57"/>
        <v>#N/A</v>
      </c>
      <c r="BA98" s="659"/>
    </row>
    <row r="99" spans="2:53">
      <c r="B99" s="646"/>
      <c r="C99" s="383">
        <v>13</v>
      </c>
      <c r="D99" s="225"/>
      <c r="E99" s="539"/>
      <c r="F99" s="535"/>
      <c r="G99" s="534"/>
      <c r="H99" s="682"/>
      <c r="I99" s="385" t="str">
        <f t="shared" si="54"/>
        <v>-</v>
      </c>
      <c r="J99" s="385" t="str">
        <f t="shared" si="55"/>
        <v>-</v>
      </c>
      <c r="K99" s="199" t="str">
        <f t="shared" si="56"/>
        <v>-</v>
      </c>
      <c r="L99" s="617"/>
      <c r="M99" s="486" t="e">
        <f>RANK(K99, K$87:$K$101)</f>
        <v>#VALUE!</v>
      </c>
      <c r="N99" s="635"/>
      <c r="O99" s="635"/>
      <c r="P99" s="484"/>
      <c r="Q99" s="487"/>
      <c r="R99" s="487"/>
      <c r="S99" s="484"/>
      <c r="T99" s="659"/>
      <c r="U99" s="484"/>
      <c r="V99" s="487"/>
      <c r="W99" s="487"/>
      <c r="X99" s="484"/>
      <c r="Y99" s="659"/>
      <c r="Z99" s="484"/>
      <c r="AA99" s="487"/>
      <c r="AB99" s="487"/>
      <c r="AC99" s="484"/>
      <c r="AD99" s="659"/>
      <c r="AE99" s="484"/>
      <c r="AF99" s="487"/>
      <c r="AG99" s="487"/>
      <c r="AH99" s="484"/>
      <c r="AI99" s="659"/>
      <c r="AJ99" s="484"/>
      <c r="AK99" s="487"/>
      <c r="AL99" s="487"/>
      <c r="AM99" s="484"/>
      <c r="AN99" s="659"/>
      <c r="AO99" s="484"/>
      <c r="AP99" s="487"/>
      <c r="AQ99" s="487"/>
      <c r="AR99" s="484"/>
      <c r="AS99" s="659"/>
      <c r="AT99" s="484"/>
      <c r="AU99" s="487"/>
      <c r="AV99" s="487"/>
      <c r="AW99" s="484"/>
      <c r="AX99" s="659"/>
      <c r="AZ99" s="372" t="e">
        <f t="shared" si="57"/>
        <v>#N/A</v>
      </c>
      <c r="BA99" s="659"/>
    </row>
    <row r="100" spans="2:53">
      <c r="B100" s="646"/>
      <c r="C100" s="383">
        <v>14</v>
      </c>
      <c r="D100" s="225"/>
      <c r="E100" s="539"/>
      <c r="F100" s="535"/>
      <c r="G100" s="534"/>
      <c r="H100" s="682"/>
      <c r="I100" s="385" t="str">
        <f t="shared" si="54"/>
        <v>-</v>
      </c>
      <c r="J100" s="385" t="str">
        <f t="shared" si="55"/>
        <v>-</v>
      </c>
      <c r="K100" s="199" t="str">
        <f t="shared" si="56"/>
        <v>-</v>
      </c>
      <c r="L100" s="617"/>
      <c r="M100" s="486" t="e">
        <f>RANK(K100, K$87:$K$101)</f>
        <v>#VALUE!</v>
      </c>
      <c r="N100" s="635"/>
      <c r="O100" s="635"/>
      <c r="P100" s="484"/>
      <c r="Q100" s="487"/>
      <c r="R100" s="487"/>
      <c r="S100" s="484"/>
      <c r="T100" s="659"/>
      <c r="U100" s="484"/>
      <c r="V100" s="487"/>
      <c r="W100" s="487"/>
      <c r="X100" s="484"/>
      <c r="Y100" s="659"/>
      <c r="Z100" s="484"/>
      <c r="AA100" s="487"/>
      <c r="AB100" s="487"/>
      <c r="AC100" s="484"/>
      <c r="AD100" s="659"/>
      <c r="AE100" s="484"/>
      <c r="AF100" s="487"/>
      <c r="AG100" s="487"/>
      <c r="AH100" s="484"/>
      <c r="AI100" s="659"/>
      <c r="AJ100" s="484"/>
      <c r="AK100" s="487"/>
      <c r="AL100" s="487"/>
      <c r="AM100" s="484"/>
      <c r="AN100" s="659"/>
      <c r="AO100" s="484"/>
      <c r="AP100" s="487"/>
      <c r="AQ100" s="487"/>
      <c r="AR100" s="484"/>
      <c r="AS100" s="659"/>
      <c r="AT100" s="484"/>
      <c r="AU100" s="487"/>
      <c r="AV100" s="487"/>
      <c r="AW100" s="484"/>
      <c r="AX100" s="659"/>
      <c r="AZ100" s="372" t="e">
        <f t="shared" si="57"/>
        <v>#N/A</v>
      </c>
      <c r="BA100" s="659"/>
    </row>
    <row r="101" spans="2:53">
      <c r="B101" s="646"/>
      <c r="C101" s="383">
        <v>15</v>
      </c>
      <c r="D101" s="225"/>
      <c r="E101" s="539"/>
      <c r="F101" s="535"/>
      <c r="G101" s="534"/>
      <c r="H101" s="683"/>
      <c r="I101" s="434" t="str">
        <f t="shared" ref="I101" si="59">IFERROR(AVERAGE(P101,U101,Z101,AE101,AJ101,AO101,AT101),"-")</f>
        <v>-</v>
      </c>
      <c r="J101" s="434" t="str">
        <f t="shared" ref="J101" si="60">IFERROR(AVERAGE(Q101,V101,AA101,AF101,AK101,AP101,AU101),"-")</f>
        <v>-</v>
      </c>
      <c r="K101" s="199" t="str">
        <f t="shared" ref="K101" si="61">IFERROR(AVERAGE(R101,W101,AB101,AG101,AL101,AQ101,AV101),"-")</f>
        <v>-</v>
      </c>
      <c r="L101" s="618"/>
      <c r="M101" s="486" t="e">
        <f>RANK(K101, K$87:$K$101)</f>
        <v>#VALUE!</v>
      </c>
      <c r="N101" s="635"/>
      <c r="O101" s="635"/>
      <c r="P101" s="484"/>
      <c r="Q101" s="487"/>
      <c r="R101" s="487"/>
      <c r="S101" s="484"/>
      <c r="T101" s="659"/>
      <c r="U101" s="484"/>
      <c r="V101" s="487"/>
      <c r="W101" s="487"/>
      <c r="X101" s="484"/>
      <c r="Y101" s="659"/>
      <c r="Z101" s="484"/>
      <c r="AA101" s="487"/>
      <c r="AB101" s="487"/>
      <c r="AC101" s="484"/>
      <c r="AD101" s="659"/>
      <c r="AE101" s="484"/>
      <c r="AF101" s="487"/>
      <c r="AG101" s="487"/>
      <c r="AH101" s="484"/>
      <c r="AI101" s="659"/>
      <c r="AJ101" s="484"/>
      <c r="AK101" s="487"/>
      <c r="AL101" s="487"/>
      <c r="AM101" s="484"/>
      <c r="AN101" s="659"/>
      <c r="AO101" s="484"/>
      <c r="AP101" s="487"/>
      <c r="AQ101" s="487"/>
      <c r="AR101" s="484"/>
      <c r="AS101" s="659"/>
      <c r="AT101" s="484"/>
      <c r="AU101" s="487"/>
      <c r="AV101" s="487"/>
      <c r="AW101" s="484"/>
      <c r="AX101" s="659"/>
      <c r="AZ101" s="372" t="e">
        <f t="shared" si="57"/>
        <v>#N/A</v>
      </c>
      <c r="BA101" s="659"/>
    </row>
    <row r="102" spans="2:53" ht="15.75">
      <c r="B102" s="650" t="s">
        <v>162</v>
      </c>
      <c r="C102" s="651"/>
      <c r="D102" s="651"/>
      <c r="E102" s="651"/>
      <c r="F102" s="651"/>
      <c r="G102" s="651"/>
      <c r="H102" s="652"/>
      <c r="I102" s="207"/>
      <c r="J102" s="207"/>
      <c r="K102" s="207"/>
      <c r="L102" s="207"/>
      <c r="M102" s="206"/>
      <c r="N102" s="639" t="s">
        <v>156</v>
      </c>
      <c r="O102" s="639" t="s">
        <v>105</v>
      </c>
      <c r="P102" s="645">
        <f>P82+7</f>
        <v>46238</v>
      </c>
      <c r="Q102" s="646"/>
      <c r="R102" s="646"/>
      <c r="S102" s="646"/>
      <c r="T102" s="646"/>
      <c r="U102" s="642">
        <f>P102+1</f>
        <v>46239</v>
      </c>
      <c r="V102" s="643"/>
      <c r="W102" s="643"/>
      <c r="X102" s="643"/>
      <c r="Y102" s="644"/>
      <c r="Z102" s="642">
        <f>U102+1</f>
        <v>46240</v>
      </c>
      <c r="AA102" s="643"/>
      <c r="AB102" s="643"/>
      <c r="AC102" s="643"/>
      <c r="AD102" s="644"/>
      <c r="AE102" s="642">
        <f>Z102+1</f>
        <v>46241</v>
      </c>
      <c r="AF102" s="643"/>
      <c r="AG102" s="643"/>
      <c r="AH102" s="643"/>
      <c r="AI102" s="644"/>
      <c r="AJ102" s="642">
        <f>AE102+1</f>
        <v>46242</v>
      </c>
      <c r="AK102" s="643"/>
      <c r="AL102" s="643"/>
      <c r="AM102" s="643"/>
      <c r="AN102" s="644"/>
      <c r="AO102" s="642">
        <f>AJ102+1</f>
        <v>46243</v>
      </c>
      <c r="AP102" s="643"/>
      <c r="AQ102" s="643"/>
      <c r="AR102" s="643"/>
      <c r="AS102" s="644"/>
      <c r="AT102" s="642">
        <f>AO102+1</f>
        <v>46244</v>
      </c>
      <c r="AU102" s="643"/>
      <c r="AV102" s="643"/>
      <c r="AW102" s="643"/>
      <c r="AX102" s="644"/>
    </row>
    <row r="103" spans="2:53" ht="15.75">
      <c r="B103" s="653"/>
      <c r="C103" s="653"/>
      <c r="D103" s="653"/>
      <c r="E103" s="653"/>
      <c r="F103" s="653"/>
      <c r="G103" s="653"/>
      <c r="H103" s="653"/>
      <c r="I103" s="204"/>
      <c r="J103" s="204"/>
      <c r="K103" s="204"/>
      <c r="L103" s="204"/>
      <c r="M103" s="205"/>
      <c r="N103" s="641"/>
      <c r="O103" s="641"/>
      <c r="P103" s="645" t="s">
        <v>158</v>
      </c>
      <c r="Q103" s="646"/>
      <c r="R103" s="646"/>
      <c r="S103" s="646"/>
      <c r="T103" s="646"/>
      <c r="U103" s="645" t="s">
        <v>114</v>
      </c>
      <c r="V103" s="646"/>
      <c r="W103" s="646"/>
      <c r="X103" s="646"/>
      <c r="Y103" s="646"/>
      <c r="Z103" s="645" t="s">
        <v>159</v>
      </c>
      <c r="AA103" s="646"/>
      <c r="AB103" s="646"/>
      <c r="AC103" s="646"/>
      <c r="AD103" s="646"/>
      <c r="AE103" s="645" t="s">
        <v>157</v>
      </c>
      <c r="AF103" s="646"/>
      <c r="AG103" s="646"/>
      <c r="AH103" s="646"/>
      <c r="AI103" s="646"/>
      <c r="AJ103" s="645" t="s">
        <v>160</v>
      </c>
      <c r="AK103" s="646"/>
      <c r="AL103" s="646"/>
      <c r="AM103" s="646"/>
      <c r="AN103" s="646"/>
      <c r="AO103" s="645" t="s">
        <v>115</v>
      </c>
      <c r="AP103" s="646"/>
      <c r="AQ103" s="646"/>
      <c r="AR103" s="646"/>
      <c r="AS103" s="646"/>
      <c r="AT103" s="645" t="s">
        <v>161</v>
      </c>
      <c r="AU103" s="646"/>
      <c r="AV103" s="646"/>
      <c r="AW103" s="646"/>
      <c r="AX103" s="646"/>
    </row>
    <row r="104" spans="2:53">
      <c r="B104" s="635" t="s">
        <v>154</v>
      </c>
      <c r="C104" s="635" t="s">
        <v>382</v>
      </c>
      <c r="D104" s="635"/>
      <c r="E104" s="635" t="s">
        <v>373</v>
      </c>
      <c r="F104" s="635"/>
      <c r="G104" s="635"/>
      <c r="H104" s="636" t="s">
        <v>369</v>
      </c>
      <c r="I104" s="619" t="s">
        <v>374</v>
      </c>
      <c r="J104" s="619"/>
      <c r="K104" s="619"/>
      <c r="L104" s="620" t="s">
        <v>369</v>
      </c>
      <c r="M104" s="626" t="s">
        <v>370</v>
      </c>
      <c r="N104" s="635"/>
      <c r="O104" s="635" t="s">
        <v>375</v>
      </c>
      <c r="P104" s="632" t="s">
        <v>371</v>
      </c>
      <c r="Q104" s="633"/>
      <c r="R104" s="633"/>
      <c r="S104" s="634"/>
      <c r="T104" s="635" t="s">
        <v>369</v>
      </c>
      <c r="U104" s="632" t="s">
        <v>371</v>
      </c>
      <c r="V104" s="633"/>
      <c r="W104" s="633"/>
      <c r="X104" s="634"/>
      <c r="Y104" s="635" t="s">
        <v>369</v>
      </c>
      <c r="Z104" s="632" t="s">
        <v>371</v>
      </c>
      <c r="AA104" s="633"/>
      <c r="AB104" s="633"/>
      <c r="AC104" s="634"/>
      <c r="AD104" s="635" t="s">
        <v>369</v>
      </c>
      <c r="AE104" s="632" t="s">
        <v>371</v>
      </c>
      <c r="AF104" s="633"/>
      <c r="AG104" s="633"/>
      <c r="AH104" s="634"/>
      <c r="AI104" s="635" t="s">
        <v>369</v>
      </c>
      <c r="AJ104" s="632" t="s">
        <v>371</v>
      </c>
      <c r="AK104" s="633"/>
      <c r="AL104" s="633"/>
      <c r="AM104" s="634"/>
      <c r="AN104" s="635" t="s">
        <v>369</v>
      </c>
      <c r="AO104" s="632" t="s">
        <v>371</v>
      </c>
      <c r="AP104" s="633"/>
      <c r="AQ104" s="633"/>
      <c r="AR104" s="634"/>
      <c r="AS104" s="635" t="s">
        <v>369</v>
      </c>
      <c r="AT104" s="632" t="s">
        <v>371</v>
      </c>
      <c r="AU104" s="633"/>
      <c r="AV104" s="633"/>
      <c r="AW104" s="634"/>
      <c r="AX104" s="635" t="s">
        <v>369</v>
      </c>
      <c r="BA104" s="635" t="s">
        <v>369</v>
      </c>
    </row>
    <row r="105" spans="2:53">
      <c r="B105" s="635"/>
      <c r="C105" s="635"/>
      <c r="D105" s="635"/>
      <c r="E105" s="635" t="s">
        <v>376</v>
      </c>
      <c r="F105" s="635"/>
      <c r="G105" s="635"/>
      <c r="H105" s="637"/>
      <c r="I105" s="619" t="s">
        <v>376</v>
      </c>
      <c r="J105" s="619"/>
      <c r="K105" s="619"/>
      <c r="L105" s="621"/>
      <c r="M105" s="627"/>
      <c r="N105" s="635"/>
      <c r="O105" s="635"/>
      <c r="P105" s="632" t="s">
        <v>377</v>
      </c>
      <c r="Q105" s="633"/>
      <c r="R105" s="633"/>
      <c r="S105" s="634"/>
      <c r="T105" s="635"/>
      <c r="U105" s="632" t="s">
        <v>377</v>
      </c>
      <c r="V105" s="633"/>
      <c r="W105" s="633"/>
      <c r="X105" s="634"/>
      <c r="Y105" s="635"/>
      <c r="Z105" s="632" t="s">
        <v>377</v>
      </c>
      <c r="AA105" s="633"/>
      <c r="AB105" s="633"/>
      <c r="AC105" s="634"/>
      <c r="AD105" s="635"/>
      <c r="AE105" s="632" t="s">
        <v>377</v>
      </c>
      <c r="AF105" s="633"/>
      <c r="AG105" s="633"/>
      <c r="AH105" s="634"/>
      <c r="AI105" s="635"/>
      <c r="AJ105" s="632" t="s">
        <v>377</v>
      </c>
      <c r="AK105" s="633"/>
      <c r="AL105" s="633"/>
      <c r="AM105" s="634"/>
      <c r="AN105" s="635"/>
      <c r="AO105" s="632" t="s">
        <v>377</v>
      </c>
      <c r="AP105" s="633"/>
      <c r="AQ105" s="633"/>
      <c r="AR105" s="634"/>
      <c r="AS105" s="635"/>
      <c r="AT105" s="632" t="s">
        <v>377</v>
      </c>
      <c r="AU105" s="633"/>
      <c r="AV105" s="633"/>
      <c r="AW105" s="634"/>
      <c r="AX105" s="635"/>
      <c r="BA105" s="635"/>
    </row>
    <row r="106" spans="2:53">
      <c r="B106" s="635"/>
      <c r="C106" s="635"/>
      <c r="D106" s="635"/>
      <c r="E106" s="308" t="s">
        <v>378</v>
      </c>
      <c r="F106" s="308" t="s">
        <v>379</v>
      </c>
      <c r="G106" s="308" t="s">
        <v>380</v>
      </c>
      <c r="H106" s="638"/>
      <c r="I106" s="309" t="s">
        <v>378</v>
      </c>
      <c r="J106" s="309" t="s">
        <v>379</v>
      </c>
      <c r="K106" s="309" t="s">
        <v>380</v>
      </c>
      <c r="L106" s="622"/>
      <c r="M106" s="628"/>
      <c r="N106" s="635"/>
      <c r="O106" s="635"/>
      <c r="P106" s="308" t="s">
        <v>378</v>
      </c>
      <c r="Q106" s="308" t="s">
        <v>379</v>
      </c>
      <c r="R106" s="308" t="s">
        <v>380</v>
      </c>
      <c r="S106" s="308" t="s">
        <v>370</v>
      </c>
      <c r="T106" s="635"/>
      <c r="U106" s="308" t="s">
        <v>378</v>
      </c>
      <c r="V106" s="308" t="s">
        <v>379</v>
      </c>
      <c r="W106" s="308" t="s">
        <v>380</v>
      </c>
      <c r="X106" s="308" t="s">
        <v>370</v>
      </c>
      <c r="Y106" s="635"/>
      <c r="Z106" s="308" t="s">
        <v>378</v>
      </c>
      <c r="AA106" s="308" t="s">
        <v>379</v>
      </c>
      <c r="AB106" s="308" t="s">
        <v>380</v>
      </c>
      <c r="AC106" s="308" t="s">
        <v>370</v>
      </c>
      <c r="AD106" s="635"/>
      <c r="AE106" s="308" t="s">
        <v>378</v>
      </c>
      <c r="AF106" s="308" t="s">
        <v>379</v>
      </c>
      <c r="AG106" s="308" t="s">
        <v>380</v>
      </c>
      <c r="AH106" s="308" t="s">
        <v>370</v>
      </c>
      <c r="AI106" s="635"/>
      <c r="AJ106" s="308" t="s">
        <v>378</v>
      </c>
      <c r="AK106" s="308" t="s">
        <v>379</v>
      </c>
      <c r="AL106" s="308" t="s">
        <v>380</v>
      </c>
      <c r="AM106" s="308" t="s">
        <v>370</v>
      </c>
      <c r="AN106" s="635"/>
      <c r="AO106" s="308" t="s">
        <v>378</v>
      </c>
      <c r="AP106" s="308" t="s">
        <v>379</v>
      </c>
      <c r="AQ106" s="308" t="s">
        <v>380</v>
      </c>
      <c r="AR106" s="308" t="s">
        <v>370</v>
      </c>
      <c r="AS106" s="635"/>
      <c r="AT106" s="308" t="s">
        <v>378</v>
      </c>
      <c r="AU106" s="308" t="s">
        <v>379</v>
      </c>
      <c r="AV106" s="308" t="s">
        <v>380</v>
      </c>
      <c r="AW106" s="308" t="s">
        <v>370</v>
      </c>
      <c r="AX106" s="635"/>
      <c r="AZ106" s="371" t="s">
        <v>370</v>
      </c>
      <c r="BA106" s="635"/>
    </row>
    <row r="107" spans="2:53">
      <c r="B107" s="635" t="s">
        <v>132</v>
      </c>
      <c r="C107" s="307">
        <v>1</v>
      </c>
      <c r="D107" s="225"/>
      <c r="E107" s="181"/>
      <c r="F107" s="357"/>
      <c r="G107" s="358"/>
      <c r="H107" s="681" t="e">
        <f>AVERAGE(G107:G121)</f>
        <v>#DIV/0!</v>
      </c>
      <c r="I107" s="367" t="str">
        <f t="shared" ref="I107:I120" si="62">IFERROR(AVERAGE(P107,U107,Z107,AE107,AJ107,AO107,AT107),"-")</f>
        <v>-</v>
      </c>
      <c r="J107" s="367" t="str">
        <f t="shared" ref="J107:J120" si="63">IFERROR(AVERAGE(Q107,V107,AA107,AF107,AK107,AP107,AU107),"-")</f>
        <v>-</v>
      </c>
      <c r="K107" s="199" t="str">
        <f t="shared" ref="K107:K120" si="64">IFERROR(AVERAGE(R107,W107,AB107,AG107,AL107,AQ107,AV107),"-")</f>
        <v>-</v>
      </c>
      <c r="L107" s="616" t="str">
        <f>IFERROR(AVERAGE(K107:K121),"-")</f>
        <v>-</v>
      </c>
      <c r="M107" s="200" t="e">
        <f>RANK(K107, K$107:$K$121)</f>
        <v>#VALUE!</v>
      </c>
      <c r="N107" s="635"/>
      <c r="O107" s="635"/>
      <c r="P107" s="528"/>
      <c r="Q107" s="530"/>
      <c r="R107" s="530"/>
      <c r="S107" s="528"/>
      <c r="T107" s="659"/>
      <c r="U107" s="528"/>
      <c r="V107" s="530"/>
      <c r="W107" s="530"/>
      <c r="X107" s="528"/>
      <c r="Y107" s="659"/>
      <c r="Z107" s="528"/>
      <c r="AA107" s="530"/>
      <c r="AB107" s="530"/>
      <c r="AC107" s="528"/>
      <c r="AD107" s="659"/>
      <c r="AE107" s="528"/>
      <c r="AF107" s="530"/>
      <c r="AG107" s="530"/>
      <c r="AH107" s="528"/>
      <c r="AI107" s="659"/>
      <c r="AJ107" s="528"/>
      <c r="AK107" s="530"/>
      <c r="AL107" s="530"/>
      <c r="AM107" s="528"/>
      <c r="AN107" s="659"/>
      <c r="AO107" s="528"/>
      <c r="AP107" s="530"/>
      <c r="AQ107" s="530"/>
      <c r="AR107" s="528"/>
      <c r="AS107" s="659"/>
      <c r="AT107" s="528"/>
      <c r="AU107" s="530"/>
      <c r="AV107" s="530"/>
      <c r="AW107" s="528"/>
      <c r="AX107" s="659"/>
      <c r="AZ107" s="372" t="e">
        <f>RANK(AY107, AY$107:AY$121)</f>
        <v>#N/A</v>
      </c>
      <c r="BA107" s="659" t="e">
        <f>AVERAGE(AY107:AY121)</f>
        <v>#DIV/0!</v>
      </c>
    </row>
    <row r="108" spans="2:53">
      <c r="B108" s="646"/>
      <c r="C108" s="307">
        <v>2</v>
      </c>
      <c r="D108" s="225"/>
      <c r="E108" s="181"/>
      <c r="F108" s="357"/>
      <c r="G108" s="358"/>
      <c r="H108" s="682"/>
      <c r="I108" s="367" t="str">
        <f t="shared" si="62"/>
        <v>-</v>
      </c>
      <c r="J108" s="367" t="str">
        <f t="shared" si="63"/>
        <v>-</v>
      </c>
      <c r="K108" s="199" t="str">
        <f t="shared" si="64"/>
        <v>-</v>
      </c>
      <c r="L108" s="617"/>
      <c r="M108" s="317" t="e">
        <f>RANK(K108, K$107:$K$121)</f>
        <v>#VALUE!</v>
      </c>
      <c r="N108" s="635"/>
      <c r="O108" s="635"/>
      <c r="P108" s="528"/>
      <c r="Q108" s="530"/>
      <c r="R108" s="530"/>
      <c r="S108" s="528"/>
      <c r="T108" s="659"/>
      <c r="U108" s="528"/>
      <c r="V108" s="530"/>
      <c r="W108" s="530"/>
      <c r="X108" s="528"/>
      <c r="Y108" s="659"/>
      <c r="Z108" s="528"/>
      <c r="AA108" s="530"/>
      <c r="AB108" s="530"/>
      <c r="AC108" s="528"/>
      <c r="AD108" s="659"/>
      <c r="AE108" s="528"/>
      <c r="AF108" s="530"/>
      <c r="AG108" s="530"/>
      <c r="AH108" s="528"/>
      <c r="AI108" s="659"/>
      <c r="AJ108" s="528"/>
      <c r="AK108" s="530"/>
      <c r="AL108" s="530"/>
      <c r="AM108" s="528"/>
      <c r="AN108" s="659"/>
      <c r="AO108" s="528"/>
      <c r="AP108" s="530"/>
      <c r="AQ108" s="530"/>
      <c r="AR108" s="528"/>
      <c r="AS108" s="659"/>
      <c r="AT108" s="528"/>
      <c r="AU108" s="530"/>
      <c r="AV108" s="530"/>
      <c r="AW108" s="528"/>
      <c r="AX108" s="659"/>
      <c r="AZ108" s="372" t="e">
        <f t="shared" ref="AZ108:AZ121" si="65">RANK(AY108, AY$107:AY$121)</f>
        <v>#N/A</v>
      </c>
      <c r="BA108" s="659"/>
    </row>
    <row r="109" spans="2:53">
      <c r="B109" s="646"/>
      <c r="C109" s="307">
        <v>3</v>
      </c>
      <c r="D109" s="225"/>
      <c r="E109" s="181"/>
      <c r="F109" s="357"/>
      <c r="G109" s="358"/>
      <c r="H109" s="682"/>
      <c r="I109" s="367" t="str">
        <f t="shared" si="62"/>
        <v>-</v>
      </c>
      <c r="J109" s="367" t="str">
        <f t="shared" si="63"/>
        <v>-</v>
      </c>
      <c r="K109" s="199" t="str">
        <f t="shared" si="64"/>
        <v>-</v>
      </c>
      <c r="L109" s="617"/>
      <c r="M109" s="317" t="e">
        <f>RANK(K109, K$107:$K$121)</f>
        <v>#VALUE!</v>
      </c>
      <c r="N109" s="635"/>
      <c r="O109" s="635"/>
      <c r="P109" s="528"/>
      <c r="Q109" s="530"/>
      <c r="R109" s="530"/>
      <c r="S109" s="528"/>
      <c r="T109" s="659"/>
      <c r="U109" s="528"/>
      <c r="V109" s="530"/>
      <c r="W109" s="530"/>
      <c r="X109" s="528"/>
      <c r="Y109" s="659"/>
      <c r="Z109" s="528"/>
      <c r="AA109" s="530"/>
      <c r="AB109" s="530"/>
      <c r="AC109" s="528"/>
      <c r="AD109" s="659"/>
      <c r="AE109" s="528"/>
      <c r="AF109" s="530"/>
      <c r="AG109" s="530"/>
      <c r="AH109" s="528"/>
      <c r="AI109" s="659"/>
      <c r="AJ109" s="528"/>
      <c r="AK109" s="530"/>
      <c r="AL109" s="530"/>
      <c r="AM109" s="528"/>
      <c r="AN109" s="659"/>
      <c r="AO109" s="528"/>
      <c r="AP109" s="530"/>
      <c r="AQ109" s="530"/>
      <c r="AR109" s="528"/>
      <c r="AS109" s="659"/>
      <c r="AT109" s="528"/>
      <c r="AU109" s="530"/>
      <c r="AV109" s="530"/>
      <c r="AW109" s="528"/>
      <c r="AX109" s="659"/>
      <c r="AZ109" s="372" t="e">
        <f t="shared" si="65"/>
        <v>#N/A</v>
      </c>
      <c r="BA109" s="659"/>
    </row>
    <row r="110" spans="2:53">
      <c r="B110" s="646"/>
      <c r="C110" s="307">
        <v>4</v>
      </c>
      <c r="D110" s="225"/>
      <c r="E110" s="181"/>
      <c r="F110" s="357"/>
      <c r="G110" s="358"/>
      <c r="H110" s="682"/>
      <c r="I110" s="367" t="str">
        <f t="shared" si="62"/>
        <v>-</v>
      </c>
      <c r="J110" s="367" t="str">
        <f t="shared" si="63"/>
        <v>-</v>
      </c>
      <c r="K110" s="199" t="str">
        <f t="shared" si="64"/>
        <v>-</v>
      </c>
      <c r="L110" s="617"/>
      <c r="M110" s="317" t="e">
        <f>RANK(K110, K$107:$K$121)</f>
        <v>#VALUE!</v>
      </c>
      <c r="N110" s="635"/>
      <c r="O110" s="635"/>
      <c r="P110" s="528"/>
      <c r="Q110" s="530"/>
      <c r="R110" s="530"/>
      <c r="S110" s="528"/>
      <c r="T110" s="659"/>
      <c r="U110" s="528"/>
      <c r="V110" s="530"/>
      <c r="W110" s="530"/>
      <c r="X110" s="528"/>
      <c r="Y110" s="659"/>
      <c r="Z110" s="528"/>
      <c r="AA110" s="530"/>
      <c r="AB110" s="530"/>
      <c r="AC110" s="528"/>
      <c r="AD110" s="659"/>
      <c r="AE110" s="528"/>
      <c r="AF110" s="530"/>
      <c r="AG110" s="530"/>
      <c r="AH110" s="528"/>
      <c r="AI110" s="659"/>
      <c r="AJ110" s="528"/>
      <c r="AK110" s="530"/>
      <c r="AL110" s="530"/>
      <c r="AM110" s="528"/>
      <c r="AN110" s="659"/>
      <c r="AO110" s="528"/>
      <c r="AP110" s="530"/>
      <c r="AQ110" s="530"/>
      <c r="AR110" s="528"/>
      <c r="AS110" s="659"/>
      <c r="AT110" s="528"/>
      <c r="AU110" s="530"/>
      <c r="AV110" s="530"/>
      <c r="AW110" s="528"/>
      <c r="AX110" s="659"/>
      <c r="AZ110" s="372" t="e">
        <f t="shared" si="65"/>
        <v>#N/A</v>
      </c>
      <c r="BA110" s="659"/>
    </row>
    <row r="111" spans="2:53">
      <c r="B111" s="646"/>
      <c r="C111" s="307">
        <v>5</v>
      </c>
      <c r="D111" s="225"/>
      <c r="E111" s="181"/>
      <c r="F111" s="357"/>
      <c r="G111" s="358"/>
      <c r="H111" s="682"/>
      <c r="I111" s="367" t="str">
        <f t="shared" si="62"/>
        <v>-</v>
      </c>
      <c r="J111" s="367" t="str">
        <f t="shared" si="63"/>
        <v>-</v>
      </c>
      <c r="K111" s="199" t="str">
        <f t="shared" si="64"/>
        <v>-</v>
      </c>
      <c r="L111" s="617"/>
      <c r="M111" s="317" t="e">
        <f>RANK(K111, K$107:$K$121)</f>
        <v>#VALUE!</v>
      </c>
      <c r="N111" s="635"/>
      <c r="O111" s="635"/>
      <c r="P111" s="528"/>
      <c r="Q111" s="530"/>
      <c r="R111" s="530"/>
      <c r="S111" s="528"/>
      <c r="T111" s="659"/>
      <c r="U111" s="528"/>
      <c r="V111" s="530"/>
      <c r="W111" s="530"/>
      <c r="X111" s="528"/>
      <c r="Y111" s="659"/>
      <c r="Z111" s="528"/>
      <c r="AA111" s="530"/>
      <c r="AB111" s="530"/>
      <c r="AC111" s="528"/>
      <c r="AD111" s="659"/>
      <c r="AE111" s="528"/>
      <c r="AF111" s="530"/>
      <c r="AG111" s="530"/>
      <c r="AH111" s="528"/>
      <c r="AI111" s="659"/>
      <c r="AJ111" s="528"/>
      <c r="AK111" s="530"/>
      <c r="AL111" s="530"/>
      <c r="AM111" s="528"/>
      <c r="AN111" s="659"/>
      <c r="AO111" s="528"/>
      <c r="AP111" s="530"/>
      <c r="AQ111" s="530"/>
      <c r="AR111" s="528"/>
      <c r="AS111" s="659"/>
      <c r="AT111" s="528"/>
      <c r="AU111" s="530"/>
      <c r="AV111" s="530"/>
      <c r="AW111" s="528"/>
      <c r="AX111" s="659"/>
      <c r="AZ111" s="372" t="e">
        <f t="shared" si="65"/>
        <v>#N/A</v>
      </c>
      <c r="BA111" s="659"/>
    </row>
    <row r="112" spans="2:53">
      <c r="B112" s="646"/>
      <c r="C112" s="307">
        <v>6</v>
      </c>
      <c r="D112" s="225"/>
      <c r="E112" s="181"/>
      <c r="F112" s="357"/>
      <c r="G112" s="358"/>
      <c r="H112" s="682"/>
      <c r="I112" s="367" t="str">
        <f t="shared" si="62"/>
        <v>-</v>
      </c>
      <c r="J112" s="367" t="str">
        <f t="shared" si="63"/>
        <v>-</v>
      </c>
      <c r="K112" s="199" t="str">
        <f t="shared" si="64"/>
        <v>-</v>
      </c>
      <c r="L112" s="617"/>
      <c r="M112" s="317" t="e">
        <f>RANK(K112, K$107:$K$121)</f>
        <v>#VALUE!</v>
      </c>
      <c r="N112" s="635"/>
      <c r="O112" s="635"/>
      <c r="P112" s="528"/>
      <c r="Q112" s="530"/>
      <c r="R112" s="530"/>
      <c r="S112" s="528"/>
      <c r="T112" s="659"/>
      <c r="U112" s="528"/>
      <c r="V112" s="530"/>
      <c r="W112" s="530"/>
      <c r="X112" s="528"/>
      <c r="Y112" s="659"/>
      <c r="Z112" s="528"/>
      <c r="AA112" s="530"/>
      <c r="AB112" s="530"/>
      <c r="AC112" s="528"/>
      <c r="AD112" s="659"/>
      <c r="AE112" s="528"/>
      <c r="AF112" s="530"/>
      <c r="AG112" s="530"/>
      <c r="AH112" s="528"/>
      <c r="AI112" s="659"/>
      <c r="AJ112" s="528"/>
      <c r="AK112" s="530"/>
      <c r="AL112" s="530"/>
      <c r="AM112" s="528"/>
      <c r="AN112" s="659"/>
      <c r="AO112" s="528"/>
      <c r="AP112" s="530"/>
      <c r="AQ112" s="530"/>
      <c r="AR112" s="528"/>
      <c r="AS112" s="659"/>
      <c r="AT112" s="528"/>
      <c r="AU112" s="530"/>
      <c r="AV112" s="530"/>
      <c r="AW112" s="528"/>
      <c r="AX112" s="659"/>
      <c r="AZ112" s="372" t="e">
        <f t="shared" si="65"/>
        <v>#N/A</v>
      </c>
      <c r="BA112" s="659"/>
    </row>
    <row r="113" spans="2:53">
      <c r="B113" s="646"/>
      <c r="C113" s="307">
        <v>7</v>
      </c>
      <c r="D113" s="225"/>
      <c r="E113" s="181"/>
      <c r="F113" s="357"/>
      <c r="G113" s="358"/>
      <c r="H113" s="682"/>
      <c r="I113" s="367" t="str">
        <f t="shared" si="62"/>
        <v>-</v>
      </c>
      <c r="J113" s="367" t="str">
        <f t="shared" si="63"/>
        <v>-</v>
      </c>
      <c r="K113" s="199" t="str">
        <f t="shared" si="64"/>
        <v>-</v>
      </c>
      <c r="L113" s="617"/>
      <c r="M113" s="317" t="e">
        <f>RANK(K113, K$107:$K$121)</f>
        <v>#VALUE!</v>
      </c>
      <c r="N113" s="635"/>
      <c r="O113" s="635"/>
      <c r="P113" s="528"/>
      <c r="Q113" s="530"/>
      <c r="R113" s="530"/>
      <c r="S113" s="528"/>
      <c r="T113" s="659"/>
      <c r="U113" s="528"/>
      <c r="V113" s="530"/>
      <c r="W113" s="530"/>
      <c r="X113" s="528"/>
      <c r="Y113" s="659"/>
      <c r="Z113" s="528"/>
      <c r="AA113" s="530"/>
      <c r="AB113" s="530"/>
      <c r="AC113" s="528"/>
      <c r="AD113" s="659"/>
      <c r="AE113" s="528"/>
      <c r="AF113" s="530"/>
      <c r="AG113" s="530"/>
      <c r="AH113" s="528"/>
      <c r="AI113" s="659"/>
      <c r="AJ113" s="528"/>
      <c r="AK113" s="530"/>
      <c r="AL113" s="530"/>
      <c r="AM113" s="528"/>
      <c r="AN113" s="659"/>
      <c r="AO113" s="528"/>
      <c r="AP113" s="530"/>
      <c r="AQ113" s="530"/>
      <c r="AR113" s="528"/>
      <c r="AS113" s="659"/>
      <c r="AT113" s="528"/>
      <c r="AU113" s="530"/>
      <c r="AV113" s="530"/>
      <c r="AW113" s="528"/>
      <c r="AX113" s="659"/>
      <c r="AZ113" s="372" t="e">
        <f t="shared" si="65"/>
        <v>#N/A</v>
      </c>
      <c r="BA113" s="659"/>
    </row>
    <row r="114" spans="2:53">
      <c r="B114" s="646"/>
      <c r="C114" s="307">
        <v>8</v>
      </c>
      <c r="D114" s="225"/>
      <c r="E114" s="181"/>
      <c r="F114" s="357"/>
      <c r="G114" s="358"/>
      <c r="H114" s="682"/>
      <c r="I114" s="367" t="str">
        <f t="shared" si="62"/>
        <v>-</v>
      </c>
      <c r="J114" s="367" t="str">
        <f t="shared" si="63"/>
        <v>-</v>
      </c>
      <c r="K114" s="199" t="str">
        <f t="shared" si="64"/>
        <v>-</v>
      </c>
      <c r="L114" s="617"/>
      <c r="M114" s="317" t="e">
        <f>RANK(K114, K$107:$K$121)</f>
        <v>#VALUE!</v>
      </c>
      <c r="N114" s="635"/>
      <c r="O114" s="635"/>
      <c r="P114" s="528"/>
      <c r="Q114" s="530"/>
      <c r="R114" s="530"/>
      <c r="S114" s="528"/>
      <c r="T114" s="659"/>
      <c r="U114" s="528"/>
      <c r="V114" s="530"/>
      <c r="W114" s="530"/>
      <c r="X114" s="528"/>
      <c r="Y114" s="659"/>
      <c r="Z114" s="528"/>
      <c r="AA114" s="530"/>
      <c r="AB114" s="530"/>
      <c r="AC114" s="528"/>
      <c r="AD114" s="659"/>
      <c r="AE114" s="528"/>
      <c r="AF114" s="530"/>
      <c r="AG114" s="530"/>
      <c r="AH114" s="528"/>
      <c r="AI114" s="659"/>
      <c r="AJ114" s="528"/>
      <c r="AK114" s="530"/>
      <c r="AL114" s="530"/>
      <c r="AM114" s="528"/>
      <c r="AN114" s="659"/>
      <c r="AO114" s="528"/>
      <c r="AP114" s="530"/>
      <c r="AQ114" s="530"/>
      <c r="AR114" s="528"/>
      <c r="AS114" s="659"/>
      <c r="AT114" s="528"/>
      <c r="AU114" s="530"/>
      <c r="AV114" s="530"/>
      <c r="AW114" s="528"/>
      <c r="AX114" s="659"/>
      <c r="AZ114" s="372" t="e">
        <f t="shared" si="65"/>
        <v>#N/A</v>
      </c>
      <c r="BA114" s="659"/>
    </row>
    <row r="115" spans="2:53">
      <c r="B115" s="646"/>
      <c r="C115" s="307">
        <v>9</v>
      </c>
      <c r="D115" s="225"/>
      <c r="E115" s="181"/>
      <c r="F115" s="357"/>
      <c r="G115" s="358"/>
      <c r="H115" s="682"/>
      <c r="I115" s="367" t="str">
        <f t="shared" si="62"/>
        <v>-</v>
      </c>
      <c r="J115" s="367" t="str">
        <f t="shared" si="63"/>
        <v>-</v>
      </c>
      <c r="K115" s="199" t="str">
        <f t="shared" si="64"/>
        <v>-</v>
      </c>
      <c r="L115" s="617"/>
      <c r="M115" s="317" t="e">
        <f>RANK(K115, K$107:$K$121)</f>
        <v>#VALUE!</v>
      </c>
      <c r="N115" s="635"/>
      <c r="O115" s="635"/>
      <c r="P115" s="528"/>
      <c r="Q115" s="530"/>
      <c r="R115" s="530"/>
      <c r="S115" s="528"/>
      <c r="T115" s="659"/>
      <c r="U115" s="528"/>
      <c r="V115" s="530"/>
      <c r="W115" s="530"/>
      <c r="X115" s="528"/>
      <c r="Y115" s="659"/>
      <c r="Z115" s="528"/>
      <c r="AA115" s="530"/>
      <c r="AB115" s="530"/>
      <c r="AC115" s="528"/>
      <c r="AD115" s="659"/>
      <c r="AE115" s="528"/>
      <c r="AF115" s="530"/>
      <c r="AG115" s="530"/>
      <c r="AH115" s="528"/>
      <c r="AI115" s="659"/>
      <c r="AJ115" s="528"/>
      <c r="AK115" s="530"/>
      <c r="AL115" s="530"/>
      <c r="AM115" s="528"/>
      <c r="AN115" s="659"/>
      <c r="AO115" s="528"/>
      <c r="AP115" s="530"/>
      <c r="AQ115" s="530"/>
      <c r="AR115" s="528"/>
      <c r="AS115" s="659"/>
      <c r="AT115" s="528"/>
      <c r="AU115" s="530"/>
      <c r="AV115" s="530"/>
      <c r="AW115" s="528"/>
      <c r="AX115" s="659"/>
      <c r="AZ115" s="372" t="e">
        <f t="shared" si="65"/>
        <v>#N/A</v>
      </c>
      <c r="BA115" s="659"/>
    </row>
    <row r="116" spans="2:53">
      <c r="B116" s="646"/>
      <c r="C116" s="307">
        <v>10</v>
      </c>
      <c r="D116" s="225"/>
      <c r="E116" s="181"/>
      <c r="F116" s="357"/>
      <c r="G116" s="358"/>
      <c r="H116" s="682"/>
      <c r="I116" s="367" t="str">
        <f t="shared" si="62"/>
        <v>-</v>
      </c>
      <c r="J116" s="367" t="str">
        <f t="shared" si="63"/>
        <v>-</v>
      </c>
      <c r="K116" s="199" t="str">
        <f t="shared" si="64"/>
        <v>-</v>
      </c>
      <c r="L116" s="617"/>
      <c r="M116" s="317" t="e">
        <f>RANK(K116, K$107:$K$121)</f>
        <v>#VALUE!</v>
      </c>
      <c r="N116" s="635"/>
      <c r="O116" s="635"/>
      <c r="P116" s="528"/>
      <c r="Q116" s="530"/>
      <c r="R116" s="530"/>
      <c r="S116" s="528"/>
      <c r="T116" s="659"/>
      <c r="U116" s="528"/>
      <c r="V116" s="530"/>
      <c r="W116" s="530"/>
      <c r="X116" s="528"/>
      <c r="Y116" s="659"/>
      <c r="Z116" s="528"/>
      <c r="AA116" s="530"/>
      <c r="AB116" s="530"/>
      <c r="AC116" s="528"/>
      <c r="AD116" s="659"/>
      <c r="AE116" s="528"/>
      <c r="AF116" s="530"/>
      <c r="AG116" s="530"/>
      <c r="AH116" s="528"/>
      <c r="AI116" s="659"/>
      <c r="AJ116" s="528"/>
      <c r="AK116" s="530"/>
      <c r="AL116" s="530"/>
      <c r="AM116" s="528"/>
      <c r="AN116" s="659"/>
      <c r="AO116" s="528"/>
      <c r="AP116" s="530"/>
      <c r="AQ116" s="530"/>
      <c r="AR116" s="528"/>
      <c r="AS116" s="659"/>
      <c r="AT116" s="528"/>
      <c r="AU116" s="530"/>
      <c r="AV116" s="530"/>
      <c r="AW116" s="528"/>
      <c r="AX116" s="659"/>
      <c r="AZ116" s="372" t="e">
        <f t="shared" si="65"/>
        <v>#N/A</v>
      </c>
      <c r="BA116" s="659"/>
    </row>
    <row r="117" spans="2:53">
      <c r="B117" s="646"/>
      <c r="C117" s="307">
        <v>11</v>
      </c>
      <c r="D117" s="225"/>
      <c r="E117" s="181"/>
      <c r="F117" s="357"/>
      <c r="G117" s="358"/>
      <c r="H117" s="682"/>
      <c r="I117" s="367" t="str">
        <f t="shared" si="62"/>
        <v>-</v>
      </c>
      <c r="J117" s="367" t="str">
        <f t="shared" si="63"/>
        <v>-</v>
      </c>
      <c r="K117" s="199" t="str">
        <f t="shared" si="64"/>
        <v>-</v>
      </c>
      <c r="L117" s="617"/>
      <c r="M117" s="317" t="e">
        <f>RANK(K117, K$107:$K$121)</f>
        <v>#VALUE!</v>
      </c>
      <c r="N117" s="635"/>
      <c r="O117" s="635"/>
      <c r="P117" s="528"/>
      <c r="Q117" s="530"/>
      <c r="R117" s="530"/>
      <c r="S117" s="528"/>
      <c r="T117" s="659"/>
      <c r="U117" s="528"/>
      <c r="V117" s="530"/>
      <c r="W117" s="530"/>
      <c r="X117" s="528"/>
      <c r="Y117" s="659"/>
      <c r="Z117" s="528"/>
      <c r="AA117" s="530"/>
      <c r="AB117" s="530"/>
      <c r="AC117" s="528"/>
      <c r="AD117" s="659"/>
      <c r="AE117" s="528"/>
      <c r="AF117" s="530"/>
      <c r="AG117" s="530"/>
      <c r="AH117" s="528"/>
      <c r="AI117" s="659"/>
      <c r="AJ117" s="528"/>
      <c r="AK117" s="530"/>
      <c r="AL117" s="530"/>
      <c r="AM117" s="528"/>
      <c r="AN117" s="659"/>
      <c r="AO117" s="528"/>
      <c r="AP117" s="530"/>
      <c r="AQ117" s="530"/>
      <c r="AR117" s="528"/>
      <c r="AS117" s="659"/>
      <c r="AT117" s="528"/>
      <c r="AU117" s="530"/>
      <c r="AV117" s="530"/>
      <c r="AW117" s="528"/>
      <c r="AX117" s="659"/>
      <c r="AZ117" s="372" t="e">
        <f t="shared" si="65"/>
        <v>#N/A</v>
      </c>
      <c r="BA117" s="659"/>
    </row>
    <row r="118" spans="2:53">
      <c r="B118" s="646"/>
      <c r="C118" s="307">
        <v>12</v>
      </c>
      <c r="D118" s="225"/>
      <c r="E118" s="181"/>
      <c r="F118" s="357"/>
      <c r="G118" s="358"/>
      <c r="H118" s="682"/>
      <c r="I118" s="367" t="str">
        <f t="shared" si="62"/>
        <v>-</v>
      </c>
      <c r="J118" s="367" t="str">
        <f t="shared" si="63"/>
        <v>-</v>
      </c>
      <c r="K118" s="199" t="str">
        <f t="shared" si="64"/>
        <v>-</v>
      </c>
      <c r="L118" s="617"/>
      <c r="M118" s="317" t="e">
        <f>RANK(K118, K$107:$K$121)</f>
        <v>#VALUE!</v>
      </c>
      <c r="N118" s="635"/>
      <c r="O118" s="635"/>
      <c r="P118" s="528"/>
      <c r="Q118" s="530"/>
      <c r="R118" s="530"/>
      <c r="S118" s="528"/>
      <c r="T118" s="659"/>
      <c r="U118" s="528"/>
      <c r="V118" s="530"/>
      <c r="W118" s="530"/>
      <c r="X118" s="528"/>
      <c r="Y118" s="659"/>
      <c r="Z118" s="528"/>
      <c r="AA118" s="530"/>
      <c r="AB118" s="530"/>
      <c r="AC118" s="528"/>
      <c r="AD118" s="659"/>
      <c r="AE118" s="528"/>
      <c r="AF118" s="530"/>
      <c r="AG118" s="530"/>
      <c r="AH118" s="528"/>
      <c r="AI118" s="659"/>
      <c r="AJ118" s="528"/>
      <c r="AK118" s="530"/>
      <c r="AL118" s="530"/>
      <c r="AM118" s="528"/>
      <c r="AN118" s="659"/>
      <c r="AO118" s="528"/>
      <c r="AP118" s="530"/>
      <c r="AQ118" s="530"/>
      <c r="AR118" s="528"/>
      <c r="AS118" s="659"/>
      <c r="AT118" s="528"/>
      <c r="AU118" s="530"/>
      <c r="AV118" s="530"/>
      <c r="AW118" s="528"/>
      <c r="AX118" s="659"/>
      <c r="AZ118" s="372" t="e">
        <f t="shared" si="65"/>
        <v>#N/A</v>
      </c>
      <c r="BA118" s="659"/>
    </row>
    <row r="119" spans="2:53">
      <c r="B119" s="646"/>
      <c r="C119" s="307">
        <v>13</v>
      </c>
      <c r="D119" s="225"/>
      <c r="E119" s="181"/>
      <c r="F119" s="357"/>
      <c r="G119" s="358"/>
      <c r="H119" s="682"/>
      <c r="I119" s="367" t="str">
        <f t="shared" si="62"/>
        <v>-</v>
      </c>
      <c r="J119" s="367" t="str">
        <f t="shared" si="63"/>
        <v>-</v>
      </c>
      <c r="K119" s="199" t="str">
        <f t="shared" si="64"/>
        <v>-</v>
      </c>
      <c r="L119" s="617"/>
      <c r="M119" s="317" t="e">
        <f>RANK(K119, K$107:$K$121)</f>
        <v>#VALUE!</v>
      </c>
      <c r="N119" s="635"/>
      <c r="O119" s="635"/>
      <c r="P119" s="528"/>
      <c r="Q119" s="530"/>
      <c r="R119" s="530"/>
      <c r="S119" s="528"/>
      <c r="T119" s="659"/>
      <c r="U119" s="528"/>
      <c r="V119" s="530"/>
      <c r="W119" s="530"/>
      <c r="X119" s="528"/>
      <c r="Y119" s="659"/>
      <c r="Z119" s="528"/>
      <c r="AA119" s="530"/>
      <c r="AB119" s="530"/>
      <c r="AC119" s="528"/>
      <c r="AD119" s="659"/>
      <c r="AE119" s="528"/>
      <c r="AF119" s="530"/>
      <c r="AG119" s="530"/>
      <c r="AH119" s="528"/>
      <c r="AI119" s="659"/>
      <c r="AJ119" s="528"/>
      <c r="AK119" s="530"/>
      <c r="AL119" s="530"/>
      <c r="AM119" s="528"/>
      <c r="AN119" s="659"/>
      <c r="AO119" s="528"/>
      <c r="AP119" s="530"/>
      <c r="AQ119" s="530"/>
      <c r="AR119" s="528"/>
      <c r="AS119" s="659"/>
      <c r="AT119" s="528"/>
      <c r="AU119" s="530"/>
      <c r="AV119" s="530"/>
      <c r="AW119" s="528"/>
      <c r="AX119" s="659"/>
      <c r="AZ119" s="372" t="e">
        <f t="shared" si="65"/>
        <v>#N/A</v>
      </c>
      <c r="BA119" s="659"/>
    </row>
    <row r="120" spans="2:53">
      <c r="B120" s="646"/>
      <c r="C120" s="307">
        <v>14</v>
      </c>
      <c r="D120" s="225"/>
      <c r="E120" s="181"/>
      <c r="F120" s="357"/>
      <c r="G120" s="358"/>
      <c r="H120" s="682"/>
      <c r="I120" s="367" t="str">
        <f t="shared" si="62"/>
        <v>-</v>
      </c>
      <c r="J120" s="367" t="str">
        <f t="shared" si="63"/>
        <v>-</v>
      </c>
      <c r="K120" s="199" t="str">
        <f t="shared" si="64"/>
        <v>-</v>
      </c>
      <c r="L120" s="617"/>
      <c r="M120" s="317" t="e">
        <f>RANK(K120, K$107:$K$121)</f>
        <v>#VALUE!</v>
      </c>
      <c r="N120" s="635"/>
      <c r="O120" s="635"/>
      <c r="P120" s="528"/>
      <c r="Q120" s="530"/>
      <c r="R120" s="530"/>
      <c r="S120" s="528"/>
      <c r="T120" s="659"/>
      <c r="U120" s="528"/>
      <c r="V120" s="530"/>
      <c r="W120" s="530"/>
      <c r="X120" s="528"/>
      <c r="Y120" s="659"/>
      <c r="Z120" s="528"/>
      <c r="AA120" s="530"/>
      <c r="AB120" s="530"/>
      <c r="AC120" s="528"/>
      <c r="AD120" s="659"/>
      <c r="AE120" s="528"/>
      <c r="AF120" s="530"/>
      <c r="AG120" s="530"/>
      <c r="AH120" s="528"/>
      <c r="AI120" s="659"/>
      <c r="AJ120" s="528"/>
      <c r="AK120" s="530"/>
      <c r="AL120" s="530"/>
      <c r="AM120" s="528"/>
      <c r="AN120" s="659"/>
      <c r="AO120" s="528"/>
      <c r="AP120" s="530"/>
      <c r="AQ120" s="530"/>
      <c r="AR120" s="528"/>
      <c r="AS120" s="659"/>
      <c r="AT120" s="528"/>
      <c r="AU120" s="530"/>
      <c r="AV120" s="530"/>
      <c r="AW120" s="528"/>
      <c r="AX120" s="659"/>
      <c r="AZ120" s="372" t="e">
        <f t="shared" si="65"/>
        <v>#N/A</v>
      </c>
      <c r="BA120" s="659"/>
    </row>
    <row r="121" spans="2:53">
      <c r="B121" s="646"/>
      <c r="C121" s="307">
        <v>15</v>
      </c>
      <c r="D121" s="225"/>
      <c r="E121" s="181"/>
      <c r="F121" s="357"/>
      <c r="G121" s="358"/>
      <c r="H121" s="683"/>
      <c r="I121" s="201"/>
      <c r="J121" s="201"/>
      <c r="K121" s="201"/>
      <c r="L121" s="618"/>
      <c r="M121" s="317" t="e">
        <f>RANK(K121, K$107:$K$121)</f>
        <v>#N/A</v>
      </c>
      <c r="N121" s="635"/>
      <c r="O121" s="635"/>
      <c r="P121" s="528"/>
      <c r="Q121" s="530"/>
      <c r="R121" s="530"/>
      <c r="S121" s="528"/>
      <c r="T121" s="659"/>
      <c r="U121" s="528"/>
      <c r="V121" s="530"/>
      <c r="W121" s="530"/>
      <c r="X121" s="528"/>
      <c r="Y121" s="659"/>
      <c r="Z121" s="528"/>
      <c r="AA121" s="530"/>
      <c r="AB121" s="530"/>
      <c r="AC121" s="528"/>
      <c r="AD121" s="659"/>
      <c r="AE121" s="528"/>
      <c r="AF121" s="530"/>
      <c r="AG121" s="530"/>
      <c r="AH121" s="528"/>
      <c r="AI121" s="659"/>
      <c r="AJ121" s="528"/>
      <c r="AK121" s="530"/>
      <c r="AL121" s="530"/>
      <c r="AM121" s="528"/>
      <c r="AN121" s="659"/>
      <c r="AO121" s="528"/>
      <c r="AP121" s="530"/>
      <c r="AQ121" s="530"/>
      <c r="AR121" s="528"/>
      <c r="AS121" s="659"/>
      <c r="AT121" s="528"/>
      <c r="AU121" s="530"/>
      <c r="AV121" s="530"/>
      <c r="AW121" s="528"/>
      <c r="AX121" s="659"/>
      <c r="AZ121" s="372" t="e">
        <f t="shared" si="65"/>
        <v>#N/A</v>
      </c>
      <c r="BA121" s="659"/>
    </row>
    <row r="123" spans="2:53" ht="15.75">
      <c r="B123" s="672" t="s">
        <v>475</v>
      </c>
      <c r="C123" s="673"/>
      <c r="D123" s="673"/>
      <c r="E123" s="673"/>
      <c r="F123" s="673"/>
      <c r="G123" s="673"/>
      <c r="H123" s="674"/>
      <c r="I123" s="311"/>
      <c r="J123" s="311"/>
      <c r="K123" s="311"/>
      <c r="L123" s="311"/>
      <c r="M123" s="312"/>
    </row>
    <row r="124" spans="2:53" ht="15.75">
      <c r="B124" s="675"/>
      <c r="C124" s="675"/>
      <c r="D124" s="675"/>
      <c r="E124" s="675"/>
      <c r="F124" s="675"/>
      <c r="G124" s="675"/>
      <c r="H124" s="675"/>
      <c r="I124" s="313"/>
      <c r="J124" s="313"/>
      <c r="K124" s="313"/>
      <c r="L124" s="313"/>
      <c r="M124" s="314"/>
    </row>
    <row r="125" spans="2:53">
      <c r="B125" s="635" t="s">
        <v>476</v>
      </c>
      <c r="C125" s="635" t="s">
        <v>477</v>
      </c>
      <c r="D125" s="635"/>
      <c r="E125" s="635" t="s">
        <v>478</v>
      </c>
      <c r="F125" s="635"/>
      <c r="G125" s="635"/>
      <c r="H125" s="636" t="s">
        <v>479</v>
      </c>
      <c r="I125" s="676" t="s">
        <v>480</v>
      </c>
      <c r="J125" s="676"/>
      <c r="K125" s="676"/>
      <c r="L125" s="688" t="s">
        <v>479</v>
      </c>
      <c r="M125" s="691" t="s">
        <v>481</v>
      </c>
    </row>
    <row r="126" spans="2:53">
      <c r="B126" s="635"/>
      <c r="C126" s="635"/>
      <c r="D126" s="635"/>
      <c r="E126" s="635" t="s">
        <v>482</v>
      </c>
      <c r="F126" s="635"/>
      <c r="G126" s="635"/>
      <c r="H126" s="637"/>
      <c r="I126" s="676" t="s">
        <v>482</v>
      </c>
      <c r="J126" s="676"/>
      <c r="K126" s="676"/>
      <c r="L126" s="689"/>
      <c r="M126" s="692"/>
    </row>
    <row r="127" spans="2:53">
      <c r="B127" s="635"/>
      <c r="C127" s="635"/>
      <c r="D127" s="635"/>
      <c r="E127" s="308" t="s">
        <v>483</v>
      </c>
      <c r="F127" s="308" t="s">
        <v>484</v>
      </c>
      <c r="G127" s="308" t="s">
        <v>485</v>
      </c>
      <c r="H127" s="638"/>
      <c r="I127" s="315" t="s">
        <v>483</v>
      </c>
      <c r="J127" s="315" t="s">
        <v>484</v>
      </c>
      <c r="K127" s="315" t="s">
        <v>485</v>
      </c>
      <c r="L127" s="690"/>
      <c r="M127" s="693"/>
    </row>
    <row r="128" spans="2:53">
      <c r="B128" s="635" t="s">
        <v>491</v>
      </c>
      <c r="C128" s="307">
        <v>1</v>
      </c>
      <c r="D128" s="225"/>
      <c r="E128" s="181"/>
      <c r="F128" s="307"/>
      <c r="G128" s="310"/>
      <c r="H128" s="681" t="e">
        <f>AVERAGE(G128:G142)</f>
        <v>#DIV/0!</v>
      </c>
      <c r="I128" s="198" t="e">
        <f t="shared" ref="I128:J135" si="66">AVERAGEIF($D$7:$D$121,$D128,I$7:I$121)</f>
        <v>#DIV/0!</v>
      </c>
      <c r="J128" s="198" t="e">
        <f t="shared" si="66"/>
        <v>#DIV/0!</v>
      </c>
      <c r="K128" s="198" t="e">
        <f t="shared" ref="K128:K135" si="67">AVERAGEIF($D$7:$D$121,$D128,K$7:K$121)</f>
        <v>#DIV/0!</v>
      </c>
      <c r="L128" s="685" t="e">
        <f>AVERAGE(K128:K142)</f>
        <v>#DIV/0!</v>
      </c>
      <c r="M128" s="198" t="e">
        <f>RANK(K128, K$128:$K$142)</f>
        <v>#DIV/0!</v>
      </c>
    </row>
    <row r="129" spans="2:39">
      <c r="B129" s="646"/>
      <c r="C129" s="307">
        <v>2</v>
      </c>
      <c r="D129" s="225"/>
      <c r="E129" s="181"/>
      <c r="F129" s="307"/>
      <c r="G129" s="310"/>
      <c r="H129" s="682"/>
      <c r="I129" s="198" t="e">
        <f t="shared" si="66"/>
        <v>#DIV/0!</v>
      </c>
      <c r="J129" s="198" t="e">
        <f t="shared" si="66"/>
        <v>#DIV/0!</v>
      </c>
      <c r="K129" s="198" t="e">
        <f t="shared" si="67"/>
        <v>#DIV/0!</v>
      </c>
      <c r="L129" s="686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6"/>
      <c r="C130" s="307">
        <v>3</v>
      </c>
      <c r="D130" s="225"/>
      <c r="E130" s="181"/>
      <c r="F130" s="307"/>
      <c r="G130" s="310"/>
      <c r="H130" s="682"/>
      <c r="I130" s="198" t="e">
        <f t="shared" si="66"/>
        <v>#DIV/0!</v>
      </c>
      <c r="J130" s="198" t="e">
        <f t="shared" si="66"/>
        <v>#DIV/0!</v>
      </c>
      <c r="K130" s="198" t="e">
        <f t="shared" si="67"/>
        <v>#DIV/0!</v>
      </c>
      <c r="L130" s="686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6"/>
      <c r="C131" s="307">
        <v>4</v>
      </c>
      <c r="D131" s="225"/>
      <c r="E131" s="181"/>
      <c r="F131" s="307"/>
      <c r="G131" s="310"/>
      <c r="H131" s="682"/>
      <c r="I131" s="198" t="e">
        <f t="shared" si="66"/>
        <v>#DIV/0!</v>
      </c>
      <c r="J131" s="198" t="e">
        <f t="shared" si="66"/>
        <v>#DIV/0!</v>
      </c>
      <c r="K131" s="198" t="e">
        <f t="shared" si="67"/>
        <v>#DIV/0!</v>
      </c>
      <c r="L131" s="686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6"/>
      <c r="C132" s="307">
        <v>5</v>
      </c>
      <c r="D132" s="225"/>
      <c r="E132" s="181"/>
      <c r="F132" s="307"/>
      <c r="G132" s="310"/>
      <c r="H132" s="682"/>
      <c r="I132" s="198" t="e">
        <f t="shared" si="66"/>
        <v>#DIV/0!</v>
      </c>
      <c r="J132" s="198" t="e">
        <f t="shared" si="66"/>
        <v>#DIV/0!</v>
      </c>
      <c r="K132" s="198" t="e">
        <f t="shared" si="67"/>
        <v>#DIV/0!</v>
      </c>
      <c r="L132" s="686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6"/>
      <c r="C133" s="307">
        <v>6</v>
      </c>
      <c r="D133" s="316"/>
      <c r="E133" s="181"/>
      <c r="F133" s="307"/>
      <c r="G133" s="310"/>
      <c r="H133" s="682"/>
      <c r="I133" s="198" t="e">
        <f t="shared" si="66"/>
        <v>#DIV/0!</v>
      </c>
      <c r="J133" s="198" t="e">
        <f t="shared" si="66"/>
        <v>#DIV/0!</v>
      </c>
      <c r="K133" s="198" t="e">
        <f t="shared" si="67"/>
        <v>#DIV/0!</v>
      </c>
      <c r="L133" s="686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6"/>
      <c r="C134" s="307">
        <v>7</v>
      </c>
      <c r="D134" s="225"/>
      <c r="E134" s="181"/>
      <c r="F134" s="307"/>
      <c r="G134" s="310"/>
      <c r="H134" s="682"/>
      <c r="I134" s="198" t="e">
        <f t="shared" si="66"/>
        <v>#DIV/0!</v>
      </c>
      <c r="J134" s="198" t="e">
        <f t="shared" si="66"/>
        <v>#DIV/0!</v>
      </c>
      <c r="K134" s="198" t="e">
        <f t="shared" si="67"/>
        <v>#DIV/0!</v>
      </c>
      <c r="L134" s="686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6"/>
      <c r="C135" s="307">
        <v>8</v>
      </c>
      <c r="D135" s="225"/>
      <c r="E135" s="181"/>
      <c r="F135" s="307"/>
      <c r="G135" s="310"/>
      <c r="H135" s="682"/>
      <c r="I135" s="198" t="e">
        <f t="shared" si="66"/>
        <v>#DIV/0!</v>
      </c>
      <c r="J135" s="198" t="e">
        <f t="shared" si="66"/>
        <v>#DIV/0!</v>
      </c>
      <c r="K135" s="198" t="e">
        <f t="shared" si="67"/>
        <v>#DIV/0!</v>
      </c>
      <c r="L135" s="686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6"/>
      <c r="C136" s="307">
        <v>9</v>
      </c>
      <c r="D136" s="225"/>
      <c r="E136" s="307"/>
      <c r="F136" s="307"/>
      <c r="G136" s="307"/>
      <c r="H136" s="682"/>
      <c r="I136" s="198"/>
      <c r="J136" s="198"/>
      <c r="K136" s="198"/>
      <c r="L136" s="686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6"/>
      <c r="C137" s="307">
        <v>10</v>
      </c>
      <c r="D137" s="225"/>
      <c r="E137" s="307"/>
      <c r="F137" s="307"/>
      <c r="G137" s="307"/>
      <c r="H137" s="682"/>
      <c r="I137" s="198"/>
      <c r="J137" s="198"/>
      <c r="K137" s="198"/>
      <c r="L137" s="686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6"/>
      <c r="C138" s="307">
        <v>11</v>
      </c>
      <c r="D138" s="225"/>
      <c r="E138" s="307"/>
      <c r="F138" s="307"/>
      <c r="G138" s="307"/>
      <c r="H138" s="682"/>
      <c r="I138" s="198"/>
      <c r="J138" s="198"/>
      <c r="K138" s="198"/>
      <c r="L138" s="686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6"/>
      <c r="C139" s="307">
        <v>12</v>
      </c>
      <c r="D139" s="225"/>
      <c r="E139" s="307"/>
      <c r="F139" s="307"/>
      <c r="G139" s="307"/>
      <c r="H139" s="682"/>
      <c r="I139" s="198"/>
      <c r="J139" s="198"/>
      <c r="K139" s="198"/>
      <c r="L139" s="686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6"/>
      <c r="C140" s="307">
        <v>13</v>
      </c>
      <c r="D140" s="225"/>
      <c r="E140" s="307"/>
      <c r="F140" s="307"/>
      <c r="G140" s="307"/>
      <c r="H140" s="682"/>
      <c r="I140" s="198"/>
      <c r="J140" s="198"/>
      <c r="K140" s="198"/>
      <c r="L140" s="686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6"/>
      <c r="C141" s="307">
        <v>14</v>
      </c>
      <c r="D141" s="225"/>
      <c r="E141" s="307"/>
      <c r="F141" s="307"/>
      <c r="G141" s="307"/>
      <c r="H141" s="682"/>
      <c r="I141" s="198"/>
      <c r="J141" s="198"/>
      <c r="K141" s="198"/>
      <c r="L141" s="686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6"/>
      <c r="C142" s="307">
        <v>15</v>
      </c>
      <c r="D142" s="225"/>
      <c r="E142" s="307"/>
      <c r="F142" s="307"/>
      <c r="G142" s="307"/>
      <c r="H142" s="683"/>
      <c r="I142" s="198"/>
      <c r="J142" s="198"/>
      <c r="K142" s="198"/>
      <c r="L142" s="687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8" zoomScale="55" zoomScaleNormal="55" workbookViewId="0">
      <pane xSplit="15" topLeftCell="AB1" activePane="topRight" state="frozen"/>
      <selection activeCell="D27" activeCellId="1" sqref="D47:G61 D27:G41"/>
      <selection pane="topRight" activeCell="D67" sqref="D67:D72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78.25450920334788</v>
      </c>
    </row>
    <row r="2" spans="1:53" ht="15.75">
      <c r="A2" s="81"/>
      <c r="B2" s="650" t="s">
        <v>162</v>
      </c>
      <c r="C2" s="650"/>
      <c r="D2" s="650"/>
      <c r="E2" s="650"/>
      <c r="F2" s="650"/>
      <c r="G2" s="650"/>
      <c r="H2" s="650"/>
      <c r="I2" s="288"/>
      <c r="J2" s="288"/>
      <c r="K2" s="288"/>
      <c r="L2" s="288"/>
      <c r="M2" s="196"/>
      <c r="N2" s="639" t="s">
        <v>156</v>
      </c>
      <c r="O2" s="639" t="s">
        <v>155</v>
      </c>
      <c r="P2" s="645">
        <v>46203</v>
      </c>
      <c r="Q2" s="646"/>
      <c r="R2" s="646"/>
      <c r="S2" s="646"/>
      <c r="T2" s="646"/>
      <c r="U2" s="642">
        <f>P2+1</f>
        <v>46204</v>
      </c>
      <c r="V2" s="643"/>
      <c r="W2" s="643"/>
      <c r="X2" s="643"/>
      <c r="Y2" s="644"/>
      <c r="Z2" s="642">
        <f>U2+1</f>
        <v>46205</v>
      </c>
      <c r="AA2" s="643"/>
      <c r="AB2" s="643"/>
      <c r="AC2" s="643"/>
      <c r="AD2" s="644"/>
      <c r="AE2" s="642">
        <f>Z2+1</f>
        <v>46206</v>
      </c>
      <c r="AF2" s="643"/>
      <c r="AG2" s="643"/>
      <c r="AH2" s="643"/>
      <c r="AI2" s="644"/>
      <c r="AJ2" s="642">
        <f>AE2+1</f>
        <v>46207</v>
      </c>
      <c r="AK2" s="643"/>
      <c r="AL2" s="643"/>
      <c r="AM2" s="643"/>
      <c r="AN2" s="644"/>
      <c r="AO2" s="642">
        <f>AJ2+1</f>
        <v>46208</v>
      </c>
      <c r="AP2" s="643"/>
      <c r="AQ2" s="643"/>
      <c r="AR2" s="643"/>
      <c r="AS2" s="644"/>
      <c r="AT2" s="642">
        <f>AO2+1</f>
        <v>46209</v>
      </c>
      <c r="AU2" s="643"/>
      <c r="AV2" s="643"/>
      <c r="AW2" s="643"/>
      <c r="AX2" s="644"/>
    </row>
    <row r="3" spans="1:53" ht="15.75">
      <c r="A3" s="81"/>
      <c r="B3" s="684"/>
      <c r="C3" s="684"/>
      <c r="D3" s="684"/>
      <c r="E3" s="684"/>
      <c r="F3" s="684"/>
      <c r="G3" s="684"/>
      <c r="H3" s="684"/>
      <c r="I3" s="289"/>
      <c r="J3" s="289"/>
      <c r="K3" s="289"/>
      <c r="L3" s="289"/>
      <c r="M3" s="197"/>
      <c r="N3" s="641"/>
      <c r="O3" s="641"/>
      <c r="P3" s="645" t="s">
        <v>158</v>
      </c>
      <c r="Q3" s="646"/>
      <c r="R3" s="646"/>
      <c r="S3" s="646"/>
      <c r="T3" s="646"/>
      <c r="U3" s="645" t="s">
        <v>114</v>
      </c>
      <c r="V3" s="646"/>
      <c r="W3" s="646"/>
      <c r="X3" s="646"/>
      <c r="Y3" s="646"/>
      <c r="Z3" s="645" t="s">
        <v>159</v>
      </c>
      <c r="AA3" s="646"/>
      <c r="AB3" s="646"/>
      <c r="AC3" s="646"/>
      <c r="AD3" s="646"/>
      <c r="AE3" s="645" t="s">
        <v>157</v>
      </c>
      <c r="AF3" s="646"/>
      <c r="AG3" s="646"/>
      <c r="AH3" s="646"/>
      <c r="AI3" s="646"/>
      <c r="AJ3" s="645" t="s">
        <v>160</v>
      </c>
      <c r="AK3" s="646"/>
      <c r="AL3" s="646"/>
      <c r="AM3" s="646"/>
      <c r="AN3" s="646"/>
      <c r="AO3" s="645" t="s">
        <v>115</v>
      </c>
      <c r="AP3" s="646"/>
      <c r="AQ3" s="646"/>
      <c r="AR3" s="646"/>
      <c r="AS3" s="646"/>
      <c r="AT3" s="645" t="s">
        <v>161</v>
      </c>
      <c r="AU3" s="646"/>
      <c r="AV3" s="646"/>
      <c r="AW3" s="646"/>
      <c r="AX3" s="646"/>
    </row>
    <row r="4" spans="1:53" ht="14.25">
      <c r="A4" s="81"/>
      <c r="B4" s="635" t="s">
        <v>535</v>
      </c>
      <c r="C4" s="635" t="s">
        <v>382</v>
      </c>
      <c r="D4" s="635"/>
      <c r="E4" s="635" t="s">
        <v>373</v>
      </c>
      <c r="F4" s="635"/>
      <c r="G4" s="635"/>
      <c r="H4" s="636" t="s">
        <v>369</v>
      </c>
      <c r="I4" s="619" t="s">
        <v>374</v>
      </c>
      <c r="J4" s="619"/>
      <c r="K4" s="619"/>
      <c r="L4" s="620" t="s">
        <v>369</v>
      </c>
      <c r="M4" s="626" t="s">
        <v>370</v>
      </c>
      <c r="N4" s="635"/>
      <c r="O4" s="635" t="s">
        <v>375</v>
      </c>
      <c r="P4" s="632" t="s">
        <v>371</v>
      </c>
      <c r="Q4" s="633"/>
      <c r="R4" s="633"/>
      <c r="S4" s="634"/>
      <c r="T4" s="635" t="s">
        <v>369</v>
      </c>
      <c r="U4" s="632" t="s">
        <v>371</v>
      </c>
      <c r="V4" s="633"/>
      <c r="W4" s="633"/>
      <c r="X4" s="634"/>
      <c r="Y4" s="635" t="s">
        <v>369</v>
      </c>
      <c r="Z4" s="632" t="s">
        <v>371</v>
      </c>
      <c r="AA4" s="633"/>
      <c r="AB4" s="633"/>
      <c r="AC4" s="634"/>
      <c r="AD4" s="635" t="s">
        <v>369</v>
      </c>
      <c r="AE4" s="632" t="s">
        <v>371</v>
      </c>
      <c r="AF4" s="633"/>
      <c r="AG4" s="633"/>
      <c r="AH4" s="634"/>
      <c r="AI4" s="635" t="s">
        <v>369</v>
      </c>
      <c r="AJ4" s="632" t="s">
        <v>371</v>
      </c>
      <c r="AK4" s="633"/>
      <c r="AL4" s="633"/>
      <c r="AM4" s="634"/>
      <c r="AN4" s="635" t="s">
        <v>369</v>
      </c>
      <c r="AO4" s="632" t="s">
        <v>371</v>
      </c>
      <c r="AP4" s="633"/>
      <c r="AQ4" s="633"/>
      <c r="AR4" s="634"/>
      <c r="AS4" s="635" t="s">
        <v>369</v>
      </c>
      <c r="AT4" s="632" t="s">
        <v>371</v>
      </c>
      <c r="AU4" s="633"/>
      <c r="AV4" s="633"/>
      <c r="AW4" s="634"/>
      <c r="AX4" s="635" t="s">
        <v>369</v>
      </c>
      <c r="BA4" s="635" t="s">
        <v>369</v>
      </c>
    </row>
    <row r="5" spans="1:53" ht="14.25">
      <c r="A5" s="81"/>
      <c r="B5" s="635"/>
      <c r="C5" s="635"/>
      <c r="D5" s="635"/>
      <c r="E5" s="635" t="s">
        <v>376</v>
      </c>
      <c r="F5" s="635"/>
      <c r="G5" s="635"/>
      <c r="H5" s="637"/>
      <c r="I5" s="619" t="s">
        <v>376</v>
      </c>
      <c r="J5" s="619"/>
      <c r="K5" s="619"/>
      <c r="L5" s="621"/>
      <c r="M5" s="627"/>
      <c r="N5" s="635"/>
      <c r="O5" s="635"/>
      <c r="P5" s="632" t="s">
        <v>377</v>
      </c>
      <c r="Q5" s="633"/>
      <c r="R5" s="633"/>
      <c r="S5" s="634"/>
      <c r="T5" s="635"/>
      <c r="U5" s="632" t="s">
        <v>377</v>
      </c>
      <c r="V5" s="633"/>
      <c r="W5" s="633"/>
      <c r="X5" s="634"/>
      <c r="Y5" s="635"/>
      <c r="Z5" s="632" t="s">
        <v>377</v>
      </c>
      <c r="AA5" s="633"/>
      <c r="AB5" s="633"/>
      <c r="AC5" s="634"/>
      <c r="AD5" s="635"/>
      <c r="AE5" s="632" t="s">
        <v>377</v>
      </c>
      <c r="AF5" s="633"/>
      <c r="AG5" s="633"/>
      <c r="AH5" s="634"/>
      <c r="AI5" s="635"/>
      <c r="AJ5" s="632" t="s">
        <v>377</v>
      </c>
      <c r="AK5" s="633"/>
      <c r="AL5" s="633"/>
      <c r="AM5" s="634"/>
      <c r="AN5" s="635"/>
      <c r="AO5" s="632" t="s">
        <v>377</v>
      </c>
      <c r="AP5" s="633"/>
      <c r="AQ5" s="633"/>
      <c r="AR5" s="634"/>
      <c r="AS5" s="635"/>
      <c r="AT5" s="632" t="s">
        <v>377</v>
      </c>
      <c r="AU5" s="633"/>
      <c r="AV5" s="633"/>
      <c r="AW5" s="634"/>
      <c r="AX5" s="635"/>
      <c r="BA5" s="635"/>
    </row>
    <row r="6" spans="1:53" ht="14.25">
      <c r="A6" s="79"/>
      <c r="B6" s="635"/>
      <c r="C6" s="635"/>
      <c r="D6" s="635"/>
      <c r="E6" s="382" t="s">
        <v>378</v>
      </c>
      <c r="F6" s="382" t="s">
        <v>379</v>
      </c>
      <c r="G6" s="382" t="s">
        <v>380</v>
      </c>
      <c r="H6" s="638"/>
      <c r="I6" s="381" t="s">
        <v>378</v>
      </c>
      <c r="J6" s="381" t="s">
        <v>379</v>
      </c>
      <c r="K6" s="381" t="s">
        <v>380</v>
      </c>
      <c r="L6" s="622"/>
      <c r="M6" s="628"/>
      <c r="N6" s="635"/>
      <c r="O6" s="635"/>
      <c r="P6" s="533" t="s">
        <v>378</v>
      </c>
      <c r="Q6" s="533" t="s">
        <v>379</v>
      </c>
      <c r="R6" s="533" t="s">
        <v>380</v>
      </c>
      <c r="S6" s="533" t="s">
        <v>370</v>
      </c>
      <c r="T6" s="635"/>
      <c r="U6" s="533" t="s">
        <v>378</v>
      </c>
      <c r="V6" s="533" t="s">
        <v>379</v>
      </c>
      <c r="W6" s="533" t="s">
        <v>380</v>
      </c>
      <c r="X6" s="533" t="s">
        <v>370</v>
      </c>
      <c r="Y6" s="635"/>
      <c r="Z6" s="533" t="s">
        <v>378</v>
      </c>
      <c r="AA6" s="533" t="s">
        <v>379</v>
      </c>
      <c r="AB6" s="533" t="s">
        <v>380</v>
      </c>
      <c r="AC6" s="533" t="s">
        <v>370</v>
      </c>
      <c r="AD6" s="635"/>
      <c r="AE6" s="533" t="s">
        <v>378</v>
      </c>
      <c r="AF6" s="533" t="s">
        <v>379</v>
      </c>
      <c r="AG6" s="533" t="s">
        <v>380</v>
      </c>
      <c r="AH6" s="533" t="s">
        <v>370</v>
      </c>
      <c r="AI6" s="635"/>
      <c r="AJ6" s="533" t="s">
        <v>378</v>
      </c>
      <c r="AK6" s="533" t="s">
        <v>379</v>
      </c>
      <c r="AL6" s="533" t="s">
        <v>380</v>
      </c>
      <c r="AM6" s="533" t="s">
        <v>370</v>
      </c>
      <c r="AN6" s="635"/>
      <c r="AO6" s="533" t="s">
        <v>378</v>
      </c>
      <c r="AP6" s="533" t="s">
        <v>379</v>
      </c>
      <c r="AQ6" s="533" t="s">
        <v>380</v>
      </c>
      <c r="AR6" s="533" t="s">
        <v>370</v>
      </c>
      <c r="AS6" s="635"/>
      <c r="AT6" s="533" t="s">
        <v>378</v>
      </c>
      <c r="AU6" s="533" t="s">
        <v>379</v>
      </c>
      <c r="AV6" s="533" t="s">
        <v>380</v>
      </c>
      <c r="AW6" s="533" t="s">
        <v>370</v>
      </c>
      <c r="AX6" s="635"/>
      <c r="AZ6" s="371" t="s">
        <v>370</v>
      </c>
      <c r="BA6" s="635"/>
    </row>
    <row r="7" spans="1:53" ht="14.25">
      <c r="A7" s="81"/>
      <c r="B7" s="635" t="s">
        <v>135</v>
      </c>
      <c r="C7" s="383">
        <v>1</v>
      </c>
      <c r="D7" s="225" t="s">
        <v>595</v>
      </c>
      <c r="E7" s="539">
        <v>17</v>
      </c>
      <c r="F7" s="535">
        <v>1565</v>
      </c>
      <c r="G7" s="534">
        <v>92.058823529411768</v>
      </c>
      <c r="H7" s="681">
        <f>AVERAGE(G7:G21)</f>
        <v>87.390780873753016</v>
      </c>
      <c r="I7" s="385">
        <f t="shared" ref="I7:I20" si="0">IFERROR(AVERAGE(P7,U7,Z7,AE7,AJ7,AO7,AT7),"-")</f>
        <v>17</v>
      </c>
      <c r="J7" s="385">
        <f t="shared" ref="J7:J20" si="1">IFERROR(AVERAGE(Q7,V7,AA7,AF7,AK7,AP7,AU7),"-")</f>
        <v>1344.0291509492743</v>
      </c>
      <c r="K7" s="199">
        <f t="shared" ref="K7:K20" si="2">IFERROR(AVERAGE(R7,W7,AB7,AG7,AL7,AQ7,AV7),"-")</f>
        <v>79.060538291133781</v>
      </c>
      <c r="L7" s="616">
        <f>IFERROR(AVERAGE(K7:K21),"-")</f>
        <v>78.386982955196487</v>
      </c>
      <c r="M7" s="387">
        <f>RANK(K7, K$7:$K$21)</f>
        <v>3</v>
      </c>
      <c r="N7" s="635"/>
      <c r="O7" s="635"/>
      <c r="P7" s="535">
        <v>17</v>
      </c>
      <c r="Q7" s="539">
        <v>1363.1677852348998</v>
      </c>
      <c r="R7" s="539">
        <v>80.186340307935282</v>
      </c>
      <c r="S7" s="535">
        <v>3</v>
      </c>
      <c r="T7" s="659">
        <v>78.939948941422472</v>
      </c>
      <c r="U7" s="535">
        <v>17</v>
      </c>
      <c r="V7" s="539">
        <v>1343.8618705035972</v>
      </c>
      <c r="W7" s="539">
        <v>79.050698264917486</v>
      </c>
      <c r="X7" s="535">
        <v>4</v>
      </c>
      <c r="Y7" s="659">
        <v>78.169998225944596</v>
      </c>
      <c r="Z7" s="535">
        <v>17</v>
      </c>
      <c r="AA7" s="539">
        <v>1334.1724137931028</v>
      </c>
      <c r="AB7" s="539">
        <v>78.4807302231237</v>
      </c>
      <c r="AC7" s="535">
        <v>2</v>
      </c>
      <c r="AD7" s="659">
        <v>77.820030172112951</v>
      </c>
      <c r="AE7" s="535">
        <v>17</v>
      </c>
      <c r="AF7" s="539">
        <v>1342.9565217391307</v>
      </c>
      <c r="AG7" s="539">
        <v>78.997442455242989</v>
      </c>
      <c r="AH7" s="535">
        <v>3</v>
      </c>
      <c r="AI7" s="659">
        <v>77.856541025556652</v>
      </c>
      <c r="AJ7" s="535">
        <v>17</v>
      </c>
      <c r="AK7" s="539">
        <v>1328.4729729729727</v>
      </c>
      <c r="AL7" s="539">
        <v>78.145468998410152</v>
      </c>
      <c r="AM7" s="535">
        <v>2</v>
      </c>
      <c r="AN7" s="659">
        <v>77.648528122033568</v>
      </c>
      <c r="AO7" s="535">
        <v>17</v>
      </c>
      <c r="AP7" s="539">
        <v>1335.3510638297871</v>
      </c>
      <c r="AQ7" s="539">
        <v>78.550062578222764</v>
      </c>
      <c r="AR7" s="535">
        <v>3</v>
      </c>
      <c r="AS7" s="659">
        <v>78.119246268400317</v>
      </c>
      <c r="AT7" s="535">
        <v>17</v>
      </c>
      <c r="AU7" s="539">
        <v>1360.221428571429</v>
      </c>
      <c r="AV7" s="539">
        <v>80.013025210084052</v>
      </c>
      <c r="AW7" s="535">
        <v>2</v>
      </c>
      <c r="AX7" s="659">
        <v>77.719411933194351</v>
      </c>
      <c r="AZ7" s="374" t="e">
        <f t="shared" ref="AZ7:AZ21" si="3">RANK(AY7, AY$7:AY$21)</f>
        <v>#N/A</v>
      </c>
      <c r="BA7" s="699" t="e">
        <f t="shared" ref="BA7" si="4">AVERAGE(AY7:AY21)</f>
        <v>#DIV/0!</v>
      </c>
    </row>
    <row r="8" spans="1:53" ht="15" customHeight="1">
      <c r="A8" s="81"/>
      <c r="B8" s="669"/>
      <c r="C8" s="383">
        <v>2</v>
      </c>
      <c r="D8" s="225" t="s">
        <v>603</v>
      </c>
      <c r="E8" s="539">
        <v>18</v>
      </c>
      <c r="F8" s="535">
        <v>1565</v>
      </c>
      <c r="G8" s="534">
        <v>86.944444444444443</v>
      </c>
      <c r="H8" s="682"/>
      <c r="I8" s="385">
        <f t="shared" si="0"/>
        <v>18</v>
      </c>
      <c r="J8" s="385">
        <f t="shared" si="1"/>
        <v>1444.822695035461</v>
      </c>
      <c r="K8" s="199">
        <f t="shared" si="2"/>
        <v>80.267927501970064</v>
      </c>
      <c r="L8" s="617"/>
      <c r="M8" s="387">
        <f>RANK(K8, K$7:$K$21)</f>
        <v>2</v>
      </c>
      <c r="N8" s="635"/>
      <c r="O8" s="635"/>
      <c r="P8" s="535">
        <v>18</v>
      </c>
      <c r="Q8" s="539">
        <v>1462.9787234042556</v>
      </c>
      <c r="R8" s="539">
        <v>81.276595744680861</v>
      </c>
      <c r="S8" s="535">
        <v>2</v>
      </c>
      <c r="T8" s="659"/>
      <c r="U8" s="535">
        <v>18</v>
      </c>
      <c r="V8" s="539">
        <v>1426.6666666666667</v>
      </c>
      <c r="W8" s="539">
        <v>79.259259259259267</v>
      </c>
      <c r="X8" s="535">
        <v>2</v>
      </c>
      <c r="Y8" s="659"/>
      <c r="Z8" s="535" t="s">
        <v>592</v>
      </c>
      <c r="AA8" s="539" t="s">
        <v>592</v>
      </c>
      <c r="AB8" s="539" t="s">
        <v>592</v>
      </c>
      <c r="AC8" s="535" t="e">
        <v>#VALUE!</v>
      </c>
      <c r="AD8" s="659"/>
      <c r="AE8" s="535" t="s">
        <v>592</v>
      </c>
      <c r="AF8" s="539" t="s">
        <v>592</v>
      </c>
      <c r="AG8" s="539" t="s">
        <v>592</v>
      </c>
      <c r="AH8" s="535" t="e">
        <v>#VALUE!</v>
      </c>
      <c r="AI8" s="659"/>
      <c r="AJ8" s="535" t="s">
        <v>592</v>
      </c>
      <c r="AK8" s="539" t="s">
        <v>592</v>
      </c>
      <c r="AL8" s="539" t="s">
        <v>592</v>
      </c>
      <c r="AM8" s="535" t="e">
        <v>#VALUE!</v>
      </c>
      <c r="AN8" s="659"/>
      <c r="AO8" s="535" t="s">
        <v>592</v>
      </c>
      <c r="AP8" s="539" t="s">
        <v>592</v>
      </c>
      <c r="AQ8" s="539" t="s">
        <v>592</v>
      </c>
      <c r="AR8" s="535" t="e">
        <v>#VALUE!</v>
      </c>
      <c r="AS8" s="659"/>
      <c r="AT8" s="535" t="s">
        <v>592</v>
      </c>
      <c r="AU8" s="539" t="s">
        <v>592</v>
      </c>
      <c r="AV8" s="539" t="s">
        <v>592</v>
      </c>
      <c r="AW8" s="535" t="e">
        <v>#VALUE!</v>
      </c>
      <c r="AX8" s="659"/>
      <c r="AZ8" s="374" t="e">
        <f t="shared" si="3"/>
        <v>#N/A</v>
      </c>
      <c r="BA8" s="700"/>
    </row>
    <row r="9" spans="1:53" ht="14.25">
      <c r="A9" s="81"/>
      <c r="B9" s="669"/>
      <c r="C9" s="383">
        <v>3</v>
      </c>
      <c r="D9" s="225" t="s">
        <v>619</v>
      </c>
      <c r="E9" s="539">
        <v>19</v>
      </c>
      <c r="F9" s="535">
        <v>1500</v>
      </c>
      <c r="G9" s="534">
        <v>78.94736842105263</v>
      </c>
      <c r="H9" s="682"/>
      <c r="I9" s="385">
        <f t="shared" si="0"/>
        <v>19</v>
      </c>
      <c r="J9" s="385">
        <f t="shared" si="1"/>
        <v>1338.6534216510458</v>
      </c>
      <c r="K9" s="199">
        <f t="shared" si="2"/>
        <v>70.45544324479188</v>
      </c>
      <c r="L9" s="617"/>
      <c r="M9" s="387">
        <f>RANK(K9, K$7:$K$21)</f>
        <v>5</v>
      </c>
      <c r="N9" s="635"/>
      <c r="O9" s="635"/>
      <c r="P9" s="535">
        <v>19</v>
      </c>
      <c r="Q9" s="539">
        <v>1354.7917241379305</v>
      </c>
      <c r="R9" s="539">
        <v>71.304827586206869</v>
      </c>
      <c r="S9" s="535">
        <v>5</v>
      </c>
      <c r="T9" s="659"/>
      <c r="U9" s="535">
        <v>19</v>
      </c>
      <c r="V9" s="539">
        <v>1328.7440559440561</v>
      </c>
      <c r="W9" s="539">
        <v>69.933897681266103</v>
      </c>
      <c r="X9" s="535">
        <v>5</v>
      </c>
      <c r="Y9" s="659"/>
      <c r="Z9" s="535">
        <v>19</v>
      </c>
      <c r="AA9" s="539">
        <v>1349.3874125874129</v>
      </c>
      <c r="AB9" s="539">
        <v>71.020390136179628</v>
      </c>
      <c r="AC9" s="535">
        <v>4</v>
      </c>
      <c r="AD9" s="659"/>
      <c r="AE9" s="535">
        <v>19</v>
      </c>
      <c r="AF9" s="539">
        <v>1326.4864864864865</v>
      </c>
      <c r="AG9" s="539">
        <v>69.815078236130873</v>
      </c>
      <c r="AH9" s="535">
        <v>4</v>
      </c>
      <c r="AI9" s="659"/>
      <c r="AJ9" s="535">
        <v>19</v>
      </c>
      <c r="AK9" s="539">
        <v>1343.8451612903223</v>
      </c>
      <c r="AL9" s="539">
        <v>70.728692699490651</v>
      </c>
      <c r="AM9" s="535">
        <v>4</v>
      </c>
      <c r="AN9" s="659"/>
      <c r="AO9" s="535">
        <v>19</v>
      </c>
      <c r="AP9" s="539">
        <v>1341.5111111111114</v>
      </c>
      <c r="AQ9" s="539">
        <v>70.605847953216383</v>
      </c>
      <c r="AR9" s="535">
        <v>4</v>
      </c>
      <c r="AS9" s="659"/>
      <c r="AT9" s="535">
        <v>19</v>
      </c>
      <c r="AU9" s="539">
        <v>1325.8080000000007</v>
      </c>
      <c r="AV9" s="539">
        <v>69.779368421052666</v>
      </c>
      <c r="AW9" s="535">
        <v>4</v>
      </c>
      <c r="AX9" s="659"/>
      <c r="AZ9" s="374" t="e">
        <f t="shared" si="3"/>
        <v>#N/A</v>
      </c>
      <c r="BA9" s="700"/>
    </row>
    <row r="10" spans="1:53" ht="14.25">
      <c r="A10" s="81"/>
      <c r="B10" s="669"/>
      <c r="C10" s="383">
        <v>4</v>
      </c>
      <c r="D10" s="225" t="s">
        <v>627</v>
      </c>
      <c r="E10" s="539">
        <v>18</v>
      </c>
      <c r="F10" s="535">
        <v>1565</v>
      </c>
      <c r="G10" s="534">
        <v>86.944444444444443</v>
      </c>
      <c r="H10" s="682"/>
      <c r="I10" s="385">
        <f t="shared" si="0"/>
        <v>18</v>
      </c>
      <c r="J10" s="385">
        <f t="shared" si="1"/>
        <v>1417.0793142962789</v>
      </c>
      <c r="K10" s="199">
        <f t="shared" si="2"/>
        <v>78.726628572015471</v>
      </c>
      <c r="L10" s="617"/>
      <c r="M10" s="387">
        <f>RANK(K10, K$7:$K$21)</f>
        <v>4</v>
      </c>
      <c r="N10" s="635"/>
      <c r="O10" s="635"/>
      <c r="P10" s="535">
        <v>18</v>
      </c>
      <c r="Q10" s="539">
        <v>1411.0344827586209</v>
      </c>
      <c r="R10" s="539">
        <v>78.390804597701162</v>
      </c>
      <c r="S10" s="535">
        <v>4</v>
      </c>
      <c r="T10" s="659"/>
      <c r="U10" s="535">
        <v>18</v>
      </c>
      <c r="V10" s="539">
        <v>1426.3636363636363</v>
      </c>
      <c r="W10" s="539">
        <v>79.242424242424235</v>
      </c>
      <c r="X10" s="535">
        <v>3</v>
      </c>
      <c r="Y10" s="659"/>
      <c r="Z10" s="535">
        <v>18</v>
      </c>
      <c r="AA10" s="539">
        <v>1395.9999999999995</v>
      </c>
      <c r="AB10" s="539">
        <v>77.555555555555529</v>
      </c>
      <c r="AC10" s="535">
        <v>3</v>
      </c>
      <c r="AD10" s="659"/>
      <c r="AE10" s="535">
        <v>18</v>
      </c>
      <c r="AF10" s="539">
        <v>1432.3255813953488</v>
      </c>
      <c r="AG10" s="539">
        <v>79.573643410852711</v>
      </c>
      <c r="AH10" s="535">
        <v>2</v>
      </c>
      <c r="AI10" s="659"/>
      <c r="AJ10" s="535">
        <v>18</v>
      </c>
      <c r="AK10" s="539">
        <v>1405.102040816327</v>
      </c>
      <c r="AL10" s="539">
        <v>78.061224489795947</v>
      </c>
      <c r="AM10" s="535">
        <v>3</v>
      </c>
      <c r="AN10" s="659"/>
      <c r="AO10" s="535">
        <v>18</v>
      </c>
      <c r="AP10" s="539">
        <v>1424.3478260869567</v>
      </c>
      <c r="AQ10" s="539">
        <v>79.130434782608702</v>
      </c>
      <c r="AR10" s="535">
        <v>2</v>
      </c>
      <c r="AS10" s="659"/>
      <c r="AT10" s="535">
        <v>18</v>
      </c>
      <c r="AU10" s="539">
        <v>1424.3816326530616</v>
      </c>
      <c r="AV10" s="539">
        <v>79.132312925170083</v>
      </c>
      <c r="AW10" s="535">
        <v>3</v>
      </c>
      <c r="AX10" s="659"/>
      <c r="AZ10" s="374" t="e">
        <f t="shared" si="3"/>
        <v>#N/A</v>
      </c>
      <c r="BA10" s="700"/>
    </row>
    <row r="11" spans="1:53" ht="14.25">
      <c r="A11" s="81"/>
      <c r="B11" s="669"/>
      <c r="C11" s="383">
        <v>5</v>
      </c>
      <c r="D11" s="225" t="s">
        <v>636</v>
      </c>
      <c r="E11" s="539">
        <v>17</v>
      </c>
      <c r="F11" s="535">
        <v>1565</v>
      </c>
      <c r="G11" s="534">
        <v>92.058823529411768</v>
      </c>
      <c r="H11" s="682"/>
      <c r="I11" s="385">
        <f t="shared" si="0"/>
        <v>17</v>
      </c>
      <c r="J11" s="385">
        <f t="shared" si="1"/>
        <v>1418.2144118232111</v>
      </c>
      <c r="K11" s="199">
        <f t="shared" si="2"/>
        <v>83.424377166071238</v>
      </c>
      <c r="L11" s="617"/>
      <c r="M11" s="387">
        <f>RANK(K11, K$7:$K$21)</f>
        <v>1</v>
      </c>
      <c r="N11" s="635"/>
      <c r="O11" s="635"/>
      <c r="P11" s="535">
        <v>17</v>
      </c>
      <c r="Q11" s="539">
        <v>1420.1999999999998</v>
      </c>
      <c r="R11" s="539">
        <v>83.541176470588226</v>
      </c>
      <c r="S11" s="535">
        <v>1</v>
      </c>
      <c r="T11" s="659"/>
      <c r="U11" s="535">
        <v>17</v>
      </c>
      <c r="V11" s="539">
        <v>1417.1830985915497</v>
      </c>
      <c r="W11" s="539">
        <v>83.363711681855861</v>
      </c>
      <c r="X11" s="535">
        <v>1</v>
      </c>
      <c r="Y11" s="659"/>
      <c r="Z11" s="535">
        <v>17</v>
      </c>
      <c r="AA11" s="539">
        <v>1431.7985611510792</v>
      </c>
      <c r="AB11" s="539">
        <v>84.223444773592888</v>
      </c>
      <c r="AC11" s="535">
        <v>1</v>
      </c>
      <c r="AD11" s="659"/>
      <c r="AE11" s="535">
        <v>17</v>
      </c>
      <c r="AF11" s="539">
        <v>1411.6800000000005</v>
      </c>
      <c r="AG11" s="539">
        <v>83.040000000000035</v>
      </c>
      <c r="AH11" s="535">
        <v>1</v>
      </c>
      <c r="AI11" s="659"/>
      <c r="AJ11" s="535">
        <v>17</v>
      </c>
      <c r="AK11" s="539">
        <v>1422.1983471074384</v>
      </c>
      <c r="AL11" s="539">
        <v>83.65872630043755</v>
      </c>
      <c r="AM11" s="535">
        <v>1</v>
      </c>
      <c r="AN11" s="659"/>
      <c r="AO11" s="535">
        <v>17</v>
      </c>
      <c r="AP11" s="539">
        <v>1431.2408759124087</v>
      </c>
      <c r="AQ11" s="539">
        <v>84.190639759553449</v>
      </c>
      <c r="AR11" s="535">
        <v>1</v>
      </c>
      <c r="AS11" s="659"/>
      <c r="AT11" s="535">
        <v>17</v>
      </c>
      <c r="AU11" s="539">
        <v>1393.2</v>
      </c>
      <c r="AV11" s="539">
        <v>81.952941176470588</v>
      </c>
      <c r="AW11" s="535">
        <v>1</v>
      </c>
      <c r="AX11" s="659"/>
      <c r="AZ11" s="374" t="e">
        <f t="shared" si="3"/>
        <v>#N/A</v>
      </c>
      <c r="BA11" s="700"/>
    </row>
    <row r="12" spans="1:53" ht="14.25">
      <c r="A12" s="81"/>
      <c r="B12" s="669"/>
      <c r="C12" s="383">
        <v>6</v>
      </c>
      <c r="D12" s="225"/>
      <c r="E12" s="539"/>
      <c r="F12" s="535"/>
      <c r="G12" s="534"/>
      <c r="H12" s="682"/>
      <c r="I12" s="385" t="str">
        <f t="shared" si="0"/>
        <v>-</v>
      </c>
      <c r="J12" s="385" t="str">
        <f t="shared" si="1"/>
        <v>-</v>
      </c>
      <c r="K12" s="199" t="str">
        <f t="shared" si="2"/>
        <v>-</v>
      </c>
      <c r="L12" s="617"/>
      <c r="M12" s="387" t="e">
        <f>RANK(K12, K$7:$K$21)</f>
        <v>#VALUE!</v>
      </c>
      <c r="N12" s="635"/>
      <c r="O12" s="635"/>
      <c r="P12" s="535" t="s">
        <v>592</v>
      </c>
      <c r="Q12" s="539" t="s">
        <v>592</v>
      </c>
      <c r="R12" s="539" t="s">
        <v>592</v>
      </c>
      <c r="S12" s="535" t="e">
        <v>#VALUE!</v>
      </c>
      <c r="T12" s="659"/>
      <c r="U12" s="535" t="s">
        <v>592</v>
      </c>
      <c r="V12" s="539" t="s">
        <v>592</v>
      </c>
      <c r="W12" s="539" t="s">
        <v>592</v>
      </c>
      <c r="X12" s="535" t="e">
        <v>#VALUE!</v>
      </c>
      <c r="Y12" s="659"/>
      <c r="Z12" s="535" t="s">
        <v>592</v>
      </c>
      <c r="AA12" s="539" t="s">
        <v>592</v>
      </c>
      <c r="AB12" s="539" t="s">
        <v>592</v>
      </c>
      <c r="AC12" s="535" t="e">
        <v>#VALUE!</v>
      </c>
      <c r="AD12" s="659"/>
      <c r="AE12" s="535" t="s">
        <v>592</v>
      </c>
      <c r="AF12" s="539" t="s">
        <v>592</v>
      </c>
      <c r="AG12" s="539" t="s">
        <v>592</v>
      </c>
      <c r="AH12" s="535" t="e">
        <v>#VALUE!</v>
      </c>
      <c r="AI12" s="659"/>
      <c r="AJ12" s="535" t="s">
        <v>592</v>
      </c>
      <c r="AK12" s="539" t="s">
        <v>592</v>
      </c>
      <c r="AL12" s="539" t="s">
        <v>592</v>
      </c>
      <c r="AM12" s="535" t="e">
        <v>#VALUE!</v>
      </c>
      <c r="AN12" s="659"/>
      <c r="AO12" s="535" t="s">
        <v>592</v>
      </c>
      <c r="AP12" s="539" t="s">
        <v>592</v>
      </c>
      <c r="AQ12" s="539" t="s">
        <v>592</v>
      </c>
      <c r="AR12" s="535" t="e">
        <v>#VALUE!</v>
      </c>
      <c r="AS12" s="659"/>
      <c r="AT12" s="535" t="s">
        <v>592</v>
      </c>
      <c r="AU12" s="539" t="s">
        <v>592</v>
      </c>
      <c r="AV12" s="539" t="s">
        <v>592</v>
      </c>
      <c r="AW12" s="535" t="e">
        <v>#VALUE!</v>
      </c>
      <c r="AX12" s="659"/>
      <c r="AZ12" s="374" t="e">
        <f t="shared" si="3"/>
        <v>#N/A</v>
      </c>
      <c r="BA12" s="700"/>
    </row>
    <row r="13" spans="1:53" ht="14.25">
      <c r="A13" s="81"/>
      <c r="B13" s="669"/>
      <c r="C13" s="383">
        <v>7</v>
      </c>
      <c r="D13" s="225"/>
      <c r="E13" s="539"/>
      <c r="F13" s="535"/>
      <c r="G13" s="534"/>
      <c r="H13" s="682"/>
      <c r="I13" s="385" t="str">
        <f t="shared" si="0"/>
        <v>-</v>
      </c>
      <c r="J13" s="385" t="str">
        <f t="shared" si="1"/>
        <v>-</v>
      </c>
      <c r="K13" s="199" t="str">
        <f t="shared" si="2"/>
        <v>-</v>
      </c>
      <c r="L13" s="617"/>
      <c r="M13" s="387" t="e">
        <f>RANK(K13, K$7:$K$21)</f>
        <v>#VALUE!</v>
      </c>
      <c r="N13" s="635"/>
      <c r="O13" s="635"/>
      <c r="P13" s="535" t="s">
        <v>592</v>
      </c>
      <c r="Q13" s="539" t="s">
        <v>592</v>
      </c>
      <c r="R13" s="539" t="s">
        <v>592</v>
      </c>
      <c r="S13" s="535" t="e">
        <v>#VALUE!</v>
      </c>
      <c r="T13" s="659"/>
      <c r="U13" s="535" t="s">
        <v>592</v>
      </c>
      <c r="V13" s="539" t="s">
        <v>592</v>
      </c>
      <c r="W13" s="539" t="s">
        <v>592</v>
      </c>
      <c r="X13" s="535" t="e">
        <v>#VALUE!</v>
      </c>
      <c r="Y13" s="659"/>
      <c r="Z13" s="535" t="s">
        <v>592</v>
      </c>
      <c r="AA13" s="539" t="s">
        <v>592</v>
      </c>
      <c r="AB13" s="539" t="s">
        <v>592</v>
      </c>
      <c r="AC13" s="535" t="e">
        <v>#VALUE!</v>
      </c>
      <c r="AD13" s="659"/>
      <c r="AE13" s="535" t="s">
        <v>592</v>
      </c>
      <c r="AF13" s="539" t="s">
        <v>592</v>
      </c>
      <c r="AG13" s="539" t="s">
        <v>592</v>
      </c>
      <c r="AH13" s="535" t="e">
        <v>#VALUE!</v>
      </c>
      <c r="AI13" s="659"/>
      <c r="AJ13" s="535" t="s">
        <v>592</v>
      </c>
      <c r="AK13" s="539" t="s">
        <v>592</v>
      </c>
      <c r="AL13" s="539" t="s">
        <v>592</v>
      </c>
      <c r="AM13" s="535" t="e">
        <v>#VALUE!</v>
      </c>
      <c r="AN13" s="659"/>
      <c r="AO13" s="535" t="s">
        <v>592</v>
      </c>
      <c r="AP13" s="539" t="s">
        <v>592</v>
      </c>
      <c r="AQ13" s="539" t="s">
        <v>592</v>
      </c>
      <c r="AR13" s="535" t="e">
        <v>#VALUE!</v>
      </c>
      <c r="AS13" s="659"/>
      <c r="AT13" s="535" t="s">
        <v>592</v>
      </c>
      <c r="AU13" s="539" t="s">
        <v>592</v>
      </c>
      <c r="AV13" s="539" t="s">
        <v>592</v>
      </c>
      <c r="AW13" s="535" t="e">
        <v>#VALUE!</v>
      </c>
      <c r="AX13" s="659"/>
      <c r="AZ13" s="374" t="e">
        <f t="shared" si="3"/>
        <v>#N/A</v>
      </c>
      <c r="BA13" s="700"/>
    </row>
    <row r="14" spans="1:53" ht="14.25">
      <c r="A14" s="81"/>
      <c r="B14" s="669"/>
      <c r="C14" s="383">
        <v>8</v>
      </c>
      <c r="D14" s="225"/>
      <c r="E14" s="539"/>
      <c r="F14" s="535"/>
      <c r="G14" s="534"/>
      <c r="H14" s="682"/>
      <c r="I14" s="385" t="str">
        <f t="shared" si="0"/>
        <v>-</v>
      </c>
      <c r="J14" s="385" t="str">
        <f t="shared" si="1"/>
        <v>-</v>
      </c>
      <c r="K14" s="199" t="str">
        <f t="shared" si="2"/>
        <v>-</v>
      </c>
      <c r="L14" s="617"/>
      <c r="M14" s="387" t="e">
        <f>RANK(K14, K$7:$K$21)</f>
        <v>#VALUE!</v>
      </c>
      <c r="N14" s="635"/>
      <c r="O14" s="635"/>
      <c r="P14" s="535" t="s">
        <v>592</v>
      </c>
      <c r="Q14" s="539" t="s">
        <v>592</v>
      </c>
      <c r="R14" s="539" t="s">
        <v>592</v>
      </c>
      <c r="S14" s="535" t="e">
        <v>#VALUE!</v>
      </c>
      <c r="T14" s="659"/>
      <c r="U14" s="535" t="s">
        <v>592</v>
      </c>
      <c r="V14" s="539" t="s">
        <v>592</v>
      </c>
      <c r="W14" s="539" t="s">
        <v>592</v>
      </c>
      <c r="X14" s="535" t="e">
        <v>#VALUE!</v>
      </c>
      <c r="Y14" s="659"/>
      <c r="Z14" s="535" t="s">
        <v>592</v>
      </c>
      <c r="AA14" s="539" t="s">
        <v>592</v>
      </c>
      <c r="AB14" s="539" t="s">
        <v>592</v>
      </c>
      <c r="AC14" s="535" t="e">
        <v>#VALUE!</v>
      </c>
      <c r="AD14" s="659"/>
      <c r="AE14" s="535" t="s">
        <v>592</v>
      </c>
      <c r="AF14" s="539" t="s">
        <v>592</v>
      </c>
      <c r="AG14" s="539" t="s">
        <v>592</v>
      </c>
      <c r="AH14" s="535" t="e">
        <v>#VALUE!</v>
      </c>
      <c r="AI14" s="659"/>
      <c r="AJ14" s="535" t="s">
        <v>592</v>
      </c>
      <c r="AK14" s="539" t="s">
        <v>592</v>
      </c>
      <c r="AL14" s="539" t="s">
        <v>592</v>
      </c>
      <c r="AM14" s="535" t="e">
        <v>#VALUE!</v>
      </c>
      <c r="AN14" s="659"/>
      <c r="AO14" s="535" t="s">
        <v>592</v>
      </c>
      <c r="AP14" s="539" t="s">
        <v>592</v>
      </c>
      <c r="AQ14" s="539" t="s">
        <v>592</v>
      </c>
      <c r="AR14" s="535" t="e">
        <v>#VALUE!</v>
      </c>
      <c r="AS14" s="659"/>
      <c r="AT14" s="535" t="s">
        <v>592</v>
      </c>
      <c r="AU14" s="539" t="s">
        <v>592</v>
      </c>
      <c r="AV14" s="539" t="s">
        <v>592</v>
      </c>
      <c r="AW14" s="535" t="e">
        <v>#VALUE!</v>
      </c>
      <c r="AX14" s="659"/>
      <c r="AZ14" s="374" t="e">
        <f t="shared" si="3"/>
        <v>#N/A</v>
      </c>
      <c r="BA14" s="700"/>
    </row>
    <row r="15" spans="1:53" ht="14.25">
      <c r="A15" s="81"/>
      <c r="B15" s="669"/>
      <c r="C15" s="383">
        <v>9</v>
      </c>
      <c r="D15" s="225"/>
      <c r="E15" s="539"/>
      <c r="F15" s="535"/>
      <c r="G15" s="534"/>
      <c r="H15" s="682"/>
      <c r="I15" s="385" t="str">
        <f t="shared" si="0"/>
        <v>-</v>
      </c>
      <c r="J15" s="385" t="str">
        <f t="shared" si="1"/>
        <v>-</v>
      </c>
      <c r="K15" s="199" t="str">
        <f t="shared" si="2"/>
        <v>-</v>
      </c>
      <c r="L15" s="617"/>
      <c r="M15" s="387" t="e">
        <f>RANK(K15, K$7:$K$21)</f>
        <v>#VALUE!</v>
      </c>
      <c r="N15" s="635"/>
      <c r="O15" s="635"/>
      <c r="P15" s="535" t="s">
        <v>592</v>
      </c>
      <c r="Q15" s="539" t="s">
        <v>592</v>
      </c>
      <c r="R15" s="539" t="s">
        <v>592</v>
      </c>
      <c r="S15" s="535" t="e">
        <v>#VALUE!</v>
      </c>
      <c r="T15" s="659"/>
      <c r="U15" s="535" t="s">
        <v>592</v>
      </c>
      <c r="V15" s="539" t="s">
        <v>592</v>
      </c>
      <c r="W15" s="539" t="s">
        <v>592</v>
      </c>
      <c r="X15" s="535" t="e">
        <v>#VALUE!</v>
      </c>
      <c r="Y15" s="659"/>
      <c r="Z15" s="535" t="s">
        <v>592</v>
      </c>
      <c r="AA15" s="539" t="s">
        <v>592</v>
      </c>
      <c r="AB15" s="539" t="s">
        <v>592</v>
      </c>
      <c r="AC15" s="535" t="e">
        <v>#VALUE!</v>
      </c>
      <c r="AD15" s="659"/>
      <c r="AE15" s="535" t="s">
        <v>592</v>
      </c>
      <c r="AF15" s="539" t="s">
        <v>592</v>
      </c>
      <c r="AG15" s="539" t="s">
        <v>592</v>
      </c>
      <c r="AH15" s="535" t="e">
        <v>#VALUE!</v>
      </c>
      <c r="AI15" s="659"/>
      <c r="AJ15" s="535" t="s">
        <v>592</v>
      </c>
      <c r="AK15" s="539" t="s">
        <v>592</v>
      </c>
      <c r="AL15" s="539" t="s">
        <v>592</v>
      </c>
      <c r="AM15" s="535" t="e">
        <v>#VALUE!</v>
      </c>
      <c r="AN15" s="659"/>
      <c r="AO15" s="535" t="s">
        <v>592</v>
      </c>
      <c r="AP15" s="539" t="s">
        <v>592</v>
      </c>
      <c r="AQ15" s="539" t="s">
        <v>592</v>
      </c>
      <c r="AR15" s="535" t="e">
        <v>#VALUE!</v>
      </c>
      <c r="AS15" s="659"/>
      <c r="AT15" s="535" t="s">
        <v>592</v>
      </c>
      <c r="AU15" s="539" t="s">
        <v>592</v>
      </c>
      <c r="AV15" s="539" t="s">
        <v>592</v>
      </c>
      <c r="AW15" s="535" t="e">
        <v>#VALUE!</v>
      </c>
      <c r="AX15" s="659"/>
      <c r="AZ15" s="374" t="e">
        <f t="shared" si="3"/>
        <v>#N/A</v>
      </c>
      <c r="BA15" s="700"/>
    </row>
    <row r="16" spans="1:53" ht="14.25">
      <c r="A16" s="81"/>
      <c r="B16" s="669"/>
      <c r="C16" s="383">
        <v>10</v>
      </c>
      <c r="D16" s="225"/>
      <c r="E16" s="539"/>
      <c r="F16" s="535"/>
      <c r="G16" s="534"/>
      <c r="H16" s="682"/>
      <c r="I16" s="385" t="str">
        <f t="shared" si="0"/>
        <v>-</v>
      </c>
      <c r="J16" s="385" t="str">
        <f t="shared" si="1"/>
        <v>-</v>
      </c>
      <c r="K16" s="199" t="str">
        <f t="shared" si="2"/>
        <v>-</v>
      </c>
      <c r="L16" s="617"/>
      <c r="M16" s="387" t="e">
        <f>RANK(K16, K$7:$K$21)</f>
        <v>#VALUE!</v>
      </c>
      <c r="N16" s="635"/>
      <c r="O16" s="635"/>
      <c r="P16" s="535" t="s">
        <v>592</v>
      </c>
      <c r="Q16" s="539" t="s">
        <v>592</v>
      </c>
      <c r="R16" s="539" t="s">
        <v>592</v>
      </c>
      <c r="S16" s="535" t="e">
        <v>#VALUE!</v>
      </c>
      <c r="T16" s="659"/>
      <c r="U16" s="535" t="s">
        <v>592</v>
      </c>
      <c r="V16" s="539" t="s">
        <v>592</v>
      </c>
      <c r="W16" s="539" t="s">
        <v>592</v>
      </c>
      <c r="X16" s="535" t="e">
        <v>#VALUE!</v>
      </c>
      <c r="Y16" s="659"/>
      <c r="Z16" s="535" t="s">
        <v>592</v>
      </c>
      <c r="AA16" s="539" t="s">
        <v>592</v>
      </c>
      <c r="AB16" s="539" t="s">
        <v>592</v>
      </c>
      <c r="AC16" s="535" t="e">
        <v>#VALUE!</v>
      </c>
      <c r="AD16" s="659"/>
      <c r="AE16" s="535" t="s">
        <v>592</v>
      </c>
      <c r="AF16" s="539" t="s">
        <v>592</v>
      </c>
      <c r="AG16" s="539" t="s">
        <v>592</v>
      </c>
      <c r="AH16" s="535" t="e">
        <v>#VALUE!</v>
      </c>
      <c r="AI16" s="659"/>
      <c r="AJ16" s="535" t="s">
        <v>592</v>
      </c>
      <c r="AK16" s="539" t="s">
        <v>592</v>
      </c>
      <c r="AL16" s="539" t="s">
        <v>592</v>
      </c>
      <c r="AM16" s="535" t="e">
        <v>#VALUE!</v>
      </c>
      <c r="AN16" s="659"/>
      <c r="AO16" s="535" t="s">
        <v>592</v>
      </c>
      <c r="AP16" s="539" t="s">
        <v>592</v>
      </c>
      <c r="AQ16" s="539" t="s">
        <v>592</v>
      </c>
      <c r="AR16" s="535" t="e">
        <v>#VALUE!</v>
      </c>
      <c r="AS16" s="659"/>
      <c r="AT16" s="535" t="s">
        <v>592</v>
      </c>
      <c r="AU16" s="539" t="s">
        <v>592</v>
      </c>
      <c r="AV16" s="539" t="s">
        <v>592</v>
      </c>
      <c r="AW16" s="535" t="e">
        <v>#VALUE!</v>
      </c>
      <c r="AX16" s="659"/>
      <c r="AZ16" s="374" t="e">
        <f t="shared" si="3"/>
        <v>#N/A</v>
      </c>
      <c r="BA16" s="700"/>
    </row>
    <row r="17" spans="2:53">
      <c r="B17" s="669"/>
      <c r="C17" s="383">
        <v>11</v>
      </c>
      <c r="D17" s="225"/>
      <c r="E17" s="539"/>
      <c r="F17" s="535"/>
      <c r="G17" s="534"/>
      <c r="H17" s="682"/>
      <c r="I17" s="385" t="str">
        <f t="shared" si="0"/>
        <v>-</v>
      </c>
      <c r="J17" s="385" t="str">
        <f t="shared" si="1"/>
        <v>-</v>
      </c>
      <c r="K17" s="199" t="str">
        <f t="shared" si="2"/>
        <v>-</v>
      </c>
      <c r="L17" s="617"/>
      <c r="M17" s="387" t="e">
        <f>RANK(K17, K$7:$K$21)</f>
        <v>#VALUE!</v>
      </c>
      <c r="N17" s="635"/>
      <c r="O17" s="635"/>
      <c r="P17" s="535" t="s">
        <v>592</v>
      </c>
      <c r="Q17" s="539" t="s">
        <v>592</v>
      </c>
      <c r="R17" s="539" t="s">
        <v>592</v>
      </c>
      <c r="S17" s="535" t="e">
        <v>#VALUE!</v>
      </c>
      <c r="T17" s="659"/>
      <c r="U17" s="535" t="s">
        <v>592</v>
      </c>
      <c r="V17" s="539" t="s">
        <v>592</v>
      </c>
      <c r="W17" s="539" t="s">
        <v>592</v>
      </c>
      <c r="X17" s="535" t="e">
        <v>#VALUE!</v>
      </c>
      <c r="Y17" s="659"/>
      <c r="Z17" s="535" t="s">
        <v>592</v>
      </c>
      <c r="AA17" s="539" t="s">
        <v>592</v>
      </c>
      <c r="AB17" s="539" t="s">
        <v>592</v>
      </c>
      <c r="AC17" s="535" t="e">
        <v>#VALUE!</v>
      </c>
      <c r="AD17" s="659"/>
      <c r="AE17" s="535" t="s">
        <v>592</v>
      </c>
      <c r="AF17" s="539" t="s">
        <v>592</v>
      </c>
      <c r="AG17" s="539" t="s">
        <v>592</v>
      </c>
      <c r="AH17" s="535" t="e">
        <v>#VALUE!</v>
      </c>
      <c r="AI17" s="659"/>
      <c r="AJ17" s="535" t="s">
        <v>592</v>
      </c>
      <c r="AK17" s="539" t="s">
        <v>592</v>
      </c>
      <c r="AL17" s="539" t="s">
        <v>592</v>
      </c>
      <c r="AM17" s="535" t="e">
        <v>#VALUE!</v>
      </c>
      <c r="AN17" s="659"/>
      <c r="AO17" s="535" t="s">
        <v>592</v>
      </c>
      <c r="AP17" s="539" t="s">
        <v>592</v>
      </c>
      <c r="AQ17" s="539" t="s">
        <v>592</v>
      </c>
      <c r="AR17" s="535" t="e">
        <v>#VALUE!</v>
      </c>
      <c r="AS17" s="659"/>
      <c r="AT17" s="535" t="s">
        <v>592</v>
      </c>
      <c r="AU17" s="539" t="s">
        <v>592</v>
      </c>
      <c r="AV17" s="539" t="s">
        <v>592</v>
      </c>
      <c r="AW17" s="535" t="e">
        <v>#VALUE!</v>
      </c>
      <c r="AX17" s="659"/>
      <c r="AZ17" s="374" t="e">
        <f t="shared" si="3"/>
        <v>#N/A</v>
      </c>
      <c r="BA17" s="700"/>
    </row>
    <row r="18" spans="2:53">
      <c r="B18" s="669"/>
      <c r="C18" s="383">
        <v>12</v>
      </c>
      <c r="D18" s="225"/>
      <c r="E18" s="539"/>
      <c r="F18" s="535"/>
      <c r="G18" s="534"/>
      <c r="H18" s="682"/>
      <c r="I18" s="385" t="str">
        <f t="shared" si="0"/>
        <v>-</v>
      </c>
      <c r="J18" s="385" t="str">
        <f t="shared" si="1"/>
        <v>-</v>
      </c>
      <c r="K18" s="199" t="str">
        <f t="shared" si="2"/>
        <v>-</v>
      </c>
      <c r="L18" s="617"/>
      <c r="M18" s="387" t="e">
        <f>RANK(K18, K$7:$K$21)</f>
        <v>#VALUE!</v>
      </c>
      <c r="N18" s="635"/>
      <c r="O18" s="635"/>
      <c r="P18" s="535" t="s">
        <v>592</v>
      </c>
      <c r="Q18" s="539" t="s">
        <v>592</v>
      </c>
      <c r="R18" s="539" t="s">
        <v>592</v>
      </c>
      <c r="S18" s="535" t="e">
        <v>#VALUE!</v>
      </c>
      <c r="T18" s="659"/>
      <c r="U18" s="535" t="s">
        <v>592</v>
      </c>
      <c r="V18" s="539" t="s">
        <v>592</v>
      </c>
      <c r="W18" s="539" t="s">
        <v>592</v>
      </c>
      <c r="X18" s="535" t="e">
        <v>#VALUE!</v>
      </c>
      <c r="Y18" s="659"/>
      <c r="Z18" s="535" t="s">
        <v>592</v>
      </c>
      <c r="AA18" s="539" t="s">
        <v>592</v>
      </c>
      <c r="AB18" s="539" t="s">
        <v>592</v>
      </c>
      <c r="AC18" s="535" t="e">
        <v>#VALUE!</v>
      </c>
      <c r="AD18" s="659"/>
      <c r="AE18" s="535" t="s">
        <v>592</v>
      </c>
      <c r="AF18" s="539" t="s">
        <v>592</v>
      </c>
      <c r="AG18" s="539" t="s">
        <v>592</v>
      </c>
      <c r="AH18" s="535" t="e">
        <v>#VALUE!</v>
      </c>
      <c r="AI18" s="659"/>
      <c r="AJ18" s="535" t="s">
        <v>592</v>
      </c>
      <c r="AK18" s="539" t="s">
        <v>592</v>
      </c>
      <c r="AL18" s="539" t="s">
        <v>592</v>
      </c>
      <c r="AM18" s="535" t="e">
        <v>#VALUE!</v>
      </c>
      <c r="AN18" s="659"/>
      <c r="AO18" s="535" t="s">
        <v>592</v>
      </c>
      <c r="AP18" s="539" t="s">
        <v>592</v>
      </c>
      <c r="AQ18" s="539" t="s">
        <v>592</v>
      </c>
      <c r="AR18" s="535" t="e">
        <v>#VALUE!</v>
      </c>
      <c r="AS18" s="659"/>
      <c r="AT18" s="535" t="s">
        <v>592</v>
      </c>
      <c r="AU18" s="539" t="s">
        <v>592</v>
      </c>
      <c r="AV18" s="539" t="s">
        <v>592</v>
      </c>
      <c r="AW18" s="535" t="e">
        <v>#VALUE!</v>
      </c>
      <c r="AX18" s="659"/>
      <c r="AZ18" s="374" t="e">
        <f t="shared" si="3"/>
        <v>#N/A</v>
      </c>
      <c r="BA18" s="700"/>
    </row>
    <row r="19" spans="2:53">
      <c r="B19" s="669"/>
      <c r="C19" s="383">
        <v>13</v>
      </c>
      <c r="D19" s="225"/>
      <c r="E19" s="539"/>
      <c r="F19" s="535"/>
      <c r="G19" s="534"/>
      <c r="H19" s="682"/>
      <c r="I19" s="385" t="str">
        <f t="shared" si="0"/>
        <v>-</v>
      </c>
      <c r="J19" s="385" t="str">
        <f t="shared" si="1"/>
        <v>-</v>
      </c>
      <c r="K19" s="199" t="str">
        <f t="shared" si="2"/>
        <v>-</v>
      </c>
      <c r="L19" s="617"/>
      <c r="M19" s="387" t="e">
        <f>RANK(K19, K$7:$K$21)</f>
        <v>#VALUE!</v>
      </c>
      <c r="N19" s="635"/>
      <c r="O19" s="635"/>
      <c r="P19" s="535" t="s">
        <v>592</v>
      </c>
      <c r="Q19" s="539" t="s">
        <v>592</v>
      </c>
      <c r="R19" s="539" t="s">
        <v>592</v>
      </c>
      <c r="S19" s="535" t="e">
        <v>#VALUE!</v>
      </c>
      <c r="T19" s="659"/>
      <c r="U19" s="535" t="s">
        <v>592</v>
      </c>
      <c r="V19" s="539" t="s">
        <v>592</v>
      </c>
      <c r="W19" s="539" t="s">
        <v>592</v>
      </c>
      <c r="X19" s="535" t="e">
        <v>#VALUE!</v>
      </c>
      <c r="Y19" s="659"/>
      <c r="Z19" s="535" t="s">
        <v>592</v>
      </c>
      <c r="AA19" s="539" t="s">
        <v>592</v>
      </c>
      <c r="AB19" s="539" t="s">
        <v>592</v>
      </c>
      <c r="AC19" s="535" t="e">
        <v>#VALUE!</v>
      </c>
      <c r="AD19" s="659"/>
      <c r="AE19" s="535" t="s">
        <v>592</v>
      </c>
      <c r="AF19" s="539" t="s">
        <v>592</v>
      </c>
      <c r="AG19" s="539" t="s">
        <v>592</v>
      </c>
      <c r="AH19" s="535" t="e">
        <v>#VALUE!</v>
      </c>
      <c r="AI19" s="659"/>
      <c r="AJ19" s="535" t="s">
        <v>592</v>
      </c>
      <c r="AK19" s="539" t="s">
        <v>592</v>
      </c>
      <c r="AL19" s="539" t="s">
        <v>592</v>
      </c>
      <c r="AM19" s="535" t="e">
        <v>#VALUE!</v>
      </c>
      <c r="AN19" s="659"/>
      <c r="AO19" s="535" t="s">
        <v>592</v>
      </c>
      <c r="AP19" s="539" t="s">
        <v>592</v>
      </c>
      <c r="AQ19" s="539" t="s">
        <v>592</v>
      </c>
      <c r="AR19" s="535" t="e">
        <v>#VALUE!</v>
      </c>
      <c r="AS19" s="659"/>
      <c r="AT19" s="535" t="s">
        <v>592</v>
      </c>
      <c r="AU19" s="539" t="s">
        <v>592</v>
      </c>
      <c r="AV19" s="539" t="s">
        <v>592</v>
      </c>
      <c r="AW19" s="535" t="e">
        <v>#VALUE!</v>
      </c>
      <c r="AX19" s="659"/>
      <c r="AZ19" s="374" t="e">
        <f t="shared" si="3"/>
        <v>#N/A</v>
      </c>
      <c r="BA19" s="700"/>
    </row>
    <row r="20" spans="2:53">
      <c r="B20" s="669"/>
      <c r="C20" s="383">
        <v>14</v>
      </c>
      <c r="D20" s="225"/>
      <c r="E20" s="539"/>
      <c r="F20" s="535"/>
      <c r="G20" s="534"/>
      <c r="H20" s="682"/>
      <c r="I20" s="385" t="str">
        <f t="shared" si="0"/>
        <v>-</v>
      </c>
      <c r="J20" s="385" t="str">
        <f t="shared" si="1"/>
        <v>-</v>
      </c>
      <c r="K20" s="199" t="str">
        <f t="shared" si="2"/>
        <v>-</v>
      </c>
      <c r="L20" s="617"/>
      <c r="M20" s="387" t="e">
        <f>RANK(K20, K$7:$K$21)</f>
        <v>#VALUE!</v>
      </c>
      <c r="N20" s="635"/>
      <c r="O20" s="635"/>
      <c r="P20" s="535" t="s">
        <v>592</v>
      </c>
      <c r="Q20" s="539" t="s">
        <v>592</v>
      </c>
      <c r="R20" s="539" t="s">
        <v>592</v>
      </c>
      <c r="S20" s="535" t="e">
        <v>#VALUE!</v>
      </c>
      <c r="T20" s="659"/>
      <c r="U20" s="535" t="s">
        <v>592</v>
      </c>
      <c r="V20" s="539" t="s">
        <v>592</v>
      </c>
      <c r="W20" s="539" t="s">
        <v>592</v>
      </c>
      <c r="X20" s="535" t="e">
        <v>#VALUE!</v>
      </c>
      <c r="Y20" s="659"/>
      <c r="Z20" s="535" t="s">
        <v>592</v>
      </c>
      <c r="AA20" s="539" t="s">
        <v>592</v>
      </c>
      <c r="AB20" s="539" t="s">
        <v>592</v>
      </c>
      <c r="AC20" s="535" t="e">
        <v>#VALUE!</v>
      </c>
      <c r="AD20" s="659"/>
      <c r="AE20" s="535" t="s">
        <v>592</v>
      </c>
      <c r="AF20" s="539" t="s">
        <v>592</v>
      </c>
      <c r="AG20" s="539" t="s">
        <v>592</v>
      </c>
      <c r="AH20" s="535" t="e">
        <v>#VALUE!</v>
      </c>
      <c r="AI20" s="659"/>
      <c r="AJ20" s="535" t="s">
        <v>592</v>
      </c>
      <c r="AK20" s="539" t="s">
        <v>592</v>
      </c>
      <c r="AL20" s="539" t="s">
        <v>592</v>
      </c>
      <c r="AM20" s="535" t="e">
        <v>#VALUE!</v>
      </c>
      <c r="AN20" s="659"/>
      <c r="AO20" s="535" t="s">
        <v>592</v>
      </c>
      <c r="AP20" s="539" t="s">
        <v>592</v>
      </c>
      <c r="AQ20" s="539" t="s">
        <v>592</v>
      </c>
      <c r="AR20" s="535" t="e">
        <v>#VALUE!</v>
      </c>
      <c r="AS20" s="659"/>
      <c r="AT20" s="535" t="s">
        <v>592</v>
      </c>
      <c r="AU20" s="539" t="s">
        <v>592</v>
      </c>
      <c r="AV20" s="539" t="s">
        <v>592</v>
      </c>
      <c r="AW20" s="535" t="e">
        <v>#VALUE!</v>
      </c>
      <c r="AX20" s="659"/>
      <c r="AZ20" s="374" t="e">
        <f t="shared" si="3"/>
        <v>#N/A</v>
      </c>
      <c r="BA20" s="700"/>
    </row>
    <row r="21" spans="2:53">
      <c r="B21" s="669"/>
      <c r="C21" s="383">
        <v>15</v>
      </c>
      <c r="D21" s="225"/>
      <c r="E21" s="539"/>
      <c r="F21" s="535"/>
      <c r="G21" s="534"/>
      <c r="H21" s="683"/>
      <c r="I21" s="384"/>
      <c r="J21" s="384"/>
      <c r="K21" s="384"/>
      <c r="L21" s="618"/>
      <c r="M21" s="387" t="e">
        <f>RANK(K21, K$7:$K$21)</f>
        <v>#N/A</v>
      </c>
      <c r="N21" s="635"/>
      <c r="O21" s="635"/>
      <c r="P21" s="535" t="s">
        <v>592</v>
      </c>
      <c r="Q21" s="539" t="s">
        <v>592</v>
      </c>
      <c r="R21" s="539" t="s">
        <v>592</v>
      </c>
      <c r="S21" s="535" t="e">
        <v>#VALUE!</v>
      </c>
      <c r="T21" s="659"/>
      <c r="U21" s="535" t="s">
        <v>592</v>
      </c>
      <c r="V21" s="539" t="s">
        <v>592</v>
      </c>
      <c r="W21" s="539" t="s">
        <v>592</v>
      </c>
      <c r="X21" s="535" t="e">
        <v>#VALUE!</v>
      </c>
      <c r="Y21" s="659"/>
      <c r="Z21" s="535" t="s">
        <v>592</v>
      </c>
      <c r="AA21" s="539" t="s">
        <v>592</v>
      </c>
      <c r="AB21" s="539" t="s">
        <v>592</v>
      </c>
      <c r="AC21" s="535" t="e">
        <v>#VALUE!</v>
      </c>
      <c r="AD21" s="659"/>
      <c r="AE21" s="535" t="s">
        <v>592</v>
      </c>
      <c r="AF21" s="539" t="s">
        <v>592</v>
      </c>
      <c r="AG21" s="539" t="s">
        <v>592</v>
      </c>
      <c r="AH21" s="535" t="e">
        <v>#VALUE!</v>
      </c>
      <c r="AI21" s="659"/>
      <c r="AJ21" s="535" t="s">
        <v>592</v>
      </c>
      <c r="AK21" s="539" t="s">
        <v>592</v>
      </c>
      <c r="AL21" s="539" t="s">
        <v>592</v>
      </c>
      <c r="AM21" s="535" t="e">
        <v>#VALUE!</v>
      </c>
      <c r="AN21" s="659"/>
      <c r="AO21" s="535" t="s">
        <v>592</v>
      </c>
      <c r="AP21" s="539" t="s">
        <v>592</v>
      </c>
      <c r="AQ21" s="539" t="s">
        <v>592</v>
      </c>
      <c r="AR21" s="535" t="e">
        <v>#VALUE!</v>
      </c>
      <c r="AS21" s="659"/>
      <c r="AT21" s="535" t="s">
        <v>592</v>
      </c>
      <c r="AU21" s="539" t="s">
        <v>592</v>
      </c>
      <c r="AV21" s="539" t="s">
        <v>592</v>
      </c>
      <c r="AW21" s="535" t="e">
        <v>#VALUE!</v>
      </c>
      <c r="AX21" s="659"/>
      <c r="AZ21" s="374" t="e">
        <f t="shared" si="3"/>
        <v>#N/A</v>
      </c>
      <c r="BA21" s="701"/>
    </row>
    <row r="22" spans="2:53" ht="15.75">
      <c r="B22" s="666" t="s">
        <v>162</v>
      </c>
      <c r="C22" s="667"/>
      <c r="D22" s="667"/>
      <c r="E22" s="667"/>
      <c r="F22" s="667"/>
      <c r="G22" s="667"/>
      <c r="H22" s="667"/>
      <c r="I22" s="202"/>
      <c r="J22" s="202"/>
      <c r="K22" s="202"/>
      <c r="L22" s="202"/>
      <c r="M22" s="203"/>
      <c r="N22" s="639" t="s">
        <v>156</v>
      </c>
      <c r="O22" s="639" t="s">
        <v>105</v>
      </c>
      <c r="P22" s="645">
        <f>P2+7</f>
        <v>46210</v>
      </c>
      <c r="Q22" s="646"/>
      <c r="R22" s="646"/>
      <c r="S22" s="646"/>
      <c r="T22" s="646"/>
      <c r="U22" s="642">
        <f>P22+1</f>
        <v>46211</v>
      </c>
      <c r="V22" s="643"/>
      <c r="W22" s="643"/>
      <c r="X22" s="643"/>
      <c r="Y22" s="644"/>
      <c r="Z22" s="642">
        <f>U22+1</f>
        <v>46212</v>
      </c>
      <c r="AA22" s="643"/>
      <c r="AB22" s="643"/>
      <c r="AC22" s="643"/>
      <c r="AD22" s="644"/>
      <c r="AE22" s="642">
        <f>Z22+1</f>
        <v>46213</v>
      </c>
      <c r="AF22" s="643"/>
      <c r="AG22" s="643"/>
      <c r="AH22" s="643"/>
      <c r="AI22" s="644"/>
      <c r="AJ22" s="642">
        <f>AE22+1</f>
        <v>46214</v>
      </c>
      <c r="AK22" s="643"/>
      <c r="AL22" s="643"/>
      <c r="AM22" s="643"/>
      <c r="AN22" s="644"/>
      <c r="AO22" s="642">
        <f>AJ22+1</f>
        <v>46215</v>
      </c>
      <c r="AP22" s="643"/>
      <c r="AQ22" s="643"/>
      <c r="AR22" s="643"/>
      <c r="AS22" s="644"/>
      <c r="AT22" s="642">
        <f>AO22+1</f>
        <v>46216</v>
      </c>
      <c r="AU22" s="643"/>
      <c r="AV22" s="643"/>
      <c r="AW22" s="643"/>
      <c r="AX22" s="644"/>
    </row>
    <row r="23" spans="2:53" ht="15.75">
      <c r="B23" s="653"/>
      <c r="C23" s="653"/>
      <c r="D23" s="653"/>
      <c r="E23" s="653"/>
      <c r="F23" s="653"/>
      <c r="G23" s="653"/>
      <c r="H23" s="653"/>
      <c r="I23" s="204"/>
      <c r="J23" s="204"/>
      <c r="K23" s="204"/>
      <c r="L23" s="204"/>
      <c r="M23" s="205"/>
      <c r="N23" s="641"/>
      <c r="O23" s="641"/>
      <c r="P23" s="645" t="s">
        <v>317</v>
      </c>
      <c r="Q23" s="646"/>
      <c r="R23" s="646"/>
      <c r="S23" s="646"/>
      <c r="T23" s="646"/>
      <c r="U23" s="645" t="s">
        <v>318</v>
      </c>
      <c r="V23" s="646"/>
      <c r="W23" s="646"/>
      <c r="X23" s="646"/>
      <c r="Y23" s="646"/>
      <c r="Z23" s="645" t="s">
        <v>319</v>
      </c>
      <c r="AA23" s="646"/>
      <c r="AB23" s="646"/>
      <c r="AC23" s="646"/>
      <c r="AD23" s="646"/>
      <c r="AE23" s="645" t="s">
        <v>320</v>
      </c>
      <c r="AF23" s="646"/>
      <c r="AG23" s="646"/>
      <c r="AH23" s="646"/>
      <c r="AI23" s="646"/>
      <c r="AJ23" s="645" t="s">
        <v>321</v>
      </c>
      <c r="AK23" s="646"/>
      <c r="AL23" s="646"/>
      <c r="AM23" s="646"/>
      <c r="AN23" s="646"/>
      <c r="AO23" s="645" t="s">
        <v>322</v>
      </c>
      <c r="AP23" s="646"/>
      <c r="AQ23" s="646"/>
      <c r="AR23" s="646"/>
      <c r="AS23" s="646"/>
      <c r="AT23" s="645" t="s">
        <v>323</v>
      </c>
      <c r="AU23" s="646"/>
      <c r="AV23" s="646"/>
      <c r="AW23" s="646"/>
      <c r="AX23" s="646"/>
    </row>
    <row r="24" spans="2:53">
      <c r="B24" s="635" t="s">
        <v>372</v>
      </c>
      <c r="C24" s="635" t="s">
        <v>536</v>
      </c>
      <c r="D24" s="635"/>
      <c r="E24" s="635" t="s">
        <v>537</v>
      </c>
      <c r="F24" s="635"/>
      <c r="G24" s="635"/>
      <c r="H24" s="636" t="s">
        <v>538</v>
      </c>
      <c r="I24" s="635" t="s">
        <v>539</v>
      </c>
      <c r="J24" s="635"/>
      <c r="K24" s="635"/>
      <c r="L24" s="636" t="s">
        <v>369</v>
      </c>
      <c r="M24" s="639" t="s">
        <v>540</v>
      </c>
      <c r="N24" s="635"/>
      <c r="O24" s="635" t="s">
        <v>541</v>
      </c>
      <c r="P24" s="632" t="s">
        <v>371</v>
      </c>
      <c r="Q24" s="633"/>
      <c r="R24" s="633"/>
      <c r="S24" s="634"/>
      <c r="T24" s="635" t="s">
        <v>369</v>
      </c>
      <c r="U24" s="632" t="s">
        <v>371</v>
      </c>
      <c r="V24" s="633"/>
      <c r="W24" s="633"/>
      <c r="X24" s="634"/>
      <c r="Y24" s="635" t="s">
        <v>369</v>
      </c>
      <c r="Z24" s="632" t="s">
        <v>371</v>
      </c>
      <c r="AA24" s="633"/>
      <c r="AB24" s="633"/>
      <c r="AC24" s="634"/>
      <c r="AD24" s="635" t="s">
        <v>369</v>
      </c>
      <c r="AE24" s="632" t="s">
        <v>371</v>
      </c>
      <c r="AF24" s="633"/>
      <c r="AG24" s="633"/>
      <c r="AH24" s="634"/>
      <c r="AI24" s="635" t="s">
        <v>369</v>
      </c>
      <c r="AJ24" s="632" t="s">
        <v>371</v>
      </c>
      <c r="AK24" s="633"/>
      <c r="AL24" s="633"/>
      <c r="AM24" s="634"/>
      <c r="AN24" s="635" t="s">
        <v>369</v>
      </c>
      <c r="AO24" s="632" t="s">
        <v>371</v>
      </c>
      <c r="AP24" s="633"/>
      <c r="AQ24" s="633"/>
      <c r="AR24" s="634"/>
      <c r="AS24" s="635" t="s">
        <v>369</v>
      </c>
      <c r="AT24" s="632" t="s">
        <v>371</v>
      </c>
      <c r="AU24" s="633"/>
      <c r="AV24" s="633"/>
      <c r="AW24" s="634"/>
      <c r="AX24" s="635" t="s">
        <v>369</v>
      </c>
      <c r="BA24" s="635" t="s">
        <v>369</v>
      </c>
    </row>
    <row r="25" spans="2:53">
      <c r="B25" s="635"/>
      <c r="C25" s="635"/>
      <c r="D25" s="635"/>
      <c r="E25" s="635" t="s">
        <v>542</v>
      </c>
      <c r="F25" s="635"/>
      <c r="G25" s="635"/>
      <c r="H25" s="637"/>
      <c r="I25" s="635" t="s">
        <v>542</v>
      </c>
      <c r="J25" s="635"/>
      <c r="K25" s="635"/>
      <c r="L25" s="637"/>
      <c r="M25" s="640"/>
      <c r="N25" s="635"/>
      <c r="O25" s="635"/>
      <c r="P25" s="632" t="s">
        <v>377</v>
      </c>
      <c r="Q25" s="633"/>
      <c r="R25" s="633"/>
      <c r="S25" s="634"/>
      <c r="T25" s="635"/>
      <c r="U25" s="632" t="s">
        <v>377</v>
      </c>
      <c r="V25" s="633"/>
      <c r="W25" s="633"/>
      <c r="X25" s="634"/>
      <c r="Y25" s="635"/>
      <c r="Z25" s="632" t="s">
        <v>377</v>
      </c>
      <c r="AA25" s="633"/>
      <c r="AB25" s="633"/>
      <c r="AC25" s="634"/>
      <c r="AD25" s="635"/>
      <c r="AE25" s="632" t="s">
        <v>377</v>
      </c>
      <c r="AF25" s="633"/>
      <c r="AG25" s="633"/>
      <c r="AH25" s="634"/>
      <c r="AI25" s="635"/>
      <c r="AJ25" s="632" t="s">
        <v>377</v>
      </c>
      <c r="AK25" s="633"/>
      <c r="AL25" s="633"/>
      <c r="AM25" s="634"/>
      <c r="AN25" s="635"/>
      <c r="AO25" s="632" t="s">
        <v>377</v>
      </c>
      <c r="AP25" s="633"/>
      <c r="AQ25" s="633"/>
      <c r="AR25" s="634"/>
      <c r="AS25" s="635"/>
      <c r="AT25" s="632" t="s">
        <v>377</v>
      </c>
      <c r="AU25" s="633"/>
      <c r="AV25" s="633"/>
      <c r="AW25" s="634"/>
      <c r="AX25" s="635"/>
      <c r="BA25" s="635"/>
    </row>
    <row r="26" spans="2:53">
      <c r="B26" s="635"/>
      <c r="C26" s="635"/>
      <c r="D26" s="635"/>
      <c r="E26" s="382" t="s">
        <v>543</v>
      </c>
      <c r="F26" s="382" t="s">
        <v>544</v>
      </c>
      <c r="G26" s="382" t="s">
        <v>545</v>
      </c>
      <c r="H26" s="638"/>
      <c r="I26" s="382" t="s">
        <v>543</v>
      </c>
      <c r="J26" s="382" t="s">
        <v>544</v>
      </c>
      <c r="K26" s="382" t="s">
        <v>545</v>
      </c>
      <c r="L26" s="638"/>
      <c r="M26" s="641"/>
      <c r="N26" s="635"/>
      <c r="O26" s="635"/>
      <c r="P26" s="382" t="s">
        <v>378</v>
      </c>
      <c r="Q26" s="382" t="s">
        <v>379</v>
      </c>
      <c r="R26" s="382" t="s">
        <v>380</v>
      </c>
      <c r="S26" s="382" t="s">
        <v>370</v>
      </c>
      <c r="T26" s="635"/>
      <c r="U26" s="382" t="s">
        <v>378</v>
      </c>
      <c r="V26" s="382" t="s">
        <v>379</v>
      </c>
      <c r="W26" s="382" t="s">
        <v>380</v>
      </c>
      <c r="X26" s="382" t="s">
        <v>370</v>
      </c>
      <c r="Y26" s="635"/>
      <c r="Z26" s="382" t="s">
        <v>378</v>
      </c>
      <c r="AA26" s="382" t="s">
        <v>379</v>
      </c>
      <c r="AB26" s="382" t="s">
        <v>380</v>
      </c>
      <c r="AC26" s="382" t="s">
        <v>370</v>
      </c>
      <c r="AD26" s="635"/>
      <c r="AE26" s="382" t="s">
        <v>378</v>
      </c>
      <c r="AF26" s="382" t="s">
        <v>379</v>
      </c>
      <c r="AG26" s="382" t="s">
        <v>380</v>
      </c>
      <c r="AH26" s="382" t="s">
        <v>370</v>
      </c>
      <c r="AI26" s="635"/>
      <c r="AJ26" s="382" t="s">
        <v>378</v>
      </c>
      <c r="AK26" s="382" t="s">
        <v>379</v>
      </c>
      <c r="AL26" s="382" t="s">
        <v>380</v>
      </c>
      <c r="AM26" s="382" t="s">
        <v>370</v>
      </c>
      <c r="AN26" s="635"/>
      <c r="AO26" s="382" t="s">
        <v>378</v>
      </c>
      <c r="AP26" s="382" t="s">
        <v>379</v>
      </c>
      <c r="AQ26" s="382" t="s">
        <v>380</v>
      </c>
      <c r="AR26" s="382" t="s">
        <v>370</v>
      </c>
      <c r="AS26" s="635"/>
      <c r="AT26" s="382" t="s">
        <v>378</v>
      </c>
      <c r="AU26" s="382" t="s">
        <v>379</v>
      </c>
      <c r="AV26" s="382" t="s">
        <v>380</v>
      </c>
      <c r="AW26" s="382" t="s">
        <v>370</v>
      </c>
      <c r="AX26" s="635"/>
      <c r="AZ26" s="371" t="s">
        <v>370</v>
      </c>
      <c r="BA26" s="635"/>
    </row>
    <row r="27" spans="2:53">
      <c r="B27" s="635" t="s">
        <v>384</v>
      </c>
      <c r="C27" s="384">
        <v>1</v>
      </c>
      <c r="D27" s="225" t="s">
        <v>595</v>
      </c>
      <c r="E27" s="539">
        <v>17</v>
      </c>
      <c r="F27" s="535">
        <v>1565</v>
      </c>
      <c r="G27" s="534">
        <v>92.058823529411768</v>
      </c>
      <c r="H27" s="670">
        <f>AVERAGE(G27:G41)</f>
        <v>87.502364981080149</v>
      </c>
      <c r="I27" s="385">
        <f t="shared" ref="I27:I40" si="5">IFERROR(AVERAGE(P27,U27,Z27,AE27,AJ27,AO27,AT27),"-")</f>
        <v>17</v>
      </c>
      <c r="J27" s="385">
        <f t="shared" ref="J27:J40" si="6">IFERROR(AVERAGE(Q27,V27,AA27,AF27,AK27,AP27,AU27),"-")</f>
        <v>1396.6019393211832</v>
      </c>
      <c r="K27" s="199">
        <f t="shared" ref="K27:K40" si="7">IFERROR(AVERAGE(R27,W27,AB27,AG27,AL27,AQ27,AV27),"-")</f>
        <v>82.153055254187251</v>
      </c>
      <c r="L27" s="616">
        <f>IFERROR(AVERAGE(K27:K41),"-")</f>
        <v>78.633213968885073</v>
      </c>
      <c r="M27" s="389">
        <f>RANK(K27, K$24:$K$41)</f>
        <v>2</v>
      </c>
      <c r="N27" s="635"/>
      <c r="O27" s="635"/>
      <c r="P27" s="542">
        <v>17</v>
      </c>
      <c r="Q27" s="543">
        <v>1388.1176470588236</v>
      </c>
      <c r="R27" s="543">
        <v>81.653979238754332</v>
      </c>
      <c r="S27" s="542">
        <f t="shared" ref="S27:S41" si="8">RANK(R27, R$27:R$41)</f>
        <v>2</v>
      </c>
      <c r="T27" s="647">
        <f t="shared" ref="T27" si="9">AVERAGE(R27:R41)</f>
        <v>78.371606070483637</v>
      </c>
      <c r="U27" s="542">
        <v>17</v>
      </c>
      <c r="V27" s="543">
        <v>1400.5714285714289</v>
      </c>
      <c r="W27" s="543">
        <v>82.386554621848759</v>
      </c>
      <c r="X27" s="542">
        <f t="shared" ref="X27:X41" si="10">RANK(W27, W$27:W$41)</f>
        <v>2</v>
      </c>
      <c r="Y27" s="647">
        <f t="shared" ref="Y27" si="11">AVERAGE(W27:W41)</f>
        <v>78.607867143586404</v>
      </c>
      <c r="Z27" s="542">
        <v>17</v>
      </c>
      <c r="AA27" s="543">
        <v>1394.8072727272731</v>
      </c>
      <c r="AB27" s="543">
        <v>82.047486631016071</v>
      </c>
      <c r="AC27" s="542">
        <f t="shared" ref="AC27:AC41" si="12">RANK(AB27, AB$27:AB$41)</f>
        <v>2</v>
      </c>
      <c r="AD27" s="647">
        <f t="shared" ref="AD27" si="13">AVERAGE(AB27:AB41)</f>
        <v>78.5258138399427</v>
      </c>
      <c r="AE27" s="542">
        <v>17</v>
      </c>
      <c r="AF27" s="543">
        <v>1377.0857142857149</v>
      </c>
      <c r="AG27" s="543">
        <v>81.005042016806755</v>
      </c>
      <c r="AH27" s="542">
        <f t="shared" ref="AH27:AH41" si="14">RANK(AG27, AG$27:AG$41)</f>
        <v>2</v>
      </c>
      <c r="AI27" s="647">
        <f t="shared" ref="AI27" si="15">AVERAGE(AG27:AG41)</f>
        <v>78.07135201748207</v>
      </c>
      <c r="AJ27" s="542">
        <v>17</v>
      </c>
      <c r="AK27" s="543">
        <v>1411.264285714286</v>
      </c>
      <c r="AL27" s="543">
        <v>83.015546218487415</v>
      </c>
      <c r="AM27" s="542">
        <f t="shared" ref="AM27:AM41" si="16">RANK(AL27, AL$27:AL$41)</f>
        <v>2</v>
      </c>
      <c r="AN27" s="647">
        <f t="shared" ref="AN27" si="17">AVERAGE(AL27:AL41)</f>
        <v>79.008551985270316</v>
      </c>
      <c r="AO27" s="542">
        <v>17</v>
      </c>
      <c r="AP27" s="543">
        <v>1411.264285714286</v>
      </c>
      <c r="AQ27" s="543">
        <v>83.015546218487415</v>
      </c>
      <c r="AR27" s="542">
        <f t="shared" ref="AR27:AR41" si="18">RANK(AQ27, AQ$27:AQ$41)</f>
        <v>2</v>
      </c>
      <c r="AS27" s="647">
        <f t="shared" ref="AS27" si="19">AVERAGE(AQ27:AQ41)</f>
        <v>79.008551985270316</v>
      </c>
      <c r="AT27" s="542">
        <v>17</v>
      </c>
      <c r="AU27" s="543">
        <v>1393.1029411764707</v>
      </c>
      <c r="AV27" s="543">
        <v>81.947231833910038</v>
      </c>
      <c r="AW27" s="542">
        <f t="shared" ref="AW27:AW41" si="20">RANK(AV27, AV$27:AV$41)</f>
        <v>2</v>
      </c>
      <c r="AX27" s="647">
        <f t="shared" ref="AX27" si="21">AVERAGE(AV27:AV41)</f>
        <v>78.838754740160027</v>
      </c>
      <c r="AZ27" s="372" t="e">
        <f t="shared" ref="AZ27:AZ41" si="22">RANK(AY27, AY$27:AY$41)</f>
        <v>#N/A</v>
      </c>
      <c r="BA27" s="647" t="e">
        <f t="shared" ref="BA27" si="23">AVERAGE(AY27:AY41)</f>
        <v>#DIV/0!</v>
      </c>
    </row>
    <row r="28" spans="2:53">
      <c r="B28" s="646"/>
      <c r="C28" s="384">
        <v>2</v>
      </c>
      <c r="D28" s="225" t="s">
        <v>619</v>
      </c>
      <c r="E28" s="539">
        <v>19</v>
      </c>
      <c r="F28" s="535">
        <v>1500</v>
      </c>
      <c r="G28" s="534">
        <v>78.94736842105263</v>
      </c>
      <c r="H28" s="671"/>
      <c r="I28" s="385">
        <f t="shared" si="5"/>
        <v>19</v>
      </c>
      <c r="J28" s="385">
        <f t="shared" si="6"/>
        <v>1330.3988552554185</v>
      </c>
      <c r="K28" s="199">
        <f t="shared" si="7"/>
        <v>70.020992381864133</v>
      </c>
      <c r="L28" s="617"/>
      <c r="M28" s="392">
        <f>RANK(K28, K$24:$K$41)</f>
        <v>4</v>
      </c>
      <c r="N28" s="635"/>
      <c r="O28" s="635"/>
      <c r="P28" s="542">
        <v>19</v>
      </c>
      <c r="Q28" s="543">
        <v>1317.3133757961784</v>
      </c>
      <c r="R28" s="543">
        <v>69.332282936640965</v>
      </c>
      <c r="S28" s="542">
        <f t="shared" si="8"/>
        <v>4</v>
      </c>
      <c r="T28" s="648"/>
      <c r="U28" s="542">
        <v>19</v>
      </c>
      <c r="V28" s="543">
        <v>1313.4278145695362</v>
      </c>
      <c r="W28" s="543">
        <v>69.127779714186119</v>
      </c>
      <c r="X28" s="542">
        <f t="shared" si="10"/>
        <v>4</v>
      </c>
      <c r="Y28" s="648"/>
      <c r="Z28" s="542">
        <v>19</v>
      </c>
      <c r="AA28" s="543">
        <v>1327.365957446809</v>
      </c>
      <c r="AB28" s="543">
        <v>69.861366181411</v>
      </c>
      <c r="AC28" s="542">
        <f t="shared" si="12"/>
        <v>4</v>
      </c>
      <c r="AD28" s="648"/>
      <c r="AE28" s="542">
        <v>19</v>
      </c>
      <c r="AF28" s="543">
        <v>1330.6153846153843</v>
      </c>
      <c r="AG28" s="543">
        <v>70.032388663967595</v>
      </c>
      <c r="AH28" s="542">
        <f t="shared" si="14"/>
        <v>4</v>
      </c>
      <c r="AI28" s="648"/>
      <c r="AJ28" s="542">
        <v>19</v>
      </c>
      <c r="AK28" s="543">
        <v>1333.7837837837842</v>
      </c>
      <c r="AL28" s="543">
        <v>70.199146514936004</v>
      </c>
      <c r="AM28" s="542">
        <f t="shared" si="16"/>
        <v>4</v>
      </c>
      <c r="AN28" s="648"/>
      <c r="AO28" s="542">
        <v>19</v>
      </c>
      <c r="AP28" s="543">
        <v>1333.7837837837842</v>
      </c>
      <c r="AQ28" s="543">
        <v>70.199146514936004</v>
      </c>
      <c r="AR28" s="542">
        <f t="shared" si="18"/>
        <v>4</v>
      </c>
      <c r="AS28" s="648"/>
      <c r="AT28" s="542">
        <v>19</v>
      </c>
      <c r="AU28" s="543">
        <v>1356.501886792453</v>
      </c>
      <c r="AV28" s="543">
        <v>71.394836146971215</v>
      </c>
      <c r="AW28" s="542">
        <f t="shared" si="20"/>
        <v>4</v>
      </c>
      <c r="AX28" s="648"/>
      <c r="AZ28" s="372" t="e">
        <f t="shared" si="22"/>
        <v>#N/A</v>
      </c>
      <c r="BA28" s="648"/>
    </row>
    <row r="29" spans="2:53">
      <c r="B29" s="646"/>
      <c r="C29" s="384">
        <v>3</v>
      </c>
      <c r="D29" s="225" t="s">
        <v>627</v>
      </c>
      <c r="E29" s="539">
        <v>18</v>
      </c>
      <c r="F29" s="535">
        <v>1565</v>
      </c>
      <c r="G29" s="534">
        <v>86.944444444444443</v>
      </c>
      <c r="H29" s="671"/>
      <c r="I29" s="385">
        <f t="shared" si="5"/>
        <v>18</v>
      </c>
      <c r="J29" s="385">
        <f t="shared" si="6"/>
        <v>1426.9205984510443</v>
      </c>
      <c r="K29" s="199">
        <f t="shared" si="7"/>
        <v>79.273366580613583</v>
      </c>
      <c r="L29" s="617"/>
      <c r="M29" s="392">
        <f>RANK(K29, K$24:$K$41)</f>
        <v>3</v>
      </c>
      <c r="N29" s="635"/>
      <c r="O29" s="635"/>
      <c r="P29" s="542">
        <v>18</v>
      </c>
      <c r="Q29" s="543">
        <v>1427.663551401869</v>
      </c>
      <c r="R29" s="543">
        <v>79.314641744548283</v>
      </c>
      <c r="S29" s="542">
        <f t="shared" si="8"/>
        <v>3</v>
      </c>
      <c r="T29" s="648"/>
      <c r="U29" s="542">
        <v>18</v>
      </c>
      <c r="V29" s="543">
        <v>1434.2307692307688</v>
      </c>
      <c r="W29" s="543">
        <v>79.679487179487154</v>
      </c>
      <c r="X29" s="542">
        <f t="shared" si="10"/>
        <v>3</v>
      </c>
      <c r="Y29" s="648"/>
      <c r="Z29" s="542">
        <v>18</v>
      </c>
      <c r="AA29" s="543">
        <v>1403.5897435897436</v>
      </c>
      <c r="AB29" s="543">
        <v>77.977207977207982</v>
      </c>
      <c r="AC29" s="542">
        <f t="shared" si="12"/>
        <v>3</v>
      </c>
      <c r="AD29" s="648"/>
      <c r="AE29" s="542">
        <v>18</v>
      </c>
      <c r="AF29" s="543">
        <v>1422.4000000000005</v>
      </c>
      <c r="AG29" s="543">
        <v>79.022222222222254</v>
      </c>
      <c r="AH29" s="542">
        <f t="shared" si="14"/>
        <v>3</v>
      </c>
      <c r="AI29" s="648"/>
      <c r="AJ29" s="542">
        <v>18</v>
      </c>
      <c r="AK29" s="543">
        <v>1435.0588235294115</v>
      </c>
      <c r="AL29" s="543">
        <v>79.725490196078411</v>
      </c>
      <c r="AM29" s="542">
        <f t="shared" si="16"/>
        <v>3</v>
      </c>
      <c r="AN29" s="648"/>
      <c r="AO29" s="542">
        <v>18</v>
      </c>
      <c r="AP29" s="543">
        <v>1435.0588235294115</v>
      </c>
      <c r="AQ29" s="543">
        <v>79.725490196078411</v>
      </c>
      <c r="AR29" s="542">
        <f t="shared" si="18"/>
        <v>3</v>
      </c>
      <c r="AS29" s="648"/>
      <c r="AT29" s="542">
        <v>18</v>
      </c>
      <c r="AU29" s="543">
        <v>1430.4424778761061</v>
      </c>
      <c r="AV29" s="543">
        <v>79.469026548672559</v>
      </c>
      <c r="AW29" s="542">
        <f t="shared" si="20"/>
        <v>3</v>
      </c>
      <c r="AX29" s="648"/>
      <c r="AZ29" s="372" t="e">
        <f t="shared" si="22"/>
        <v>#N/A</v>
      </c>
      <c r="BA29" s="648"/>
    </row>
    <row r="30" spans="2:53">
      <c r="B30" s="646"/>
      <c r="C30" s="384">
        <v>4</v>
      </c>
      <c r="D30" s="225" t="s">
        <v>636</v>
      </c>
      <c r="E30" s="539">
        <v>17</v>
      </c>
      <c r="F30" s="535">
        <v>1565</v>
      </c>
      <c r="G30" s="534">
        <v>92.058823529411768</v>
      </c>
      <c r="H30" s="671"/>
      <c r="I30" s="385">
        <f t="shared" si="5"/>
        <v>17</v>
      </c>
      <c r="J30" s="385">
        <f t="shared" si="6"/>
        <v>1412.4525082008799</v>
      </c>
      <c r="K30" s="199">
        <f t="shared" si="7"/>
        <v>83.085441658875311</v>
      </c>
      <c r="L30" s="617"/>
      <c r="M30" s="392">
        <f>RANK(K30, K$24:$K$41)</f>
        <v>1</v>
      </c>
      <c r="N30" s="635"/>
      <c r="O30" s="635"/>
      <c r="P30" s="542">
        <v>17</v>
      </c>
      <c r="Q30" s="543">
        <v>1414.1538461538464</v>
      </c>
      <c r="R30" s="543">
        <v>83.185520361990967</v>
      </c>
      <c r="S30" s="542">
        <f t="shared" si="8"/>
        <v>1</v>
      </c>
      <c r="T30" s="648"/>
      <c r="U30" s="542">
        <v>17</v>
      </c>
      <c r="V30" s="543">
        <v>1415.0400000000004</v>
      </c>
      <c r="W30" s="543">
        <v>83.237647058823555</v>
      </c>
      <c r="X30" s="542">
        <f t="shared" si="10"/>
        <v>1</v>
      </c>
      <c r="Y30" s="648"/>
      <c r="Z30" s="542">
        <v>17</v>
      </c>
      <c r="AA30" s="543">
        <v>1431.6923076923074</v>
      </c>
      <c r="AB30" s="543">
        <v>84.217194570135732</v>
      </c>
      <c r="AC30" s="542">
        <f t="shared" si="12"/>
        <v>1</v>
      </c>
      <c r="AD30" s="648"/>
      <c r="AE30" s="542">
        <v>17</v>
      </c>
      <c r="AF30" s="543">
        <v>1397.8378378378379</v>
      </c>
      <c r="AG30" s="543">
        <v>82.225755166931648</v>
      </c>
      <c r="AH30" s="542">
        <f t="shared" si="14"/>
        <v>1</v>
      </c>
      <c r="AI30" s="648"/>
      <c r="AJ30" s="542">
        <v>17</v>
      </c>
      <c r="AK30" s="543">
        <v>1412.59842519685</v>
      </c>
      <c r="AL30" s="543">
        <v>83.094025011579419</v>
      </c>
      <c r="AM30" s="542">
        <f t="shared" si="16"/>
        <v>1</v>
      </c>
      <c r="AN30" s="648"/>
      <c r="AO30" s="542">
        <v>17</v>
      </c>
      <c r="AP30" s="543">
        <v>1412.59842519685</v>
      </c>
      <c r="AQ30" s="543">
        <v>83.094025011579419</v>
      </c>
      <c r="AR30" s="542">
        <f t="shared" si="18"/>
        <v>1</v>
      </c>
      <c r="AS30" s="648"/>
      <c r="AT30" s="542">
        <v>17</v>
      </c>
      <c r="AU30" s="543">
        <v>1403.2467153284672</v>
      </c>
      <c r="AV30" s="543">
        <v>82.54392443108631</v>
      </c>
      <c r="AW30" s="542">
        <f t="shared" si="20"/>
        <v>1</v>
      </c>
      <c r="AX30" s="648"/>
      <c r="AZ30" s="372" t="e">
        <f t="shared" si="22"/>
        <v>#N/A</v>
      </c>
      <c r="BA30" s="648"/>
    </row>
    <row r="31" spans="2:53">
      <c r="B31" s="646"/>
      <c r="C31" s="384">
        <v>5</v>
      </c>
      <c r="D31" s="225"/>
      <c r="E31" s="539"/>
      <c r="F31" s="535"/>
      <c r="G31" s="534"/>
      <c r="H31" s="671"/>
      <c r="I31" s="385" t="str">
        <f t="shared" si="5"/>
        <v>-</v>
      </c>
      <c r="J31" s="385" t="str">
        <f t="shared" si="6"/>
        <v>-</v>
      </c>
      <c r="K31" s="199" t="str">
        <f t="shared" si="7"/>
        <v>-</v>
      </c>
      <c r="L31" s="617"/>
      <c r="M31" s="392" t="e">
        <f>RANK(K31, K$24:$K$41)</f>
        <v>#VALUE!</v>
      </c>
      <c r="N31" s="635"/>
      <c r="O31" s="635"/>
      <c r="P31" s="542" t="s">
        <v>592</v>
      </c>
      <c r="Q31" s="543" t="s">
        <v>592</v>
      </c>
      <c r="R31" s="543" t="s">
        <v>592</v>
      </c>
      <c r="S31" s="542" t="e">
        <f t="shared" si="8"/>
        <v>#VALUE!</v>
      </c>
      <c r="T31" s="648"/>
      <c r="U31" s="542" t="s">
        <v>592</v>
      </c>
      <c r="V31" s="543" t="s">
        <v>592</v>
      </c>
      <c r="W31" s="543" t="s">
        <v>592</v>
      </c>
      <c r="X31" s="542" t="e">
        <f t="shared" si="10"/>
        <v>#VALUE!</v>
      </c>
      <c r="Y31" s="648"/>
      <c r="Z31" s="542" t="s">
        <v>592</v>
      </c>
      <c r="AA31" s="543" t="s">
        <v>592</v>
      </c>
      <c r="AB31" s="543" t="s">
        <v>592</v>
      </c>
      <c r="AC31" s="542" t="e">
        <f t="shared" si="12"/>
        <v>#VALUE!</v>
      </c>
      <c r="AD31" s="648"/>
      <c r="AE31" s="542" t="s">
        <v>592</v>
      </c>
      <c r="AF31" s="543" t="s">
        <v>592</v>
      </c>
      <c r="AG31" s="543" t="s">
        <v>592</v>
      </c>
      <c r="AH31" s="542" t="e">
        <f t="shared" si="14"/>
        <v>#VALUE!</v>
      </c>
      <c r="AI31" s="648"/>
      <c r="AJ31" s="542" t="s">
        <v>592</v>
      </c>
      <c r="AK31" s="543" t="s">
        <v>592</v>
      </c>
      <c r="AL31" s="543" t="s">
        <v>592</v>
      </c>
      <c r="AM31" s="542" t="e">
        <f t="shared" si="16"/>
        <v>#VALUE!</v>
      </c>
      <c r="AN31" s="648"/>
      <c r="AO31" s="542" t="s">
        <v>592</v>
      </c>
      <c r="AP31" s="543" t="s">
        <v>592</v>
      </c>
      <c r="AQ31" s="543" t="s">
        <v>592</v>
      </c>
      <c r="AR31" s="542" t="e">
        <f t="shared" si="18"/>
        <v>#VALUE!</v>
      </c>
      <c r="AS31" s="648"/>
      <c r="AT31" s="542" t="s">
        <v>592</v>
      </c>
      <c r="AU31" s="543" t="s">
        <v>592</v>
      </c>
      <c r="AV31" s="543" t="s">
        <v>592</v>
      </c>
      <c r="AW31" s="542" t="e">
        <f t="shared" si="20"/>
        <v>#VALUE!</v>
      </c>
      <c r="AX31" s="648"/>
      <c r="AZ31" s="372" t="e">
        <f t="shared" si="22"/>
        <v>#N/A</v>
      </c>
      <c r="BA31" s="648"/>
    </row>
    <row r="32" spans="2:53">
      <c r="B32" s="646"/>
      <c r="C32" s="384">
        <v>6</v>
      </c>
      <c r="D32" s="225"/>
      <c r="E32" s="539"/>
      <c r="F32" s="535"/>
      <c r="G32" s="534"/>
      <c r="H32" s="671"/>
      <c r="I32" s="385" t="str">
        <f t="shared" si="5"/>
        <v>-</v>
      </c>
      <c r="J32" s="385" t="str">
        <f t="shared" si="6"/>
        <v>-</v>
      </c>
      <c r="K32" s="199" t="str">
        <f t="shared" si="7"/>
        <v>-</v>
      </c>
      <c r="L32" s="617"/>
      <c r="M32" s="392" t="e">
        <f>RANK(K32, K$24:$K$41)</f>
        <v>#VALUE!</v>
      </c>
      <c r="N32" s="635"/>
      <c r="O32" s="635"/>
      <c r="P32" s="542" t="s">
        <v>592</v>
      </c>
      <c r="Q32" s="543" t="s">
        <v>592</v>
      </c>
      <c r="R32" s="543" t="s">
        <v>592</v>
      </c>
      <c r="S32" s="542" t="e">
        <f t="shared" si="8"/>
        <v>#VALUE!</v>
      </c>
      <c r="T32" s="648"/>
      <c r="U32" s="542" t="s">
        <v>592</v>
      </c>
      <c r="V32" s="543" t="s">
        <v>592</v>
      </c>
      <c r="W32" s="543" t="s">
        <v>592</v>
      </c>
      <c r="X32" s="542" t="e">
        <f t="shared" si="10"/>
        <v>#VALUE!</v>
      </c>
      <c r="Y32" s="648"/>
      <c r="Z32" s="542" t="s">
        <v>592</v>
      </c>
      <c r="AA32" s="543" t="s">
        <v>592</v>
      </c>
      <c r="AB32" s="543" t="s">
        <v>592</v>
      </c>
      <c r="AC32" s="542" t="e">
        <f t="shared" si="12"/>
        <v>#VALUE!</v>
      </c>
      <c r="AD32" s="648"/>
      <c r="AE32" s="542" t="s">
        <v>592</v>
      </c>
      <c r="AF32" s="543" t="s">
        <v>592</v>
      </c>
      <c r="AG32" s="543" t="s">
        <v>592</v>
      </c>
      <c r="AH32" s="542" t="e">
        <f t="shared" si="14"/>
        <v>#VALUE!</v>
      </c>
      <c r="AI32" s="648"/>
      <c r="AJ32" s="542" t="s">
        <v>592</v>
      </c>
      <c r="AK32" s="543" t="s">
        <v>592</v>
      </c>
      <c r="AL32" s="543" t="s">
        <v>592</v>
      </c>
      <c r="AM32" s="542" t="e">
        <f t="shared" si="16"/>
        <v>#VALUE!</v>
      </c>
      <c r="AN32" s="648"/>
      <c r="AO32" s="542" t="s">
        <v>592</v>
      </c>
      <c r="AP32" s="543" t="s">
        <v>592</v>
      </c>
      <c r="AQ32" s="543" t="s">
        <v>592</v>
      </c>
      <c r="AR32" s="542" t="e">
        <f t="shared" si="18"/>
        <v>#VALUE!</v>
      </c>
      <c r="AS32" s="648"/>
      <c r="AT32" s="542" t="s">
        <v>592</v>
      </c>
      <c r="AU32" s="543" t="s">
        <v>592</v>
      </c>
      <c r="AV32" s="543" t="s">
        <v>592</v>
      </c>
      <c r="AW32" s="542" t="e">
        <f t="shared" si="20"/>
        <v>#VALUE!</v>
      </c>
      <c r="AX32" s="648"/>
      <c r="AZ32" s="372" t="e">
        <f t="shared" si="22"/>
        <v>#N/A</v>
      </c>
      <c r="BA32" s="648"/>
    </row>
    <row r="33" spans="2:53">
      <c r="B33" s="646"/>
      <c r="C33" s="384">
        <v>7</v>
      </c>
      <c r="D33" s="225"/>
      <c r="E33" s="539"/>
      <c r="F33" s="535"/>
      <c r="G33" s="534"/>
      <c r="H33" s="671"/>
      <c r="I33" s="385" t="str">
        <f t="shared" si="5"/>
        <v>-</v>
      </c>
      <c r="J33" s="385" t="str">
        <f t="shared" si="6"/>
        <v>-</v>
      </c>
      <c r="K33" s="199" t="str">
        <f t="shared" si="7"/>
        <v>-</v>
      </c>
      <c r="L33" s="617"/>
      <c r="M33" s="392" t="e">
        <f>RANK(K33, K$24:$K$41)</f>
        <v>#VALUE!</v>
      </c>
      <c r="N33" s="635"/>
      <c r="O33" s="635"/>
      <c r="P33" s="542" t="s">
        <v>592</v>
      </c>
      <c r="Q33" s="543" t="s">
        <v>592</v>
      </c>
      <c r="R33" s="543" t="s">
        <v>592</v>
      </c>
      <c r="S33" s="542" t="e">
        <f t="shared" si="8"/>
        <v>#VALUE!</v>
      </c>
      <c r="T33" s="648"/>
      <c r="U33" s="542" t="s">
        <v>592</v>
      </c>
      <c r="V33" s="543" t="s">
        <v>592</v>
      </c>
      <c r="W33" s="543" t="s">
        <v>592</v>
      </c>
      <c r="X33" s="542" t="e">
        <f t="shared" si="10"/>
        <v>#VALUE!</v>
      </c>
      <c r="Y33" s="648"/>
      <c r="Z33" s="542" t="s">
        <v>592</v>
      </c>
      <c r="AA33" s="543" t="s">
        <v>592</v>
      </c>
      <c r="AB33" s="543" t="s">
        <v>592</v>
      </c>
      <c r="AC33" s="542" t="e">
        <f t="shared" si="12"/>
        <v>#VALUE!</v>
      </c>
      <c r="AD33" s="648"/>
      <c r="AE33" s="542" t="s">
        <v>592</v>
      </c>
      <c r="AF33" s="543" t="s">
        <v>592</v>
      </c>
      <c r="AG33" s="543" t="s">
        <v>592</v>
      </c>
      <c r="AH33" s="542" t="e">
        <f t="shared" si="14"/>
        <v>#VALUE!</v>
      </c>
      <c r="AI33" s="648"/>
      <c r="AJ33" s="542" t="s">
        <v>592</v>
      </c>
      <c r="AK33" s="543" t="s">
        <v>592</v>
      </c>
      <c r="AL33" s="543" t="s">
        <v>592</v>
      </c>
      <c r="AM33" s="542" t="e">
        <f t="shared" si="16"/>
        <v>#VALUE!</v>
      </c>
      <c r="AN33" s="648"/>
      <c r="AO33" s="542" t="s">
        <v>592</v>
      </c>
      <c r="AP33" s="543" t="s">
        <v>592</v>
      </c>
      <c r="AQ33" s="543" t="s">
        <v>592</v>
      </c>
      <c r="AR33" s="542" t="e">
        <f t="shared" si="18"/>
        <v>#VALUE!</v>
      </c>
      <c r="AS33" s="648"/>
      <c r="AT33" s="542" t="s">
        <v>592</v>
      </c>
      <c r="AU33" s="543" t="s">
        <v>592</v>
      </c>
      <c r="AV33" s="543" t="s">
        <v>592</v>
      </c>
      <c r="AW33" s="542" t="e">
        <f t="shared" si="20"/>
        <v>#VALUE!</v>
      </c>
      <c r="AX33" s="648"/>
      <c r="AZ33" s="372" t="e">
        <f t="shared" si="22"/>
        <v>#N/A</v>
      </c>
      <c r="BA33" s="648"/>
    </row>
    <row r="34" spans="2:53">
      <c r="B34" s="646"/>
      <c r="C34" s="384">
        <v>8</v>
      </c>
      <c r="D34" s="225"/>
      <c r="E34" s="539"/>
      <c r="F34" s="535"/>
      <c r="G34" s="534"/>
      <c r="H34" s="671"/>
      <c r="I34" s="385" t="str">
        <f t="shared" si="5"/>
        <v>-</v>
      </c>
      <c r="J34" s="385" t="str">
        <f t="shared" si="6"/>
        <v>-</v>
      </c>
      <c r="K34" s="199" t="str">
        <f t="shared" si="7"/>
        <v>-</v>
      </c>
      <c r="L34" s="617"/>
      <c r="M34" s="392" t="e">
        <f>RANK(K34, K$24:$K$41)</f>
        <v>#VALUE!</v>
      </c>
      <c r="N34" s="635"/>
      <c r="O34" s="635"/>
      <c r="P34" s="542" t="s">
        <v>592</v>
      </c>
      <c r="Q34" s="543" t="s">
        <v>592</v>
      </c>
      <c r="R34" s="543" t="s">
        <v>592</v>
      </c>
      <c r="S34" s="542" t="e">
        <f t="shared" si="8"/>
        <v>#VALUE!</v>
      </c>
      <c r="T34" s="648"/>
      <c r="U34" s="542" t="s">
        <v>592</v>
      </c>
      <c r="V34" s="543" t="s">
        <v>592</v>
      </c>
      <c r="W34" s="543" t="s">
        <v>592</v>
      </c>
      <c r="X34" s="542" t="e">
        <f t="shared" si="10"/>
        <v>#VALUE!</v>
      </c>
      <c r="Y34" s="648"/>
      <c r="Z34" s="542" t="s">
        <v>592</v>
      </c>
      <c r="AA34" s="543" t="s">
        <v>592</v>
      </c>
      <c r="AB34" s="543" t="s">
        <v>592</v>
      </c>
      <c r="AC34" s="542" t="e">
        <f t="shared" si="12"/>
        <v>#VALUE!</v>
      </c>
      <c r="AD34" s="648"/>
      <c r="AE34" s="542" t="s">
        <v>592</v>
      </c>
      <c r="AF34" s="543" t="s">
        <v>592</v>
      </c>
      <c r="AG34" s="543" t="s">
        <v>592</v>
      </c>
      <c r="AH34" s="542" t="e">
        <f t="shared" si="14"/>
        <v>#VALUE!</v>
      </c>
      <c r="AI34" s="648"/>
      <c r="AJ34" s="542" t="s">
        <v>592</v>
      </c>
      <c r="AK34" s="543" t="s">
        <v>592</v>
      </c>
      <c r="AL34" s="543" t="s">
        <v>592</v>
      </c>
      <c r="AM34" s="542" t="e">
        <f t="shared" si="16"/>
        <v>#VALUE!</v>
      </c>
      <c r="AN34" s="648"/>
      <c r="AO34" s="542" t="s">
        <v>592</v>
      </c>
      <c r="AP34" s="543" t="s">
        <v>592</v>
      </c>
      <c r="AQ34" s="543" t="s">
        <v>592</v>
      </c>
      <c r="AR34" s="542" t="e">
        <f t="shared" si="18"/>
        <v>#VALUE!</v>
      </c>
      <c r="AS34" s="648"/>
      <c r="AT34" s="542" t="s">
        <v>592</v>
      </c>
      <c r="AU34" s="543" t="s">
        <v>592</v>
      </c>
      <c r="AV34" s="543" t="s">
        <v>592</v>
      </c>
      <c r="AW34" s="542" t="e">
        <f t="shared" si="20"/>
        <v>#VALUE!</v>
      </c>
      <c r="AX34" s="648"/>
      <c r="AZ34" s="372" t="e">
        <f t="shared" si="22"/>
        <v>#N/A</v>
      </c>
      <c r="BA34" s="648"/>
    </row>
    <row r="35" spans="2:53">
      <c r="B35" s="646"/>
      <c r="C35" s="384">
        <v>9</v>
      </c>
      <c r="D35" s="225"/>
      <c r="E35" s="539"/>
      <c r="F35" s="535"/>
      <c r="G35" s="534"/>
      <c r="H35" s="671"/>
      <c r="I35" s="385" t="str">
        <f t="shared" si="5"/>
        <v>-</v>
      </c>
      <c r="J35" s="385" t="str">
        <f t="shared" si="6"/>
        <v>-</v>
      </c>
      <c r="K35" s="199" t="str">
        <f t="shared" si="7"/>
        <v>-</v>
      </c>
      <c r="L35" s="617"/>
      <c r="M35" s="392" t="e">
        <f>RANK(K35, K$24:$K$41)</f>
        <v>#VALUE!</v>
      </c>
      <c r="N35" s="635"/>
      <c r="O35" s="635"/>
      <c r="P35" s="542" t="s">
        <v>592</v>
      </c>
      <c r="Q35" s="543" t="s">
        <v>592</v>
      </c>
      <c r="R35" s="543" t="s">
        <v>592</v>
      </c>
      <c r="S35" s="542" t="e">
        <f t="shared" si="8"/>
        <v>#VALUE!</v>
      </c>
      <c r="T35" s="648"/>
      <c r="U35" s="542" t="s">
        <v>592</v>
      </c>
      <c r="V35" s="543" t="s">
        <v>592</v>
      </c>
      <c r="W35" s="543" t="s">
        <v>592</v>
      </c>
      <c r="X35" s="542" t="e">
        <f t="shared" si="10"/>
        <v>#VALUE!</v>
      </c>
      <c r="Y35" s="648"/>
      <c r="Z35" s="542" t="s">
        <v>592</v>
      </c>
      <c r="AA35" s="543" t="s">
        <v>592</v>
      </c>
      <c r="AB35" s="543" t="s">
        <v>592</v>
      </c>
      <c r="AC35" s="542" t="e">
        <f t="shared" si="12"/>
        <v>#VALUE!</v>
      </c>
      <c r="AD35" s="648"/>
      <c r="AE35" s="542" t="s">
        <v>592</v>
      </c>
      <c r="AF35" s="543" t="s">
        <v>592</v>
      </c>
      <c r="AG35" s="543" t="s">
        <v>592</v>
      </c>
      <c r="AH35" s="542" t="e">
        <f t="shared" si="14"/>
        <v>#VALUE!</v>
      </c>
      <c r="AI35" s="648"/>
      <c r="AJ35" s="542" t="s">
        <v>592</v>
      </c>
      <c r="AK35" s="543" t="s">
        <v>592</v>
      </c>
      <c r="AL35" s="543" t="s">
        <v>592</v>
      </c>
      <c r="AM35" s="542" t="e">
        <f t="shared" si="16"/>
        <v>#VALUE!</v>
      </c>
      <c r="AN35" s="648"/>
      <c r="AO35" s="542" t="s">
        <v>592</v>
      </c>
      <c r="AP35" s="543" t="s">
        <v>592</v>
      </c>
      <c r="AQ35" s="543" t="s">
        <v>592</v>
      </c>
      <c r="AR35" s="542" t="e">
        <f t="shared" si="18"/>
        <v>#VALUE!</v>
      </c>
      <c r="AS35" s="648"/>
      <c r="AT35" s="542" t="s">
        <v>592</v>
      </c>
      <c r="AU35" s="543" t="s">
        <v>592</v>
      </c>
      <c r="AV35" s="543" t="s">
        <v>592</v>
      </c>
      <c r="AW35" s="542" t="e">
        <f t="shared" si="20"/>
        <v>#VALUE!</v>
      </c>
      <c r="AX35" s="648"/>
      <c r="AZ35" s="372" t="e">
        <f t="shared" si="22"/>
        <v>#N/A</v>
      </c>
      <c r="BA35" s="648"/>
    </row>
    <row r="36" spans="2:53">
      <c r="B36" s="646"/>
      <c r="C36" s="384">
        <v>10</v>
      </c>
      <c r="D36" s="225"/>
      <c r="E36" s="539"/>
      <c r="F36" s="535"/>
      <c r="G36" s="534"/>
      <c r="H36" s="671"/>
      <c r="I36" s="385" t="str">
        <f t="shared" si="5"/>
        <v>-</v>
      </c>
      <c r="J36" s="385" t="str">
        <f t="shared" si="6"/>
        <v>-</v>
      </c>
      <c r="K36" s="199" t="str">
        <f t="shared" si="7"/>
        <v>-</v>
      </c>
      <c r="L36" s="617"/>
      <c r="M36" s="392" t="e">
        <f>RANK(K36, K$24:$K$41)</f>
        <v>#VALUE!</v>
      </c>
      <c r="N36" s="635"/>
      <c r="O36" s="635"/>
      <c r="P36" s="542" t="s">
        <v>592</v>
      </c>
      <c r="Q36" s="543" t="s">
        <v>592</v>
      </c>
      <c r="R36" s="543" t="s">
        <v>592</v>
      </c>
      <c r="S36" s="542" t="e">
        <f t="shared" si="8"/>
        <v>#VALUE!</v>
      </c>
      <c r="T36" s="648"/>
      <c r="U36" s="542" t="s">
        <v>592</v>
      </c>
      <c r="V36" s="543" t="s">
        <v>592</v>
      </c>
      <c r="W36" s="543" t="s">
        <v>592</v>
      </c>
      <c r="X36" s="542" t="e">
        <f t="shared" si="10"/>
        <v>#VALUE!</v>
      </c>
      <c r="Y36" s="648"/>
      <c r="Z36" s="542" t="s">
        <v>592</v>
      </c>
      <c r="AA36" s="543" t="s">
        <v>592</v>
      </c>
      <c r="AB36" s="543" t="s">
        <v>592</v>
      </c>
      <c r="AC36" s="542" t="e">
        <f t="shared" si="12"/>
        <v>#VALUE!</v>
      </c>
      <c r="AD36" s="648"/>
      <c r="AE36" s="542" t="s">
        <v>592</v>
      </c>
      <c r="AF36" s="543" t="s">
        <v>592</v>
      </c>
      <c r="AG36" s="543" t="s">
        <v>592</v>
      </c>
      <c r="AH36" s="542" t="e">
        <f t="shared" si="14"/>
        <v>#VALUE!</v>
      </c>
      <c r="AI36" s="648"/>
      <c r="AJ36" s="542" t="s">
        <v>592</v>
      </c>
      <c r="AK36" s="543" t="s">
        <v>592</v>
      </c>
      <c r="AL36" s="543" t="s">
        <v>592</v>
      </c>
      <c r="AM36" s="542" t="e">
        <f t="shared" si="16"/>
        <v>#VALUE!</v>
      </c>
      <c r="AN36" s="648"/>
      <c r="AO36" s="542" t="s">
        <v>592</v>
      </c>
      <c r="AP36" s="543" t="s">
        <v>592</v>
      </c>
      <c r="AQ36" s="543" t="s">
        <v>592</v>
      </c>
      <c r="AR36" s="542" t="e">
        <f t="shared" si="18"/>
        <v>#VALUE!</v>
      </c>
      <c r="AS36" s="648"/>
      <c r="AT36" s="542" t="s">
        <v>592</v>
      </c>
      <c r="AU36" s="543" t="s">
        <v>592</v>
      </c>
      <c r="AV36" s="543" t="s">
        <v>592</v>
      </c>
      <c r="AW36" s="542" t="e">
        <f t="shared" si="20"/>
        <v>#VALUE!</v>
      </c>
      <c r="AX36" s="648"/>
      <c r="AZ36" s="372" t="e">
        <f t="shared" si="22"/>
        <v>#N/A</v>
      </c>
      <c r="BA36" s="648"/>
    </row>
    <row r="37" spans="2:53">
      <c r="B37" s="646"/>
      <c r="C37" s="384">
        <v>11</v>
      </c>
      <c r="D37" s="225"/>
      <c r="E37" s="539"/>
      <c r="F37" s="535"/>
      <c r="G37" s="534"/>
      <c r="H37" s="671"/>
      <c r="I37" s="385" t="str">
        <f t="shared" si="5"/>
        <v>-</v>
      </c>
      <c r="J37" s="385" t="str">
        <f t="shared" si="6"/>
        <v>-</v>
      </c>
      <c r="K37" s="199" t="str">
        <f t="shared" si="7"/>
        <v>-</v>
      </c>
      <c r="L37" s="617"/>
      <c r="M37" s="392" t="e">
        <f>RANK(K37, K$24:$K$41)</f>
        <v>#VALUE!</v>
      </c>
      <c r="N37" s="635"/>
      <c r="O37" s="635"/>
      <c r="P37" s="542" t="s">
        <v>592</v>
      </c>
      <c r="Q37" s="543" t="s">
        <v>592</v>
      </c>
      <c r="R37" s="543" t="s">
        <v>592</v>
      </c>
      <c r="S37" s="542" t="e">
        <f t="shared" si="8"/>
        <v>#VALUE!</v>
      </c>
      <c r="T37" s="648"/>
      <c r="U37" s="542" t="s">
        <v>592</v>
      </c>
      <c r="V37" s="543" t="s">
        <v>592</v>
      </c>
      <c r="W37" s="543" t="s">
        <v>592</v>
      </c>
      <c r="X37" s="542" t="e">
        <f t="shared" si="10"/>
        <v>#VALUE!</v>
      </c>
      <c r="Y37" s="648"/>
      <c r="Z37" s="542" t="s">
        <v>592</v>
      </c>
      <c r="AA37" s="543" t="s">
        <v>592</v>
      </c>
      <c r="AB37" s="543" t="s">
        <v>592</v>
      </c>
      <c r="AC37" s="542" t="e">
        <f t="shared" si="12"/>
        <v>#VALUE!</v>
      </c>
      <c r="AD37" s="648"/>
      <c r="AE37" s="542" t="s">
        <v>592</v>
      </c>
      <c r="AF37" s="543" t="s">
        <v>592</v>
      </c>
      <c r="AG37" s="543" t="s">
        <v>592</v>
      </c>
      <c r="AH37" s="542" t="e">
        <f t="shared" si="14"/>
        <v>#VALUE!</v>
      </c>
      <c r="AI37" s="648"/>
      <c r="AJ37" s="542" t="s">
        <v>592</v>
      </c>
      <c r="AK37" s="543" t="s">
        <v>592</v>
      </c>
      <c r="AL37" s="543" t="s">
        <v>592</v>
      </c>
      <c r="AM37" s="542" t="e">
        <f t="shared" si="16"/>
        <v>#VALUE!</v>
      </c>
      <c r="AN37" s="648"/>
      <c r="AO37" s="542" t="s">
        <v>592</v>
      </c>
      <c r="AP37" s="543" t="s">
        <v>592</v>
      </c>
      <c r="AQ37" s="543" t="s">
        <v>592</v>
      </c>
      <c r="AR37" s="542" t="e">
        <f t="shared" si="18"/>
        <v>#VALUE!</v>
      </c>
      <c r="AS37" s="648"/>
      <c r="AT37" s="542" t="s">
        <v>592</v>
      </c>
      <c r="AU37" s="543" t="s">
        <v>592</v>
      </c>
      <c r="AV37" s="543" t="s">
        <v>592</v>
      </c>
      <c r="AW37" s="542" t="e">
        <f t="shared" si="20"/>
        <v>#VALUE!</v>
      </c>
      <c r="AX37" s="648"/>
      <c r="AZ37" s="372" t="e">
        <f t="shared" si="22"/>
        <v>#N/A</v>
      </c>
      <c r="BA37" s="648"/>
    </row>
    <row r="38" spans="2:53">
      <c r="B38" s="646"/>
      <c r="C38" s="384">
        <v>12</v>
      </c>
      <c r="D38" s="225"/>
      <c r="E38" s="539"/>
      <c r="F38" s="535"/>
      <c r="G38" s="534"/>
      <c r="H38" s="671"/>
      <c r="I38" s="385" t="str">
        <f t="shared" si="5"/>
        <v>-</v>
      </c>
      <c r="J38" s="385" t="str">
        <f t="shared" si="6"/>
        <v>-</v>
      </c>
      <c r="K38" s="199" t="str">
        <f t="shared" si="7"/>
        <v>-</v>
      </c>
      <c r="L38" s="617"/>
      <c r="M38" s="392" t="e">
        <f>RANK(K38, K$24:$K$41)</f>
        <v>#VALUE!</v>
      </c>
      <c r="N38" s="635"/>
      <c r="O38" s="635"/>
      <c r="P38" s="542" t="s">
        <v>592</v>
      </c>
      <c r="Q38" s="543" t="s">
        <v>592</v>
      </c>
      <c r="R38" s="543" t="s">
        <v>592</v>
      </c>
      <c r="S38" s="542" t="e">
        <f t="shared" si="8"/>
        <v>#VALUE!</v>
      </c>
      <c r="T38" s="648"/>
      <c r="U38" s="542" t="s">
        <v>592</v>
      </c>
      <c r="V38" s="543" t="s">
        <v>592</v>
      </c>
      <c r="W38" s="543" t="s">
        <v>592</v>
      </c>
      <c r="X38" s="542" t="e">
        <f t="shared" si="10"/>
        <v>#VALUE!</v>
      </c>
      <c r="Y38" s="648"/>
      <c r="Z38" s="542" t="s">
        <v>592</v>
      </c>
      <c r="AA38" s="543" t="s">
        <v>592</v>
      </c>
      <c r="AB38" s="543" t="s">
        <v>592</v>
      </c>
      <c r="AC38" s="542" t="e">
        <f t="shared" si="12"/>
        <v>#VALUE!</v>
      </c>
      <c r="AD38" s="648"/>
      <c r="AE38" s="542" t="s">
        <v>592</v>
      </c>
      <c r="AF38" s="543" t="s">
        <v>592</v>
      </c>
      <c r="AG38" s="543" t="s">
        <v>592</v>
      </c>
      <c r="AH38" s="542" t="e">
        <f t="shared" si="14"/>
        <v>#VALUE!</v>
      </c>
      <c r="AI38" s="648"/>
      <c r="AJ38" s="542" t="s">
        <v>592</v>
      </c>
      <c r="AK38" s="543" t="s">
        <v>592</v>
      </c>
      <c r="AL38" s="543" t="s">
        <v>592</v>
      </c>
      <c r="AM38" s="542" t="e">
        <f t="shared" si="16"/>
        <v>#VALUE!</v>
      </c>
      <c r="AN38" s="648"/>
      <c r="AO38" s="542" t="s">
        <v>592</v>
      </c>
      <c r="AP38" s="543" t="s">
        <v>592</v>
      </c>
      <c r="AQ38" s="543" t="s">
        <v>592</v>
      </c>
      <c r="AR38" s="542" t="e">
        <f t="shared" si="18"/>
        <v>#VALUE!</v>
      </c>
      <c r="AS38" s="648"/>
      <c r="AT38" s="542" t="s">
        <v>592</v>
      </c>
      <c r="AU38" s="543" t="s">
        <v>592</v>
      </c>
      <c r="AV38" s="543" t="s">
        <v>592</v>
      </c>
      <c r="AW38" s="542" t="e">
        <f t="shared" si="20"/>
        <v>#VALUE!</v>
      </c>
      <c r="AX38" s="648"/>
      <c r="AZ38" s="372" t="e">
        <f t="shared" si="22"/>
        <v>#N/A</v>
      </c>
      <c r="BA38" s="648"/>
    </row>
    <row r="39" spans="2:53">
      <c r="B39" s="646"/>
      <c r="C39" s="384">
        <v>13</v>
      </c>
      <c r="D39" s="225"/>
      <c r="E39" s="539"/>
      <c r="F39" s="535"/>
      <c r="G39" s="534"/>
      <c r="H39" s="671"/>
      <c r="I39" s="385" t="str">
        <f t="shared" si="5"/>
        <v>-</v>
      </c>
      <c r="J39" s="385" t="str">
        <f t="shared" si="6"/>
        <v>-</v>
      </c>
      <c r="K39" s="199" t="str">
        <f t="shared" si="7"/>
        <v>-</v>
      </c>
      <c r="L39" s="617"/>
      <c r="M39" s="392" t="e">
        <f>RANK(K39, K$24:$K$41)</f>
        <v>#VALUE!</v>
      </c>
      <c r="N39" s="635"/>
      <c r="O39" s="635"/>
      <c r="P39" s="542" t="s">
        <v>592</v>
      </c>
      <c r="Q39" s="543" t="s">
        <v>592</v>
      </c>
      <c r="R39" s="543" t="s">
        <v>592</v>
      </c>
      <c r="S39" s="542" t="e">
        <f t="shared" si="8"/>
        <v>#VALUE!</v>
      </c>
      <c r="T39" s="648"/>
      <c r="U39" s="542" t="s">
        <v>592</v>
      </c>
      <c r="V39" s="543" t="s">
        <v>592</v>
      </c>
      <c r="W39" s="543" t="s">
        <v>592</v>
      </c>
      <c r="X39" s="542" t="e">
        <f t="shared" si="10"/>
        <v>#VALUE!</v>
      </c>
      <c r="Y39" s="648"/>
      <c r="Z39" s="542" t="s">
        <v>592</v>
      </c>
      <c r="AA39" s="543" t="s">
        <v>592</v>
      </c>
      <c r="AB39" s="543" t="s">
        <v>592</v>
      </c>
      <c r="AC39" s="542" t="e">
        <f t="shared" si="12"/>
        <v>#VALUE!</v>
      </c>
      <c r="AD39" s="648"/>
      <c r="AE39" s="542" t="s">
        <v>592</v>
      </c>
      <c r="AF39" s="543" t="s">
        <v>592</v>
      </c>
      <c r="AG39" s="543" t="s">
        <v>592</v>
      </c>
      <c r="AH39" s="542" t="e">
        <f t="shared" si="14"/>
        <v>#VALUE!</v>
      </c>
      <c r="AI39" s="648"/>
      <c r="AJ39" s="542" t="s">
        <v>592</v>
      </c>
      <c r="AK39" s="543" t="s">
        <v>592</v>
      </c>
      <c r="AL39" s="543" t="s">
        <v>592</v>
      </c>
      <c r="AM39" s="542" t="e">
        <f t="shared" si="16"/>
        <v>#VALUE!</v>
      </c>
      <c r="AN39" s="648"/>
      <c r="AO39" s="542" t="s">
        <v>592</v>
      </c>
      <c r="AP39" s="543" t="s">
        <v>592</v>
      </c>
      <c r="AQ39" s="543" t="s">
        <v>592</v>
      </c>
      <c r="AR39" s="542" t="e">
        <f t="shared" si="18"/>
        <v>#VALUE!</v>
      </c>
      <c r="AS39" s="648"/>
      <c r="AT39" s="542" t="s">
        <v>592</v>
      </c>
      <c r="AU39" s="543" t="s">
        <v>592</v>
      </c>
      <c r="AV39" s="543" t="s">
        <v>592</v>
      </c>
      <c r="AW39" s="542" t="e">
        <f t="shared" si="20"/>
        <v>#VALUE!</v>
      </c>
      <c r="AX39" s="648"/>
      <c r="AZ39" s="372" t="e">
        <f t="shared" si="22"/>
        <v>#N/A</v>
      </c>
      <c r="BA39" s="648"/>
    </row>
    <row r="40" spans="2:53">
      <c r="B40" s="646"/>
      <c r="C40" s="384">
        <v>14</v>
      </c>
      <c r="D40" s="225"/>
      <c r="E40" s="539"/>
      <c r="F40" s="535"/>
      <c r="G40" s="534"/>
      <c r="H40" s="671"/>
      <c r="I40" s="385" t="str">
        <f t="shared" si="5"/>
        <v>-</v>
      </c>
      <c r="J40" s="385" t="str">
        <f t="shared" si="6"/>
        <v>-</v>
      </c>
      <c r="K40" s="199" t="str">
        <f t="shared" si="7"/>
        <v>-</v>
      </c>
      <c r="L40" s="617"/>
      <c r="M40" s="392" t="e">
        <f>RANK(K40, K$24:$K$41)</f>
        <v>#VALUE!</v>
      </c>
      <c r="N40" s="635"/>
      <c r="O40" s="635"/>
      <c r="P40" s="542" t="s">
        <v>592</v>
      </c>
      <c r="Q40" s="543" t="s">
        <v>592</v>
      </c>
      <c r="R40" s="543" t="s">
        <v>592</v>
      </c>
      <c r="S40" s="542" t="e">
        <f t="shared" si="8"/>
        <v>#VALUE!</v>
      </c>
      <c r="T40" s="648"/>
      <c r="U40" s="542" t="s">
        <v>592</v>
      </c>
      <c r="V40" s="543" t="s">
        <v>592</v>
      </c>
      <c r="W40" s="543" t="s">
        <v>592</v>
      </c>
      <c r="X40" s="542" t="e">
        <f t="shared" si="10"/>
        <v>#VALUE!</v>
      </c>
      <c r="Y40" s="648"/>
      <c r="Z40" s="542" t="s">
        <v>592</v>
      </c>
      <c r="AA40" s="543" t="s">
        <v>592</v>
      </c>
      <c r="AB40" s="543" t="s">
        <v>592</v>
      </c>
      <c r="AC40" s="542" t="e">
        <f t="shared" si="12"/>
        <v>#VALUE!</v>
      </c>
      <c r="AD40" s="648"/>
      <c r="AE40" s="542" t="s">
        <v>592</v>
      </c>
      <c r="AF40" s="543" t="s">
        <v>592</v>
      </c>
      <c r="AG40" s="543" t="s">
        <v>592</v>
      </c>
      <c r="AH40" s="542" t="e">
        <f t="shared" si="14"/>
        <v>#VALUE!</v>
      </c>
      <c r="AI40" s="648"/>
      <c r="AJ40" s="542" t="s">
        <v>592</v>
      </c>
      <c r="AK40" s="543" t="s">
        <v>592</v>
      </c>
      <c r="AL40" s="543" t="s">
        <v>592</v>
      </c>
      <c r="AM40" s="542" t="e">
        <f t="shared" si="16"/>
        <v>#VALUE!</v>
      </c>
      <c r="AN40" s="648"/>
      <c r="AO40" s="542" t="s">
        <v>592</v>
      </c>
      <c r="AP40" s="543" t="s">
        <v>592</v>
      </c>
      <c r="AQ40" s="543" t="s">
        <v>592</v>
      </c>
      <c r="AR40" s="542" t="e">
        <f t="shared" si="18"/>
        <v>#VALUE!</v>
      </c>
      <c r="AS40" s="648"/>
      <c r="AT40" s="542" t="s">
        <v>592</v>
      </c>
      <c r="AU40" s="543" t="s">
        <v>592</v>
      </c>
      <c r="AV40" s="543" t="s">
        <v>592</v>
      </c>
      <c r="AW40" s="542" t="e">
        <f t="shared" si="20"/>
        <v>#VALUE!</v>
      </c>
      <c r="AX40" s="648"/>
      <c r="AZ40" s="372" t="e">
        <f t="shared" si="22"/>
        <v>#N/A</v>
      </c>
      <c r="BA40" s="648"/>
    </row>
    <row r="41" spans="2:53">
      <c r="B41" s="646"/>
      <c r="C41" s="384">
        <v>15</v>
      </c>
      <c r="D41" s="225"/>
      <c r="E41" s="539"/>
      <c r="F41" s="535"/>
      <c r="G41" s="534"/>
      <c r="H41" s="680"/>
      <c r="I41" s="384"/>
      <c r="J41" s="384"/>
      <c r="K41" s="384"/>
      <c r="L41" s="618"/>
      <c r="M41" s="392" t="e">
        <f>RANK(K41, K$24:$K$41)</f>
        <v>#N/A</v>
      </c>
      <c r="N41" s="635"/>
      <c r="O41" s="635"/>
      <c r="P41" s="542" t="s">
        <v>592</v>
      </c>
      <c r="Q41" s="543" t="s">
        <v>592</v>
      </c>
      <c r="R41" s="543" t="s">
        <v>592</v>
      </c>
      <c r="S41" s="542" t="e">
        <f t="shared" si="8"/>
        <v>#VALUE!</v>
      </c>
      <c r="T41" s="649"/>
      <c r="U41" s="542" t="s">
        <v>592</v>
      </c>
      <c r="V41" s="543" t="s">
        <v>592</v>
      </c>
      <c r="W41" s="543" t="s">
        <v>592</v>
      </c>
      <c r="X41" s="542" t="e">
        <f t="shared" si="10"/>
        <v>#VALUE!</v>
      </c>
      <c r="Y41" s="649"/>
      <c r="Z41" s="542" t="s">
        <v>592</v>
      </c>
      <c r="AA41" s="543" t="s">
        <v>592</v>
      </c>
      <c r="AB41" s="543" t="s">
        <v>592</v>
      </c>
      <c r="AC41" s="542" t="e">
        <f t="shared" si="12"/>
        <v>#VALUE!</v>
      </c>
      <c r="AD41" s="649"/>
      <c r="AE41" s="542" t="s">
        <v>592</v>
      </c>
      <c r="AF41" s="543" t="s">
        <v>592</v>
      </c>
      <c r="AG41" s="543" t="s">
        <v>592</v>
      </c>
      <c r="AH41" s="542" t="e">
        <f t="shared" si="14"/>
        <v>#VALUE!</v>
      </c>
      <c r="AI41" s="649"/>
      <c r="AJ41" s="542" t="s">
        <v>592</v>
      </c>
      <c r="AK41" s="543" t="s">
        <v>592</v>
      </c>
      <c r="AL41" s="543" t="s">
        <v>592</v>
      </c>
      <c r="AM41" s="542" t="e">
        <f t="shared" si="16"/>
        <v>#VALUE!</v>
      </c>
      <c r="AN41" s="649"/>
      <c r="AO41" s="542" t="s">
        <v>592</v>
      </c>
      <c r="AP41" s="543" t="s">
        <v>592</v>
      </c>
      <c r="AQ41" s="543" t="s">
        <v>592</v>
      </c>
      <c r="AR41" s="542" t="e">
        <f t="shared" si="18"/>
        <v>#VALUE!</v>
      </c>
      <c r="AS41" s="649"/>
      <c r="AT41" s="542" t="s">
        <v>592</v>
      </c>
      <c r="AU41" s="543" t="s">
        <v>592</v>
      </c>
      <c r="AV41" s="543" t="s">
        <v>592</v>
      </c>
      <c r="AW41" s="542" t="e">
        <f t="shared" si="20"/>
        <v>#VALUE!</v>
      </c>
      <c r="AX41" s="649"/>
      <c r="AZ41" s="372" t="e">
        <f t="shared" si="22"/>
        <v>#N/A</v>
      </c>
      <c r="BA41" s="649"/>
    </row>
    <row r="42" spans="2:53" ht="15.75">
      <c r="B42" s="666" t="s">
        <v>162</v>
      </c>
      <c r="C42" s="667"/>
      <c r="D42" s="667"/>
      <c r="E42" s="667"/>
      <c r="F42" s="667"/>
      <c r="G42" s="667"/>
      <c r="H42" s="667"/>
      <c r="I42" s="207"/>
      <c r="J42" s="202"/>
      <c r="K42" s="207"/>
      <c r="L42" s="207"/>
      <c r="M42" s="203"/>
      <c r="N42" s="639" t="s">
        <v>156</v>
      </c>
      <c r="O42" s="639" t="s">
        <v>105</v>
      </c>
      <c r="P42" s="645">
        <f>P22+7</f>
        <v>46217</v>
      </c>
      <c r="Q42" s="646"/>
      <c r="R42" s="646"/>
      <c r="S42" s="646"/>
      <c r="T42" s="646"/>
      <c r="U42" s="642">
        <f>P42+1</f>
        <v>46218</v>
      </c>
      <c r="V42" s="643"/>
      <c r="W42" s="643"/>
      <c r="X42" s="643"/>
      <c r="Y42" s="644"/>
      <c r="Z42" s="642">
        <f>U42+1</f>
        <v>46219</v>
      </c>
      <c r="AA42" s="643"/>
      <c r="AB42" s="643"/>
      <c r="AC42" s="643"/>
      <c r="AD42" s="644"/>
      <c r="AE42" s="642">
        <f>Z42+1</f>
        <v>46220</v>
      </c>
      <c r="AF42" s="643"/>
      <c r="AG42" s="643"/>
      <c r="AH42" s="643"/>
      <c r="AI42" s="644"/>
      <c r="AJ42" s="642">
        <f>AE42+1</f>
        <v>46221</v>
      </c>
      <c r="AK42" s="643"/>
      <c r="AL42" s="643"/>
      <c r="AM42" s="643"/>
      <c r="AN42" s="644"/>
      <c r="AO42" s="642">
        <f>AJ42+1</f>
        <v>46222</v>
      </c>
      <c r="AP42" s="643"/>
      <c r="AQ42" s="643"/>
      <c r="AR42" s="643"/>
      <c r="AS42" s="644"/>
      <c r="AT42" s="642">
        <f>AO42+1</f>
        <v>46223</v>
      </c>
      <c r="AU42" s="643"/>
      <c r="AV42" s="643"/>
      <c r="AW42" s="643"/>
      <c r="AX42" s="644"/>
    </row>
    <row r="43" spans="2:53" ht="15.75">
      <c r="B43" s="653"/>
      <c r="C43" s="653"/>
      <c r="D43" s="653"/>
      <c r="E43" s="653"/>
      <c r="F43" s="653"/>
      <c r="G43" s="653"/>
      <c r="H43" s="653"/>
      <c r="I43" s="204"/>
      <c r="J43" s="204"/>
      <c r="K43" s="204"/>
      <c r="L43" s="204"/>
      <c r="M43" s="205"/>
      <c r="N43" s="641"/>
      <c r="O43" s="641"/>
      <c r="P43" s="645" t="s">
        <v>317</v>
      </c>
      <c r="Q43" s="646"/>
      <c r="R43" s="646"/>
      <c r="S43" s="646"/>
      <c r="T43" s="646"/>
      <c r="U43" s="645" t="s">
        <v>318</v>
      </c>
      <c r="V43" s="646"/>
      <c r="W43" s="646"/>
      <c r="X43" s="646"/>
      <c r="Y43" s="646"/>
      <c r="Z43" s="645" t="s">
        <v>319</v>
      </c>
      <c r="AA43" s="646"/>
      <c r="AB43" s="646"/>
      <c r="AC43" s="646"/>
      <c r="AD43" s="646"/>
      <c r="AE43" s="645" t="s">
        <v>320</v>
      </c>
      <c r="AF43" s="646"/>
      <c r="AG43" s="646"/>
      <c r="AH43" s="646"/>
      <c r="AI43" s="646"/>
      <c r="AJ43" s="645" t="s">
        <v>321</v>
      </c>
      <c r="AK43" s="646"/>
      <c r="AL43" s="646"/>
      <c r="AM43" s="646"/>
      <c r="AN43" s="646"/>
      <c r="AO43" s="645" t="s">
        <v>322</v>
      </c>
      <c r="AP43" s="646"/>
      <c r="AQ43" s="646"/>
      <c r="AR43" s="646"/>
      <c r="AS43" s="646"/>
      <c r="AT43" s="645" t="s">
        <v>323</v>
      </c>
      <c r="AU43" s="646"/>
      <c r="AV43" s="646"/>
      <c r="AW43" s="646"/>
      <c r="AX43" s="646"/>
    </row>
    <row r="44" spans="2:53">
      <c r="B44" s="635" t="s">
        <v>372</v>
      </c>
      <c r="C44" s="635" t="s">
        <v>536</v>
      </c>
      <c r="D44" s="635"/>
      <c r="E44" s="635" t="s">
        <v>537</v>
      </c>
      <c r="F44" s="635"/>
      <c r="G44" s="635"/>
      <c r="H44" s="636" t="s">
        <v>538</v>
      </c>
      <c r="I44" s="635" t="s">
        <v>539</v>
      </c>
      <c r="J44" s="635"/>
      <c r="K44" s="635"/>
      <c r="L44" s="636" t="s">
        <v>369</v>
      </c>
      <c r="M44" s="639" t="s">
        <v>540</v>
      </c>
      <c r="N44" s="635"/>
      <c r="O44" s="635" t="s">
        <v>541</v>
      </c>
      <c r="P44" s="632" t="s">
        <v>371</v>
      </c>
      <c r="Q44" s="633"/>
      <c r="R44" s="633"/>
      <c r="S44" s="634"/>
      <c r="T44" s="635" t="s">
        <v>369</v>
      </c>
      <c r="U44" s="632" t="s">
        <v>371</v>
      </c>
      <c r="V44" s="633"/>
      <c r="W44" s="633"/>
      <c r="X44" s="634"/>
      <c r="Y44" s="635" t="s">
        <v>369</v>
      </c>
      <c r="Z44" s="632" t="s">
        <v>371</v>
      </c>
      <c r="AA44" s="633"/>
      <c r="AB44" s="633"/>
      <c r="AC44" s="634"/>
      <c r="AD44" s="635" t="s">
        <v>369</v>
      </c>
      <c r="AE44" s="632" t="s">
        <v>371</v>
      </c>
      <c r="AF44" s="633"/>
      <c r="AG44" s="633"/>
      <c r="AH44" s="634"/>
      <c r="AI44" s="635" t="s">
        <v>369</v>
      </c>
      <c r="AJ44" s="632" t="s">
        <v>371</v>
      </c>
      <c r="AK44" s="633"/>
      <c r="AL44" s="633"/>
      <c r="AM44" s="634"/>
      <c r="AN44" s="635" t="s">
        <v>369</v>
      </c>
      <c r="AO44" s="632" t="s">
        <v>371</v>
      </c>
      <c r="AP44" s="633"/>
      <c r="AQ44" s="633"/>
      <c r="AR44" s="634"/>
      <c r="AS44" s="635" t="s">
        <v>369</v>
      </c>
      <c r="AT44" s="632" t="s">
        <v>371</v>
      </c>
      <c r="AU44" s="633"/>
      <c r="AV44" s="633"/>
      <c r="AW44" s="634"/>
      <c r="AX44" s="635" t="s">
        <v>369</v>
      </c>
      <c r="BA44" s="635" t="s">
        <v>369</v>
      </c>
    </row>
    <row r="45" spans="2:53">
      <c r="B45" s="635"/>
      <c r="C45" s="635"/>
      <c r="D45" s="635"/>
      <c r="E45" s="635" t="s">
        <v>542</v>
      </c>
      <c r="F45" s="635"/>
      <c r="G45" s="635"/>
      <c r="H45" s="637"/>
      <c r="I45" s="635" t="s">
        <v>542</v>
      </c>
      <c r="J45" s="635"/>
      <c r="K45" s="635"/>
      <c r="L45" s="637"/>
      <c r="M45" s="640"/>
      <c r="N45" s="635"/>
      <c r="O45" s="635"/>
      <c r="P45" s="632" t="s">
        <v>377</v>
      </c>
      <c r="Q45" s="633"/>
      <c r="R45" s="633"/>
      <c r="S45" s="634"/>
      <c r="T45" s="635"/>
      <c r="U45" s="632" t="s">
        <v>377</v>
      </c>
      <c r="V45" s="633"/>
      <c r="W45" s="633"/>
      <c r="X45" s="634"/>
      <c r="Y45" s="635"/>
      <c r="Z45" s="632" t="s">
        <v>377</v>
      </c>
      <c r="AA45" s="633"/>
      <c r="AB45" s="633"/>
      <c r="AC45" s="634"/>
      <c r="AD45" s="635"/>
      <c r="AE45" s="632" t="s">
        <v>377</v>
      </c>
      <c r="AF45" s="633"/>
      <c r="AG45" s="633"/>
      <c r="AH45" s="634"/>
      <c r="AI45" s="635"/>
      <c r="AJ45" s="632" t="s">
        <v>377</v>
      </c>
      <c r="AK45" s="633"/>
      <c r="AL45" s="633"/>
      <c r="AM45" s="634"/>
      <c r="AN45" s="635"/>
      <c r="AO45" s="632" t="s">
        <v>377</v>
      </c>
      <c r="AP45" s="633"/>
      <c r="AQ45" s="633"/>
      <c r="AR45" s="634"/>
      <c r="AS45" s="635"/>
      <c r="AT45" s="632" t="s">
        <v>377</v>
      </c>
      <c r="AU45" s="633"/>
      <c r="AV45" s="633"/>
      <c r="AW45" s="634"/>
      <c r="AX45" s="635"/>
      <c r="BA45" s="635"/>
    </row>
    <row r="46" spans="2:53">
      <c r="B46" s="635"/>
      <c r="C46" s="635"/>
      <c r="D46" s="635"/>
      <c r="E46" s="382" t="s">
        <v>543</v>
      </c>
      <c r="F46" s="382" t="s">
        <v>544</v>
      </c>
      <c r="G46" s="382" t="s">
        <v>545</v>
      </c>
      <c r="H46" s="638"/>
      <c r="I46" s="382" t="s">
        <v>543</v>
      </c>
      <c r="J46" s="382" t="s">
        <v>544</v>
      </c>
      <c r="K46" s="382" t="s">
        <v>545</v>
      </c>
      <c r="L46" s="638"/>
      <c r="M46" s="641"/>
      <c r="N46" s="635"/>
      <c r="O46" s="635"/>
      <c r="P46" s="382" t="s">
        <v>378</v>
      </c>
      <c r="Q46" s="382" t="s">
        <v>379</v>
      </c>
      <c r="R46" s="382" t="s">
        <v>380</v>
      </c>
      <c r="S46" s="382" t="s">
        <v>370</v>
      </c>
      <c r="T46" s="635"/>
      <c r="U46" s="382" t="s">
        <v>378</v>
      </c>
      <c r="V46" s="382" t="s">
        <v>379</v>
      </c>
      <c r="W46" s="382" t="s">
        <v>380</v>
      </c>
      <c r="X46" s="382" t="s">
        <v>370</v>
      </c>
      <c r="Y46" s="635"/>
      <c r="Z46" s="382" t="s">
        <v>378</v>
      </c>
      <c r="AA46" s="382" t="s">
        <v>379</v>
      </c>
      <c r="AB46" s="382" t="s">
        <v>380</v>
      </c>
      <c r="AC46" s="382" t="s">
        <v>370</v>
      </c>
      <c r="AD46" s="635"/>
      <c r="AE46" s="382" t="s">
        <v>378</v>
      </c>
      <c r="AF46" s="382" t="s">
        <v>379</v>
      </c>
      <c r="AG46" s="382" t="s">
        <v>380</v>
      </c>
      <c r="AH46" s="382" t="s">
        <v>370</v>
      </c>
      <c r="AI46" s="635"/>
      <c r="AJ46" s="382" t="s">
        <v>378</v>
      </c>
      <c r="AK46" s="382" t="s">
        <v>379</v>
      </c>
      <c r="AL46" s="382" t="s">
        <v>380</v>
      </c>
      <c r="AM46" s="382" t="s">
        <v>370</v>
      </c>
      <c r="AN46" s="635"/>
      <c r="AO46" s="382" t="s">
        <v>378</v>
      </c>
      <c r="AP46" s="382" t="s">
        <v>379</v>
      </c>
      <c r="AQ46" s="382" t="s">
        <v>380</v>
      </c>
      <c r="AR46" s="382" t="s">
        <v>370</v>
      </c>
      <c r="AS46" s="635"/>
      <c r="AT46" s="382" t="s">
        <v>378</v>
      </c>
      <c r="AU46" s="382" t="s">
        <v>379</v>
      </c>
      <c r="AV46" s="382" t="s">
        <v>380</v>
      </c>
      <c r="AW46" s="382" t="s">
        <v>370</v>
      </c>
      <c r="AX46" s="635"/>
      <c r="AZ46" s="371" t="s">
        <v>565</v>
      </c>
      <c r="BA46" s="635"/>
    </row>
    <row r="47" spans="2:53">
      <c r="B47" s="635" t="s">
        <v>384</v>
      </c>
      <c r="C47" s="384">
        <v>1</v>
      </c>
      <c r="D47" s="225" t="s">
        <v>595</v>
      </c>
      <c r="E47" s="539">
        <v>17</v>
      </c>
      <c r="F47" s="535">
        <v>1565</v>
      </c>
      <c r="G47" s="534">
        <v>92.058823529411768</v>
      </c>
      <c r="H47" s="670">
        <f>AVERAGE(G47:G61)</f>
        <v>87.502364981080149</v>
      </c>
      <c r="I47" s="385">
        <f t="shared" ref="I47:I60" si="24">IFERROR(AVERAGE(P47,U47,Z47,AE47,AJ47,AO47,AT47),"-")</f>
        <v>17</v>
      </c>
      <c r="J47" s="385">
        <f t="shared" ref="J47:J60" si="25">IFERROR(AVERAGE(Q47,V47,AA47,AF47,AK47,AP47,AU47),"-")</f>
        <v>1412.1217409445235</v>
      </c>
      <c r="K47" s="199">
        <f t="shared" ref="K47:K60" si="26">IFERROR(AVERAGE(R47,W47,AB47,AG47,AL47,AQ47,AV47),"-")</f>
        <v>83.06598476144255</v>
      </c>
      <c r="L47" s="616">
        <f>IFERROR(AVERAGE(K47:K61),"-")</f>
        <v>78.585181821482081</v>
      </c>
      <c r="M47" s="432">
        <f>RANK(K47, K$47:$K$61)</f>
        <v>1</v>
      </c>
      <c r="N47" s="635"/>
      <c r="O47" s="635"/>
      <c r="P47" s="546">
        <v>17</v>
      </c>
      <c r="Q47" s="547">
        <v>1398.3233532934134</v>
      </c>
      <c r="R47" s="547">
        <v>82.254314899612552</v>
      </c>
      <c r="S47" s="555">
        <f t="shared" ref="S47:S61" si="27">RANK(R47, R$47:R$61)</f>
        <v>2</v>
      </c>
      <c r="T47" s="663">
        <f t="shared" ref="T47" si="28">AVERAGE(R47:R61)</f>
        <v>78.525312030183116</v>
      </c>
      <c r="U47" s="546">
        <v>17</v>
      </c>
      <c r="V47" s="547">
        <v>1423.0290909090911</v>
      </c>
      <c r="W47" s="547">
        <v>83.707593582887711</v>
      </c>
      <c r="X47" s="555">
        <f t="shared" ref="X47:X61" si="29">RANK(W47, W$47:W$61)</f>
        <v>1</v>
      </c>
      <c r="Y47" s="663">
        <f t="shared" ref="Y47" si="30">AVERAGE(W47:W61)</f>
        <v>78.410912055883472</v>
      </c>
      <c r="Z47" s="546">
        <v>17</v>
      </c>
      <c r="AA47" s="547">
        <v>1415.4256097560976</v>
      </c>
      <c r="AB47" s="547">
        <v>83.260329985652803</v>
      </c>
      <c r="AC47" s="555">
        <f t="shared" ref="AC47:AC61" si="31">RANK(AB47, AB$47:AB$61)</f>
        <v>2</v>
      </c>
      <c r="AD47" s="663">
        <f t="shared" ref="AD47" si="32">AVERAGE(AB47:AB61)</f>
        <v>78.950093636523135</v>
      </c>
      <c r="AE47" s="546">
        <v>17</v>
      </c>
      <c r="AF47" s="547">
        <v>1421.2500000000007</v>
      </c>
      <c r="AG47" s="547">
        <v>83.602941176470623</v>
      </c>
      <c r="AH47" s="555">
        <f t="shared" ref="AH47:AH61" si="33">RANK(AG47, AG$47:AG$61)</f>
        <v>1</v>
      </c>
      <c r="AI47" s="663">
        <f t="shared" ref="AI47" si="34">AVERAGE(AG47:AG61)</f>
        <v>79.247150444449474</v>
      </c>
      <c r="AJ47" s="546">
        <v>17</v>
      </c>
      <c r="AK47" s="547">
        <v>1424.0816326530619</v>
      </c>
      <c r="AL47" s="547">
        <v>83.769507803121286</v>
      </c>
      <c r="AM47" s="555">
        <f t="shared" ref="AM47:AM61" si="35">RANK(AL47, AL$47:AL$61)</f>
        <v>1</v>
      </c>
      <c r="AN47" s="663">
        <f t="shared" ref="AN47" si="36">AVERAGE(AL47:AL61)</f>
        <v>78.459110129432929</v>
      </c>
      <c r="AO47" s="546">
        <v>17</v>
      </c>
      <c r="AP47" s="547">
        <v>1395.7424999999998</v>
      </c>
      <c r="AQ47" s="547">
        <v>82.102499999999992</v>
      </c>
      <c r="AR47" s="555">
        <f t="shared" ref="AR47:AR61" si="37">RANK(AQ47, AQ$47:AQ$61)</f>
        <v>1</v>
      </c>
      <c r="AS47" s="663">
        <f t="shared" ref="AS47" si="38">AVERAGE(AQ47:AQ61)</f>
        <v>78.331412578189159</v>
      </c>
      <c r="AT47" s="546">
        <v>17</v>
      </c>
      <c r="AU47" s="547">
        <v>1407</v>
      </c>
      <c r="AV47" s="547">
        <v>82.764705882352942</v>
      </c>
      <c r="AW47" s="555">
        <f t="shared" ref="AW47:AW61" si="39">RANK(AV47, AV$47:AV$61)</f>
        <v>1</v>
      </c>
      <c r="AX47" s="663">
        <f t="shared" ref="AX47" si="40">AVERAGE(AV47:AV61)</f>
        <v>78.172281875713253</v>
      </c>
      <c r="AZ47" s="372" t="e">
        <f t="shared" ref="AZ47:AZ61" si="41">RANK(AY47, AY$47:AY$61)</f>
        <v>#N/A</v>
      </c>
      <c r="BA47" s="663" t="e">
        <f t="shared" ref="BA47" si="42">AVERAGE(AY47:AY61)</f>
        <v>#DIV/0!</v>
      </c>
    </row>
    <row r="48" spans="2:53">
      <c r="B48" s="646"/>
      <c r="C48" s="384">
        <v>2</v>
      </c>
      <c r="D48" s="225" t="s">
        <v>619</v>
      </c>
      <c r="E48" s="539">
        <v>19</v>
      </c>
      <c r="F48" s="535">
        <v>1500</v>
      </c>
      <c r="G48" s="534">
        <v>78.94736842105263</v>
      </c>
      <c r="H48" s="671"/>
      <c r="I48" s="385">
        <f t="shared" si="24"/>
        <v>19</v>
      </c>
      <c r="J48" s="385">
        <f t="shared" si="25"/>
        <v>1359.9080978499544</v>
      </c>
      <c r="K48" s="199">
        <f t="shared" si="26"/>
        <v>71.574110413155481</v>
      </c>
      <c r="L48" s="617"/>
      <c r="M48" s="432">
        <f>RANK(K48, K$47:$K$61)</f>
        <v>4</v>
      </c>
      <c r="N48" s="635"/>
      <c r="O48" s="635"/>
      <c r="P48" s="546">
        <v>19</v>
      </c>
      <c r="Q48" s="547">
        <v>1339.6610169491526</v>
      </c>
      <c r="R48" s="547">
        <v>70.508474576271183</v>
      </c>
      <c r="S48" s="555">
        <f t="shared" si="27"/>
        <v>4</v>
      </c>
      <c r="T48" s="664"/>
      <c r="U48" s="546">
        <v>19</v>
      </c>
      <c r="V48" s="547">
        <v>1368.9863013698634</v>
      </c>
      <c r="W48" s="547">
        <v>72.051910598413869</v>
      </c>
      <c r="X48" s="555">
        <f t="shared" si="29"/>
        <v>4</v>
      </c>
      <c r="Y48" s="664"/>
      <c r="Z48" s="546">
        <v>19</v>
      </c>
      <c r="AA48" s="547">
        <v>1367.922077922078</v>
      </c>
      <c r="AB48" s="547">
        <v>71.995898838004109</v>
      </c>
      <c r="AC48" s="555">
        <f t="shared" si="31"/>
        <v>4</v>
      </c>
      <c r="AD48" s="664"/>
      <c r="AE48" s="546">
        <v>19</v>
      </c>
      <c r="AF48" s="547">
        <v>1375.9999999999993</v>
      </c>
      <c r="AG48" s="547">
        <v>72.421052631578917</v>
      </c>
      <c r="AH48" s="555">
        <f t="shared" si="33"/>
        <v>4</v>
      </c>
      <c r="AI48" s="664"/>
      <c r="AJ48" s="546">
        <v>19</v>
      </c>
      <c r="AK48" s="547">
        <v>1356.2068965517233</v>
      </c>
      <c r="AL48" s="547">
        <v>71.379310344827545</v>
      </c>
      <c r="AM48" s="555">
        <f t="shared" si="35"/>
        <v>4</v>
      </c>
      <c r="AN48" s="664"/>
      <c r="AO48" s="546">
        <v>19</v>
      </c>
      <c r="AP48" s="547">
        <v>1355.9921568627447</v>
      </c>
      <c r="AQ48" s="547">
        <v>71.36800825593393</v>
      </c>
      <c r="AR48" s="555">
        <f t="shared" si="37"/>
        <v>4</v>
      </c>
      <c r="AS48" s="664"/>
      <c r="AT48" s="546">
        <v>19</v>
      </c>
      <c r="AU48" s="547">
        <v>1354.5882352941182</v>
      </c>
      <c r="AV48" s="547">
        <v>71.294117647058854</v>
      </c>
      <c r="AW48" s="555">
        <f t="shared" si="39"/>
        <v>4</v>
      </c>
      <c r="AX48" s="664"/>
      <c r="AZ48" s="372" t="e">
        <f t="shared" si="41"/>
        <v>#N/A</v>
      </c>
      <c r="BA48" s="664"/>
    </row>
    <row r="49" spans="2:53">
      <c r="B49" s="646"/>
      <c r="C49" s="384">
        <v>3</v>
      </c>
      <c r="D49" s="225" t="s">
        <v>627</v>
      </c>
      <c r="E49" s="539">
        <v>18</v>
      </c>
      <c r="F49" s="535">
        <v>1565</v>
      </c>
      <c r="G49" s="534">
        <v>86.944444444444443</v>
      </c>
      <c r="H49" s="671"/>
      <c r="I49" s="385">
        <f t="shared" si="24"/>
        <v>18</v>
      </c>
      <c r="J49" s="385">
        <f t="shared" si="25"/>
        <v>1394.1556592616341</v>
      </c>
      <c r="K49" s="199">
        <f t="shared" si="26"/>
        <v>77.453092181201896</v>
      </c>
      <c r="L49" s="617"/>
      <c r="M49" s="432">
        <f>RANK(K49, K$47:$K$61)</f>
        <v>3</v>
      </c>
      <c r="N49" s="635"/>
      <c r="O49" s="635"/>
      <c r="P49" s="546">
        <v>18</v>
      </c>
      <c r="Q49" s="547">
        <v>1418.2352941176464</v>
      </c>
      <c r="R49" s="547">
        <v>78.790849673202572</v>
      </c>
      <c r="S49" s="555">
        <f t="shared" si="27"/>
        <v>3</v>
      </c>
      <c r="T49" s="664"/>
      <c r="U49" s="546">
        <v>18</v>
      </c>
      <c r="V49" s="547">
        <v>1385.6250000000005</v>
      </c>
      <c r="W49" s="547">
        <v>76.979166666666686</v>
      </c>
      <c r="X49" s="555">
        <f t="shared" si="29"/>
        <v>3</v>
      </c>
      <c r="Y49" s="664"/>
      <c r="Z49" s="546">
        <v>18</v>
      </c>
      <c r="AA49" s="547">
        <v>1388.6666666666667</v>
      </c>
      <c r="AB49" s="547">
        <v>77.148148148148152</v>
      </c>
      <c r="AC49" s="555">
        <f t="shared" si="31"/>
        <v>3</v>
      </c>
      <c r="AD49" s="664"/>
      <c r="AE49" s="546">
        <v>18</v>
      </c>
      <c r="AF49" s="547">
        <v>1403.4782608695648</v>
      </c>
      <c r="AG49" s="547">
        <v>77.971014492753596</v>
      </c>
      <c r="AH49" s="555">
        <f t="shared" si="33"/>
        <v>3</v>
      </c>
      <c r="AI49" s="664"/>
      <c r="AJ49" s="546">
        <v>18</v>
      </c>
      <c r="AK49" s="547">
        <v>1371.3043478260863</v>
      </c>
      <c r="AL49" s="547">
        <v>76.183574879227024</v>
      </c>
      <c r="AM49" s="555">
        <f t="shared" si="35"/>
        <v>3</v>
      </c>
      <c r="AN49" s="664"/>
      <c r="AO49" s="546">
        <v>18</v>
      </c>
      <c r="AP49" s="547">
        <v>1411.2244897959188</v>
      </c>
      <c r="AQ49" s="547">
        <v>78.40136054421771</v>
      </c>
      <c r="AR49" s="555">
        <f t="shared" si="37"/>
        <v>3</v>
      </c>
      <c r="AS49" s="664"/>
      <c r="AT49" s="546">
        <v>18</v>
      </c>
      <c r="AU49" s="547">
        <v>1380.5555555555554</v>
      </c>
      <c r="AV49" s="547">
        <v>76.697530864197518</v>
      </c>
      <c r="AW49" s="555">
        <f t="shared" si="39"/>
        <v>3</v>
      </c>
      <c r="AX49" s="664"/>
      <c r="AZ49" s="372" t="e">
        <f t="shared" si="41"/>
        <v>#N/A</v>
      </c>
      <c r="BA49" s="664"/>
    </row>
    <row r="50" spans="2:53">
      <c r="B50" s="646"/>
      <c r="C50" s="384">
        <v>4</v>
      </c>
      <c r="D50" s="225" t="s">
        <v>636</v>
      </c>
      <c r="E50" s="539">
        <v>17</v>
      </c>
      <c r="F50" s="535">
        <v>1565</v>
      </c>
      <c r="G50" s="534">
        <v>92.058823529411768</v>
      </c>
      <c r="H50" s="671"/>
      <c r="I50" s="385">
        <f t="shared" si="24"/>
        <v>17</v>
      </c>
      <c r="J50" s="385">
        <f t="shared" si="25"/>
        <v>1398.2081788121827</v>
      </c>
      <c r="K50" s="199">
        <f t="shared" si="26"/>
        <v>82.247539930128383</v>
      </c>
      <c r="L50" s="617"/>
      <c r="M50" s="432">
        <f>RANK(K50, K$47:$K$61)</f>
        <v>2</v>
      </c>
      <c r="N50" s="635"/>
      <c r="O50" s="635"/>
      <c r="P50" s="546">
        <v>17</v>
      </c>
      <c r="Q50" s="547">
        <v>1403.3093525179854</v>
      </c>
      <c r="R50" s="547">
        <v>82.547608971646198</v>
      </c>
      <c r="S50" s="555">
        <f t="shared" si="27"/>
        <v>1</v>
      </c>
      <c r="T50" s="664"/>
      <c r="U50" s="546">
        <v>17</v>
      </c>
      <c r="V50" s="547">
        <v>1375.3846153846152</v>
      </c>
      <c r="W50" s="547">
        <v>80.904977375565608</v>
      </c>
      <c r="X50" s="555">
        <f t="shared" si="29"/>
        <v>2</v>
      </c>
      <c r="Y50" s="664"/>
      <c r="Z50" s="546">
        <v>17</v>
      </c>
      <c r="AA50" s="547">
        <v>1417.7319587628872</v>
      </c>
      <c r="AB50" s="547">
        <v>83.395997574287478</v>
      </c>
      <c r="AC50" s="555">
        <f t="shared" si="31"/>
        <v>1</v>
      </c>
      <c r="AD50" s="664"/>
      <c r="AE50" s="546">
        <v>17</v>
      </c>
      <c r="AF50" s="547">
        <v>1410.8910891089108</v>
      </c>
      <c r="AG50" s="547">
        <v>82.993593476994761</v>
      </c>
      <c r="AH50" s="555">
        <f t="shared" si="33"/>
        <v>2</v>
      </c>
      <c r="AI50" s="664"/>
      <c r="AJ50" s="546">
        <v>17</v>
      </c>
      <c r="AK50" s="547">
        <v>1402.5688073394499</v>
      </c>
      <c r="AL50" s="547">
        <v>82.504047490555877</v>
      </c>
      <c r="AM50" s="555">
        <f t="shared" si="35"/>
        <v>2</v>
      </c>
      <c r="AN50" s="664"/>
      <c r="AO50" s="546">
        <v>17</v>
      </c>
      <c r="AP50" s="547">
        <v>1384.7142857142856</v>
      </c>
      <c r="AQ50" s="547">
        <v>81.453781512605033</v>
      </c>
      <c r="AR50" s="555">
        <f t="shared" si="37"/>
        <v>2</v>
      </c>
      <c r="AS50" s="664"/>
      <c r="AT50" s="546">
        <v>17</v>
      </c>
      <c r="AU50" s="547">
        <v>1392.8571428571431</v>
      </c>
      <c r="AV50" s="547">
        <v>81.932773109243712</v>
      </c>
      <c r="AW50" s="555">
        <f t="shared" si="39"/>
        <v>2</v>
      </c>
      <c r="AX50" s="664"/>
      <c r="AZ50" s="372" t="e">
        <f t="shared" si="41"/>
        <v>#N/A</v>
      </c>
      <c r="BA50" s="664"/>
    </row>
    <row r="51" spans="2:53">
      <c r="B51" s="646"/>
      <c r="C51" s="384">
        <v>5</v>
      </c>
      <c r="D51" s="225"/>
      <c r="E51" s="539"/>
      <c r="F51" s="535"/>
      <c r="G51" s="534"/>
      <c r="H51" s="671"/>
      <c r="I51" s="385" t="str">
        <f t="shared" si="24"/>
        <v>-</v>
      </c>
      <c r="J51" s="385" t="str">
        <f t="shared" si="25"/>
        <v>-</v>
      </c>
      <c r="K51" s="199" t="str">
        <f t="shared" si="26"/>
        <v>-</v>
      </c>
      <c r="L51" s="617"/>
      <c r="M51" s="432" t="e">
        <f>RANK(K51, K$47:$K$61)</f>
        <v>#VALUE!</v>
      </c>
      <c r="N51" s="635"/>
      <c r="O51" s="635"/>
      <c r="P51" s="546" t="s">
        <v>592</v>
      </c>
      <c r="Q51" s="547" t="s">
        <v>592</v>
      </c>
      <c r="R51" s="547" t="s">
        <v>592</v>
      </c>
      <c r="S51" s="555" t="e">
        <f t="shared" si="27"/>
        <v>#VALUE!</v>
      </c>
      <c r="T51" s="664"/>
      <c r="U51" s="546" t="s">
        <v>592</v>
      </c>
      <c r="V51" s="547" t="s">
        <v>592</v>
      </c>
      <c r="W51" s="547" t="s">
        <v>592</v>
      </c>
      <c r="X51" s="555" t="e">
        <f t="shared" si="29"/>
        <v>#VALUE!</v>
      </c>
      <c r="Y51" s="664"/>
      <c r="Z51" s="546" t="s">
        <v>592</v>
      </c>
      <c r="AA51" s="547" t="s">
        <v>592</v>
      </c>
      <c r="AB51" s="547" t="s">
        <v>592</v>
      </c>
      <c r="AC51" s="555" t="e">
        <f t="shared" si="31"/>
        <v>#VALUE!</v>
      </c>
      <c r="AD51" s="664"/>
      <c r="AE51" s="546" t="s">
        <v>592</v>
      </c>
      <c r="AF51" s="547" t="s">
        <v>592</v>
      </c>
      <c r="AG51" s="547" t="s">
        <v>592</v>
      </c>
      <c r="AH51" s="555" t="e">
        <f t="shared" si="33"/>
        <v>#VALUE!</v>
      </c>
      <c r="AI51" s="664"/>
      <c r="AJ51" s="546" t="s">
        <v>592</v>
      </c>
      <c r="AK51" s="547" t="s">
        <v>592</v>
      </c>
      <c r="AL51" s="547" t="s">
        <v>592</v>
      </c>
      <c r="AM51" s="555" t="e">
        <f t="shared" si="35"/>
        <v>#VALUE!</v>
      </c>
      <c r="AN51" s="664"/>
      <c r="AO51" s="546" t="s">
        <v>592</v>
      </c>
      <c r="AP51" s="547" t="s">
        <v>592</v>
      </c>
      <c r="AQ51" s="547" t="s">
        <v>592</v>
      </c>
      <c r="AR51" s="555" t="e">
        <f t="shared" si="37"/>
        <v>#VALUE!</v>
      </c>
      <c r="AS51" s="664"/>
      <c r="AT51" s="546" t="s">
        <v>592</v>
      </c>
      <c r="AU51" s="547" t="s">
        <v>592</v>
      </c>
      <c r="AV51" s="547" t="s">
        <v>592</v>
      </c>
      <c r="AW51" s="555" t="e">
        <f t="shared" si="39"/>
        <v>#VALUE!</v>
      </c>
      <c r="AX51" s="664"/>
      <c r="AZ51" s="372" t="e">
        <f t="shared" si="41"/>
        <v>#N/A</v>
      </c>
      <c r="BA51" s="664"/>
    </row>
    <row r="52" spans="2:53">
      <c r="B52" s="646"/>
      <c r="C52" s="384">
        <v>6</v>
      </c>
      <c r="D52" s="225"/>
      <c r="E52" s="539"/>
      <c r="F52" s="535"/>
      <c r="G52" s="534"/>
      <c r="H52" s="671"/>
      <c r="I52" s="385" t="str">
        <f t="shared" si="24"/>
        <v>-</v>
      </c>
      <c r="J52" s="385" t="str">
        <f t="shared" si="25"/>
        <v>-</v>
      </c>
      <c r="K52" s="199" t="str">
        <f t="shared" si="26"/>
        <v>-</v>
      </c>
      <c r="L52" s="617"/>
      <c r="M52" s="432" t="e">
        <f>RANK(K52, K$47:$K$61)</f>
        <v>#VALUE!</v>
      </c>
      <c r="N52" s="635"/>
      <c r="O52" s="635"/>
      <c r="P52" s="546" t="s">
        <v>592</v>
      </c>
      <c r="Q52" s="547" t="s">
        <v>592</v>
      </c>
      <c r="R52" s="547" t="s">
        <v>592</v>
      </c>
      <c r="S52" s="555" t="e">
        <f t="shared" si="27"/>
        <v>#VALUE!</v>
      </c>
      <c r="T52" s="664"/>
      <c r="U52" s="546" t="s">
        <v>592</v>
      </c>
      <c r="V52" s="547" t="s">
        <v>592</v>
      </c>
      <c r="W52" s="547" t="s">
        <v>592</v>
      </c>
      <c r="X52" s="555" t="e">
        <f t="shared" si="29"/>
        <v>#VALUE!</v>
      </c>
      <c r="Y52" s="664"/>
      <c r="Z52" s="546" t="s">
        <v>592</v>
      </c>
      <c r="AA52" s="547" t="s">
        <v>592</v>
      </c>
      <c r="AB52" s="547" t="s">
        <v>592</v>
      </c>
      <c r="AC52" s="555" t="e">
        <f t="shared" si="31"/>
        <v>#VALUE!</v>
      </c>
      <c r="AD52" s="664"/>
      <c r="AE52" s="546" t="s">
        <v>592</v>
      </c>
      <c r="AF52" s="547" t="s">
        <v>592</v>
      </c>
      <c r="AG52" s="547" t="s">
        <v>592</v>
      </c>
      <c r="AH52" s="555" t="e">
        <f t="shared" si="33"/>
        <v>#VALUE!</v>
      </c>
      <c r="AI52" s="664"/>
      <c r="AJ52" s="546" t="s">
        <v>592</v>
      </c>
      <c r="AK52" s="547" t="s">
        <v>592</v>
      </c>
      <c r="AL52" s="547" t="s">
        <v>592</v>
      </c>
      <c r="AM52" s="555" t="e">
        <f t="shared" si="35"/>
        <v>#VALUE!</v>
      </c>
      <c r="AN52" s="664"/>
      <c r="AO52" s="546" t="s">
        <v>592</v>
      </c>
      <c r="AP52" s="547" t="s">
        <v>592</v>
      </c>
      <c r="AQ52" s="547" t="s">
        <v>592</v>
      </c>
      <c r="AR52" s="555" t="e">
        <f t="shared" si="37"/>
        <v>#VALUE!</v>
      </c>
      <c r="AS52" s="664"/>
      <c r="AT52" s="546" t="s">
        <v>592</v>
      </c>
      <c r="AU52" s="547" t="s">
        <v>592</v>
      </c>
      <c r="AV52" s="547" t="s">
        <v>592</v>
      </c>
      <c r="AW52" s="555" t="e">
        <f t="shared" si="39"/>
        <v>#VALUE!</v>
      </c>
      <c r="AX52" s="664"/>
      <c r="AZ52" s="372" t="e">
        <f t="shared" si="41"/>
        <v>#N/A</v>
      </c>
      <c r="BA52" s="664"/>
    </row>
    <row r="53" spans="2:53">
      <c r="B53" s="646"/>
      <c r="C53" s="384">
        <v>7</v>
      </c>
      <c r="D53" s="225"/>
      <c r="E53" s="539"/>
      <c r="F53" s="535"/>
      <c r="G53" s="534"/>
      <c r="H53" s="671"/>
      <c r="I53" s="385" t="str">
        <f t="shared" si="24"/>
        <v>-</v>
      </c>
      <c r="J53" s="385" t="str">
        <f t="shared" si="25"/>
        <v>-</v>
      </c>
      <c r="K53" s="199" t="str">
        <f t="shared" si="26"/>
        <v>-</v>
      </c>
      <c r="L53" s="617"/>
      <c r="M53" s="432" t="e">
        <f>RANK(K53, K$47:$K$61)</f>
        <v>#VALUE!</v>
      </c>
      <c r="N53" s="635"/>
      <c r="O53" s="635"/>
      <c r="P53" s="546" t="s">
        <v>592</v>
      </c>
      <c r="Q53" s="547" t="s">
        <v>592</v>
      </c>
      <c r="R53" s="547" t="s">
        <v>592</v>
      </c>
      <c r="S53" s="555" t="e">
        <f t="shared" si="27"/>
        <v>#VALUE!</v>
      </c>
      <c r="T53" s="664"/>
      <c r="U53" s="546" t="s">
        <v>592</v>
      </c>
      <c r="V53" s="547" t="s">
        <v>592</v>
      </c>
      <c r="W53" s="547" t="s">
        <v>592</v>
      </c>
      <c r="X53" s="555" t="e">
        <f t="shared" si="29"/>
        <v>#VALUE!</v>
      </c>
      <c r="Y53" s="664"/>
      <c r="Z53" s="546" t="s">
        <v>592</v>
      </c>
      <c r="AA53" s="547" t="s">
        <v>592</v>
      </c>
      <c r="AB53" s="547" t="s">
        <v>592</v>
      </c>
      <c r="AC53" s="555" t="e">
        <f t="shared" si="31"/>
        <v>#VALUE!</v>
      </c>
      <c r="AD53" s="664"/>
      <c r="AE53" s="546" t="s">
        <v>592</v>
      </c>
      <c r="AF53" s="547" t="s">
        <v>592</v>
      </c>
      <c r="AG53" s="547" t="s">
        <v>592</v>
      </c>
      <c r="AH53" s="555" t="e">
        <f t="shared" si="33"/>
        <v>#VALUE!</v>
      </c>
      <c r="AI53" s="664"/>
      <c r="AJ53" s="546" t="s">
        <v>592</v>
      </c>
      <c r="AK53" s="547" t="s">
        <v>592</v>
      </c>
      <c r="AL53" s="547" t="s">
        <v>592</v>
      </c>
      <c r="AM53" s="555" t="e">
        <f t="shared" si="35"/>
        <v>#VALUE!</v>
      </c>
      <c r="AN53" s="664"/>
      <c r="AO53" s="546" t="s">
        <v>592</v>
      </c>
      <c r="AP53" s="547" t="s">
        <v>592</v>
      </c>
      <c r="AQ53" s="547" t="s">
        <v>592</v>
      </c>
      <c r="AR53" s="555" t="e">
        <f t="shared" si="37"/>
        <v>#VALUE!</v>
      </c>
      <c r="AS53" s="664"/>
      <c r="AT53" s="546" t="s">
        <v>592</v>
      </c>
      <c r="AU53" s="547" t="s">
        <v>592</v>
      </c>
      <c r="AV53" s="547" t="s">
        <v>592</v>
      </c>
      <c r="AW53" s="555" t="e">
        <f t="shared" si="39"/>
        <v>#VALUE!</v>
      </c>
      <c r="AX53" s="664"/>
      <c r="AZ53" s="372" t="e">
        <f t="shared" si="41"/>
        <v>#N/A</v>
      </c>
      <c r="BA53" s="664"/>
    </row>
    <row r="54" spans="2:53">
      <c r="B54" s="646"/>
      <c r="C54" s="384">
        <v>8</v>
      </c>
      <c r="D54" s="225"/>
      <c r="E54" s="539"/>
      <c r="F54" s="535"/>
      <c r="G54" s="534"/>
      <c r="H54" s="671"/>
      <c r="I54" s="385" t="str">
        <f t="shared" si="24"/>
        <v>-</v>
      </c>
      <c r="J54" s="385" t="str">
        <f t="shared" si="25"/>
        <v>-</v>
      </c>
      <c r="K54" s="199" t="str">
        <f t="shared" si="26"/>
        <v>-</v>
      </c>
      <c r="L54" s="617"/>
      <c r="M54" s="432" t="e">
        <f>RANK(K54, K$47:$K$61)</f>
        <v>#VALUE!</v>
      </c>
      <c r="N54" s="635"/>
      <c r="O54" s="635"/>
      <c r="P54" s="546" t="s">
        <v>592</v>
      </c>
      <c r="Q54" s="547" t="s">
        <v>592</v>
      </c>
      <c r="R54" s="547" t="s">
        <v>592</v>
      </c>
      <c r="S54" s="555" t="e">
        <f t="shared" si="27"/>
        <v>#VALUE!</v>
      </c>
      <c r="T54" s="664"/>
      <c r="U54" s="546" t="s">
        <v>592</v>
      </c>
      <c r="V54" s="547" t="s">
        <v>592</v>
      </c>
      <c r="W54" s="547" t="s">
        <v>592</v>
      </c>
      <c r="X54" s="555" t="e">
        <f t="shared" si="29"/>
        <v>#VALUE!</v>
      </c>
      <c r="Y54" s="664"/>
      <c r="Z54" s="546" t="s">
        <v>592</v>
      </c>
      <c r="AA54" s="547" t="s">
        <v>592</v>
      </c>
      <c r="AB54" s="547" t="s">
        <v>592</v>
      </c>
      <c r="AC54" s="555" t="e">
        <f t="shared" si="31"/>
        <v>#VALUE!</v>
      </c>
      <c r="AD54" s="664"/>
      <c r="AE54" s="546" t="s">
        <v>592</v>
      </c>
      <c r="AF54" s="547" t="s">
        <v>592</v>
      </c>
      <c r="AG54" s="547" t="s">
        <v>592</v>
      </c>
      <c r="AH54" s="555" t="e">
        <f t="shared" si="33"/>
        <v>#VALUE!</v>
      </c>
      <c r="AI54" s="664"/>
      <c r="AJ54" s="546" t="s">
        <v>592</v>
      </c>
      <c r="AK54" s="547" t="s">
        <v>592</v>
      </c>
      <c r="AL54" s="547" t="s">
        <v>592</v>
      </c>
      <c r="AM54" s="555" t="e">
        <f t="shared" si="35"/>
        <v>#VALUE!</v>
      </c>
      <c r="AN54" s="664"/>
      <c r="AO54" s="546" t="s">
        <v>592</v>
      </c>
      <c r="AP54" s="547" t="s">
        <v>592</v>
      </c>
      <c r="AQ54" s="547" t="s">
        <v>592</v>
      </c>
      <c r="AR54" s="555" t="e">
        <f t="shared" si="37"/>
        <v>#VALUE!</v>
      </c>
      <c r="AS54" s="664"/>
      <c r="AT54" s="546" t="s">
        <v>592</v>
      </c>
      <c r="AU54" s="547" t="s">
        <v>592</v>
      </c>
      <c r="AV54" s="547" t="s">
        <v>592</v>
      </c>
      <c r="AW54" s="555" t="e">
        <f t="shared" si="39"/>
        <v>#VALUE!</v>
      </c>
      <c r="AX54" s="664"/>
      <c r="AZ54" s="372" t="e">
        <f t="shared" si="41"/>
        <v>#N/A</v>
      </c>
      <c r="BA54" s="664"/>
    </row>
    <row r="55" spans="2:53">
      <c r="B55" s="646"/>
      <c r="C55" s="384">
        <v>9</v>
      </c>
      <c r="D55" s="225"/>
      <c r="E55" s="539"/>
      <c r="F55" s="535"/>
      <c r="G55" s="534"/>
      <c r="H55" s="671"/>
      <c r="I55" s="385" t="str">
        <f t="shared" si="24"/>
        <v>-</v>
      </c>
      <c r="J55" s="385" t="str">
        <f t="shared" si="25"/>
        <v>-</v>
      </c>
      <c r="K55" s="199" t="str">
        <f t="shared" si="26"/>
        <v>-</v>
      </c>
      <c r="L55" s="617"/>
      <c r="M55" s="432" t="e">
        <f>RANK(K55, K$47:$K$61)</f>
        <v>#VALUE!</v>
      </c>
      <c r="N55" s="635"/>
      <c r="O55" s="635"/>
      <c r="P55" s="546" t="s">
        <v>592</v>
      </c>
      <c r="Q55" s="547" t="s">
        <v>592</v>
      </c>
      <c r="R55" s="547" t="s">
        <v>592</v>
      </c>
      <c r="S55" s="555" t="e">
        <f t="shared" si="27"/>
        <v>#VALUE!</v>
      </c>
      <c r="T55" s="664"/>
      <c r="U55" s="546" t="s">
        <v>592</v>
      </c>
      <c r="V55" s="547" t="s">
        <v>592</v>
      </c>
      <c r="W55" s="547" t="s">
        <v>592</v>
      </c>
      <c r="X55" s="555" t="e">
        <f t="shared" si="29"/>
        <v>#VALUE!</v>
      </c>
      <c r="Y55" s="664"/>
      <c r="Z55" s="546" t="s">
        <v>592</v>
      </c>
      <c r="AA55" s="547" t="s">
        <v>592</v>
      </c>
      <c r="AB55" s="547" t="s">
        <v>592</v>
      </c>
      <c r="AC55" s="555" t="e">
        <f t="shared" si="31"/>
        <v>#VALUE!</v>
      </c>
      <c r="AD55" s="664"/>
      <c r="AE55" s="546" t="s">
        <v>592</v>
      </c>
      <c r="AF55" s="547" t="s">
        <v>592</v>
      </c>
      <c r="AG55" s="547" t="s">
        <v>592</v>
      </c>
      <c r="AH55" s="555" t="e">
        <f t="shared" si="33"/>
        <v>#VALUE!</v>
      </c>
      <c r="AI55" s="664"/>
      <c r="AJ55" s="546" t="s">
        <v>592</v>
      </c>
      <c r="AK55" s="547" t="s">
        <v>592</v>
      </c>
      <c r="AL55" s="547" t="s">
        <v>592</v>
      </c>
      <c r="AM55" s="555" t="e">
        <f t="shared" si="35"/>
        <v>#VALUE!</v>
      </c>
      <c r="AN55" s="664"/>
      <c r="AO55" s="546" t="s">
        <v>592</v>
      </c>
      <c r="AP55" s="547" t="s">
        <v>592</v>
      </c>
      <c r="AQ55" s="547" t="s">
        <v>592</v>
      </c>
      <c r="AR55" s="555" t="e">
        <f t="shared" si="37"/>
        <v>#VALUE!</v>
      </c>
      <c r="AS55" s="664"/>
      <c r="AT55" s="546" t="s">
        <v>592</v>
      </c>
      <c r="AU55" s="547" t="s">
        <v>592</v>
      </c>
      <c r="AV55" s="547" t="s">
        <v>592</v>
      </c>
      <c r="AW55" s="555" t="e">
        <f t="shared" si="39"/>
        <v>#VALUE!</v>
      </c>
      <c r="AX55" s="664"/>
      <c r="AZ55" s="372" t="e">
        <f t="shared" si="41"/>
        <v>#N/A</v>
      </c>
      <c r="BA55" s="664"/>
    </row>
    <row r="56" spans="2:53">
      <c r="B56" s="646"/>
      <c r="C56" s="384">
        <v>10</v>
      </c>
      <c r="D56" s="225"/>
      <c r="E56" s="539"/>
      <c r="F56" s="535"/>
      <c r="G56" s="534"/>
      <c r="H56" s="671"/>
      <c r="I56" s="385" t="str">
        <f t="shared" si="24"/>
        <v>-</v>
      </c>
      <c r="J56" s="385" t="str">
        <f t="shared" si="25"/>
        <v>-</v>
      </c>
      <c r="K56" s="199" t="str">
        <f t="shared" si="26"/>
        <v>-</v>
      </c>
      <c r="L56" s="617"/>
      <c r="M56" s="432" t="e">
        <f>RANK(K56, K$47:$K$61)</f>
        <v>#VALUE!</v>
      </c>
      <c r="N56" s="635"/>
      <c r="O56" s="635"/>
      <c r="P56" s="546" t="s">
        <v>592</v>
      </c>
      <c r="Q56" s="547" t="s">
        <v>592</v>
      </c>
      <c r="R56" s="547" t="s">
        <v>592</v>
      </c>
      <c r="S56" s="555" t="e">
        <f t="shared" si="27"/>
        <v>#VALUE!</v>
      </c>
      <c r="T56" s="664"/>
      <c r="U56" s="546" t="s">
        <v>592</v>
      </c>
      <c r="V56" s="547" t="s">
        <v>592</v>
      </c>
      <c r="W56" s="547" t="s">
        <v>592</v>
      </c>
      <c r="X56" s="555" t="e">
        <f t="shared" si="29"/>
        <v>#VALUE!</v>
      </c>
      <c r="Y56" s="664"/>
      <c r="Z56" s="546" t="s">
        <v>592</v>
      </c>
      <c r="AA56" s="547" t="s">
        <v>592</v>
      </c>
      <c r="AB56" s="547" t="s">
        <v>592</v>
      </c>
      <c r="AC56" s="555" t="e">
        <f t="shared" si="31"/>
        <v>#VALUE!</v>
      </c>
      <c r="AD56" s="664"/>
      <c r="AE56" s="546" t="s">
        <v>592</v>
      </c>
      <c r="AF56" s="547" t="s">
        <v>592</v>
      </c>
      <c r="AG56" s="547" t="s">
        <v>592</v>
      </c>
      <c r="AH56" s="555" t="e">
        <f t="shared" si="33"/>
        <v>#VALUE!</v>
      </c>
      <c r="AI56" s="664"/>
      <c r="AJ56" s="546" t="s">
        <v>592</v>
      </c>
      <c r="AK56" s="547" t="s">
        <v>592</v>
      </c>
      <c r="AL56" s="547" t="s">
        <v>592</v>
      </c>
      <c r="AM56" s="555" t="e">
        <f t="shared" si="35"/>
        <v>#VALUE!</v>
      </c>
      <c r="AN56" s="664"/>
      <c r="AO56" s="546" t="s">
        <v>592</v>
      </c>
      <c r="AP56" s="547" t="s">
        <v>592</v>
      </c>
      <c r="AQ56" s="547" t="s">
        <v>592</v>
      </c>
      <c r="AR56" s="555" t="e">
        <f t="shared" si="37"/>
        <v>#VALUE!</v>
      </c>
      <c r="AS56" s="664"/>
      <c r="AT56" s="546" t="s">
        <v>592</v>
      </c>
      <c r="AU56" s="547" t="s">
        <v>592</v>
      </c>
      <c r="AV56" s="547" t="s">
        <v>592</v>
      </c>
      <c r="AW56" s="555" t="e">
        <f t="shared" si="39"/>
        <v>#VALUE!</v>
      </c>
      <c r="AX56" s="664"/>
      <c r="AZ56" s="372" t="e">
        <f t="shared" si="41"/>
        <v>#N/A</v>
      </c>
      <c r="BA56" s="664"/>
    </row>
    <row r="57" spans="2:53">
      <c r="B57" s="646"/>
      <c r="C57" s="384">
        <v>11</v>
      </c>
      <c r="D57" s="225"/>
      <c r="E57" s="539"/>
      <c r="F57" s="535"/>
      <c r="G57" s="534"/>
      <c r="H57" s="671"/>
      <c r="I57" s="385" t="str">
        <f t="shared" si="24"/>
        <v>-</v>
      </c>
      <c r="J57" s="385" t="str">
        <f t="shared" si="25"/>
        <v>-</v>
      </c>
      <c r="K57" s="199" t="str">
        <f t="shared" si="26"/>
        <v>-</v>
      </c>
      <c r="L57" s="617"/>
      <c r="M57" s="432" t="e">
        <f>RANK(K57, K$47:$K$61)</f>
        <v>#VALUE!</v>
      </c>
      <c r="N57" s="635"/>
      <c r="O57" s="635"/>
      <c r="P57" s="546" t="s">
        <v>592</v>
      </c>
      <c r="Q57" s="547" t="s">
        <v>592</v>
      </c>
      <c r="R57" s="547" t="s">
        <v>592</v>
      </c>
      <c r="S57" s="555" t="e">
        <f t="shared" si="27"/>
        <v>#VALUE!</v>
      </c>
      <c r="T57" s="664"/>
      <c r="U57" s="546" t="s">
        <v>592</v>
      </c>
      <c r="V57" s="547" t="s">
        <v>592</v>
      </c>
      <c r="W57" s="547" t="s">
        <v>592</v>
      </c>
      <c r="X57" s="555" t="e">
        <f t="shared" si="29"/>
        <v>#VALUE!</v>
      </c>
      <c r="Y57" s="664"/>
      <c r="Z57" s="546" t="s">
        <v>592</v>
      </c>
      <c r="AA57" s="547" t="s">
        <v>592</v>
      </c>
      <c r="AB57" s="547" t="s">
        <v>592</v>
      </c>
      <c r="AC57" s="555" t="e">
        <f t="shared" si="31"/>
        <v>#VALUE!</v>
      </c>
      <c r="AD57" s="664"/>
      <c r="AE57" s="546" t="s">
        <v>592</v>
      </c>
      <c r="AF57" s="547" t="s">
        <v>592</v>
      </c>
      <c r="AG57" s="547" t="s">
        <v>592</v>
      </c>
      <c r="AH57" s="555" t="e">
        <f t="shared" si="33"/>
        <v>#VALUE!</v>
      </c>
      <c r="AI57" s="664"/>
      <c r="AJ57" s="546" t="s">
        <v>592</v>
      </c>
      <c r="AK57" s="547" t="s">
        <v>592</v>
      </c>
      <c r="AL57" s="547" t="s">
        <v>592</v>
      </c>
      <c r="AM57" s="555" t="e">
        <f t="shared" si="35"/>
        <v>#VALUE!</v>
      </c>
      <c r="AN57" s="664"/>
      <c r="AO57" s="546" t="s">
        <v>592</v>
      </c>
      <c r="AP57" s="547" t="s">
        <v>592</v>
      </c>
      <c r="AQ57" s="547" t="s">
        <v>592</v>
      </c>
      <c r="AR57" s="555" t="e">
        <f t="shared" si="37"/>
        <v>#VALUE!</v>
      </c>
      <c r="AS57" s="664"/>
      <c r="AT57" s="546" t="s">
        <v>592</v>
      </c>
      <c r="AU57" s="547" t="s">
        <v>592</v>
      </c>
      <c r="AV57" s="547" t="s">
        <v>592</v>
      </c>
      <c r="AW57" s="555" t="e">
        <f t="shared" si="39"/>
        <v>#VALUE!</v>
      </c>
      <c r="AX57" s="664"/>
      <c r="AZ57" s="372" t="e">
        <f t="shared" si="41"/>
        <v>#N/A</v>
      </c>
      <c r="BA57" s="664"/>
    </row>
    <row r="58" spans="2:53">
      <c r="B58" s="646"/>
      <c r="C58" s="384">
        <v>12</v>
      </c>
      <c r="D58" s="225"/>
      <c r="E58" s="539"/>
      <c r="F58" s="535"/>
      <c r="G58" s="534"/>
      <c r="H58" s="671"/>
      <c r="I58" s="385" t="str">
        <f t="shared" si="24"/>
        <v>-</v>
      </c>
      <c r="J58" s="385" t="str">
        <f t="shared" si="25"/>
        <v>-</v>
      </c>
      <c r="K58" s="199" t="str">
        <f t="shared" si="26"/>
        <v>-</v>
      </c>
      <c r="L58" s="617"/>
      <c r="M58" s="432" t="e">
        <f>RANK(K58, K$47:$K$61)</f>
        <v>#VALUE!</v>
      </c>
      <c r="N58" s="635"/>
      <c r="O58" s="635"/>
      <c r="P58" s="546" t="s">
        <v>592</v>
      </c>
      <c r="Q58" s="547" t="s">
        <v>592</v>
      </c>
      <c r="R58" s="547" t="s">
        <v>592</v>
      </c>
      <c r="S58" s="555" t="e">
        <f t="shared" si="27"/>
        <v>#VALUE!</v>
      </c>
      <c r="T58" s="664"/>
      <c r="U58" s="546" t="s">
        <v>592</v>
      </c>
      <c r="V58" s="547" t="s">
        <v>592</v>
      </c>
      <c r="W58" s="547" t="s">
        <v>592</v>
      </c>
      <c r="X58" s="555" t="e">
        <f t="shared" si="29"/>
        <v>#VALUE!</v>
      </c>
      <c r="Y58" s="664"/>
      <c r="Z58" s="546" t="s">
        <v>592</v>
      </c>
      <c r="AA58" s="547" t="s">
        <v>592</v>
      </c>
      <c r="AB58" s="547" t="s">
        <v>592</v>
      </c>
      <c r="AC58" s="555" t="e">
        <f t="shared" si="31"/>
        <v>#VALUE!</v>
      </c>
      <c r="AD58" s="664"/>
      <c r="AE58" s="546" t="s">
        <v>592</v>
      </c>
      <c r="AF58" s="547" t="s">
        <v>592</v>
      </c>
      <c r="AG58" s="547" t="s">
        <v>592</v>
      </c>
      <c r="AH58" s="555" t="e">
        <f t="shared" si="33"/>
        <v>#VALUE!</v>
      </c>
      <c r="AI58" s="664"/>
      <c r="AJ58" s="546" t="s">
        <v>592</v>
      </c>
      <c r="AK58" s="547" t="s">
        <v>592</v>
      </c>
      <c r="AL58" s="547" t="s">
        <v>592</v>
      </c>
      <c r="AM58" s="555" t="e">
        <f t="shared" si="35"/>
        <v>#VALUE!</v>
      </c>
      <c r="AN58" s="664"/>
      <c r="AO58" s="546" t="s">
        <v>592</v>
      </c>
      <c r="AP58" s="547" t="s">
        <v>592</v>
      </c>
      <c r="AQ58" s="547" t="s">
        <v>592</v>
      </c>
      <c r="AR58" s="555" t="e">
        <f t="shared" si="37"/>
        <v>#VALUE!</v>
      </c>
      <c r="AS58" s="664"/>
      <c r="AT58" s="546" t="s">
        <v>592</v>
      </c>
      <c r="AU58" s="547" t="s">
        <v>592</v>
      </c>
      <c r="AV58" s="547" t="s">
        <v>592</v>
      </c>
      <c r="AW58" s="555" t="e">
        <f t="shared" si="39"/>
        <v>#VALUE!</v>
      </c>
      <c r="AX58" s="664"/>
      <c r="AZ58" s="372" t="e">
        <f t="shared" si="41"/>
        <v>#N/A</v>
      </c>
      <c r="BA58" s="664"/>
    </row>
    <row r="59" spans="2:53">
      <c r="B59" s="646"/>
      <c r="C59" s="384">
        <v>13</v>
      </c>
      <c r="D59" s="225"/>
      <c r="E59" s="539"/>
      <c r="F59" s="535"/>
      <c r="G59" s="534"/>
      <c r="H59" s="671"/>
      <c r="I59" s="385" t="str">
        <f t="shared" si="24"/>
        <v>-</v>
      </c>
      <c r="J59" s="385" t="str">
        <f t="shared" si="25"/>
        <v>-</v>
      </c>
      <c r="K59" s="199" t="str">
        <f t="shared" si="26"/>
        <v>-</v>
      </c>
      <c r="L59" s="617"/>
      <c r="M59" s="432" t="e">
        <f>RANK(K59, K$47:$K$61)</f>
        <v>#VALUE!</v>
      </c>
      <c r="N59" s="635"/>
      <c r="O59" s="635"/>
      <c r="P59" s="546" t="s">
        <v>592</v>
      </c>
      <c r="Q59" s="547" t="s">
        <v>592</v>
      </c>
      <c r="R59" s="547" t="s">
        <v>592</v>
      </c>
      <c r="S59" s="555" t="e">
        <f t="shared" si="27"/>
        <v>#VALUE!</v>
      </c>
      <c r="T59" s="664"/>
      <c r="U59" s="546" t="s">
        <v>592</v>
      </c>
      <c r="V59" s="547" t="s">
        <v>592</v>
      </c>
      <c r="W59" s="547" t="s">
        <v>592</v>
      </c>
      <c r="X59" s="555" t="e">
        <f t="shared" si="29"/>
        <v>#VALUE!</v>
      </c>
      <c r="Y59" s="664"/>
      <c r="Z59" s="546" t="s">
        <v>592</v>
      </c>
      <c r="AA59" s="547" t="s">
        <v>592</v>
      </c>
      <c r="AB59" s="547" t="s">
        <v>592</v>
      </c>
      <c r="AC59" s="555" t="e">
        <f t="shared" si="31"/>
        <v>#VALUE!</v>
      </c>
      <c r="AD59" s="664"/>
      <c r="AE59" s="546" t="s">
        <v>592</v>
      </c>
      <c r="AF59" s="547" t="s">
        <v>592</v>
      </c>
      <c r="AG59" s="547" t="s">
        <v>592</v>
      </c>
      <c r="AH59" s="555" t="e">
        <f t="shared" si="33"/>
        <v>#VALUE!</v>
      </c>
      <c r="AI59" s="664"/>
      <c r="AJ59" s="546" t="s">
        <v>592</v>
      </c>
      <c r="AK59" s="547" t="s">
        <v>592</v>
      </c>
      <c r="AL59" s="547" t="s">
        <v>592</v>
      </c>
      <c r="AM59" s="555" t="e">
        <f t="shared" si="35"/>
        <v>#VALUE!</v>
      </c>
      <c r="AN59" s="664"/>
      <c r="AO59" s="546" t="s">
        <v>592</v>
      </c>
      <c r="AP59" s="547" t="s">
        <v>592</v>
      </c>
      <c r="AQ59" s="547" t="s">
        <v>592</v>
      </c>
      <c r="AR59" s="555" t="e">
        <f t="shared" si="37"/>
        <v>#VALUE!</v>
      </c>
      <c r="AS59" s="664"/>
      <c r="AT59" s="546" t="s">
        <v>592</v>
      </c>
      <c r="AU59" s="547" t="s">
        <v>592</v>
      </c>
      <c r="AV59" s="547" t="s">
        <v>592</v>
      </c>
      <c r="AW59" s="555" t="e">
        <f t="shared" si="39"/>
        <v>#VALUE!</v>
      </c>
      <c r="AX59" s="664"/>
      <c r="AZ59" s="372" t="e">
        <f t="shared" si="41"/>
        <v>#N/A</v>
      </c>
      <c r="BA59" s="664"/>
    </row>
    <row r="60" spans="2:53">
      <c r="B60" s="646"/>
      <c r="C60" s="384">
        <v>14</v>
      </c>
      <c r="D60" s="225"/>
      <c r="E60" s="539"/>
      <c r="F60" s="535"/>
      <c r="G60" s="534"/>
      <c r="H60" s="671"/>
      <c r="I60" s="385" t="str">
        <f t="shared" si="24"/>
        <v>-</v>
      </c>
      <c r="J60" s="385" t="str">
        <f t="shared" si="25"/>
        <v>-</v>
      </c>
      <c r="K60" s="199" t="str">
        <f t="shared" si="26"/>
        <v>-</v>
      </c>
      <c r="L60" s="617"/>
      <c r="M60" s="432" t="e">
        <f>RANK(K60, K$47:$K$61)</f>
        <v>#VALUE!</v>
      </c>
      <c r="N60" s="635"/>
      <c r="O60" s="635"/>
      <c r="P60" s="546" t="s">
        <v>592</v>
      </c>
      <c r="Q60" s="547" t="s">
        <v>592</v>
      </c>
      <c r="R60" s="547" t="s">
        <v>592</v>
      </c>
      <c r="S60" s="555" t="e">
        <f t="shared" si="27"/>
        <v>#VALUE!</v>
      </c>
      <c r="T60" s="664"/>
      <c r="U60" s="546" t="s">
        <v>592</v>
      </c>
      <c r="V60" s="547" t="s">
        <v>592</v>
      </c>
      <c r="W60" s="547" t="s">
        <v>592</v>
      </c>
      <c r="X60" s="555" t="e">
        <f t="shared" si="29"/>
        <v>#VALUE!</v>
      </c>
      <c r="Y60" s="664"/>
      <c r="Z60" s="546" t="s">
        <v>592</v>
      </c>
      <c r="AA60" s="547" t="s">
        <v>592</v>
      </c>
      <c r="AB60" s="547" t="s">
        <v>592</v>
      </c>
      <c r="AC60" s="555" t="e">
        <f t="shared" si="31"/>
        <v>#VALUE!</v>
      </c>
      <c r="AD60" s="664"/>
      <c r="AE60" s="546" t="s">
        <v>592</v>
      </c>
      <c r="AF60" s="547" t="s">
        <v>592</v>
      </c>
      <c r="AG60" s="547" t="s">
        <v>592</v>
      </c>
      <c r="AH60" s="555" t="e">
        <f t="shared" si="33"/>
        <v>#VALUE!</v>
      </c>
      <c r="AI60" s="664"/>
      <c r="AJ60" s="546" t="s">
        <v>592</v>
      </c>
      <c r="AK60" s="547" t="s">
        <v>592</v>
      </c>
      <c r="AL60" s="547" t="s">
        <v>592</v>
      </c>
      <c r="AM60" s="555" t="e">
        <f t="shared" si="35"/>
        <v>#VALUE!</v>
      </c>
      <c r="AN60" s="664"/>
      <c r="AO60" s="546" t="s">
        <v>592</v>
      </c>
      <c r="AP60" s="547" t="s">
        <v>592</v>
      </c>
      <c r="AQ60" s="547" t="s">
        <v>592</v>
      </c>
      <c r="AR60" s="555" t="e">
        <f t="shared" si="37"/>
        <v>#VALUE!</v>
      </c>
      <c r="AS60" s="664"/>
      <c r="AT60" s="546" t="s">
        <v>592</v>
      </c>
      <c r="AU60" s="547" t="s">
        <v>592</v>
      </c>
      <c r="AV60" s="547" t="s">
        <v>592</v>
      </c>
      <c r="AW60" s="555" t="e">
        <f t="shared" si="39"/>
        <v>#VALUE!</v>
      </c>
      <c r="AX60" s="664"/>
      <c r="AZ60" s="372" t="e">
        <f t="shared" si="41"/>
        <v>#N/A</v>
      </c>
      <c r="BA60" s="664"/>
    </row>
    <row r="61" spans="2:53">
      <c r="B61" s="646"/>
      <c r="C61" s="384">
        <v>15</v>
      </c>
      <c r="D61" s="225"/>
      <c r="E61" s="539"/>
      <c r="F61" s="535"/>
      <c r="G61" s="534"/>
      <c r="H61" s="680"/>
      <c r="I61" s="384"/>
      <c r="J61" s="384"/>
      <c r="K61" s="384"/>
      <c r="L61" s="618"/>
      <c r="M61" s="432" t="e">
        <f>RANK(K61, K$47:$K$61)</f>
        <v>#N/A</v>
      </c>
      <c r="N61" s="635"/>
      <c r="O61" s="635"/>
      <c r="P61" s="546" t="s">
        <v>592</v>
      </c>
      <c r="Q61" s="547" t="s">
        <v>592</v>
      </c>
      <c r="R61" s="547" t="s">
        <v>592</v>
      </c>
      <c r="S61" s="555" t="e">
        <f t="shared" si="27"/>
        <v>#VALUE!</v>
      </c>
      <c r="T61" s="665"/>
      <c r="U61" s="546" t="s">
        <v>592</v>
      </c>
      <c r="V61" s="547" t="s">
        <v>592</v>
      </c>
      <c r="W61" s="547" t="s">
        <v>592</v>
      </c>
      <c r="X61" s="555" t="e">
        <f t="shared" si="29"/>
        <v>#VALUE!</v>
      </c>
      <c r="Y61" s="665"/>
      <c r="Z61" s="546" t="s">
        <v>592</v>
      </c>
      <c r="AA61" s="547" t="s">
        <v>592</v>
      </c>
      <c r="AB61" s="547" t="s">
        <v>592</v>
      </c>
      <c r="AC61" s="555" t="e">
        <f t="shared" si="31"/>
        <v>#VALUE!</v>
      </c>
      <c r="AD61" s="665"/>
      <c r="AE61" s="546" t="s">
        <v>592</v>
      </c>
      <c r="AF61" s="547" t="s">
        <v>592</v>
      </c>
      <c r="AG61" s="547" t="s">
        <v>592</v>
      </c>
      <c r="AH61" s="555" t="e">
        <f t="shared" si="33"/>
        <v>#VALUE!</v>
      </c>
      <c r="AI61" s="665"/>
      <c r="AJ61" s="546" t="s">
        <v>592</v>
      </c>
      <c r="AK61" s="547" t="s">
        <v>592</v>
      </c>
      <c r="AL61" s="547" t="s">
        <v>592</v>
      </c>
      <c r="AM61" s="555" t="e">
        <f t="shared" si="35"/>
        <v>#VALUE!</v>
      </c>
      <c r="AN61" s="665"/>
      <c r="AO61" s="546" t="s">
        <v>592</v>
      </c>
      <c r="AP61" s="547" t="s">
        <v>592</v>
      </c>
      <c r="AQ61" s="547" t="s">
        <v>592</v>
      </c>
      <c r="AR61" s="555" t="e">
        <f t="shared" si="37"/>
        <v>#VALUE!</v>
      </c>
      <c r="AS61" s="665"/>
      <c r="AT61" s="546" t="s">
        <v>592</v>
      </c>
      <c r="AU61" s="547" t="s">
        <v>592</v>
      </c>
      <c r="AV61" s="547" t="s">
        <v>592</v>
      </c>
      <c r="AW61" s="555" t="e">
        <f t="shared" si="39"/>
        <v>#VALUE!</v>
      </c>
      <c r="AX61" s="665"/>
      <c r="AZ61" s="372" t="e">
        <f t="shared" si="41"/>
        <v>#N/A</v>
      </c>
      <c r="BA61" s="665"/>
    </row>
    <row r="62" spans="2:53" ht="15.75">
      <c r="B62" s="650" t="s">
        <v>162</v>
      </c>
      <c r="C62" s="651"/>
      <c r="D62" s="651"/>
      <c r="E62" s="651"/>
      <c r="F62" s="651"/>
      <c r="G62" s="651"/>
      <c r="H62" s="652"/>
      <c r="I62" s="207"/>
      <c r="J62" s="207"/>
      <c r="K62" s="207"/>
      <c r="L62" s="207"/>
      <c r="M62" s="206"/>
      <c r="N62" s="639" t="s">
        <v>156</v>
      </c>
      <c r="O62" s="639" t="s">
        <v>105</v>
      </c>
      <c r="P62" s="645">
        <f>P42+7</f>
        <v>46224</v>
      </c>
      <c r="Q62" s="646"/>
      <c r="R62" s="646"/>
      <c r="S62" s="646"/>
      <c r="T62" s="646"/>
      <c r="U62" s="642">
        <f>P62+1</f>
        <v>46225</v>
      </c>
      <c r="V62" s="643"/>
      <c r="W62" s="643"/>
      <c r="X62" s="643"/>
      <c r="Y62" s="644"/>
      <c r="Z62" s="642">
        <f>U62+1</f>
        <v>46226</v>
      </c>
      <c r="AA62" s="643"/>
      <c r="AB62" s="643"/>
      <c r="AC62" s="643"/>
      <c r="AD62" s="644"/>
      <c r="AE62" s="642">
        <f>Z62+1</f>
        <v>46227</v>
      </c>
      <c r="AF62" s="643"/>
      <c r="AG62" s="643"/>
      <c r="AH62" s="643"/>
      <c r="AI62" s="644"/>
      <c r="AJ62" s="642">
        <f>AE62+1</f>
        <v>46228</v>
      </c>
      <c r="AK62" s="643"/>
      <c r="AL62" s="643"/>
      <c r="AM62" s="643"/>
      <c r="AN62" s="644"/>
      <c r="AO62" s="642">
        <f>AJ62+1</f>
        <v>46229</v>
      </c>
      <c r="AP62" s="643"/>
      <c r="AQ62" s="643"/>
      <c r="AR62" s="643"/>
      <c r="AS62" s="644"/>
      <c r="AT62" s="642">
        <f>AO62+1</f>
        <v>46230</v>
      </c>
      <c r="AU62" s="643"/>
      <c r="AV62" s="643"/>
      <c r="AW62" s="643"/>
      <c r="AX62" s="644"/>
    </row>
    <row r="63" spans="2:53" ht="15.75">
      <c r="B63" s="653"/>
      <c r="C63" s="653"/>
      <c r="D63" s="653"/>
      <c r="E63" s="653"/>
      <c r="F63" s="653"/>
      <c r="G63" s="653"/>
      <c r="H63" s="653"/>
      <c r="I63" s="204"/>
      <c r="J63" s="204"/>
      <c r="K63" s="204"/>
      <c r="L63" s="204"/>
      <c r="M63" s="205"/>
      <c r="N63" s="641"/>
      <c r="O63" s="641"/>
      <c r="P63" s="645" t="s">
        <v>317</v>
      </c>
      <c r="Q63" s="646"/>
      <c r="R63" s="646"/>
      <c r="S63" s="646"/>
      <c r="T63" s="646"/>
      <c r="U63" s="645" t="s">
        <v>318</v>
      </c>
      <c r="V63" s="646"/>
      <c r="W63" s="646"/>
      <c r="X63" s="646"/>
      <c r="Y63" s="646"/>
      <c r="Z63" s="645" t="s">
        <v>319</v>
      </c>
      <c r="AA63" s="646"/>
      <c r="AB63" s="646"/>
      <c r="AC63" s="646"/>
      <c r="AD63" s="646"/>
      <c r="AE63" s="645" t="s">
        <v>320</v>
      </c>
      <c r="AF63" s="646"/>
      <c r="AG63" s="646"/>
      <c r="AH63" s="646"/>
      <c r="AI63" s="646"/>
      <c r="AJ63" s="645" t="s">
        <v>321</v>
      </c>
      <c r="AK63" s="646"/>
      <c r="AL63" s="646"/>
      <c r="AM63" s="646"/>
      <c r="AN63" s="646"/>
      <c r="AO63" s="645" t="s">
        <v>322</v>
      </c>
      <c r="AP63" s="646"/>
      <c r="AQ63" s="646"/>
      <c r="AR63" s="646"/>
      <c r="AS63" s="646"/>
      <c r="AT63" s="645" t="s">
        <v>323</v>
      </c>
      <c r="AU63" s="646"/>
      <c r="AV63" s="646"/>
      <c r="AW63" s="646"/>
      <c r="AX63" s="646"/>
    </row>
    <row r="64" spans="2:53">
      <c r="B64" s="635" t="s">
        <v>372</v>
      </c>
      <c r="C64" s="635" t="s">
        <v>536</v>
      </c>
      <c r="D64" s="635"/>
      <c r="E64" s="635" t="s">
        <v>537</v>
      </c>
      <c r="F64" s="635"/>
      <c r="G64" s="635"/>
      <c r="H64" s="636" t="s">
        <v>538</v>
      </c>
      <c r="I64" s="635" t="s">
        <v>539</v>
      </c>
      <c r="J64" s="635"/>
      <c r="K64" s="635"/>
      <c r="L64" s="636" t="s">
        <v>369</v>
      </c>
      <c r="M64" s="639" t="s">
        <v>540</v>
      </c>
      <c r="N64" s="635"/>
      <c r="O64" s="635" t="s">
        <v>541</v>
      </c>
      <c r="P64" s="632" t="s">
        <v>371</v>
      </c>
      <c r="Q64" s="633"/>
      <c r="R64" s="633"/>
      <c r="S64" s="634"/>
      <c r="T64" s="635" t="s">
        <v>369</v>
      </c>
      <c r="U64" s="632" t="s">
        <v>371</v>
      </c>
      <c r="V64" s="633"/>
      <c r="W64" s="633"/>
      <c r="X64" s="634"/>
      <c r="Y64" s="635" t="s">
        <v>369</v>
      </c>
      <c r="Z64" s="632" t="s">
        <v>371</v>
      </c>
      <c r="AA64" s="633"/>
      <c r="AB64" s="633"/>
      <c r="AC64" s="634"/>
      <c r="AD64" s="635" t="s">
        <v>369</v>
      </c>
      <c r="AE64" s="632" t="s">
        <v>371</v>
      </c>
      <c r="AF64" s="633"/>
      <c r="AG64" s="633"/>
      <c r="AH64" s="634"/>
      <c r="AI64" s="635" t="s">
        <v>369</v>
      </c>
      <c r="AJ64" s="632" t="s">
        <v>371</v>
      </c>
      <c r="AK64" s="633"/>
      <c r="AL64" s="633"/>
      <c r="AM64" s="634"/>
      <c r="AN64" s="635" t="s">
        <v>369</v>
      </c>
      <c r="AO64" s="632" t="s">
        <v>371</v>
      </c>
      <c r="AP64" s="633"/>
      <c r="AQ64" s="633"/>
      <c r="AR64" s="634"/>
      <c r="AS64" s="635" t="s">
        <v>369</v>
      </c>
      <c r="AT64" s="632" t="s">
        <v>371</v>
      </c>
      <c r="AU64" s="633"/>
      <c r="AV64" s="633"/>
      <c r="AW64" s="634"/>
      <c r="AX64" s="635" t="s">
        <v>369</v>
      </c>
      <c r="BA64" s="635" t="s">
        <v>369</v>
      </c>
    </row>
    <row r="65" spans="2:53">
      <c r="B65" s="635"/>
      <c r="C65" s="635"/>
      <c r="D65" s="635"/>
      <c r="E65" s="635" t="s">
        <v>542</v>
      </c>
      <c r="F65" s="635"/>
      <c r="G65" s="635"/>
      <c r="H65" s="637"/>
      <c r="I65" s="635" t="s">
        <v>542</v>
      </c>
      <c r="J65" s="635"/>
      <c r="K65" s="635"/>
      <c r="L65" s="637"/>
      <c r="M65" s="640"/>
      <c r="N65" s="635"/>
      <c r="O65" s="635"/>
      <c r="P65" s="632" t="s">
        <v>377</v>
      </c>
      <c r="Q65" s="633"/>
      <c r="R65" s="633"/>
      <c r="S65" s="634"/>
      <c r="T65" s="635"/>
      <c r="U65" s="632" t="s">
        <v>377</v>
      </c>
      <c r="V65" s="633"/>
      <c r="W65" s="633"/>
      <c r="X65" s="634"/>
      <c r="Y65" s="635"/>
      <c r="Z65" s="632" t="s">
        <v>377</v>
      </c>
      <c r="AA65" s="633"/>
      <c r="AB65" s="633"/>
      <c r="AC65" s="634"/>
      <c r="AD65" s="635"/>
      <c r="AE65" s="632" t="s">
        <v>377</v>
      </c>
      <c r="AF65" s="633"/>
      <c r="AG65" s="633"/>
      <c r="AH65" s="634"/>
      <c r="AI65" s="635"/>
      <c r="AJ65" s="632" t="s">
        <v>377</v>
      </c>
      <c r="AK65" s="633"/>
      <c r="AL65" s="633"/>
      <c r="AM65" s="634"/>
      <c r="AN65" s="635"/>
      <c r="AO65" s="632" t="s">
        <v>377</v>
      </c>
      <c r="AP65" s="633"/>
      <c r="AQ65" s="633"/>
      <c r="AR65" s="634"/>
      <c r="AS65" s="635"/>
      <c r="AT65" s="632" t="s">
        <v>377</v>
      </c>
      <c r="AU65" s="633"/>
      <c r="AV65" s="633"/>
      <c r="AW65" s="634"/>
      <c r="AX65" s="635"/>
      <c r="BA65" s="635"/>
    </row>
    <row r="66" spans="2:53">
      <c r="B66" s="635"/>
      <c r="C66" s="635"/>
      <c r="D66" s="635"/>
      <c r="E66" s="382" t="s">
        <v>543</v>
      </c>
      <c r="F66" s="382" t="s">
        <v>544</v>
      </c>
      <c r="G66" s="382" t="s">
        <v>545</v>
      </c>
      <c r="H66" s="638"/>
      <c r="I66" s="382" t="s">
        <v>543</v>
      </c>
      <c r="J66" s="382" t="s">
        <v>544</v>
      </c>
      <c r="K66" s="382" t="s">
        <v>545</v>
      </c>
      <c r="L66" s="638"/>
      <c r="M66" s="641"/>
      <c r="N66" s="635"/>
      <c r="O66" s="635"/>
      <c r="P66" s="382" t="s">
        <v>378</v>
      </c>
      <c r="Q66" s="382" t="s">
        <v>379</v>
      </c>
      <c r="R66" s="382" t="s">
        <v>380</v>
      </c>
      <c r="S66" s="382" t="s">
        <v>370</v>
      </c>
      <c r="T66" s="635"/>
      <c r="U66" s="382" t="s">
        <v>378</v>
      </c>
      <c r="V66" s="382" t="s">
        <v>379</v>
      </c>
      <c r="W66" s="382" t="s">
        <v>380</v>
      </c>
      <c r="X66" s="382" t="s">
        <v>370</v>
      </c>
      <c r="Y66" s="635"/>
      <c r="Z66" s="382" t="s">
        <v>378</v>
      </c>
      <c r="AA66" s="382" t="s">
        <v>379</v>
      </c>
      <c r="AB66" s="382" t="s">
        <v>380</v>
      </c>
      <c r="AC66" s="382" t="s">
        <v>370</v>
      </c>
      <c r="AD66" s="635"/>
      <c r="AE66" s="382" t="s">
        <v>378</v>
      </c>
      <c r="AF66" s="382" t="s">
        <v>379</v>
      </c>
      <c r="AG66" s="382" t="s">
        <v>380</v>
      </c>
      <c r="AH66" s="382" t="s">
        <v>370</v>
      </c>
      <c r="AI66" s="635"/>
      <c r="AJ66" s="382" t="s">
        <v>378</v>
      </c>
      <c r="AK66" s="382" t="s">
        <v>379</v>
      </c>
      <c r="AL66" s="382" t="s">
        <v>380</v>
      </c>
      <c r="AM66" s="382" t="s">
        <v>370</v>
      </c>
      <c r="AN66" s="635"/>
      <c r="AO66" s="382" t="s">
        <v>378</v>
      </c>
      <c r="AP66" s="382" t="s">
        <v>379</v>
      </c>
      <c r="AQ66" s="382" t="s">
        <v>380</v>
      </c>
      <c r="AR66" s="382" t="s">
        <v>370</v>
      </c>
      <c r="AS66" s="635"/>
      <c r="AT66" s="382" t="s">
        <v>378</v>
      </c>
      <c r="AU66" s="382" t="s">
        <v>379</v>
      </c>
      <c r="AV66" s="382" t="s">
        <v>380</v>
      </c>
      <c r="AW66" s="382" t="s">
        <v>370</v>
      </c>
      <c r="AX66" s="635"/>
      <c r="AZ66" s="371" t="s">
        <v>370</v>
      </c>
      <c r="BA66" s="635"/>
    </row>
    <row r="67" spans="2:53">
      <c r="B67" s="635" t="s">
        <v>384</v>
      </c>
      <c r="C67" s="384">
        <v>1</v>
      </c>
      <c r="D67" s="225" t="s">
        <v>595</v>
      </c>
      <c r="E67" s="539">
        <v>17</v>
      </c>
      <c r="F67" s="535">
        <v>1565</v>
      </c>
      <c r="G67" s="534">
        <v>92.058823529411768</v>
      </c>
      <c r="H67" s="670">
        <f>AVERAGE(G67:G81)</f>
        <v>88.413656690746478</v>
      </c>
      <c r="I67" s="385">
        <f t="shared" ref="I67:I80" si="43">IFERROR(AVERAGE(P67,U67,Z67,AE67,AJ67,AO67,AT67),"-")</f>
        <v>17</v>
      </c>
      <c r="J67" s="385">
        <f t="shared" ref="J67:J80" si="44">IFERROR(AVERAGE(Q67,V67,AA67,AF67,AK67,AP67,AU67),"-")</f>
        <v>1389.259914177341</v>
      </c>
      <c r="K67" s="199">
        <f t="shared" ref="K67:K80" si="45">IFERROR(AVERAGE(R67,W67,AB67,AG67,AL67,AQ67,AV67),"-")</f>
        <v>81.72117142219652</v>
      </c>
      <c r="L67" s="616">
        <f>IFERROR(AVERAGE(K67:K81),"-")</f>
        <v>77.412658067827877</v>
      </c>
      <c r="M67" s="389">
        <f>RANK(K67, K$67:$K$81)</f>
        <v>1</v>
      </c>
      <c r="N67" s="635"/>
      <c r="O67" s="635"/>
      <c r="P67" s="555">
        <v>17</v>
      </c>
      <c r="Q67" s="556">
        <v>1341.9250000000004</v>
      </c>
      <c r="R67" s="556">
        <v>78.936764705882382</v>
      </c>
      <c r="S67" s="555">
        <f t="shared" ref="S67:S81" si="46">RANK(R67, R$67:R$81)</f>
        <v>2</v>
      </c>
      <c r="T67" s="663">
        <f t="shared" ref="T67" si="47">AVERAGE(R67:R81)</f>
        <v>76.663206018074277</v>
      </c>
      <c r="U67" s="555">
        <v>17</v>
      </c>
      <c r="V67" s="556">
        <v>1361.6571428571433</v>
      </c>
      <c r="W67" s="556">
        <v>80.09747899159666</v>
      </c>
      <c r="X67" s="555">
        <f t="shared" ref="X67:X81" si="48">RANK(W67, W$67:W$81)</f>
        <v>1</v>
      </c>
      <c r="Y67" s="663">
        <f t="shared" ref="Y67" si="49">AVERAGE(W67:W81)</f>
        <v>76.637011960645424</v>
      </c>
      <c r="Z67" s="555">
        <v>17</v>
      </c>
      <c r="AA67" s="556">
        <v>1364.8721311475406</v>
      </c>
      <c r="AB67" s="556">
        <v>80.286595949855325</v>
      </c>
      <c r="AC67" s="555">
        <f t="shared" ref="AC67:AC81" si="50">RANK(AB67, AB$67:AB$81)</f>
        <v>1</v>
      </c>
      <c r="AD67" s="663">
        <f t="shared" ref="AD67" si="51">AVERAGE(AB67:AB81)</f>
        <v>76.644507667742147</v>
      </c>
      <c r="AE67" s="555">
        <v>17</v>
      </c>
      <c r="AF67" s="556">
        <v>1372.0500000000002</v>
      </c>
      <c r="AG67" s="556">
        <v>80.708823529411774</v>
      </c>
      <c r="AH67" s="555">
        <f t="shared" ref="AH67:AH81" si="52">RANK(AG67, AG$67:AG$81)</f>
        <v>1</v>
      </c>
      <c r="AI67" s="663">
        <f t="shared" ref="AI67" si="53">AVERAGE(AG67:AG81)</f>
        <v>77.650041467110583</v>
      </c>
      <c r="AJ67" s="555">
        <v>17</v>
      </c>
      <c r="AK67" s="556">
        <v>1402.3124999999998</v>
      </c>
      <c r="AL67" s="556">
        <v>82.488970588235276</v>
      </c>
      <c r="AM67" s="555">
        <f t="shared" ref="AM67:AM81" si="54">RANK(AL67, AL$67:AL$81)</f>
        <v>1</v>
      </c>
      <c r="AN67" s="663">
        <f t="shared" ref="AN67" si="55">AVERAGE(AL67:AL81)</f>
        <v>78.071937154099118</v>
      </c>
      <c r="AO67" s="555">
        <v>17</v>
      </c>
      <c r="AP67" s="556">
        <v>1456.6013513513519</v>
      </c>
      <c r="AQ67" s="556">
        <v>85.682432432432464</v>
      </c>
      <c r="AR67" s="555">
        <f t="shared" ref="AR67:AR81" si="56">RANK(AQ67, AQ$67:AQ$81)</f>
        <v>1</v>
      </c>
      <c r="AS67" s="663">
        <f t="shared" ref="AS67" si="57">AVERAGE(AQ67:AQ81)</f>
        <v>78.129830280625058</v>
      </c>
      <c r="AT67" s="555">
        <v>17</v>
      </c>
      <c r="AU67" s="556">
        <v>1425.4012738853501</v>
      </c>
      <c r="AV67" s="556">
        <v>83.847133757961771</v>
      </c>
      <c r="AW67" s="555">
        <f t="shared" ref="AW67:AW81" si="58">RANK(AV67, AV$67:AV$81)</f>
        <v>1</v>
      </c>
      <c r="AX67" s="663">
        <f t="shared" ref="AX67" si="59">AVERAGE(AV67:AV81)</f>
        <v>78.092071926498505</v>
      </c>
      <c r="AZ67" s="372" t="e">
        <f t="shared" ref="AZ67:AZ81" si="60">RANK(AY67, AY$67:AY$81)</f>
        <v>#N/A</v>
      </c>
      <c r="BA67" s="663" t="e">
        <f t="shared" ref="BA67" si="61">AVERAGE(AY67:AY81)</f>
        <v>#DIV/0!</v>
      </c>
    </row>
    <row r="68" spans="2:53">
      <c r="B68" s="646"/>
      <c r="C68" s="384">
        <v>2</v>
      </c>
      <c r="D68" s="225" t="s">
        <v>619</v>
      </c>
      <c r="E68" s="539">
        <v>19</v>
      </c>
      <c r="F68" s="535">
        <v>1500</v>
      </c>
      <c r="G68" s="534">
        <v>78.94736842105263</v>
      </c>
      <c r="H68" s="671"/>
      <c r="I68" s="385">
        <f t="shared" si="43"/>
        <v>19</v>
      </c>
      <c r="J68" s="385">
        <f t="shared" si="44"/>
        <v>1385.0099020637738</v>
      </c>
      <c r="K68" s="199">
        <f t="shared" si="45"/>
        <v>72.895258003356517</v>
      </c>
      <c r="L68" s="617"/>
      <c r="M68" s="389">
        <f>RANK(K68, K$67:$K$81)</f>
        <v>5</v>
      </c>
      <c r="N68" s="635"/>
      <c r="O68" s="635"/>
      <c r="P68" s="555">
        <v>19</v>
      </c>
      <c r="Q68" s="556">
        <v>1367.905882352941</v>
      </c>
      <c r="R68" s="556">
        <v>71.995046439628481</v>
      </c>
      <c r="S68" s="555">
        <f t="shared" si="46"/>
        <v>5</v>
      </c>
      <c r="T68" s="664"/>
      <c r="U68" s="555">
        <v>19</v>
      </c>
      <c r="V68" s="556">
        <v>1388.3544303797469</v>
      </c>
      <c r="W68" s="556">
        <v>73.071285809460363</v>
      </c>
      <c r="X68" s="555">
        <f t="shared" si="48"/>
        <v>5</v>
      </c>
      <c r="Y68" s="664"/>
      <c r="Z68" s="555">
        <v>19</v>
      </c>
      <c r="AA68" s="556">
        <v>1390.6779661016951</v>
      </c>
      <c r="AB68" s="556">
        <v>73.193577163247113</v>
      </c>
      <c r="AC68" s="555">
        <f t="shared" si="50"/>
        <v>5</v>
      </c>
      <c r="AD68" s="664"/>
      <c r="AE68" s="555">
        <v>19</v>
      </c>
      <c r="AF68" s="556">
        <v>1402.5641025641023</v>
      </c>
      <c r="AG68" s="556">
        <v>73.819163292847492</v>
      </c>
      <c r="AH68" s="555">
        <f t="shared" si="52"/>
        <v>5</v>
      </c>
      <c r="AI68" s="664"/>
      <c r="AJ68" s="555">
        <v>19</v>
      </c>
      <c r="AK68" s="556">
        <v>1383.050847457627</v>
      </c>
      <c r="AL68" s="556">
        <v>72.792149866190897</v>
      </c>
      <c r="AM68" s="555">
        <f t="shared" si="54"/>
        <v>5</v>
      </c>
      <c r="AN68" s="664"/>
      <c r="AO68" s="555">
        <v>19</v>
      </c>
      <c r="AP68" s="556">
        <v>1372.638036809816</v>
      </c>
      <c r="AQ68" s="556">
        <v>72.244107200516623</v>
      </c>
      <c r="AR68" s="555">
        <f t="shared" si="56"/>
        <v>5</v>
      </c>
      <c r="AS68" s="664"/>
      <c r="AT68" s="555">
        <v>19</v>
      </c>
      <c r="AU68" s="556">
        <v>1389.8780487804879</v>
      </c>
      <c r="AV68" s="556">
        <v>73.15147625160462</v>
      </c>
      <c r="AW68" s="555">
        <f t="shared" si="58"/>
        <v>5</v>
      </c>
      <c r="AX68" s="664"/>
      <c r="AZ68" s="372" t="e">
        <f t="shared" si="60"/>
        <v>#N/A</v>
      </c>
      <c r="BA68" s="664"/>
    </row>
    <row r="69" spans="2:53">
      <c r="B69" s="646"/>
      <c r="C69" s="384">
        <v>3</v>
      </c>
      <c r="D69" s="225" t="s">
        <v>627</v>
      </c>
      <c r="E69" s="539">
        <v>18</v>
      </c>
      <c r="F69" s="535">
        <v>1565</v>
      </c>
      <c r="G69" s="534">
        <v>86.944444444444443</v>
      </c>
      <c r="H69" s="671"/>
      <c r="I69" s="385">
        <f t="shared" si="43"/>
        <v>18</v>
      </c>
      <c r="J69" s="385">
        <f t="shared" si="44"/>
        <v>1357.6063971245694</v>
      </c>
      <c r="K69" s="199">
        <f t="shared" si="45"/>
        <v>75.422577618031625</v>
      </c>
      <c r="L69" s="617"/>
      <c r="M69" s="389">
        <f>RANK(K69, K$67:$K$81)</f>
        <v>4</v>
      </c>
      <c r="N69" s="635"/>
      <c r="O69" s="635"/>
      <c r="P69" s="555">
        <v>18</v>
      </c>
      <c r="Q69" s="556">
        <v>1352.0454545454545</v>
      </c>
      <c r="R69" s="556">
        <v>75.11363636363636</v>
      </c>
      <c r="S69" s="555">
        <f t="shared" si="46"/>
        <v>4</v>
      </c>
      <c r="T69" s="664"/>
      <c r="U69" s="555">
        <v>18</v>
      </c>
      <c r="V69" s="556">
        <v>1329.7674418604647</v>
      </c>
      <c r="W69" s="556">
        <v>73.875968992248033</v>
      </c>
      <c r="X69" s="555">
        <f t="shared" si="48"/>
        <v>4</v>
      </c>
      <c r="Y69" s="664"/>
      <c r="Z69" s="555">
        <v>18</v>
      </c>
      <c r="AA69" s="556">
        <v>1337.3493975903609</v>
      </c>
      <c r="AB69" s="556">
        <v>74.297188755020045</v>
      </c>
      <c r="AC69" s="555">
        <f t="shared" si="50"/>
        <v>4</v>
      </c>
      <c r="AD69" s="664"/>
      <c r="AE69" s="555">
        <v>18</v>
      </c>
      <c r="AF69" s="556">
        <v>1376.9491525423723</v>
      </c>
      <c r="AG69" s="556">
        <v>76.497175141242906</v>
      </c>
      <c r="AH69" s="555">
        <f t="shared" si="52"/>
        <v>4</v>
      </c>
      <c r="AI69" s="664"/>
      <c r="AJ69" s="555">
        <v>18</v>
      </c>
      <c r="AK69" s="556">
        <v>1361.9999999999993</v>
      </c>
      <c r="AL69" s="556">
        <v>75.666666666666629</v>
      </c>
      <c r="AM69" s="555">
        <f t="shared" si="54"/>
        <v>4</v>
      </c>
      <c r="AN69" s="664"/>
      <c r="AO69" s="555">
        <v>18</v>
      </c>
      <c r="AP69" s="556">
        <v>1357.3333333333335</v>
      </c>
      <c r="AQ69" s="556">
        <v>75.407407407407419</v>
      </c>
      <c r="AR69" s="555">
        <f t="shared" si="56"/>
        <v>4</v>
      </c>
      <c r="AS69" s="664"/>
      <c r="AT69" s="555">
        <v>18</v>
      </c>
      <c r="AU69" s="556">
        <v>1387.8000000000004</v>
      </c>
      <c r="AV69" s="556">
        <v>77.100000000000023</v>
      </c>
      <c r="AW69" s="555">
        <f t="shared" si="58"/>
        <v>3</v>
      </c>
      <c r="AX69" s="664"/>
      <c r="AZ69" s="372" t="e">
        <f t="shared" si="60"/>
        <v>#N/A</v>
      </c>
      <c r="BA69" s="664"/>
    </row>
    <row r="70" spans="2:53">
      <c r="B70" s="646"/>
      <c r="C70" s="384">
        <v>4</v>
      </c>
      <c r="D70" s="225" t="s">
        <v>636</v>
      </c>
      <c r="E70" s="539">
        <v>17</v>
      </c>
      <c r="F70" s="535">
        <v>1565</v>
      </c>
      <c r="G70" s="534">
        <v>92.058823529411768</v>
      </c>
      <c r="H70" s="671"/>
      <c r="I70" s="385">
        <f t="shared" si="43"/>
        <v>17</v>
      </c>
      <c r="J70" s="385">
        <f t="shared" si="44"/>
        <v>1356.5390362843139</v>
      </c>
      <c r="K70" s="199">
        <f t="shared" si="45"/>
        <v>79.796413899077294</v>
      </c>
      <c r="L70" s="617"/>
      <c r="M70" s="389">
        <f>RANK(K70, K$67:$K$81)</f>
        <v>2</v>
      </c>
      <c r="N70" s="635"/>
      <c r="O70" s="635"/>
      <c r="P70" s="555">
        <v>17</v>
      </c>
      <c r="Q70" s="556">
        <v>1355.6097560975606</v>
      </c>
      <c r="R70" s="556">
        <v>79.741750358680036</v>
      </c>
      <c r="S70" s="555">
        <f t="shared" si="46"/>
        <v>1</v>
      </c>
      <c r="T70" s="664"/>
      <c r="U70" s="555">
        <v>17</v>
      </c>
      <c r="V70" s="556">
        <v>1319.9999999999995</v>
      </c>
      <c r="W70" s="556">
        <v>77.647058823529392</v>
      </c>
      <c r="X70" s="555">
        <f t="shared" si="48"/>
        <v>3</v>
      </c>
      <c r="Y70" s="664"/>
      <c r="Z70" s="555">
        <v>17</v>
      </c>
      <c r="AA70" s="556">
        <v>1344.0000000000002</v>
      </c>
      <c r="AB70" s="556">
        <v>79.058823529411782</v>
      </c>
      <c r="AC70" s="555">
        <f t="shared" si="50"/>
        <v>2</v>
      </c>
      <c r="AD70" s="664"/>
      <c r="AE70" s="555">
        <v>17</v>
      </c>
      <c r="AF70" s="556">
        <v>1357.8947368421054</v>
      </c>
      <c r="AG70" s="556">
        <v>79.87616099071208</v>
      </c>
      <c r="AH70" s="555">
        <f t="shared" si="52"/>
        <v>2</v>
      </c>
      <c r="AI70" s="664"/>
      <c r="AJ70" s="555">
        <v>17</v>
      </c>
      <c r="AK70" s="556">
        <v>1383.2258064516125</v>
      </c>
      <c r="AL70" s="556">
        <v>81.366223908918386</v>
      </c>
      <c r="AM70" s="555">
        <f t="shared" si="54"/>
        <v>2</v>
      </c>
      <c r="AN70" s="664"/>
      <c r="AO70" s="555">
        <v>17</v>
      </c>
      <c r="AP70" s="556">
        <v>1365.8532110091742</v>
      </c>
      <c r="AQ70" s="556">
        <v>80.344306529951425</v>
      </c>
      <c r="AR70" s="555">
        <f t="shared" si="56"/>
        <v>2</v>
      </c>
      <c r="AS70" s="664"/>
      <c r="AT70" s="555">
        <v>17</v>
      </c>
      <c r="AU70" s="556">
        <v>1369.1897435897438</v>
      </c>
      <c r="AV70" s="556">
        <v>80.540573152337871</v>
      </c>
      <c r="AW70" s="555">
        <f t="shared" si="58"/>
        <v>2</v>
      </c>
      <c r="AX70" s="664"/>
      <c r="AZ70" s="372" t="e">
        <f t="shared" si="60"/>
        <v>#N/A</v>
      </c>
      <c r="BA70" s="664"/>
    </row>
    <row r="71" spans="2:53">
      <c r="B71" s="646"/>
      <c r="C71" s="384">
        <v>5</v>
      </c>
      <c r="D71" s="225" t="s">
        <v>774</v>
      </c>
      <c r="E71" s="539">
        <v>17</v>
      </c>
      <c r="F71" s="535">
        <v>1565</v>
      </c>
      <c r="G71" s="534">
        <v>92.058823529411768</v>
      </c>
      <c r="H71" s="671"/>
      <c r="I71" s="385">
        <f t="shared" si="43"/>
        <v>17</v>
      </c>
      <c r="J71" s="385">
        <f t="shared" si="44"/>
        <v>1312.8737797401161</v>
      </c>
      <c r="K71" s="199">
        <f t="shared" si="45"/>
        <v>77.227869396477431</v>
      </c>
      <c r="L71" s="617"/>
      <c r="M71" s="389">
        <f>RANK(K71, K$67:$K$81)</f>
        <v>3</v>
      </c>
      <c r="N71" s="635"/>
      <c r="O71" s="635"/>
      <c r="P71" s="555">
        <v>17</v>
      </c>
      <c r="Q71" s="556">
        <v>1317.9901477832511</v>
      </c>
      <c r="R71" s="556">
        <v>77.528832222544182</v>
      </c>
      <c r="S71" s="555">
        <f t="shared" si="46"/>
        <v>3</v>
      </c>
      <c r="T71" s="664"/>
      <c r="U71" s="555">
        <v>17</v>
      </c>
      <c r="V71" s="556">
        <v>1334.3855421686744</v>
      </c>
      <c r="W71" s="556">
        <v>78.493267186392615</v>
      </c>
      <c r="X71" s="555">
        <f t="shared" si="48"/>
        <v>2</v>
      </c>
      <c r="Y71" s="664"/>
      <c r="Z71" s="555">
        <v>17</v>
      </c>
      <c r="AA71" s="556">
        <v>1298.5680000000004</v>
      </c>
      <c r="AB71" s="556">
        <v>76.386352941176497</v>
      </c>
      <c r="AC71" s="555">
        <f t="shared" si="50"/>
        <v>3</v>
      </c>
      <c r="AD71" s="664"/>
      <c r="AE71" s="555">
        <v>17</v>
      </c>
      <c r="AF71" s="556">
        <v>1314.9310344827577</v>
      </c>
      <c r="AG71" s="556">
        <v>77.348884381338692</v>
      </c>
      <c r="AH71" s="555">
        <f t="shared" si="52"/>
        <v>3</v>
      </c>
      <c r="AI71" s="664"/>
      <c r="AJ71" s="555">
        <v>17</v>
      </c>
      <c r="AK71" s="556">
        <v>1326.7764705882348</v>
      </c>
      <c r="AL71" s="556">
        <v>78.045674740484401</v>
      </c>
      <c r="AM71" s="555">
        <f t="shared" si="54"/>
        <v>3</v>
      </c>
      <c r="AN71" s="664"/>
      <c r="AO71" s="555">
        <v>17</v>
      </c>
      <c r="AP71" s="556">
        <v>1308.5052631578956</v>
      </c>
      <c r="AQ71" s="556">
        <v>76.970897832817386</v>
      </c>
      <c r="AR71" s="555">
        <f t="shared" si="56"/>
        <v>3</v>
      </c>
      <c r="AS71" s="664"/>
      <c r="AT71" s="555">
        <v>17</v>
      </c>
      <c r="AU71" s="556">
        <v>1288.9599999999998</v>
      </c>
      <c r="AV71" s="556">
        <v>75.821176470588227</v>
      </c>
      <c r="AW71" s="555">
        <f t="shared" si="58"/>
        <v>4</v>
      </c>
      <c r="AX71" s="664"/>
      <c r="AZ71" s="372" t="e">
        <f t="shared" si="60"/>
        <v>#N/A</v>
      </c>
      <c r="BA71" s="664"/>
    </row>
    <row r="72" spans="2:53">
      <c r="B72" s="646"/>
      <c r="C72" s="384">
        <v>6</v>
      </c>
      <c r="D72" s="225"/>
      <c r="E72" s="539"/>
      <c r="F72" s="535"/>
      <c r="G72" s="534"/>
      <c r="H72" s="671"/>
      <c r="I72" s="385" t="str">
        <f t="shared" si="43"/>
        <v>-</v>
      </c>
      <c r="J72" s="385" t="str">
        <f t="shared" si="44"/>
        <v>-</v>
      </c>
      <c r="K72" s="199" t="str">
        <f t="shared" si="45"/>
        <v>-</v>
      </c>
      <c r="L72" s="617"/>
      <c r="M72" s="389" t="e">
        <f>RANK(K72, K$67:$K$81)</f>
        <v>#VALUE!</v>
      </c>
      <c r="N72" s="635"/>
      <c r="O72" s="635"/>
      <c r="P72" s="555" t="s">
        <v>592</v>
      </c>
      <c r="Q72" s="556" t="s">
        <v>592</v>
      </c>
      <c r="R72" s="556" t="s">
        <v>592</v>
      </c>
      <c r="S72" s="555" t="e">
        <f t="shared" si="46"/>
        <v>#VALUE!</v>
      </c>
      <c r="T72" s="664"/>
      <c r="U72" s="555" t="s">
        <v>592</v>
      </c>
      <c r="V72" s="556" t="s">
        <v>592</v>
      </c>
      <c r="W72" s="556" t="s">
        <v>592</v>
      </c>
      <c r="X72" s="555" t="e">
        <f t="shared" si="48"/>
        <v>#VALUE!</v>
      </c>
      <c r="Y72" s="664"/>
      <c r="Z72" s="555" t="s">
        <v>592</v>
      </c>
      <c r="AA72" s="556" t="s">
        <v>592</v>
      </c>
      <c r="AB72" s="556" t="s">
        <v>592</v>
      </c>
      <c r="AC72" s="555" t="e">
        <f t="shared" si="50"/>
        <v>#VALUE!</v>
      </c>
      <c r="AD72" s="664"/>
      <c r="AE72" s="555" t="s">
        <v>592</v>
      </c>
      <c r="AF72" s="556" t="s">
        <v>592</v>
      </c>
      <c r="AG72" s="556" t="s">
        <v>592</v>
      </c>
      <c r="AH72" s="555" t="e">
        <f t="shared" si="52"/>
        <v>#VALUE!</v>
      </c>
      <c r="AI72" s="664"/>
      <c r="AJ72" s="555" t="s">
        <v>592</v>
      </c>
      <c r="AK72" s="556" t="s">
        <v>592</v>
      </c>
      <c r="AL72" s="556" t="s">
        <v>592</v>
      </c>
      <c r="AM72" s="555" t="e">
        <f t="shared" si="54"/>
        <v>#VALUE!</v>
      </c>
      <c r="AN72" s="664"/>
      <c r="AO72" s="555" t="s">
        <v>592</v>
      </c>
      <c r="AP72" s="556" t="s">
        <v>592</v>
      </c>
      <c r="AQ72" s="556" t="s">
        <v>592</v>
      </c>
      <c r="AR72" s="555" t="e">
        <f t="shared" si="56"/>
        <v>#VALUE!</v>
      </c>
      <c r="AS72" s="664"/>
      <c r="AT72" s="555" t="s">
        <v>592</v>
      </c>
      <c r="AU72" s="556" t="s">
        <v>592</v>
      </c>
      <c r="AV72" s="556" t="s">
        <v>592</v>
      </c>
      <c r="AW72" s="555" t="e">
        <f t="shared" si="58"/>
        <v>#VALUE!</v>
      </c>
      <c r="AX72" s="664"/>
      <c r="AZ72" s="372" t="e">
        <f t="shared" si="60"/>
        <v>#N/A</v>
      </c>
      <c r="BA72" s="664"/>
    </row>
    <row r="73" spans="2:53">
      <c r="B73" s="646"/>
      <c r="C73" s="384">
        <v>7</v>
      </c>
      <c r="D73" s="225"/>
      <c r="E73" s="539"/>
      <c r="F73" s="535"/>
      <c r="G73" s="534"/>
      <c r="H73" s="671"/>
      <c r="I73" s="385" t="str">
        <f t="shared" si="43"/>
        <v>-</v>
      </c>
      <c r="J73" s="385" t="str">
        <f t="shared" si="44"/>
        <v>-</v>
      </c>
      <c r="K73" s="199" t="str">
        <f t="shared" si="45"/>
        <v>-</v>
      </c>
      <c r="L73" s="617"/>
      <c r="M73" s="389" t="e">
        <f>RANK(K73, K$67:$K$81)</f>
        <v>#VALUE!</v>
      </c>
      <c r="N73" s="635"/>
      <c r="O73" s="635"/>
      <c r="P73" s="555" t="s">
        <v>592</v>
      </c>
      <c r="Q73" s="556" t="s">
        <v>592</v>
      </c>
      <c r="R73" s="556" t="s">
        <v>592</v>
      </c>
      <c r="S73" s="555" t="e">
        <f t="shared" si="46"/>
        <v>#VALUE!</v>
      </c>
      <c r="T73" s="664"/>
      <c r="U73" s="555" t="s">
        <v>592</v>
      </c>
      <c r="V73" s="556" t="s">
        <v>592</v>
      </c>
      <c r="W73" s="556" t="s">
        <v>592</v>
      </c>
      <c r="X73" s="555" t="e">
        <f t="shared" si="48"/>
        <v>#VALUE!</v>
      </c>
      <c r="Y73" s="664"/>
      <c r="Z73" s="555" t="s">
        <v>592</v>
      </c>
      <c r="AA73" s="556" t="s">
        <v>592</v>
      </c>
      <c r="AB73" s="556" t="s">
        <v>592</v>
      </c>
      <c r="AC73" s="555" t="e">
        <f t="shared" si="50"/>
        <v>#VALUE!</v>
      </c>
      <c r="AD73" s="664"/>
      <c r="AE73" s="555" t="s">
        <v>592</v>
      </c>
      <c r="AF73" s="556" t="s">
        <v>592</v>
      </c>
      <c r="AG73" s="556" t="s">
        <v>592</v>
      </c>
      <c r="AH73" s="555" t="e">
        <f t="shared" si="52"/>
        <v>#VALUE!</v>
      </c>
      <c r="AI73" s="664"/>
      <c r="AJ73" s="555" t="s">
        <v>592</v>
      </c>
      <c r="AK73" s="556" t="s">
        <v>592</v>
      </c>
      <c r="AL73" s="556" t="s">
        <v>592</v>
      </c>
      <c r="AM73" s="555" t="e">
        <f t="shared" si="54"/>
        <v>#VALUE!</v>
      </c>
      <c r="AN73" s="664"/>
      <c r="AO73" s="555" t="s">
        <v>592</v>
      </c>
      <c r="AP73" s="556" t="s">
        <v>592</v>
      </c>
      <c r="AQ73" s="556" t="s">
        <v>592</v>
      </c>
      <c r="AR73" s="555" t="e">
        <f t="shared" si="56"/>
        <v>#VALUE!</v>
      </c>
      <c r="AS73" s="664"/>
      <c r="AT73" s="555" t="s">
        <v>592</v>
      </c>
      <c r="AU73" s="556" t="s">
        <v>592</v>
      </c>
      <c r="AV73" s="556" t="s">
        <v>592</v>
      </c>
      <c r="AW73" s="555" t="e">
        <f t="shared" si="58"/>
        <v>#VALUE!</v>
      </c>
      <c r="AX73" s="664"/>
      <c r="AZ73" s="372" t="e">
        <f t="shared" si="60"/>
        <v>#N/A</v>
      </c>
      <c r="BA73" s="664"/>
    </row>
    <row r="74" spans="2:53">
      <c r="B74" s="646"/>
      <c r="C74" s="384">
        <v>8</v>
      </c>
      <c r="D74" s="225"/>
      <c r="E74" s="539"/>
      <c r="F74" s="535"/>
      <c r="G74" s="534"/>
      <c r="H74" s="671"/>
      <c r="I74" s="385" t="str">
        <f t="shared" si="43"/>
        <v>-</v>
      </c>
      <c r="J74" s="385" t="str">
        <f t="shared" si="44"/>
        <v>-</v>
      </c>
      <c r="K74" s="199" t="str">
        <f t="shared" si="45"/>
        <v>-</v>
      </c>
      <c r="L74" s="617"/>
      <c r="M74" s="389" t="e">
        <f>RANK(K74, K$67:$K$81)</f>
        <v>#VALUE!</v>
      </c>
      <c r="N74" s="635"/>
      <c r="O74" s="635"/>
      <c r="P74" s="555" t="s">
        <v>592</v>
      </c>
      <c r="Q74" s="556" t="s">
        <v>592</v>
      </c>
      <c r="R74" s="556" t="s">
        <v>592</v>
      </c>
      <c r="S74" s="555" t="e">
        <f t="shared" si="46"/>
        <v>#VALUE!</v>
      </c>
      <c r="T74" s="664"/>
      <c r="U74" s="555" t="s">
        <v>592</v>
      </c>
      <c r="V74" s="556" t="s">
        <v>592</v>
      </c>
      <c r="W74" s="556" t="s">
        <v>592</v>
      </c>
      <c r="X74" s="555" t="e">
        <f t="shared" si="48"/>
        <v>#VALUE!</v>
      </c>
      <c r="Y74" s="664"/>
      <c r="Z74" s="555" t="s">
        <v>592</v>
      </c>
      <c r="AA74" s="556" t="s">
        <v>592</v>
      </c>
      <c r="AB74" s="556" t="s">
        <v>592</v>
      </c>
      <c r="AC74" s="555" t="e">
        <f t="shared" si="50"/>
        <v>#VALUE!</v>
      </c>
      <c r="AD74" s="664"/>
      <c r="AE74" s="555" t="s">
        <v>592</v>
      </c>
      <c r="AF74" s="556" t="s">
        <v>592</v>
      </c>
      <c r="AG74" s="556" t="s">
        <v>592</v>
      </c>
      <c r="AH74" s="555" t="e">
        <f t="shared" si="52"/>
        <v>#VALUE!</v>
      </c>
      <c r="AI74" s="664"/>
      <c r="AJ74" s="555" t="s">
        <v>592</v>
      </c>
      <c r="AK74" s="556" t="s">
        <v>592</v>
      </c>
      <c r="AL74" s="556" t="s">
        <v>592</v>
      </c>
      <c r="AM74" s="555" t="e">
        <f t="shared" si="54"/>
        <v>#VALUE!</v>
      </c>
      <c r="AN74" s="664"/>
      <c r="AO74" s="555" t="s">
        <v>592</v>
      </c>
      <c r="AP74" s="556" t="s">
        <v>592</v>
      </c>
      <c r="AQ74" s="556" t="s">
        <v>592</v>
      </c>
      <c r="AR74" s="555" t="e">
        <f t="shared" si="56"/>
        <v>#VALUE!</v>
      </c>
      <c r="AS74" s="664"/>
      <c r="AT74" s="555" t="s">
        <v>592</v>
      </c>
      <c r="AU74" s="556" t="s">
        <v>592</v>
      </c>
      <c r="AV74" s="556" t="s">
        <v>592</v>
      </c>
      <c r="AW74" s="555" t="e">
        <f t="shared" si="58"/>
        <v>#VALUE!</v>
      </c>
      <c r="AX74" s="664"/>
      <c r="AZ74" s="372" t="e">
        <f t="shared" si="60"/>
        <v>#N/A</v>
      </c>
      <c r="BA74" s="664"/>
    </row>
    <row r="75" spans="2:53">
      <c r="B75" s="646"/>
      <c r="C75" s="384">
        <v>9</v>
      </c>
      <c r="D75" s="225"/>
      <c r="E75" s="539"/>
      <c r="F75" s="535"/>
      <c r="G75" s="534"/>
      <c r="H75" s="671"/>
      <c r="I75" s="385" t="str">
        <f t="shared" si="43"/>
        <v>-</v>
      </c>
      <c r="J75" s="385" t="str">
        <f t="shared" si="44"/>
        <v>-</v>
      </c>
      <c r="K75" s="199" t="str">
        <f t="shared" si="45"/>
        <v>-</v>
      </c>
      <c r="L75" s="617"/>
      <c r="M75" s="389" t="e">
        <f>RANK(K75, K$67:$K$81)</f>
        <v>#VALUE!</v>
      </c>
      <c r="N75" s="635"/>
      <c r="O75" s="635"/>
      <c r="P75" s="555" t="s">
        <v>592</v>
      </c>
      <c r="Q75" s="556" t="s">
        <v>592</v>
      </c>
      <c r="R75" s="556" t="s">
        <v>592</v>
      </c>
      <c r="S75" s="555" t="e">
        <f t="shared" si="46"/>
        <v>#VALUE!</v>
      </c>
      <c r="T75" s="664"/>
      <c r="U75" s="555" t="s">
        <v>592</v>
      </c>
      <c r="V75" s="556" t="s">
        <v>592</v>
      </c>
      <c r="W75" s="556" t="s">
        <v>592</v>
      </c>
      <c r="X75" s="555" t="e">
        <f t="shared" si="48"/>
        <v>#VALUE!</v>
      </c>
      <c r="Y75" s="664"/>
      <c r="Z75" s="555" t="s">
        <v>592</v>
      </c>
      <c r="AA75" s="556" t="s">
        <v>592</v>
      </c>
      <c r="AB75" s="556" t="s">
        <v>592</v>
      </c>
      <c r="AC75" s="555" t="e">
        <f t="shared" si="50"/>
        <v>#VALUE!</v>
      </c>
      <c r="AD75" s="664"/>
      <c r="AE75" s="555" t="s">
        <v>592</v>
      </c>
      <c r="AF75" s="556" t="s">
        <v>592</v>
      </c>
      <c r="AG75" s="556" t="s">
        <v>592</v>
      </c>
      <c r="AH75" s="555" t="e">
        <f t="shared" si="52"/>
        <v>#VALUE!</v>
      </c>
      <c r="AI75" s="664"/>
      <c r="AJ75" s="555" t="s">
        <v>592</v>
      </c>
      <c r="AK75" s="556" t="s">
        <v>592</v>
      </c>
      <c r="AL75" s="556" t="s">
        <v>592</v>
      </c>
      <c r="AM75" s="555" t="e">
        <f t="shared" si="54"/>
        <v>#VALUE!</v>
      </c>
      <c r="AN75" s="664"/>
      <c r="AO75" s="555" t="s">
        <v>592</v>
      </c>
      <c r="AP75" s="556" t="s">
        <v>592</v>
      </c>
      <c r="AQ75" s="556" t="s">
        <v>592</v>
      </c>
      <c r="AR75" s="555" t="e">
        <f t="shared" si="56"/>
        <v>#VALUE!</v>
      </c>
      <c r="AS75" s="664"/>
      <c r="AT75" s="555" t="s">
        <v>592</v>
      </c>
      <c r="AU75" s="556" t="s">
        <v>592</v>
      </c>
      <c r="AV75" s="556" t="s">
        <v>592</v>
      </c>
      <c r="AW75" s="555" t="e">
        <f t="shared" si="58"/>
        <v>#VALUE!</v>
      </c>
      <c r="AX75" s="664"/>
      <c r="AZ75" s="372" t="e">
        <f t="shared" si="60"/>
        <v>#N/A</v>
      </c>
      <c r="BA75" s="664"/>
    </row>
    <row r="76" spans="2:53">
      <c r="B76" s="646"/>
      <c r="C76" s="384">
        <v>10</v>
      </c>
      <c r="D76" s="225"/>
      <c r="E76" s="539"/>
      <c r="F76" s="535"/>
      <c r="G76" s="534"/>
      <c r="H76" s="671"/>
      <c r="I76" s="385" t="str">
        <f t="shared" si="43"/>
        <v>-</v>
      </c>
      <c r="J76" s="385" t="str">
        <f t="shared" si="44"/>
        <v>-</v>
      </c>
      <c r="K76" s="199" t="str">
        <f t="shared" si="45"/>
        <v>-</v>
      </c>
      <c r="L76" s="617"/>
      <c r="M76" s="389" t="e">
        <f>RANK(K76, K$67:$K$81)</f>
        <v>#VALUE!</v>
      </c>
      <c r="N76" s="635"/>
      <c r="O76" s="635"/>
      <c r="P76" s="555" t="s">
        <v>592</v>
      </c>
      <c r="Q76" s="556" t="s">
        <v>592</v>
      </c>
      <c r="R76" s="556" t="s">
        <v>592</v>
      </c>
      <c r="S76" s="555" t="e">
        <f t="shared" si="46"/>
        <v>#VALUE!</v>
      </c>
      <c r="T76" s="664"/>
      <c r="U76" s="555" t="s">
        <v>592</v>
      </c>
      <c r="V76" s="556" t="s">
        <v>592</v>
      </c>
      <c r="W76" s="556" t="s">
        <v>592</v>
      </c>
      <c r="X76" s="555" t="e">
        <f t="shared" si="48"/>
        <v>#VALUE!</v>
      </c>
      <c r="Y76" s="664"/>
      <c r="Z76" s="555" t="s">
        <v>592</v>
      </c>
      <c r="AA76" s="556" t="s">
        <v>592</v>
      </c>
      <c r="AB76" s="556" t="s">
        <v>592</v>
      </c>
      <c r="AC76" s="555" t="e">
        <f t="shared" si="50"/>
        <v>#VALUE!</v>
      </c>
      <c r="AD76" s="664"/>
      <c r="AE76" s="555" t="s">
        <v>592</v>
      </c>
      <c r="AF76" s="556" t="s">
        <v>592</v>
      </c>
      <c r="AG76" s="556" t="s">
        <v>592</v>
      </c>
      <c r="AH76" s="555" t="e">
        <f t="shared" si="52"/>
        <v>#VALUE!</v>
      </c>
      <c r="AI76" s="664"/>
      <c r="AJ76" s="555" t="s">
        <v>592</v>
      </c>
      <c r="AK76" s="556" t="s">
        <v>592</v>
      </c>
      <c r="AL76" s="556" t="s">
        <v>592</v>
      </c>
      <c r="AM76" s="555" t="e">
        <f t="shared" si="54"/>
        <v>#VALUE!</v>
      </c>
      <c r="AN76" s="664"/>
      <c r="AO76" s="555" t="s">
        <v>592</v>
      </c>
      <c r="AP76" s="556" t="s">
        <v>592</v>
      </c>
      <c r="AQ76" s="556" t="s">
        <v>592</v>
      </c>
      <c r="AR76" s="555" t="e">
        <f t="shared" si="56"/>
        <v>#VALUE!</v>
      </c>
      <c r="AS76" s="664"/>
      <c r="AT76" s="555" t="s">
        <v>592</v>
      </c>
      <c r="AU76" s="556" t="s">
        <v>592</v>
      </c>
      <c r="AV76" s="556" t="s">
        <v>592</v>
      </c>
      <c r="AW76" s="555" t="e">
        <f t="shared" si="58"/>
        <v>#VALUE!</v>
      </c>
      <c r="AX76" s="664"/>
      <c r="AZ76" s="372" t="e">
        <f t="shared" si="60"/>
        <v>#N/A</v>
      </c>
      <c r="BA76" s="664"/>
    </row>
    <row r="77" spans="2:53">
      <c r="B77" s="646"/>
      <c r="C77" s="384">
        <v>11</v>
      </c>
      <c r="D77" s="225"/>
      <c r="E77" s="539"/>
      <c r="F77" s="535"/>
      <c r="G77" s="534"/>
      <c r="H77" s="671"/>
      <c r="I77" s="385" t="str">
        <f t="shared" si="43"/>
        <v>-</v>
      </c>
      <c r="J77" s="385" t="str">
        <f t="shared" si="44"/>
        <v>-</v>
      </c>
      <c r="K77" s="199" t="str">
        <f t="shared" si="45"/>
        <v>-</v>
      </c>
      <c r="L77" s="617"/>
      <c r="M77" s="389" t="e">
        <f>RANK(K77, K$67:$K$81)</f>
        <v>#VALUE!</v>
      </c>
      <c r="N77" s="635"/>
      <c r="O77" s="635"/>
      <c r="P77" s="555" t="s">
        <v>592</v>
      </c>
      <c r="Q77" s="556" t="s">
        <v>592</v>
      </c>
      <c r="R77" s="556" t="s">
        <v>592</v>
      </c>
      <c r="S77" s="555" t="e">
        <f t="shared" si="46"/>
        <v>#VALUE!</v>
      </c>
      <c r="T77" s="664"/>
      <c r="U77" s="555" t="s">
        <v>592</v>
      </c>
      <c r="V77" s="556" t="s">
        <v>592</v>
      </c>
      <c r="W77" s="556" t="s">
        <v>592</v>
      </c>
      <c r="X77" s="555" t="e">
        <f t="shared" si="48"/>
        <v>#VALUE!</v>
      </c>
      <c r="Y77" s="664"/>
      <c r="Z77" s="555" t="s">
        <v>592</v>
      </c>
      <c r="AA77" s="556" t="s">
        <v>592</v>
      </c>
      <c r="AB77" s="556" t="s">
        <v>592</v>
      </c>
      <c r="AC77" s="555" t="e">
        <f t="shared" si="50"/>
        <v>#VALUE!</v>
      </c>
      <c r="AD77" s="664"/>
      <c r="AE77" s="555" t="s">
        <v>592</v>
      </c>
      <c r="AF77" s="556" t="s">
        <v>592</v>
      </c>
      <c r="AG77" s="556" t="s">
        <v>592</v>
      </c>
      <c r="AH77" s="555" t="e">
        <f t="shared" si="52"/>
        <v>#VALUE!</v>
      </c>
      <c r="AI77" s="664"/>
      <c r="AJ77" s="555" t="s">
        <v>592</v>
      </c>
      <c r="AK77" s="556" t="s">
        <v>592</v>
      </c>
      <c r="AL77" s="556" t="s">
        <v>592</v>
      </c>
      <c r="AM77" s="555" t="e">
        <f t="shared" si="54"/>
        <v>#VALUE!</v>
      </c>
      <c r="AN77" s="664"/>
      <c r="AO77" s="555" t="s">
        <v>592</v>
      </c>
      <c r="AP77" s="556" t="s">
        <v>592</v>
      </c>
      <c r="AQ77" s="556" t="s">
        <v>592</v>
      </c>
      <c r="AR77" s="555" t="e">
        <f t="shared" si="56"/>
        <v>#VALUE!</v>
      </c>
      <c r="AS77" s="664"/>
      <c r="AT77" s="555" t="s">
        <v>592</v>
      </c>
      <c r="AU77" s="556" t="s">
        <v>592</v>
      </c>
      <c r="AV77" s="556" t="s">
        <v>592</v>
      </c>
      <c r="AW77" s="555" t="e">
        <f t="shared" si="58"/>
        <v>#VALUE!</v>
      </c>
      <c r="AX77" s="664"/>
      <c r="AZ77" s="372" t="e">
        <f t="shared" si="60"/>
        <v>#N/A</v>
      </c>
      <c r="BA77" s="664"/>
    </row>
    <row r="78" spans="2:53">
      <c r="B78" s="646"/>
      <c r="C78" s="384">
        <v>12</v>
      </c>
      <c r="D78" s="225"/>
      <c r="E78" s="539"/>
      <c r="F78" s="535"/>
      <c r="G78" s="534"/>
      <c r="H78" s="671"/>
      <c r="I78" s="385" t="str">
        <f t="shared" si="43"/>
        <v>-</v>
      </c>
      <c r="J78" s="385" t="str">
        <f t="shared" si="44"/>
        <v>-</v>
      </c>
      <c r="K78" s="199" t="str">
        <f t="shared" si="45"/>
        <v>-</v>
      </c>
      <c r="L78" s="617"/>
      <c r="M78" s="389" t="e">
        <f>RANK(K78, K$67:$K$81)</f>
        <v>#VALUE!</v>
      </c>
      <c r="N78" s="635"/>
      <c r="O78" s="635"/>
      <c r="P78" s="555" t="s">
        <v>592</v>
      </c>
      <c r="Q78" s="556" t="s">
        <v>592</v>
      </c>
      <c r="R78" s="556" t="s">
        <v>592</v>
      </c>
      <c r="S78" s="555" t="e">
        <f t="shared" si="46"/>
        <v>#VALUE!</v>
      </c>
      <c r="T78" s="664"/>
      <c r="U78" s="555" t="s">
        <v>592</v>
      </c>
      <c r="V78" s="556" t="s">
        <v>592</v>
      </c>
      <c r="W78" s="556" t="s">
        <v>592</v>
      </c>
      <c r="X78" s="555" t="e">
        <f t="shared" si="48"/>
        <v>#VALUE!</v>
      </c>
      <c r="Y78" s="664"/>
      <c r="Z78" s="555" t="s">
        <v>592</v>
      </c>
      <c r="AA78" s="556" t="s">
        <v>592</v>
      </c>
      <c r="AB78" s="556" t="s">
        <v>592</v>
      </c>
      <c r="AC78" s="555" t="e">
        <f t="shared" si="50"/>
        <v>#VALUE!</v>
      </c>
      <c r="AD78" s="664"/>
      <c r="AE78" s="555" t="s">
        <v>592</v>
      </c>
      <c r="AF78" s="556" t="s">
        <v>592</v>
      </c>
      <c r="AG78" s="556" t="s">
        <v>592</v>
      </c>
      <c r="AH78" s="555" t="e">
        <f t="shared" si="52"/>
        <v>#VALUE!</v>
      </c>
      <c r="AI78" s="664"/>
      <c r="AJ78" s="555" t="s">
        <v>592</v>
      </c>
      <c r="AK78" s="556" t="s">
        <v>592</v>
      </c>
      <c r="AL78" s="556" t="s">
        <v>592</v>
      </c>
      <c r="AM78" s="555" t="e">
        <f t="shared" si="54"/>
        <v>#VALUE!</v>
      </c>
      <c r="AN78" s="664"/>
      <c r="AO78" s="555" t="s">
        <v>592</v>
      </c>
      <c r="AP78" s="556" t="s">
        <v>592</v>
      </c>
      <c r="AQ78" s="556" t="s">
        <v>592</v>
      </c>
      <c r="AR78" s="555" t="e">
        <f t="shared" si="56"/>
        <v>#VALUE!</v>
      </c>
      <c r="AS78" s="664"/>
      <c r="AT78" s="555" t="s">
        <v>592</v>
      </c>
      <c r="AU78" s="556" t="s">
        <v>592</v>
      </c>
      <c r="AV78" s="556" t="s">
        <v>592</v>
      </c>
      <c r="AW78" s="555" t="e">
        <f t="shared" si="58"/>
        <v>#VALUE!</v>
      </c>
      <c r="AX78" s="664"/>
      <c r="AZ78" s="372" t="e">
        <f t="shared" si="60"/>
        <v>#N/A</v>
      </c>
      <c r="BA78" s="664"/>
    </row>
    <row r="79" spans="2:53">
      <c r="B79" s="646"/>
      <c r="C79" s="384">
        <v>13</v>
      </c>
      <c r="D79" s="225"/>
      <c r="E79" s="539"/>
      <c r="F79" s="535"/>
      <c r="G79" s="534"/>
      <c r="H79" s="671"/>
      <c r="I79" s="385" t="str">
        <f t="shared" si="43"/>
        <v>-</v>
      </c>
      <c r="J79" s="385" t="str">
        <f t="shared" si="44"/>
        <v>-</v>
      </c>
      <c r="K79" s="199" t="str">
        <f t="shared" si="45"/>
        <v>-</v>
      </c>
      <c r="L79" s="617"/>
      <c r="M79" s="389" t="e">
        <f>RANK(K79, K$67:$K$81)</f>
        <v>#VALUE!</v>
      </c>
      <c r="N79" s="635"/>
      <c r="O79" s="635"/>
      <c r="P79" s="555" t="s">
        <v>592</v>
      </c>
      <c r="Q79" s="556" t="s">
        <v>592</v>
      </c>
      <c r="R79" s="556" t="s">
        <v>592</v>
      </c>
      <c r="S79" s="555" t="e">
        <f t="shared" si="46"/>
        <v>#VALUE!</v>
      </c>
      <c r="T79" s="664"/>
      <c r="U79" s="555" t="s">
        <v>592</v>
      </c>
      <c r="V79" s="556" t="s">
        <v>592</v>
      </c>
      <c r="W79" s="556" t="s">
        <v>592</v>
      </c>
      <c r="X79" s="555" t="e">
        <f t="shared" si="48"/>
        <v>#VALUE!</v>
      </c>
      <c r="Y79" s="664"/>
      <c r="Z79" s="555" t="s">
        <v>592</v>
      </c>
      <c r="AA79" s="556" t="s">
        <v>592</v>
      </c>
      <c r="AB79" s="556" t="s">
        <v>592</v>
      </c>
      <c r="AC79" s="555" t="e">
        <f t="shared" si="50"/>
        <v>#VALUE!</v>
      </c>
      <c r="AD79" s="664"/>
      <c r="AE79" s="555" t="s">
        <v>592</v>
      </c>
      <c r="AF79" s="556" t="s">
        <v>592</v>
      </c>
      <c r="AG79" s="556" t="s">
        <v>592</v>
      </c>
      <c r="AH79" s="555" t="e">
        <f t="shared" si="52"/>
        <v>#VALUE!</v>
      </c>
      <c r="AI79" s="664"/>
      <c r="AJ79" s="555" t="s">
        <v>592</v>
      </c>
      <c r="AK79" s="556" t="s">
        <v>592</v>
      </c>
      <c r="AL79" s="556" t="s">
        <v>592</v>
      </c>
      <c r="AM79" s="555" t="e">
        <f t="shared" si="54"/>
        <v>#VALUE!</v>
      </c>
      <c r="AN79" s="664"/>
      <c r="AO79" s="555" t="s">
        <v>592</v>
      </c>
      <c r="AP79" s="556" t="s">
        <v>592</v>
      </c>
      <c r="AQ79" s="556" t="s">
        <v>592</v>
      </c>
      <c r="AR79" s="555" t="e">
        <f t="shared" si="56"/>
        <v>#VALUE!</v>
      </c>
      <c r="AS79" s="664"/>
      <c r="AT79" s="555" t="s">
        <v>592</v>
      </c>
      <c r="AU79" s="556" t="s">
        <v>592</v>
      </c>
      <c r="AV79" s="556" t="s">
        <v>592</v>
      </c>
      <c r="AW79" s="555" t="e">
        <f t="shared" si="58"/>
        <v>#VALUE!</v>
      </c>
      <c r="AX79" s="664"/>
      <c r="AZ79" s="372" t="e">
        <f t="shared" si="60"/>
        <v>#N/A</v>
      </c>
      <c r="BA79" s="664"/>
    </row>
    <row r="80" spans="2:53">
      <c r="B80" s="646"/>
      <c r="C80" s="384">
        <v>14</v>
      </c>
      <c r="D80" s="225"/>
      <c r="E80" s="539"/>
      <c r="F80" s="535"/>
      <c r="G80" s="534"/>
      <c r="H80" s="671"/>
      <c r="I80" s="385" t="str">
        <f t="shared" si="43"/>
        <v>-</v>
      </c>
      <c r="J80" s="385" t="str">
        <f t="shared" si="44"/>
        <v>-</v>
      </c>
      <c r="K80" s="199" t="str">
        <f t="shared" si="45"/>
        <v>-</v>
      </c>
      <c r="L80" s="617"/>
      <c r="M80" s="389" t="e">
        <f>RANK(K80, K$67:$K$81)</f>
        <v>#VALUE!</v>
      </c>
      <c r="N80" s="635"/>
      <c r="O80" s="635"/>
      <c r="P80" s="555" t="s">
        <v>592</v>
      </c>
      <c r="Q80" s="556" t="s">
        <v>592</v>
      </c>
      <c r="R80" s="556" t="s">
        <v>592</v>
      </c>
      <c r="S80" s="555" t="e">
        <f t="shared" si="46"/>
        <v>#VALUE!</v>
      </c>
      <c r="T80" s="664"/>
      <c r="U80" s="555" t="s">
        <v>592</v>
      </c>
      <c r="V80" s="556" t="s">
        <v>592</v>
      </c>
      <c r="W80" s="556" t="s">
        <v>592</v>
      </c>
      <c r="X80" s="555" t="e">
        <f t="shared" si="48"/>
        <v>#VALUE!</v>
      </c>
      <c r="Y80" s="664"/>
      <c r="Z80" s="555" t="s">
        <v>592</v>
      </c>
      <c r="AA80" s="556" t="s">
        <v>592</v>
      </c>
      <c r="AB80" s="556" t="s">
        <v>592</v>
      </c>
      <c r="AC80" s="555" t="e">
        <f t="shared" si="50"/>
        <v>#VALUE!</v>
      </c>
      <c r="AD80" s="664"/>
      <c r="AE80" s="555" t="s">
        <v>592</v>
      </c>
      <c r="AF80" s="556" t="s">
        <v>592</v>
      </c>
      <c r="AG80" s="556" t="s">
        <v>592</v>
      </c>
      <c r="AH80" s="555" t="e">
        <f t="shared" si="52"/>
        <v>#VALUE!</v>
      </c>
      <c r="AI80" s="664"/>
      <c r="AJ80" s="555" t="s">
        <v>592</v>
      </c>
      <c r="AK80" s="556" t="s">
        <v>592</v>
      </c>
      <c r="AL80" s="556" t="s">
        <v>592</v>
      </c>
      <c r="AM80" s="555" t="e">
        <f t="shared" si="54"/>
        <v>#VALUE!</v>
      </c>
      <c r="AN80" s="664"/>
      <c r="AO80" s="555" t="s">
        <v>592</v>
      </c>
      <c r="AP80" s="556" t="s">
        <v>592</v>
      </c>
      <c r="AQ80" s="556" t="s">
        <v>592</v>
      </c>
      <c r="AR80" s="555" t="e">
        <f t="shared" si="56"/>
        <v>#VALUE!</v>
      </c>
      <c r="AS80" s="664"/>
      <c r="AT80" s="555" t="s">
        <v>592</v>
      </c>
      <c r="AU80" s="556" t="s">
        <v>592</v>
      </c>
      <c r="AV80" s="556" t="s">
        <v>592</v>
      </c>
      <c r="AW80" s="555" t="e">
        <f t="shared" si="58"/>
        <v>#VALUE!</v>
      </c>
      <c r="AX80" s="664"/>
      <c r="AZ80" s="372" t="e">
        <f t="shared" si="60"/>
        <v>#N/A</v>
      </c>
      <c r="BA80" s="664"/>
    </row>
    <row r="81" spans="2:53">
      <c r="B81" s="646"/>
      <c r="C81" s="384">
        <v>15</v>
      </c>
      <c r="D81" s="225"/>
      <c r="E81" s="539"/>
      <c r="F81" s="535"/>
      <c r="G81" s="534"/>
      <c r="H81" s="680"/>
      <c r="I81" s="384"/>
      <c r="J81" s="384"/>
      <c r="K81" s="384"/>
      <c r="L81" s="618"/>
      <c r="M81" s="389" t="e">
        <f>RANK(K81, K$67:$K$81)</f>
        <v>#N/A</v>
      </c>
      <c r="N81" s="635"/>
      <c r="O81" s="635"/>
      <c r="P81" s="555" t="s">
        <v>592</v>
      </c>
      <c r="Q81" s="556" t="s">
        <v>592</v>
      </c>
      <c r="R81" s="556" t="s">
        <v>592</v>
      </c>
      <c r="S81" s="555" t="e">
        <f t="shared" si="46"/>
        <v>#VALUE!</v>
      </c>
      <c r="T81" s="665"/>
      <c r="U81" s="555" t="s">
        <v>592</v>
      </c>
      <c r="V81" s="556" t="s">
        <v>592</v>
      </c>
      <c r="W81" s="556" t="s">
        <v>592</v>
      </c>
      <c r="X81" s="555" t="e">
        <f t="shared" si="48"/>
        <v>#VALUE!</v>
      </c>
      <c r="Y81" s="665"/>
      <c r="Z81" s="555" t="s">
        <v>592</v>
      </c>
      <c r="AA81" s="556" t="s">
        <v>592</v>
      </c>
      <c r="AB81" s="556" t="s">
        <v>592</v>
      </c>
      <c r="AC81" s="555" t="e">
        <f t="shared" si="50"/>
        <v>#VALUE!</v>
      </c>
      <c r="AD81" s="665"/>
      <c r="AE81" s="555" t="s">
        <v>592</v>
      </c>
      <c r="AF81" s="556" t="s">
        <v>592</v>
      </c>
      <c r="AG81" s="556" t="s">
        <v>592</v>
      </c>
      <c r="AH81" s="555" t="e">
        <f t="shared" si="52"/>
        <v>#VALUE!</v>
      </c>
      <c r="AI81" s="665"/>
      <c r="AJ81" s="555" t="s">
        <v>592</v>
      </c>
      <c r="AK81" s="556" t="s">
        <v>592</v>
      </c>
      <c r="AL81" s="556" t="s">
        <v>592</v>
      </c>
      <c r="AM81" s="555" t="e">
        <f t="shared" si="54"/>
        <v>#VALUE!</v>
      </c>
      <c r="AN81" s="665"/>
      <c r="AO81" s="555" t="s">
        <v>592</v>
      </c>
      <c r="AP81" s="556" t="s">
        <v>592</v>
      </c>
      <c r="AQ81" s="556" t="s">
        <v>592</v>
      </c>
      <c r="AR81" s="555" t="e">
        <f t="shared" si="56"/>
        <v>#VALUE!</v>
      </c>
      <c r="AS81" s="665"/>
      <c r="AT81" s="555" t="s">
        <v>592</v>
      </c>
      <c r="AU81" s="556" t="s">
        <v>592</v>
      </c>
      <c r="AV81" s="556" t="s">
        <v>592</v>
      </c>
      <c r="AW81" s="555" t="e">
        <f t="shared" si="58"/>
        <v>#VALUE!</v>
      </c>
      <c r="AX81" s="665"/>
      <c r="AZ81" s="372" t="e">
        <f t="shared" si="60"/>
        <v>#N/A</v>
      </c>
      <c r="BA81" s="665"/>
    </row>
    <row r="82" spans="2:53" ht="15.75">
      <c r="B82" s="650" t="s">
        <v>162</v>
      </c>
      <c r="C82" s="651"/>
      <c r="D82" s="651"/>
      <c r="E82" s="651"/>
      <c r="F82" s="651"/>
      <c r="G82" s="651"/>
      <c r="H82" s="652"/>
      <c r="I82" s="207"/>
      <c r="J82" s="207"/>
      <c r="K82" s="207"/>
      <c r="L82" s="207"/>
      <c r="M82" s="206"/>
      <c r="N82" s="639" t="s">
        <v>156</v>
      </c>
      <c r="O82" s="639" t="s">
        <v>105</v>
      </c>
      <c r="P82" s="645">
        <f>P62+7</f>
        <v>46231</v>
      </c>
      <c r="Q82" s="646"/>
      <c r="R82" s="646"/>
      <c r="S82" s="646"/>
      <c r="T82" s="646"/>
      <c r="U82" s="642">
        <f>P82+1</f>
        <v>46232</v>
      </c>
      <c r="V82" s="643"/>
      <c r="W82" s="643"/>
      <c r="X82" s="643"/>
      <c r="Y82" s="644"/>
      <c r="Z82" s="642">
        <f>U82+1</f>
        <v>46233</v>
      </c>
      <c r="AA82" s="643"/>
      <c r="AB82" s="643"/>
      <c r="AC82" s="643"/>
      <c r="AD82" s="644"/>
      <c r="AE82" s="642">
        <f>Z82+1</f>
        <v>46234</v>
      </c>
      <c r="AF82" s="643"/>
      <c r="AG82" s="643"/>
      <c r="AH82" s="643"/>
      <c r="AI82" s="644"/>
      <c r="AJ82" s="642">
        <f>AE82+1</f>
        <v>46235</v>
      </c>
      <c r="AK82" s="643"/>
      <c r="AL82" s="643"/>
      <c r="AM82" s="643"/>
      <c r="AN82" s="644"/>
      <c r="AO82" s="642">
        <f>AJ82+1</f>
        <v>46236</v>
      </c>
      <c r="AP82" s="643"/>
      <c r="AQ82" s="643"/>
      <c r="AR82" s="643"/>
      <c r="AS82" s="644"/>
      <c r="AT82" s="642">
        <f>AO82+1</f>
        <v>46237</v>
      </c>
      <c r="AU82" s="643"/>
      <c r="AV82" s="643"/>
      <c r="AW82" s="643"/>
      <c r="AX82" s="644"/>
    </row>
    <row r="83" spans="2:53" ht="15.75">
      <c r="B83" s="653"/>
      <c r="C83" s="653"/>
      <c r="D83" s="653"/>
      <c r="E83" s="653"/>
      <c r="F83" s="653"/>
      <c r="G83" s="653"/>
      <c r="H83" s="653"/>
      <c r="I83" s="204"/>
      <c r="J83" s="204"/>
      <c r="K83" s="204"/>
      <c r="L83" s="204"/>
      <c r="M83" s="205"/>
      <c r="N83" s="641"/>
      <c r="O83" s="641"/>
      <c r="P83" s="645" t="s">
        <v>317</v>
      </c>
      <c r="Q83" s="646"/>
      <c r="R83" s="646"/>
      <c r="S83" s="646"/>
      <c r="T83" s="646"/>
      <c r="U83" s="645" t="s">
        <v>318</v>
      </c>
      <c r="V83" s="646"/>
      <c r="W83" s="646"/>
      <c r="X83" s="646"/>
      <c r="Y83" s="646"/>
      <c r="Z83" s="645" t="s">
        <v>319</v>
      </c>
      <c r="AA83" s="646"/>
      <c r="AB83" s="646"/>
      <c r="AC83" s="646"/>
      <c r="AD83" s="646"/>
      <c r="AE83" s="645" t="s">
        <v>320</v>
      </c>
      <c r="AF83" s="646"/>
      <c r="AG83" s="646"/>
      <c r="AH83" s="646"/>
      <c r="AI83" s="646"/>
      <c r="AJ83" s="645" t="s">
        <v>321</v>
      </c>
      <c r="AK83" s="646"/>
      <c r="AL83" s="646"/>
      <c r="AM83" s="646"/>
      <c r="AN83" s="646"/>
      <c r="AO83" s="645" t="s">
        <v>322</v>
      </c>
      <c r="AP83" s="646"/>
      <c r="AQ83" s="646"/>
      <c r="AR83" s="646"/>
      <c r="AS83" s="646"/>
      <c r="AT83" s="645" t="s">
        <v>323</v>
      </c>
      <c r="AU83" s="646"/>
      <c r="AV83" s="646"/>
      <c r="AW83" s="646"/>
      <c r="AX83" s="646"/>
    </row>
    <row r="84" spans="2:53">
      <c r="B84" s="635" t="s">
        <v>392</v>
      </c>
      <c r="C84" s="635" t="s">
        <v>536</v>
      </c>
      <c r="D84" s="635"/>
      <c r="E84" s="635" t="s">
        <v>537</v>
      </c>
      <c r="F84" s="635"/>
      <c r="G84" s="635"/>
      <c r="H84" s="636" t="s">
        <v>538</v>
      </c>
      <c r="I84" s="635" t="s">
        <v>539</v>
      </c>
      <c r="J84" s="635"/>
      <c r="K84" s="635"/>
      <c r="L84" s="636" t="s">
        <v>369</v>
      </c>
      <c r="M84" s="639" t="s">
        <v>540</v>
      </c>
      <c r="N84" s="635"/>
      <c r="O84" s="635" t="s">
        <v>541</v>
      </c>
      <c r="P84" s="632" t="s">
        <v>371</v>
      </c>
      <c r="Q84" s="633"/>
      <c r="R84" s="633"/>
      <c r="S84" s="634"/>
      <c r="T84" s="635" t="s">
        <v>369</v>
      </c>
      <c r="U84" s="632" t="s">
        <v>371</v>
      </c>
      <c r="V84" s="633"/>
      <c r="W84" s="633"/>
      <c r="X84" s="634"/>
      <c r="Y84" s="635" t="s">
        <v>369</v>
      </c>
      <c r="Z84" s="632" t="s">
        <v>371</v>
      </c>
      <c r="AA84" s="633"/>
      <c r="AB84" s="633"/>
      <c r="AC84" s="634"/>
      <c r="AD84" s="635" t="s">
        <v>369</v>
      </c>
      <c r="AE84" s="632" t="s">
        <v>371</v>
      </c>
      <c r="AF84" s="633"/>
      <c r="AG84" s="633"/>
      <c r="AH84" s="634"/>
      <c r="AI84" s="635" t="s">
        <v>369</v>
      </c>
      <c r="AJ84" s="632" t="s">
        <v>371</v>
      </c>
      <c r="AK84" s="633"/>
      <c r="AL84" s="633"/>
      <c r="AM84" s="634"/>
      <c r="AN84" s="635" t="s">
        <v>369</v>
      </c>
      <c r="AO84" s="632" t="s">
        <v>371</v>
      </c>
      <c r="AP84" s="633"/>
      <c r="AQ84" s="633"/>
      <c r="AR84" s="634"/>
      <c r="AS84" s="635" t="s">
        <v>369</v>
      </c>
      <c r="AT84" s="632" t="s">
        <v>371</v>
      </c>
      <c r="AU84" s="633"/>
      <c r="AV84" s="633"/>
      <c r="AW84" s="634"/>
      <c r="AX84" s="635" t="s">
        <v>369</v>
      </c>
      <c r="BA84" s="635" t="s">
        <v>369</v>
      </c>
    </row>
    <row r="85" spans="2:53">
      <c r="B85" s="635"/>
      <c r="C85" s="635"/>
      <c r="D85" s="635"/>
      <c r="E85" s="635" t="s">
        <v>542</v>
      </c>
      <c r="F85" s="635"/>
      <c r="G85" s="635"/>
      <c r="H85" s="637"/>
      <c r="I85" s="635" t="s">
        <v>542</v>
      </c>
      <c r="J85" s="635"/>
      <c r="K85" s="635"/>
      <c r="L85" s="637"/>
      <c r="M85" s="640"/>
      <c r="N85" s="635"/>
      <c r="O85" s="635"/>
      <c r="P85" s="632" t="s">
        <v>377</v>
      </c>
      <c r="Q85" s="633"/>
      <c r="R85" s="633"/>
      <c r="S85" s="634"/>
      <c r="T85" s="635"/>
      <c r="U85" s="632" t="s">
        <v>377</v>
      </c>
      <c r="V85" s="633"/>
      <c r="W85" s="633"/>
      <c r="X85" s="634"/>
      <c r="Y85" s="635"/>
      <c r="Z85" s="632" t="s">
        <v>377</v>
      </c>
      <c r="AA85" s="633"/>
      <c r="AB85" s="633"/>
      <c r="AC85" s="634"/>
      <c r="AD85" s="635"/>
      <c r="AE85" s="632" t="s">
        <v>377</v>
      </c>
      <c r="AF85" s="633"/>
      <c r="AG85" s="633"/>
      <c r="AH85" s="634"/>
      <c r="AI85" s="635"/>
      <c r="AJ85" s="632" t="s">
        <v>377</v>
      </c>
      <c r="AK85" s="633"/>
      <c r="AL85" s="633"/>
      <c r="AM85" s="634"/>
      <c r="AN85" s="635"/>
      <c r="AO85" s="632" t="s">
        <v>377</v>
      </c>
      <c r="AP85" s="633"/>
      <c r="AQ85" s="633"/>
      <c r="AR85" s="634"/>
      <c r="AS85" s="635"/>
      <c r="AT85" s="632" t="s">
        <v>377</v>
      </c>
      <c r="AU85" s="633"/>
      <c r="AV85" s="633"/>
      <c r="AW85" s="634"/>
      <c r="AX85" s="635"/>
      <c r="BA85" s="635"/>
    </row>
    <row r="86" spans="2:53">
      <c r="B86" s="635"/>
      <c r="C86" s="635"/>
      <c r="D86" s="635"/>
      <c r="E86" s="382" t="s">
        <v>543</v>
      </c>
      <c r="F86" s="382" t="s">
        <v>544</v>
      </c>
      <c r="G86" s="382" t="s">
        <v>545</v>
      </c>
      <c r="H86" s="638"/>
      <c r="I86" s="382" t="s">
        <v>543</v>
      </c>
      <c r="J86" s="382" t="s">
        <v>544</v>
      </c>
      <c r="K86" s="382" t="s">
        <v>545</v>
      </c>
      <c r="L86" s="638"/>
      <c r="M86" s="641"/>
      <c r="N86" s="635"/>
      <c r="O86" s="635"/>
      <c r="P86" s="382" t="s">
        <v>378</v>
      </c>
      <c r="Q86" s="382" t="s">
        <v>379</v>
      </c>
      <c r="R86" s="382" t="s">
        <v>380</v>
      </c>
      <c r="S86" s="382" t="s">
        <v>370</v>
      </c>
      <c r="T86" s="635"/>
      <c r="U86" s="382" t="s">
        <v>378</v>
      </c>
      <c r="V86" s="382" t="s">
        <v>379</v>
      </c>
      <c r="W86" s="382" t="s">
        <v>380</v>
      </c>
      <c r="X86" s="382" t="s">
        <v>370</v>
      </c>
      <c r="Y86" s="635"/>
      <c r="Z86" s="382" t="s">
        <v>378</v>
      </c>
      <c r="AA86" s="382" t="s">
        <v>379</v>
      </c>
      <c r="AB86" s="382" t="s">
        <v>380</v>
      </c>
      <c r="AC86" s="382" t="s">
        <v>370</v>
      </c>
      <c r="AD86" s="635"/>
      <c r="AE86" s="382" t="s">
        <v>378</v>
      </c>
      <c r="AF86" s="382" t="s">
        <v>379</v>
      </c>
      <c r="AG86" s="382" t="s">
        <v>380</v>
      </c>
      <c r="AH86" s="382" t="s">
        <v>370</v>
      </c>
      <c r="AI86" s="635"/>
      <c r="AJ86" s="382" t="s">
        <v>378</v>
      </c>
      <c r="AK86" s="382" t="s">
        <v>379</v>
      </c>
      <c r="AL86" s="382" t="s">
        <v>380</v>
      </c>
      <c r="AM86" s="382" t="s">
        <v>370</v>
      </c>
      <c r="AN86" s="635"/>
      <c r="AO86" s="382" t="s">
        <v>378</v>
      </c>
      <c r="AP86" s="382" t="s">
        <v>379</v>
      </c>
      <c r="AQ86" s="382" t="s">
        <v>380</v>
      </c>
      <c r="AR86" s="382" t="s">
        <v>370</v>
      </c>
      <c r="AS86" s="635"/>
      <c r="AT86" s="382" t="s">
        <v>378</v>
      </c>
      <c r="AU86" s="382" t="s">
        <v>379</v>
      </c>
      <c r="AV86" s="382" t="s">
        <v>380</v>
      </c>
      <c r="AW86" s="382" t="s">
        <v>370</v>
      </c>
      <c r="AX86" s="635"/>
      <c r="AZ86" s="371" t="s">
        <v>370</v>
      </c>
      <c r="BA86" s="635"/>
    </row>
    <row r="87" spans="2:53">
      <c r="B87" s="635" t="s">
        <v>409</v>
      </c>
      <c r="C87" s="384">
        <v>1</v>
      </c>
      <c r="D87" s="225"/>
      <c r="E87" s="539"/>
      <c r="F87" s="535"/>
      <c r="G87" s="534"/>
      <c r="H87" s="670" t="e">
        <f>AVERAGE(G87:G101)</f>
        <v>#DIV/0!</v>
      </c>
      <c r="I87" s="385" t="str">
        <f t="shared" ref="I87:I100" si="62">IFERROR(AVERAGE(P87,U87,Z87,AE87,AJ87,AO87,AT87),"-")</f>
        <v>-</v>
      </c>
      <c r="J87" s="385" t="str">
        <f t="shared" ref="J87:J100" si="63">IFERROR(AVERAGE(Q87,V87,AA87,AF87,AK87,AP87,AU87),"-")</f>
        <v>-</v>
      </c>
      <c r="K87" s="199" t="str">
        <f t="shared" ref="K87:K100" si="64">IFERROR(AVERAGE(R87,W87,AB87,AG87,AL87,AQ87,AV87),"-")</f>
        <v>-</v>
      </c>
      <c r="L87" s="616" t="str">
        <f>IFERROR(AVERAGE(K87:K101),"-")</f>
        <v>-</v>
      </c>
      <c r="M87" s="389" t="e">
        <f>RANK(K87, K$87:$K$101)</f>
        <v>#VALUE!</v>
      </c>
      <c r="N87" s="635"/>
      <c r="O87" s="635"/>
      <c r="P87" s="484"/>
      <c r="Q87" s="487"/>
      <c r="R87" s="487"/>
      <c r="S87" s="484"/>
      <c r="T87" s="659"/>
      <c r="U87" s="484"/>
      <c r="V87" s="487"/>
      <c r="W87" s="487"/>
      <c r="X87" s="484"/>
      <c r="Y87" s="659"/>
      <c r="Z87" s="484"/>
      <c r="AA87" s="487"/>
      <c r="AB87" s="487"/>
      <c r="AC87" s="484"/>
      <c r="AD87" s="659"/>
      <c r="AE87" s="484"/>
      <c r="AF87" s="487"/>
      <c r="AG87" s="487"/>
      <c r="AH87" s="484"/>
      <c r="AI87" s="659"/>
      <c r="AJ87" s="484"/>
      <c r="AK87" s="487"/>
      <c r="AL87" s="487"/>
      <c r="AM87" s="484"/>
      <c r="AN87" s="659"/>
      <c r="AO87" s="484"/>
      <c r="AP87" s="487"/>
      <c r="AQ87" s="487"/>
      <c r="AR87" s="484"/>
      <c r="AS87" s="659"/>
      <c r="AT87" s="484"/>
      <c r="AU87" s="487"/>
      <c r="AV87" s="487"/>
      <c r="AW87" s="484"/>
      <c r="AX87" s="659"/>
      <c r="AZ87" s="372" t="e">
        <f t="shared" ref="AZ87:AZ101" si="65">RANK(AY87, AY$87:AY$101)</f>
        <v>#N/A</v>
      </c>
      <c r="BA87" s="659" t="e">
        <f t="shared" ref="BA87" si="66">AVERAGE(AY87:AY101)</f>
        <v>#DIV/0!</v>
      </c>
    </row>
    <row r="88" spans="2:53">
      <c r="B88" s="646"/>
      <c r="C88" s="384">
        <v>2</v>
      </c>
      <c r="D88" s="225"/>
      <c r="E88" s="539"/>
      <c r="F88" s="535"/>
      <c r="G88" s="534"/>
      <c r="H88" s="671"/>
      <c r="I88" s="385" t="str">
        <f t="shared" si="62"/>
        <v>-</v>
      </c>
      <c r="J88" s="385" t="str">
        <f t="shared" si="63"/>
        <v>-</v>
      </c>
      <c r="K88" s="199" t="str">
        <f t="shared" si="64"/>
        <v>-</v>
      </c>
      <c r="L88" s="617"/>
      <c r="M88" s="438" t="e">
        <f>RANK(K88, K$87:$K$101)</f>
        <v>#VALUE!</v>
      </c>
      <c r="N88" s="635"/>
      <c r="O88" s="635"/>
      <c r="P88" s="484"/>
      <c r="Q88" s="487"/>
      <c r="R88" s="487"/>
      <c r="S88" s="484"/>
      <c r="T88" s="659"/>
      <c r="U88" s="484"/>
      <c r="V88" s="487"/>
      <c r="W88" s="487"/>
      <c r="X88" s="484"/>
      <c r="Y88" s="659"/>
      <c r="Z88" s="484"/>
      <c r="AA88" s="487"/>
      <c r="AB88" s="487"/>
      <c r="AC88" s="484"/>
      <c r="AD88" s="659"/>
      <c r="AE88" s="484"/>
      <c r="AF88" s="487"/>
      <c r="AG88" s="487"/>
      <c r="AH88" s="484"/>
      <c r="AI88" s="659"/>
      <c r="AJ88" s="484"/>
      <c r="AK88" s="487"/>
      <c r="AL88" s="487"/>
      <c r="AM88" s="484"/>
      <c r="AN88" s="659"/>
      <c r="AO88" s="484"/>
      <c r="AP88" s="487"/>
      <c r="AQ88" s="487"/>
      <c r="AR88" s="484"/>
      <c r="AS88" s="659"/>
      <c r="AT88" s="484"/>
      <c r="AU88" s="487"/>
      <c r="AV88" s="487"/>
      <c r="AW88" s="484"/>
      <c r="AX88" s="659"/>
      <c r="AZ88" s="372" t="e">
        <f t="shared" si="65"/>
        <v>#N/A</v>
      </c>
      <c r="BA88" s="659"/>
    </row>
    <row r="89" spans="2:53">
      <c r="B89" s="646"/>
      <c r="C89" s="384">
        <v>3</v>
      </c>
      <c r="D89" s="225"/>
      <c r="E89" s="539"/>
      <c r="F89" s="535"/>
      <c r="G89" s="534"/>
      <c r="H89" s="671"/>
      <c r="I89" s="385" t="str">
        <f t="shared" si="62"/>
        <v>-</v>
      </c>
      <c r="J89" s="385" t="str">
        <f t="shared" si="63"/>
        <v>-</v>
      </c>
      <c r="K89" s="199" t="str">
        <f t="shared" si="64"/>
        <v>-</v>
      </c>
      <c r="L89" s="617"/>
      <c r="M89" s="438" t="e">
        <f>RANK(K89, K$87:$K$101)</f>
        <v>#VALUE!</v>
      </c>
      <c r="N89" s="635"/>
      <c r="O89" s="635"/>
      <c r="P89" s="484"/>
      <c r="Q89" s="487"/>
      <c r="R89" s="487"/>
      <c r="S89" s="484"/>
      <c r="T89" s="659"/>
      <c r="U89" s="484"/>
      <c r="V89" s="487"/>
      <c r="W89" s="487"/>
      <c r="X89" s="484"/>
      <c r="Y89" s="659"/>
      <c r="Z89" s="484"/>
      <c r="AA89" s="487"/>
      <c r="AB89" s="487"/>
      <c r="AC89" s="484"/>
      <c r="AD89" s="659"/>
      <c r="AE89" s="484"/>
      <c r="AF89" s="487"/>
      <c r="AG89" s="487"/>
      <c r="AH89" s="484"/>
      <c r="AI89" s="659"/>
      <c r="AJ89" s="484"/>
      <c r="AK89" s="487"/>
      <c r="AL89" s="487"/>
      <c r="AM89" s="484"/>
      <c r="AN89" s="659"/>
      <c r="AO89" s="484"/>
      <c r="AP89" s="487"/>
      <c r="AQ89" s="487"/>
      <c r="AR89" s="484"/>
      <c r="AS89" s="659"/>
      <c r="AT89" s="484"/>
      <c r="AU89" s="487"/>
      <c r="AV89" s="487"/>
      <c r="AW89" s="484"/>
      <c r="AX89" s="659"/>
      <c r="AZ89" s="372" t="e">
        <f t="shared" si="65"/>
        <v>#N/A</v>
      </c>
      <c r="BA89" s="659"/>
    </row>
    <row r="90" spans="2:53">
      <c r="B90" s="646"/>
      <c r="C90" s="384">
        <v>4</v>
      </c>
      <c r="D90" s="225"/>
      <c r="E90" s="539"/>
      <c r="F90" s="535"/>
      <c r="G90" s="534"/>
      <c r="H90" s="671"/>
      <c r="I90" s="385" t="str">
        <f t="shared" si="62"/>
        <v>-</v>
      </c>
      <c r="J90" s="385" t="str">
        <f t="shared" si="63"/>
        <v>-</v>
      </c>
      <c r="K90" s="199" t="str">
        <f t="shared" si="64"/>
        <v>-</v>
      </c>
      <c r="L90" s="617"/>
      <c r="M90" s="438" t="e">
        <f>RANK(K90, K$87:$K$101)</f>
        <v>#VALUE!</v>
      </c>
      <c r="N90" s="635"/>
      <c r="O90" s="635"/>
      <c r="P90" s="484"/>
      <c r="Q90" s="487"/>
      <c r="R90" s="487"/>
      <c r="S90" s="484"/>
      <c r="T90" s="659"/>
      <c r="U90" s="484"/>
      <c r="V90" s="487"/>
      <c r="W90" s="487"/>
      <c r="X90" s="484"/>
      <c r="Y90" s="659"/>
      <c r="Z90" s="484"/>
      <c r="AA90" s="487"/>
      <c r="AB90" s="487"/>
      <c r="AC90" s="484"/>
      <c r="AD90" s="659"/>
      <c r="AE90" s="484"/>
      <c r="AF90" s="487"/>
      <c r="AG90" s="487"/>
      <c r="AH90" s="484"/>
      <c r="AI90" s="659"/>
      <c r="AJ90" s="484"/>
      <c r="AK90" s="487"/>
      <c r="AL90" s="487"/>
      <c r="AM90" s="484"/>
      <c r="AN90" s="659"/>
      <c r="AO90" s="484"/>
      <c r="AP90" s="487"/>
      <c r="AQ90" s="487"/>
      <c r="AR90" s="484"/>
      <c r="AS90" s="659"/>
      <c r="AT90" s="484"/>
      <c r="AU90" s="487"/>
      <c r="AV90" s="487"/>
      <c r="AW90" s="484"/>
      <c r="AX90" s="659"/>
      <c r="AZ90" s="372" t="e">
        <f t="shared" si="65"/>
        <v>#N/A</v>
      </c>
      <c r="BA90" s="659"/>
    </row>
    <row r="91" spans="2:53">
      <c r="B91" s="646"/>
      <c r="C91" s="384">
        <v>5</v>
      </c>
      <c r="D91" s="225"/>
      <c r="E91" s="539"/>
      <c r="F91" s="535"/>
      <c r="G91" s="534"/>
      <c r="H91" s="671"/>
      <c r="I91" s="385" t="str">
        <f t="shared" si="62"/>
        <v>-</v>
      </c>
      <c r="J91" s="385" t="str">
        <f t="shared" si="63"/>
        <v>-</v>
      </c>
      <c r="K91" s="199" t="str">
        <f t="shared" si="64"/>
        <v>-</v>
      </c>
      <c r="L91" s="617"/>
      <c r="M91" s="438" t="e">
        <f>RANK(K91, K$87:$K$101)</f>
        <v>#VALUE!</v>
      </c>
      <c r="N91" s="635"/>
      <c r="O91" s="635"/>
      <c r="P91" s="484"/>
      <c r="Q91" s="487"/>
      <c r="R91" s="487"/>
      <c r="S91" s="484"/>
      <c r="T91" s="659"/>
      <c r="U91" s="484"/>
      <c r="V91" s="487"/>
      <c r="W91" s="487"/>
      <c r="X91" s="484"/>
      <c r="Y91" s="659"/>
      <c r="Z91" s="484"/>
      <c r="AA91" s="487"/>
      <c r="AB91" s="487"/>
      <c r="AC91" s="484"/>
      <c r="AD91" s="659"/>
      <c r="AE91" s="484"/>
      <c r="AF91" s="487"/>
      <c r="AG91" s="487"/>
      <c r="AH91" s="484"/>
      <c r="AI91" s="659"/>
      <c r="AJ91" s="484"/>
      <c r="AK91" s="487"/>
      <c r="AL91" s="487"/>
      <c r="AM91" s="484"/>
      <c r="AN91" s="659"/>
      <c r="AO91" s="484"/>
      <c r="AP91" s="487"/>
      <c r="AQ91" s="487"/>
      <c r="AR91" s="484"/>
      <c r="AS91" s="659"/>
      <c r="AT91" s="484"/>
      <c r="AU91" s="487"/>
      <c r="AV91" s="487"/>
      <c r="AW91" s="484"/>
      <c r="AX91" s="659"/>
      <c r="AZ91" s="372" t="e">
        <f t="shared" si="65"/>
        <v>#N/A</v>
      </c>
      <c r="BA91" s="659"/>
    </row>
    <row r="92" spans="2:53">
      <c r="B92" s="646"/>
      <c r="C92" s="384">
        <v>6</v>
      </c>
      <c r="D92" s="225"/>
      <c r="E92" s="539"/>
      <c r="F92" s="535"/>
      <c r="G92" s="534"/>
      <c r="H92" s="671"/>
      <c r="I92" s="385" t="str">
        <f t="shared" si="62"/>
        <v>-</v>
      </c>
      <c r="J92" s="385" t="str">
        <f t="shared" si="63"/>
        <v>-</v>
      </c>
      <c r="K92" s="199" t="str">
        <f t="shared" si="64"/>
        <v>-</v>
      </c>
      <c r="L92" s="617"/>
      <c r="M92" s="438" t="e">
        <f>RANK(K92, K$87:$K$101)</f>
        <v>#VALUE!</v>
      </c>
      <c r="N92" s="635"/>
      <c r="O92" s="635"/>
      <c r="P92" s="484"/>
      <c r="Q92" s="487"/>
      <c r="R92" s="487"/>
      <c r="S92" s="484"/>
      <c r="T92" s="659"/>
      <c r="U92" s="484"/>
      <c r="V92" s="487"/>
      <c r="W92" s="487"/>
      <c r="X92" s="484"/>
      <c r="Y92" s="659"/>
      <c r="Z92" s="484"/>
      <c r="AA92" s="487"/>
      <c r="AB92" s="487"/>
      <c r="AC92" s="484"/>
      <c r="AD92" s="659"/>
      <c r="AE92" s="484"/>
      <c r="AF92" s="487"/>
      <c r="AG92" s="487"/>
      <c r="AH92" s="484"/>
      <c r="AI92" s="659"/>
      <c r="AJ92" s="484"/>
      <c r="AK92" s="487"/>
      <c r="AL92" s="487"/>
      <c r="AM92" s="484"/>
      <c r="AN92" s="659"/>
      <c r="AO92" s="484"/>
      <c r="AP92" s="487"/>
      <c r="AQ92" s="487"/>
      <c r="AR92" s="484"/>
      <c r="AS92" s="659"/>
      <c r="AT92" s="484"/>
      <c r="AU92" s="487"/>
      <c r="AV92" s="487"/>
      <c r="AW92" s="484"/>
      <c r="AX92" s="659"/>
      <c r="AZ92" s="372" t="e">
        <f t="shared" si="65"/>
        <v>#N/A</v>
      </c>
      <c r="BA92" s="659"/>
    </row>
    <row r="93" spans="2:53">
      <c r="B93" s="646"/>
      <c r="C93" s="384">
        <v>7</v>
      </c>
      <c r="D93" s="225"/>
      <c r="E93" s="539"/>
      <c r="F93" s="535"/>
      <c r="G93" s="534"/>
      <c r="H93" s="671"/>
      <c r="I93" s="385" t="str">
        <f t="shared" si="62"/>
        <v>-</v>
      </c>
      <c r="J93" s="385" t="str">
        <f t="shared" si="63"/>
        <v>-</v>
      </c>
      <c r="K93" s="199" t="str">
        <f t="shared" si="64"/>
        <v>-</v>
      </c>
      <c r="L93" s="617"/>
      <c r="M93" s="438" t="e">
        <f>RANK(K93, K$87:$K$101)</f>
        <v>#VALUE!</v>
      </c>
      <c r="N93" s="635"/>
      <c r="O93" s="635"/>
      <c r="P93" s="484"/>
      <c r="Q93" s="487"/>
      <c r="R93" s="487"/>
      <c r="S93" s="484"/>
      <c r="T93" s="659"/>
      <c r="U93" s="484"/>
      <c r="V93" s="487"/>
      <c r="W93" s="487"/>
      <c r="X93" s="484"/>
      <c r="Y93" s="659"/>
      <c r="Z93" s="484"/>
      <c r="AA93" s="487"/>
      <c r="AB93" s="487"/>
      <c r="AC93" s="484"/>
      <c r="AD93" s="659"/>
      <c r="AE93" s="484"/>
      <c r="AF93" s="487"/>
      <c r="AG93" s="487"/>
      <c r="AH93" s="484"/>
      <c r="AI93" s="659"/>
      <c r="AJ93" s="484"/>
      <c r="AK93" s="487"/>
      <c r="AL93" s="487"/>
      <c r="AM93" s="484"/>
      <c r="AN93" s="659"/>
      <c r="AO93" s="484"/>
      <c r="AP93" s="487"/>
      <c r="AQ93" s="487"/>
      <c r="AR93" s="484"/>
      <c r="AS93" s="659"/>
      <c r="AT93" s="484"/>
      <c r="AU93" s="487"/>
      <c r="AV93" s="487"/>
      <c r="AW93" s="484"/>
      <c r="AX93" s="659"/>
      <c r="AZ93" s="372" t="e">
        <f t="shared" si="65"/>
        <v>#N/A</v>
      </c>
      <c r="BA93" s="659"/>
    </row>
    <row r="94" spans="2:53">
      <c r="B94" s="646"/>
      <c r="C94" s="384">
        <v>8</v>
      </c>
      <c r="D94" s="225"/>
      <c r="E94" s="539"/>
      <c r="F94" s="535"/>
      <c r="G94" s="534"/>
      <c r="H94" s="671"/>
      <c r="I94" s="385" t="str">
        <f t="shared" si="62"/>
        <v>-</v>
      </c>
      <c r="J94" s="385" t="str">
        <f t="shared" si="63"/>
        <v>-</v>
      </c>
      <c r="K94" s="199" t="str">
        <f t="shared" si="64"/>
        <v>-</v>
      </c>
      <c r="L94" s="617"/>
      <c r="M94" s="438" t="e">
        <f>RANK(K94, K$87:$K$101)</f>
        <v>#VALUE!</v>
      </c>
      <c r="N94" s="635"/>
      <c r="O94" s="635"/>
      <c r="P94" s="484"/>
      <c r="Q94" s="487"/>
      <c r="R94" s="487"/>
      <c r="S94" s="484"/>
      <c r="T94" s="659"/>
      <c r="U94" s="484"/>
      <c r="V94" s="487"/>
      <c r="W94" s="487"/>
      <c r="X94" s="484"/>
      <c r="Y94" s="659"/>
      <c r="Z94" s="484"/>
      <c r="AA94" s="487"/>
      <c r="AB94" s="487"/>
      <c r="AC94" s="484"/>
      <c r="AD94" s="659"/>
      <c r="AE94" s="484"/>
      <c r="AF94" s="487"/>
      <c r="AG94" s="487"/>
      <c r="AH94" s="484"/>
      <c r="AI94" s="659"/>
      <c r="AJ94" s="484"/>
      <c r="AK94" s="487"/>
      <c r="AL94" s="487"/>
      <c r="AM94" s="484"/>
      <c r="AN94" s="659"/>
      <c r="AO94" s="484"/>
      <c r="AP94" s="487"/>
      <c r="AQ94" s="487"/>
      <c r="AR94" s="484"/>
      <c r="AS94" s="659"/>
      <c r="AT94" s="484"/>
      <c r="AU94" s="487"/>
      <c r="AV94" s="487"/>
      <c r="AW94" s="484"/>
      <c r="AX94" s="659"/>
      <c r="AZ94" s="372" t="e">
        <f t="shared" si="65"/>
        <v>#N/A</v>
      </c>
      <c r="BA94" s="659"/>
    </row>
    <row r="95" spans="2:53">
      <c r="B95" s="646"/>
      <c r="C95" s="384">
        <v>9</v>
      </c>
      <c r="D95" s="225"/>
      <c r="E95" s="539"/>
      <c r="F95" s="535"/>
      <c r="G95" s="534"/>
      <c r="H95" s="671"/>
      <c r="I95" s="385" t="str">
        <f t="shared" si="62"/>
        <v>-</v>
      </c>
      <c r="J95" s="385" t="str">
        <f t="shared" si="63"/>
        <v>-</v>
      </c>
      <c r="K95" s="199" t="str">
        <f t="shared" si="64"/>
        <v>-</v>
      </c>
      <c r="L95" s="617"/>
      <c r="M95" s="438" t="e">
        <f>RANK(K95, K$87:$K$101)</f>
        <v>#VALUE!</v>
      </c>
      <c r="N95" s="635"/>
      <c r="O95" s="635"/>
      <c r="P95" s="484"/>
      <c r="Q95" s="487"/>
      <c r="R95" s="487"/>
      <c r="S95" s="484"/>
      <c r="T95" s="659"/>
      <c r="U95" s="484"/>
      <c r="V95" s="487"/>
      <c r="W95" s="487"/>
      <c r="X95" s="484"/>
      <c r="Y95" s="659"/>
      <c r="Z95" s="484"/>
      <c r="AA95" s="487"/>
      <c r="AB95" s="487"/>
      <c r="AC95" s="484"/>
      <c r="AD95" s="659"/>
      <c r="AE95" s="484"/>
      <c r="AF95" s="487"/>
      <c r="AG95" s="487"/>
      <c r="AH95" s="484"/>
      <c r="AI95" s="659"/>
      <c r="AJ95" s="484"/>
      <c r="AK95" s="487"/>
      <c r="AL95" s="487"/>
      <c r="AM95" s="484"/>
      <c r="AN95" s="659"/>
      <c r="AO95" s="484"/>
      <c r="AP95" s="487"/>
      <c r="AQ95" s="487"/>
      <c r="AR95" s="484"/>
      <c r="AS95" s="659"/>
      <c r="AT95" s="484"/>
      <c r="AU95" s="487"/>
      <c r="AV95" s="487"/>
      <c r="AW95" s="484"/>
      <c r="AX95" s="659"/>
      <c r="AZ95" s="372" t="e">
        <f t="shared" si="65"/>
        <v>#N/A</v>
      </c>
      <c r="BA95" s="659"/>
    </row>
    <row r="96" spans="2:53">
      <c r="B96" s="646"/>
      <c r="C96" s="384">
        <v>10</v>
      </c>
      <c r="D96" s="225"/>
      <c r="E96" s="539"/>
      <c r="F96" s="535"/>
      <c r="G96" s="534"/>
      <c r="H96" s="671"/>
      <c r="I96" s="385" t="str">
        <f t="shared" si="62"/>
        <v>-</v>
      </c>
      <c r="J96" s="385" t="str">
        <f t="shared" si="63"/>
        <v>-</v>
      </c>
      <c r="K96" s="199" t="str">
        <f t="shared" si="64"/>
        <v>-</v>
      </c>
      <c r="L96" s="617"/>
      <c r="M96" s="438" t="e">
        <f>RANK(K96, K$87:$K$101)</f>
        <v>#VALUE!</v>
      </c>
      <c r="N96" s="635"/>
      <c r="O96" s="635"/>
      <c r="P96" s="484"/>
      <c r="Q96" s="487"/>
      <c r="R96" s="487"/>
      <c r="S96" s="484"/>
      <c r="T96" s="659"/>
      <c r="U96" s="484"/>
      <c r="V96" s="487"/>
      <c r="W96" s="487"/>
      <c r="X96" s="484"/>
      <c r="Y96" s="659"/>
      <c r="Z96" s="484"/>
      <c r="AA96" s="487"/>
      <c r="AB96" s="487"/>
      <c r="AC96" s="484"/>
      <c r="AD96" s="659"/>
      <c r="AE96" s="484"/>
      <c r="AF96" s="487"/>
      <c r="AG96" s="487"/>
      <c r="AH96" s="484"/>
      <c r="AI96" s="659"/>
      <c r="AJ96" s="484"/>
      <c r="AK96" s="487"/>
      <c r="AL96" s="487"/>
      <c r="AM96" s="484"/>
      <c r="AN96" s="659"/>
      <c r="AO96" s="484"/>
      <c r="AP96" s="487"/>
      <c r="AQ96" s="487"/>
      <c r="AR96" s="484"/>
      <c r="AS96" s="659"/>
      <c r="AT96" s="484"/>
      <c r="AU96" s="487"/>
      <c r="AV96" s="487"/>
      <c r="AW96" s="484"/>
      <c r="AX96" s="659"/>
      <c r="AZ96" s="372" t="e">
        <f t="shared" si="65"/>
        <v>#N/A</v>
      </c>
      <c r="BA96" s="659"/>
    </row>
    <row r="97" spans="2:53">
      <c r="B97" s="646"/>
      <c r="C97" s="384">
        <v>11</v>
      </c>
      <c r="D97" s="225"/>
      <c r="E97" s="539"/>
      <c r="F97" s="535"/>
      <c r="G97" s="534"/>
      <c r="H97" s="671"/>
      <c r="I97" s="385" t="str">
        <f t="shared" si="62"/>
        <v>-</v>
      </c>
      <c r="J97" s="385" t="str">
        <f t="shared" si="63"/>
        <v>-</v>
      </c>
      <c r="K97" s="199" t="str">
        <f t="shared" si="64"/>
        <v>-</v>
      </c>
      <c r="L97" s="617"/>
      <c r="M97" s="438" t="e">
        <f>RANK(K97, K$87:$K$101)</f>
        <v>#VALUE!</v>
      </c>
      <c r="N97" s="635"/>
      <c r="O97" s="635"/>
      <c r="P97" s="484"/>
      <c r="Q97" s="487"/>
      <c r="R97" s="487"/>
      <c r="S97" s="484"/>
      <c r="T97" s="659"/>
      <c r="U97" s="484"/>
      <c r="V97" s="487"/>
      <c r="W97" s="487"/>
      <c r="X97" s="484"/>
      <c r="Y97" s="659"/>
      <c r="Z97" s="484"/>
      <c r="AA97" s="487"/>
      <c r="AB97" s="487"/>
      <c r="AC97" s="484"/>
      <c r="AD97" s="659"/>
      <c r="AE97" s="484"/>
      <c r="AF97" s="487"/>
      <c r="AG97" s="487"/>
      <c r="AH97" s="484"/>
      <c r="AI97" s="659"/>
      <c r="AJ97" s="484"/>
      <c r="AK97" s="487"/>
      <c r="AL97" s="487"/>
      <c r="AM97" s="484"/>
      <c r="AN97" s="659"/>
      <c r="AO97" s="484"/>
      <c r="AP97" s="487"/>
      <c r="AQ97" s="487"/>
      <c r="AR97" s="484"/>
      <c r="AS97" s="659"/>
      <c r="AT97" s="484"/>
      <c r="AU97" s="487"/>
      <c r="AV97" s="487"/>
      <c r="AW97" s="484"/>
      <c r="AX97" s="659"/>
      <c r="AZ97" s="372" t="e">
        <f t="shared" si="65"/>
        <v>#N/A</v>
      </c>
      <c r="BA97" s="659"/>
    </row>
    <row r="98" spans="2:53">
      <c r="B98" s="646"/>
      <c r="C98" s="384">
        <v>12</v>
      </c>
      <c r="D98" s="225"/>
      <c r="E98" s="539"/>
      <c r="F98" s="535"/>
      <c r="G98" s="534"/>
      <c r="H98" s="671"/>
      <c r="I98" s="385" t="str">
        <f t="shared" si="62"/>
        <v>-</v>
      </c>
      <c r="J98" s="385" t="str">
        <f t="shared" si="63"/>
        <v>-</v>
      </c>
      <c r="K98" s="199" t="str">
        <f t="shared" si="64"/>
        <v>-</v>
      </c>
      <c r="L98" s="617"/>
      <c r="M98" s="438" t="e">
        <f>RANK(K98, K$87:$K$101)</f>
        <v>#VALUE!</v>
      </c>
      <c r="N98" s="635"/>
      <c r="O98" s="635"/>
      <c r="P98" s="484"/>
      <c r="Q98" s="487"/>
      <c r="R98" s="487"/>
      <c r="S98" s="484"/>
      <c r="T98" s="659"/>
      <c r="U98" s="484"/>
      <c r="V98" s="487"/>
      <c r="W98" s="487"/>
      <c r="X98" s="484"/>
      <c r="Y98" s="659"/>
      <c r="Z98" s="484"/>
      <c r="AA98" s="487"/>
      <c r="AB98" s="487"/>
      <c r="AC98" s="484"/>
      <c r="AD98" s="659"/>
      <c r="AE98" s="484"/>
      <c r="AF98" s="487"/>
      <c r="AG98" s="487"/>
      <c r="AH98" s="484"/>
      <c r="AI98" s="659"/>
      <c r="AJ98" s="484"/>
      <c r="AK98" s="487"/>
      <c r="AL98" s="487"/>
      <c r="AM98" s="484"/>
      <c r="AN98" s="659"/>
      <c r="AO98" s="484"/>
      <c r="AP98" s="487"/>
      <c r="AQ98" s="487"/>
      <c r="AR98" s="484"/>
      <c r="AS98" s="659"/>
      <c r="AT98" s="484"/>
      <c r="AU98" s="487"/>
      <c r="AV98" s="487"/>
      <c r="AW98" s="484"/>
      <c r="AX98" s="659"/>
      <c r="AZ98" s="372" t="e">
        <f t="shared" si="65"/>
        <v>#N/A</v>
      </c>
      <c r="BA98" s="659"/>
    </row>
    <row r="99" spans="2:53">
      <c r="B99" s="646"/>
      <c r="C99" s="384">
        <v>13</v>
      </c>
      <c r="D99" s="225"/>
      <c r="E99" s="539"/>
      <c r="F99" s="535"/>
      <c r="G99" s="534"/>
      <c r="H99" s="671"/>
      <c r="I99" s="385" t="str">
        <f t="shared" si="62"/>
        <v>-</v>
      </c>
      <c r="J99" s="385" t="str">
        <f t="shared" si="63"/>
        <v>-</v>
      </c>
      <c r="K99" s="199" t="str">
        <f t="shared" si="64"/>
        <v>-</v>
      </c>
      <c r="L99" s="617"/>
      <c r="M99" s="438" t="e">
        <f>RANK(K99, K$87:$K$101)</f>
        <v>#VALUE!</v>
      </c>
      <c r="N99" s="635"/>
      <c r="O99" s="635"/>
      <c r="P99" s="484"/>
      <c r="Q99" s="487"/>
      <c r="R99" s="487"/>
      <c r="S99" s="484"/>
      <c r="T99" s="659"/>
      <c r="U99" s="484"/>
      <c r="V99" s="487"/>
      <c r="W99" s="487"/>
      <c r="X99" s="484"/>
      <c r="Y99" s="659"/>
      <c r="Z99" s="484"/>
      <c r="AA99" s="487"/>
      <c r="AB99" s="487"/>
      <c r="AC99" s="484"/>
      <c r="AD99" s="659"/>
      <c r="AE99" s="484"/>
      <c r="AF99" s="487"/>
      <c r="AG99" s="487"/>
      <c r="AH99" s="484"/>
      <c r="AI99" s="659"/>
      <c r="AJ99" s="484"/>
      <c r="AK99" s="487"/>
      <c r="AL99" s="487"/>
      <c r="AM99" s="484"/>
      <c r="AN99" s="659"/>
      <c r="AO99" s="484"/>
      <c r="AP99" s="487"/>
      <c r="AQ99" s="487"/>
      <c r="AR99" s="484"/>
      <c r="AS99" s="659"/>
      <c r="AT99" s="484"/>
      <c r="AU99" s="487"/>
      <c r="AV99" s="487"/>
      <c r="AW99" s="484"/>
      <c r="AX99" s="659"/>
      <c r="AZ99" s="372" t="e">
        <f t="shared" si="65"/>
        <v>#N/A</v>
      </c>
      <c r="BA99" s="659"/>
    </row>
    <row r="100" spans="2:53">
      <c r="B100" s="646"/>
      <c r="C100" s="384">
        <v>14</v>
      </c>
      <c r="D100" s="225"/>
      <c r="E100" s="539"/>
      <c r="F100" s="535"/>
      <c r="G100" s="534"/>
      <c r="H100" s="671"/>
      <c r="I100" s="385" t="str">
        <f t="shared" si="62"/>
        <v>-</v>
      </c>
      <c r="J100" s="385" t="str">
        <f t="shared" si="63"/>
        <v>-</v>
      </c>
      <c r="K100" s="199" t="str">
        <f t="shared" si="64"/>
        <v>-</v>
      </c>
      <c r="L100" s="617"/>
      <c r="M100" s="438" t="e">
        <f>RANK(K100, K$87:$K$101)</f>
        <v>#VALUE!</v>
      </c>
      <c r="N100" s="635"/>
      <c r="O100" s="635"/>
      <c r="P100" s="484"/>
      <c r="Q100" s="487"/>
      <c r="R100" s="487"/>
      <c r="S100" s="484"/>
      <c r="T100" s="659"/>
      <c r="U100" s="484"/>
      <c r="V100" s="487"/>
      <c r="W100" s="487"/>
      <c r="X100" s="484"/>
      <c r="Y100" s="659"/>
      <c r="Z100" s="484"/>
      <c r="AA100" s="487"/>
      <c r="AB100" s="487"/>
      <c r="AC100" s="484"/>
      <c r="AD100" s="659"/>
      <c r="AE100" s="484"/>
      <c r="AF100" s="487"/>
      <c r="AG100" s="487"/>
      <c r="AH100" s="484"/>
      <c r="AI100" s="659"/>
      <c r="AJ100" s="484"/>
      <c r="AK100" s="487"/>
      <c r="AL100" s="487"/>
      <c r="AM100" s="484"/>
      <c r="AN100" s="659"/>
      <c r="AO100" s="484"/>
      <c r="AP100" s="487"/>
      <c r="AQ100" s="487"/>
      <c r="AR100" s="484"/>
      <c r="AS100" s="659"/>
      <c r="AT100" s="484"/>
      <c r="AU100" s="487"/>
      <c r="AV100" s="487"/>
      <c r="AW100" s="484"/>
      <c r="AX100" s="659"/>
      <c r="AZ100" s="372" t="e">
        <f t="shared" si="65"/>
        <v>#N/A</v>
      </c>
      <c r="BA100" s="659"/>
    </row>
    <row r="101" spans="2:53">
      <c r="B101" s="646"/>
      <c r="C101" s="384">
        <v>15</v>
      </c>
      <c r="D101" s="225"/>
      <c r="E101" s="539"/>
      <c r="F101" s="535"/>
      <c r="G101" s="534"/>
      <c r="H101" s="680"/>
      <c r="I101" s="384"/>
      <c r="J101" s="384"/>
      <c r="K101" s="384"/>
      <c r="L101" s="618"/>
      <c r="M101" s="438" t="e">
        <f>RANK(K101, K$87:$K$101)</f>
        <v>#N/A</v>
      </c>
      <c r="N101" s="635"/>
      <c r="O101" s="635"/>
      <c r="P101" s="484"/>
      <c r="Q101" s="487"/>
      <c r="R101" s="487"/>
      <c r="S101" s="484"/>
      <c r="T101" s="659"/>
      <c r="U101" s="484"/>
      <c r="V101" s="487"/>
      <c r="W101" s="487"/>
      <c r="X101" s="484"/>
      <c r="Y101" s="659"/>
      <c r="Z101" s="484"/>
      <c r="AA101" s="487"/>
      <c r="AB101" s="487"/>
      <c r="AC101" s="484"/>
      <c r="AD101" s="659"/>
      <c r="AE101" s="484"/>
      <c r="AF101" s="487"/>
      <c r="AG101" s="487"/>
      <c r="AH101" s="484"/>
      <c r="AI101" s="659"/>
      <c r="AJ101" s="484"/>
      <c r="AK101" s="487"/>
      <c r="AL101" s="487"/>
      <c r="AM101" s="484"/>
      <c r="AN101" s="659"/>
      <c r="AO101" s="484"/>
      <c r="AP101" s="487"/>
      <c r="AQ101" s="487"/>
      <c r="AR101" s="484"/>
      <c r="AS101" s="659"/>
      <c r="AT101" s="484"/>
      <c r="AU101" s="487"/>
      <c r="AV101" s="487"/>
      <c r="AW101" s="484"/>
      <c r="AX101" s="659"/>
      <c r="AZ101" s="372" t="e">
        <f t="shared" si="65"/>
        <v>#N/A</v>
      </c>
      <c r="BA101" s="659"/>
    </row>
    <row r="102" spans="2:53" ht="15.75">
      <c r="B102" s="650" t="s">
        <v>162</v>
      </c>
      <c r="C102" s="651"/>
      <c r="D102" s="651"/>
      <c r="E102" s="651"/>
      <c r="F102" s="651"/>
      <c r="G102" s="651"/>
      <c r="H102" s="652"/>
      <c r="I102" s="207"/>
      <c r="J102" s="207"/>
      <c r="K102" s="207"/>
      <c r="L102" s="207"/>
      <c r="M102" s="206"/>
      <c r="N102" s="639" t="s">
        <v>156</v>
      </c>
      <c r="O102" s="639" t="s">
        <v>105</v>
      </c>
      <c r="P102" s="645">
        <f>P82+7</f>
        <v>46238</v>
      </c>
      <c r="Q102" s="646"/>
      <c r="R102" s="646"/>
      <c r="S102" s="646"/>
      <c r="T102" s="646"/>
      <c r="U102" s="642">
        <f>P102+1</f>
        <v>46239</v>
      </c>
      <c r="V102" s="643"/>
      <c r="W102" s="643"/>
      <c r="X102" s="643"/>
      <c r="Y102" s="644"/>
      <c r="Z102" s="642">
        <f>U102+1</f>
        <v>46240</v>
      </c>
      <c r="AA102" s="643"/>
      <c r="AB102" s="643"/>
      <c r="AC102" s="643"/>
      <c r="AD102" s="644"/>
      <c r="AE102" s="642">
        <f>Z102+1</f>
        <v>46241</v>
      </c>
      <c r="AF102" s="643"/>
      <c r="AG102" s="643"/>
      <c r="AH102" s="643"/>
      <c r="AI102" s="644"/>
      <c r="AJ102" s="642">
        <f>AE102+1</f>
        <v>46242</v>
      </c>
      <c r="AK102" s="643"/>
      <c r="AL102" s="643"/>
      <c r="AM102" s="643"/>
      <c r="AN102" s="644"/>
      <c r="AO102" s="642">
        <f>AJ102+1</f>
        <v>46243</v>
      </c>
      <c r="AP102" s="643"/>
      <c r="AQ102" s="643"/>
      <c r="AR102" s="643"/>
      <c r="AS102" s="644"/>
      <c r="AT102" s="642">
        <f>AO102+1</f>
        <v>46244</v>
      </c>
      <c r="AU102" s="643"/>
      <c r="AV102" s="643"/>
      <c r="AW102" s="643"/>
      <c r="AX102" s="644"/>
    </row>
    <row r="103" spans="2:53" ht="15.75">
      <c r="B103" s="653"/>
      <c r="C103" s="653"/>
      <c r="D103" s="653"/>
      <c r="E103" s="653"/>
      <c r="F103" s="653"/>
      <c r="G103" s="653"/>
      <c r="H103" s="653"/>
      <c r="I103" s="204"/>
      <c r="J103" s="204"/>
      <c r="K103" s="204"/>
      <c r="L103" s="204"/>
      <c r="M103" s="205"/>
      <c r="N103" s="641"/>
      <c r="O103" s="641"/>
      <c r="P103" s="645" t="s">
        <v>158</v>
      </c>
      <c r="Q103" s="646"/>
      <c r="R103" s="646"/>
      <c r="S103" s="646"/>
      <c r="T103" s="646"/>
      <c r="U103" s="645" t="s">
        <v>114</v>
      </c>
      <c r="V103" s="646"/>
      <c r="W103" s="646"/>
      <c r="X103" s="646"/>
      <c r="Y103" s="646"/>
      <c r="Z103" s="645" t="s">
        <v>159</v>
      </c>
      <c r="AA103" s="646"/>
      <c r="AB103" s="646"/>
      <c r="AC103" s="646"/>
      <c r="AD103" s="646"/>
      <c r="AE103" s="645" t="s">
        <v>157</v>
      </c>
      <c r="AF103" s="646"/>
      <c r="AG103" s="646"/>
      <c r="AH103" s="646"/>
      <c r="AI103" s="646"/>
      <c r="AJ103" s="645" t="s">
        <v>160</v>
      </c>
      <c r="AK103" s="646"/>
      <c r="AL103" s="646"/>
      <c r="AM103" s="646"/>
      <c r="AN103" s="646"/>
      <c r="AO103" s="645" t="s">
        <v>115</v>
      </c>
      <c r="AP103" s="646"/>
      <c r="AQ103" s="646"/>
      <c r="AR103" s="646"/>
      <c r="AS103" s="646"/>
      <c r="AT103" s="645" t="s">
        <v>161</v>
      </c>
      <c r="AU103" s="646"/>
      <c r="AV103" s="646"/>
      <c r="AW103" s="646"/>
      <c r="AX103" s="646"/>
    </row>
    <row r="104" spans="2:53">
      <c r="B104" s="635" t="s">
        <v>535</v>
      </c>
      <c r="C104" s="635" t="s">
        <v>536</v>
      </c>
      <c r="D104" s="635"/>
      <c r="E104" s="635" t="s">
        <v>537</v>
      </c>
      <c r="F104" s="635"/>
      <c r="G104" s="635"/>
      <c r="H104" s="636" t="s">
        <v>538</v>
      </c>
      <c r="I104" s="635" t="s">
        <v>539</v>
      </c>
      <c r="J104" s="635"/>
      <c r="K104" s="635"/>
      <c r="L104" s="636" t="s">
        <v>369</v>
      </c>
      <c r="M104" s="639" t="s">
        <v>540</v>
      </c>
      <c r="N104" s="635"/>
      <c r="O104" s="635" t="s">
        <v>541</v>
      </c>
      <c r="P104" s="632" t="s">
        <v>527</v>
      </c>
      <c r="Q104" s="633"/>
      <c r="R104" s="633"/>
      <c r="S104" s="634"/>
      <c r="T104" s="635" t="s">
        <v>523</v>
      </c>
      <c r="U104" s="632" t="s">
        <v>527</v>
      </c>
      <c r="V104" s="633"/>
      <c r="W104" s="633"/>
      <c r="X104" s="634"/>
      <c r="Y104" s="635" t="s">
        <v>523</v>
      </c>
      <c r="Z104" s="632" t="s">
        <v>527</v>
      </c>
      <c r="AA104" s="633"/>
      <c r="AB104" s="633"/>
      <c r="AC104" s="634"/>
      <c r="AD104" s="635" t="s">
        <v>523</v>
      </c>
      <c r="AE104" s="632" t="s">
        <v>527</v>
      </c>
      <c r="AF104" s="633"/>
      <c r="AG104" s="633"/>
      <c r="AH104" s="634"/>
      <c r="AI104" s="635" t="s">
        <v>523</v>
      </c>
      <c r="AJ104" s="632" t="s">
        <v>527</v>
      </c>
      <c r="AK104" s="633"/>
      <c r="AL104" s="633"/>
      <c r="AM104" s="634"/>
      <c r="AN104" s="635" t="s">
        <v>523</v>
      </c>
      <c r="AO104" s="632" t="s">
        <v>527</v>
      </c>
      <c r="AP104" s="633"/>
      <c r="AQ104" s="633"/>
      <c r="AR104" s="634"/>
      <c r="AS104" s="635" t="s">
        <v>523</v>
      </c>
      <c r="AT104" s="632" t="s">
        <v>527</v>
      </c>
      <c r="AU104" s="633"/>
      <c r="AV104" s="633"/>
      <c r="AW104" s="634"/>
      <c r="AX104" s="635" t="s">
        <v>523</v>
      </c>
      <c r="BA104" s="635" t="s">
        <v>369</v>
      </c>
    </row>
    <row r="105" spans="2:53">
      <c r="B105" s="635"/>
      <c r="C105" s="635"/>
      <c r="D105" s="635"/>
      <c r="E105" s="635" t="s">
        <v>542</v>
      </c>
      <c r="F105" s="635"/>
      <c r="G105" s="635"/>
      <c r="H105" s="637"/>
      <c r="I105" s="635" t="s">
        <v>542</v>
      </c>
      <c r="J105" s="635"/>
      <c r="K105" s="635"/>
      <c r="L105" s="637"/>
      <c r="M105" s="640"/>
      <c r="N105" s="635"/>
      <c r="O105" s="635"/>
      <c r="P105" s="632" t="s">
        <v>529</v>
      </c>
      <c r="Q105" s="633"/>
      <c r="R105" s="633"/>
      <c r="S105" s="634"/>
      <c r="T105" s="635"/>
      <c r="U105" s="632" t="s">
        <v>529</v>
      </c>
      <c r="V105" s="633"/>
      <c r="W105" s="633"/>
      <c r="X105" s="634"/>
      <c r="Y105" s="635"/>
      <c r="Z105" s="632" t="s">
        <v>529</v>
      </c>
      <c r="AA105" s="633"/>
      <c r="AB105" s="633"/>
      <c r="AC105" s="634"/>
      <c r="AD105" s="635"/>
      <c r="AE105" s="632" t="s">
        <v>529</v>
      </c>
      <c r="AF105" s="633"/>
      <c r="AG105" s="633"/>
      <c r="AH105" s="634"/>
      <c r="AI105" s="635"/>
      <c r="AJ105" s="632" t="s">
        <v>529</v>
      </c>
      <c r="AK105" s="633"/>
      <c r="AL105" s="633"/>
      <c r="AM105" s="634"/>
      <c r="AN105" s="635"/>
      <c r="AO105" s="632" t="s">
        <v>529</v>
      </c>
      <c r="AP105" s="633"/>
      <c r="AQ105" s="633"/>
      <c r="AR105" s="634"/>
      <c r="AS105" s="635"/>
      <c r="AT105" s="632" t="s">
        <v>529</v>
      </c>
      <c r="AU105" s="633"/>
      <c r="AV105" s="633"/>
      <c r="AW105" s="634"/>
      <c r="AX105" s="635"/>
      <c r="BA105" s="635"/>
    </row>
    <row r="106" spans="2:53">
      <c r="B106" s="635"/>
      <c r="C106" s="635"/>
      <c r="D106" s="635"/>
      <c r="E106" s="349" t="s">
        <v>543</v>
      </c>
      <c r="F106" s="349" t="s">
        <v>544</v>
      </c>
      <c r="G106" s="349" t="s">
        <v>545</v>
      </c>
      <c r="H106" s="638"/>
      <c r="I106" s="349" t="s">
        <v>543</v>
      </c>
      <c r="J106" s="349" t="s">
        <v>544</v>
      </c>
      <c r="K106" s="349" t="s">
        <v>545</v>
      </c>
      <c r="L106" s="638"/>
      <c r="M106" s="641"/>
      <c r="N106" s="635"/>
      <c r="O106" s="635"/>
      <c r="P106" s="349" t="s">
        <v>530</v>
      </c>
      <c r="Q106" s="349" t="s">
        <v>531</v>
      </c>
      <c r="R106" s="349" t="s">
        <v>532</v>
      </c>
      <c r="S106" s="349" t="s">
        <v>525</v>
      </c>
      <c r="T106" s="635"/>
      <c r="U106" s="349" t="s">
        <v>530</v>
      </c>
      <c r="V106" s="349" t="s">
        <v>531</v>
      </c>
      <c r="W106" s="349" t="s">
        <v>532</v>
      </c>
      <c r="X106" s="349" t="s">
        <v>525</v>
      </c>
      <c r="Y106" s="635"/>
      <c r="Z106" s="349" t="s">
        <v>530</v>
      </c>
      <c r="AA106" s="349" t="s">
        <v>531</v>
      </c>
      <c r="AB106" s="349" t="s">
        <v>532</v>
      </c>
      <c r="AC106" s="349" t="s">
        <v>525</v>
      </c>
      <c r="AD106" s="635"/>
      <c r="AE106" s="349" t="s">
        <v>530</v>
      </c>
      <c r="AF106" s="349" t="s">
        <v>531</v>
      </c>
      <c r="AG106" s="349" t="s">
        <v>532</v>
      </c>
      <c r="AH106" s="349" t="s">
        <v>525</v>
      </c>
      <c r="AI106" s="635"/>
      <c r="AJ106" s="349" t="s">
        <v>530</v>
      </c>
      <c r="AK106" s="349" t="s">
        <v>531</v>
      </c>
      <c r="AL106" s="349" t="s">
        <v>532</v>
      </c>
      <c r="AM106" s="349" t="s">
        <v>525</v>
      </c>
      <c r="AN106" s="635"/>
      <c r="AO106" s="349" t="s">
        <v>530</v>
      </c>
      <c r="AP106" s="349" t="s">
        <v>531</v>
      </c>
      <c r="AQ106" s="349" t="s">
        <v>532</v>
      </c>
      <c r="AR106" s="349" t="s">
        <v>525</v>
      </c>
      <c r="AS106" s="635"/>
      <c r="AT106" s="349" t="s">
        <v>530</v>
      </c>
      <c r="AU106" s="349" t="s">
        <v>531</v>
      </c>
      <c r="AV106" s="349" t="s">
        <v>532</v>
      </c>
      <c r="AW106" s="349" t="s">
        <v>525</v>
      </c>
      <c r="AX106" s="635"/>
      <c r="AZ106" s="371" t="s">
        <v>525</v>
      </c>
      <c r="BA106" s="635"/>
    </row>
    <row r="107" spans="2:53">
      <c r="B107" s="635" t="s">
        <v>135</v>
      </c>
      <c r="C107" s="352">
        <v>1</v>
      </c>
      <c r="D107" s="225"/>
      <c r="E107" s="181"/>
      <c r="F107" s="357"/>
      <c r="G107" s="358"/>
      <c r="H107" s="670" t="e">
        <f>AVERAGE(G107:G121)</f>
        <v>#DIV/0!</v>
      </c>
      <c r="I107" s="367" t="str">
        <f t="shared" ref="I107:I120" si="67">IFERROR(AVERAGE(P107,U107,Z107,AE107,AJ107,AO107,AT107),"-")</f>
        <v>-</v>
      </c>
      <c r="J107" s="367" t="str">
        <f t="shared" ref="J107:J120" si="68">IFERROR(AVERAGE(Q107,V107,AA107,AF107,AK107,AP107,AU107),"-")</f>
        <v>-</v>
      </c>
      <c r="K107" s="199" t="str">
        <f t="shared" ref="K107:K120" si="69">IFERROR(AVERAGE(R107,W107,AB107,AG107,AL107,AQ107,AV107),"-")</f>
        <v>-</v>
      </c>
      <c r="L107" s="616" t="str">
        <f>IFERROR(AVERAGE(K107:K121),"-")</f>
        <v>-</v>
      </c>
      <c r="M107" s="353" t="e">
        <f>RANK(K107, K$67:$K$81)</f>
        <v>#VALUE!</v>
      </c>
      <c r="N107" s="635"/>
      <c r="O107" s="635"/>
      <c r="P107" s="528"/>
      <c r="Q107" s="530"/>
      <c r="R107" s="530"/>
      <c r="S107" s="528"/>
      <c r="T107" s="659"/>
      <c r="U107" s="528"/>
      <c r="V107" s="530"/>
      <c r="W107" s="530"/>
      <c r="X107" s="528"/>
      <c r="Y107" s="659"/>
      <c r="Z107" s="528"/>
      <c r="AA107" s="530"/>
      <c r="AB107" s="530"/>
      <c r="AC107" s="528"/>
      <c r="AD107" s="659"/>
      <c r="AE107" s="528"/>
      <c r="AF107" s="530"/>
      <c r="AG107" s="530"/>
      <c r="AH107" s="528"/>
      <c r="AI107" s="659"/>
      <c r="AJ107" s="528"/>
      <c r="AK107" s="530"/>
      <c r="AL107" s="530"/>
      <c r="AM107" s="528"/>
      <c r="AN107" s="659"/>
      <c r="AO107" s="528"/>
      <c r="AP107" s="530"/>
      <c r="AQ107" s="530"/>
      <c r="AR107" s="528"/>
      <c r="AS107" s="659"/>
      <c r="AT107" s="528"/>
      <c r="AU107" s="530"/>
      <c r="AV107" s="530"/>
      <c r="AW107" s="528"/>
      <c r="AX107" s="659"/>
      <c r="AZ107" s="373" t="e">
        <f>RANK(AY107, AY$67:AY$81)</f>
        <v>#N/A</v>
      </c>
      <c r="BA107" s="698" t="e">
        <f>AVERAGE(AY107:AY121)</f>
        <v>#DIV/0!</v>
      </c>
    </row>
    <row r="108" spans="2:53">
      <c r="B108" s="669"/>
      <c r="C108" s="352">
        <v>2</v>
      </c>
      <c r="D108" s="225"/>
      <c r="E108" s="181"/>
      <c r="F108" s="357"/>
      <c r="G108" s="358"/>
      <c r="H108" s="671"/>
      <c r="I108" s="367" t="str">
        <f t="shared" si="67"/>
        <v>-</v>
      </c>
      <c r="J108" s="367" t="str">
        <f t="shared" si="68"/>
        <v>-</v>
      </c>
      <c r="K108" s="199" t="str">
        <f t="shared" si="69"/>
        <v>-</v>
      </c>
      <c r="L108" s="617"/>
      <c r="M108" s="353" t="e">
        <f>RANK(K108, K$67:$K$81)</f>
        <v>#VALUE!</v>
      </c>
      <c r="N108" s="635"/>
      <c r="O108" s="635"/>
      <c r="P108" s="528"/>
      <c r="Q108" s="530"/>
      <c r="R108" s="530"/>
      <c r="S108" s="528"/>
      <c r="T108" s="659"/>
      <c r="U108" s="528"/>
      <c r="V108" s="530"/>
      <c r="W108" s="530"/>
      <c r="X108" s="528"/>
      <c r="Y108" s="659"/>
      <c r="Z108" s="528"/>
      <c r="AA108" s="530"/>
      <c r="AB108" s="530"/>
      <c r="AC108" s="528"/>
      <c r="AD108" s="659"/>
      <c r="AE108" s="528"/>
      <c r="AF108" s="530"/>
      <c r="AG108" s="530"/>
      <c r="AH108" s="528"/>
      <c r="AI108" s="659"/>
      <c r="AJ108" s="528"/>
      <c r="AK108" s="530"/>
      <c r="AL108" s="530"/>
      <c r="AM108" s="528"/>
      <c r="AN108" s="659"/>
      <c r="AO108" s="528"/>
      <c r="AP108" s="530"/>
      <c r="AQ108" s="530"/>
      <c r="AR108" s="528"/>
      <c r="AS108" s="659"/>
      <c r="AT108" s="528"/>
      <c r="AU108" s="530"/>
      <c r="AV108" s="530"/>
      <c r="AW108" s="528"/>
      <c r="AX108" s="659"/>
      <c r="AZ108" s="373" t="e">
        <f t="shared" ref="AZ108:AZ121" si="70">RANK(AY108, AY$67:AY$81)</f>
        <v>#N/A</v>
      </c>
      <c r="BA108" s="698"/>
    </row>
    <row r="109" spans="2:53">
      <c r="B109" s="669"/>
      <c r="C109" s="352">
        <v>3</v>
      </c>
      <c r="D109" s="225"/>
      <c r="E109" s="181"/>
      <c r="F109" s="357"/>
      <c r="G109" s="358"/>
      <c r="H109" s="671"/>
      <c r="I109" s="367" t="str">
        <f t="shared" si="67"/>
        <v>-</v>
      </c>
      <c r="J109" s="367" t="str">
        <f t="shared" si="68"/>
        <v>-</v>
      </c>
      <c r="K109" s="199" t="str">
        <f t="shared" si="69"/>
        <v>-</v>
      </c>
      <c r="L109" s="617"/>
      <c r="M109" s="353" t="e">
        <f>RANK(K109, K$67:$K$81)</f>
        <v>#VALUE!</v>
      </c>
      <c r="N109" s="635"/>
      <c r="O109" s="635"/>
      <c r="P109" s="528"/>
      <c r="Q109" s="530"/>
      <c r="R109" s="530"/>
      <c r="S109" s="528"/>
      <c r="T109" s="659"/>
      <c r="U109" s="528"/>
      <c r="V109" s="530"/>
      <c r="W109" s="530"/>
      <c r="X109" s="528"/>
      <c r="Y109" s="659"/>
      <c r="Z109" s="528"/>
      <c r="AA109" s="530"/>
      <c r="AB109" s="530"/>
      <c r="AC109" s="528"/>
      <c r="AD109" s="659"/>
      <c r="AE109" s="528"/>
      <c r="AF109" s="530"/>
      <c r="AG109" s="530"/>
      <c r="AH109" s="528"/>
      <c r="AI109" s="659"/>
      <c r="AJ109" s="528"/>
      <c r="AK109" s="530"/>
      <c r="AL109" s="530"/>
      <c r="AM109" s="528"/>
      <c r="AN109" s="659"/>
      <c r="AO109" s="528"/>
      <c r="AP109" s="530"/>
      <c r="AQ109" s="530"/>
      <c r="AR109" s="528"/>
      <c r="AS109" s="659"/>
      <c r="AT109" s="528"/>
      <c r="AU109" s="530"/>
      <c r="AV109" s="530"/>
      <c r="AW109" s="528"/>
      <c r="AX109" s="659"/>
      <c r="AZ109" s="373" t="e">
        <f t="shared" si="70"/>
        <v>#N/A</v>
      </c>
      <c r="BA109" s="698"/>
    </row>
    <row r="110" spans="2:53">
      <c r="B110" s="669"/>
      <c r="C110" s="352">
        <v>4</v>
      </c>
      <c r="D110" s="225"/>
      <c r="E110" s="181"/>
      <c r="F110" s="357"/>
      <c r="G110" s="358"/>
      <c r="H110" s="671"/>
      <c r="I110" s="367" t="str">
        <f t="shared" si="67"/>
        <v>-</v>
      </c>
      <c r="J110" s="367" t="str">
        <f t="shared" si="68"/>
        <v>-</v>
      </c>
      <c r="K110" s="199" t="str">
        <f t="shared" si="69"/>
        <v>-</v>
      </c>
      <c r="L110" s="617"/>
      <c r="M110" s="353" t="e">
        <f>RANK(K110, K$67:$K$81)</f>
        <v>#VALUE!</v>
      </c>
      <c r="N110" s="635"/>
      <c r="O110" s="635"/>
      <c r="P110" s="528"/>
      <c r="Q110" s="530"/>
      <c r="R110" s="530"/>
      <c r="S110" s="528"/>
      <c r="T110" s="659"/>
      <c r="U110" s="528"/>
      <c r="V110" s="530"/>
      <c r="W110" s="530"/>
      <c r="X110" s="528"/>
      <c r="Y110" s="659"/>
      <c r="Z110" s="528"/>
      <c r="AA110" s="530"/>
      <c r="AB110" s="530"/>
      <c r="AC110" s="528"/>
      <c r="AD110" s="659"/>
      <c r="AE110" s="528"/>
      <c r="AF110" s="530"/>
      <c r="AG110" s="530"/>
      <c r="AH110" s="528"/>
      <c r="AI110" s="659"/>
      <c r="AJ110" s="528"/>
      <c r="AK110" s="530"/>
      <c r="AL110" s="530"/>
      <c r="AM110" s="528"/>
      <c r="AN110" s="659"/>
      <c r="AO110" s="528"/>
      <c r="AP110" s="530"/>
      <c r="AQ110" s="530"/>
      <c r="AR110" s="528"/>
      <c r="AS110" s="659"/>
      <c r="AT110" s="528"/>
      <c r="AU110" s="530"/>
      <c r="AV110" s="530"/>
      <c r="AW110" s="528"/>
      <c r="AX110" s="659"/>
      <c r="AZ110" s="373" t="e">
        <f t="shared" si="70"/>
        <v>#N/A</v>
      </c>
      <c r="BA110" s="698"/>
    </row>
    <row r="111" spans="2:53">
      <c r="B111" s="669"/>
      <c r="C111" s="352">
        <v>5</v>
      </c>
      <c r="D111" s="225"/>
      <c r="E111" s="181"/>
      <c r="F111" s="357"/>
      <c r="G111" s="358"/>
      <c r="H111" s="671"/>
      <c r="I111" s="367" t="str">
        <f t="shared" si="67"/>
        <v>-</v>
      </c>
      <c r="J111" s="367" t="str">
        <f t="shared" si="68"/>
        <v>-</v>
      </c>
      <c r="K111" s="199" t="str">
        <f t="shared" si="69"/>
        <v>-</v>
      </c>
      <c r="L111" s="617"/>
      <c r="M111" s="353" t="e">
        <f>RANK(K111, K$67:$K$81)</f>
        <v>#VALUE!</v>
      </c>
      <c r="N111" s="635"/>
      <c r="O111" s="635"/>
      <c r="P111" s="528"/>
      <c r="Q111" s="530"/>
      <c r="R111" s="530"/>
      <c r="S111" s="528"/>
      <c r="T111" s="659"/>
      <c r="U111" s="528"/>
      <c r="V111" s="530"/>
      <c r="W111" s="530"/>
      <c r="X111" s="528"/>
      <c r="Y111" s="659"/>
      <c r="Z111" s="528"/>
      <c r="AA111" s="530"/>
      <c r="AB111" s="530"/>
      <c r="AC111" s="528"/>
      <c r="AD111" s="659"/>
      <c r="AE111" s="528"/>
      <c r="AF111" s="530"/>
      <c r="AG111" s="530"/>
      <c r="AH111" s="528"/>
      <c r="AI111" s="659"/>
      <c r="AJ111" s="528"/>
      <c r="AK111" s="530"/>
      <c r="AL111" s="530"/>
      <c r="AM111" s="528"/>
      <c r="AN111" s="659"/>
      <c r="AO111" s="528"/>
      <c r="AP111" s="530"/>
      <c r="AQ111" s="530"/>
      <c r="AR111" s="528"/>
      <c r="AS111" s="659"/>
      <c r="AT111" s="528"/>
      <c r="AU111" s="530"/>
      <c r="AV111" s="530"/>
      <c r="AW111" s="528"/>
      <c r="AX111" s="659"/>
      <c r="AZ111" s="373" t="e">
        <f t="shared" si="70"/>
        <v>#N/A</v>
      </c>
      <c r="BA111" s="698"/>
    </row>
    <row r="112" spans="2:53">
      <c r="B112" s="669"/>
      <c r="C112" s="352">
        <v>6</v>
      </c>
      <c r="D112" s="225"/>
      <c r="E112" s="181"/>
      <c r="F112" s="357"/>
      <c r="G112" s="358"/>
      <c r="H112" s="671"/>
      <c r="I112" s="367" t="str">
        <f t="shared" si="67"/>
        <v>-</v>
      </c>
      <c r="J112" s="367" t="str">
        <f t="shared" si="68"/>
        <v>-</v>
      </c>
      <c r="K112" s="199" t="str">
        <f t="shared" si="69"/>
        <v>-</v>
      </c>
      <c r="L112" s="617"/>
      <c r="M112" s="353" t="e">
        <f>RANK(K112, K$67:$K$81)</f>
        <v>#VALUE!</v>
      </c>
      <c r="N112" s="635"/>
      <c r="O112" s="635"/>
      <c r="P112" s="528"/>
      <c r="Q112" s="530"/>
      <c r="R112" s="530"/>
      <c r="S112" s="528"/>
      <c r="T112" s="659"/>
      <c r="U112" s="528"/>
      <c r="V112" s="530"/>
      <c r="W112" s="530"/>
      <c r="X112" s="528"/>
      <c r="Y112" s="659"/>
      <c r="Z112" s="528"/>
      <c r="AA112" s="530"/>
      <c r="AB112" s="530"/>
      <c r="AC112" s="528"/>
      <c r="AD112" s="659"/>
      <c r="AE112" s="528"/>
      <c r="AF112" s="530"/>
      <c r="AG112" s="530"/>
      <c r="AH112" s="528"/>
      <c r="AI112" s="659"/>
      <c r="AJ112" s="528"/>
      <c r="AK112" s="530"/>
      <c r="AL112" s="530"/>
      <c r="AM112" s="528"/>
      <c r="AN112" s="659"/>
      <c r="AO112" s="528"/>
      <c r="AP112" s="530"/>
      <c r="AQ112" s="530"/>
      <c r="AR112" s="528"/>
      <c r="AS112" s="659"/>
      <c r="AT112" s="528"/>
      <c r="AU112" s="530"/>
      <c r="AV112" s="530"/>
      <c r="AW112" s="528"/>
      <c r="AX112" s="659"/>
      <c r="AZ112" s="373" t="e">
        <f t="shared" si="70"/>
        <v>#N/A</v>
      </c>
      <c r="BA112" s="698"/>
    </row>
    <row r="113" spans="2:53">
      <c r="B113" s="669"/>
      <c r="C113" s="352">
        <v>7</v>
      </c>
      <c r="D113" s="225"/>
      <c r="E113" s="181"/>
      <c r="F113" s="357"/>
      <c r="G113" s="358"/>
      <c r="H113" s="671"/>
      <c r="I113" s="367" t="str">
        <f t="shared" si="67"/>
        <v>-</v>
      </c>
      <c r="J113" s="367" t="str">
        <f t="shared" si="68"/>
        <v>-</v>
      </c>
      <c r="K113" s="199" t="str">
        <f t="shared" si="69"/>
        <v>-</v>
      </c>
      <c r="L113" s="617"/>
      <c r="M113" s="353" t="e">
        <f>RANK(K113, K$67:$K$81)</f>
        <v>#VALUE!</v>
      </c>
      <c r="N113" s="635"/>
      <c r="O113" s="635"/>
      <c r="P113" s="528"/>
      <c r="Q113" s="530"/>
      <c r="R113" s="530"/>
      <c r="S113" s="528"/>
      <c r="T113" s="659"/>
      <c r="U113" s="528"/>
      <c r="V113" s="530"/>
      <c r="W113" s="530"/>
      <c r="X113" s="528"/>
      <c r="Y113" s="659"/>
      <c r="Z113" s="528"/>
      <c r="AA113" s="530"/>
      <c r="AB113" s="530"/>
      <c r="AC113" s="528"/>
      <c r="AD113" s="659"/>
      <c r="AE113" s="528"/>
      <c r="AF113" s="530"/>
      <c r="AG113" s="530"/>
      <c r="AH113" s="528"/>
      <c r="AI113" s="659"/>
      <c r="AJ113" s="528"/>
      <c r="AK113" s="530"/>
      <c r="AL113" s="530"/>
      <c r="AM113" s="528"/>
      <c r="AN113" s="659"/>
      <c r="AO113" s="528"/>
      <c r="AP113" s="530"/>
      <c r="AQ113" s="530"/>
      <c r="AR113" s="528"/>
      <c r="AS113" s="659"/>
      <c r="AT113" s="528"/>
      <c r="AU113" s="530"/>
      <c r="AV113" s="530"/>
      <c r="AW113" s="528"/>
      <c r="AX113" s="659"/>
      <c r="AZ113" s="373" t="e">
        <f t="shared" si="70"/>
        <v>#N/A</v>
      </c>
      <c r="BA113" s="698"/>
    </row>
    <row r="114" spans="2:53">
      <c r="B114" s="669"/>
      <c r="C114" s="352">
        <v>8</v>
      </c>
      <c r="D114" s="225"/>
      <c r="E114" s="181"/>
      <c r="F114" s="357"/>
      <c r="G114" s="358"/>
      <c r="H114" s="671"/>
      <c r="I114" s="367" t="str">
        <f t="shared" si="67"/>
        <v>-</v>
      </c>
      <c r="J114" s="367" t="str">
        <f t="shared" si="68"/>
        <v>-</v>
      </c>
      <c r="K114" s="199" t="str">
        <f t="shared" si="69"/>
        <v>-</v>
      </c>
      <c r="L114" s="617"/>
      <c r="M114" s="353" t="e">
        <f>RANK(K114, K$67:$K$81)</f>
        <v>#VALUE!</v>
      </c>
      <c r="N114" s="635"/>
      <c r="O114" s="635"/>
      <c r="P114" s="528"/>
      <c r="Q114" s="530"/>
      <c r="R114" s="530"/>
      <c r="S114" s="528"/>
      <c r="T114" s="659"/>
      <c r="U114" s="528"/>
      <c r="V114" s="530"/>
      <c r="W114" s="530"/>
      <c r="X114" s="528"/>
      <c r="Y114" s="659"/>
      <c r="Z114" s="528"/>
      <c r="AA114" s="530"/>
      <c r="AB114" s="530"/>
      <c r="AC114" s="528"/>
      <c r="AD114" s="659"/>
      <c r="AE114" s="528"/>
      <c r="AF114" s="530"/>
      <c r="AG114" s="530"/>
      <c r="AH114" s="528"/>
      <c r="AI114" s="659"/>
      <c r="AJ114" s="528"/>
      <c r="AK114" s="530"/>
      <c r="AL114" s="530"/>
      <c r="AM114" s="528"/>
      <c r="AN114" s="659"/>
      <c r="AO114" s="528"/>
      <c r="AP114" s="530"/>
      <c r="AQ114" s="530"/>
      <c r="AR114" s="528"/>
      <c r="AS114" s="659"/>
      <c r="AT114" s="528"/>
      <c r="AU114" s="530"/>
      <c r="AV114" s="530"/>
      <c r="AW114" s="528"/>
      <c r="AX114" s="659"/>
      <c r="AZ114" s="373" t="e">
        <f t="shared" si="70"/>
        <v>#N/A</v>
      </c>
      <c r="BA114" s="698"/>
    </row>
    <row r="115" spans="2:53">
      <c r="B115" s="669"/>
      <c r="C115" s="352">
        <v>9</v>
      </c>
      <c r="D115" s="225"/>
      <c r="E115" s="181"/>
      <c r="F115" s="357"/>
      <c r="G115" s="358"/>
      <c r="H115" s="671"/>
      <c r="I115" s="367" t="str">
        <f t="shared" si="67"/>
        <v>-</v>
      </c>
      <c r="J115" s="367" t="str">
        <f t="shared" si="68"/>
        <v>-</v>
      </c>
      <c r="K115" s="199" t="str">
        <f t="shared" si="69"/>
        <v>-</v>
      </c>
      <c r="L115" s="617"/>
      <c r="M115" s="353" t="e">
        <f>RANK(K115, K$67:$K$81)</f>
        <v>#VALUE!</v>
      </c>
      <c r="N115" s="635"/>
      <c r="O115" s="635"/>
      <c r="P115" s="528"/>
      <c r="Q115" s="530"/>
      <c r="R115" s="530"/>
      <c r="S115" s="528"/>
      <c r="T115" s="659"/>
      <c r="U115" s="528"/>
      <c r="V115" s="530"/>
      <c r="W115" s="530"/>
      <c r="X115" s="528"/>
      <c r="Y115" s="659"/>
      <c r="Z115" s="528"/>
      <c r="AA115" s="530"/>
      <c r="AB115" s="530"/>
      <c r="AC115" s="528"/>
      <c r="AD115" s="659"/>
      <c r="AE115" s="528"/>
      <c r="AF115" s="530"/>
      <c r="AG115" s="530"/>
      <c r="AH115" s="528"/>
      <c r="AI115" s="659"/>
      <c r="AJ115" s="528"/>
      <c r="AK115" s="530"/>
      <c r="AL115" s="530"/>
      <c r="AM115" s="528"/>
      <c r="AN115" s="659"/>
      <c r="AO115" s="528"/>
      <c r="AP115" s="530"/>
      <c r="AQ115" s="530"/>
      <c r="AR115" s="528"/>
      <c r="AS115" s="659"/>
      <c r="AT115" s="528"/>
      <c r="AU115" s="530"/>
      <c r="AV115" s="530"/>
      <c r="AW115" s="528"/>
      <c r="AX115" s="659"/>
      <c r="AZ115" s="373" t="e">
        <f t="shared" si="70"/>
        <v>#N/A</v>
      </c>
      <c r="BA115" s="698"/>
    </row>
    <row r="116" spans="2:53">
      <c r="B116" s="669"/>
      <c r="C116" s="352">
        <v>10</v>
      </c>
      <c r="D116" s="225"/>
      <c r="E116" s="181"/>
      <c r="F116" s="357"/>
      <c r="G116" s="358"/>
      <c r="H116" s="671"/>
      <c r="I116" s="367" t="str">
        <f t="shared" si="67"/>
        <v>-</v>
      </c>
      <c r="J116" s="367" t="str">
        <f t="shared" si="68"/>
        <v>-</v>
      </c>
      <c r="K116" s="199" t="str">
        <f t="shared" si="69"/>
        <v>-</v>
      </c>
      <c r="L116" s="617"/>
      <c r="M116" s="353" t="e">
        <f>RANK(K116, K$67:$K$81)</f>
        <v>#VALUE!</v>
      </c>
      <c r="N116" s="635"/>
      <c r="O116" s="635"/>
      <c r="P116" s="528"/>
      <c r="Q116" s="530"/>
      <c r="R116" s="530"/>
      <c r="S116" s="528"/>
      <c r="T116" s="659"/>
      <c r="U116" s="528"/>
      <c r="V116" s="530"/>
      <c r="W116" s="530"/>
      <c r="X116" s="528"/>
      <c r="Y116" s="659"/>
      <c r="Z116" s="528"/>
      <c r="AA116" s="530"/>
      <c r="AB116" s="530"/>
      <c r="AC116" s="528"/>
      <c r="AD116" s="659"/>
      <c r="AE116" s="528"/>
      <c r="AF116" s="530"/>
      <c r="AG116" s="530"/>
      <c r="AH116" s="528"/>
      <c r="AI116" s="659"/>
      <c r="AJ116" s="528"/>
      <c r="AK116" s="530"/>
      <c r="AL116" s="530"/>
      <c r="AM116" s="528"/>
      <c r="AN116" s="659"/>
      <c r="AO116" s="528"/>
      <c r="AP116" s="530"/>
      <c r="AQ116" s="530"/>
      <c r="AR116" s="528"/>
      <c r="AS116" s="659"/>
      <c r="AT116" s="528"/>
      <c r="AU116" s="530"/>
      <c r="AV116" s="530"/>
      <c r="AW116" s="528"/>
      <c r="AX116" s="659"/>
      <c r="AZ116" s="373" t="e">
        <f t="shared" si="70"/>
        <v>#N/A</v>
      </c>
      <c r="BA116" s="698"/>
    </row>
    <row r="117" spans="2:53">
      <c r="B117" s="669"/>
      <c r="C117" s="352">
        <v>11</v>
      </c>
      <c r="D117" s="225"/>
      <c r="E117" s="181"/>
      <c r="F117" s="357"/>
      <c r="G117" s="358"/>
      <c r="H117" s="671"/>
      <c r="I117" s="367" t="str">
        <f t="shared" si="67"/>
        <v>-</v>
      </c>
      <c r="J117" s="367" t="str">
        <f t="shared" si="68"/>
        <v>-</v>
      </c>
      <c r="K117" s="199" t="str">
        <f t="shared" si="69"/>
        <v>-</v>
      </c>
      <c r="L117" s="617"/>
      <c r="M117" s="353" t="e">
        <f>RANK(K117, K$67:$K$81)</f>
        <v>#VALUE!</v>
      </c>
      <c r="N117" s="635"/>
      <c r="O117" s="635"/>
      <c r="P117" s="528"/>
      <c r="Q117" s="530"/>
      <c r="R117" s="530"/>
      <c r="S117" s="528"/>
      <c r="T117" s="659"/>
      <c r="U117" s="528"/>
      <c r="V117" s="530"/>
      <c r="W117" s="530"/>
      <c r="X117" s="528"/>
      <c r="Y117" s="659"/>
      <c r="Z117" s="528"/>
      <c r="AA117" s="530"/>
      <c r="AB117" s="530"/>
      <c r="AC117" s="528"/>
      <c r="AD117" s="659"/>
      <c r="AE117" s="528"/>
      <c r="AF117" s="530"/>
      <c r="AG117" s="530"/>
      <c r="AH117" s="528"/>
      <c r="AI117" s="659"/>
      <c r="AJ117" s="528"/>
      <c r="AK117" s="530"/>
      <c r="AL117" s="530"/>
      <c r="AM117" s="528"/>
      <c r="AN117" s="659"/>
      <c r="AO117" s="528"/>
      <c r="AP117" s="530"/>
      <c r="AQ117" s="530"/>
      <c r="AR117" s="528"/>
      <c r="AS117" s="659"/>
      <c r="AT117" s="528"/>
      <c r="AU117" s="530"/>
      <c r="AV117" s="530"/>
      <c r="AW117" s="528"/>
      <c r="AX117" s="659"/>
      <c r="AZ117" s="373" t="e">
        <f t="shared" si="70"/>
        <v>#N/A</v>
      </c>
      <c r="BA117" s="698"/>
    </row>
    <row r="118" spans="2:53">
      <c r="B118" s="669"/>
      <c r="C118" s="352">
        <v>12</v>
      </c>
      <c r="D118" s="225"/>
      <c r="E118" s="181"/>
      <c r="F118" s="357"/>
      <c r="G118" s="358"/>
      <c r="H118" s="671"/>
      <c r="I118" s="367" t="str">
        <f t="shared" si="67"/>
        <v>-</v>
      </c>
      <c r="J118" s="367" t="str">
        <f t="shared" si="68"/>
        <v>-</v>
      </c>
      <c r="K118" s="199" t="str">
        <f t="shared" si="69"/>
        <v>-</v>
      </c>
      <c r="L118" s="617"/>
      <c r="M118" s="353" t="e">
        <f>RANK(K118, K$67:$K$81)</f>
        <v>#VALUE!</v>
      </c>
      <c r="N118" s="635"/>
      <c r="O118" s="635"/>
      <c r="P118" s="528"/>
      <c r="Q118" s="530"/>
      <c r="R118" s="530"/>
      <c r="S118" s="528"/>
      <c r="T118" s="659"/>
      <c r="U118" s="528"/>
      <c r="V118" s="530"/>
      <c r="W118" s="530"/>
      <c r="X118" s="528"/>
      <c r="Y118" s="659"/>
      <c r="Z118" s="528"/>
      <c r="AA118" s="530"/>
      <c r="AB118" s="530"/>
      <c r="AC118" s="528"/>
      <c r="AD118" s="659"/>
      <c r="AE118" s="528"/>
      <c r="AF118" s="530"/>
      <c r="AG118" s="530"/>
      <c r="AH118" s="528"/>
      <c r="AI118" s="659"/>
      <c r="AJ118" s="528"/>
      <c r="AK118" s="530"/>
      <c r="AL118" s="530"/>
      <c r="AM118" s="528"/>
      <c r="AN118" s="659"/>
      <c r="AO118" s="528"/>
      <c r="AP118" s="530"/>
      <c r="AQ118" s="530"/>
      <c r="AR118" s="528"/>
      <c r="AS118" s="659"/>
      <c r="AT118" s="528"/>
      <c r="AU118" s="530"/>
      <c r="AV118" s="530"/>
      <c r="AW118" s="528"/>
      <c r="AX118" s="659"/>
      <c r="AZ118" s="373" t="e">
        <f t="shared" si="70"/>
        <v>#N/A</v>
      </c>
      <c r="BA118" s="698"/>
    </row>
    <row r="119" spans="2:53">
      <c r="B119" s="669"/>
      <c r="C119" s="352">
        <v>13</v>
      </c>
      <c r="D119" s="225"/>
      <c r="E119" s="181"/>
      <c r="F119" s="357"/>
      <c r="G119" s="358"/>
      <c r="H119" s="671"/>
      <c r="I119" s="367" t="str">
        <f t="shared" si="67"/>
        <v>-</v>
      </c>
      <c r="J119" s="367" t="str">
        <f t="shared" si="68"/>
        <v>-</v>
      </c>
      <c r="K119" s="199" t="str">
        <f t="shared" si="69"/>
        <v>-</v>
      </c>
      <c r="L119" s="617"/>
      <c r="M119" s="353" t="e">
        <f>RANK(K119, K$67:$K$81)</f>
        <v>#VALUE!</v>
      </c>
      <c r="N119" s="635"/>
      <c r="O119" s="635"/>
      <c r="P119" s="528"/>
      <c r="Q119" s="530"/>
      <c r="R119" s="530"/>
      <c r="S119" s="528"/>
      <c r="T119" s="659"/>
      <c r="U119" s="528"/>
      <c r="V119" s="530"/>
      <c r="W119" s="530"/>
      <c r="X119" s="528"/>
      <c r="Y119" s="659"/>
      <c r="Z119" s="528"/>
      <c r="AA119" s="530"/>
      <c r="AB119" s="530"/>
      <c r="AC119" s="528"/>
      <c r="AD119" s="659"/>
      <c r="AE119" s="528"/>
      <c r="AF119" s="530"/>
      <c r="AG119" s="530"/>
      <c r="AH119" s="528"/>
      <c r="AI119" s="659"/>
      <c r="AJ119" s="528"/>
      <c r="AK119" s="530"/>
      <c r="AL119" s="530"/>
      <c r="AM119" s="528"/>
      <c r="AN119" s="659"/>
      <c r="AO119" s="528"/>
      <c r="AP119" s="530"/>
      <c r="AQ119" s="530"/>
      <c r="AR119" s="528"/>
      <c r="AS119" s="659"/>
      <c r="AT119" s="528"/>
      <c r="AU119" s="530"/>
      <c r="AV119" s="530"/>
      <c r="AW119" s="528"/>
      <c r="AX119" s="659"/>
      <c r="AZ119" s="373" t="e">
        <f t="shared" si="70"/>
        <v>#N/A</v>
      </c>
      <c r="BA119" s="698"/>
    </row>
    <row r="120" spans="2:53">
      <c r="B120" s="669"/>
      <c r="C120" s="352">
        <v>14</v>
      </c>
      <c r="D120" s="225"/>
      <c r="E120" s="181"/>
      <c r="F120" s="357"/>
      <c r="G120" s="358"/>
      <c r="H120" s="671"/>
      <c r="I120" s="367" t="str">
        <f t="shared" si="67"/>
        <v>-</v>
      </c>
      <c r="J120" s="367" t="str">
        <f t="shared" si="68"/>
        <v>-</v>
      </c>
      <c r="K120" s="199" t="str">
        <f t="shared" si="69"/>
        <v>-</v>
      </c>
      <c r="L120" s="617"/>
      <c r="M120" s="353" t="e">
        <f>RANK(K120, K$67:$K$81)</f>
        <v>#VALUE!</v>
      </c>
      <c r="N120" s="635"/>
      <c r="O120" s="635"/>
      <c r="P120" s="528"/>
      <c r="Q120" s="530"/>
      <c r="R120" s="530"/>
      <c r="S120" s="528"/>
      <c r="T120" s="659"/>
      <c r="U120" s="528"/>
      <c r="V120" s="530"/>
      <c r="W120" s="530"/>
      <c r="X120" s="528"/>
      <c r="Y120" s="659"/>
      <c r="Z120" s="528"/>
      <c r="AA120" s="530"/>
      <c r="AB120" s="530"/>
      <c r="AC120" s="528"/>
      <c r="AD120" s="659"/>
      <c r="AE120" s="528"/>
      <c r="AF120" s="530"/>
      <c r="AG120" s="530"/>
      <c r="AH120" s="528"/>
      <c r="AI120" s="659"/>
      <c r="AJ120" s="528"/>
      <c r="AK120" s="530"/>
      <c r="AL120" s="530"/>
      <c r="AM120" s="528"/>
      <c r="AN120" s="659"/>
      <c r="AO120" s="528"/>
      <c r="AP120" s="530"/>
      <c r="AQ120" s="530"/>
      <c r="AR120" s="528"/>
      <c r="AS120" s="659"/>
      <c r="AT120" s="528"/>
      <c r="AU120" s="530"/>
      <c r="AV120" s="530"/>
      <c r="AW120" s="528"/>
      <c r="AX120" s="659"/>
      <c r="AZ120" s="373" t="e">
        <f t="shared" si="70"/>
        <v>#N/A</v>
      </c>
      <c r="BA120" s="698"/>
    </row>
    <row r="121" spans="2:53">
      <c r="B121" s="669"/>
      <c r="C121" s="352">
        <v>15</v>
      </c>
      <c r="D121" s="225"/>
      <c r="E121" s="181"/>
      <c r="F121" s="357"/>
      <c r="G121" s="358"/>
      <c r="H121" s="680"/>
      <c r="I121" s="369"/>
      <c r="J121" s="369"/>
      <c r="K121" s="369"/>
      <c r="L121" s="618"/>
      <c r="M121" s="353" t="e">
        <f>RANK(K121, K$67:$K$81)</f>
        <v>#N/A</v>
      </c>
      <c r="N121" s="635"/>
      <c r="O121" s="635"/>
      <c r="P121" s="528"/>
      <c r="Q121" s="530"/>
      <c r="R121" s="530"/>
      <c r="S121" s="528"/>
      <c r="T121" s="659"/>
      <c r="U121" s="528"/>
      <c r="V121" s="530"/>
      <c r="W121" s="530"/>
      <c r="X121" s="528"/>
      <c r="Y121" s="659"/>
      <c r="Z121" s="528"/>
      <c r="AA121" s="530"/>
      <c r="AB121" s="530"/>
      <c r="AC121" s="528"/>
      <c r="AD121" s="659"/>
      <c r="AE121" s="528"/>
      <c r="AF121" s="530"/>
      <c r="AG121" s="530"/>
      <c r="AH121" s="528"/>
      <c r="AI121" s="659"/>
      <c r="AJ121" s="528"/>
      <c r="AK121" s="530"/>
      <c r="AL121" s="530"/>
      <c r="AM121" s="528"/>
      <c r="AN121" s="659"/>
      <c r="AO121" s="528"/>
      <c r="AP121" s="530"/>
      <c r="AQ121" s="530"/>
      <c r="AR121" s="528"/>
      <c r="AS121" s="659"/>
      <c r="AT121" s="528"/>
      <c r="AU121" s="530"/>
      <c r="AV121" s="530"/>
      <c r="AW121" s="528"/>
      <c r="AX121" s="659"/>
      <c r="AZ121" s="373" t="e">
        <f t="shared" si="70"/>
        <v>#N/A</v>
      </c>
      <c r="BA121" s="698"/>
    </row>
    <row r="123" spans="2:53" ht="15.75">
      <c r="B123" s="672" t="s">
        <v>488</v>
      </c>
      <c r="C123" s="673"/>
      <c r="D123" s="673"/>
      <c r="E123" s="673"/>
      <c r="F123" s="673"/>
      <c r="G123" s="673"/>
      <c r="H123" s="674"/>
      <c r="I123" s="311"/>
      <c r="J123" s="311"/>
      <c r="K123" s="311"/>
      <c r="L123" s="311"/>
      <c r="M123" s="312"/>
    </row>
    <row r="124" spans="2:53" ht="15.75">
      <c r="B124" s="675"/>
      <c r="C124" s="675"/>
      <c r="D124" s="675"/>
      <c r="E124" s="675"/>
      <c r="F124" s="675"/>
      <c r="G124" s="675"/>
      <c r="H124" s="675"/>
      <c r="I124" s="313"/>
      <c r="J124" s="313"/>
      <c r="K124" s="313"/>
      <c r="L124" s="313"/>
      <c r="M124" s="314"/>
    </row>
    <row r="125" spans="2:53">
      <c r="B125" s="635" t="s">
        <v>154</v>
      </c>
      <c r="C125" s="635" t="s">
        <v>382</v>
      </c>
      <c r="D125" s="635"/>
      <c r="E125" s="635" t="s">
        <v>373</v>
      </c>
      <c r="F125" s="635"/>
      <c r="G125" s="635"/>
      <c r="H125" s="636" t="s">
        <v>369</v>
      </c>
      <c r="I125" s="676" t="s">
        <v>374</v>
      </c>
      <c r="J125" s="676"/>
      <c r="K125" s="676"/>
      <c r="L125" s="688" t="s">
        <v>369</v>
      </c>
      <c r="M125" s="691" t="s">
        <v>370</v>
      </c>
    </row>
    <row r="126" spans="2:53">
      <c r="B126" s="635"/>
      <c r="C126" s="635"/>
      <c r="D126" s="635"/>
      <c r="E126" s="635" t="s">
        <v>376</v>
      </c>
      <c r="F126" s="635"/>
      <c r="G126" s="635"/>
      <c r="H126" s="637"/>
      <c r="I126" s="676" t="s">
        <v>376</v>
      </c>
      <c r="J126" s="676"/>
      <c r="K126" s="676"/>
      <c r="L126" s="689"/>
      <c r="M126" s="692"/>
    </row>
    <row r="127" spans="2:53">
      <c r="B127" s="635"/>
      <c r="C127" s="635"/>
      <c r="D127" s="635"/>
      <c r="E127" s="308" t="s">
        <v>378</v>
      </c>
      <c r="F127" s="308" t="s">
        <v>379</v>
      </c>
      <c r="G127" s="308" t="s">
        <v>380</v>
      </c>
      <c r="H127" s="638"/>
      <c r="I127" s="315" t="s">
        <v>378</v>
      </c>
      <c r="J127" s="315" t="s">
        <v>379</v>
      </c>
      <c r="K127" s="315" t="s">
        <v>380</v>
      </c>
      <c r="L127" s="690"/>
      <c r="M127" s="693"/>
    </row>
    <row r="128" spans="2:53">
      <c r="B128" s="635" t="s">
        <v>384</v>
      </c>
      <c r="C128" s="307">
        <v>1</v>
      </c>
      <c r="D128" s="225"/>
      <c r="E128" s="181"/>
      <c r="F128" s="307"/>
      <c r="G128" s="310"/>
      <c r="H128" s="681" t="e">
        <f>AVERAGE(G128:G142)</f>
        <v>#DIV/0!</v>
      </c>
      <c r="I128" s="198" t="e">
        <f t="shared" ref="I128:J137" si="71">AVERAGEIF($D$7:$D$121,$D128,I$7:I$121)</f>
        <v>#DIV/0!</v>
      </c>
      <c r="J128" s="198" t="e">
        <f t="shared" si="71"/>
        <v>#DIV/0!</v>
      </c>
      <c r="K128" s="198" t="e">
        <f t="shared" ref="K128:K137" si="72">AVERAGEIF($D$7:$D$121,$D128,K$7:K$121)</f>
        <v>#DIV/0!</v>
      </c>
      <c r="L128" s="685" t="e">
        <f>AVERAGE(K128:K142)</f>
        <v>#DIV/0!</v>
      </c>
      <c r="M128" s="198" t="e">
        <f>RANK(K128, K$128:$K$142)</f>
        <v>#DIV/0!</v>
      </c>
    </row>
    <row r="129" spans="2:39">
      <c r="B129" s="646"/>
      <c r="C129" s="307">
        <v>2</v>
      </c>
      <c r="D129" s="225"/>
      <c r="E129" s="181"/>
      <c r="F129" s="307"/>
      <c r="G129" s="310"/>
      <c r="H129" s="682"/>
      <c r="I129" s="198" t="e">
        <f t="shared" si="71"/>
        <v>#DIV/0!</v>
      </c>
      <c r="J129" s="198" t="e">
        <f t="shared" si="71"/>
        <v>#DIV/0!</v>
      </c>
      <c r="K129" s="198" t="e">
        <f t="shared" si="72"/>
        <v>#DIV/0!</v>
      </c>
      <c r="L129" s="686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6"/>
      <c r="C130" s="307">
        <v>3</v>
      </c>
      <c r="D130" s="225"/>
      <c r="E130" s="181"/>
      <c r="F130" s="307"/>
      <c r="G130" s="310"/>
      <c r="H130" s="682"/>
      <c r="I130" s="198" t="e">
        <f t="shared" si="71"/>
        <v>#DIV/0!</v>
      </c>
      <c r="J130" s="198" t="e">
        <f t="shared" si="71"/>
        <v>#DIV/0!</v>
      </c>
      <c r="K130" s="198" t="e">
        <f t="shared" si="72"/>
        <v>#DIV/0!</v>
      </c>
      <c r="L130" s="686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6"/>
      <c r="C131" s="307">
        <v>4</v>
      </c>
      <c r="D131" s="225"/>
      <c r="E131" s="181"/>
      <c r="F131" s="307"/>
      <c r="G131" s="310"/>
      <c r="H131" s="682"/>
      <c r="I131" s="198" t="e">
        <f t="shared" si="71"/>
        <v>#DIV/0!</v>
      </c>
      <c r="J131" s="198" t="e">
        <f t="shared" si="71"/>
        <v>#DIV/0!</v>
      </c>
      <c r="K131" s="198" t="e">
        <f t="shared" si="72"/>
        <v>#DIV/0!</v>
      </c>
      <c r="L131" s="686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6"/>
      <c r="C132" s="307">
        <v>5</v>
      </c>
      <c r="D132" s="225"/>
      <c r="E132" s="181"/>
      <c r="F132" s="307"/>
      <c r="G132" s="310"/>
      <c r="H132" s="682"/>
      <c r="I132" s="198" t="e">
        <f t="shared" si="71"/>
        <v>#DIV/0!</v>
      </c>
      <c r="J132" s="198" t="e">
        <f t="shared" si="71"/>
        <v>#DIV/0!</v>
      </c>
      <c r="K132" s="198" t="e">
        <f t="shared" si="72"/>
        <v>#DIV/0!</v>
      </c>
      <c r="L132" s="686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6"/>
      <c r="C133" s="307">
        <v>6</v>
      </c>
      <c r="D133" s="316"/>
      <c r="E133" s="181"/>
      <c r="F133" s="307"/>
      <c r="G133" s="310"/>
      <c r="H133" s="682"/>
      <c r="I133" s="198" t="e">
        <f t="shared" si="71"/>
        <v>#DIV/0!</v>
      </c>
      <c r="J133" s="198" t="e">
        <f t="shared" si="71"/>
        <v>#DIV/0!</v>
      </c>
      <c r="K133" s="198" t="e">
        <f t="shared" si="72"/>
        <v>#DIV/0!</v>
      </c>
      <c r="L133" s="686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6"/>
      <c r="C134" s="307">
        <v>7</v>
      </c>
      <c r="D134" s="225"/>
      <c r="E134" s="181"/>
      <c r="F134" s="307"/>
      <c r="G134" s="310"/>
      <c r="H134" s="682"/>
      <c r="I134" s="198" t="e">
        <f t="shared" si="71"/>
        <v>#DIV/0!</v>
      </c>
      <c r="J134" s="198" t="e">
        <f t="shared" si="71"/>
        <v>#DIV/0!</v>
      </c>
      <c r="K134" s="198" t="e">
        <f t="shared" si="72"/>
        <v>#DIV/0!</v>
      </c>
      <c r="L134" s="686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6"/>
      <c r="C135" s="307">
        <v>8</v>
      </c>
      <c r="D135" s="225"/>
      <c r="E135" s="181"/>
      <c r="F135" s="307"/>
      <c r="G135" s="310"/>
      <c r="H135" s="682"/>
      <c r="I135" s="198" t="e">
        <f t="shared" si="71"/>
        <v>#DIV/0!</v>
      </c>
      <c r="J135" s="198" t="e">
        <f t="shared" si="71"/>
        <v>#DIV/0!</v>
      </c>
      <c r="K135" s="198" t="e">
        <f t="shared" si="72"/>
        <v>#DIV/0!</v>
      </c>
      <c r="L135" s="686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6"/>
      <c r="C136" s="307">
        <v>9</v>
      </c>
      <c r="D136" s="225"/>
      <c r="E136" s="307"/>
      <c r="F136" s="307"/>
      <c r="G136" s="307"/>
      <c r="H136" s="682"/>
      <c r="I136" s="198" t="e">
        <f t="shared" si="71"/>
        <v>#DIV/0!</v>
      </c>
      <c r="J136" s="198" t="e">
        <f t="shared" si="71"/>
        <v>#DIV/0!</v>
      </c>
      <c r="K136" s="198" t="e">
        <f t="shared" si="72"/>
        <v>#DIV/0!</v>
      </c>
      <c r="L136" s="686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6"/>
      <c r="C137" s="307">
        <v>10</v>
      </c>
      <c r="D137" s="225"/>
      <c r="E137" s="307"/>
      <c r="F137" s="307"/>
      <c r="G137" s="307"/>
      <c r="H137" s="682"/>
      <c r="I137" s="198" t="e">
        <f t="shared" si="71"/>
        <v>#DIV/0!</v>
      </c>
      <c r="J137" s="198" t="e">
        <f t="shared" si="71"/>
        <v>#DIV/0!</v>
      </c>
      <c r="K137" s="198" t="e">
        <f t="shared" si="72"/>
        <v>#DIV/0!</v>
      </c>
      <c r="L137" s="686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6"/>
      <c r="C138" s="307">
        <v>11</v>
      </c>
      <c r="D138" s="225"/>
      <c r="E138" s="307"/>
      <c r="F138" s="307"/>
      <c r="G138" s="307"/>
      <c r="H138" s="682"/>
      <c r="I138" s="198"/>
      <c r="J138" s="198"/>
      <c r="K138" s="198"/>
      <c r="L138" s="686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6"/>
      <c r="C139" s="307">
        <v>12</v>
      </c>
      <c r="D139" s="225"/>
      <c r="E139" s="307"/>
      <c r="F139" s="307"/>
      <c r="G139" s="307"/>
      <c r="H139" s="682"/>
      <c r="I139" s="198"/>
      <c r="J139" s="198"/>
      <c r="K139" s="198"/>
      <c r="L139" s="686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6"/>
      <c r="C140" s="307">
        <v>13</v>
      </c>
      <c r="D140" s="225"/>
      <c r="E140" s="307"/>
      <c r="F140" s="307"/>
      <c r="G140" s="307"/>
      <c r="H140" s="682"/>
      <c r="I140" s="198"/>
      <c r="J140" s="198"/>
      <c r="K140" s="198"/>
      <c r="L140" s="686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6"/>
      <c r="C141" s="307">
        <v>14</v>
      </c>
      <c r="D141" s="225"/>
      <c r="E141" s="307"/>
      <c r="F141" s="307"/>
      <c r="G141" s="307"/>
      <c r="H141" s="682"/>
      <c r="I141" s="198"/>
      <c r="J141" s="198"/>
      <c r="K141" s="198"/>
      <c r="L141" s="686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6"/>
      <c r="C142" s="307">
        <v>15</v>
      </c>
      <c r="D142" s="225"/>
      <c r="E142" s="307"/>
      <c r="F142" s="307"/>
      <c r="G142" s="307"/>
      <c r="H142" s="683"/>
      <c r="I142" s="198"/>
      <c r="J142" s="198"/>
      <c r="K142" s="198"/>
      <c r="L142" s="687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43" zoomScale="70" zoomScaleNormal="70" workbookViewId="0">
      <pane xSplit="15" topLeftCell="AN1" activePane="topRight" state="frozen"/>
      <selection activeCell="D27" activeCellId="1" sqref="D47:G61 D27:G41"/>
      <selection pane="topRight" activeCell="D47" sqref="D47:D5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121.75135219613767</v>
      </c>
    </row>
    <row r="2" spans="1:53" ht="15.75">
      <c r="A2" s="81"/>
      <c r="B2" s="650" t="s">
        <v>162</v>
      </c>
      <c r="C2" s="650"/>
      <c r="D2" s="650"/>
      <c r="E2" s="650"/>
      <c r="F2" s="650"/>
      <c r="G2" s="650"/>
      <c r="H2" s="650"/>
      <c r="I2" s="288"/>
      <c r="J2" s="288"/>
      <c r="K2" s="288"/>
      <c r="L2" s="288"/>
      <c r="M2" s="196"/>
      <c r="N2" s="639" t="s">
        <v>156</v>
      </c>
      <c r="O2" s="639" t="s">
        <v>155</v>
      </c>
      <c r="P2" s="645">
        <v>46203</v>
      </c>
      <c r="Q2" s="646"/>
      <c r="R2" s="646"/>
      <c r="S2" s="646"/>
      <c r="T2" s="646"/>
      <c r="U2" s="642">
        <f>P2+1</f>
        <v>46204</v>
      </c>
      <c r="V2" s="643"/>
      <c r="W2" s="643"/>
      <c r="X2" s="643"/>
      <c r="Y2" s="644"/>
      <c r="Z2" s="642">
        <f>U2+1</f>
        <v>46205</v>
      </c>
      <c r="AA2" s="643"/>
      <c r="AB2" s="643"/>
      <c r="AC2" s="643"/>
      <c r="AD2" s="644"/>
      <c r="AE2" s="642">
        <f>Z2+1</f>
        <v>46206</v>
      </c>
      <c r="AF2" s="643"/>
      <c r="AG2" s="643"/>
      <c r="AH2" s="643"/>
      <c r="AI2" s="644"/>
      <c r="AJ2" s="642">
        <f>AE2+1</f>
        <v>46207</v>
      </c>
      <c r="AK2" s="643"/>
      <c r="AL2" s="643"/>
      <c r="AM2" s="643"/>
      <c r="AN2" s="644"/>
      <c r="AO2" s="642">
        <f>AJ2+1</f>
        <v>46208</v>
      </c>
      <c r="AP2" s="643"/>
      <c r="AQ2" s="643"/>
      <c r="AR2" s="643"/>
      <c r="AS2" s="644"/>
      <c r="AT2" s="642">
        <f>AO2+1</f>
        <v>46209</v>
      </c>
      <c r="AU2" s="643"/>
      <c r="AV2" s="643"/>
      <c r="AW2" s="643"/>
      <c r="AX2" s="644"/>
    </row>
    <row r="3" spans="1:53" ht="15.75">
      <c r="A3" s="81"/>
      <c r="B3" s="684"/>
      <c r="C3" s="684"/>
      <c r="D3" s="684"/>
      <c r="E3" s="684"/>
      <c r="F3" s="684"/>
      <c r="G3" s="684"/>
      <c r="H3" s="684"/>
      <c r="I3" s="289"/>
      <c r="J3" s="289"/>
      <c r="K3" s="289"/>
      <c r="L3" s="289"/>
      <c r="M3" s="197"/>
      <c r="N3" s="641"/>
      <c r="O3" s="641"/>
      <c r="P3" s="645" t="s">
        <v>158</v>
      </c>
      <c r="Q3" s="646"/>
      <c r="R3" s="646"/>
      <c r="S3" s="646"/>
      <c r="T3" s="646"/>
      <c r="U3" s="645" t="s">
        <v>114</v>
      </c>
      <c r="V3" s="646"/>
      <c r="W3" s="646"/>
      <c r="X3" s="646"/>
      <c r="Y3" s="646"/>
      <c r="Z3" s="645" t="s">
        <v>159</v>
      </c>
      <c r="AA3" s="646"/>
      <c r="AB3" s="646"/>
      <c r="AC3" s="646"/>
      <c r="AD3" s="646"/>
      <c r="AE3" s="645" t="s">
        <v>157</v>
      </c>
      <c r="AF3" s="646"/>
      <c r="AG3" s="646"/>
      <c r="AH3" s="646"/>
      <c r="AI3" s="646"/>
      <c r="AJ3" s="645" t="s">
        <v>160</v>
      </c>
      <c r="AK3" s="646"/>
      <c r="AL3" s="646"/>
      <c r="AM3" s="646"/>
      <c r="AN3" s="646"/>
      <c r="AO3" s="645" t="s">
        <v>115</v>
      </c>
      <c r="AP3" s="646"/>
      <c r="AQ3" s="646"/>
      <c r="AR3" s="646"/>
      <c r="AS3" s="646"/>
      <c r="AT3" s="645" t="s">
        <v>161</v>
      </c>
      <c r="AU3" s="646"/>
      <c r="AV3" s="646"/>
      <c r="AW3" s="646"/>
      <c r="AX3" s="646"/>
    </row>
    <row r="4" spans="1:53" ht="14.25">
      <c r="A4" s="81"/>
      <c r="B4" s="635" t="s">
        <v>535</v>
      </c>
      <c r="C4" s="635" t="s">
        <v>382</v>
      </c>
      <c r="D4" s="635"/>
      <c r="E4" s="635" t="s">
        <v>373</v>
      </c>
      <c r="F4" s="635"/>
      <c r="G4" s="635"/>
      <c r="H4" s="636" t="s">
        <v>369</v>
      </c>
      <c r="I4" s="619" t="s">
        <v>374</v>
      </c>
      <c r="J4" s="619"/>
      <c r="K4" s="619"/>
      <c r="L4" s="620" t="s">
        <v>369</v>
      </c>
      <c r="M4" s="626" t="s">
        <v>370</v>
      </c>
      <c r="N4" s="635"/>
      <c r="O4" s="635" t="s">
        <v>375</v>
      </c>
      <c r="P4" s="632" t="s">
        <v>371</v>
      </c>
      <c r="Q4" s="633"/>
      <c r="R4" s="633"/>
      <c r="S4" s="634"/>
      <c r="T4" s="635" t="s">
        <v>369</v>
      </c>
      <c r="U4" s="632" t="s">
        <v>371</v>
      </c>
      <c r="V4" s="633"/>
      <c r="W4" s="633"/>
      <c r="X4" s="634"/>
      <c r="Y4" s="635" t="s">
        <v>369</v>
      </c>
      <c r="Z4" s="632" t="s">
        <v>371</v>
      </c>
      <c r="AA4" s="633"/>
      <c r="AB4" s="633"/>
      <c r="AC4" s="634"/>
      <c r="AD4" s="635" t="s">
        <v>369</v>
      </c>
      <c r="AE4" s="632" t="s">
        <v>371</v>
      </c>
      <c r="AF4" s="633"/>
      <c r="AG4" s="633"/>
      <c r="AH4" s="634"/>
      <c r="AI4" s="635" t="s">
        <v>369</v>
      </c>
      <c r="AJ4" s="632" t="s">
        <v>371</v>
      </c>
      <c r="AK4" s="633"/>
      <c r="AL4" s="633"/>
      <c r="AM4" s="634"/>
      <c r="AN4" s="635" t="s">
        <v>369</v>
      </c>
      <c r="AO4" s="632" t="s">
        <v>371</v>
      </c>
      <c r="AP4" s="633"/>
      <c r="AQ4" s="633"/>
      <c r="AR4" s="634"/>
      <c r="AS4" s="635" t="s">
        <v>369</v>
      </c>
      <c r="AT4" s="632" t="s">
        <v>371</v>
      </c>
      <c r="AU4" s="633"/>
      <c r="AV4" s="633"/>
      <c r="AW4" s="634"/>
      <c r="AX4" s="635" t="s">
        <v>369</v>
      </c>
      <c r="BA4" s="635" t="s">
        <v>369</v>
      </c>
    </row>
    <row r="5" spans="1:53" ht="14.25">
      <c r="A5" s="81"/>
      <c r="B5" s="635"/>
      <c r="C5" s="635"/>
      <c r="D5" s="635"/>
      <c r="E5" s="635" t="s">
        <v>376</v>
      </c>
      <c r="F5" s="635"/>
      <c r="G5" s="635"/>
      <c r="H5" s="637"/>
      <c r="I5" s="619" t="s">
        <v>376</v>
      </c>
      <c r="J5" s="619"/>
      <c r="K5" s="619"/>
      <c r="L5" s="621"/>
      <c r="M5" s="627"/>
      <c r="N5" s="635"/>
      <c r="O5" s="635"/>
      <c r="P5" s="632" t="s">
        <v>377</v>
      </c>
      <c r="Q5" s="633"/>
      <c r="R5" s="633"/>
      <c r="S5" s="634"/>
      <c r="T5" s="635"/>
      <c r="U5" s="632" t="s">
        <v>377</v>
      </c>
      <c r="V5" s="633"/>
      <c r="W5" s="633"/>
      <c r="X5" s="634"/>
      <c r="Y5" s="635"/>
      <c r="Z5" s="632" t="s">
        <v>377</v>
      </c>
      <c r="AA5" s="633"/>
      <c r="AB5" s="633"/>
      <c r="AC5" s="634"/>
      <c r="AD5" s="635"/>
      <c r="AE5" s="632" t="s">
        <v>377</v>
      </c>
      <c r="AF5" s="633"/>
      <c r="AG5" s="633"/>
      <c r="AH5" s="634"/>
      <c r="AI5" s="635"/>
      <c r="AJ5" s="632" t="s">
        <v>377</v>
      </c>
      <c r="AK5" s="633"/>
      <c r="AL5" s="633"/>
      <c r="AM5" s="634"/>
      <c r="AN5" s="635"/>
      <c r="AO5" s="632" t="s">
        <v>377</v>
      </c>
      <c r="AP5" s="633"/>
      <c r="AQ5" s="633"/>
      <c r="AR5" s="634"/>
      <c r="AS5" s="635"/>
      <c r="AT5" s="632" t="s">
        <v>377</v>
      </c>
      <c r="AU5" s="633"/>
      <c r="AV5" s="633"/>
      <c r="AW5" s="634"/>
      <c r="AX5" s="635"/>
      <c r="BA5" s="635"/>
    </row>
    <row r="6" spans="1:53" ht="14.25">
      <c r="A6" s="79"/>
      <c r="B6" s="635"/>
      <c r="C6" s="635"/>
      <c r="D6" s="635"/>
      <c r="E6" s="382" t="s">
        <v>378</v>
      </c>
      <c r="F6" s="382" t="s">
        <v>379</v>
      </c>
      <c r="G6" s="382" t="s">
        <v>380</v>
      </c>
      <c r="H6" s="638"/>
      <c r="I6" s="381" t="s">
        <v>378</v>
      </c>
      <c r="J6" s="381" t="s">
        <v>379</v>
      </c>
      <c r="K6" s="381" t="s">
        <v>380</v>
      </c>
      <c r="L6" s="622"/>
      <c r="M6" s="628"/>
      <c r="N6" s="635"/>
      <c r="O6" s="635"/>
      <c r="P6" s="533" t="s">
        <v>378</v>
      </c>
      <c r="Q6" s="533" t="s">
        <v>379</v>
      </c>
      <c r="R6" s="533" t="s">
        <v>380</v>
      </c>
      <c r="S6" s="533" t="s">
        <v>370</v>
      </c>
      <c r="T6" s="635"/>
      <c r="U6" s="533" t="s">
        <v>378</v>
      </c>
      <c r="V6" s="533" t="s">
        <v>379</v>
      </c>
      <c r="W6" s="533" t="s">
        <v>380</v>
      </c>
      <c r="X6" s="533" t="s">
        <v>370</v>
      </c>
      <c r="Y6" s="635"/>
      <c r="Z6" s="533" t="s">
        <v>378</v>
      </c>
      <c r="AA6" s="533" t="s">
        <v>379</v>
      </c>
      <c r="AB6" s="533" t="s">
        <v>380</v>
      </c>
      <c r="AC6" s="533" t="s">
        <v>370</v>
      </c>
      <c r="AD6" s="635"/>
      <c r="AE6" s="533" t="s">
        <v>378</v>
      </c>
      <c r="AF6" s="533" t="s">
        <v>379</v>
      </c>
      <c r="AG6" s="533" t="s">
        <v>380</v>
      </c>
      <c r="AH6" s="533" t="s">
        <v>370</v>
      </c>
      <c r="AI6" s="635"/>
      <c r="AJ6" s="533" t="s">
        <v>378</v>
      </c>
      <c r="AK6" s="533" t="s">
        <v>379</v>
      </c>
      <c r="AL6" s="533" t="s">
        <v>380</v>
      </c>
      <c r="AM6" s="533" t="s">
        <v>370</v>
      </c>
      <c r="AN6" s="635"/>
      <c r="AO6" s="533" t="s">
        <v>378</v>
      </c>
      <c r="AP6" s="533" t="s">
        <v>379</v>
      </c>
      <c r="AQ6" s="533" t="s">
        <v>380</v>
      </c>
      <c r="AR6" s="533" t="s">
        <v>370</v>
      </c>
      <c r="AS6" s="635"/>
      <c r="AT6" s="533" t="s">
        <v>378</v>
      </c>
      <c r="AU6" s="533" t="s">
        <v>379</v>
      </c>
      <c r="AV6" s="533" t="s">
        <v>380</v>
      </c>
      <c r="AW6" s="533" t="s">
        <v>370</v>
      </c>
      <c r="AX6" s="635"/>
      <c r="AZ6" s="371" t="s">
        <v>370</v>
      </c>
      <c r="BA6" s="635"/>
    </row>
    <row r="7" spans="1:53" ht="14.25">
      <c r="A7" s="81"/>
      <c r="B7" s="635" t="s">
        <v>136</v>
      </c>
      <c r="C7" s="383">
        <v>1</v>
      </c>
      <c r="D7" s="225" t="s">
        <v>352</v>
      </c>
      <c r="E7" s="539">
        <v>20</v>
      </c>
      <c r="F7" s="535">
        <v>2400</v>
      </c>
      <c r="G7" s="534">
        <v>120</v>
      </c>
      <c r="H7" s="681">
        <f>AVERAGE(G7:G21)</f>
        <v>135.92479661721146</v>
      </c>
      <c r="I7" s="385">
        <f t="shared" ref="I7:I20" si="0">IFERROR(AVERAGE(P7,U7,Z7,AE7,AJ7,AO7,AT7),"-")</f>
        <v>20</v>
      </c>
      <c r="J7" s="385">
        <f t="shared" ref="J7:J20" si="1">IFERROR(AVERAGE(Q7,V7,AA7,AF7,AK7,AP7,AU7),"-")</f>
        <v>2353.1911509478955</v>
      </c>
      <c r="K7" s="199">
        <f t="shared" ref="K7:K20" si="2">IFERROR(AVERAGE(R7,W7,AB7,AG7,AL7,AQ7,AV7),"-")</f>
        <v>117.65955754739477</v>
      </c>
      <c r="L7" s="616">
        <f>IFERROR(AVERAGE(K7:K21),"-")</f>
        <v>122.10492120958139</v>
      </c>
      <c r="M7" s="387">
        <f>RANK(K7, K$7:$K$21)</f>
        <v>8</v>
      </c>
      <c r="N7" s="635"/>
      <c r="O7" s="635"/>
      <c r="P7" s="535">
        <v>20</v>
      </c>
      <c r="Q7" s="539">
        <v>2332.2352941176468</v>
      </c>
      <c r="R7" s="539">
        <v>116.61176470588234</v>
      </c>
      <c r="S7" s="535">
        <v>8</v>
      </c>
      <c r="T7" s="659">
        <v>122.43988124924577</v>
      </c>
      <c r="U7" s="535">
        <v>20</v>
      </c>
      <c r="V7" s="539">
        <v>2370.3021582733813</v>
      </c>
      <c r="W7" s="539">
        <v>118.51510791366907</v>
      </c>
      <c r="X7" s="535">
        <v>8</v>
      </c>
      <c r="Y7" s="659">
        <v>123.2882683540186</v>
      </c>
      <c r="Z7" s="535">
        <v>20</v>
      </c>
      <c r="AA7" s="539">
        <v>2369.7024793388418</v>
      </c>
      <c r="AB7" s="539">
        <v>118.4851239669421</v>
      </c>
      <c r="AC7" s="535">
        <v>7</v>
      </c>
      <c r="AD7" s="659">
        <v>122.73542545784076</v>
      </c>
      <c r="AE7" s="535">
        <v>20</v>
      </c>
      <c r="AF7" s="539">
        <v>2312.4495867768587</v>
      </c>
      <c r="AG7" s="539">
        <v>115.62247933884294</v>
      </c>
      <c r="AH7" s="535">
        <v>7</v>
      </c>
      <c r="AI7" s="659">
        <v>120.25242574894564</v>
      </c>
      <c r="AJ7" s="535">
        <v>20</v>
      </c>
      <c r="AK7" s="539">
        <v>2365.1047619047617</v>
      </c>
      <c r="AL7" s="539">
        <v>118.25523809523808</v>
      </c>
      <c r="AM7" s="535">
        <v>7</v>
      </c>
      <c r="AN7" s="659">
        <v>121.28313640250053</v>
      </c>
      <c r="AO7" s="535">
        <v>20</v>
      </c>
      <c r="AP7" s="539">
        <v>2368.5969230769228</v>
      </c>
      <c r="AQ7" s="539">
        <v>118.42984615384614</v>
      </c>
      <c r="AR7" s="535">
        <v>7</v>
      </c>
      <c r="AS7" s="659">
        <v>121.03971409920814</v>
      </c>
      <c r="AT7" s="535">
        <v>20</v>
      </c>
      <c r="AU7" s="539">
        <v>2353.9468531468538</v>
      </c>
      <c r="AV7" s="539">
        <v>117.69734265734269</v>
      </c>
      <c r="AW7" s="535">
        <v>8</v>
      </c>
      <c r="AX7" s="659">
        <v>123.69559715531027</v>
      </c>
      <c r="AZ7" s="373" t="e">
        <f t="shared" ref="AZ7:AZ21" si="3">RANK(AY7, AY$7:AY$21)</f>
        <v>#N/A</v>
      </c>
      <c r="BA7" s="694" t="e">
        <f t="shared" ref="BA7" si="4">AVERAGE(AY7:AY21)</f>
        <v>#DIV/0!</v>
      </c>
    </row>
    <row r="8" spans="1:53" ht="15" customHeight="1">
      <c r="A8" s="81"/>
      <c r="B8" s="669"/>
      <c r="C8" s="383">
        <v>2</v>
      </c>
      <c r="D8" s="225" t="s">
        <v>353</v>
      </c>
      <c r="E8" s="539">
        <v>18</v>
      </c>
      <c r="F8" s="535">
        <v>2769</v>
      </c>
      <c r="G8" s="534">
        <v>153.83333333333334</v>
      </c>
      <c r="H8" s="682"/>
      <c r="I8" s="385">
        <f t="shared" si="0"/>
        <v>18.142857142857142</v>
      </c>
      <c r="J8" s="385">
        <f t="shared" si="1"/>
        <v>2521.0757003760541</v>
      </c>
      <c r="K8" s="199">
        <f t="shared" si="2"/>
        <v>139.00587642022353</v>
      </c>
      <c r="L8" s="617"/>
      <c r="M8" s="387">
        <f>RANK(K8, K$7:$K$21)</f>
        <v>2</v>
      </c>
      <c r="N8" s="635"/>
      <c r="O8" s="635"/>
      <c r="P8" s="535">
        <v>19</v>
      </c>
      <c r="Q8" s="539">
        <v>2523.0000000000023</v>
      </c>
      <c r="R8" s="539">
        <v>132.78947368421063</v>
      </c>
      <c r="S8" s="535">
        <v>3</v>
      </c>
      <c r="T8" s="659"/>
      <c r="U8" s="535">
        <v>18</v>
      </c>
      <c r="V8" s="539">
        <v>2515.1612903225828</v>
      </c>
      <c r="W8" s="539">
        <v>139.73118279569906</v>
      </c>
      <c r="X8" s="535">
        <v>1</v>
      </c>
      <c r="Y8" s="659"/>
      <c r="Z8" s="535">
        <v>18</v>
      </c>
      <c r="AA8" s="539">
        <v>2541.1764705882388</v>
      </c>
      <c r="AB8" s="539">
        <v>141.17647058823547</v>
      </c>
      <c r="AC8" s="535">
        <v>2</v>
      </c>
      <c r="AD8" s="659"/>
      <c r="AE8" s="535">
        <v>18</v>
      </c>
      <c r="AF8" s="539">
        <v>2482.941176470591</v>
      </c>
      <c r="AG8" s="539">
        <v>137.9411764705884</v>
      </c>
      <c r="AH8" s="535">
        <v>1</v>
      </c>
      <c r="AI8" s="659"/>
      <c r="AJ8" s="535">
        <v>18</v>
      </c>
      <c r="AK8" s="539">
        <v>2502.9729729729711</v>
      </c>
      <c r="AL8" s="539">
        <v>139.05405405405395</v>
      </c>
      <c r="AM8" s="535">
        <v>2</v>
      </c>
      <c r="AN8" s="659"/>
      <c r="AO8" s="535">
        <v>18</v>
      </c>
      <c r="AP8" s="539">
        <v>2537.142857142856</v>
      </c>
      <c r="AQ8" s="539">
        <v>140.95238095238088</v>
      </c>
      <c r="AR8" s="535">
        <v>1</v>
      </c>
      <c r="AS8" s="659"/>
      <c r="AT8" s="535">
        <v>18</v>
      </c>
      <c r="AU8" s="539">
        <v>2545.1351351351332</v>
      </c>
      <c r="AV8" s="539">
        <v>141.39639639639628</v>
      </c>
      <c r="AW8" s="535">
        <v>1</v>
      </c>
      <c r="AX8" s="659"/>
      <c r="AZ8" s="373" t="e">
        <f t="shared" si="3"/>
        <v>#N/A</v>
      </c>
      <c r="BA8" s="694"/>
    </row>
    <row r="9" spans="1:53" ht="14.25">
      <c r="A9" s="81"/>
      <c r="B9" s="669"/>
      <c r="C9" s="383">
        <v>3</v>
      </c>
      <c r="D9" s="225" t="s">
        <v>354</v>
      </c>
      <c r="E9" s="539">
        <v>19</v>
      </c>
      <c r="F9" s="535">
        <v>2769</v>
      </c>
      <c r="G9" s="534">
        <v>145.73684210526315</v>
      </c>
      <c r="H9" s="682"/>
      <c r="I9" s="385">
        <f t="shared" si="0"/>
        <v>19</v>
      </c>
      <c r="J9" s="385">
        <f t="shared" si="1"/>
        <v>2404.862968735245</v>
      </c>
      <c r="K9" s="199">
        <f t="shared" si="2"/>
        <v>126.57173519659185</v>
      </c>
      <c r="L9" s="617"/>
      <c r="M9" s="387">
        <f>RANK(K9, K$7:$K$21)</f>
        <v>5</v>
      </c>
      <c r="N9" s="635"/>
      <c r="O9" s="635"/>
      <c r="P9" s="535">
        <v>19</v>
      </c>
      <c r="Q9" s="539">
        <v>2473.5714285714275</v>
      </c>
      <c r="R9" s="539">
        <v>130.18796992481197</v>
      </c>
      <c r="S9" s="535">
        <v>4</v>
      </c>
      <c r="T9" s="659"/>
      <c r="U9" s="535">
        <v>19</v>
      </c>
      <c r="V9" s="539">
        <v>2482</v>
      </c>
      <c r="W9" s="539">
        <v>130.63157894736841</v>
      </c>
      <c r="X9" s="535">
        <v>4</v>
      </c>
      <c r="Y9" s="659"/>
      <c r="Z9" s="535">
        <v>19</v>
      </c>
      <c r="AA9" s="539">
        <v>2495.744680851064</v>
      </c>
      <c r="AB9" s="539">
        <v>131.35498320268758</v>
      </c>
      <c r="AC9" s="535">
        <v>4</v>
      </c>
      <c r="AD9" s="659"/>
      <c r="AE9" s="535">
        <v>19</v>
      </c>
      <c r="AF9" s="539">
        <v>2288.3870967741941</v>
      </c>
      <c r="AG9" s="539">
        <v>120.44142614601022</v>
      </c>
      <c r="AH9" s="535">
        <v>6</v>
      </c>
      <c r="AI9" s="659"/>
      <c r="AJ9" s="535">
        <v>19</v>
      </c>
      <c r="AK9" s="539">
        <v>2328.7894736842086</v>
      </c>
      <c r="AL9" s="539">
        <v>122.56786703601098</v>
      </c>
      <c r="AM9" s="535">
        <v>5</v>
      </c>
      <c r="AN9" s="659"/>
      <c r="AO9" s="535">
        <v>19</v>
      </c>
      <c r="AP9" s="539">
        <v>2315.8481012658212</v>
      </c>
      <c r="AQ9" s="539">
        <v>121.88674217188533</v>
      </c>
      <c r="AR9" s="535">
        <v>5</v>
      </c>
      <c r="AS9" s="659"/>
      <c r="AT9" s="535">
        <v>19</v>
      </c>
      <c r="AU9" s="539">
        <v>2449.7000000000012</v>
      </c>
      <c r="AV9" s="539">
        <v>128.93157894736848</v>
      </c>
      <c r="AW9" s="535">
        <v>5</v>
      </c>
      <c r="AX9" s="659"/>
      <c r="AZ9" s="373" t="e">
        <f t="shared" si="3"/>
        <v>#N/A</v>
      </c>
      <c r="BA9" s="694"/>
    </row>
    <row r="10" spans="1:53" ht="14.25">
      <c r="A10" s="81"/>
      <c r="B10" s="669"/>
      <c r="C10" s="383">
        <v>4</v>
      </c>
      <c r="D10" s="225" t="s">
        <v>355</v>
      </c>
      <c r="E10" s="539">
        <v>20</v>
      </c>
      <c r="F10" s="535">
        <v>2769</v>
      </c>
      <c r="G10" s="534">
        <v>138.44999999999999</v>
      </c>
      <c r="H10" s="682"/>
      <c r="I10" s="385">
        <f t="shared" si="0"/>
        <v>20</v>
      </c>
      <c r="J10" s="385">
        <f t="shared" si="1"/>
        <v>2395.0085764264109</v>
      </c>
      <c r="K10" s="199">
        <f t="shared" si="2"/>
        <v>119.75042882132053</v>
      </c>
      <c r="L10" s="617"/>
      <c r="M10" s="387">
        <f>RANK(K10, K$7:$K$21)</f>
        <v>7</v>
      </c>
      <c r="N10" s="635"/>
      <c r="O10" s="635"/>
      <c r="P10" s="535">
        <v>20</v>
      </c>
      <c r="Q10" s="539">
        <v>2544.0000000000018</v>
      </c>
      <c r="R10" s="539">
        <v>127.20000000000009</v>
      </c>
      <c r="S10" s="535">
        <v>6</v>
      </c>
      <c r="T10" s="659"/>
      <c r="U10" s="535">
        <v>20</v>
      </c>
      <c r="V10" s="539">
        <v>2555.1724137931019</v>
      </c>
      <c r="W10" s="539">
        <v>127.75862068965509</v>
      </c>
      <c r="X10" s="535">
        <v>6</v>
      </c>
      <c r="Y10" s="659"/>
      <c r="Z10" s="535">
        <v>20</v>
      </c>
      <c r="AA10" s="539">
        <v>2328.9631578947351</v>
      </c>
      <c r="AB10" s="539">
        <v>116.44815789473675</v>
      </c>
      <c r="AC10" s="535">
        <v>8</v>
      </c>
      <c r="AD10" s="659"/>
      <c r="AE10" s="535">
        <v>20</v>
      </c>
      <c r="AF10" s="539">
        <v>2289.565217391304</v>
      </c>
      <c r="AG10" s="539">
        <v>114.4782608695652</v>
      </c>
      <c r="AH10" s="535">
        <v>8</v>
      </c>
      <c r="AI10" s="659"/>
      <c r="AJ10" s="535">
        <v>20</v>
      </c>
      <c r="AK10" s="539">
        <v>2268.627450980393</v>
      </c>
      <c r="AL10" s="539">
        <v>113.43137254901964</v>
      </c>
      <c r="AM10" s="535">
        <v>8</v>
      </c>
      <c r="AN10" s="659"/>
      <c r="AO10" s="535">
        <v>20</v>
      </c>
      <c r="AP10" s="539">
        <v>2278.0891719745209</v>
      </c>
      <c r="AQ10" s="539">
        <v>113.90445859872605</v>
      </c>
      <c r="AR10" s="535">
        <v>8</v>
      </c>
      <c r="AS10" s="659"/>
      <c r="AT10" s="535">
        <v>20</v>
      </c>
      <c r="AU10" s="539">
        <v>2500.6426229508188</v>
      </c>
      <c r="AV10" s="539">
        <v>125.03213114754094</v>
      </c>
      <c r="AW10" s="535">
        <v>6</v>
      </c>
      <c r="AX10" s="659"/>
      <c r="AZ10" s="373" t="e">
        <f t="shared" si="3"/>
        <v>#N/A</v>
      </c>
      <c r="BA10" s="694"/>
    </row>
    <row r="11" spans="1:53" ht="14.25">
      <c r="A11" s="81"/>
      <c r="B11" s="669"/>
      <c r="C11" s="383">
        <v>5</v>
      </c>
      <c r="D11" s="225" t="s">
        <v>514</v>
      </c>
      <c r="E11" s="539">
        <v>18</v>
      </c>
      <c r="F11" s="535">
        <v>2400</v>
      </c>
      <c r="G11" s="534">
        <v>133.33333333333334</v>
      </c>
      <c r="H11" s="682"/>
      <c r="I11" s="385">
        <f t="shared" si="0"/>
        <v>18</v>
      </c>
      <c r="J11" s="385">
        <f t="shared" si="1"/>
        <v>2166.1279725463073</v>
      </c>
      <c r="K11" s="199">
        <f t="shared" si="2"/>
        <v>120.34044291923929</v>
      </c>
      <c r="L11" s="617"/>
      <c r="M11" s="387">
        <f>RANK(K11, K$7:$K$21)</f>
        <v>6</v>
      </c>
      <c r="N11" s="635"/>
      <c r="O11" s="635"/>
      <c r="P11" s="535">
        <v>18</v>
      </c>
      <c r="Q11" s="539">
        <v>2161.2212389380534</v>
      </c>
      <c r="R11" s="539">
        <v>120.06784660766964</v>
      </c>
      <c r="S11" s="535">
        <v>7</v>
      </c>
      <c r="T11" s="659"/>
      <c r="U11" s="535">
        <v>18</v>
      </c>
      <c r="V11" s="539">
        <v>2150.9196428571427</v>
      </c>
      <c r="W11" s="539">
        <v>119.49553571428571</v>
      </c>
      <c r="X11" s="535">
        <v>7</v>
      </c>
      <c r="Y11" s="659"/>
      <c r="Z11" s="535">
        <v>18</v>
      </c>
      <c r="AA11" s="539">
        <v>2154.5333333333333</v>
      </c>
      <c r="AB11" s="539">
        <v>119.6962962962963</v>
      </c>
      <c r="AC11" s="535">
        <v>6</v>
      </c>
      <c r="AD11" s="659"/>
      <c r="AE11" s="535">
        <v>18</v>
      </c>
      <c r="AF11" s="539">
        <v>2196.8773584905666</v>
      </c>
      <c r="AG11" s="539">
        <v>122.04874213836482</v>
      </c>
      <c r="AH11" s="535">
        <v>5</v>
      </c>
      <c r="AI11" s="659"/>
      <c r="AJ11" s="535">
        <v>18</v>
      </c>
      <c r="AK11" s="539">
        <v>2172.8571428571431</v>
      </c>
      <c r="AL11" s="539">
        <v>120.71428571428572</v>
      </c>
      <c r="AM11" s="535">
        <v>6</v>
      </c>
      <c r="AN11" s="659"/>
      <c r="AO11" s="535">
        <v>18</v>
      </c>
      <c r="AP11" s="539">
        <v>2136.6198347107438</v>
      </c>
      <c r="AQ11" s="539">
        <v>118.70110192837465</v>
      </c>
      <c r="AR11" s="535">
        <v>6</v>
      </c>
      <c r="AS11" s="659"/>
      <c r="AT11" s="535">
        <v>18</v>
      </c>
      <c r="AU11" s="539">
        <v>2189.8672566371679</v>
      </c>
      <c r="AV11" s="539">
        <v>121.65929203539821</v>
      </c>
      <c r="AW11" s="535">
        <v>7</v>
      </c>
      <c r="AX11" s="659"/>
      <c r="AZ11" s="373" t="e">
        <f t="shared" si="3"/>
        <v>#N/A</v>
      </c>
      <c r="BA11" s="694"/>
    </row>
    <row r="12" spans="1:53" ht="14.25">
      <c r="A12" s="81"/>
      <c r="B12" s="669"/>
      <c r="C12" s="383">
        <v>6</v>
      </c>
      <c r="D12" s="225" t="s">
        <v>601</v>
      </c>
      <c r="E12" s="539">
        <v>17</v>
      </c>
      <c r="F12" s="535">
        <v>2571</v>
      </c>
      <c r="G12" s="534">
        <v>151.23529411764707</v>
      </c>
      <c r="H12" s="682"/>
      <c r="I12" s="385">
        <f t="shared" si="0"/>
        <v>17</v>
      </c>
      <c r="J12" s="385">
        <f t="shared" si="1"/>
        <v>2365.0569528641986</v>
      </c>
      <c r="K12" s="199">
        <f t="shared" si="2"/>
        <v>139.12099722730582</v>
      </c>
      <c r="L12" s="617"/>
      <c r="M12" s="387">
        <f>RANK(K12, K$7:$K$21)</f>
        <v>1</v>
      </c>
      <c r="N12" s="635"/>
      <c r="O12" s="635"/>
      <c r="P12" s="535">
        <v>17</v>
      </c>
      <c r="Q12" s="539">
        <v>2342.4489795918375</v>
      </c>
      <c r="R12" s="539">
        <v>137.79111644657868</v>
      </c>
      <c r="S12" s="535">
        <v>1</v>
      </c>
      <c r="T12" s="659"/>
      <c r="U12" s="535">
        <v>17</v>
      </c>
      <c r="V12" s="539">
        <v>2340</v>
      </c>
      <c r="W12" s="539">
        <v>137.64705882352942</v>
      </c>
      <c r="X12" s="535">
        <v>2</v>
      </c>
      <c r="Y12" s="659"/>
      <c r="Z12" s="535">
        <v>17</v>
      </c>
      <c r="AA12" s="539">
        <v>2406.0000000000005</v>
      </c>
      <c r="AB12" s="539">
        <v>141.52941176470591</v>
      </c>
      <c r="AC12" s="535">
        <v>1</v>
      </c>
      <c r="AD12" s="659"/>
      <c r="AE12" s="535">
        <v>17</v>
      </c>
      <c r="AF12" s="539">
        <v>2312.307692307691</v>
      </c>
      <c r="AG12" s="539">
        <v>136.01809954751124</v>
      </c>
      <c r="AH12" s="535">
        <v>2</v>
      </c>
      <c r="AI12" s="659"/>
      <c r="AJ12" s="535">
        <v>17</v>
      </c>
      <c r="AK12" s="539">
        <v>2388</v>
      </c>
      <c r="AL12" s="539">
        <v>140.47058823529412</v>
      </c>
      <c r="AM12" s="535">
        <v>1</v>
      </c>
      <c r="AN12" s="659"/>
      <c r="AO12" s="535">
        <v>17</v>
      </c>
      <c r="AP12" s="539">
        <v>2392.1739130434785</v>
      </c>
      <c r="AQ12" s="539">
        <v>140.71611253196932</v>
      </c>
      <c r="AR12" s="535">
        <v>2</v>
      </c>
      <c r="AS12" s="659"/>
      <c r="AT12" s="535">
        <v>17</v>
      </c>
      <c r="AU12" s="539">
        <v>2374.4680851063831</v>
      </c>
      <c r="AV12" s="539">
        <v>139.67459324155195</v>
      </c>
      <c r="AW12" s="535">
        <v>2</v>
      </c>
      <c r="AX12" s="659"/>
      <c r="AZ12" s="373" t="e">
        <f t="shared" si="3"/>
        <v>#N/A</v>
      </c>
      <c r="BA12" s="694"/>
    </row>
    <row r="13" spans="1:53" ht="14.25">
      <c r="A13" s="81"/>
      <c r="B13" s="669"/>
      <c r="C13" s="383">
        <v>7</v>
      </c>
      <c r="D13" s="225" t="s">
        <v>605</v>
      </c>
      <c r="E13" s="539">
        <v>18</v>
      </c>
      <c r="F13" s="535">
        <v>2571</v>
      </c>
      <c r="G13" s="534">
        <v>142.83333333333334</v>
      </c>
      <c r="H13" s="682"/>
      <c r="I13" s="385">
        <f t="shared" si="0"/>
        <v>18</v>
      </c>
      <c r="J13" s="385">
        <f t="shared" si="1"/>
        <v>2339.7953026037962</v>
      </c>
      <c r="K13" s="199">
        <f t="shared" si="2"/>
        <v>129.98862792243315</v>
      </c>
      <c r="L13" s="617"/>
      <c r="M13" s="387">
        <f>RANK(K13, K$7:$K$21)</f>
        <v>4</v>
      </c>
      <c r="N13" s="635"/>
      <c r="O13" s="635"/>
      <c r="P13" s="535">
        <v>18</v>
      </c>
      <c r="Q13" s="539">
        <v>2318.5714285714234</v>
      </c>
      <c r="R13" s="539">
        <v>128.80952380952351</v>
      </c>
      <c r="S13" s="535">
        <v>5</v>
      </c>
      <c r="T13" s="659"/>
      <c r="U13" s="535">
        <v>18</v>
      </c>
      <c r="V13" s="539">
        <v>2331.7241379310299</v>
      </c>
      <c r="W13" s="539">
        <v>129.54022988505722</v>
      </c>
      <c r="X13" s="535">
        <v>5</v>
      </c>
      <c r="Y13" s="659"/>
      <c r="Z13" s="535">
        <v>18</v>
      </c>
      <c r="AA13" s="539">
        <v>2363.9999999999955</v>
      </c>
      <c r="AB13" s="539">
        <v>131.33333333333309</v>
      </c>
      <c r="AC13" s="535">
        <v>5</v>
      </c>
      <c r="AD13" s="659"/>
      <c r="AE13" s="535">
        <v>18</v>
      </c>
      <c r="AF13" s="539">
        <v>2366.8965517241336</v>
      </c>
      <c r="AG13" s="539">
        <v>131.49425287356297</v>
      </c>
      <c r="AH13" s="535">
        <v>3</v>
      </c>
      <c r="AI13" s="659"/>
      <c r="AJ13" s="535">
        <v>18</v>
      </c>
      <c r="AK13" s="539">
        <v>2319.3749999999968</v>
      </c>
      <c r="AL13" s="539">
        <v>128.85416666666649</v>
      </c>
      <c r="AM13" s="535">
        <v>4</v>
      </c>
      <c r="AN13" s="659"/>
      <c r="AO13" s="535">
        <v>18</v>
      </c>
      <c r="AP13" s="539">
        <v>2339.999999999995</v>
      </c>
      <c r="AQ13" s="539">
        <v>129.99999999999972</v>
      </c>
      <c r="AR13" s="535">
        <v>3</v>
      </c>
      <c r="AS13" s="659"/>
      <c r="AT13" s="535">
        <v>18</v>
      </c>
      <c r="AU13" s="539">
        <v>2338.0000000000023</v>
      </c>
      <c r="AV13" s="539">
        <v>129.88888888888903</v>
      </c>
      <c r="AW13" s="535">
        <v>3</v>
      </c>
      <c r="AX13" s="659"/>
      <c r="AZ13" s="373" t="e">
        <f t="shared" si="3"/>
        <v>#N/A</v>
      </c>
      <c r="BA13" s="694"/>
    </row>
    <row r="14" spans="1:53" ht="14.25">
      <c r="A14" s="81"/>
      <c r="B14" s="669"/>
      <c r="C14" s="383">
        <v>8</v>
      </c>
      <c r="D14" s="225" t="s">
        <v>620</v>
      </c>
      <c r="E14" s="539">
        <v>19</v>
      </c>
      <c r="F14" s="535">
        <v>2400</v>
      </c>
      <c r="G14" s="534">
        <v>126.31578947368421</v>
      </c>
      <c r="H14" s="682"/>
      <c r="I14" s="385">
        <f t="shared" si="0"/>
        <v>18.571428571428573</v>
      </c>
      <c r="J14" s="385">
        <f t="shared" si="1"/>
        <v>2007.2177616423508</v>
      </c>
      <c r="K14" s="199">
        <f t="shared" si="2"/>
        <v>108.13956778339086</v>
      </c>
      <c r="L14" s="617"/>
      <c r="M14" s="387">
        <f>RANK(K14, K$7:$K$21)</f>
        <v>9</v>
      </c>
      <c r="N14" s="635"/>
      <c r="O14" s="635"/>
      <c r="P14" s="535">
        <v>18</v>
      </c>
      <c r="Q14" s="539">
        <v>1953.5294117647036</v>
      </c>
      <c r="R14" s="539">
        <v>108.52941176470576</v>
      </c>
      <c r="S14" s="535">
        <v>9</v>
      </c>
      <c r="T14" s="659"/>
      <c r="U14" s="535">
        <v>18</v>
      </c>
      <c r="V14" s="539">
        <v>2009.9999999999982</v>
      </c>
      <c r="W14" s="539">
        <v>111.66666666666657</v>
      </c>
      <c r="X14" s="535">
        <v>9</v>
      </c>
      <c r="Y14" s="659"/>
      <c r="Z14" s="535">
        <v>19</v>
      </c>
      <c r="AA14" s="539">
        <v>2033.513513513512</v>
      </c>
      <c r="AB14" s="539">
        <v>107.02702702702695</v>
      </c>
      <c r="AC14" s="535">
        <v>10</v>
      </c>
      <c r="AD14" s="659"/>
      <c r="AE14" s="535">
        <v>19</v>
      </c>
      <c r="AF14" s="539">
        <v>1984.8648648648632</v>
      </c>
      <c r="AG14" s="539">
        <v>104.46657183499281</v>
      </c>
      <c r="AH14" s="535">
        <v>10</v>
      </c>
      <c r="AI14" s="659"/>
      <c r="AJ14" s="535">
        <v>19</v>
      </c>
      <c r="AK14" s="539">
        <v>2046.3157894736828</v>
      </c>
      <c r="AL14" s="539">
        <v>107.70083102493068</v>
      </c>
      <c r="AM14" s="535">
        <v>9</v>
      </c>
      <c r="AN14" s="659"/>
      <c r="AO14" s="535">
        <v>19</v>
      </c>
      <c r="AP14" s="539">
        <v>2009.1428571428551</v>
      </c>
      <c r="AQ14" s="539">
        <v>105.74436090225554</v>
      </c>
      <c r="AR14" s="535">
        <v>10</v>
      </c>
      <c r="AS14" s="659"/>
      <c r="AT14" s="535">
        <v>18</v>
      </c>
      <c r="AU14" s="539">
        <v>2013.1578947368405</v>
      </c>
      <c r="AV14" s="539">
        <v>111.8421052631578</v>
      </c>
      <c r="AW14" s="535">
        <v>9</v>
      </c>
      <c r="AX14" s="659"/>
      <c r="AZ14" s="373" t="e">
        <f t="shared" si="3"/>
        <v>#N/A</v>
      </c>
      <c r="BA14" s="694"/>
    </row>
    <row r="15" spans="1:53" ht="14.25">
      <c r="A15" s="81"/>
      <c r="B15" s="669"/>
      <c r="C15" s="383">
        <v>9</v>
      </c>
      <c r="D15" s="225" t="s">
        <v>628</v>
      </c>
      <c r="E15" s="539">
        <v>18</v>
      </c>
      <c r="F15" s="535">
        <v>2571</v>
      </c>
      <c r="G15" s="534">
        <v>142.83333333333334</v>
      </c>
      <c r="H15" s="682"/>
      <c r="I15" s="385">
        <f t="shared" si="0"/>
        <v>18</v>
      </c>
      <c r="J15" s="385">
        <f t="shared" si="1"/>
        <v>2363.7618792391008</v>
      </c>
      <c r="K15" s="199">
        <f t="shared" si="2"/>
        <v>131.32010440217226</v>
      </c>
      <c r="L15" s="617"/>
      <c r="M15" s="387">
        <f>RANK(K15, K$7:$K$21)</f>
        <v>3</v>
      </c>
      <c r="N15" s="635"/>
      <c r="O15" s="635"/>
      <c r="P15" s="535">
        <v>18</v>
      </c>
      <c r="Q15" s="539">
        <v>2393.4939759036138</v>
      </c>
      <c r="R15" s="539">
        <v>132.97188755020076</v>
      </c>
      <c r="S15" s="535">
        <v>2</v>
      </c>
      <c r="T15" s="659"/>
      <c r="U15" s="535">
        <v>18</v>
      </c>
      <c r="V15" s="539">
        <v>2384.0963855421678</v>
      </c>
      <c r="W15" s="539">
        <v>132.4497991967871</v>
      </c>
      <c r="X15" s="535">
        <v>3</v>
      </c>
      <c r="Y15" s="659"/>
      <c r="Z15" s="535">
        <v>18</v>
      </c>
      <c r="AA15" s="539">
        <v>2377.411764705882</v>
      </c>
      <c r="AB15" s="539">
        <v>132.07843137254901</v>
      </c>
      <c r="AC15" s="535">
        <v>3</v>
      </c>
      <c r="AD15" s="659"/>
      <c r="AE15" s="535">
        <v>18</v>
      </c>
      <c r="AF15" s="539">
        <v>2330.7692307692332</v>
      </c>
      <c r="AG15" s="539">
        <v>129.48717948717962</v>
      </c>
      <c r="AH15" s="535">
        <v>4</v>
      </c>
      <c r="AI15" s="659"/>
      <c r="AJ15" s="535">
        <v>18</v>
      </c>
      <c r="AK15" s="539">
        <v>2390.5617977528091</v>
      </c>
      <c r="AL15" s="539">
        <v>132.80898876404495</v>
      </c>
      <c r="AM15" s="535">
        <v>3</v>
      </c>
      <c r="AN15" s="659"/>
      <c r="AO15" s="535">
        <v>18</v>
      </c>
      <c r="AP15" s="539">
        <v>2337.3333333333335</v>
      </c>
      <c r="AQ15" s="539">
        <v>129.85185185185185</v>
      </c>
      <c r="AR15" s="535">
        <v>4</v>
      </c>
      <c r="AS15" s="659"/>
      <c r="AT15" s="535">
        <v>18</v>
      </c>
      <c r="AU15" s="539">
        <v>2332.666666666667</v>
      </c>
      <c r="AV15" s="539">
        <v>129.59259259259261</v>
      </c>
      <c r="AW15" s="535">
        <v>4</v>
      </c>
      <c r="AX15" s="659"/>
      <c r="AZ15" s="373" t="e">
        <f t="shared" si="3"/>
        <v>#N/A</v>
      </c>
      <c r="BA15" s="694"/>
    </row>
    <row r="16" spans="1:53" ht="14.25">
      <c r="A16" s="81"/>
      <c r="B16" s="669"/>
      <c r="C16" s="383">
        <v>10</v>
      </c>
      <c r="D16" s="225" t="s">
        <v>632</v>
      </c>
      <c r="E16" s="539">
        <v>19</v>
      </c>
      <c r="F16" s="535">
        <v>2400</v>
      </c>
      <c r="G16" s="534">
        <v>126.31578947368421</v>
      </c>
      <c r="H16" s="682"/>
      <c r="I16" s="385">
        <f t="shared" si="0"/>
        <v>19</v>
      </c>
      <c r="J16" s="385">
        <f t="shared" si="1"/>
        <v>2031.052295918367</v>
      </c>
      <c r="K16" s="199">
        <f t="shared" si="2"/>
        <v>106.8974892588614</v>
      </c>
      <c r="L16" s="617"/>
      <c r="M16" s="387">
        <f>RANK(K16, K$7:$K$21)</f>
        <v>10</v>
      </c>
      <c r="N16" s="635"/>
      <c r="O16" s="635"/>
      <c r="P16" s="535">
        <v>19</v>
      </c>
      <c r="Q16" s="539">
        <v>2021.4285714285706</v>
      </c>
      <c r="R16" s="539">
        <v>106.39097744360897</v>
      </c>
      <c r="S16" s="535">
        <v>10</v>
      </c>
      <c r="T16" s="659"/>
      <c r="U16" s="535">
        <v>19</v>
      </c>
      <c r="V16" s="539">
        <v>1996</v>
      </c>
      <c r="W16" s="539">
        <v>105.05263157894737</v>
      </c>
      <c r="X16" s="535">
        <v>10</v>
      </c>
      <c r="Y16" s="659"/>
      <c r="Z16" s="535">
        <v>19</v>
      </c>
      <c r="AA16" s="539">
        <v>2037.3913043478262</v>
      </c>
      <c r="AB16" s="539">
        <v>107.23112128146454</v>
      </c>
      <c r="AC16" s="535">
        <v>9</v>
      </c>
      <c r="AD16" s="659"/>
      <c r="AE16" s="535">
        <v>19</v>
      </c>
      <c r="AF16" s="539">
        <v>2046.1874999999973</v>
      </c>
      <c r="AG16" s="539">
        <v>107.69407894736828</v>
      </c>
      <c r="AH16" s="535">
        <v>9</v>
      </c>
      <c r="AI16" s="659"/>
      <c r="AJ16" s="535">
        <v>19</v>
      </c>
      <c r="AK16" s="539">
        <v>2025.0000000000005</v>
      </c>
      <c r="AL16" s="539">
        <v>106.57894736842108</v>
      </c>
      <c r="AM16" s="535">
        <v>10</v>
      </c>
      <c r="AN16" s="659"/>
      <c r="AO16" s="535">
        <v>19</v>
      </c>
      <c r="AP16" s="539">
        <v>2018.7500000000005</v>
      </c>
      <c r="AQ16" s="539">
        <v>106.25000000000003</v>
      </c>
      <c r="AR16" s="535">
        <v>9</v>
      </c>
      <c r="AS16" s="659"/>
      <c r="AT16" s="535">
        <v>19</v>
      </c>
      <c r="AU16" s="539">
        <v>2072.608695652174</v>
      </c>
      <c r="AV16" s="539">
        <v>109.08466819221968</v>
      </c>
      <c r="AW16" s="535">
        <v>10</v>
      </c>
      <c r="AX16" s="659"/>
      <c r="AZ16" s="373" t="e">
        <f t="shared" si="3"/>
        <v>#N/A</v>
      </c>
      <c r="BA16" s="694"/>
    </row>
    <row r="17" spans="2:53">
      <c r="B17" s="669"/>
      <c r="C17" s="383">
        <v>11</v>
      </c>
      <c r="D17" s="225" t="s">
        <v>638</v>
      </c>
      <c r="E17" s="539">
        <v>21</v>
      </c>
      <c r="F17" s="535">
        <v>2400</v>
      </c>
      <c r="G17" s="534">
        <v>114.28571428571429</v>
      </c>
      <c r="H17" s="682"/>
      <c r="I17" s="385">
        <f t="shared" si="0"/>
        <v>21</v>
      </c>
      <c r="J17" s="385">
        <f t="shared" si="1"/>
        <v>2191.5454219356984</v>
      </c>
      <c r="K17" s="199">
        <f t="shared" si="2"/>
        <v>104.35930580646182</v>
      </c>
      <c r="L17" s="617"/>
      <c r="M17" s="387">
        <f>RANK(K17, K$7:$K$21)</f>
        <v>11</v>
      </c>
      <c r="N17" s="635"/>
      <c r="O17" s="635"/>
      <c r="P17" s="535">
        <v>21</v>
      </c>
      <c r="Q17" s="539">
        <v>2215.2631578947376</v>
      </c>
      <c r="R17" s="539">
        <v>105.48872180451131</v>
      </c>
      <c r="S17" s="535">
        <v>11</v>
      </c>
      <c r="T17" s="659"/>
      <c r="U17" s="535">
        <v>21</v>
      </c>
      <c r="V17" s="539">
        <v>2177.3333333333335</v>
      </c>
      <c r="W17" s="539">
        <v>103.68253968253968</v>
      </c>
      <c r="X17" s="535">
        <v>11</v>
      </c>
      <c r="Y17" s="659"/>
      <c r="Z17" s="535">
        <v>21</v>
      </c>
      <c r="AA17" s="539">
        <v>2178.3157894736846</v>
      </c>
      <c r="AB17" s="539">
        <v>103.72932330827069</v>
      </c>
      <c r="AC17" s="535">
        <v>11</v>
      </c>
      <c r="AD17" s="659"/>
      <c r="AE17" s="535">
        <v>21</v>
      </c>
      <c r="AF17" s="539">
        <v>2164.772727272727</v>
      </c>
      <c r="AG17" s="539">
        <v>103.08441558441557</v>
      </c>
      <c r="AH17" s="535">
        <v>11</v>
      </c>
      <c r="AI17" s="659"/>
      <c r="AJ17" s="535">
        <v>21</v>
      </c>
      <c r="AK17" s="539">
        <v>2177.2413793103447</v>
      </c>
      <c r="AL17" s="539">
        <v>103.67816091954022</v>
      </c>
      <c r="AM17" s="535">
        <v>11</v>
      </c>
      <c r="AN17" s="659"/>
      <c r="AO17" s="535">
        <v>21</v>
      </c>
      <c r="AP17" s="539">
        <v>2205</v>
      </c>
      <c r="AQ17" s="539">
        <v>105</v>
      </c>
      <c r="AR17" s="535">
        <v>11</v>
      </c>
      <c r="AS17" s="659"/>
      <c r="AT17" s="535">
        <v>21</v>
      </c>
      <c r="AU17" s="539">
        <v>2222.8915662650593</v>
      </c>
      <c r="AV17" s="539">
        <v>105.8519793459552</v>
      </c>
      <c r="AW17" s="535">
        <v>11</v>
      </c>
      <c r="AX17" s="659"/>
      <c r="AZ17" s="373" t="e">
        <f t="shared" si="3"/>
        <v>#N/A</v>
      </c>
      <c r="BA17" s="694"/>
    </row>
    <row r="18" spans="2:53">
      <c r="B18" s="669"/>
      <c r="C18" s="383">
        <v>12</v>
      </c>
      <c r="D18" s="225"/>
      <c r="E18" s="539"/>
      <c r="F18" s="535"/>
      <c r="G18" s="534"/>
      <c r="H18" s="682"/>
      <c r="I18" s="385" t="str">
        <f t="shared" si="0"/>
        <v>-</v>
      </c>
      <c r="J18" s="385" t="str">
        <f t="shared" si="1"/>
        <v>-</v>
      </c>
      <c r="K18" s="199" t="str">
        <f t="shared" si="2"/>
        <v>-</v>
      </c>
      <c r="L18" s="617"/>
      <c r="M18" s="387" t="e">
        <f>RANK(K18, K$7:$K$21)</f>
        <v>#VALUE!</v>
      </c>
      <c r="N18" s="635"/>
      <c r="O18" s="635"/>
      <c r="P18" s="535" t="s">
        <v>592</v>
      </c>
      <c r="Q18" s="539" t="s">
        <v>592</v>
      </c>
      <c r="R18" s="539" t="s">
        <v>592</v>
      </c>
      <c r="S18" s="535" t="e">
        <v>#VALUE!</v>
      </c>
      <c r="T18" s="659"/>
      <c r="U18" s="535" t="s">
        <v>592</v>
      </c>
      <c r="V18" s="539" t="s">
        <v>592</v>
      </c>
      <c r="W18" s="539" t="s">
        <v>592</v>
      </c>
      <c r="X18" s="535" t="e">
        <v>#VALUE!</v>
      </c>
      <c r="Y18" s="659"/>
      <c r="Z18" s="535" t="s">
        <v>592</v>
      </c>
      <c r="AA18" s="539" t="s">
        <v>592</v>
      </c>
      <c r="AB18" s="539" t="s">
        <v>592</v>
      </c>
      <c r="AC18" s="535" t="e">
        <v>#VALUE!</v>
      </c>
      <c r="AD18" s="659"/>
      <c r="AE18" s="535" t="s">
        <v>592</v>
      </c>
      <c r="AF18" s="539" t="s">
        <v>592</v>
      </c>
      <c r="AG18" s="539" t="s">
        <v>592</v>
      </c>
      <c r="AH18" s="535" t="e">
        <v>#VALUE!</v>
      </c>
      <c r="AI18" s="659"/>
      <c r="AJ18" s="535" t="s">
        <v>592</v>
      </c>
      <c r="AK18" s="539" t="s">
        <v>592</v>
      </c>
      <c r="AL18" s="539" t="s">
        <v>592</v>
      </c>
      <c r="AM18" s="535" t="e">
        <v>#VALUE!</v>
      </c>
      <c r="AN18" s="659"/>
      <c r="AO18" s="535" t="s">
        <v>592</v>
      </c>
      <c r="AP18" s="539" t="s">
        <v>592</v>
      </c>
      <c r="AQ18" s="539" t="s">
        <v>592</v>
      </c>
      <c r="AR18" s="535" t="e">
        <v>#VALUE!</v>
      </c>
      <c r="AS18" s="659"/>
      <c r="AT18" s="535" t="s">
        <v>592</v>
      </c>
      <c r="AU18" s="539" t="s">
        <v>592</v>
      </c>
      <c r="AV18" s="539" t="s">
        <v>592</v>
      </c>
      <c r="AW18" s="535" t="e">
        <v>#VALUE!</v>
      </c>
      <c r="AX18" s="659"/>
      <c r="AZ18" s="373" t="e">
        <f t="shared" si="3"/>
        <v>#N/A</v>
      </c>
      <c r="BA18" s="694"/>
    </row>
    <row r="19" spans="2:53">
      <c r="B19" s="669"/>
      <c r="C19" s="383">
        <v>13</v>
      </c>
      <c r="D19" s="225"/>
      <c r="E19" s="539"/>
      <c r="F19" s="535"/>
      <c r="G19" s="534"/>
      <c r="H19" s="682"/>
      <c r="I19" s="385" t="str">
        <f t="shared" si="0"/>
        <v>-</v>
      </c>
      <c r="J19" s="385" t="str">
        <f t="shared" si="1"/>
        <v>-</v>
      </c>
      <c r="K19" s="199" t="str">
        <f t="shared" si="2"/>
        <v>-</v>
      </c>
      <c r="L19" s="617"/>
      <c r="M19" s="387" t="e">
        <f>RANK(K19, K$7:$K$21)</f>
        <v>#VALUE!</v>
      </c>
      <c r="N19" s="635"/>
      <c r="O19" s="635"/>
      <c r="P19" s="535" t="s">
        <v>592</v>
      </c>
      <c r="Q19" s="539" t="s">
        <v>592</v>
      </c>
      <c r="R19" s="539" t="s">
        <v>592</v>
      </c>
      <c r="S19" s="535" t="e">
        <v>#VALUE!</v>
      </c>
      <c r="T19" s="659"/>
      <c r="U19" s="535" t="s">
        <v>592</v>
      </c>
      <c r="V19" s="539" t="s">
        <v>592</v>
      </c>
      <c r="W19" s="539" t="s">
        <v>592</v>
      </c>
      <c r="X19" s="535" t="e">
        <v>#VALUE!</v>
      </c>
      <c r="Y19" s="659"/>
      <c r="Z19" s="535" t="s">
        <v>592</v>
      </c>
      <c r="AA19" s="539" t="s">
        <v>592</v>
      </c>
      <c r="AB19" s="539" t="s">
        <v>592</v>
      </c>
      <c r="AC19" s="535" t="e">
        <v>#VALUE!</v>
      </c>
      <c r="AD19" s="659"/>
      <c r="AE19" s="535" t="s">
        <v>592</v>
      </c>
      <c r="AF19" s="539" t="s">
        <v>592</v>
      </c>
      <c r="AG19" s="539" t="s">
        <v>592</v>
      </c>
      <c r="AH19" s="535" t="e">
        <v>#VALUE!</v>
      </c>
      <c r="AI19" s="659"/>
      <c r="AJ19" s="535" t="s">
        <v>592</v>
      </c>
      <c r="AK19" s="539" t="s">
        <v>592</v>
      </c>
      <c r="AL19" s="539" t="s">
        <v>592</v>
      </c>
      <c r="AM19" s="535" t="e">
        <v>#VALUE!</v>
      </c>
      <c r="AN19" s="659"/>
      <c r="AO19" s="535" t="s">
        <v>592</v>
      </c>
      <c r="AP19" s="539" t="s">
        <v>592</v>
      </c>
      <c r="AQ19" s="539" t="s">
        <v>592</v>
      </c>
      <c r="AR19" s="535" t="e">
        <v>#VALUE!</v>
      </c>
      <c r="AS19" s="659"/>
      <c r="AT19" s="535" t="s">
        <v>592</v>
      </c>
      <c r="AU19" s="539" t="s">
        <v>592</v>
      </c>
      <c r="AV19" s="539" t="s">
        <v>592</v>
      </c>
      <c r="AW19" s="535" t="e">
        <v>#VALUE!</v>
      </c>
      <c r="AX19" s="659"/>
      <c r="AZ19" s="373" t="e">
        <f t="shared" si="3"/>
        <v>#N/A</v>
      </c>
      <c r="BA19" s="694"/>
    </row>
    <row r="20" spans="2:53">
      <c r="B20" s="669"/>
      <c r="C20" s="383">
        <v>14</v>
      </c>
      <c r="D20" s="225"/>
      <c r="E20" s="539"/>
      <c r="F20" s="535"/>
      <c r="G20" s="534"/>
      <c r="H20" s="682"/>
      <c r="I20" s="385" t="str">
        <f t="shared" si="0"/>
        <v>-</v>
      </c>
      <c r="J20" s="385" t="str">
        <f t="shared" si="1"/>
        <v>-</v>
      </c>
      <c r="K20" s="199" t="str">
        <f t="shared" si="2"/>
        <v>-</v>
      </c>
      <c r="L20" s="617"/>
      <c r="M20" s="387" t="e">
        <f>RANK(K20, K$7:$K$21)</f>
        <v>#VALUE!</v>
      </c>
      <c r="N20" s="635"/>
      <c r="O20" s="635"/>
      <c r="P20" s="535" t="s">
        <v>592</v>
      </c>
      <c r="Q20" s="539" t="s">
        <v>592</v>
      </c>
      <c r="R20" s="539" t="s">
        <v>592</v>
      </c>
      <c r="S20" s="535" t="e">
        <v>#VALUE!</v>
      </c>
      <c r="T20" s="659"/>
      <c r="U20" s="535" t="s">
        <v>592</v>
      </c>
      <c r="V20" s="539" t="s">
        <v>592</v>
      </c>
      <c r="W20" s="539" t="s">
        <v>592</v>
      </c>
      <c r="X20" s="535" t="e">
        <v>#VALUE!</v>
      </c>
      <c r="Y20" s="659"/>
      <c r="Z20" s="535" t="s">
        <v>592</v>
      </c>
      <c r="AA20" s="539" t="s">
        <v>592</v>
      </c>
      <c r="AB20" s="539" t="s">
        <v>592</v>
      </c>
      <c r="AC20" s="535" t="e">
        <v>#VALUE!</v>
      </c>
      <c r="AD20" s="659"/>
      <c r="AE20" s="535" t="s">
        <v>592</v>
      </c>
      <c r="AF20" s="539" t="s">
        <v>592</v>
      </c>
      <c r="AG20" s="539" t="s">
        <v>592</v>
      </c>
      <c r="AH20" s="535" t="e">
        <v>#VALUE!</v>
      </c>
      <c r="AI20" s="659"/>
      <c r="AJ20" s="535" t="s">
        <v>592</v>
      </c>
      <c r="AK20" s="539" t="s">
        <v>592</v>
      </c>
      <c r="AL20" s="539" t="s">
        <v>592</v>
      </c>
      <c r="AM20" s="535" t="e">
        <v>#VALUE!</v>
      </c>
      <c r="AN20" s="659"/>
      <c r="AO20" s="535" t="s">
        <v>592</v>
      </c>
      <c r="AP20" s="539" t="s">
        <v>592</v>
      </c>
      <c r="AQ20" s="539" t="s">
        <v>592</v>
      </c>
      <c r="AR20" s="535" t="e">
        <v>#VALUE!</v>
      </c>
      <c r="AS20" s="659"/>
      <c r="AT20" s="535" t="s">
        <v>592</v>
      </c>
      <c r="AU20" s="539" t="s">
        <v>592</v>
      </c>
      <c r="AV20" s="539" t="s">
        <v>592</v>
      </c>
      <c r="AW20" s="535" t="e">
        <v>#VALUE!</v>
      </c>
      <c r="AX20" s="659"/>
      <c r="AZ20" s="373" t="e">
        <f t="shared" si="3"/>
        <v>#N/A</v>
      </c>
      <c r="BA20" s="694"/>
    </row>
    <row r="21" spans="2:53">
      <c r="B21" s="669"/>
      <c r="C21" s="383">
        <v>15</v>
      </c>
      <c r="D21" s="225"/>
      <c r="E21" s="539"/>
      <c r="F21" s="535"/>
      <c r="G21" s="534"/>
      <c r="H21" s="683"/>
      <c r="I21" s="384"/>
      <c r="J21" s="384"/>
      <c r="K21" s="384"/>
      <c r="L21" s="618"/>
      <c r="M21" s="387" t="e">
        <f>RANK(K21, K$7:$K$21)</f>
        <v>#N/A</v>
      </c>
      <c r="N21" s="635"/>
      <c r="O21" s="635"/>
      <c r="P21" s="535" t="s">
        <v>592</v>
      </c>
      <c r="Q21" s="539" t="s">
        <v>592</v>
      </c>
      <c r="R21" s="539" t="s">
        <v>592</v>
      </c>
      <c r="S21" s="535" t="e">
        <v>#VALUE!</v>
      </c>
      <c r="T21" s="659"/>
      <c r="U21" s="535" t="s">
        <v>592</v>
      </c>
      <c r="V21" s="539" t="s">
        <v>592</v>
      </c>
      <c r="W21" s="539" t="s">
        <v>592</v>
      </c>
      <c r="X21" s="535" t="e">
        <v>#VALUE!</v>
      </c>
      <c r="Y21" s="659"/>
      <c r="Z21" s="535" t="s">
        <v>592</v>
      </c>
      <c r="AA21" s="539" t="s">
        <v>592</v>
      </c>
      <c r="AB21" s="539" t="s">
        <v>592</v>
      </c>
      <c r="AC21" s="535" t="e">
        <v>#VALUE!</v>
      </c>
      <c r="AD21" s="659"/>
      <c r="AE21" s="535" t="s">
        <v>592</v>
      </c>
      <c r="AF21" s="539" t="s">
        <v>592</v>
      </c>
      <c r="AG21" s="539" t="s">
        <v>592</v>
      </c>
      <c r="AH21" s="535" t="e">
        <v>#VALUE!</v>
      </c>
      <c r="AI21" s="659"/>
      <c r="AJ21" s="535" t="s">
        <v>592</v>
      </c>
      <c r="AK21" s="539" t="s">
        <v>592</v>
      </c>
      <c r="AL21" s="539" t="s">
        <v>592</v>
      </c>
      <c r="AM21" s="535" t="e">
        <v>#VALUE!</v>
      </c>
      <c r="AN21" s="659"/>
      <c r="AO21" s="535" t="s">
        <v>592</v>
      </c>
      <c r="AP21" s="539" t="s">
        <v>592</v>
      </c>
      <c r="AQ21" s="539" t="s">
        <v>592</v>
      </c>
      <c r="AR21" s="535" t="e">
        <v>#VALUE!</v>
      </c>
      <c r="AS21" s="659"/>
      <c r="AT21" s="535" t="s">
        <v>592</v>
      </c>
      <c r="AU21" s="539" t="s">
        <v>592</v>
      </c>
      <c r="AV21" s="539" t="s">
        <v>592</v>
      </c>
      <c r="AW21" s="535" t="e">
        <v>#VALUE!</v>
      </c>
      <c r="AX21" s="659"/>
      <c r="AZ21" s="373" t="e">
        <f t="shared" si="3"/>
        <v>#N/A</v>
      </c>
      <c r="BA21" s="694"/>
    </row>
    <row r="22" spans="2:53" ht="15.75">
      <c r="B22" s="666" t="s">
        <v>162</v>
      </c>
      <c r="C22" s="667"/>
      <c r="D22" s="667"/>
      <c r="E22" s="667"/>
      <c r="F22" s="667"/>
      <c r="G22" s="667"/>
      <c r="H22" s="667"/>
      <c r="I22" s="202"/>
      <c r="J22" s="202"/>
      <c r="K22" s="202"/>
      <c r="L22" s="202"/>
      <c r="M22" s="203"/>
      <c r="N22" s="639" t="s">
        <v>156</v>
      </c>
      <c r="O22" s="639" t="s">
        <v>105</v>
      </c>
      <c r="P22" s="645">
        <f>P2+7</f>
        <v>46210</v>
      </c>
      <c r="Q22" s="646"/>
      <c r="R22" s="646"/>
      <c r="S22" s="646"/>
      <c r="T22" s="646"/>
      <c r="U22" s="642">
        <f>P22+1</f>
        <v>46211</v>
      </c>
      <c r="V22" s="643"/>
      <c r="W22" s="643"/>
      <c r="X22" s="643"/>
      <c r="Y22" s="644"/>
      <c r="Z22" s="642">
        <f>U22+1</f>
        <v>46212</v>
      </c>
      <c r="AA22" s="643"/>
      <c r="AB22" s="643"/>
      <c r="AC22" s="643"/>
      <c r="AD22" s="644"/>
      <c r="AE22" s="642">
        <f>Z22+1</f>
        <v>46213</v>
      </c>
      <c r="AF22" s="643"/>
      <c r="AG22" s="643"/>
      <c r="AH22" s="643"/>
      <c r="AI22" s="644"/>
      <c r="AJ22" s="642">
        <f>AE22+1</f>
        <v>46214</v>
      </c>
      <c r="AK22" s="643"/>
      <c r="AL22" s="643"/>
      <c r="AM22" s="643"/>
      <c r="AN22" s="644"/>
      <c r="AO22" s="642">
        <f>AJ22+1</f>
        <v>46215</v>
      </c>
      <c r="AP22" s="643"/>
      <c r="AQ22" s="643"/>
      <c r="AR22" s="643"/>
      <c r="AS22" s="644"/>
      <c r="AT22" s="642">
        <f>AO22+1</f>
        <v>46216</v>
      </c>
      <c r="AU22" s="643"/>
      <c r="AV22" s="643"/>
      <c r="AW22" s="643"/>
      <c r="AX22" s="644"/>
    </row>
    <row r="23" spans="2:53" ht="15.75">
      <c r="B23" s="653"/>
      <c r="C23" s="653"/>
      <c r="D23" s="653"/>
      <c r="E23" s="653"/>
      <c r="F23" s="653"/>
      <c r="G23" s="653"/>
      <c r="H23" s="653"/>
      <c r="I23" s="204"/>
      <c r="J23" s="204"/>
      <c r="K23" s="204"/>
      <c r="L23" s="204"/>
      <c r="M23" s="205"/>
      <c r="N23" s="641"/>
      <c r="O23" s="641"/>
      <c r="P23" s="645" t="s">
        <v>317</v>
      </c>
      <c r="Q23" s="646"/>
      <c r="R23" s="646"/>
      <c r="S23" s="646"/>
      <c r="T23" s="646"/>
      <c r="U23" s="645" t="s">
        <v>318</v>
      </c>
      <c r="V23" s="646"/>
      <c r="W23" s="646"/>
      <c r="X23" s="646"/>
      <c r="Y23" s="646"/>
      <c r="Z23" s="645" t="s">
        <v>319</v>
      </c>
      <c r="AA23" s="646"/>
      <c r="AB23" s="646"/>
      <c r="AC23" s="646"/>
      <c r="AD23" s="646"/>
      <c r="AE23" s="645" t="s">
        <v>320</v>
      </c>
      <c r="AF23" s="646"/>
      <c r="AG23" s="646"/>
      <c r="AH23" s="646"/>
      <c r="AI23" s="646"/>
      <c r="AJ23" s="645" t="s">
        <v>321</v>
      </c>
      <c r="AK23" s="646"/>
      <c r="AL23" s="646"/>
      <c r="AM23" s="646"/>
      <c r="AN23" s="646"/>
      <c r="AO23" s="645" t="s">
        <v>322</v>
      </c>
      <c r="AP23" s="646"/>
      <c r="AQ23" s="646"/>
      <c r="AR23" s="646"/>
      <c r="AS23" s="646"/>
      <c r="AT23" s="645" t="s">
        <v>323</v>
      </c>
      <c r="AU23" s="646"/>
      <c r="AV23" s="646"/>
      <c r="AW23" s="646"/>
      <c r="AX23" s="646"/>
    </row>
    <row r="24" spans="2:53">
      <c r="B24" s="635" t="s">
        <v>154</v>
      </c>
      <c r="C24" s="635" t="s">
        <v>536</v>
      </c>
      <c r="D24" s="635"/>
      <c r="E24" s="635" t="s">
        <v>537</v>
      </c>
      <c r="F24" s="635"/>
      <c r="G24" s="635"/>
      <c r="H24" s="636" t="s">
        <v>538</v>
      </c>
      <c r="I24" s="635" t="s">
        <v>539</v>
      </c>
      <c r="J24" s="635"/>
      <c r="K24" s="635"/>
      <c r="L24" s="636" t="s">
        <v>369</v>
      </c>
      <c r="M24" s="639" t="s">
        <v>540</v>
      </c>
      <c r="N24" s="635"/>
      <c r="O24" s="635" t="s">
        <v>375</v>
      </c>
      <c r="P24" s="632" t="s">
        <v>371</v>
      </c>
      <c r="Q24" s="633"/>
      <c r="R24" s="633"/>
      <c r="S24" s="634"/>
      <c r="T24" s="635" t="s">
        <v>369</v>
      </c>
      <c r="U24" s="632" t="s">
        <v>371</v>
      </c>
      <c r="V24" s="633"/>
      <c r="W24" s="633"/>
      <c r="X24" s="634"/>
      <c r="Y24" s="635" t="s">
        <v>369</v>
      </c>
      <c r="Z24" s="632" t="s">
        <v>371</v>
      </c>
      <c r="AA24" s="633"/>
      <c r="AB24" s="633"/>
      <c r="AC24" s="634"/>
      <c r="AD24" s="635" t="s">
        <v>369</v>
      </c>
      <c r="AE24" s="632" t="s">
        <v>371</v>
      </c>
      <c r="AF24" s="633"/>
      <c r="AG24" s="633"/>
      <c r="AH24" s="634"/>
      <c r="AI24" s="635" t="s">
        <v>369</v>
      </c>
      <c r="AJ24" s="632" t="s">
        <v>371</v>
      </c>
      <c r="AK24" s="633"/>
      <c r="AL24" s="633"/>
      <c r="AM24" s="634"/>
      <c r="AN24" s="635" t="s">
        <v>369</v>
      </c>
      <c r="AO24" s="632" t="s">
        <v>371</v>
      </c>
      <c r="AP24" s="633"/>
      <c r="AQ24" s="633"/>
      <c r="AR24" s="634"/>
      <c r="AS24" s="635" t="s">
        <v>369</v>
      </c>
      <c r="AT24" s="632" t="s">
        <v>371</v>
      </c>
      <c r="AU24" s="633"/>
      <c r="AV24" s="633"/>
      <c r="AW24" s="634"/>
      <c r="AX24" s="635" t="s">
        <v>369</v>
      </c>
      <c r="BA24" s="635" t="s">
        <v>369</v>
      </c>
    </row>
    <row r="25" spans="2:53">
      <c r="B25" s="635"/>
      <c r="C25" s="635"/>
      <c r="D25" s="635"/>
      <c r="E25" s="635" t="s">
        <v>542</v>
      </c>
      <c r="F25" s="635"/>
      <c r="G25" s="635"/>
      <c r="H25" s="637"/>
      <c r="I25" s="635" t="s">
        <v>542</v>
      </c>
      <c r="J25" s="635"/>
      <c r="K25" s="635"/>
      <c r="L25" s="637"/>
      <c r="M25" s="640"/>
      <c r="N25" s="635"/>
      <c r="O25" s="635"/>
      <c r="P25" s="632" t="s">
        <v>377</v>
      </c>
      <c r="Q25" s="633"/>
      <c r="R25" s="633"/>
      <c r="S25" s="634"/>
      <c r="T25" s="635"/>
      <c r="U25" s="632" t="s">
        <v>377</v>
      </c>
      <c r="V25" s="633"/>
      <c r="W25" s="633"/>
      <c r="X25" s="634"/>
      <c r="Y25" s="635"/>
      <c r="Z25" s="632" t="s">
        <v>377</v>
      </c>
      <c r="AA25" s="633"/>
      <c r="AB25" s="633"/>
      <c r="AC25" s="634"/>
      <c r="AD25" s="635"/>
      <c r="AE25" s="632" t="s">
        <v>377</v>
      </c>
      <c r="AF25" s="633"/>
      <c r="AG25" s="633"/>
      <c r="AH25" s="634"/>
      <c r="AI25" s="635"/>
      <c r="AJ25" s="632" t="s">
        <v>377</v>
      </c>
      <c r="AK25" s="633"/>
      <c r="AL25" s="633"/>
      <c r="AM25" s="634"/>
      <c r="AN25" s="635"/>
      <c r="AO25" s="632" t="s">
        <v>377</v>
      </c>
      <c r="AP25" s="633"/>
      <c r="AQ25" s="633"/>
      <c r="AR25" s="634"/>
      <c r="AS25" s="635"/>
      <c r="AT25" s="632" t="s">
        <v>377</v>
      </c>
      <c r="AU25" s="633"/>
      <c r="AV25" s="633"/>
      <c r="AW25" s="634"/>
      <c r="AX25" s="635"/>
      <c r="BA25" s="635"/>
    </row>
    <row r="26" spans="2:53">
      <c r="B26" s="635"/>
      <c r="C26" s="635"/>
      <c r="D26" s="635"/>
      <c r="E26" s="382" t="s">
        <v>543</v>
      </c>
      <c r="F26" s="382" t="s">
        <v>544</v>
      </c>
      <c r="G26" s="382" t="s">
        <v>545</v>
      </c>
      <c r="H26" s="638"/>
      <c r="I26" s="382" t="s">
        <v>543</v>
      </c>
      <c r="J26" s="382" t="s">
        <v>544</v>
      </c>
      <c r="K26" s="382" t="s">
        <v>545</v>
      </c>
      <c r="L26" s="638"/>
      <c r="M26" s="641"/>
      <c r="N26" s="635"/>
      <c r="O26" s="635"/>
      <c r="P26" s="382" t="s">
        <v>378</v>
      </c>
      <c r="Q26" s="382" t="s">
        <v>379</v>
      </c>
      <c r="R26" s="382" t="s">
        <v>380</v>
      </c>
      <c r="S26" s="382" t="s">
        <v>370</v>
      </c>
      <c r="T26" s="635"/>
      <c r="U26" s="382" t="s">
        <v>378</v>
      </c>
      <c r="V26" s="382" t="s">
        <v>379</v>
      </c>
      <c r="W26" s="382" t="s">
        <v>380</v>
      </c>
      <c r="X26" s="382" t="s">
        <v>370</v>
      </c>
      <c r="Y26" s="635"/>
      <c r="Z26" s="382" t="s">
        <v>378</v>
      </c>
      <c r="AA26" s="382" t="s">
        <v>379</v>
      </c>
      <c r="AB26" s="382" t="s">
        <v>380</v>
      </c>
      <c r="AC26" s="382" t="s">
        <v>370</v>
      </c>
      <c r="AD26" s="635"/>
      <c r="AE26" s="382" t="s">
        <v>378</v>
      </c>
      <c r="AF26" s="382" t="s">
        <v>379</v>
      </c>
      <c r="AG26" s="382" t="s">
        <v>380</v>
      </c>
      <c r="AH26" s="382" t="s">
        <v>370</v>
      </c>
      <c r="AI26" s="635"/>
      <c r="AJ26" s="382" t="s">
        <v>378</v>
      </c>
      <c r="AK26" s="382" t="s">
        <v>379</v>
      </c>
      <c r="AL26" s="382" t="s">
        <v>380</v>
      </c>
      <c r="AM26" s="382" t="s">
        <v>370</v>
      </c>
      <c r="AN26" s="635"/>
      <c r="AO26" s="382" t="s">
        <v>378</v>
      </c>
      <c r="AP26" s="382" t="s">
        <v>379</v>
      </c>
      <c r="AQ26" s="382" t="s">
        <v>380</v>
      </c>
      <c r="AR26" s="382" t="s">
        <v>370</v>
      </c>
      <c r="AS26" s="635"/>
      <c r="AT26" s="382" t="s">
        <v>378</v>
      </c>
      <c r="AU26" s="382" t="s">
        <v>379</v>
      </c>
      <c r="AV26" s="382" t="s">
        <v>380</v>
      </c>
      <c r="AW26" s="382" t="s">
        <v>370</v>
      </c>
      <c r="AX26" s="635"/>
      <c r="AZ26" s="371" t="s">
        <v>370</v>
      </c>
      <c r="BA26" s="635"/>
    </row>
    <row r="27" spans="2:53">
      <c r="B27" s="635" t="s">
        <v>443</v>
      </c>
      <c r="C27" s="384">
        <v>1</v>
      </c>
      <c r="D27" s="225" t="s">
        <v>352</v>
      </c>
      <c r="E27" s="539">
        <v>20</v>
      </c>
      <c r="F27" s="535">
        <v>2400</v>
      </c>
      <c r="G27" s="534">
        <v>120</v>
      </c>
      <c r="H27" s="670">
        <f>AVERAGE(G27:G41)</f>
        <v>135.87404602191751</v>
      </c>
      <c r="I27" s="385">
        <f t="shared" ref="I27:I40" si="5">IFERROR(AVERAGE(P27,U27,Z27,AE27,AJ27,AO27,AT27),"-")</f>
        <v>20</v>
      </c>
      <c r="J27" s="385">
        <f t="shared" ref="J27:J40" si="6">IFERROR(AVERAGE(Q27,V27,AA27,AF27,AK27,AP27,AU27),"-")</f>
        <v>2359.0131626174161</v>
      </c>
      <c r="K27" s="199">
        <f t="shared" ref="K27:K40" si="7">IFERROR(AVERAGE(R27,W27,AB27,AG27,AL27,AQ27,AV27),"-")</f>
        <v>117.95065813087083</v>
      </c>
      <c r="L27" s="616">
        <f>IFERROR(AVERAGE(K27:K41),"-")</f>
        <v>122.96480912594996</v>
      </c>
      <c r="M27" s="389">
        <f>RANK(K27, K$24:$K$41)</f>
        <v>8</v>
      </c>
      <c r="N27" s="635"/>
      <c r="O27" s="635"/>
      <c r="P27" s="542">
        <v>20</v>
      </c>
      <c r="Q27" s="543">
        <v>2371.3297297297304</v>
      </c>
      <c r="R27" s="543">
        <v>118.56648648648653</v>
      </c>
      <c r="S27" s="542">
        <f t="shared" ref="S27:S41" si="8">RANK(R27, R$27:R$41)</f>
        <v>9</v>
      </c>
      <c r="T27" s="647">
        <f t="shared" ref="T27" si="9">AVERAGE(R27:R41)</f>
        <v>123.20003675873994</v>
      </c>
      <c r="U27" s="542">
        <v>20</v>
      </c>
      <c r="V27" s="543">
        <v>2379.4349999999999</v>
      </c>
      <c r="W27" s="543">
        <v>118.97175</v>
      </c>
      <c r="X27" s="542">
        <f t="shared" ref="X27:X41" si="10">RANK(W27, W$27:W$41)</f>
        <v>7</v>
      </c>
      <c r="Y27" s="647">
        <f t="shared" ref="Y27" si="11">AVERAGE(W27:W41)</f>
        <v>122.25203088156313</v>
      </c>
      <c r="Z27" s="542">
        <v>20</v>
      </c>
      <c r="AA27" s="543">
        <v>2324.7793548387094</v>
      </c>
      <c r="AB27" s="543">
        <v>116.23896774193547</v>
      </c>
      <c r="AC27" s="542">
        <f t="shared" ref="AC27:AC41" si="12">RANK(AB27, AB$27:AB$41)</f>
        <v>8</v>
      </c>
      <c r="AD27" s="647">
        <f t="shared" ref="AD27" si="13">AVERAGE(AB27:AB41)</f>
        <v>123.62022765047186</v>
      </c>
      <c r="AE27" s="542">
        <v>20</v>
      </c>
      <c r="AF27" s="543">
        <v>2347.5903614457825</v>
      </c>
      <c r="AG27" s="543">
        <v>117.37951807228913</v>
      </c>
      <c r="AH27" s="542">
        <f t="shared" ref="AH27:AH41" si="14">RANK(AG27, AG$27:AG$41)</f>
        <v>9</v>
      </c>
      <c r="AI27" s="647">
        <f t="shared" ref="AI27" si="15">AVERAGE(AG27:AG41)</f>
        <v>122.96848047777256</v>
      </c>
      <c r="AJ27" s="542">
        <v>20</v>
      </c>
      <c r="AK27" s="543">
        <v>2381.5384615384614</v>
      </c>
      <c r="AL27" s="543">
        <v>119.07692307692307</v>
      </c>
      <c r="AM27" s="542">
        <f t="shared" ref="AM27:AM41" si="16">RANK(AL27, AL$27:AL$41)</f>
        <v>8</v>
      </c>
      <c r="AN27" s="647">
        <f t="shared" ref="AN27" si="17">AVERAGE(AL27:AL41)</f>
        <v>123.38108661286793</v>
      </c>
      <c r="AO27" s="542">
        <v>20</v>
      </c>
      <c r="AP27" s="543">
        <v>2381.5384615384614</v>
      </c>
      <c r="AQ27" s="543">
        <v>119.07692307692307</v>
      </c>
      <c r="AR27" s="542">
        <f t="shared" ref="AR27:AR41" si="18">RANK(AQ27, AQ$27:AQ$41)</f>
        <v>8</v>
      </c>
      <c r="AS27" s="647">
        <f t="shared" ref="AS27" si="19">AVERAGE(AQ27:AQ41)</f>
        <v>123.23707923274308</v>
      </c>
      <c r="AT27" s="542">
        <v>20</v>
      </c>
      <c r="AU27" s="543">
        <v>2326.8807692307696</v>
      </c>
      <c r="AV27" s="543">
        <v>116.34403846153847</v>
      </c>
      <c r="AW27" s="542">
        <f t="shared" ref="AW27:AW41" si="20">RANK(AV27, AV$27:AV$41)</f>
        <v>8</v>
      </c>
      <c r="AX27" s="647">
        <f t="shared" ref="AX27" si="21">AVERAGE(AV27:AV41)</f>
        <v>122.09472226749132</v>
      </c>
      <c r="AZ27" s="372" t="e">
        <f t="shared" ref="AZ27:AZ41" si="22">RANK(AY27, AY$27:AY$41)</f>
        <v>#N/A</v>
      </c>
      <c r="BA27" s="647" t="e">
        <f t="shared" ref="BA27" si="23">AVERAGE(AY27:AY41)</f>
        <v>#DIV/0!</v>
      </c>
    </row>
    <row r="28" spans="2:53">
      <c r="B28" s="646"/>
      <c r="C28" s="384">
        <v>2</v>
      </c>
      <c r="D28" s="225" t="s">
        <v>353</v>
      </c>
      <c r="E28" s="539">
        <v>18</v>
      </c>
      <c r="F28" s="535">
        <v>2769</v>
      </c>
      <c r="G28" s="534">
        <v>153.83333333333334</v>
      </c>
      <c r="H28" s="671"/>
      <c r="I28" s="385">
        <f t="shared" si="5"/>
        <v>18.285714285714285</v>
      </c>
      <c r="J28" s="385">
        <f t="shared" si="6"/>
        <v>2507.763257378102</v>
      </c>
      <c r="K28" s="199">
        <f t="shared" si="7"/>
        <v>137.23439073229147</v>
      </c>
      <c r="L28" s="617"/>
      <c r="M28" s="392">
        <f>RANK(K28, K$24:$K$41)</f>
        <v>2</v>
      </c>
      <c r="N28" s="635"/>
      <c r="O28" s="635"/>
      <c r="P28" s="542">
        <v>18</v>
      </c>
      <c r="Q28" s="543">
        <v>2522.1951219512189</v>
      </c>
      <c r="R28" s="543">
        <v>140.12195121951217</v>
      </c>
      <c r="S28" s="542">
        <f t="shared" si="8"/>
        <v>1</v>
      </c>
      <c r="T28" s="648"/>
      <c r="U28" s="542">
        <v>18</v>
      </c>
      <c r="V28" s="543">
        <v>2496.2962962962952</v>
      </c>
      <c r="W28" s="543">
        <v>138.68312757201639</v>
      </c>
      <c r="X28" s="542">
        <f t="shared" si="10"/>
        <v>2</v>
      </c>
      <c r="Y28" s="648"/>
      <c r="Z28" s="542">
        <v>19</v>
      </c>
      <c r="AA28" s="543">
        <v>2498.1818181818167</v>
      </c>
      <c r="AB28" s="543">
        <v>131.48325358851667</v>
      </c>
      <c r="AC28" s="542">
        <f t="shared" si="12"/>
        <v>5</v>
      </c>
      <c r="AD28" s="648"/>
      <c r="AE28" s="542">
        <v>18</v>
      </c>
      <c r="AF28" s="543">
        <v>2540.8695652173888</v>
      </c>
      <c r="AG28" s="543">
        <v>141.15942028985492</v>
      </c>
      <c r="AH28" s="542">
        <f t="shared" si="14"/>
        <v>1</v>
      </c>
      <c r="AI28" s="648"/>
      <c r="AJ28" s="542">
        <v>19</v>
      </c>
      <c r="AK28" s="543">
        <v>2495.1999999999985</v>
      </c>
      <c r="AL28" s="543">
        <v>131.3263157894736</v>
      </c>
      <c r="AM28" s="542">
        <f t="shared" si="16"/>
        <v>4</v>
      </c>
      <c r="AN28" s="648"/>
      <c r="AO28" s="542">
        <v>18</v>
      </c>
      <c r="AP28" s="543">
        <v>2495.1999999999985</v>
      </c>
      <c r="AQ28" s="543">
        <v>138.62222222222215</v>
      </c>
      <c r="AR28" s="542">
        <f t="shared" si="18"/>
        <v>1</v>
      </c>
      <c r="AS28" s="648"/>
      <c r="AT28" s="542">
        <v>18</v>
      </c>
      <c r="AU28" s="543">
        <v>2506.3999999999983</v>
      </c>
      <c r="AV28" s="543">
        <v>139.24444444444435</v>
      </c>
      <c r="AW28" s="542">
        <f t="shared" si="20"/>
        <v>2</v>
      </c>
      <c r="AX28" s="648"/>
      <c r="AZ28" s="372" t="e">
        <f t="shared" si="22"/>
        <v>#N/A</v>
      </c>
      <c r="BA28" s="648"/>
    </row>
    <row r="29" spans="2:53">
      <c r="B29" s="646"/>
      <c r="C29" s="384">
        <v>3</v>
      </c>
      <c r="D29" s="225" t="s">
        <v>354</v>
      </c>
      <c r="E29" s="539">
        <v>19</v>
      </c>
      <c r="F29" s="535">
        <v>2769</v>
      </c>
      <c r="G29" s="534">
        <v>145.73684210526315</v>
      </c>
      <c r="H29" s="671"/>
      <c r="I29" s="385">
        <f t="shared" si="5"/>
        <v>19</v>
      </c>
      <c r="J29" s="385">
        <f t="shared" si="6"/>
        <v>2480.2213844398452</v>
      </c>
      <c r="K29" s="199">
        <f t="shared" si="7"/>
        <v>130.5379676020971</v>
      </c>
      <c r="L29" s="617"/>
      <c r="M29" s="392">
        <f>RANK(K29, K$24:$K$41)</f>
        <v>5</v>
      </c>
      <c r="N29" s="635"/>
      <c r="O29" s="635"/>
      <c r="P29" s="542">
        <v>19</v>
      </c>
      <c r="Q29" s="543">
        <v>2487.2727272727257</v>
      </c>
      <c r="R29" s="543">
        <v>130.90909090909082</v>
      </c>
      <c r="S29" s="542">
        <f t="shared" si="8"/>
        <v>4</v>
      </c>
      <c r="T29" s="648"/>
      <c r="U29" s="542">
        <v>19</v>
      </c>
      <c r="V29" s="543">
        <v>2437.5000000000018</v>
      </c>
      <c r="W29" s="543">
        <v>128.28947368421063</v>
      </c>
      <c r="X29" s="542">
        <f t="shared" si="10"/>
        <v>5</v>
      </c>
      <c r="Y29" s="648"/>
      <c r="Z29" s="542">
        <v>19</v>
      </c>
      <c r="AA29" s="543">
        <v>2510.0970873786418</v>
      </c>
      <c r="AB29" s="543">
        <v>132.11037301992852</v>
      </c>
      <c r="AC29" s="542">
        <f t="shared" si="12"/>
        <v>4</v>
      </c>
      <c r="AD29" s="648"/>
      <c r="AE29" s="542">
        <v>19</v>
      </c>
      <c r="AF29" s="543">
        <v>2461.9565217391287</v>
      </c>
      <c r="AG29" s="543">
        <v>129.57665903890151</v>
      </c>
      <c r="AH29" s="542">
        <f t="shared" si="14"/>
        <v>5</v>
      </c>
      <c r="AI29" s="648"/>
      <c r="AJ29" s="542">
        <v>19</v>
      </c>
      <c r="AK29" s="543">
        <v>2490.8910891089122</v>
      </c>
      <c r="AL29" s="543">
        <v>131.09953100573222</v>
      </c>
      <c r="AM29" s="542">
        <f t="shared" si="16"/>
        <v>5</v>
      </c>
      <c r="AN29" s="648"/>
      <c r="AO29" s="542">
        <v>19</v>
      </c>
      <c r="AP29" s="543">
        <v>2490.8910891089122</v>
      </c>
      <c r="AQ29" s="543">
        <v>131.09953100573222</v>
      </c>
      <c r="AR29" s="542">
        <f t="shared" si="18"/>
        <v>4</v>
      </c>
      <c r="AS29" s="648"/>
      <c r="AT29" s="542">
        <v>19</v>
      </c>
      <c r="AU29" s="543">
        <v>2482.9411764705892</v>
      </c>
      <c r="AV29" s="543">
        <v>130.68111455108365</v>
      </c>
      <c r="AW29" s="542">
        <f t="shared" si="20"/>
        <v>4</v>
      </c>
      <c r="AX29" s="648"/>
      <c r="AZ29" s="372" t="e">
        <f t="shared" si="22"/>
        <v>#N/A</v>
      </c>
      <c r="BA29" s="648"/>
    </row>
    <row r="30" spans="2:53">
      <c r="B30" s="646"/>
      <c r="C30" s="384">
        <v>4</v>
      </c>
      <c r="D30" s="225" t="s">
        <v>355</v>
      </c>
      <c r="E30" s="539">
        <v>20</v>
      </c>
      <c r="F30" s="535">
        <v>2769</v>
      </c>
      <c r="G30" s="534">
        <v>138.44999999999999</v>
      </c>
      <c r="H30" s="671"/>
      <c r="I30" s="385">
        <f t="shared" si="5"/>
        <v>19.285714285714285</v>
      </c>
      <c r="J30" s="385">
        <f t="shared" si="6"/>
        <v>2407.3921348374765</v>
      </c>
      <c r="K30" s="199">
        <f t="shared" si="7"/>
        <v>124.89925747264915</v>
      </c>
      <c r="L30" s="617"/>
      <c r="M30" s="392">
        <f>RANK(K30, K$24:$K$41)</f>
        <v>6</v>
      </c>
      <c r="N30" s="635"/>
      <c r="O30" s="635"/>
      <c r="P30" s="542">
        <v>19</v>
      </c>
      <c r="Q30" s="543">
        <v>2372.9010989010985</v>
      </c>
      <c r="R30" s="543">
        <v>124.88953152111044</v>
      </c>
      <c r="S30" s="542">
        <f t="shared" si="8"/>
        <v>6</v>
      </c>
      <c r="T30" s="648"/>
      <c r="U30" s="542">
        <v>19</v>
      </c>
      <c r="V30" s="543">
        <v>2373.8400000000011</v>
      </c>
      <c r="W30" s="543">
        <v>124.93894736842111</v>
      </c>
      <c r="X30" s="542">
        <f t="shared" si="10"/>
        <v>6</v>
      </c>
      <c r="Y30" s="648"/>
      <c r="Z30" s="542">
        <v>19</v>
      </c>
      <c r="AA30" s="543">
        <v>2437.0833333333339</v>
      </c>
      <c r="AB30" s="543">
        <v>128.26754385964915</v>
      </c>
      <c r="AC30" s="542">
        <f t="shared" si="12"/>
        <v>6</v>
      </c>
      <c r="AD30" s="648"/>
      <c r="AE30" s="542">
        <v>19</v>
      </c>
      <c r="AF30" s="543">
        <v>2426.0465116279065</v>
      </c>
      <c r="AG30" s="543">
        <v>127.68665850673192</v>
      </c>
      <c r="AH30" s="542">
        <f t="shared" si="14"/>
        <v>6</v>
      </c>
      <c r="AI30" s="648"/>
      <c r="AJ30" s="542">
        <v>20</v>
      </c>
      <c r="AK30" s="543">
        <v>2439.0000000000005</v>
      </c>
      <c r="AL30" s="543">
        <v>121.95000000000002</v>
      </c>
      <c r="AM30" s="542">
        <f t="shared" si="16"/>
        <v>6</v>
      </c>
      <c r="AN30" s="648"/>
      <c r="AO30" s="542">
        <v>19</v>
      </c>
      <c r="AP30" s="543">
        <v>2439.0000000000005</v>
      </c>
      <c r="AQ30" s="543">
        <v>128.36842105263159</v>
      </c>
      <c r="AR30" s="542">
        <f t="shared" si="18"/>
        <v>6</v>
      </c>
      <c r="AS30" s="648"/>
      <c r="AT30" s="542">
        <v>20</v>
      </c>
      <c r="AU30" s="543">
        <v>2363.8739999999971</v>
      </c>
      <c r="AV30" s="543">
        <v>118.19369999999985</v>
      </c>
      <c r="AW30" s="542">
        <f t="shared" si="20"/>
        <v>7</v>
      </c>
      <c r="AX30" s="648"/>
      <c r="AZ30" s="372" t="e">
        <f t="shared" si="22"/>
        <v>#N/A</v>
      </c>
      <c r="BA30" s="648"/>
    </row>
    <row r="31" spans="2:53">
      <c r="B31" s="646"/>
      <c r="C31" s="384">
        <v>5</v>
      </c>
      <c r="D31" s="225" t="s">
        <v>514</v>
      </c>
      <c r="E31" s="539">
        <v>18</v>
      </c>
      <c r="F31" s="535">
        <v>2400</v>
      </c>
      <c r="G31" s="534">
        <v>133.33333333333334</v>
      </c>
      <c r="H31" s="671"/>
      <c r="I31" s="385">
        <f t="shared" si="5"/>
        <v>18</v>
      </c>
      <c r="J31" s="385">
        <f t="shared" si="6"/>
        <v>2153.0151630839632</v>
      </c>
      <c r="K31" s="199">
        <f t="shared" si="7"/>
        <v>119.6119535046646</v>
      </c>
      <c r="L31" s="617"/>
      <c r="M31" s="392">
        <f>RANK(K31, K$24:$K$41)</f>
        <v>7</v>
      </c>
      <c r="N31" s="635"/>
      <c r="O31" s="635"/>
      <c r="P31" s="542">
        <v>18</v>
      </c>
      <c r="Q31" s="543">
        <v>2166.6558139534882</v>
      </c>
      <c r="R31" s="543">
        <v>120.36976744186046</v>
      </c>
      <c r="S31" s="542">
        <f t="shared" si="8"/>
        <v>7</v>
      </c>
      <c r="T31" s="648"/>
      <c r="U31" s="542">
        <v>18</v>
      </c>
      <c r="V31" s="543">
        <v>2135.1636363636385</v>
      </c>
      <c r="W31" s="543">
        <v>118.62020202020214</v>
      </c>
      <c r="X31" s="542">
        <f t="shared" si="10"/>
        <v>8</v>
      </c>
      <c r="Y31" s="648"/>
      <c r="Z31" s="542">
        <v>18</v>
      </c>
      <c r="AA31" s="543">
        <v>2172.6545454545471</v>
      </c>
      <c r="AB31" s="543">
        <v>120.7030303030304</v>
      </c>
      <c r="AC31" s="542">
        <f t="shared" si="12"/>
        <v>7</v>
      </c>
      <c r="AD31" s="648"/>
      <c r="AE31" s="542">
        <v>18</v>
      </c>
      <c r="AF31" s="543">
        <v>2166.1764705882329</v>
      </c>
      <c r="AG31" s="543">
        <v>120.34313725490182</v>
      </c>
      <c r="AH31" s="542">
        <f t="shared" si="14"/>
        <v>7</v>
      </c>
      <c r="AI31" s="648"/>
      <c r="AJ31" s="542">
        <v>18</v>
      </c>
      <c r="AK31" s="543">
        <v>2148.1690140845049</v>
      </c>
      <c r="AL31" s="543">
        <v>119.34272300469472</v>
      </c>
      <c r="AM31" s="542">
        <f t="shared" si="16"/>
        <v>7</v>
      </c>
      <c r="AN31" s="648"/>
      <c r="AO31" s="542">
        <v>18</v>
      </c>
      <c r="AP31" s="543">
        <v>2148.1690140845049</v>
      </c>
      <c r="AQ31" s="543">
        <v>119.34272300469472</v>
      </c>
      <c r="AR31" s="542">
        <f t="shared" si="18"/>
        <v>7</v>
      </c>
      <c r="AS31" s="648"/>
      <c r="AT31" s="542">
        <v>18</v>
      </c>
      <c r="AU31" s="543">
        <v>2134.1176470588243</v>
      </c>
      <c r="AV31" s="543">
        <v>118.56209150326802</v>
      </c>
      <c r="AW31" s="542">
        <f t="shared" si="20"/>
        <v>6</v>
      </c>
      <c r="AX31" s="648"/>
      <c r="AZ31" s="372" t="e">
        <f t="shared" si="22"/>
        <v>#N/A</v>
      </c>
      <c r="BA31" s="648"/>
    </row>
    <row r="32" spans="2:53">
      <c r="B32" s="646"/>
      <c r="C32" s="384">
        <v>6</v>
      </c>
      <c r="D32" s="225" t="s">
        <v>601</v>
      </c>
      <c r="E32" s="539">
        <v>17</v>
      </c>
      <c r="F32" s="535">
        <v>2571</v>
      </c>
      <c r="G32" s="534">
        <v>151.23529411764707</v>
      </c>
      <c r="H32" s="671"/>
      <c r="I32" s="385">
        <f t="shared" si="5"/>
        <v>17</v>
      </c>
      <c r="J32" s="385">
        <f t="shared" si="6"/>
        <v>2348.9234407049539</v>
      </c>
      <c r="K32" s="199">
        <f t="shared" si="7"/>
        <v>138.17196710029137</v>
      </c>
      <c r="L32" s="617"/>
      <c r="M32" s="392">
        <f>RANK(K32, K$24:$K$41)</f>
        <v>1</v>
      </c>
      <c r="N32" s="635"/>
      <c r="O32" s="635"/>
      <c r="P32" s="542">
        <v>17</v>
      </c>
      <c r="Q32" s="543">
        <v>2328.4615384615395</v>
      </c>
      <c r="R32" s="543">
        <v>136.96832579185525</v>
      </c>
      <c r="S32" s="542">
        <f t="shared" si="8"/>
        <v>2</v>
      </c>
      <c r="T32" s="648"/>
      <c r="U32" s="542">
        <v>17</v>
      </c>
      <c r="V32" s="543">
        <v>2371.7647058823541</v>
      </c>
      <c r="W32" s="543">
        <v>139.51557093425612</v>
      </c>
      <c r="X32" s="542">
        <f t="shared" si="10"/>
        <v>1</v>
      </c>
      <c r="Y32" s="648"/>
      <c r="Z32" s="542">
        <v>17</v>
      </c>
      <c r="AA32" s="543">
        <v>2335.2941176470595</v>
      </c>
      <c r="AB32" s="543">
        <v>137.37024221453291</v>
      </c>
      <c r="AC32" s="542">
        <f t="shared" si="12"/>
        <v>2</v>
      </c>
      <c r="AD32" s="648"/>
      <c r="AE32" s="542">
        <v>17</v>
      </c>
      <c r="AF32" s="543">
        <v>2321.4285714285706</v>
      </c>
      <c r="AG32" s="543">
        <v>136.55462184873946</v>
      </c>
      <c r="AH32" s="542">
        <f t="shared" si="14"/>
        <v>2</v>
      </c>
      <c r="AI32" s="648"/>
      <c r="AJ32" s="542">
        <v>17</v>
      </c>
      <c r="AK32" s="543">
        <v>2338.6666666666665</v>
      </c>
      <c r="AL32" s="543">
        <v>137.56862745098039</v>
      </c>
      <c r="AM32" s="542">
        <f t="shared" si="16"/>
        <v>3</v>
      </c>
      <c r="AN32" s="648"/>
      <c r="AO32" s="542">
        <v>17</v>
      </c>
      <c r="AP32" s="543">
        <v>2338.6666666666665</v>
      </c>
      <c r="AQ32" s="543">
        <v>137.56862745098039</v>
      </c>
      <c r="AR32" s="542">
        <f t="shared" si="18"/>
        <v>2</v>
      </c>
      <c r="AS32" s="648"/>
      <c r="AT32" s="542">
        <v>17</v>
      </c>
      <c r="AU32" s="543">
        <v>2408.181818181818</v>
      </c>
      <c r="AV32" s="543">
        <v>141.65775401069519</v>
      </c>
      <c r="AW32" s="542">
        <f t="shared" si="20"/>
        <v>1</v>
      </c>
      <c r="AX32" s="648"/>
      <c r="AZ32" s="372" t="e">
        <f t="shared" si="22"/>
        <v>#N/A</v>
      </c>
      <c r="BA32" s="648"/>
    </row>
    <row r="33" spans="2:53">
      <c r="B33" s="646"/>
      <c r="C33" s="384">
        <v>7</v>
      </c>
      <c r="D33" s="225" t="s">
        <v>605</v>
      </c>
      <c r="E33" s="539">
        <v>18</v>
      </c>
      <c r="F33" s="535">
        <v>2571</v>
      </c>
      <c r="G33" s="534">
        <v>142.83333333333334</v>
      </c>
      <c r="H33" s="671"/>
      <c r="I33" s="385">
        <f t="shared" si="5"/>
        <v>17.714285714285715</v>
      </c>
      <c r="J33" s="385">
        <f t="shared" si="6"/>
        <v>2339.2362417677455</v>
      </c>
      <c r="K33" s="199">
        <f t="shared" si="7"/>
        <v>132.1328462170101</v>
      </c>
      <c r="L33" s="617"/>
      <c r="M33" s="392">
        <f>RANK(K33, K$24:$K$41)</f>
        <v>4</v>
      </c>
      <c r="N33" s="635"/>
      <c r="O33" s="635"/>
      <c r="P33" s="542">
        <v>18</v>
      </c>
      <c r="Q33" s="543">
        <v>2323.1249999999968</v>
      </c>
      <c r="R33" s="543">
        <v>129.06249999999983</v>
      </c>
      <c r="S33" s="542">
        <f t="shared" si="8"/>
        <v>5</v>
      </c>
      <c r="T33" s="648"/>
      <c r="U33" s="542">
        <v>18</v>
      </c>
      <c r="V33" s="543">
        <v>2328.7499999999968</v>
      </c>
      <c r="W33" s="543">
        <v>129.37499999999983</v>
      </c>
      <c r="X33" s="542">
        <f t="shared" si="10"/>
        <v>3</v>
      </c>
      <c r="Y33" s="648"/>
      <c r="Z33" s="542">
        <v>17</v>
      </c>
      <c r="AA33" s="543">
        <v>2278.0645161290286</v>
      </c>
      <c r="AB33" s="543">
        <v>134.00379506641343</v>
      </c>
      <c r="AC33" s="542">
        <f t="shared" si="12"/>
        <v>3</v>
      </c>
      <c r="AD33" s="648"/>
      <c r="AE33" s="542">
        <v>18</v>
      </c>
      <c r="AF33" s="543">
        <v>2366.3999999999933</v>
      </c>
      <c r="AG33" s="543">
        <v>131.4666666666663</v>
      </c>
      <c r="AH33" s="542">
        <f t="shared" si="14"/>
        <v>4</v>
      </c>
      <c r="AI33" s="648"/>
      <c r="AJ33" s="542">
        <v>17</v>
      </c>
      <c r="AK33" s="543">
        <v>2381.3793103448229</v>
      </c>
      <c r="AL33" s="543">
        <v>140.08113590263665</v>
      </c>
      <c r="AM33" s="542">
        <f t="shared" si="16"/>
        <v>1</v>
      </c>
      <c r="AN33" s="648"/>
      <c r="AO33" s="542">
        <v>18</v>
      </c>
      <c r="AP33" s="543">
        <v>2381.3793103448229</v>
      </c>
      <c r="AQ33" s="543">
        <v>132.29885057471239</v>
      </c>
      <c r="AR33" s="542">
        <f t="shared" si="18"/>
        <v>3</v>
      </c>
      <c r="AS33" s="648"/>
      <c r="AT33" s="542">
        <v>18</v>
      </c>
      <c r="AU33" s="543">
        <v>2315.5555555555566</v>
      </c>
      <c r="AV33" s="543">
        <v>128.64197530864203</v>
      </c>
      <c r="AW33" s="542">
        <f t="shared" si="20"/>
        <v>5</v>
      </c>
      <c r="AX33" s="648"/>
      <c r="AZ33" s="372" t="e">
        <f t="shared" si="22"/>
        <v>#N/A</v>
      </c>
      <c r="BA33" s="648"/>
    </row>
    <row r="34" spans="2:53">
      <c r="B34" s="646"/>
      <c r="C34" s="384">
        <v>8</v>
      </c>
      <c r="D34" s="225" t="s">
        <v>620</v>
      </c>
      <c r="E34" s="539">
        <v>19</v>
      </c>
      <c r="F34" s="535">
        <v>2400</v>
      </c>
      <c r="G34" s="534">
        <v>126.31578947368421</v>
      </c>
      <c r="H34" s="671"/>
      <c r="I34" s="385">
        <f t="shared" si="5"/>
        <v>18.285714285714285</v>
      </c>
      <c r="J34" s="385">
        <f t="shared" si="6"/>
        <v>2095.1097488690307</v>
      </c>
      <c r="K34" s="199">
        <f t="shared" si="7"/>
        <v>114.67698135913729</v>
      </c>
      <c r="L34" s="617"/>
      <c r="M34" s="392">
        <f>RANK(K34, K$24:$K$41)</f>
        <v>9</v>
      </c>
      <c r="N34" s="635"/>
      <c r="O34" s="635"/>
      <c r="P34" s="542">
        <v>18</v>
      </c>
      <c r="Q34" s="543">
        <v>2143.7837837837824</v>
      </c>
      <c r="R34" s="543">
        <v>119.09909909909902</v>
      </c>
      <c r="S34" s="542">
        <f t="shared" si="8"/>
        <v>8</v>
      </c>
      <c r="T34" s="648"/>
      <c r="U34" s="542">
        <v>18</v>
      </c>
      <c r="V34" s="543">
        <v>2103.3333333333317</v>
      </c>
      <c r="W34" s="543">
        <v>116.85185185185176</v>
      </c>
      <c r="X34" s="542">
        <f t="shared" si="10"/>
        <v>9</v>
      </c>
      <c r="Y34" s="648"/>
      <c r="Z34" s="542">
        <v>18</v>
      </c>
      <c r="AA34" s="543">
        <v>2084.5714285714262</v>
      </c>
      <c r="AB34" s="543">
        <v>115.80952380952368</v>
      </c>
      <c r="AC34" s="542">
        <f t="shared" si="12"/>
        <v>9</v>
      </c>
      <c r="AD34" s="648"/>
      <c r="AE34" s="542">
        <v>19</v>
      </c>
      <c r="AF34" s="543">
        <v>2053.548387096771</v>
      </c>
      <c r="AG34" s="543">
        <v>108.08149405772478</v>
      </c>
      <c r="AH34" s="542">
        <f t="shared" si="14"/>
        <v>11</v>
      </c>
      <c r="AI34" s="648"/>
      <c r="AJ34" s="542">
        <v>18</v>
      </c>
      <c r="AK34" s="543">
        <v>2110.5882352941148</v>
      </c>
      <c r="AL34" s="543">
        <v>117.25490196078415</v>
      </c>
      <c r="AM34" s="542">
        <f t="shared" si="16"/>
        <v>9</v>
      </c>
      <c r="AN34" s="648"/>
      <c r="AO34" s="542">
        <v>18</v>
      </c>
      <c r="AP34" s="543">
        <v>2110.5882352941148</v>
      </c>
      <c r="AQ34" s="543">
        <v>117.25490196078415</v>
      </c>
      <c r="AR34" s="542">
        <f t="shared" si="18"/>
        <v>9</v>
      </c>
      <c r="AS34" s="648"/>
      <c r="AT34" s="542">
        <v>19</v>
      </c>
      <c r="AU34" s="543">
        <v>2059.3548387096744</v>
      </c>
      <c r="AV34" s="543">
        <v>108.38709677419338</v>
      </c>
      <c r="AW34" s="542">
        <f t="shared" si="20"/>
        <v>11</v>
      </c>
      <c r="AX34" s="648"/>
      <c r="AZ34" s="372" t="e">
        <f t="shared" si="22"/>
        <v>#N/A</v>
      </c>
      <c r="BA34" s="648"/>
    </row>
    <row r="35" spans="2:53">
      <c r="B35" s="646"/>
      <c r="C35" s="384">
        <v>9</v>
      </c>
      <c r="D35" s="225" t="s">
        <v>628</v>
      </c>
      <c r="E35" s="539">
        <v>18</v>
      </c>
      <c r="F35" s="535">
        <v>2571</v>
      </c>
      <c r="G35" s="534">
        <v>142.83333333333334</v>
      </c>
      <c r="H35" s="671"/>
      <c r="I35" s="385">
        <f t="shared" si="5"/>
        <v>17.714285714285715</v>
      </c>
      <c r="J35" s="385">
        <f t="shared" si="6"/>
        <v>2360.0145826103726</v>
      </c>
      <c r="K35" s="199">
        <f t="shared" si="7"/>
        <v>133.31329069279533</v>
      </c>
      <c r="L35" s="617"/>
      <c r="M35" s="392">
        <f>RANK(K35, K$24:$K$41)</f>
        <v>3</v>
      </c>
      <c r="N35" s="635"/>
      <c r="O35" s="635"/>
      <c r="P35" s="542">
        <v>18</v>
      </c>
      <c r="Q35" s="543">
        <v>2398.3938461538492</v>
      </c>
      <c r="R35" s="543">
        <v>133.24410256410272</v>
      </c>
      <c r="S35" s="542">
        <f t="shared" si="8"/>
        <v>3</v>
      </c>
      <c r="T35" s="648"/>
      <c r="U35" s="542">
        <v>18</v>
      </c>
      <c r="V35" s="543">
        <v>2316.6000000000022</v>
      </c>
      <c r="W35" s="543">
        <v>128.70000000000013</v>
      </c>
      <c r="X35" s="542">
        <f t="shared" si="10"/>
        <v>4</v>
      </c>
      <c r="Y35" s="648"/>
      <c r="Z35" s="542">
        <v>17</v>
      </c>
      <c r="AA35" s="543">
        <v>2371.3333333333335</v>
      </c>
      <c r="AB35" s="543">
        <v>139.49019607843138</v>
      </c>
      <c r="AC35" s="542">
        <f t="shared" si="12"/>
        <v>1</v>
      </c>
      <c r="AD35" s="648"/>
      <c r="AE35" s="542">
        <v>18</v>
      </c>
      <c r="AF35" s="543">
        <v>2368.4210526315774</v>
      </c>
      <c r="AG35" s="543">
        <v>131.57894736842096</v>
      </c>
      <c r="AH35" s="542">
        <f t="shared" si="14"/>
        <v>3</v>
      </c>
      <c r="AI35" s="648"/>
      <c r="AJ35" s="542">
        <v>17</v>
      </c>
      <c r="AK35" s="543">
        <v>2344</v>
      </c>
      <c r="AL35" s="543">
        <v>137.88235294117646</v>
      </c>
      <c r="AM35" s="542">
        <f t="shared" si="16"/>
        <v>2</v>
      </c>
      <c r="AN35" s="648"/>
      <c r="AO35" s="542">
        <v>18</v>
      </c>
      <c r="AP35" s="543">
        <v>2344</v>
      </c>
      <c r="AQ35" s="543">
        <v>130.22222222222223</v>
      </c>
      <c r="AR35" s="542">
        <f t="shared" si="18"/>
        <v>5</v>
      </c>
      <c r="AS35" s="648"/>
      <c r="AT35" s="542">
        <v>18</v>
      </c>
      <c r="AU35" s="543">
        <v>2377.3538461538446</v>
      </c>
      <c r="AV35" s="543">
        <v>132.0752136752136</v>
      </c>
      <c r="AW35" s="542">
        <f t="shared" si="20"/>
        <v>3</v>
      </c>
      <c r="AX35" s="648"/>
      <c r="AZ35" s="372" t="e">
        <f t="shared" si="22"/>
        <v>#N/A</v>
      </c>
      <c r="BA35" s="648"/>
    </row>
    <row r="36" spans="2:53">
      <c r="B36" s="646"/>
      <c r="C36" s="384">
        <v>10</v>
      </c>
      <c r="D36" s="225" t="s">
        <v>632</v>
      </c>
      <c r="E36" s="539">
        <v>19</v>
      </c>
      <c r="F36" s="535">
        <v>2400</v>
      </c>
      <c r="G36" s="534">
        <v>126.31578947368421</v>
      </c>
      <c r="H36" s="671"/>
      <c r="I36" s="385">
        <f t="shared" si="5"/>
        <v>19</v>
      </c>
      <c r="J36" s="385">
        <f t="shared" si="6"/>
        <v>2111.5470258506043</v>
      </c>
      <c r="K36" s="199">
        <f t="shared" si="7"/>
        <v>111.13405399213707</v>
      </c>
      <c r="L36" s="617"/>
      <c r="M36" s="392">
        <f>RANK(K36, K$24:$K$41)</f>
        <v>11</v>
      </c>
      <c r="N36" s="635"/>
      <c r="O36" s="635"/>
      <c r="P36" s="542">
        <v>19</v>
      </c>
      <c r="Q36" s="543">
        <v>2079.5744680851067</v>
      </c>
      <c r="R36" s="543">
        <v>109.45128779395299</v>
      </c>
      <c r="S36" s="542">
        <f t="shared" si="8"/>
        <v>11</v>
      </c>
      <c r="T36" s="648"/>
      <c r="U36" s="542">
        <v>19</v>
      </c>
      <c r="V36" s="543">
        <v>2127.391304347826</v>
      </c>
      <c r="W36" s="543">
        <v>111.96796338672769</v>
      </c>
      <c r="X36" s="542">
        <f t="shared" si="10"/>
        <v>10</v>
      </c>
      <c r="Y36" s="648"/>
      <c r="Z36" s="542">
        <v>19</v>
      </c>
      <c r="AA36" s="543">
        <v>2085.333333333333</v>
      </c>
      <c r="AB36" s="543">
        <v>109.75438596491226</v>
      </c>
      <c r="AC36" s="542">
        <f t="shared" si="12"/>
        <v>11</v>
      </c>
      <c r="AD36" s="648"/>
      <c r="AE36" s="542">
        <v>19</v>
      </c>
      <c r="AF36" s="543">
        <v>2106.3157894736828</v>
      </c>
      <c r="AG36" s="543">
        <v>110.85872576177277</v>
      </c>
      <c r="AH36" s="542">
        <f t="shared" si="14"/>
        <v>10</v>
      </c>
      <c r="AI36" s="648"/>
      <c r="AJ36" s="542">
        <v>19</v>
      </c>
      <c r="AK36" s="543">
        <v>2132.8571428571422</v>
      </c>
      <c r="AL36" s="543">
        <v>112.25563909774432</v>
      </c>
      <c r="AM36" s="542">
        <f t="shared" si="16"/>
        <v>10</v>
      </c>
      <c r="AN36" s="648"/>
      <c r="AO36" s="542">
        <v>19</v>
      </c>
      <c r="AP36" s="543">
        <v>2132.8571428571422</v>
      </c>
      <c r="AQ36" s="543">
        <v>112.25563909774432</v>
      </c>
      <c r="AR36" s="542">
        <f t="shared" si="18"/>
        <v>10</v>
      </c>
      <c r="AS36" s="648"/>
      <c r="AT36" s="542">
        <v>19</v>
      </c>
      <c r="AU36" s="543">
        <v>2116.4999999999991</v>
      </c>
      <c r="AV36" s="543">
        <v>111.39473684210522</v>
      </c>
      <c r="AW36" s="542">
        <f t="shared" si="20"/>
        <v>10</v>
      </c>
      <c r="AX36" s="648"/>
      <c r="AZ36" s="372" t="e">
        <f t="shared" si="22"/>
        <v>#N/A</v>
      </c>
      <c r="BA36" s="648"/>
    </row>
    <row r="37" spans="2:53">
      <c r="B37" s="646"/>
      <c r="C37" s="384">
        <v>11</v>
      </c>
      <c r="D37" s="225" t="s">
        <v>638</v>
      </c>
      <c r="E37" s="539">
        <v>21</v>
      </c>
      <c r="F37" s="535">
        <v>2400</v>
      </c>
      <c r="G37" s="534">
        <v>114.28571428571429</v>
      </c>
      <c r="H37" s="671"/>
      <c r="I37" s="385">
        <f t="shared" si="5"/>
        <v>21</v>
      </c>
      <c r="J37" s="385">
        <f t="shared" si="6"/>
        <v>2161.8806490555717</v>
      </c>
      <c r="K37" s="199">
        <f t="shared" si="7"/>
        <v>102.94669757407483</v>
      </c>
      <c r="L37" s="617"/>
      <c r="M37" s="392">
        <f>RANK(K37, K$24:$K$41)</f>
        <v>12</v>
      </c>
      <c r="N37" s="635"/>
      <c r="O37" s="635"/>
      <c r="P37" s="542">
        <v>21</v>
      </c>
      <c r="Q37" s="543">
        <v>2175.681818181818</v>
      </c>
      <c r="R37" s="543">
        <v>103.60389610389609</v>
      </c>
      <c r="S37" s="542">
        <f t="shared" si="8"/>
        <v>12</v>
      </c>
      <c r="T37" s="648"/>
      <c r="U37" s="542">
        <v>21</v>
      </c>
      <c r="V37" s="543">
        <v>2128.2352941176464</v>
      </c>
      <c r="W37" s="543">
        <v>101.34453781512602</v>
      </c>
      <c r="X37" s="542">
        <f t="shared" si="10"/>
        <v>12</v>
      </c>
      <c r="Y37" s="648"/>
      <c r="Z37" s="542">
        <v>21</v>
      </c>
      <c r="AA37" s="543">
        <v>2168.6842105263154</v>
      </c>
      <c r="AB37" s="543">
        <v>103.27067669172931</v>
      </c>
      <c r="AC37" s="542">
        <f t="shared" si="12"/>
        <v>12</v>
      </c>
      <c r="AD37" s="648"/>
      <c r="AE37" s="542">
        <v>21</v>
      </c>
      <c r="AF37" s="543">
        <v>2166.3636363636365</v>
      </c>
      <c r="AG37" s="543">
        <v>103.16017316017317</v>
      </c>
      <c r="AH37" s="542">
        <f t="shared" si="14"/>
        <v>12</v>
      </c>
      <c r="AI37" s="648"/>
      <c r="AJ37" s="542">
        <v>21</v>
      </c>
      <c r="AK37" s="543">
        <v>2155.9459459459467</v>
      </c>
      <c r="AL37" s="543">
        <v>102.66409266409271</v>
      </c>
      <c r="AM37" s="542">
        <f t="shared" si="16"/>
        <v>12</v>
      </c>
      <c r="AN37" s="648"/>
      <c r="AO37" s="542">
        <v>21</v>
      </c>
      <c r="AP37" s="543">
        <v>2155.9459459459467</v>
      </c>
      <c r="AQ37" s="543">
        <v>102.66409266409271</v>
      </c>
      <c r="AR37" s="542">
        <f t="shared" si="18"/>
        <v>12</v>
      </c>
      <c r="AS37" s="648"/>
      <c r="AT37" s="542">
        <v>21</v>
      </c>
      <c r="AU37" s="543">
        <v>2182.3076923076919</v>
      </c>
      <c r="AV37" s="543">
        <v>103.9194139194139</v>
      </c>
      <c r="AW37" s="542">
        <f t="shared" si="20"/>
        <v>12</v>
      </c>
      <c r="AX37" s="648"/>
      <c r="AZ37" s="372" t="e">
        <f t="shared" si="22"/>
        <v>#N/A</v>
      </c>
      <c r="BA37" s="648"/>
    </row>
    <row r="38" spans="2:53">
      <c r="B38" s="646"/>
      <c r="C38" s="384">
        <v>12</v>
      </c>
      <c r="D38" s="225" t="s">
        <v>713</v>
      </c>
      <c r="E38" s="539">
        <v>19</v>
      </c>
      <c r="F38" s="535">
        <v>2571</v>
      </c>
      <c r="G38" s="534">
        <v>135.31578947368422</v>
      </c>
      <c r="H38" s="671"/>
      <c r="I38" s="385">
        <f t="shared" si="5"/>
        <v>19.571428571428573</v>
      </c>
      <c r="J38" s="385">
        <f t="shared" si="6"/>
        <v>2209.5312491114055</v>
      </c>
      <c r="K38" s="199">
        <f t="shared" si="7"/>
        <v>112.96764513338064</v>
      </c>
      <c r="L38" s="617"/>
      <c r="M38" s="392">
        <f>RANK(K38, K$24:$K$41)</f>
        <v>10</v>
      </c>
      <c r="N38" s="635"/>
      <c r="O38" s="635"/>
      <c r="P38" s="542">
        <v>20</v>
      </c>
      <c r="Q38" s="543">
        <v>2242.288043478261</v>
      </c>
      <c r="R38" s="543">
        <v>112.11440217391305</v>
      </c>
      <c r="S38" s="542">
        <f t="shared" si="8"/>
        <v>10</v>
      </c>
      <c r="T38" s="648"/>
      <c r="U38" s="542">
        <v>20</v>
      </c>
      <c r="V38" s="543">
        <v>2195.3189189189197</v>
      </c>
      <c r="W38" s="543">
        <v>109.76594594594599</v>
      </c>
      <c r="X38" s="542">
        <f t="shared" si="10"/>
        <v>11</v>
      </c>
      <c r="Y38" s="648"/>
      <c r="Z38" s="542">
        <v>19</v>
      </c>
      <c r="AA38" s="543">
        <v>2183.8741258741261</v>
      </c>
      <c r="AB38" s="543">
        <v>114.94074346705926</v>
      </c>
      <c r="AC38" s="542">
        <f t="shared" si="12"/>
        <v>10</v>
      </c>
      <c r="AD38" s="648"/>
      <c r="AE38" s="542">
        <v>19</v>
      </c>
      <c r="AF38" s="543">
        <v>2237.739130434783</v>
      </c>
      <c r="AG38" s="543">
        <v>117.77574370709384</v>
      </c>
      <c r="AH38" s="542">
        <f t="shared" si="14"/>
        <v>8</v>
      </c>
      <c r="AI38" s="648"/>
      <c r="AJ38" s="542">
        <v>20</v>
      </c>
      <c r="AK38" s="543">
        <v>2201.4159292035397</v>
      </c>
      <c r="AL38" s="543">
        <v>110.07079646017698</v>
      </c>
      <c r="AM38" s="542">
        <f t="shared" si="16"/>
        <v>11</v>
      </c>
      <c r="AN38" s="648"/>
      <c r="AO38" s="542">
        <v>20</v>
      </c>
      <c r="AP38" s="543">
        <v>2201.4159292035397</v>
      </c>
      <c r="AQ38" s="543">
        <v>110.07079646017698</v>
      </c>
      <c r="AR38" s="542">
        <f t="shared" si="18"/>
        <v>11</v>
      </c>
      <c r="AS38" s="648"/>
      <c r="AT38" s="542">
        <v>19</v>
      </c>
      <c r="AU38" s="543">
        <v>2204.666666666667</v>
      </c>
      <c r="AV38" s="543">
        <v>116.03508771929826</v>
      </c>
      <c r="AW38" s="542">
        <f t="shared" si="20"/>
        <v>9</v>
      </c>
      <c r="AX38" s="648"/>
      <c r="AZ38" s="372" t="e">
        <f t="shared" si="22"/>
        <v>#N/A</v>
      </c>
      <c r="BA38" s="648"/>
    </row>
    <row r="39" spans="2:53">
      <c r="B39" s="646"/>
      <c r="C39" s="384">
        <v>13</v>
      </c>
      <c r="D39" s="225"/>
      <c r="E39" s="539"/>
      <c r="F39" s="535"/>
      <c r="G39" s="534"/>
      <c r="H39" s="671"/>
      <c r="I39" s="385" t="str">
        <f t="shared" si="5"/>
        <v>-</v>
      </c>
      <c r="J39" s="385" t="str">
        <f t="shared" si="6"/>
        <v>-</v>
      </c>
      <c r="K39" s="199" t="str">
        <f t="shared" si="7"/>
        <v>-</v>
      </c>
      <c r="L39" s="617"/>
      <c r="M39" s="392" t="e">
        <f>RANK(K39, K$24:$K$41)</f>
        <v>#VALUE!</v>
      </c>
      <c r="N39" s="635"/>
      <c r="O39" s="635"/>
      <c r="P39" s="542" t="s">
        <v>592</v>
      </c>
      <c r="Q39" s="543" t="s">
        <v>592</v>
      </c>
      <c r="R39" s="543" t="s">
        <v>592</v>
      </c>
      <c r="S39" s="542" t="e">
        <f t="shared" si="8"/>
        <v>#VALUE!</v>
      </c>
      <c r="T39" s="648"/>
      <c r="U39" s="542" t="s">
        <v>592</v>
      </c>
      <c r="V39" s="543" t="s">
        <v>592</v>
      </c>
      <c r="W39" s="543" t="s">
        <v>592</v>
      </c>
      <c r="X39" s="542" t="e">
        <f t="shared" si="10"/>
        <v>#VALUE!</v>
      </c>
      <c r="Y39" s="648"/>
      <c r="Z39" s="542" t="s">
        <v>592</v>
      </c>
      <c r="AA39" s="543" t="s">
        <v>592</v>
      </c>
      <c r="AB39" s="543" t="s">
        <v>592</v>
      </c>
      <c r="AC39" s="542" t="e">
        <f t="shared" si="12"/>
        <v>#VALUE!</v>
      </c>
      <c r="AD39" s="648"/>
      <c r="AE39" s="542" t="s">
        <v>592</v>
      </c>
      <c r="AF39" s="543" t="s">
        <v>592</v>
      </c>
      <c r="AG39" s="543" t="s">
        <v>592</v>
      </c>
      <c r="AH39" s="542" t="e">
        <f t="shared" si="14"/>
        <v>#VALUE!</v>
      </c>
      <c r="AI39" s="648"/>
      <c r="AJ39" s="542" t="s">
        <v>592</v>
      </c>
      <c r="AK39" s="543" t="s">
        <v>592</v>
      </c>
      <c r="AL39" s="543" t="s">
        <v>592</v>
      </c>
      <c r="AM39" s="542" t="e">
        <f t="shared" si="16"/>
        <v>#VALUE!</v>
      </c>
      <c r="AN39" s="648"/>
      <c r="AO39" s="542" t="s">
        <v>592</v>
      </c>
      <c r="AP39" s="543" t="s">
        <v>592</v>
      </c>
      <c r="AQ39" s="543" t="s">
        <v>592</v>
      </c>
      <c r="AR39" s="542" t="e">
        <f t="shared" si="18"/>
        <v>#VALUE!</v>
      </c>
      <c r="AS39" s="648"/>
      <c r="AT39" s="542" t="s">
        <v>592</v>
      </c>
      <c r="AU39" s="543" t="s">
        <v>592</v>
      </c>
      <c r="AV39" s="543" t="s">
        <v>592</v>
      </c>
      <c r="AW39" s="542" t="e">
        <f t="shared" si="20"/>
        <v>#VALUE!</v>
      </c>
      <c r="AX39" s="648"/>
      <c r="AZ39" s="372" t="e">
        <f t="shared" si="22"/>
        <v>#N/A</v>
      </c>
      <c r="BA39" s="648"/>
    </row>
    <row r="40" spans="2:53">
      <c r="B40" s="646"/>
      <c r="C40" s="384">
        <v>14</v>
      </c>
      <c r="D40" s="225"/>
      <c r="E40" s="539"/>
      <c r="F40" s="535"/>
      <c r="G40" s="534"/>
      <c r="H40" s="671"/>
      <c r="I40" s="385" t="str">
        <f t="shared" si="5"/>
        <v>-</v>
      </c>
      <c r="J40" s="385" t="str">
        <f t="shared" si="6"/>
        <v>-</v>
      </c>
      <c r="K40" s="199" t="str">
        <f t="shared" si="7"/>
        <v>-</v>
      </c>
      <c r="L40" s="617"/>
      <c r="M40" s="392" t="e">
        <f>RANK(K40, K$24:$K$41)</f>
        <v>#VALUE!</v>
      </c>
      <c r="N40" s="635"/>
      <c r="O40" s="635"/>
      <c r="P40" s="542" t="s">
        <v>592</v>
      </c>
      <c r="Q40" s="543" t="s">
        <v>592</v>
      </c>
      <c r="R40" s="543" t="s">
        <v>592</v>
      </c>
      <c r="S40" s="542" t="e">
        <f t="shared" si="8"/>
        <v>#VALUE!</v>
      </c>
      <c r="T40" s="648"/>
      <c r="U40" s="542" t="s">
        <v>592</v>
      </c>
      <c r="V40" s="543" t="s">
        <v>592</v>
      </c>
      <c r="W40" s="543" t="s">
        <v>592</v>
      </c>
      <c r="X40" s="542" t="e">
        <f t="shared" si="10"/>
        <v>#VALUE!</v>
      </c>
      <c r="Y40" s="648"/>
      <c r="Z40" s="542" t="s">
        <v>592</v>
      </c>
      <c r="AA40" s="543" t="s">
        <v>592</v>
      </c>
      <c r="AB40" s="543" t="s">
        <v>592</v>
      </c>
      <c r="AC40" s="542" t="e">
        <f t="shared" si="12"/>
        <v>#VALUE!</v>
      </c>
      <c r="AD40" s="648"/>
      <c r="AE40" s="542" t="s">
        <v>592</v>
      </c>
      <c r="AF40" s="543" t="s">
        <v>592</v>
      </c>
      <c r="AG40" s="543" t="s">
        <v>592</v>
      </c>
      <c r="AH40" s="542" t="e">
        <f t="shared" si="14"/>
        <v>#VALUE!</v>
      </c>
      <c r="AI40" s="648"/>
      <c r="AJ40" s="542" t="s">
        <v>592</v>
      </c>
      <c r="AK40" s="543" t="s">
        <v>592</v>
      </c>
      <c r="AL40" s="543" t="s">
        <v>592</v>
      </c>
      <c r="AM40" s="542" t="e">
        <f t="shared" si="16"/>
        <v>#VALUE!</v>
      </c>
      <c r="AN40" s="648"/>
      <c r="AO40" s="542" t="s">
        <v>592</v>
      </c>
      <c r="AP40" s="543" t="s">
        <v>592</v>
      </c>
      <c r="AQ40" s="543" t="s">
        <v>592</v>
      </c>
      <c r="AR40" s="542" t="e">
        <f t="shared" si="18"/>
        <v>#VALUE!</v>
      </c>
      <c r="AS40" s="648"/>
      <c r="AT40" s="542" t="s">
        <v>592</v>
      </c>
      <c r="AU40" s="543" t="s">
        <v>592</v>
      </c>
      <c r="AV40" s="543" t="s">
        <v>592</v>
      </c>
      <c r="AW40" s="542" t="e">
        <f t="shared" si="20"/>
        <v>#VALUE!</v>
      </c>
      <c r="AX40" s="648"/>
      <c r="AZ40" s="372" t="e">
        <f t="shared" si="22"/>
        <v>#N/A</v>
      </c>
      <c r="BA40" s="648"/>
    </row>
    <row r="41" spans="2:53">
      <c r="B41" s="646"/>
      <c r="C41" s="384">
        <v>15</v>
      </c>
      <c r="D41" s="225"/>
      <c r="E41" s="539"/>
      <c r="F41" s="535"/>
      <c r="G41" s="534"/>
      <c r="H41" s="680"/>
      <c r="I41" s="384"/>
      <c r="J41" s="384"/>
      <c r="K41" s="384"/>
      <c r="L41" s="618"/>
      <c r="M41" s="392" t="e">
        <f>RANK(K41, K$24:$K$41)</f>
        <v>#N/A</v>
      </c>
      <c r="N41" s="635"/>
      <c r="O41" s="635"/>
      <c r="P41" s="542" t="s">
        <v>592</v>
      </c>
      <c r="Q41" s="543" t="s">
        <v>592</v>
      </c>
      <c r="R41" s="543" t="s">
        <v>592</v>
      </c>
      <c r="S41" s="542" t="e">
        <f t="shared" si="8"/>
        <v>#VALUE!</v>
      </c>
      <c r="T41" s="649"/>
      <c r="U41" s="542" t="s">
        <v>592</v>
      </c>
      <c r="V41" s="543" t="s">
        <v>592</v>
      </c>
      <c r="W41" s="543" t="s">
        <v>592</v>
      </c>
      <c r="X41" s="542" t="e">
        <f t="shared" si="10"/>
        <v>#VALUE!</v>
      </c>
      <c r="Y41" s="649"/>
      <c r="Z41" s="542" t="s">
        <v>592</v>
      </c>
      <c r="AA41" s="543" t="s">
        <v>592</v>
      </c>
      <c r="AB41" s="543" t="s">
        <v>592</v>
      </c>
      <c r="AC41" s="542" t="e">
        <f t="shared" si="12"/>
        <v>#VALUE!</v>
      </c>
      <c r="AD41" s="649"/>
      <c r="AE41" s="542" t="s">
        <v>592</v>
      </c>
      <c r="AF41" s="543" t="s">
        <v>592</v>
      </c>
      <c r="AG41" s="543" t="s">
        <v>592</v>
      </c>
      <c r="AH41" s="542" t="e">
        <f t="shared" si="14"/>
        <v>#VALUE!</v>
      </c>
      <c r="AI41" s="649"/>
      <c r="AJ41" s="542" t="s">
        <v>592</v>
      </c>
      <c r="AK41" s="543" t="s">
        <v>592</v>
      </c>
      <c r="AL41" s="543" t="s">
        <v>592</v>
      </c>
      <c r="AM41" s="542" t="e">
        <f t="shared" si="16"/>
        <v>#VALUE!</v>
      </c>
      <c r="AN41" s="649"/>
      <c r="AO41" s="542" t="s">
        <v>592</v>
      </c>
      <c r="AP41" s="543" t="s">
        <v>592</v>
      </c>
      <c r="AQ41" s="543" t="s">
        <v>592</v>
      </c>
      <c r="AR41" s="542" t="e">
        <f t="shared" si="18"/>
        <v>#VALUE!</v>
      </c>
      <c r="AS41" s="649"/>
      <c r="AT41" s="542" t="s">
        <v>592</v>
      </c>
      <c r="AU41" s="543" t="s">
        <v>592</v>
      </c>
      <c r="AV41" s="543" t="s">
        <v>592</v>
      </c>
      <c r="AW41" s="542" t="e">
        <f t="shared" si="20"/>
        <v>#VALUE!</v>
      </c>
      <c r="AX41" s="649"/>
      <c r="AZ41" s="372" t="e">
        <f t="shared" si="22"/>
        <v>#N/A</v>
      </c>
      <c r="BA41" s="649"/>
    </row>
    <row r="42" spans="2:53" ht="15.75">
      <c r="B42" s="666" t="s">
        <v>162</v>
      </c>
      <c r="C42" s="667"/>
      <c r="D42" s="667"/>
      <c r="E42" s="667"/>
      <c r="F42" s="667"/>
      <c r="G42" s="667"/>
      <c r="H42" s="667"/>
      <c r="I42" s="207"/>
      <c r="J42" s="202"/>
      <c r="K42" s="207"/>
      <c r="L42" s="207"/>
      <c r="M42" s="203"/>
      <c r="N42" s="639" t="s">
        <v>156</v>
      </c>
      <c r="O42" s="639" t="s">
        <v>105</v>
      </c>
      <c r="P42" s="645">
        <f>P22+7</f>
        <v>46217</v>
      </c>
      <c r="Q42" s="646"/>
      <c r="R42" s="646"/>
      <c r="S42" s="646"/>
      <c r="T42" s="646"/>
      <c r="U42" s="642">
        <f>P42+1</f>
        <v>46218</v>
      </c>
      <c r="V42" s="643"/>
      <c r="W42" s="643"/>
      <c r="X42" s="643"/>
      <c r="Y42" s="644"/>
      <c r="Z42" s="642">
        <f>U42+1</f>
        <v>46219</v>
      </c>
      <c r="AA42" s="643"/>
      <c r="AB42" s="643"/>
      <c r="AC42" s="643"/>
      <c r="AD42" s="644"/>
      <c r="AE42" s="642">
        <f>Z42+1</f>
        <v>46220</v>
      </c>
      <c r="AF42" s="643"/>
      <c r="AG42" s="643"/>
      <c r="AH42" s="643"/>
      <c r="AI42" s="644"/>
      <c r="AJ42" s="642">
        <f>AE42+1</f>
        <v>46221</v>
      </c>
      <c r="AK42" s="643"/>
      <c r="AL42" s="643"/>
      <c r="AM42" s="643"/>
      <c r="AN42" s="644"/>
      <c r="AO42" s="642">
        <f>AJ42+1</f>
        <v>46222</v>
      </c>
      <c r="AP42" s="643"/>
      <c r="AQ42" s="643"/>
      <c r="AR42" s="643"/>
      <c r="AS42" s="644"/>
      <c r="AT42" s="642">
        <f>AO42+1</f>
        <v>46223</v>
      </c>
      <c r="AU42" s="643"/>
      <c r="AV42" s="643"/>
      <c r="AW42" s="643"/>
      <c r="AX42" s="644"/>
    </row>
    <row r="43" spans="2:53" ht="15.75">
      <c r="B43" s="653"/>
      <c r="C43" s="653"/>
      <c r="D43" s="653"/>
      <c r="E43" s="653"/>
      <c r="F43" s="653"/>
      <c r="G43" s="653"/>
      <c r="H43" s="653"/>
      <c r="I43" s="204"/>
      <c r="J43" s="204"/>
      <c r="K43" s="204"/>
      <c r="L43" s="204"/>
      <c r="M43" s="205"/>
      <c r="N43" s="641"/>
      <c r="O43" s="641"/>
      <c r="P43" s="645" t="s">
        <v>317</v>
      </c>
      <c r="Q43" s="646"/>
      <c r="R43" s="646"/>
      <c r="S43" s="646"/>
      <c r="T43" s="646"/>
      <c r="U43" s="645" t="s">
        <v>318</v>
      </c>
      <c r="V43" s="646"/>
      <c r="W43" s="646"/>
      <c r="X43" s="646"/>
      <c r="Y43" s="646"/>
      <c r="Z43" s="645" t="s">
        <v>319</v>
      </c>
      <c r="AA43" s="646"/>
      <c r="AB43" s="646"/>
      <c r="AC43" s="646"/>
      <c r="AD43" s="646"/>
      <c r="AE43" s="645" t="s">
        <v>320</v>
      </c>
      <c r="AF43" s="646"/>
      <c r="AG43" s="646"/>
      <c r="AH43" s="646"/>
      <c r="AI43" s="646"/>
      <c r="AJ43" s="645" t="s">
        <v>321</v>
      </c>
      <c r="AK43" s="646"/>
      <c r="AL43" s="646"/>
      <c r="AM43" s="646"/>
      <c r="AN43" s="646"/>
      <c r="AO43" s="645" t="s">
        <v>322</v>
      </c>
      <c r="AP43" s="646"/>
      <c r="AQ43" s="646"/>
      <c r="AR43" s="646"/>
      <c r="AS43" s="646"/>
      <c r="AT43" s="645" t="s">
        <v>323</v>
      </c>
      <c r="AU43" s="646"/>
      <c r="AV43" s="646"/>
      <c r="AW43" s="646"/>
      <c r="AX43" s="646"/>
    </row>
    <row r="44" spans="2:53">
      <c r="B44" s="635" t="s">
        <v>456</v>
      </c>
      <c r="C44" s="635" t="s">
        <v>536</v>
      </c>
      <c r="D44" s="635"/>
      <c r="E44" s="635" t="s">
        <v>537</v>
      </c>
      <c r="F44" s="635"/>
      <c r="G44" s="635"/>
      <c r="H44" s="636" t="s">
        <v>538</v>
      </c>
      <c r="I44" s="635" t="s">
        <v>539</v>
      </c>
      <c r="J44" s="635"/>
      <c r="K44" s="635"/>
      <c r="L44" s="636" t="s">
        <v>369</v>
      </c>
      <c r="M44" s="639" t="s">
        <v>540</v>
      </c>
      <c r="N44" s="635"/>
      <c r="O44" s="635" t="s">
        <v>375</v>
      </c>
      <c r="P44" s="632" t="s">
        <v>371</v>
      </c>
      <c r="Q44" s="633"/>
      <c r="R44" s="633"/>
      <c r="S44" s="634"/>
      <c r="T44" s="635" t="s">
        <v>369</v>
      </c>
      <c r="U44" s="632" t="s">
        <v>371</v>
      </c>
      <c r="V44" s="633"/>
      <c r="W44" s="633"/>
      <c r="X44" s="634"/>
      <c r="Y44" s="635" t="s">
        <v>369</v>
      </c>
      <c r="Z44" s="632" t="s">
        <v>371</v>
      </c>
      <c r="AA44" s="633"/>
      <c r="AB44" s="633"/>
      <c r="AC44" s="634"/>
      <c r="AD44" s="635" t="s">
        <v>369</v>
      </c>
      <c r="AE44" s="632" t="s">
        <v>371</v>
      </c>
      <c r="AF44" s="633"/>
      <c r="AG44" s="633"/>
      <c r="AH44" s="634"/>
      <c r="AI44" s="635" t="s">
        <v>369</v>
      </c>
      <c r="AJ44" s="632" t="s">
        <v>371</v>
      </c>
      <c r="AK44" s="633"/>
      <c r="AL44" s="633"/>
      <c r="AM44" s="634"/>
      <c r="AN44" s="635" t="s">
        <v>369</v>
      </c>
      <c r="AO44" s="632" t="s">
        <v>371</v>
      </c>
      <c r="AP44" s="633"/>
      <c r="AQ44" s="633"/>
      <c r="AR44" s="634"/>
      <c r="AS44" s="635" t="s">
        <v>369</v>
      </c>
      <c r="AT44" s="632" t="s">
        <v>371</v>
      </c>
      <c r="AU44" s="633"/>
      <c r="AV44" s="633"/>
      <c r="AW44" s="634"/>
      <c r="AX44" s="635" t="s">
        <v>369</v>
      </c>
      <c r="BA44" s="635" t="s">
        <v>369</v>
      </c>
    </row>
    <row r="45" spans="2:53">
      <c r="B45" s="635"/>
      <c r="C45" s="635"/>
      <c r="D45" s="635"/>
      <c r="E45" s="635" t="s">
        <v>542</v>
      </c>
      <c r="F45" s="635"/>
      <c r="G45" s="635"/>
      <c r="H45" s="637"/>
      <c r="I45" s="635" t="s">
        <v>542</v>
      </c>
      <c r="J45" s="635"/>
      <c r="K45" s="635"/>
      <c r="L45" s="637"/>
      <c r="M45" s="640"/>
      <c r="N45" s="635"/>
      <c r="O45" s="635"/>
      <c r="P45" s="632" t="s">
        <v>377</v>
      </c>
      <c r="Q45" s="633"/>
      <c r="R45" s="633"/>
      <c r="S45" s="634"/>
      <c r="T45" s="635"/>
      <c r="U45" s="632" t="s">
        <v>377</v>
      </c>
      <c r="V45" s="633"/>
      <c r="W45" s="633"/>
      <c r="X45" s="634"/>
      <c r="Y45" s="635"/>
      <c r="Z45" s="632" t="s">
        <v>377</v>
      </c>
      <c r="AA45" s="633"/>
      <c r="AB45" s="633"/>
      <c r="AC45" s="634"/>
      <c r="AD45" s="635"/>
      <c r="AE45" s="632" t="s">
        <v>377</v>
      </c>
      <c r="AF45" s="633"/>
      <c r="AG45" s="633"/>
      <c r="AH45" s="634"/>
      <c r="AI45" s="635"/>
      <c r="AJ45" s="632" t="s">
        <v>377</v>
      </c>
      <c r="AK45" s="633"/>
      <c r="AL45" s="633"/>
      <c r="AM45" s="634"/>
      <c r="AN45" s="635"/>
      <c r="AO45" s="632" t="s">
        <v>377</v>
      </c>
      <c r="AP45" s="633"/>
      <c r="AQ45" s="633"/>
      <c r="AR45" s="634"/>
      <c r="AS45" s="635"/>
      <c r="AT45" s="632" t="s">
        <v>377</v>
      </c>
      <c r="AU45" s="633"/>
      <c r="AV45" s="633"/>
      <c r="AW45" s="634"/>
      <c r="AX45" s="635"/>
      <c r="BA45" s="635"/>
    </row>
    <row r="46" spans="2:53">
      <c r="B46" s="635"/>
      <c r="C46" s="635"/>
      <c r="D46" s="635"/>
      <c r="E46" s="382" t="s">
        <v>543</v>
      </c>
      <c r="F46" s="382" t="s">
        <v>544</v>
      </c>
      <c r="G46" s="382" t="s">
        <v>545</v>
      </c>
      <c r="H46" s="638"/>
      <c r="I46" s="382" t="s">
        <v>543</v>
      </c>
      <c r="J46" s="382" t="s">
        <v>544</v>
      </c>
      <c r="K46" s="382" t="s">
        <v>545</v>
      </c>
      <c r="L46" s="638"/>
      <c r="M46" s="641"/>
      <c r="N46" s="635"/>
      <c r="O46" s="635"/>
      <c r="P46" s="382" t="s">
        <v>378</v>
      </c>
      <c r="Q46" s="382" t="s">
        <v>379</v>
      </c>
      <c r="R46" s="382" t="s">
        <v>380</v>
      </c>
      <c r="S46" s="382" t="s">
        <v>370</v>
      </c>
      <c r="T46" s="635"/>
      <c r="U46" s="382" t="s">
        <v>378</v>
      </c>
      <c r="V46" s="382" t="s">
        <v>379</v>
      </c>
      <c r="W46" s="382" t="s">
        <v>380</v>
      </c>
      <c r="X46" s="382" t="s">
        <v>370</v>
      </c>
      <c r="Y46" s="635"/>
      <c r="Z46" s="382" t="s">
        <v>378</v>
      </c>
      <c r="AA46" s="382" t="s">
        <v>379</v>
      </c>
      <c r="AB46" s="382" t="s">
        <v>380</v>
      </c>
      <c r="AC46" s="382" t="s">
        <v>370</v>
      </c>
      <c r="AD46" s="635"/>
      <c r="AE46" s="382" t="s">
        <v>378</v>
      </c>
      <c r="AF46" s="382" t="s">
        <v>379</v>
      </c>
      <c r="AG46" s="382" t="s">
        <v>380</v>
      </c>
      <c r="AH46" s="382" t="s">
        <v>370</v>
      </c>
      <c r="AI46" s="635"/>
      <c r="AJ46" s="382" t="s">
        <v>378</v>
      </c>
      <c r="AK46" s="382" t="s">
        <v>379</v>
      </c>
      <c r="AL46" s="382" t="s">
        <v>380</v>
      </c>
      <c r="AM46" s="382" t="s">
        <v>370</v>
      </c>
      <c r="AN46" s="635"/>
      <c r="AO46" s="382" t="s">
        <v>378</v>
      </c>
      <c r="AP46" s="382" t="s">
        <v>379</v>
      </c>
      <c r="AQ46" s="382" t="s">
        <v>380</v>
      </c>
      <c r="AR46" s="382" t="s">
        <v>370</v>
      </c>
      <c r="AS46" s="635"/>
      <c r="AT46" s="382" t="s">
        <v>378</v>
      </c>
      <c r="AU46" s="382" t="s">
        <v>379</v>
      </c>
      <c r="AV46" s="382" t="s">
        <v>380</v>
      </c>
      <c r="AW46" s="382" t="s">
        <v>370</v>
      </c>
      <c r="AX46" s="635"/>
      <c r="AZ46" s="371" t="s">
        <v>565</v>
      </c>
      <c r="BA46" s="635"/>
    </row>
    <row r="47" spans="2:53">
      <c r="B47" s="635" t="s">
        <v>471</v>
      </c>
      <c r="C47" s="384">
        <v>1</v>
      </c>
      <c r="D47" s="225" t="s">
        <v>352</v>
      </c>
      <c r="E47" s="539">
        <v>20</v>
      </c>
      <c r="F47" s="535">
        <v>2400</v>
      </c>
      <c r="G47" s="534">
        <v>120</v>
      </c>
      <c r="H47" s="670">
        <f>AVERAGE(G47:G61)</f>
        <v>135.87404602191751</v>
      </c>
      <c r="I47" s="385">
        <f t="shared" ref="I47:I60" si="24">IFERROR(AVERAGE(P47,U47,Z47,AE47,AJ47,AO47,AT47),"-")</f>
        <v>20</v>
      </c>
      <c r="J47" s="385">
        <f t="shared" ref="J47:J60" si="25">IFERROR(AVERAGE(Q47,V47,AA47,AF47,AK47,AP47,AU47),"-")</f>
        <v>2334.4744430168389</v>
      </c>
      <c r="K47" s="199">
        <f t="shared" ref="K47:K60" si="26">IFERROR(AVERAGE(R47,W47,AB47,AG47,AL47,AQ47,AV47),"-")</f>
        <v>116.72372215084195</v>
      </c>
      <c r="L47" s="616">
        <f>IFERROR(AVERAGE(K47:K61),"-")</f>
        <v>121.35124203714356</v>
      </c>
      <c r="M47" s="389">
        <f>RANK(K47, K$47:$K$61)</f>
        <v>8</v>
      </c>
      <c r="N47" s="635"/>
      <c r="O47" s="635"/>
      <c r="P47" s="546">
        <v>20</v>
      </c>
      <c r="Q47" s="547">
        <v>2335.4166666666674</v>
      </c>
      <c r="R47" s="547">
        <v>116.77083333333337</v>
      </c>
      <c r="S47" s="547">
        <v>8</v>
      </c>
      <c r="T47" s="657">
        <v>120.42572049566854</v>
      </c>
      <c r="U47" s="546">
        <v>20</v>
      </c>
      <c r="V47" s="547">
        <v>2331.0967741935483</v>
      </c>
      <c r="W47" s="547">
        <v>116.55483870967741</v>
      </c>
      <c r="X47" s="547">
        <v>8</v>
      </c>
      <c r="Y47" s="657">
        <v>120.51923143944884</v>
      </c>
      <c r="Z47" s="546">
        <v>20</v>
      </c>
      <c r="AA47" s="547">
        <v>2331.7808219178087</v>
      </c>
      <c r="AB47" s="547">
        <v>116.58904109589044</v>
      </c>
      <c r="AC47" s="547">
        <v>9</v>
      </c>
      <c r="AD47" s="657">
        <v>121.2027056940352</v>
      </c>
      <c r="AE47" s="546">
        <v>20</v>
      </c>
      <c r="AF47" s="547">
        <v>2361.8181818181824</v>
      </c>
      <c r="AG47" s="547">
        <v>118.09090909090912</v>
      </c>
      <c r="AH47" s="547">
        <v>7</v>
      </c>
      <c r="AI47" s="657">
        <v>123.18780871976723</v>
      </c>
      <c r="AJ47" s="546">
        <v>20</v>
      </c>
      <c r="AK47" s="547">
        <v>2344.817518248175</v>
      </c>
      <c r="AL47" s="547">
        <v>117.24087591240875</v>
      </c>
      <c r="AM47" s="547">
        <v>8</v>
      </c>
      <c r="AN47" s="657">
        <v>121.07971360290141</v>
      </c>
      <c r="AO47" s="546">
        <v>20</v>
      </c>
      <c r="AP47" s="547">
        <v>2302.2352941176468</v>
      </c>
      <c r="AQ47" s="547">
        <v>115.11176470588234</v>
      </c>
      <c r="AR47" s="547">
        <v>9</v>
      </c>
      <c r="AS47" s="657">
        <v>121.67230300167756</v>
      </c>
      <c r="AT47" s="546">
        <v>20</v>
      </c>
      <c r="AU47" s="547">
        <v>2334.1558441558441</v>
      </c>
      <c r="AV47" s="547">
        <v>116.70779220779221</v>
      </c>
      <c r="AW47" s="547">
        <v>8</v>
      </c>
      <c r="AX47" s="657">
        <v>121.37121130650615</v>
      </c>
      <c r="AZ47" s="372" t="e">
        <f t="shared" ref="AZ47:AZ61" si="27">RANK(AY47, AY$47:AY$61)</f>
        <v>#N/A</v>
      </c>
      <c r="BA47" s="647" t="e">
        <f t="shared" ref="BA47" si="28">AVERAGE(AY47:AY61)</f>
        <v>#DIV/0!</v>
      </c>
    </row>
    <row r="48" spans="2:53">
      <c r="B48" s="646"/>
      <c r="C48" s="384">
        <v>2</v>
      </c>
      <c r="D48" s="225" t="s">
        <v>353</v>
      </c>
      <c r="E48" s="539">
        <v>18</v>
      </c>
      <c r="F48" s="535">
        <v>2769</v>
      </c>
      <c r="G48" s="534">
        <v>153.83333333333334</v>
      </c>
      <c r="H48" s="671"/>
      <c r="I48" s="385">
        <f t="shared" si="24"/>
        <v>18.285714285714285</v>
      </c>
      <c r="J48" s="385">
        <f t="shared" si="25"/>
        <v>2488.9173681061197</v>
      </c>
      <c r="K48" s="199">
        <f t="shared" si="26"/>
        <v>136.18288198910756</v>
      </c>
      <c r="L48" s="617"/>
      <c r="M48" s="432">
        <f>RANK(K48, K$47:$K$61)</f>
        <v>1</v>
      </c>
      <c r="N48" s="635"/>
      <c r="O48" s="635"/>
      <c r="P48" s="546">
        <v>18</v>
      </c>
      <c r="Q48" s="547">
        <v>2499.6610169491546</v>
      </c>
      <c r="R48" s="547">
        <v>138.87005649717526</v>
      </c>
      <c r="S48" s="547">
        <v>1</v>
      </c>
      <c r="T48" s="657"/>
      <c r="U48" s="546">
        <v>18</v>
      </c>
      <c r="V48" s="547">
        <v>2504.9999999999968</v>
      </c>
      <c r="W48" s="547">
        <v>139.16666666666649</v>
      </c>
      <c r="X48" s="547">
        <v>1</v>
      </c>
      <c r="Y48" s="657"/>
      <c r="Z48" s="546">
        <v>18</v>
      </c>
      <c r="AA48" s="547">
        <v>2461.76470588235</v>
      </c>
      <c r="AB48" s="547">
        <v>136.76470588235279</v>
      </c>
      <c r="AC48" s="547">
        <v>1</v>
      </c>
      <c r="AD48" s="657"/>
      <c r="AE48" s="546">
        <v>19</v>
      </c>
      <c r="AF48" s="547">
        <v>2477.3333333333276</v>
      </c>
      <c r="AG48" s="547">
        <v>130.3859649122804</v>
      </c>
      <c r="AH48" s="547">
        <v>4</v>
      </c>
      <c r="AI48" s="657"/>
      <c r="AJ48" s="546">
        <v>19</v>
      </c>
      <c r="AK48" s="547">
        <v>2526.8571428571404</v>
      </c>
      <c r="AL48" s="547">
        <v>132.9924812030074</v>
      </c>
      <c r="AM48" s="547">
        <v>2</v>
      </c>
      <c r="AN48" s="657"/>
      <c r="AO48" s="546">
        <v>18</v>
      </c>
      <c r="AP48" s="547">
        <v>2508.1690140845044</v>
      </c>
      <c r="AQ48" s="547">
        <v>139.34272300469468</v>
      </c>
      <c r="AR48" s="547">
        <v>1</v>
      </c>
      <c r="AS48" s="657"/>
      <c r="AT48" s="546">
        <v>18</v>
      </c>
      <c r="AU48" s="547">
        <v>2443.6363636363653</v>
      </c>
      <c r="AV48" s="547">
        <v>135.75757575757586</v>
      </c>
      <c r="AW48" s="547">
        <v>2</v>
      </c>
      <c r="AX48" s="657"/>
      <c r="AZ48" s="430" t="e">
        <f t="shared" si="27"/>
        <v>#N/A</v>
      </c>
      <c r="BA48" s="648"/>
    </row>
    <row r="49" spans="2:53">
      <c r="B49" s="646"/>
      <c r="C49" s="384">
        <v>3</v>
      </c>
      <c r="D49" s="225" t="s">
        <v>354</v>
      </c>
      <c r="E49" s="539">
        <v>19</v>
      </c>
      <c r="F49" s="535">
        <v>2769</v>
      </c>
      <c r="G49" s="534">
        <v>145.73684210526315</v>
      </c>
      <c r="H49" s="671"/>
      <c r="I49" s="385">
        <f t="shared" si="24"/>
        <v>19.142857142857142</v>
      </c>
      <c r="J49" s="385">
        <f t="shared" si="25"/>
        <v>2408.2349340155329</v>
      </c>
      <c r="K49" s="199">
        <f t="shared" si="26"/>
        <v>125.8444451486872</v>
      </c>
      <c r="L49" s="617"/>
      <c r="M49" s="432">
        <f>RANK(K49, K$47:$K$61)</f>
        <v>5</v>
      </c>
      <c r="N49" s="635"/>
      <c r="O49" s="635"/>
      <c r="P49" s="546">
        <v>19</v>
      </c>
      <c r="Q49" s="547">
        <v>2307.692307692309</v>
      </c>
      <c r="R49" s="547">
        <v>121.45748987854257</v>
      </c>
      <c r="S49" s="547">
        <v>5</v>
      </c>
      <c r="T49" s="657"/>
      <c r="U49" s="546">
        <v>19</v>
      </c>
      <c r="V49" s="547">
        <v>2361.8918918918903</v>
      </c>
      <c r="W49" s="547">
        <v>124.31009957325739</v>
      </c>
      <c r="X49" s="547">
        <v>5</v>
      </c>
      <c r="Y49" s="657"/>
      <c r="Z49" s="546">
        <v>19</v>
      </c>
      <c r="AA49" s="547">
        <v>2432.1649484536092</v>
      </c>
      <c r="AB49" s="547">
        <v>128.00868149755837</v>
      </c>
      <c r="AC49" s="547">
        <v>4</v>
      </c>
      <c r="AD49" s="657"/>
      <c r="AE49" s="546">
        <v>19</v>
      </c>
      <c r="AF49" s="547">
        <v>2436.2500000000009</v>
      </c>
      <c r="AG49" s="547">
        <v>128.22368421052636</v>
      </c>
      <c r="AH49" s="547">
        <v>5</v>
      </c>
      <c r="AI49" s="657"/>
      <c r="AJ49" s="546">
        <v>19</v>
      </c>
      <c r="AK49" s="547">
        <v>2463.8297872340431</v>
      </c>
      <c r="AL49" s="547">
        <v>129.67525195968648</v>
      </c>
      <c r="AM49" s="547">
        <v>4</v>
      </c>
      <c r="AN49" s="657"/>
      <c r="AO49" s="546">
        <v>19</v>
      </c>
      <c r="AP49" s="547">
        <v>2449.1489361702106</v>
      </c>
      <c r="AQ49" s="547">
        <v>128.90257558790583</v>
      </c>
      <c r="AR49" s="547">
        <v>4</v>
      </c>
      <c r="AS49" s="657"/>
      <c r="AT49" s="546">
        <v>20</v>
      </c>
      <c r="AU49" s="547">
        <v>2406.666666666667</v>
      </c>
      <c r="AV49" s="547">
        <v>120.33333333333334</v>
      </c>
      <c r="AW49" s="547">
        <v>5</v>
      </c>
      <c r="AX49" s="657"/>
      <c r="AZ49" s="430" t="e">
        <f t="shared" si="27"/>
        <v>#N/A</v>
      </c>
      <c r="BA49" s="648"/>
    </row>
    <row r="50" spans="2:53">
      <c r="B50" s="646"/>
      <c r="C50" s="384">
        <v>4</v>
      </c>
      <c r="D50" s="225" t="s">
        <v>355</v>
      </c>
      <c r="E50" s="539">
        <v>20</v>
      </c>
      <c r="F50" s="535">
        <v>2769</v>
      </c>
      <c r="G50" s="534">
        <v>138.44999999999999</v>
      </c>
      <c r="H50" s="671"/>
      <c r="I50" s="385">
        <f t="shared" si="24"/>
        <v>20</v>
      </c>
      <c r="J50" s="385">
        <f t="shared" si="25"/>
        <v>2404.6302630278983</v>
      </c>
      <c r="K50" s="199">
        <f t="shared" si="26"/>
        <v>120.23151315139491</v>
      </c>
      <c r="L50" s="617"/>
      <c r="M50" s="432">
        <f>RANK(K50, K$47:$K$61)</f>
        <v>6</v>
      </c>
      <c r="N50" s="635"/>
      <c r="O50" s="635"/>
      <c r="P50" s="546">
        <v>20</v>
      </c>
      <c r="Q50" s="547">
        <v>2423.8235294117649</v>
      </c>
      <c r="R50" s="547">
        <v>121.19117647058825</v>
      </c>
      <c r="S50" s="547">
        <v>6</v>
      </c>
      <c r="T50" s="657"/>
      <c r="U50" s="546">
        <v>20</v>
      </c>
      <c r="V50" s="547">
        <v>2396.8421052631579</v>
      </c>
      <c r="W50" s="547">
        <v>119.84210526315789</v>
      </c>
      <c r="X50" s="547">
        <v>6</v>
      </c>
      <c r="Y50" s="657"/>
      <c r="Z50" s="546">
        <v>20</v>
      </c>
      <c r="AA50" s="547">
        <v>2376.6000000000008</v>
      </c>
      <c r="AB50" s="547">
        <v>118.83000000000004</v>
      </c>
      <c r="AC50" s="547">
        <v>7</v>
      </c>
      <c r="AD50" s="657"/>
      <c r="AE50" s="546">
        <v>20</v>
      </c>
      <c r="AF50" s="547">
        <v>2424.4444444444462</v>
      </c>
      <c r="AG50" s="547">
        <v>121.22222222222231</v>
      </c>
      <c r="AH50" s="547">
        <v>6</v>
      </c>
      <c r="AI50" s="657"/>
      <c r="AJ50" s="546">
        <v>20</v>
      </c>
      <c r="AK50" s="547">
        <v>2413.2352941176468</v>
      </c>
      <c r="AL50" s="547">
        <v>120.66176470588235</v>
      </c>
      <c r="AM50" s="547">
        <v>6</v>
      </c>
      <c r="AN50" s="657"/>
      <c r="AO50" s="546">
        <v>20</v>
      </c>
      <c r="AP50" s="547">
        <v>2400.909090909091</v>
      </c>
      <c r="AQ50" s="547">
        <v>120.04545454545455</v>
      </c>
      <c r="AR50" s="547">
        <v>7</v>
      </c>
      <c r="AS50" s="657"/>
      <c r="AT50" s="546">
        <v>20</v>
      </c>
      <c r="AU50" s="547">
        <v>2396.5573770491796</v>
      </c>
      <c r="AV50" s="547">
        <v>119.82786885245898</v>
      </c>
      <c r="AW50" s="547">
        <v>6</v>
      </c>
      <c r="AX50" s="657"/>
      <c r="AZ50" s="430" t="e">
        <f t="shared" si="27"/>
        <v>#N/A</v>
      </c>
      <c r="BA50" s="648"/>
    </row>
    <row r="51" spans="2:53">
      <c r="B51" s="646"/>
      <c r="C51" s="384">
        <v>5</v>
      </c>
      <c r="D51" s="225" t="s">
        <v>514</v>
      </c>
      <c r="E51" s="539">
        <v>18</v>
      </c>
      <c r="F51" s="535">
        <v>2400</v>
      </c>
      <c r="G51" s="534">
        <v>133.33333333333334</v>
      </c>
      <c r="H51" s="671"/>
      <c r="I51" s="385">
        <f t="shared" si="24"/>
        <v>18</v>
      </c>
      <c r="J51" s="385">
        <f t="shared" si="25"/>
        <v>2135.4433041473917</v>
      </c>
      <c r="K51" s="199">
        <f t="shared" si="26"/>
        <v>118.63573911929954</v>
      </c>
      <c r="L51" s="617"/>
      <c r="M51" s="432">
        <f>RANK(K51, K$47:$K$61)</f>
        <v>7</v>
      </c>
      <c r="N51" s="635"/>
      <c r="O51" s="635"/>
      <c r="P51" s="546">
        <v>18</v>
      </c>
      <c r="Q51" s="547">
        <v>2130.810810810809</v>
      </c>
      <c r="R51" s="547">
        <v>118.37837837837827</v>
      </c>
      <c r="S51" s="547">
        <v>7</v>
      </c>
      <c r="T51" s="657"/>
      <c r="U51" s="546">
        <v>18</v>
      </c>
      <c r="V51" s="547">
        <v>2126.1818181818194</v>
      </c>
      <c r="W51" s="547">
        <v>118.12121212121218</v>
      </c>
      <c r="X51" s="547">
        <v>7</v>
      </c>
      <c r="Y51" s="657"/>
      <c r="Z51" s="546">
        <v>18</v>
      </c>
      <c r="AA51" s="547">
        <v>2139.6428571428555</v>
      </c>
      <c r="AB51" s="547">
        <v>118.86904761904754</v>
      </c>
      <c r="AC51" s="547">
        <v>6</v>
      </c>
      <c r="AD51" s="657"/>
      <c r="AE51" s="546">
        <v>18</v>
      </c>
      <c r="AF51" s="547">
        <v>2111.1111111111104</v>
      </c>
      <c r="AG51" s="547">
        <v>117.28395061728391</v>
      </c>
      <c r="AH51" s="547">
        <v>9</v>
      </c>
      <c r="AI51" s="657"/>
      <c r="AJ51" s="546">
        <v>18</v>
      </c>
      <c r="AK51" s="547">
        <v>2137.377049180327</v>
      </c>
      <c r="AL51" s="547">
        <v>118.74316939890706</v>
      </c>
      <c r="AM51" s="547">
        <v>7</v>
      </c>
      <c r="AN51" s="657"/>
      <c r="AO51" s="546">
        <v>18</v>
      </c>
      <c r="AP51" s="547">
        <v>2165.0847457627137</v>
      </c>
      <c r="AQ51" s="547">
        <v>120.28248587570631</v>
      </c>
      <c r="AR51" s="547">
        <v>6</v>
      </c>
      <c r="AS51" s="657"/>
      <c r="AT51" s="546">
        <v>18</v>
      </c>
      <c r="AU51" s="547">
        <v>2137.8947368421068</v>
      </c>
      <c r="AV51" s="547">
        <v>118.77192982456148</v>
      </c>
      <c r="AW51" s="547">
        <v>7</v>
      </c>
      <c r="AX51" s="657"/>
      <c r="AZ51" s="430" t="e">
        <f t="shared" si="27"/>
        <v>#N/A</v>
      </c>
      <c r="BA51" s="648"/>
    </row>
    <row r="52" spans="2:53">
      <c r="B52" s="646"/>
      <c r="C52" s="384">
        <v>6</v>
      </c>
      <c r="D52" s="225" t="s">
        <v>601</v>
      </c>
      <c r="E52" s="539">
        <v>17</v>
      </c>
      <c r="F52" s="535">
        <v>2571</v>
      </c>
      <c r="G52" s="534">
        <v>151.23529411764707</v>
      </c>
      <c r="H52" s="671"/>
      <c r="I52" s="385">
        <f t="shared" si="24"/>
        <v>17.428571428571427</v>
      </c>
      <c r="J52" s="385">
        <f t="shared" si="25"/>
        <v>2336.5269053174402</v>
      </c>
      <c r="K52" s="199">
        <f t="shared" si="26"/>
        <v>134.1423595438589</v>
      </c>
      <c r="L52" s="617"/>
      <c r="M52" s="432">
        <f>RANK(K52, K$47:$K$61)</f>
        <v>2</v>
      </c>
      <c r="N52" s="635"/>
      <c r="O52" s="635"/>
      <c r="P52" s="546">
        <v>18</v>
      </c>
      <c r="Q52" s="547">
        <v>2336.1702127659578</v>
      </c>
      <c r="R52" s="547">
        <v>129.78723404255322</v>
      </c>
      <c r="S52" s="547">
        <v>3</v>
      </c>
      <c r="T52" s="657"/>
      <c r="U52" s="546">
        <v>18</v>
      </c>
      <c r="V52" s="547">
        <v>2348.9999999999991</v>
      </c>
      <c r="W52" s="547">
        <v>130.49999999999994</v>
      </c>
      <c r="X52" s="547">
        <v>3</v>
      </c>
      <c r="Y52" s="657"/>
      <c r="Z52" s="546">
        <v>18</v>
      </c>
      <c r="AA52" s="547">
        <v>2384.2857142857138</v>
      </c>
      <c r="AB52" s="547">
        <v>132.46031746031744</v>
      </c>
      <c r="AC52" s="547">
        <v>2</v>
      </c>
      <c r="AD52" s="657"/>
      <c r="AE52" s="546">
        <v>17</v>
      </c>
      <c r="AF52" s="547">
        <v>2304.782608695652</v>
      </c>
      <c r="AG52" s="547">
        <v>135.57544757033247</v>
      </c>
      <c r="AH52" s="547">
        <v>3</v>
      </c>
      <c r="AI52" s="657"/>
      <c r="AJ52" s="546">
        <v>17</v>
      </c>
      <c r="AK52" s="547">
        <v>2316.2790697674413</v>
      </c>
      <c r="AL52" s="547">
        <v>136.25170998632007</v>
      </c>
      <c r="AM52" s="547">
        <v>1</v>
      </c>
      <c r="AN52" s="657"/>
      <c r="AO52" s="546">
        <v>17</v>
      </c>
      <c r="AP52" s="547">
        <v>2312</v>
      </c>
      <c r="AQ52" s="547">
        <v>136</v>
      </c>
      <c r="AR52" s="547">
        <v>2</v>
      </c>
      <c r="AS52" s="657"/>
      <c r="AT52" s="546">
        <v>17</v>
      </c>
      <c r="AU52" s="547">
        <v>2353.170731707316</v>
      </c>
      <c r="AV52" s="547">
        <v>138.42180774748917</v>
      </c>
      <c r="AW52" s="547">
        <v>1</v>
      </c>
      <c r="AX52" s="657"/>
      <c r="AZ52" s="430" t="e">
        <f t="shared" si="27"/>
        <v>#N/A</v>
      </c>
      <c r="BA52" s="648"/>
    </row>
    <row r="53" spans="2:53">
      <c r="B53" s="646"/>
      <c r="C53" s="384">
        <v>7</v>
      </c>
      <c r="D53" s="225" t="s">
        <v>605</v>
      </c>
      <c r="E53" s="539">
        <v>18</v>
      </c>
      <c r="F53" s="535">
        <v>2571</v>
      </c>
      <c r="G53" s="534">
        <v>142.83333333333334</v>
      </c>
      <c r="H53" s="671"/>
      <c r="I53" s="385">
        <f t="shared" si="24"/>
        <v>17.857142857142858</v>
      </c>
      <c r="J53" s="385">
        <f t="shared" si="25"/>
        <v>2292.138321995461</v>
      </c>
      <c r="K53" s="199">
        <f t="shared" si="26"/>
        <v>128.45212899974783</v>
      </c>
      <c r="L53" s="617"/>
      <c r="M53" s="432">
        <f>RANK(K53, K$47:$K$61)</f>
        <v>4</v>
      </c>
      <c r="N53" s="635"/>
      <c r="O53" s="635"/>
      <c r="P53" s="546">
        <v>18</v>
      </c>
      <c r="Q53" s="547">
        <v>2295.555555555557</v>
      </c>
      <c r="R53" s="547">
        <v>127.53086419753095</v>
      </c>
      <c r="S53" s="547">
        <v>4</v>
      </c>
      <c r="T53" s="657"/>
      <c r="U53" s="546">
        <v>18</v>
      </c>
      <c r="V53" s="547">
        <v>2282.0000000000018</v>
      </c>
      <c r="W53" s="547">
        <v>126.77777777777789</v>
      </c>
      <c r="X53" s="547">
        <v>4</v>
      </c>
      <c r="Y53" s="657"/>
      <c r="Z53" s="546">
        <v>18</v>
      </c>
      <c r="AA53" s="547">
        <v>2247.8571428571377</v>
      </c>
      <c r="AB53" s="547">
        <v>124.8809523809521</v>
      </c>
      <c r="AC53" s="547">
        <v>5</v>
      </c>
      <c r="AD53" s="657"/>
      <c r="AE53" s="546">
        <v>17</v>
      </c>
      <c r="AF53" s="547">
        <v>2379.9999999999927</v>
      </c>
      <c r="AG53" s="547">
        <v>139.99999999999957</v>
      </c>
      <c r="AH53" s="547">
        <v>2</v>
      </c>
      <c r="AI53" s="657"/>
      <c r="AJ53" s="546">
        <v>18</v>
      </c>
      <c r="AK53" s="547">
        <v>2265.5999999999935</v>
      </c>
      <c r="AL53" s="547">
        <v>125.8666666666663</v>
      </c>
      <c r="AM53" s="547">
        <v>5</v>
      </c>
      <c r="AN53" s="657"/>
      <c r="AO53" s="546">
        <v>18</v>
      </c>
      <c r="AP53" s="547">
        <v>2258.3999999999937</v>
      </c>
      <c r="AQ53" s="547">
        <v>125.46666666666631</v>
      </c>
      <c r="AR53" s="547">
        <v>5</v>
      </c>
      <c r="AS53" s="657"/>
      <c r="AT53" s="546">
        <v>18</v>
      </c>
      <c r="AU53" s="547">
        <v>2315.5555555555502</v>
      </c>
      <c r="AV53" s="547">
        <v>128.64197530864169</v>
      </c>
      <c r="AW53" s="547">
        <v>4</v>
      </c>
      <c r="AX53" s="657"/>
      <c r="AZ53" s="430" t="e">
        <f t="shared" si="27"/>
        <v>#N/A</v>
      </c>
      <c r="BA53" s="648"/>
    </row>
    <row r="54" spans="2:53">
      <c r="B54" s="646"/>
      <c r="C54" s="384">
        <v>8</v>
      </c>
      <c r="D54" s="225" t="s">
        <v>620</v>
      </c>
      <c r="E54" s="539">
        <v>19</v>
      </c>
      <c r="F54" s="535">
        <v>2400</v>
      </c>
      <c r="G54" s="534">
        <v>126.31578947368421</v>
      </c>
      <c r="H54" s="671"/>
      <c r="I54" s="385">
        <f t="shared" si="24"/>
        <v>18.428571428571427</v>
      </c>
      <c r="J54" s="385">
        <f t="shared" si="25"/>
        <v>2111.1484936577526</v>
      </c>
      <c r="K54" s="199">
        <f t="shared" si="26"/>
        <v>114.63511646681975</v>
      </c>
      <c r="L54" s="617"/>
      <c r="M54" s="432">
        <f>RANK(K54, K$47:$K$61)</f>
        <v>10</v>
      </c>
      <c r="N54" s="635"/>
      <c r="O54" s="635"/>
      <c r="P54" s="546">
        <v>19</v>
      </c>
      <c r="Q54" s="547">
        <v>2084.5161290322549</v>
      </c>
      <c r="R54" s="547">
        <v>109.71137521222394</v>
      </c>
      <c r="S54" s="547">
        <v>11</v>
      </c>
      <c r="T54" s="657"/>
      <c r="U54" s="546">
        <v>19</v>
      </c>
      <c r="V54" s="547">
        <v>2131.76470588235</v>
      </c>
      <c r="W54" s="547">
        <v>112.19814241486053</v>
      </c>
      <c r="X54" s="547">
        <v>11</v>
      </c>
      <c r="Y54" s="657"/>
      <c r="Z54" s="546">
        <v>18</v>
      </c>
      <c r="AA54" s="547">
        <v>2124.0000000000018</v>
      </c>
      <c r="AB54" s="547">
        <v>118.0000000000001</v>
      </c>
      <c r="AC54" s="547">
        <v>8</v>
      </c>
      <c r="AD54" s="657"/>
      <c r="AE54" s="546">
        <v>18</v>
      </c>
      <c r="AF54" s="547">
        <v>2122.7586206896567</v>
      </c>
      <c r="AG54" s="547">
        <v>117.9310344827587</v>
      </c>
      <c r="AH54" s="547">
        <v>8</v>
      </c>
      <c r="AI54" s="657"/>
      <c r="AJ54" s="546">
        <v>19</v>
      </c>
      <c r="AK54" s="547">
        <v>2130.0000000000018</v>
      </c>
      <c r="AL54" s="547">
        <v>112.10526315789484</v>
      </c>
      <c r="AM54" s="547">
        <v>10</v>
      </c>
      <c r="AN54" s="657"/>
      <c r="AO54" s="546">
        <v>18</v>
      </c>
      <c r="AP54" s="547">
        <v>2085.0000000000018</v>
      </c>
      <c r="AQ54" s="547">
        <v>115.83333333333343</v>
      </c>
      <c r="AR54" s="547">
        <v>8</v>
      </c>
      <c r="AS54" s="657"/>
      <c r="AT54" s="546">
        <v>18</v>
      </c>
      <c r="AU54" s="547">
        <v>2100.0000000000023</v>
      </c>
      <c r="AV54" s="547">
        <v>116.6666666666668</v>
      </c>
      <c r="AW54" s="547">
        <v>9</v>
      </c>
      <c r="AX54" s="657"/>
      <c r="AZ54" s="430" t="e">
        <f t="shared" si="27"/>
        <v>#N/A</v>
      </c>
      <c r="BA54" s="648"/>
    </row>
    <row r="55" spans="2:53">
      <c r="B55" s="646"/>
      <c r="C55" s="384">
        <v>9</v>
      </c>
      <c r="D55" s="225" t="s">
        <v>628</v>
      </c>
      <c r="E55" s="539">
        <v>18</v>
      </c>
      <c r="F55" s="535">
        <v>2571</v>
      </c>
      <c r="G55" s="534">
        <v>142.83333333333334</v>
      </c>
      <c r="H55" s="671"/>
      <c r="I55" s="385">
        <f t="shared" si="24"/>
        <v>17.857142857142858</v>
      </c>
      <c r="J55" s="385">
        <f t="shared" si="25"/>
        <v>2369.3764901764903</v>
      </c>
      <c r="K55" s="199">
        <f t="shared" si="26"/>
        <v>132.74379193790958</v>
      </c>
      <c r="L55" s="617"/>
      <c r="M55" s="432">
        <f>RANK(K55, K$47:$K$61)</f>
        <v>3</v>
      </c>
      <c r="N55" s="635"/>
      <c r="O55" s="635"/>
      <c r="P55" s="546">
        <v>18</v>
      </c>
      <c r="Q55" s="547">
        <v>2379.2307692307704</v>
      </c>
      <c r="R55" s="547">
        <v>132.17948717948724</v>
      </c>
      <c r="S55" s="547">
        <v>2</v>
      </c>
      <c r="T55" s="657"/>
      <c r="U55" s="546">
        <v>18</v>
      </c>
      <c r="V55" s="547">
        <v>2352.4999999999982</v>
      </c>
      <c r="W55" s="547">
        <v>130.69444444444434</v>
      </c>
      <c r="X55" s="547">
        <v>2</v>
      </c>
      <c r="Y55" s="657"/>
      <c r="Z55" s="546">
        <v>18</v>
      </c>
      <c r="AA55" s="547">
        <v>2365.8333333333339</v>
      </c>
      <c r="AB55" s="547">
        <v>131.43518518518522</v>
      </c>
      <c r="AC55" s="547">
        <v>3</v>
      </c>
      <c r="AD55" s="657"/>
      <c r="AE55" s="546">
        <v>17</v>
      </c>
      <c r="AF55" s="547">
        <v>2381.4</v>
      </c>
      <c r="AG55" s="547">
        <v>140.08235294117648</v>
      </c>
      <c r="AH55" s="547">
        <v>1</v>
      </c>
      <c r="AI55" s="657"/>
      <c r="AJ55" s="546">
        <v>18</v>
      </c>
      <c r="AK55" s="547">
        <v>2386.3636363636365</v>
      </c>
      <c r="AL55" s="547">
        <v>132.57575757575759</v>
      </c>
      <c r="AM55" s="547">
        <v>3</v>
      </c>
      <c r="AN55" s="657"/>
      <c r="AO55" s="546">
        <v>18</v>
      </c>
      <c r="AP55" s="547">
        <v>2360</v>
      </c>
      <c r="AQ55" s="547">
        <v>131.11111111111111</v>
      </c>
      <c r="AR55" s="547">
        <v>3</v>
      </c>
      <c r="AS55" s="657"/>
      <c r="AT55" s="546">
        <v>18</v>
      </c>
      <c r="AU55" s="547">
        <v>2360.3076923076919</v>
      </c>
      <c r="AV55" s="547">
        <v>131.12820512820511</v>
      </c>
      <c r="AW55" s="547">
        <v>3</v>
      </c>
      <c r="AX55" s="657"/>
      <c r="AZ55" s="430" t="e">
        <f t="shared" si="27"/>
        <v>#N/A</v>
      </c>
      <c r="BA55" s="648"/>
    </row>
    <row r="56" spans="2:53">
      <c r="B56" s="646"/>
      <c r="C56" s="384">
        <v>10</v>
      </c>
      <c r="D56" s="225" t="s">
        <v>632</v>
      </c>
      <c r="E56" s="539">
        <v>19</v>
      </c>
      <c r="F56" s="535">
        <v>2400</v>
      </c>
      <c r="G56" s="534">
        <v>126.31578947368421</v>
      </c>
      <c r="H56" s="671"/>
      <c r="I56" s="385">
        <f t="shared" si="24"/>
        <v>19</v>
      </c>
      <c r="J56" s="385">
        <f t="shared" si="25"/>
        <v>2120.432737248525</v>
      </c>
      <c r="K56" s="199">
        <f t="shared" si="26"/>
        <v>111.60172301308027</v>
      </c>
      <c r="L56" s="617"/>
      <c r="M56" s="432">
        <f>RANK(K56, K$47:$K$61)</f>
        <v>11</v>
      </c>
      <c r="N56" s="635"/>
      <c r="O56" s="635"/>
      <c r="P56" s="546">
        <v>19</v>
      </c>
      <c r="Q56" s="547">
        <v>2145.789473684209</v>
      </c>
      <c r="R56" s="547">
        <v>112.93628808864258</v>
      </c>
      <c r="S56" s="547">
        <v>10</v>
      </c>
      <c r="T56" s="657"/>
      <c r="U56" s="546">
        <v>19</v>
      </c>
      <c r="V56" s="547">
        <v>2138.9189189189174</v>
      </c>
      <c r="W56" s="547">
        <v>112.57467994310092</v>
      </c>
      <c r="X56" s="547">
        <v>10</v>
      </c>
      <c r="Y56" s="657"/>
      <c r="Z56" s="546">
        <v>19</v>
      </c>
      <c r="AA56" s="547">
        <v>2125.2631578947353</v>
      </c>
      <c r="AB56" s="547">
        <v>111.85595567867028</v>
      </c>
      <c r="AC56" s="547">
        <v>11</v>
      </c>
      <c r="AD56" s="657"/>
      <c r="AE56" s="546">
        <v>19</v>
      </c>
      <c r="AF56" s="547">
        <v>2086.4999999999991</v>
      </c>
      <c r="AG56" s="547">
        <v>109.81578947368416</v>
      </c>
      <c r="AH56" s="547">
        <v>11</v>
      </c>
      <c r="AI56" s="657"/>
      <c r="AJ56" s="546">
        <v>19</v>
      </c>
      <c r="AK56" s="547">
        <v>2103.1578947368407</v>
      </c>
      <c r="AL56" s="547">
        <v>110.69252077562319</v>
      </c>
      <c r="AM56" s="547">
        <v>11</v>
      </c>
      <c r="AN56" s="657"/>
      <c r="AO56" s="546">
        <v>19</v>
      </c>
      <c r="AP56" s="547">
        <v>2129.1891891891873</v>
      </c>
      <c r="AQ56" s="547">
        <v>112.06258890469407</v>
      </c>
      <c r="AR56" s="547">
        <v>11</v>
      </c>
      <c r="AS56" s="657"/>
      <c r="AT56" s="546">
        <v>19</v>
      </c>
      <c r="AU56" s="547">
        <v>2114.2105263157878</v>
      </c>
      <c r="AV56" s="547">
        <v>111.27423822714672</v>
      </c>
      <c r="AW56" s="547">
        <v>11</v>
      </c>
      <c r="AX56" s="657"/>
      <c r="AZ56" s="430" t="e">
        <f t="shared" si="27"/>
        <v>#N/A</v>
      </c>
      <c r="BA56" s="648"/>
    </row>
    <row r="57" spans="2:53">
      <c r="B57" s="646"/>
      <c r="C57" s="384">
        <v>11</v>
      </c>
      <c r="D57" s="225" t="s">
        <v>638</v>
      </c>
      <c r="E57" s="539">
        <v>21</v>
      </c>
      <c r="F57" s="535">
        <v>2400</v>
      </c>
      <c r="G57" s="534">
        <v>114.28571428571429</v>
      </c>
      <c r="H57" s="671"/>
      <c r="I57" s="385">
        <f t="shared" si="24"/>
        <v>21</v>
      </c>
      <c r="J57" s="385">
        <f t="shared" si="25"/>
        <v>2141.5926183508536</v>
      </c>
      <c r="K57" s="199">
        <f t="shared" si="26"/>
        <v>101.98060087385019</v>
      </c>
      <c r="L57" s="617"/>
      <c r="M57" s="432">
        <f>RANK(K57, K$47:$K$61)</f>
        <v>12</v>
      </c>
      <c r="N57" s="635"/>
      <c r="O57" s="635"/>
      <c r="P57" s="546">
        <v>21</v>
      </c>
      <c r="Q57" s="547">
        <v>2150.2941176470586</v>
      </c>
      <c r="R57" s="547">
        <v>102.39495798319327</v>
      </c>
      <c r="S57" s="547">
        <v>12</v>
      </c>
      <c r="T57" s="657"/>
      <c r="U57" s="546">
        <v>21</v>
      </c>
      <c r="V57" s="547">
        <v>2133.3333333333326</v>
      </c>
      <c r="W57" s="547">
        <v>101.58730158730155</v>
      </c>
      <c r="X57" s="547">
        <v>12</v>
      </c>
      <c r="Y57" s="657"/>
      <c r="Z57" s="546">
        <v>21</v>
      </c>
      <c r="AA57" s="547">
        <v>2111.6417910447763</v>
      </c>
      <c r="AB57" s="547">
        <v>100.5543710021322</v>
      </c>
      <c r="AC57" s="547">
        <v>12</v>
      </c>
      <c r="AD57" s="657"/>
      <c r="AE57" s="546">
        <v>21</v>
      </c>
      <c r="AF57" s="547">
        <v>2159.9999999999991</v>
      </c>
      <c r="AG57" s="547">
        <v>102.85714285714282</v>
      </c>
      <c r="AH57" s="547">
        <v>12</v>
      </c>
      <c r="AI57" s="657"/>
      <c r="AJ57" s="546">
        <v>21</v>
      </c>
      <c r="AK57" s="547">
        <v>2127.9310344827572</v>
      </c>
      <c r="AL57" s="547">
        <v>101.33004926108367</v>
      </c>
      <c r="AM57" s="547">
        <v>12</v>
      </c>
      <c r="AN57" s="657"/>
      <c r="AO57" s="546">
        <v>21</v>
      </c>
      <c r="AP57" s="547">
        <v>2129.090909090909</v>
      </c>
      <c r="AQ57" s="547">
        <v>101.38528138528139</v>
      </c>
      <c r="AR57" s="547">
        <v>12</v>
      </c>
      <c r="AS57" s="657"/>
      <c r="AT57" s="546">
        <v>21</v>
      </c>
      <c r="AU57" s="547">
        <v>2178.8571428571436</v>
      </c>
      <c r="AV57" s="547">
        <v>103.75510204081635</v>
      </c>
      <c r="AW57" s="547">
        <v>12</v>
      </c>
      <c r="AX57" s="657"/>
      <c r="AZ57" s="430" t="e">
        <f t="shared" si="27"/>
        <v>#N/A</v>
      </c>
      <c r="BA57" s="648"/>
    </row>
    <row r="58" spans="2:53">
      <c r="B58" s="646"/>
      <c r="C58" s="384">
        <v>12</v>
      </c>
      <c r="D58" s="225" t="s">
        <v>713</v>
      </c>
      <c r="E58" s="539">
        <v>19</v>
      </c>
      <c r="F58" s="535">
        <v>2571</v>
      </c>
      <c r="G58" s="534">
        <v>135.31578947368422</v>
      </c>
      <c r="H58" s="671"/>
      <c r="I58" s="385">
        <f t="shared" si="24"/>
        <v>19</v>
      </c>
      <c r="J58" s="385">
        <f t="shared" si="25"/>
        <v>2185.7767589713758</v>
      </c>
      <c r="K58" s="199">
        <f t="shared" si="26"/>
        <v>115.04088205112501</v>
      </c>
      <c r="L58" s="617"/>
      <c r="M58" s="432">
        <f>RANK(K58, K$47:$K$61)</f>
        <v>9</v>
      </c>
      <c r="N58" s="635"/>
      <c r="O58" s="635"/>
      <c r="P58" s="546">
        <v>19</v>
      </c>
      <c r="Q58" s="547">
        <v>2164.1095890410961</v>
      </c>
      <c r="R58" s="547">
        <v>113.90050468637348</v>
      </c>
      <c r="S58" s="547">
        <v>9</v>
      </c>
      <c r="T58" s="657"/>
      <c r="U58" s="546">
        <v>19</v>
      </c>
      <c r="V58" s="547">
        <v>2164.166666666667</v>
      </c>
      <c r="W58" s="547">
        <v>113.90350877192984</v>
      </c>
      <c r="X58" s="547"/>
      <c r="Y58" s="657"/>
      <c r="Z58" s="546">
        <v>19</v>
      </c>
      <c r="AA58" s="547">
        <v>2207.5000000000005</v>
      </c>
      <c r="AB58" s="547">
        <v>116.18421052631581</v>
      </c>
      <c r="AC58" s="547"/>
      <c r="AD58" s="657"/>
      <c r="AE58" s="546">
        <v>19</v>
      </c>
      <c r="AF58" s="547">
        <v>2218.9189189189187</v>
      </c>
      <c r="AG58" s="547">
        <v>116.78520625889045</v>
      </c>
      <c r="AH58" s="547"/>
      <c r="AI58" s="657"/>
      <c r="AJ58" s="546">
        <v>19</v>
      </c>
      <c r="AK58" s="547">
        <v>2181.6000000000008</v>
      </c>
      <c r="AL58" s="547">
        <v>114.82105263157899</v>
      </c>
      <c r="AM58" s="547"/>
      <c r="AN58" s="657"/>
      <c r="AO58" s="546">
        <v>19</v>
      </c>
      <c r="AP58" s="547">
        <v>2175.9493670886091</v>
      </c>
      <c r="AQ58" s="547">
        <v>114.52365089940048</v>
      </c>
      <c r="AR58" s="547"/>
      <c r="AS58" s="657"/>
      <c r="AT58" s="546">
        <v>19</v>
      </c>
      <c r="AU58" s="547">
        <v>2188.1927710843365</v>
      </c>
      <c r="AV58" s="547">
        <v>115.16804058338613</v>
      </c>
      <c r="AW58" s="547"/>
      <c r="AX58" s="657"/>
      <c r="AZ58" s="430" t="e">
        <f t="shared" si="27"/>
        <v>#N/A</v>
      </c>
      <c r="BA58" s="648"/>
    </row>
    <row r="59" spans="2:53">
      <c r="B59" s="646"/>
      <c r="C59" s="384">
        <v>13</v>
      </c>
      <c r="D59" s="225"/>
      <c r="E59" s="539"/>
      <c r="F59" s="535"/>
      <c r="G59" s="534"/>
      <c r="H59" s="671"/>
      <c r="I59" s="385" t="str">
        <f t="shared" si="24"/>
        <v>-</v>
      </c>
      <c r="J59" s="385" t="str">
        <f t="shared" si="25"/>
        <v>-</v>
      </c>
      <c r="K59" s="199" t="str">
        <f t="shared" si="26"/>
        <v>-</v>
      </c>
      <c r="L59" s="617"/>
      <c r="M59" s="432" t="e">
        <f>RANK(K59, K$47:$K$61)</f>
        <v>#VALUE!</v>
      </c>
      <c r="N59" s="635"/>
      <c r="O59" s="635"/>
      <c r="P59" s="546" t="s">
        <v>592</v>
      </c>
      <c r="Q59" s="547" t="s">
        <v>592</v>
      </c>
      <c r="R59" s="547" t="s">
        <v>592</v>
      </c>
      <c r="S59" s="547" t="e">
        <v>#VALUE!</v>
      </c>
      <c r="T59" s="657"/>
      <c r="U59" s="546" t="s">
        <v>592</v>
      </c>
      <c r="V59" s="547" t="s">
        <v>592</v>
      </c>
      <c r="W59" s="547" t="s">
        <v>592</v>
      </c>
      <c r="X59" s="547"/>
      <c r="Y59" s="657"/>
      <c r="Z59" s="546" t="s">
        <v>592</v>
      </c>
      <c r="AA59" s="547" t="s">
        <v>592</v>
      </c>
      <c r="AB59" s="547" t="s">
        <v>592</v>
      </c>
      <c r="AC59" s="547"/>
      <c r="AD59" s="657"/>
      <c r="AE59" s="546" t="s">
        <v>592</v>
      </c>
      <c r="AF59" s="547" t="s">
        <v>592</v>
      </c>
      <c r="AG59" s="547" t="s">
        <v>592</v>
      </c>
      <c r="AH59" s="547"/>
      <c r="AI59" s="657"/>
      <c r="AJ59" s="546" t="s">
        <v>592</v>
      </c>
      <c r="AK59" s="547" t="s">
        <v>592</v>
      </c>
      <c r="AL59" s="547" t="s">
        <v>592</v>
      </c>
      <c r="AM59" s="547"/>
      <c r="AN59" s="657"/>
      <c r="AO59" s="546" t="s">
        <v>592</v>
      </c>
      <c r="AP59" s="547" t="s">
        <v>592</v>
      </c>
      <c r="AQ59" s="547" t="s">
        <v>592</v>
      </c>
      <c r="AR59" s="547"/>
      <c r="AS59" s="657"/>
      <c r="AT59" s="546" t="s">
        <v>592</v>
      </c>
      <c r="AU59" s="547" t="s">
        <v>592</v>
      </c>
      <c r="AV59" s="547" t="s">
        <v>592</v>
      </c>
      <c r="AW59" s="547"/>
      <c r="AX59" s="657"/>
      <c r="AZ59" s="430" t="e">
        <f t="shared" si="27"/>
        <v>#N/A</v>
      </c>
      <c r="BA59" s="648"/>
    </row>
    <row r="60" spans="2:53">
      <c r="B60" s="646"/>
      <c r="C60" s="384">
        <v>14</v>
      </c>
      <c r="D60" s="225"/>
      <c r="E60" s="539"/>
      <c r="F60" s="535"/>
      <c r="G60" s="534"/>
      <c r="H60" s="671"/>
      <c r="I60" s="385" t="str">
        <f t="shared" si="24"/>
        <v>-</v>
      </c>
      <c r="J60" s="385" t="str">
        <f t="shared" si="25"/>
        <v>-</v>
      </c>
      <c r="K60" s="199" t="str">
        <f t="shared" si="26"/>
        <v>-</v>
      </c>
      <c r="L60" s="617"/>
      <c r="M60" s="432" t="e">
        <f>RANK(K60, K$47:$K$61)</f>
        <v>#VALUE!</v>
      </c>
      <c r="N60" s="635"/>
      <c r="O60" s="635"/>
      <c r="P60" s="546" t="s">
        <v>592</v>
      </c>
      <c r="Q60" s="547" t="s">
        <v>592</v>
      </c>
      <c r="R60" s="547" t="s">
        <v>592</v>
      </c>
      <c r="S60" s="547" t="e">
        <v>#VALUE!</v>
      </c>
      <c r="T60" s="657"/>
      <c r="U60" s="546" t="s">
        <v>592</v>
      </c>
      <c r="V60" s="547" t="s">
        <v>592</v>
      </c>
      <c r="W60" s="547" t="s">
        <v>592</v>
      </c>
      <c r="X60" s="547"/>
      <c r="Y60" s="657"/>
      <c r="Z60" s="546" t="s">
        <v>592</v>
      </c>
      <c r="AA60" s="547" t="s">
        <v>592</v>
      </c>
      <c r="AB60" s="547" t="s">
        <v>592</v>
      </c>
      <c r="AC60" s="547"/>
      <c r="AD60" s="657"/>
      <c r="AE60" s="546" t="s">
        <v>592</v>
      </c>
      <c r="AF60" s="547" t="s">
        <v>592</v>
      </c>
      <c r="AG60" s="547" t="s">
        <v>592</v>
      </c>
      <c r="AH60" s="547"/>
      <c r="AI60" s="657"/>
      <c r="AJ60" s="546" t="s">
        <v>592</v>
      </c>
      <c r="AK60" s="547" t="s">
        <v>592</v>
      </c>
      <c r="AL60" s="547" t="s">
        <v>592</v>
      </c>
      <c r="AM60" s="547"/>
      <c r="AN60" s="657"/>
      <c r="AO60" s="546" t="s">
        <v>592</v>
      </c>
      <c r="AP60" s="547" t="s">
        <v>592</v>
      </c>
      <c r="AQ60" s="547" t="s">
        <v>592</v>
      </c>
      <c r="AR60" s="547"/>
      <c r="AS60" s="657"/>
      <c r="AT60" s="546" t="s">
        <v>592</v>
      </c>
      <c r="AU60" s="547" t="s">
        <v>592</v>
      </c>
      <c r="AV60" s="547" t="s">
        <v>592</v>
      </c>
      <c r="AW60" s="547"/>
      <c r="AX60" s="657"/>
      <c r="AZ60" s="430" t="e">
        <f t="shared" si="27"/>
        <v>#N/A</v>
      </c>
      <c r="BA60" s="648"/>
    </row>
    <row r="61" spans="2:53">
      <c r="B61" s="646"/>
      <c r="C61" s="384">
        <v>15</v>
      </c>
      <c r="D61" s="225"/>
      <c r="E61" s="539"/>
      <c r="F61" s="535"/>
      <c r="G61" s="534"/>
      <c r="H61" s="680"/>
      <c r="I61" s="384"/>
      <c r="J61" s="384"/>
      <c r="K61" s="384"/>
      <c r="L61" s="618"/>
      <c r="M61" s="432" t="e">
        <f>RANK(K61, K$47:$K$61)</f>
        <v>#N/A</v>
      </c>
      <c r="N61" s="635"/>
      <c r="O61" s="635"/>
      <c r="P61" s="546" t="s">
        <v>592</v>
      </c>
      <c r="Q61" s="547" t="s">
        <v>592</v>
      </c>
      <c r="R61" s="547" t="s">
        <v>592</v>
      </c>
      <c r="S61" s="547" t="e">
        <v>#VALUE!</v>
      </c>
      <c r="T61" s="657"/>
      <c r="U61" s="546" t="s">
        <v>592</v>
      </c>
      <c r="V61" s="547" t="s">
        <v>592</v>
      </c>
      <c r="W61" s="547" t="s">
        <v>592</v>
      </c>
      <c r="X61" s="547"/>
      <c r="Y61" s="657"/>
      <c r="Z61" s="546" t="s">
        <v>592</v>
      </c>
      <c r="AA61" s="547" t="s">
        <v>592</v>
      </c>
      <c r="AB61" s="547" t="s">
        <v>592</v>
      </c>
      <c r="AC61" s="547"/>
      <c r="AD61" s="657"/>
      <c r="AE61" s="546" t="s">
        <v>592</v>
      </c>
      <c r="AF61" s="547" t="s">
        <v>592</v>
      </c>
      <c r="AG61" s="547" t="s">
        <v>592</v>
      </c>
      <c r="AH61" s="547"/>
      <c r="AI61" s="657"/>
      <c r="AJ61" s="546" t="s">
        <v>592</v>
      </c>
      <c r="AK61" s="547" t="s">
        <v>592</v>
      </c>
      <c r="AL61" s="547" t="s">
        <v>592</v>
      </c>
      <c r="AM61" s="547"/>
      <c r="AN61" s="657"/>
      <c r="AO61" s="546" t="s">
        <v>592</v>
      </c>
      <c r="AP61" s="547" t="s">
        <v>592</v>
      </c>
      <c r="AQ61" s="547" t="s">
        <v>592</v>
      </c>
      <c r="AR61" s="547"/>
      <c r="AS61" s="657"/>
      <c r="AT61" s="546" t="s">
        <v>592</v>
      </c>
      <c r="AU61" s="547" t="s">
        <v>592</v>
      </c>
      <c r="AV61" s="547" t="s">
        <v>592</v>
      </c>
      <c r="AW61" s="547"/>
      <c r="AX61" s="657"/>
      <c r="AZ61" s="430" t="e">
        <f t="shared" si="27"/>
        <v>#N/A</v>
      </c>
      <c r="BA61" s="649"/>
    </row>
    <row r="62" spans="2:53" ht="15.75">
      <c r="B62" s="650" t="s">
        <v>162</v>
      </c>
      <c r="C62" s="651"/>
      <c r="D62" s="651"/>
      <c r="E62" s="651"/>
      <c r="F62" s="651"/>
      <c r="G62" s="651"/>
      <c r="H62" s="652"/>
      <c r="I62" s="207"/>
      <c r="J62" s="207"/>
      <c r="K62" s="207"/>
      <c r="L62" s="207"/>
      <c r="M62" s="206"/>
      <c r="N62" s="639" t="s">
        <v>156</v>
      </c>
      <c r="O62" s="639" t="s">
        <v>105</v>
      </c>
      <c r="P62" s="645">
        <f>P42+7</f>
        <v>46224</v>
      </c>
      <c r="Q62" s="646"/>
      <c r="R62" s="646"/>
      <c r="S62" s="646"/>
      <c r="T62" s="646"/>
      <c r="U62" s="642">
        <f>P62+1</f>
        <v>46225</v>
      </c>
      <c r="V62" s="643"/>
      <c r="W62" s="643"/>
      <c r="X62" s="643"/>
      <c r="Y62" s="644"/>
      <c r="Z62" s="642">
        <f>U62+1</f>
        <v>46226</v>
      </c>
      <c r="AA62" s="643"/>
      <c r="AB62" s="643"/>
      <c r="AC62" s="643"/>
      <c r="AD62" s="644"/>
      <c r="AE62" s="642">
        <f>Z62+1</f>
        <v>46227</v>
      </c>
      <c r="AF62" s="643"/>
      <c r="AG62" s="643"/>
      <c r="AH62" s="643"/>
      <c r="AI62" s="644"/>
      <c r="AJ62" s="642">
        <f>AE62+1</f>
        <v>46228</v>
      </c>
      <c r="AK62" s="643"/>
      <c r="AL62" s="643"/>
      <c r="AM62" s="643"/>
      <c r="AN62" s="644"/>
      <c r="AO62" s="642">
        <f>AJ62+1</f>
        <v>46229</v>
      </c>
      <c r="AP62" s="643"/>
      <c r="AQ62" s="643"/>
      <c r="AR62" s="643"/>
      <c r="AS62" s="644"/>
      <c r="AT62" s="642">
        <f>AO62+1</f>
        <v>46230</v>
      </c>
      <c r="AU62" s="643"/>
      <c r="AV62" s="643"/>
      <c r="AW62" s="643"/>
      <c r="AX62" s="644"/>
    </row>
    <row r="63" spans="2:53" ht="15.75">
      <c r="B63" s="653"/>
      <c r="C63" s="653"/>
      <c r="D63" s="653"/>
      <c r="E63" s="653"/>
      <c r="F63" s="653"/>
      <c r="G63" s="653"/>
      <c r="H63" s="653"/>
      <c r="I63" s="204"/>
      <c r="J63" s="204"/>
      <c r="K63" s="204"/>
      <c r="L63" s="204"/>
      <c r="M63" s="205"/>
      <c r="N63" s="641"/>
      <c r="O63" s="641"/>
      <c r="P63" s="645" t="s">
        <v>317</v>
      </c>
      <c r="Q63" s="646"/>
      <c r="R63" s="646"/>
      <c r="S63" s="646"/>
      <c r="T63" s="646"/>
      <c r="U63" s="645" t="s">
        <v>318</v>
      </c>
      <c r="V63" s="646"/>
      <c r="W63" s="646"/>
      <c r="X63" s="646"/>
      <c r="Y63" s="646"/>
      <c r="Z63" s="645" t="s">
        <v>319</v>
      </c>
      <c r="AA63" s="646"/>
      <c r="AB63" s="646"/>
      <c r="AC63" s="646"/>
      <c r="AD63" s="646"/>
      <c r="AE63" s="645" t="s">
        <v>320</v>
      </c>
      <c r="AF63" s="646"/>
      <c r="AG63" s="646"/>
      <c r="AH63" s="646"/>
      <c r="AI63" s="646"/>
      <c r="AJ63" s="645" t="s">
        <v>321</v>
      </c>
      <c r="AK63" s="646"/>
      <c r="AL63" s="646"/>
      <c r="AM63" s="646"/>
      <c r="AN63" s="646"/>
      <c r="AO63" s="645" t="s">
        <v>322</v>
      </c>
      <c r="AP63" s="646"/>
      <c r="AQ63" s="646"/>
      <c r="AR63" s="646"/>
      <c r="AS63" s="646"/>
      <c r="AT63" s="645" t="s">
        <v>323</v>
      </c>
      <c r="AU63" s="646"/>
      <c r="AV63" s="646"/>
      <c r="AW63" s="646"/>
      <c r="AX63" s="646"/>
    </row>
    <row r="64" spans="2:53">
      <c r="B64" s="635" t="s">
        <v>410</v>
      </c>
      <c r="C64" s="635" t="s">
        <v>536</v>
      </c>
      <c r="D64" s="635"/>
      <c r="E64" s="635" t="s">
        <v>537</v>
      </c>
      <c r="F64" s="635"/>
      <c r="G64" s="635"/>
      <c r="H64" s="636" t="s">
        <v>538</v>
      </c>
      <c r="I64" s="635" t="s">
        <v>539</v>
      </c>
      <c r="J64" s="635"/>
      <c r="K64" s="635"/>
      <c r="L64" s="636" t="s">
        <v>369</v>
      </c>
      <c r="M64" s="639" t="s">
        <v>540</v>
      </c>
      <c r="N64" s="635"/>
      <c r="O64" s="635" t="s">
        <v>375</v>
      </c>
      <c r="P64" s="632" t="s">
        <v>371</v>
      </c>
      <c r="Q64" s="633"/>
      <c r="R64" s="633"/>
      <c r="S64" s="634"/>
      <c r="T64" s="635" t="s">
        <v>369</v>
      </c>
      <c r="U64" s="632" t="s">
        <v>371</v>
      </c>
      <c r="V64" s="633"/>
      <c r="W64" s="633"/>
      <c r="X64" s="634"/>
      <c r="Y64" s="635" t="s">
        <v>369</v>
      </c>
      <c r="Z64" s="632" t="s">
        <v>371</v>
      </c>
      <c r="AA64" s="633"/>
      <c r="AB64" s="633"/>
      <c r="AC64" s="634"/>
      <c r="AD64" s="635" t="s">
        <v>369</v>
      </c>
      <c r="AE64" s="632" t="s">
        <v>371</v>
      </c>
      <c r="AF64" s="633"/>
      <c r="AG64" s="633"/>
      <c r="AH64" s="634"/>
      <c r="AI64" s="635" t="s">
        <v>369</v>
      </c>
      <c r="AJ64" s="632" t="s">
        <v>371</v>
      </c>
      <c r="AK64" s="633"/>
      <c r="AL64" s="633"/>
      <c r="AM64" s="634"/>
      <c r="AN64" s="635" t="s">
        <v>369</v>
      </c>
      <c r="AO64" s="632" t="s">
        <v>371</v>
      </c>
      <c r="AP64" s="633"/>
      <c r="AQ64" s="633"/>
      <c r="AR64" s="634"/>
      <c r="AS64" s="635" t="s">
        <v>369</v>
      </c>
      <c r="AT64" s="632" t="s">
        <v>371</v>
      </c>
      <c r="AU64" s="633"/>
      <c r="AV64" s="633"/>
      <c r="AW64" s="634"/>
      <c r="AX64" s="635" t="s">
        <v>369</v>
      </c>
      <c r="BA64" s="635" t="s">
        <v>369</v>
      </c>
    </row>
    <row r="65" spans="2:53">
      <c r="B65" s="635"/>
      <c r="C65" s="635"/>
      <c r="D65" s="635"/>
      <c r="E65" s="635" t="s">
        <v>542</v>
      </c>
      <c r="F65" s="635"/>
      <c r="G65" s="635"/>
      <c r="H65" s="637"/>
      <c r="I65" s="635" t="s">
        <v>542</v>
      </c>
      <c r="J65" s="635"/>
      <c r="K65" s="635"/>
      <c r="L65" s="637"/>
      <c r="M65" s="640"/>
      <c r="N65" s="635"/>
      <c r="O65" s="635"/>
      <c r="P65" s="632" t="s">
        <v>377</v>
      </c>
      <c r="Q65" s="633"/>
      <c r="R65" s="633"/>
      <c r="S65" s="634"/>
      <c r="T65" s="635"/>
      <c r="U65" s="632" t="s">
        <v>377</v>
      </c>
      <c r="V65" s="633"/>
      <c r="W65" s="633"/>
      <c r="X65" s="634"/>
      <c r="Y65" s="635"/>
      <c r="Z65" s="632" t="s">
        <v>377</v>
      </c>
      <c r="AA65" s="633"/>
      <c r="AB65" s="633"/>
      <c r="AC65" s="634"/>
      <c r="AD65" s="635"/>
      <c r="AE65" s="632" t="s">
        <v>377</v>
      </c>
      <c r="AF65" s="633"/>
      <c r="AG65" s="633"/>
      <c r="AH65" s="634"/>
      <c r="AI65" s="635"/>
      <c r="AJ65" s="632" t="s">
        <v>377</v>
      </c>
      <c r="AK65" s="633"/>
      <c r="AL65" s="633"/>
      <c r="AM65" s="634"/>
      <c r="AN65" s="635"/>
      <c r="AO65" s="632" t="s">
        <v>377</v>
      </c>
      <c r="AP65" s="633"/>
      <c r="AQ65" s="633"/>
      <c r="AR65" s="634"/>
      <c r="AS65" s="635"/>
      <c r="AT65" s="632" t="s">
        <v>377</v>
      </c>
      <c r="AU65" s="633"/>
      <c r="AV65" s="633"/>
      <c r="AW65" s="634"/>
      <c r="AX65" s="635"/>
      <c r="BA65" s="635"/>
    </row>
    <row r="66" spans="2:53">
      <c r="B66" s="635"/>
      <c r="C66" s="635"/>
      <c r="D66" s="635"/>
      <c r="E66" s="382" t="s">
        <v>543</v>
      </c>
      <c r="F66" s="382" t="s">
        <v>544</v>
      </c>
      <c r="G66" s="382" t="s">
        <v>545</v>
      </c>
      <c r="H66" s="638"/>
      <c r="I66" s="382" t="s">
        <v>543</v>
      </c>
      <c r="J66" s="382" t="s">
        <v>544</v>
      </c>
      <c r="K66" s="382" t="s">
        <v>545</v>
      </c>
      <c r="L66" s="638"/>
      <c r="M66" s="641"/>
      <c r="N66" s="635"/>
      <c r="O66" s="635"/>
      <c r="P66" s="382" t="s">
        <v>378</v>
      </c>
      <c r="Q66" s="382" t="s">
        <v>379</v>
      </c>
      <c r="R66" s="382" t="s">
        <v>380</v>
      </c>
      <c r="S66" s="382" t="s">
        <v>370</v>
      </c>
      <c r="T66" s="635"/>
      <c r="U66" s="382" t="s">
        <v>378</v>
      </c>
      <c r="V66" s="382" t="s">
        <v>379</v>
      </c>
      <c r="W66" s="382" t="s">
        <v>380</v>
      </c>
      <c r="X66" s="382" t="s">
        <v>370</v>
      </c>
      <c r="Y66" s="635"/>
      <c r="Z66" s="382" t="s">
        <v>378</v>
      </c>
      <c r="AA66" s="382" t="s">
        <v>379</v>
      </c>
      <c r="AB66" s="382" t="s">
        <v>380</v>
      </c>
      <c r="AC66" s="382" t="s">
        <v>370</v>
      </c>
      <c r="AD66" s="635"/>
      <c r="AE66" s="382" t="s">
        <v>378</v>
      </c>
      <c r="AF66" s="382" t="s">
        <v>379</v>
      </c>
      <c r="AG66" s="382" t="s">
        <v>380</v>
      </c>
      <c r="AH66" s="382" t="s">
        <v>370</v>
      </c>
      <c r="AI66" s="635"/>
      <c r="AJ66" s="382" t="s">
        <v>378</v>
      </c>
      <c r="AK66" s="382" t="s">
        <v>379</v>
      </c>
      <c r="AL66" s="382" t="s">
        <v>380</v>
      </c>
      <c r="AM66" s="382" t="s">
        <v>370</v>
      </c>
      <c r="AN66" s="635"/>
      <c r="AO66" s="382" t="s">
        <v>378</v>
      </c>
      <c r="AP66" s="382" t="s">
        <v>379</v>
      </c>
      <c r="AQ66" s="382" t="s">
        <v>380</v>
      </c>
      <c r="AR66" s="382" t="s">
        <v>370</v>
      </c>
      <c r="AS66" s="635"/>
      <c r="AT66" s="382" t="s">
        <v>378</v>
      </c>
      <c r="AU66" s="382" t="s">
        <v>379</v>
      </c>
      <c r="AV66" s="382" t="s">
        <v>380</v>
      </c>
      <c r="AW66" s="382" t="s">
        <v>370</v>
      </c>
      <c r="AX66" s="635"/>
      <c r="AZ66" s="371" t="s">
        <v>370</v>
      </c>
      <c r="BA66" s="635"/>
    </row>
    <row r="67" spans="2:53">
      <c r="B67" s="635" t="s">
        <v>425</v>
      </c>
      <c r="C67" s="384">
        <v>1</v>
      </c>
      <c r="D67" s="225" t="s">
        <v>352</v>
      </c>
      <c r="E67" s="539">
        <v>20</v>
      </c>
      <c r="F67" s="535">
        <v>2400</v>
      </c>
      <c r="G67" s="534">
        <v>120</v>
      </c>
      <c r="H67" s="670">
        <f>AVERAGE(G67:G81)</f>
        <v>136.57420942061034</v>
      </c>
      <c r="I67" s="385">
        <f t="shared" ref="I67:I80" si="29">IFERROR(AVERAGE(P67,U67,Z67,AE67,AJ67,AO67,AT67),"-")</f>
        <v>21</v>
      </c>
      <c r="J67" s="385">
        <f t="shared" ref="J67:J80" si="30">IFERROR(AVERAGE(Q67,V67,AA67,AF67,AK67,AP67,AU67),"-")</f>
        <v>2371.1875914997231</v>
      </c>
      <c r="K67" s="199">
        <f t="shared" ref="K67:K80" si="31">IFERROR(AVERAGE(R67,W67,AB67,AG67,AL67,AQ67,AV67),"-")</f>
        <v>112.91369483332016</v>
      </c>
      <c r="L67" s="616">
        <f>IFERROR(AVERAGE(K67:K81),"-")</f>
        <v>120.58443641187579</v>
      </c>
      <c r="M67" s="389">
        <f>RANK(K67, K$67:$K$81)</f>
        <v>9</v>
      </c>
      <c r="N67" s="635"/>
      <c r="O67" s="635"/>
      <c r="P67" s="557">
        <v>21</v>
      </c>
      <c r="Q67" s="531">
        <v>2380.3921568627447</v>
      </c>
      <c r="R67" s="531">
        <v>113.35200746965451</v>
      </c>
      <c r="S67" s="555">
        <f t="shared" ref="S67:S81" si="32">RANK(R67, R$67:R$81)</f>
        <v>8</v>
      </c>
      <c r="T67" s="647">
        <f t="shared" ref="T67" si="33">AVERAGE(R67:R81)</f>
        <v>119.49136605942068</v>
      </c>
      <c r="U67" s="557">
        <v>21</v>
      </c>
      <c r="V67" s="531">
        <v>2383.3783783783792</v>
      </c>
      <c r="W67" s="531">
        <v>113.49420849420854</v>
      </c>
      <c r="X67" s="555">
        <f t="shared" ref="X67:X81" si="34">RANK(W67, W$67:W$81)</f>
        <v>9</v>
      </c>
      <c r="Y67" s="647">
        <f t="shared" ref="Y67" si="35">AVERAGE(W67:W81)</f>
        <v>119.55706809490518</v>
      </c>
      <c r="Z67" s="557">
        <v>21</v>
      </c>
      <c r="AA67" s="531">
        <v>2336.3265306122457</v>
      </c>
      <c r="AB67" s="531">
        <v>111.25364431486885</v>
      </c>
      <c r="AC67" s="555">
        <f t="shared" ref="AC67:AC81" si="36">RANK(AB67, AB$67:AB$81)</f>
        <v>10</v>
      </c>
      <c r="AD67" s="647">
        <f t="shared" ref="AD67" si="37">AVERAGE(AB67:AB81)</f>
        <v>120.6781221616007</v>
      </c>
      <c r="AE67" s="557">
        <v>21</v>
      </c>
      <c r="AF67" s="531">
        <v>2365.588235294118</v>
      </c>
      <c r="AG67" s="531">
        <v>112.64705882352943</v>
      </c>
      <c r="AH67" s="555">
        <f t="shared" ref="AH67:AH81" si="38">RANK(AG67, AG$67:AG$81)</f>
        <v>9</v>
      </c>
      <c r="AI67" s="647">
        <f t="shared" ref="AI67" si="39">AVERAGE(AG67:AG81)</f>
        <v>120.71290359735282</v>
      </c>
      <c r="AJ67" s="557">
        <v>21</v>
      </c>
      <c r="AK67" s="531">
        <v>2368.5517241379316</v>
      </c>
      <c r="AL67" s="531">
        <v>112.78817733990151</v>
      </c>
      <c r="AM67" s="555">
        <f t="shared" ref="AM67:AM81" si="40">RANK(AL67, AL$67:AL$81)</f>
        <v>10</v>
      </c>
      <c r="AN67" s="647">
        <f t="shared" ref="AN67" si="41">AVERAGE(AL67:AL81)</f>
        <v>121.3598789353137</v>
      </c>
      <c r="AO67" s="557">
        <v>21</v>
      </c>
      <c r="AP67" s="531">
        <v>2372.5423728813557</v>
      </c>
      <c r="AQ67" s="531">
        <v>112.97820823244551</v>
      </c>
      <c r="AR67" s="555">
        <f t="shared" ref="AR67:AR81" si="42">RANK(AQ67, AQ$67:AQ$81)</f>
        <v>10</v>
      </c>
      <c r="AS67" s="647">
        <f t="shared" ref="AS67" si="43">AVERAGE(AQ67:AQ81)</f>
        <v>121.44304057953015</v>
      </c>
      <c r="AT67" s="555">
        <v>21</v>
      </c>
      <c r="AU67" s="556">
        <v>2391.5337423312885</v>
      </c>
      <c r="AV67" s="556">
        <v>113.88255915863279</v>
      </c>
      <c r="AW67" s="555">
        <f t="shared" ref="AW67:AW81" si="44">RANK(AV67, AV$67:AV$81)</f>
        <v>10</v>
      </c>
      <c r="AX67" s="647">
        <f t="shared" ref="AX67" si="45">AVERAGE(AV67:AV81)</f>
        <v>120.84867545500725</v>
      </c>
      <c r="AZ67" s="372" t="e">
        <f t="shared" ref="AZ67:AZ81" si="46">RANK(AY67, AY$67:AY$81)</f>
        <v>#N/A</v>
      </c>
      <c r="BA67" s="647" t="e">
        <f t="shared" ref="BA67" si="47">AVERAGE(AY67:AY81)</f>
        <v>#DIV/0!</v>
      </c>
    </row>
    <row r="68" spans="2:53">
      <c r="B68" s="646"/>
      <c r="C68" s="384">
        <v>2</v>
      </c>
      <c r="D68" s="225" t="s">
        <v>353</v>
      </c>
      <c r="E68" s="539">
        <v>18</v>
      </c>
      <c r="F68" s="535">
        <v>2769</v>
      </c>
      <c r="G68" s="534">
        <v>153.83333333333334</v>
      </c>
      <c r="H68" s="671"/>
      <c r="I68" s="385">
        <f t="shared" si="29"/>
        <v>18.428571428571427</v>
      </c>
      <c r="J68" s="385">
        <f t="shared" si="30"/>
        <v>2497.4714639248632</v>
      </c>
      <c r="K68" s="199">
        <f t="shared" si="31"/>
        <v>135.63272730843789</v>
      </c>
      <c r="L68" s="617"/>
      <c r="M68" s="389">
        <f>RANK(K68, K$67:$K$81)</f>
        <v>2</v>
      </c>
      <c r="N68" s="635"/>
      <c r="O68" s="635"/>
      <c r="P68" s="557">
        <v>18</v>
      </c>
      <c r="Q68" s="531">
        <v>2473.5849056603784</v>
      </c>
      <c r="R68" s="531">
        <v>137.42138364779879</v>
      </c>
      <c r="S68" s="555">
        <f t="shared" si="32"/>
        <v>2</v>
      </c>
      <c r="T68" s="648"/>
      <c r="U68" s="557">
        <v>19</v>
      </c>
      <c r="V68" s="531">
        <v>2487.1698113207558</v>
      </c>
      <c r="W68" s="531">
        <v>130.90367428003978</v>
      </c>
      <c r="X68" s="555">
        <f t="shared" si="34"/>
        <v>2</v>
      </c>
      <c r="Y68" s="648"/>
      <c r="Z68" s="557">
        <v>19</v>
      </c>
      <c r="AA68" s="531">
        <v>2501.7857142857165</v>
      </c>
      <c r="AB68" s="531">
        <v>131.67293233082719</v>
      </c>
      <c r="AC68" s="555">
        <f t="shared" si="36"/>
        <v>2</v>
      </c>
      <c r="AD68" s="648"/>
      <c r="AE68" s="557">
        <v>18</v>
      </c>
      <c r="AF68" s="531">
        <v>2522.2222222222235</v>
      </c>
      <c r="AG68" s="531">
        <v>140.12345679012353</v>
      </c>
      <c r="AH68" s="555">
        <f t="shared" si="38"/>
        <v>1</v>
      </c>
      <c r="AI68" s="648"/>
      <c r="AJ68" s="557">
        <v>18</v>
      </c>
      <c r="AK68" s="531">
        <v>2497.8947368421072</v>
      </c>
      <c r="AL68" s="531">
        <v>138.77192982456151</v>
      </c>
      <c r="AM68" s="555">
        <f t="shared" si="40"/>
        <v>1</v>
      </c>
      <c r="AN68" s="648"/>
      <c r="AO68" s="557">
        <v>18</v>
      </c>
      <c r="AP68" s="531">
        <v>2529.6428571428592</v>
      </c>
      <c r="AQ68" s="531">
        <v>140.53571428571439</v>
      </c>
      <c r="AR68" s="555">
        <f t="shared" si="42"/>
        <v>1</v>
      </c>
      <c r="AS68" s="648"/>
      <c r="AT68" s="555">
        <v>19</v>
      </c>
      <c r="AU68" s="556">
        <v>2470.0000000000023</v>
      </c>
      <c r="AV68" s="556">
        <v>130.00000000000011</v>
      </c>
      <c r="AW68" s="555">
        <f t="shared" si="44"/>
        <v>3</v>
      </c>
      <c r="AX68" s="648"/>
      <c r="AZ68" s="372" t="e">
        <f t="shared" si="46"/>
        <v>#N/A</v>
      </c>
      <c r="BA68" s="648"/>
    </row>
    <row r="69" spans="2:53">
      <c r="B69" s="646"/>
      <c r="C69" s="384">
        <v>3</v>
      </c>
      <c r="D69" s="225" t="s">
        <v>354</v>
      </c>
      <c r="E69" s="539">
        <v>19</v>
      </c>
      <c r="F69" s="535">
        <v>2769</v>
      </c>
      <c r="G69" s="534">
        <v>145.73684210526315</v>
      </c>
      <c r="H69" s="671"/>
      <c r="I69" s="385">
        <f t="shared" si="29"/>
        <v>20</v>
      </c>
      <c r="J69" s="385">
        <f t="shared" si="30"/>
        <v>2531.5550320277239</v>
      </c>
      <c r="K69" s="199">
        <f t="shared" si="31"/>
        <v>126.5777516013862</v>
      </c>
      <c r="L69" s="617"/>
      <c r="M69" s="389">
        <f>RANK(K69, K$67:$K$81)</f>
        <v>5</v>
      </c>
      <c r="N69" s="635"/>
      <c r="O69" s="635"/>
      <c r="P69" s="557">
        <v>20</v>
      </c>
      <c r="Q69" s="531">
        <v>2504.1176470588207</v>
      </c>
      <c r="R69" s="531">
        <v>125.20588235294103</v>
      </c>
      <c r="S69" s="555">
        <f t="shared" si="32"/>
        <v>5</v>
      </c>
      <c r="T69" s="648"/>
      <c r="U69" s="557">
        <v>20</v>
      </c>
      <c r="V69" s="531">
        <v>2542.1917808219159</v>
      </c>
      <c r="W69" s="531">
        <v>127.1095890410958</v>
      </c>
      <c r="X69" s="555">
        <f t="shared" si="34"/>
        <v>5</v>
      </c>
      <c r="Y69" s="648"/>
      <c r="Z69" s="557">
        <v>20</v>
      </c>
      <c r="AA69" s="531">
        <v>2572.2077922077906</v>
      </c>
      <c r="AB69" s="531">
        <v>128.61038961038952</v>
      </c>
      <c r="AC69" s="555">
        <f t="shared" si="36"/>
        <v>5</v>
      </c>
      <c r="AD69" s="648"/>
      <c r="AE69" s="557">
        <v>20</v>
      </c>
      <c r="AF69" s="531">
        <v>2533.6708860759481</v>
      </c>
      <c r="AG69" s="531">
        <v>126.6835443037974</v>
      </c>
      <c r="AH69" s="555">
        <f t="shared" si="38"/>
        <v>5</v>
      </c>
      <c r="AI69" s="648"/>
      <c r="AJ69" s="557">
        <v>20</v>
      </c>
      <c r="AK69" s="531">
        <v>2486.3736263736264</v>
      </c>
      <c r="AL69" s="531">
        <v>124.31868131868131</v>
      </c>
      <c r="AM69" s="555">
        <f t="shared" si="40"/>
        <v>5</v>
      </c>
      <c r="AN69" s="648"/>
      <c r="AO69" s="557">
        <v>20</v>
      </c>
      <c r="AP69" s="531">
        <v>2533.9024390243894</v>
      </c>
      <c r="AQ69" s="531">
        <v>126.69512195121948</v>
      </c>
      <c r="AR69" s="555">
        <f t="shared" si="42"/>
        <v>5</v>
      </c>
      <c r="AS69" s="648"/>
      <c r="AT69" s="555">
        <v>20</v>
      </c>
      <c r="AU69" s="556">
        <v>2548.4210526315774</v>
      </c>
      <c r="AV69" s="556">
        <v>127.42105263157887</v>
      </c>
      <c r="AW69" s="555">
        <f t="shared" si="44"/>
        <v>5</v>
      </c>
      <c r="AX69" s="648"/>
      <c r="AZ69" s="372" t="e">
        <f t="shared" si="46"/>
        <v>#N/A</v>
      </c>
      <c r="BA69" s="648"/>
    </row>
    <row r="70" spans="2:53">
      <c r="B70" s="646"/>
      <c r="C70" s="384">
        <v>4</v>
      </c>
      <c r="D70" s="225" t="s">
        <v>355</v>
      </c>
      <c r="E70" s="539">
        <v>20</v>
      </c>
      <c r="F70" s="535">
        <v>2769</v>
      </c>
      <c r="G70" s="534">
        <v>138.44999999999999</v>
      </c>
      <c r="H70" s="671"/>
      <c r="I70" s="385">
        <f t="shared" si="29"/>
        <v>20.285714285714285</v>
      </c>
      <c r="J70" s="385">
        <f t="shared" si="30"/>
        <v>2478.9309982366153</v>
      </c>
      <c r="K70" s="199">
        <f t="shared" si="31"/>
        <v>122.23756315923497</v>
      </c>
      <c r="L70" s="617"/>
      <c r="M70" s="389">
        <f>RANK(K70, K$67:$K$81)</f>
        <v>6</v>
      </c>
      <c r="N70" s="635"/>
      <c r="O70" s="635"/>
      <c r="P70" s="557">
        <v>21</v>
      </c>
      <c r="Q70" s="531">
        <v>2528.421052631581</v>
      </c>
      <c r="R70" s="531">
        <v>120.40100250626577</v>
      </c>
      <c r="S70" s="555">
        <f t="shared" si="32"/>
        <v>6</v>
      </c>
      <c r="T70" s="648"/>
      <c r="U70" s="557">
        <v>20</v>
      </c>
      <c r="V70" s="531">
        <v>2523.5294117647059</v>
      </c>
      <c r="W70" s="531">
        <v>126.17647058823529</v>
      </c>
      <c r="X70" s="555">
        <f t="shared" si="34"/>
        <v>6</v>
      </c>
      <c r="Y70" s="648"/>
      <c r="Z70" s="557">
        <v>20</v>
      </c>
      <c r="AA70" s="531">
        <v>2457.8181818181833</v>
      </c>
      <c r="AB70" s="531">
        <v>122.89090909090916</v>
      </c>
      <c r="AC70" s="555">
        <f t="shared" si="36"/>
        <v>6</v>
      </c>
      <c r="AD70" s="648"/>
      <c r="AE70" s="557">
        <v>21</v>
      </c>
      <c r="AF70" s="531">
        <v>2495.9999999999982</v>
      </c>
      <c r="AG70" s="531">
        <v>118.85714285714278</v>
      </c>
      <c r="AH70" s="555">
        <f t="shared" si="38"/>
        <v>6</v>
      </c>
      <c r="AI70" s="648"/>
      <c r="AJ70" s="557">
        <v>20</v>
      </c>
      <c r="AK70" s="531">
        <v>2473.1092436974777</v>
      </c>
      <c r="AL70" s="531">
        <v>123.65546218487388</v>
      </c>
      <c r="AM70" s="555">
        <f t="shared" si="40"/>
        <v>6</v>
      </c>
      <c r="AN70" s="648"/>
      <c r="AO70" s="557">
        <v>20</v>
      </c>
      <c r="AP70" s="531">
        <v>2454.2105263157882</v>
      </c>
      <c r="AQ70" s="531">
        <v>122.71052631578941</v>
      </c>
      <c r="AR70" s="555">
        <f t="shared" si="42"/>
        <v>6</v>
      </c>
      <c r="AS70" s="648"/>
      <c r="AT70" s="555">
        <v>20</v>
      </c>
      <c r="AU70" s="556">
        <v>2419.4285714285725</v>
      </c>
      <c r="AV70" s="556">
        <v>120.97142857142862</v>
      </c>
      <c r="AW70" s="555">
        <f t="shared" si="44"/>
        <v>6</v>
      </c>
      <c r="AX70" s="648"/>
      <c r="AZ70" s="372" t="e">
        <f t="shared" si="46"/>
        <v>#N/A</v>
      </c>
      <c r="BA70" s="648"/>
    </row>
    <row r="71" spans="2:53">
      <c r="B71" s="646"/>
      <c r="C71" s="384">
        <v>5</v>
      </c>
      <c r="D71" s="225" t="s">
        <v>514</v>
      </c>
      <c r="E71" s="539">
        <v>18</v>
      </c>
      <c r="F71" s="535">
        <v>2400</v>
      </c>
      <c r="G71" s="534">
        <v>133.33333333333334</v>
      </c>
      <c r="H71" s="671"/>
      <c r="I71" s="385">
        <f t="shared" si="29"/>
        <v>19</v>
      </c>
      <c r="J71" s="385">
        <f t="shared" si="30"/>
        <v>2173.6675155928888</v>
      </c>
      <c r="K71" s="199">
        <f t="shared" si="31"/>
        <v>114.4035534522573</v>
      </c>
      <c r="L71" s="617"/>
      <c r="M71" s="389">
        <f>RANK(K71, K$67:$K$81)</f>
        <v>8</v>
      </c>
      <c r="N71" s="635"/>
      <c r="O71" s="635"/>
      <c r="P71" s="557">
        <v>19</v>
      </c>
      <c r="Q71" s="531">
        <v>2045.1063829787238</v>
      </c>
      <c r="R71" s="531">
        <v>107.63717805151178</v>
      </c>
      <c r="S71" s="555">
        <f t="shared" si="32"/>
        <v>11</v>
      </c>
      <c r="T71" s="648"/>
      <c r="U71" s="557">
        <v>19</v>
      </c>
      <c r="V71" s="531">
        <v>2184.210526315791</v>
      </c>
      <c r="W71" s="531">
        <v>114.95844875346268</v>
      </c>
      <c r="X71" s="555">
        <f t="shared" si="34"/>
        <v>7</v>
      </c>
      <c r="Y71" s="648"/>
      <c r="Z71" s="557">
        <v>19</v>
      </c>
      <c r="AA71" s="531">
        <v>2197.4999999999982</v>
      </c>
      <c r="AB71" s="531">
        <v>115.65789473684201</v>
      </c>
      <c r="AC71" s="555">
        <f t="shared" si="36"/>
        <v>8</v>
      </c>
      <c r="AD71" s="648"/>
      <c r="AE71" s="557">
        <v>19</v>
      </c>
      <c r="AF71" s="531">
        <v>2168.7272727272743</v>
      </c>
      <c r="AG71" s="531">
        <v>114.14354066985655</v>
      </c>
      <c r="AH71" s="555">
        <f t="shared" si="38"/>
        <v>8</v>
      </c>
      <c r="AI71" s="648"/>
      <c r="AJ71" s="557">
        <v>19</v>
      </c>
      <c r="AK71" s="531">
        <v>2200.7142857142876</v>
      </c>
      <c r="AL71" s="531">
        <v>115.82706766917303</v>
      </c>
      <c r="AM71" s="555">
        <f t="shared" si="40"/>
        <v>9</v>
      </c>
      <c r="AN71" s="648"/>
      <c r="AO71" s="557">
        <v>19</v>
      </c>
      <c r="AP71" s="531">
        <v>2191.6363636363653</v>
      </c>
      <c r="AQ71" s="531">
        <v>115.34928229665081</v>
      </c>
      <c r="AR71" s="555">
        <f t="shared" si="42"/>
        <v>8</v>
      </c>
      <c r="AS71" s="648"/>
      <c r="AT71" s="555">
        <v>19</v>
      </c>
      <c r="AU71" s="556">
        <v>2227.7777777777787</v>
      </c>
      <c r="AV71" s="556">
        <v>117.25146198830414</v>
      </c>
      <c r="AW71" s="555">
        <f t="shared" si="44"/>
        <v>7</v>
      </c>
      <c r="AX71" s="648"/>
      <c r="AZ71" s="372" t="e">
        <f t="shared" si="46"/>
        <v>#N/A</v>
      </c>
      <c r="BA71" s="648"/>
    </row>
    <row r="72" spans="2:53">
      <c r="B72" s="646"/>
      <c r="C72" s="384">
        <v>6</v>
      </c>
      <c r="D72" s="225" t="s">
        <v>601</v>
      </c>
      <c r="E72" s="539">
        <v>17</v>
      </c>
      <c r="F72" s="535">
        <v>2571</v>
      </c>
      <c r="G72" s="534">
        <v>151.23529411764707</v>
      </c>
      <c r="H72" s="671"/>
      <c r="I72" s="385">
        <f t="shared" si="29"/>
        <v>17</v>
      </c>
      <c r="J72" s="385">
        <f t="shared" si="30"/>
        <v>2362.5007358192488</v>
      </c>
      <c r="K72" s="199">
        <f t="shared" si="31"/>
        <v>138.97063151877936</v>
      </c>
      <c r="L72" s="617"/>
      <c r="M72" s="389">
        <f>RANK(K72, K$67:$K$81)</f>
        <v>1</v>
      </c>
      <c r="N72" s="635"/>
      <c r="O72" s="635"/>
      <c r="P72" s="557">
        <v>17</v>
      </c>
      <c r="Q72" s="531">
        <v>2345.7142857142849</v>
      </c>
      <c r="R72" s="531">
        <v>137.98319327731087</v>
      </c>
      <c r="S72" s="555">
        <f t="shared" si="32"/>
        <v>1</v>
      </c>
      <c r="T72" s="648"/>
      <c r="U72" s="557">
        <v>17</v>
      </c>
      <c r="V72" s="531">
        <v>2352.8571428571422</v>
      </c>
      <c r="W72" s="531">
        <v>138.40336134453779</v>
      </c>
      <c r="X72" s="555">
        <f t="shared" si="34"/>
        <v>1</v>
      </c>
      <c r="Y72" s="648"/>
      <c r="Z72" s="557">
        <v>17</v>
      </c>
      <c r="AA72" s="531">
        <v>2383.0434782608695</v>
      </c>
      <c r="AB72" s="531">
        <v>140.17902813299233</v>
      </c>
      <c r="AC72" s="555">
        <f t="shared" si="36"/>
        <v>1</v>
      </c>
      <c r="AD72" s="648"/>
      <c r="AE72" s="557">
        <v>17</v>
      </c>
      <c r="AF72" s="531">
        <v>2380.0000000000032</v>
      </c>
      <c r="AG72" s="531">
        <v>140.0000000000002</v>
      </c>
      <c r="AH72" s="555">
        <f t="shared" si="38"/>
        <v>2</v>
      </c>
      <c r="AI72" s="648"/>
      <c r="AJ72" s="557">
        <v>17</v>
      </c>
      <c r="AK72" s="531">
        <v>2344.3902439024428</v>
      </c>
      <c r="AL72" s="531">
        <v>137.90530846484958</v>
      </c>
      <c r="AM72" s="555">
        <f t="shared" si="40"/>
        <v>2</v>
      </c>
      <c r="AN72" s="648"/>
      <c r="AO72" s="557">
        <v>17</v>
      </c>
      <c r="AP72" s="531">
        <v>2352.5000000000005</v>
      </c>
      <c r="AQ72" s="531">
        <v>138.38235294117649</v>
      </c>
      <c r="AR72" s="555">
        <f t="shared" si="42"/>
        <v>2</v>
      </c>
      <c r="AS72" s="648"/>
      <c r="AT72" s="555">
        <v>17</v>
      </c>
      <c r="AU72" s="556">
        <v>2378.9999999999991</v>
      </c>
      <c r="AV72" s="556">
        <v>139.94117647058818</v>
      </c>
      <c r="AW72" s="555">
        <f t="shared" si="44"/>
        <v>1</v>
      </c>
      <c r="AX72" s="648"/>
      <c r="AZ72" s="372" t="e">
        <f t="shared" si="46"/>
        <v>#N/A</v>
      </c>
      <c r="BA72" s="648"/>
    </row>
    <row r="73" spans="2:53">
      <c r="B73" s="646"/>
      <c r="C73" s="384">
        <v>7</v>
      </c>
      <c r="D73" s="225" t="s">
        <v>620</v>
      </c>
      <c r="E73" s="539">
        <v>19</v>
      </c>
      <c r="F73" s="535">
        <v>2400</v>
      </c>
      <c r="G73" s="534">
        <v>126.31578947368421</v>
      </c>
      <c r="H73" s="671"/>
      <c r="I73" s="385">
        <f t="shared" si="29"/>
        <v>18.428571428571427</v>
      </c>
      <c r="J73" s="385">
        <f t="shared" si="30"/>
        <v>2066.9008808651638</v>
      </c>
      <c r="K73" s="199">
        <f t="shared" si="31"/>
        <v>112.24352203769483</v>
      </c>
      <c r="L73" s="617"/>
      <c r="M73" s="389">
        <f>RANK(K73, K$67:$K$81)</f>
        <v>10</v>
      </c>
      <c r="N73" s="635"/>
      <c r="O73" s="635"/>
      <c r="P73" s="557">
        <v>19</v>
      </c>
      <c r="Q73" s="531">
        <v>2066.666666666662</v>
      </c>
      <c r="R73" s="531">
        <v>108.77192982456116</v>
      </c>
      <c r="S73" s="555">
        <f t="shared" si="32"/>
        <v>9</v>
      </c>
      <c r="T73" s="648"/>
      <c r="U73" s="557">
        <v>19</v>
      </c>
      <c r="V73" s="531">
        <v>2024.4444444444398</v>
      </c>
      <c r="W73" s="531">
        <v>106.54970760233894</v>
      </c>
      <c r="X73" s="555">
        <f t="shared" si="34"/>
        <v>10</v>
      </c>
      <c r="Y73" s="648"/>
      <c r="Z73" s="557">
        <v>18</v>
      </c>
      <c r="AA73" s="531">
        <v>2036.2499999999975</v>
      </c>
      <c r="AB73" s="531">
        <v>113.12499999999986</v>
      </c>
      <c r="AC73" s="555">
        <f t="shared" si="36"/>
        <v>9</v>
      </c>
      <c r="AD73" s="648"/>
      <c r="AE73" s="557">
        <v>19</v>
      </c>
      <c r="AF73" s="531">
        <v>2095.7142857142871</v>
      </c>
      <c r="AG73" s="531">
        <v>110.30075187969932</v>
      </c>
      <c r="AH73" s="555">
        <f t="shared" si="38"/>
        <v>10</v>
      </c>
      <c r="AI73" s="648"/>
      <c r="AJ73" s="557">
        <v>18</v>
      </c>
      <c r="AK73" s="531">
        <v>2120.0000000000005</v>
      </c>
      <c r="AL73" s="531">
        <v>117.7777777777778</v>
      </c>
      <c r="AM73" s="555">
        <f t="shared" si="40"/>
        <v>7</v>
      </c>
      <c r="AN73" s="648"/>
      <c r="AO73" s="557">
        <v>18</v>
      </c>
      <c r="AP73" s="531">
        <v>2049.2307692307641</v>
      </c>
      <c r="AQ73" s="531">
        <v>113.84615384615356</v>
      </c>
      <c r="AR73" s="555">
        <f t="shared" si="42"/>
        <v>9</v>
      </c>
      <c r="AS73" s="648"/>
      <c r="AT73" s="555">
        <v>18</v>
      </c>
      <c r="AU73" s="556">
        <v>2075.9999999999964</v>
      </c>
      <c r="AV73" s="556">
        <v>115.33333333333313</v>
      </c>
      <c r="AW73" s="555">
        <f t="shared" si="44"/>
        <v>8</v>
      </c>
      <c r="AX73" s="648"/>
      <c r="AZ73" s="372" t="e">
        <f t="shared" si="46"/>
        <v>#N/A</v>
      </c>
      <c r="BA73" s="648"/>
    </row>
    <row r="74" spans="2:53">
      <c r="B74" s="646"/>
      <c r="C74" s="384">
        <v>8</v>
      </c>
      <c r="D74" s="225" t="s">
        <v>628</v>
      </c>
      <c r="E74" s="539">
        <v>18</v>
      </c>
      <c r="F74" s="535">
        <v>2571</v>
      </c>
      <c r="G74" s="534">
        <v>142.83333333333334</v>
      </c>
      <c r="H74" s="671"/>
      <c r="I74" s="385">
        <f t="shared" si="29"/>
        <v>18</v>
      </c>
      <c r="J74" s="385">
        <f t="shared" si="30"/>
        <v>2348.6190687192984</v>
      </c>
      <c r="K74" s="199">
        <f t="shared" si="31"/>
        <v>130.47883715107213</v>
      </c>
      <c r="L74" s="617"/>
      <c r="M74" s="389">
        <f>RANK(K74, K$67:$K$81)</f>
        <v>3</v>
      </c>
      <c r="N74" s="635"/>
      <c r="O74" s="635"/>
      <c r="P74" s="557">
        <v>18</v>
      </c>
      <c r="Q74" s="531">
        <v>2352.3809523809518</v>
      </c>
      <c r="R74" s="531">
        <v>130.68783068783065</v>
      </c>
      <c r="S74" s="555">
        <f t="shared" si="32"/>
        <v>3</v>
      </c>
      <c r="T74" s="648"/>
      <c r="U74" s="557">
        <v>18</v>
      </c>
      <c r="V74" s="531">
        <v>2341.8461538461534</v>
      </c>
      <c r="W74" s="531">
        <v>130.10256410256409</v>
      </c>
      <c r="X74" s="555">
        <f t="shared" si="34"/>
        <v>4</v>
      </c>
      <c r="Y74" s="648"/>
      <c r="Z74" s="557">
        <v>18</v>
      </c>
      <c r="AA74" s="531">
        <v>2355.483870967741</v>
      </c>
      <c r="AB74" s="531">
        <v>130.8602150537634</v>
      </c>
      <c r="AC74" s="555">
        <f t="shared" si="36"/>
        <v>3</v>
      </c>
      <c r="AD74" s="648"/>
      <c r="AE74" s="557">
        <v>18</v>
      </c>
      <c r="AF74" s="531">
        <v>2333.9999999999991</v>
      </c>
      <c r="AG74" s="531">
        <v>129.66666666666663</v>
      </c>
      <c r="AH74" s="555">
        <f t="shared" si="38"/>
        <v>4</v>
      </c>
      <c r="AI74" s="648"/>
      <c r="AJ74" s="557">
        <v>18</v>
      </c>
      <c r="AK74" s="531">
        <v>2373.7499999999995</v>
      </c>
      <c r="AL74" s="531">
        <v>131.87499999999997</v>
      </c>
      <c r="AM74" s="555">
        <f t="shared" si="40"/>
        <v>3</v>
      </c>
      <c r="AN74" s="648"/>
      <c r="AO74" s="557">
        <v>18</v>
      </c>
      <c r="AP74" s="531">
        <v>2341.9047619047615</v>
      </c>
      <c r="AQ74" s="531">
        <v>130.10582010582007</v>
      </c>
      <c r="AR74" s="555">
        <f t="shared" si="42"/>
        <v>4</v>
      </c>
      <c r="AS74" s="648"/>
      <c r="AT74" s="555">
        <v>18</v>
      </c>
      <c r="AU74" s="556">
        <v>2340.967741935483</v>
      </c>
      <c r="AV74" s="556">
        <v>130.05376344086017</v>
      </c>
      <c r="AW74" s="555">
        <f t="shared" si="44"/>
        <v>2</v>
      </c>
      <c r="AX74" s="648"/>
      <c r="AZ74" s="372" t="e">
        <f t="shared" si="46"/>
        <v>#N/A</v>
      </c>
      <c r="BA74" s="648"/>
    </row>
    <row r="75" spans="2:53">
      <c r="B75" s="646"/>
      <c r="C75" s="384">
        <v>9</v>
      </c>
      <c r="D75" s="225" t="s">
        <v>632</v>
      </c>
      <c r="E75" s="539">
        <v>19</v>
      </c>
      <c r="F75" s="535">
        <v>2400</v>
      </c>
      <c r="G75" s="534">
        <v>126.31578947368421</v>
      </c>
      <c r="H75" s="671"/>
      <c r="I75" s="385">
        <f t="shared" si="29"/>
        <v>19</v>
      </c>
      <c r="J75" s="385">
        <f t="shared" si="30"/>
        <v>2064.020577877719</v>
      </c>
      <c r="K75" s="199">
        <f t="shared" si="31"/>
        <v>108.63266199356416</v>
      </c>
      <c r="L75" s="617"/>
      <c r="M75" s="389">
        <f>RANK(K75, K$67:$K$81)</f>
        <v>11</v>
      </c>
      <c r="N75" s="635"/>
      <c r="O75" s="635"/>
      <c r="P75" s="557">
        <v>19</v>
      </c>
      <c r="Q75" s="531">
        <v>2057.1428571428551</v>
      </c>
      <c r="R75" s="531">
        <v>108.27067669172921</v>
      </c>
      <c r="S75" s="555">
        <f t="shared" si="32"/>
        <v>10</v>
      </c>
      <c r="T75" s="648"/>
      <c r="U75" s="557">
        <v>19</v>
      </c>
      <c r="V75" s="531">
        <v>2007.5675675675659</v>
      </c>
      <c r="W75" s="531">
        <v>105.66145092460873</v>
      </c>
      <c r="X75" s="555">
        <f t="shared" si="34"/>
        <v>11</v>
      </c>
      <c r="Y75" s="648"/>
      <c r="Z75" s="557">
        <v>19</v>
      </c>
      <c r="AA75" s="531">
        <v>2067.6923076923067</v>
      </c>
      <c r="AB75" s="531">
        <v>108.82591093117404</v>
      </c>
      <c r="AC75" s="555">
        <f t="shared" si="36"/>
        <v>11</v>
      </c>
      <c r="AD75" s="648"/>
      <c r="AE75" s="557">
        <v>19</v>
      </c>
      <c r="AF75" s="531">
        <v>2087.0270270270253</v>
      </c>
      <c r="AG75" s="531">
        <v>109.84352773826448</v>
      </c>
      <c r="AH75" s="555">
        <f t="shared" si="38"/>
        <v>11</v>
      </c>
      <c r="AI75" s="648"/>
      <c r="AJ75" s="557">
        <v>19</v>
      </c>
      <c r="AK75" s="531">
        <v>2070.8571428571404</v>
      </c>
      <c r="AL75" s="531">
        <v>108.99248120300739</v>
      </c>
      <c r="AM75" s="555">
        <f t="shared" si="40"/>
        <v>11</v>
      </c>
      <c r="AN75" s="648"/>
      <c r="AO75" s="557">
        <v>19</v>
      </c>
      <c r="AP75" s="531">
        <v>2082.8571428571408</v>
      </c>
      <c r="AQ75" s="531">
        <v>109.62406015037584</v>
      </c>
      <c r="AR75" s="555">
        <f t="shared" si="42"/>
        <v>11</v>
      </c>
      <c r="AS75" s="648"/>
      <c r="AT75" s="555">
        <v>19</v>
      </c>
      <c r="AU75" s="556">
        <v>2074.9999999999986</v>
      </c>
      <c r="AV75" s="556">
        <v>109.21052631578941</v>
      </c>
      <c r="AW75" s="555">
        <f t="shared" si="44"/>
        <v>11</v>
      </c>
      <c r="AX75" s="648"/>
      <c r="AZ75" s="372" t="e">
        <f t="shared" si="46"/>
        <v>#N/A</v>
      </c>
      <c r="BA75" s="648"/>
    </row>
    <row r="76" spans="2:53">
      <c r="B76" s="646"/>
      <c r="C76" s="384">
        <v>10</v>
      </c>
      <c r="D76" s="225" t="s">
        <v>638</v>
      </c>
      <c r="E76" s="539">
        <v>21</v>
      </c>
      <c r="F76" s="535">
        <v>2400</v>
      </c>
      <c r="G76" s="534">
        <v>114.28571428571429</v>
      </c>
      <c r="H76" s="671"/>
      <c r="I76" s="385">
        <f t="shared" si="29"/>
        <v>21</v>
      </c>
      <c r="J76" s="385">
        <f t="shared" si="30"/>
        <v>2091.6984863228818</v>
      </c>
      <c r="K76" s="199">
        <f t="shared" si="31"/>
        <v>99.604689824899168</v>
      </c>
      <c r="L76" s="617"/>
      <c r="M76" s="389">
        <f>RANK(K76, K$67:$K$81)</f>
        <v>12</v>
      </c>
      <c r="N76" s="635"/>
      <c r="O76" s="635"/>
      <c r="P76" s="557">
        <v>21</v>
      </c>
      <c r="Q76" s="531">
        <v>2049.8360655737711</v>
      </c>
      <c r="R76" s="531">
        <v>97.611241217798622</v>
      </c>
      <c r="S76" s="555">
        <f t="shared" si="32"/>
        <v>12</v>
      </c>
      <c r="T76" s="648"/>
      <c r="U76" s="557">
        <v>21</v>
      </c>
      <c r="V76" s="531">
        <v>2032.2580645161297</v>
      </c>
      <c r="W76" s="531">
        <v>96.774193548387132</v>
      </c>
      <c r="X76" s="555">
        <f t="shared" si="34"/>
        <v>12</v>
      </c>
      <c r="Y76" s="648"/>
      <c r="Z76" s="557">
        <v>21</v>
      </c>
      <c r="AA76" s="531">
        <v>2069.090909090909</v>
      </c>
      <c r="AB76" s="531">
        <v>98.528138528138527</v>
      </c>
      <c r="AC76" s="555">
        <f t="shared" si="36"/>
        <v>12</v>
      </c>
      <c r="AD76" s="648"/>
      <c r="AE76" s="557">
        <v>21</v>
      </c>
      <c r="AF76" s="531">
        <v>2102.2222222222217</v>
      </c>
      <c r="AG76" s="531">
        <v>100.10582010582009</v>
      </c>
      <c r="AH76" s="555">
        <f t="shared" si="38"/>
        <v>12</v>
      </c>
      <c r="AI76" s="648"/>
      <c r="AJ76" s="557">
        <v>21</v>
      </c>
      <c r="AK76" s="531">
        <v>2102.5000000000009</v>
      </c>
      <c r="AL76" s="531">
        <v>100.11904761904766</v>
      </c>
      <c r="AM76" s="555">
        <f t="shared" si="40"/>
        <v>12</v>
      </c>
      <c r="AN76" s="648"/>
      <c r="AO76" s="557">
        <v>21</v>
      </c>
      <c r="AP76" s="531">
        <v>2120.3571428571431</v>
      </c>
      <c r="AQ76" s="531">
        <v>100.96938775510205</v>
      </c>
      <c r="AR76" s="555">
        <f t="shared" si="42"/>
        <v>12</v>
      </c>
      <c r="AS76" s="648"/>
      <c r="AT76" s="555">
        <v>21</v>
      </c>
      <c r="AU76" s="556">
        <v>2165.6249999999995</v>
      </c>
      <c r="AV76" s="556">
        <v>103.12499999999997</v>
      </c>
      <c r="AW76" s="555">
        <f t="shared" si="44"/>
        <v>12</v>
      </c>
      <c r="AX76" s="648"/>
      <c r="AZ76" s="372" t="e">
        <f t="shared" si="46"/>
        <v>#N/A</v>
      </c>
      <c r="BA76" s="648"/>
    </row>
    <row r="77" spans="2:53">
      <c r="B77" s="646"/>
      <c r="C77" s="384">
        <v>11</v>
      </c>
      <c r="D77" s="225" t="s">
        <v>713</v>
      </c>
      <c r="E77" s="539">
        <v>19</v>
      </c>
      <c r="F77" s="535">
        <v>2571</v>
      </c>
      <c r="G77" s="534">
        <v>135.31578947368422</v>
      </c>
      <c r="H77" s="671"/>
      <c r="I77" s="385">
        <f t="shared" si="29"/>
        <v>19</v>
      </c>
      <c r="J77" s="385">
        <f t="shared" si="30"/>
        <v>2198.9690340924103</v>
      </c>
      <c r="K77" s="199">
        <f t="shared" si="31"/>
        <v>115.73521232065316</v>
      </c>
      <c r="L77" s="617"/>
      <c r="M77" s="389">
        <f>RANK(K77, K$67:$K$81)</f>
        <v>7</v>
      </c>
      <c r="N77" s="635"/>
      <c r="O77" s="635"/>
      <c r="P77" s="557">
        <v>19</v>
      </c>
      <c r="Q77" s="531">
        <v>2212.8000000000006</v>
      </c>
      <c r="R77" s="531">
        <v>116.46315789473688</v>
      </c>
      <c r="S77" s="555">
        <f t="shared" si="32"/>
        <v>7</v>
      </c>
      <c r="T77" s="648"/>
      <c r="U77" s="557">
        <v>19</v>
      </c>
      <c r="V77" s="531">
        <v>2162.6470588235297</v>
      </c>
      <c r="W77" s="531">
        <v>113.82352941176472</v>
      </c>
      <c r="X77" s="555">
        <f t="shared" si="34"/>
        <v>8</v>
      </c>
      <c r="Y77" s="648"/>
      <c r="Z77" s="557">
        <v>19</v>
      </c>
      <c r="AA77" s="531">
        <v>2228.6842105263163</v>
      </c>
      <c r="AB77" s="531">
        <v>117.29916897506928</v>
      </c>
      <c r="AC77" s="555">
        <f t="shared" si="36"/>
        <v>7</v>
      </c>
      <c r="AD77" s="648"/>
      <c r="AE77" s="557">
        <v>19</v>
      </c>
      <c r="AF77" s="531">
        <v>2208.7499999999995</v>
      </c>
      <c r="AG77" s="531">
        <v>116.24999999999997</v>
      </c>
      <c r="AH77" s="555">
        <f t="shared" si="38"/>
        <v>7</v>
      </c>
      <c r="AI77" s="648"/>
      <c r="AJ77" s="557">
        <v>19</v>
      </c>
      <c r="AK77" s="531">
        <v>2203.7288135593208</v>
      </c>
      <c r="AL77" s="531">
        <v>115.98572702943794</v>
      </c>
      <c r="AM77" s="555">
        <f t="shared" si="40"/>
        <v>8</v>
      </c>
      <c r="AN77" s="648"/>
      <c r="AO77" s="557">
        <v>19</v>
      </c>
      <c r="AP77" s="531">
        <v>2198.3606557377043</v>
      </c>
      <c r="AQ77" s="531">
        <v>115.7031924072476</v>
      </c>
      <c r="AR77" s="555">
        <f t="shared" si="42"/>
        <v>7</v>
      </c>
      <c r="AS77" s="648"/>
      <c r="AT77" s="555">
        <v>19</v>
      </c>
      <c r="AU77" s="556">
        <v>2177.8124999999995</v>
      </c>
      <c r="AV77" s="556">
        <v>114.62171052631577</v>
      </c>
      <c r="AW77" s="555">
        <f t="shared" si="44"/>
        <v>9</v>
      </c>
      <c r="AX77" s="648"/>
      <c r="AZ77" s="372" t="e">
        <f t="shared" si="46"/>
        <v>#N/A</v>
      </c>
      <c r="BA77" s="648"/>
    </row>
    <row r="78" spans="2:53">
      <c r="B78" s="646"/>
      <c r="C78" s="384">
        <v>12</v>
      </c>
      <c r="D78" s="225" t="s">
        <v>775</v>
      </c>
      <c r="E78" s="539">
        <v>17</v>
      </c>
      <c r="F78" s="535">
        <v>2571</v>
      </c>
      <c r="G78" s="534">
        <v>151.23529411764707</v>
      </c>
      <c r="H78" s="671"/>
      <c r="I78" s="385">
        <f t="shared" si="29"/>
        <v>18</v>
      </c>
      <c r="J78" s="385">
        <f t="shared" si="30"/>
        <v>2332.4830513417828</v>
      </c>
      <c r="K78" s="199">
        <f t="shared" si="31"/>
        <v>129.58239174121016</v>
      </c>
      <c r="L78" s="617"/>
      <c r="M78" s="389">
        <f>RANK(K78, K$67:$K$81)</f>
        <v>4</v>
      </c>
      <c r="N78" s="635"/>
      <c r="O78" s="635"/>
      <c r="P78" s="557">
        <v>18</v>
      </c>
      <c r="Q78" s="531">
        <v>2341.6363636363617</v>
      </c>
      <c r="R78" s="531">
        <v>130.09090909090898</v>
      </c>
      <c r="S78" s="555">
        <f t="shared" si="32"/>
        <v>4</v>
      </c>
      <c r="T78" s="648"/>
      <c r="U78" s="557">
        <v>18</v>
      </c>
      <c r="V78" s="531">
        <v>2353.0971428571406</v>
      </c>
      <c r="W78" s="531">
        <v>130.72761904761893</v>
      </c>
      <c r="X78" s="555">
        <f t="shared" si="34"/>
        <v>3</v>
      </c>
      <c r="Y78" s="648"/>
      <c r="Z78" s="557">
        <v>18</v>
      </c>
      <c r="AA78" s="531">
        <v>2326.2162162162172</v>
      </c>
      <c r="AB78" s="531">
        <v>129.23423423423429</v>
      </c>
      <c r="AC78" s="555">
        <f t="shared" si="36"/>
        <v>4</v>
      </c>
      <c r="AD78" s="648"/>
      <c r="AE78" s="557">
        <v>18</v>
      </c>
      <c r="AF78" s="531">
        <v>2338.8000000000006</v>
      </c>
      <c r="AG78" s="531">
        <v>129.93333333333337</v>
      </c>
      <c r="AH78" s="555">
        <f t="shared" si="38"/>
        <v>3</v>
      </c>
      <c r="AI78" s="648"/>
      <c r="AJ78" s="557">
        <v>18</v>
      </c>
      <c r="AK78" s="531">
        <v>2309.4339622641519</v>
      </c>
      <c r="AL78" s="531">
        <v>128.30188679245288</v>
      </c>
      <c r="AM78" s="555">
        <f t="shared" si="40"/>
        <v>4</v>
      </c>
      <c r="AN78" s="648"/>
      <c r="AO78" s="557">
        <v>18</v>
      </c>
      <c r="AP78" s="531">
        <v>2347.5000000000027</v>
      </c>
      <c r="AQ78" s="531">
        <v>130.41666666666683</v>
      </c>
      <c r="AR78" s="555">
        <f t="shared" si="42"/>
        <v>3</v>
      </c>
      <c r="AS78" s="648"/>
      <c r="AT78" s="555">
        <v>18</v>
      </c>
      <c r="AU78" s="556">
        <v>2310.697674418604</v>
      </c>
      <c r="AV78" s="556">
        <v>128.37209302325579</v>
      </c>
      <c r="AW78" s="555">
        <f t="shared" si="44"/>
        <v>4</v>
      </c>
      <c r="AX78" s="648"/>
      <c r="AZ78" s="372" t="e">
        <f t="shared" si="46"/>
        <v>#N/A</v>
      </c>
      <c r="BA78" s="648"/>
    </row>
    <row r="79" spans="2:53">
      <c r="B79" s="646"/>
      <c r="C79" s="384">
        <v>13</v>
      </c>
      <c r="D79" s="225"/>
      <c r="E79" s="539"/>
      <c r="F79" s="535"/>
      <c r="G79" s="534"/>
      <c r="H79" s="671"/>
      <c r="I79" s="385" t="str">
        <f t="shared" si="29"/>
        <v>-</v>
      </c>
      <c r="J79" s="385" t="str">
        <f t="shared" si="30"/>
        <v>-</v>
      </c>
      <c r="K79" s="199" t="str">
        <f t="shared" si="31"/>
        <v>-</v>
      </c>
      <c r="L79" s="617"/>
      <c r="M79" s="389" t="e">
        <f>RANK(K79, K$67:$K$81)</f>
        <v>#VALUE!</v>
      </c>
      <c r="N79" s="635"/>
      <c r="O79" s="635"/>
      <c r="P79" s="557" t="s">
        <v>592</v>
      </c>
      <c r="Q79" s="531" t="s">
        <v>592</v>
      </c>
      <c r="R79" s="531" t="s">
        <v>592</v>
      </c>
      <c r="S79" s="555" t="e">
        <f t="shared" si="32"/>
        <v>#VALUE!</v>
      </c>
      <c r="T79" s="648"/>
      <c r="U79" s="557" t="s">
        <v>592</v>
      </c>
      <c r="V79" s="531" t="s">
        <v>592</v>
      </c>
      <c r="W79" s="531" t="s">
        <v>592</v>
      </c>
      <c r="X79" s="555" t="e">
        <f t="shared" si="34"/>
        <v>#VALUE!</v>
      </c>
      <c r="Y79" s="648"/>
      <c r="Z79" s="557" t="s">
        <v>592</v>
      </c>
      <c r="AA79" s="531" t="s">
        <v>592</v>
      </c>
      <c r="AB79" s="531" t="s">
        <v>592</v>
      </c>
      <c r="AC79" s="555" t="e">
        <f t="shared" si="36"/>
        <v>#VALUE!</v>
      </c>
      <c r="AD79" s="648"/>
      <c r="AE79" s="557" t="s">
        <v>592</v>
      </c>
      <c r="AF79" s="531" t="s">
        <v>592</v>
      </c>
      <c r="AG79" s="531" t="s">
        <v>592</v>
      </c>
      <c r="AH79" s="555" t="e">
        <f t="shared" si="38"/>
        <v>#VALUE!</v>
      </c>
      <c r="AI79" s="648"/>
      <c r="AJ79" s="557" t="s">
        <v>592</v>
      </c>
      <c r="AK79" s="531" t="s">
        <v>592</v>
      </c>
      <c r="AL79" s="531" t="s">
        <v>592</v>
      </c>
      <c r="AM79" s="555" t="e">
        <f t="shared" si="40"/>
        <v>#VALUE!</v>
      </c>
      <c r="AN79" s="648"/>
      <c r="AO79" s="557" t="s">
        <v>592</v>
      </c>
      <c r="AP79" s="531" t="s">
        <v>592</v>
      </c>
      <c r="AQ79" s="531" t="s">
        <v>592</v>
      </c>
      <c r="AR79" s="555" t="e">
        <f t="shared" si="42"/>
        <v>#VALUE!</v>
      </c>
      <c r="AS79" s="648"/>
      <c r="AT79" s="555" t="s">
        <v>592</v>
      </c>
      <c r="AU79" s="556" t="s">
        <v>592</v>
      </c>
      <c r="AV79" s="556" t="s">
        <v>592</v>
      </c>
      <c r="AW79" s="555" t="e">
        <f t="shared" si="44"/>
        <v>#VALUE!</v>
      </c>
      <c r="AX79" s="648"/>
      <c r="AZ79" s="372" t="e">
        <f t="shared" si="46"/>
        <v>#N/A</v>
      </c>
      <c r="BA79" s="648"/>
    </row>
    <row r="80" spans="2:53">
      <c r="B80" s="646"/>
      <c r="C80" s="384">
        <v>14</v>
      </c>
      <c r="D80" s="225"/>
      <c r="E80" s="539"/>
      <c r="F80" s="535"/>
      <c r="G80" s="534"/>
      <c r="H80" s="671"/>
      <c r="I80" s="385" t="str">
        <f t="shared" si="29"/>
        <v>-</v>
      </c>
      <c r="J80" s="385" t="str">
        <f t="shared" si="30"/>
        <v>-</v>
      </c>
      <c r="K80" s="199" t="str">
        <f t="shared" si="31"/>
        <v>-</v>
      </c>
      <c r="L80" s="617"/>
      <c r="M80" s="389" t="e">
        <f>RANK(K80, K$67:$K$81)</f>
        <v>#VALUE!</v>
      </c>
      <c r="N80" s="635"/>
      <c r="O80" s="635"/>
      <c r="P80" s="557" t="s">
        <v>592</v>
      </c>
      <c r="Q80" s="531" t="s">
        <v>592</v>
      </c>
      <c r="R80" s="531" t="s">
        <v>592</v>
      </c>
      <c r="S80" s="555" t="e">
        <f t="shared" si="32"/>
        <v>#VALUE!</v>
      </c>
      <c r="T80" s="648"/>
      <c r="U80" s="557" t="s">
        <v>592</v>
      </c>
      <c r="V80" s="531" t="s">
        <v>592</v>
      </c>
      <c r="W80" s="531" t="s">
        <v>592</v>
      </c>
      <c r="X80" s="555" t="e">
        <f t="shared" si="34"/>
        <v>#VALUE!</v>
      </c>
      <c r="Y80" s="648"/>
      <c r="Z80" s="557" t="s">
        <v>592</v>
      </c>
      <c r="AA80" s="531" t="s">
        <v>592</v>
      </c>
      <c r="AB80" s="531" t="s">
        <v>592</v>
      </c>
      <c r="AC80" s="555" t="e">
        <f t="shared" si="36"/>
        <v>#VALUE!</v>
      </c>
      <c r="AD80" s="648"/>
      <c r="AE80" s="557" t="s">
        <v>592</v>
      </c>
      <c r="AF80" s="531" t="s">
        <v>592</v>
      </c>
      <c r="AG80" s="531" t="s">
        <v>592</v>
      </c>
      <c r="AH80" s="555" t="e">
        <f t="shared" si="38"/>
        <v>#VALUE!</v>
      </c>
      <c r="AI80" s="648"/>
      <c r="AJ80" s="557" t="s">
        <v>592</v>
      </c>
      <c r="AK80" s="531" t="s">
        <v>592</v>
      </c>
      <c r="AL80" s="531" t="s">
        <v>592</v>
      </c>
      <c r="AM80" s="555" t="e">
        <f t="shared" si="40"/>
        <v>#VALUE!</v>
      </c>
      <c r="AN80" s="648"/>
      <c r="AO80" s="557" t="s">
        <v>592</v>
      </c>
      <c r="AP80" s="531" t="s">
        <v>592</v>
      </c>
      <c r="AQ80" s="531" t="s">
        <v>592</v>
      </c>
      <c r="AR80" s="555" t="e">
        <f t="shared" si="42"/>
        <v>#VALUE!</v>
      </c>
      <c r="AS80" s="648"/>
      <c r="AT80" s="555" t="s">
        <v>592</v>
      </c>
      <c r="AU80" s="556" t="s">
        <v>592</v>
      </c>
      <c r="AV80" s="556" t="s">
        <v>592</v>
      </c>
      <c r="AW80" s="555" t="e">
        <f t="shared" si="44"/>
        <v>#VALUE!</v>
      </c>
      <c r="AX80" s="648"/>
      <c r="AZ80" s="372" t="e">
        <f t="shared" si="46"/>
        <v>#N/A</v>
      </c>
      <c r="BA80" s="648"/>
    </row>
    <row r="81" spans="2:53">
      <c r="B81" s="646"/>
      <c r="C81" s="384">
        <v>15</v>
      </c>
      <c r="D81" s="225"/>
      <c r="E81" s="539"/>
      <c r="F81" s="535"/>
      <c r="G81" s="534"/>
      <c r="H81" s="680"/>
      <c r="I81" s="434" t="str">
        <f t="shared" ref="I81" si="48">IFERROR(AVERAGE(P81,U81,Z81,AE81,AJ81,AO81,AT81),"-")</f>
        <v>-</v>
      </c>
      <c r="J81" s="434" t="str">
        <f t="shared" ref="J81" si="49">IFERROR(AVERAGE(Q81,V81,AA81,AF81,AK81,AP81,AU81),"-")</f>
        <v>-</v>
      </c>
      <c r="K81" s="199" t="str">
        <f t="shared" ref="K81" si="50">IFERROR(AVERAGE(R81,W81,AB81,AG81,AL81,AQ81,AV81),"-")</f>
        <v>-</v>
      </c>
      <c r="L81" s="618"/>
      <c r="M81" s="389" t="e">
        <f>RANK(K81, K$47:$K$61)</f>
        <v>#VALUE!</v>
      </c>
      <c r="N81" s="635"/>
      <c r="O81" s="635"/>
      <c r="P81" s="557" t="s">
        <v>592</v>
      </c>
      <c r="Q81" s="531" t="s">
        <v>592</v>
      </c>
      <c r="R81" s="531" t="s">
        <v>592</v>
      </c>
      <c r="S81" s="555" t="e">
        <f t="shared" si="32"/>
        <v>#VALUE!</v>
      </c>
      <c r="T81" s="649"/>
      <c r="U81" s="557" t="s">
        <v>592</v>
      </c>
      <c r="V81" s="531" t="s">
        <v>592</v>
      </c>
      <c r="W81" s="531" t="s">
        <v>592</v>
      </c>
      <c r="X81" s="555" t="e">
        <f t="shared" si="34"/>
        <v>#VALUE!</v>
      </c>
      <c r="Y81" s="649"/>
      <c r="Z81" s="557" t="s">
        <v>592</v>
      </c>
      <c r="AA81" s="531" t="s">
        <v>592</v>
      </c>
      <c r="AB81" s="531" t="s">
        <v>592</v>
      </c>
      <c r="AC81" s="555" t="e">
        <f t="shared" si="36"/>
        <v>#VALUE!</v>
      </c>
      <c r="AD81" s="649"/>
      <c r="AE81" s="557" t="s">
        <v>592</v>
      </c>
      <c r="AF81" s="531" t="s">
        <v>592</v>
      </c>
      <c r="AG81" s="531" t="s">
        <v>592</v>
      </c>
      <c r="AH81" s="555" t="e">
        <f t="shared" si="38"/>
        <v>#VALUE!</v>
      </c>
      <c r="AI81" s="649"/>
      <c r="AJ81" s="557" t="s">
        <v>592</v>
      </c>
      <c r="AK81" s="531" t="s">
        <v>592</v>
      </c>
      <c r="AL81" s="531" t="s">
        <v>592</v>
      </c>
      <c r="AM81" s="555" t="e">
        <f t="shared" si="40"/>
        <v>#VALUE!</v>
      </c>
      <c r="AN81" s="649"/>
      <c r="AO81" s="557" t="s">
        <v>592</v>
      </c>
      <c r="AP81" s="531" t="s">
        <v>592</v>
      </c>
      <c r="AQ81" s="531" t="s">
        <v>592</v>
      </c>
      <c r="AR81" s="555" t="e">
        <f t="shared" si="42"/>
        <v>#VALUE!</v>
      </c>
      <c r="AS81" s="649"/>
      <c r="AT81" s="555" t="s">
        <v>592</v>
      </c>
      <c r="AU81" s="556" t="s">
        <v>592</v>
      </c>
      <c r="AV81" s="556" t="s">
        <v>592</v>
      </c>
      <c r="AW81" s="555" t="e">
        <f t="shared" si="44"/>
        <v>#VALUE!</v>
      </c>
      <c r="AX81" s="649"/>
      <c r="AZ81" s="372" t="e">
        <f t="shared" si="46"/>
        <v>#N/A</v>
      </c>
      <c r="BA81" s="649"/>
    </row>
    <row r="82" spans="2:53" ht="15.75">
      <c r="B82" s="650" t="s">
        <v>162</v>
      </c>
      <c r="C82" s="651"/>
      <c r="D82" s="651"/>
      <c r="E82" s="651"/>
      <c r="F82" s="651"/>
      <c r="G82" s="651"/>
      <c r="H82" s="652"/>
      <c r="I82" s="207"/>
      <c r="J82" s="207"/>
      <c r="K82" s="207"/>
      <c r="L82" s="207"/>
      <c r="M82" s="206"/>
      <c r="N82" s="639" t="s">
        <v>156</v>
      </c>
      <c r="O82" s="639" t="s">
        <v>105</v>
      </c>
      <c r="P82" s="645">
        <f>P62+7</f>
        <v>46231</v>
      </c>
      <c r="Q82" s="646"/>
      <c r="R82" s="646"/>
      <c r="S82" s="646"/>
      <c r="T82" s="646"/>
      <c r="U82" s="642">
        <f>P82+1</f>
        <v>46232</v>
      </c>
      <c r="V82" s="643"/>
      <c r="W82" s="643"/>
      <c r="X82" s="643"/>
      <c r="Y82" s="644"/>
      <c r="Z82" s="642">
        <f>U82+1</f>
        <v>46233</v>
      </c>
      <c r="AA82" s="643"/>
      <c r="AB82" s="643"/>
      <c r="AC82" s="643"/>
      <c r="AD82" s="644"/>
      <c r="AE82" s="642">
        <f>Z82+1</f>
        <v>46234</v>
      </c>
      <c r="AF82" s="643"/>
      <c r="AG82" s="643"/>
      <c r="AH82" s="643"/>
      <c r="AI82" s="644"/>
      <c r="AJ82" s="642">
        <f>AE82+1</f>
        <v>46235</v>
      </c>
      <c r="AK82" s="643"/>
      <c r="AL82" s="643"/>
      <c r="AM82" s="643"/>
      <c r="AN82" s="644"/>
      <c r="AO82" s="642">
        <f>AJ82+1</f>
        <v>46236</v>
      </c>
      <c r="AP82" s="643"/>
      <c r="AQ82" s="643"/>
      <c r="AR82" s="643"/>
      <c r="AS82" s="644"/>
      <c r="AT82" s="642">
        <f>AO82+1</f>
        <v>46237</v>
      </c>
      <c r="AU82" s="643"/>
      <c r="AV82" s="643"/>
      <c r="AW82" s="643"/>
      <c r="AX82" s="644"/>
    </row>
    <row r="83" spans="2:53" ht="15.75">
      <c r="B83" s="653"/>
      <c r="C83" s="653"/>
      <c r="D83" s="653"/>
      <c r="E83" s="653"/>
      <c r="F83" s="653"/>
      <c r="G83" s="653"/>
      <c r="H83" s="653"/>
      <c r="I83" s="204"/>
      <c r="J83" s="204"/>
      <c r="K83" s="204"/>
      <c r="L83" s="204"/>
      <c r="M83" s="205"/>
      <c r="N83" s="641"/>
      <c r="O83" s="641"/>
      <c r="P83" s="645" t="s">
        <v>317</v>
      </c>
      <c r="Q83" s="646"/>
      <c r="R83" s="646"/>
      <c r="S83" s="646"/>
      <c r="T83" s="646"/>
      <c r="U83" s="645" t="s">
        <v>318</v>
      </c>
      <c r="V83" s="646"/>
      <c r="W83" s="646"/>
      <c r="X83" s="646"/>
      <c r="Y83" s="646"/>
      <c r="Z83" s="645" t="s">
        <v>319</v>
      </c>
      <c r="AA83" s="646"/>
      <c r="AB83" s="646"/>
      <c r="AC83" s="646"/>
      <c r="AD83" s="646"/>
      <c r="AE83" s="645" t="s">
        <v>320</v>
      </c>
      <c r="AF83" s="646"/>
      <c r="AG83" s="646"/>
      <c r="AH83" s="646"/>
      <c r="AI83" s="646"/>
      <c r="AJ83" s="645" t="s">
        <v>321</v>
      </c>
      <c r="AK83" s="646"/>
      <c r="AL83" s="646"/>
      <c r="AM83" s="646"/>
      <c r="AN83" s="646"/>
      <c r="AO83" s="645" t="s">
        <v>322</v>
      </c>
      <c r="AP83" s="646"/>
      <c r="AQ83" s="646"/>
      <c r="AR83" s="646"/>
      <c r="AS83" s="646"/>
      <c r="AT83" s="645" t="s">
        <v>323</v>
      </c>
      <c r="AU83" s="646"/>
      <c r="AV83" s="646"/>
      <c r="AW83" s="646"/>
      <c r="AX83" s="646"/>
    </row>
    <row r="84" spans="2:53">
      <c r="B84" s="635" t="s">
        <v>410</v>
      </c>
      <c r="C84" s="635" t="s">
        <v>536</v>
      </c>
      <c r="D84" s="635"/>
      <c r="E84" s="635" t="s">
        <v>537</v>
      </c>
      <c r="F84" s="635"/>
      <c r="G84" s="635"/>
      <c r="H84" s="636" t="s">
        <v>538</v>
      </c>
      <c r="I84" s="635" t="s">
        <v>539</v>
      </c>
      <c r="J84" s="635"/>
      <c r="K84" s="635"/>
      <c r="L84" s="636" t="s">
        <v>369</v>
      </c>
      <c r="M84" s="639" t="s">
        <v>540</v>
      </c>
      <c r="N84" s="635"/>
      <c r="O84" s="635" t="s">
        <v>375</v>
      </c>
      <c r="P84" s="632" t="s">
        <v>371</v>
      </c>
      <c r="Q84" s="633"/>
      <c r="R84" s="633"/>
      <c r="S84" s="634"/>
      <c r="T84" s="635" t="s">
        <v>369</v>
      </c>
      <c r="U84" s="632" t="s">
        <v>371</v>
      </c>
      <c r="V84" s="633"/>
      <c r="W84" s="633"/>
      <c r="X84" s="634"/>
      <c r="Y84" s="635" t="s">
        <v>369</v>
      </c>
      <c r="Z84" s="632" t="s">
        <v>371</v>
      </c>
      <c r="AA84" s="633"/>
      <c r="AB84" s="633"/>
      <c r="AC84" s="634"/>
      <c r="AD84" s="635" t="s">
        <v>369</v>
      </c>
      <c r="AE84" s="632" t="s">
        <v>371</v>
      </c>
      <c r="AF84" s="633"/>
      <c r="AG84" s="633"/>
      <c r="AH84" s="634"/>
      <c r="AI84" s="635" t="s">
        <v>369</v>
      </c>
      <c r="AJ84" s="632" t="s">
        <v>371</v>
      </c>
      <c r="AK84" s="633"/>
      <c r="AL84" s="633"/>
      <c r="AM84" s="634"/>
      <c r="AN84" s="635" t="s">
        <v>369</v>
      </c>
      <c r="AO84" s="632" t="s">
        <v>371</v>
      </c>
      <c r="AP84" s="633"/>
      <c r="AQ84" s="633"/>
      <c r="AR84" s="634"/>
      <c r="AS84" s="635" t="s">
        <v>369</v>
      </c>
      <c r="AT84" s="632" t="s">
        <v>371</v>
      </c>
      <c r="AU84" s="633"/>
      <c r="AV84" s="633"/>
      <c r="AW84" s="634"/>
      <c r="AX84" s="635" t="s">
        <v>369</v>
      </c>
      <c r="BA84" s="635" t="s">
        <v>369</v>
      </c>
    </row>
    <row r="85" spans="2:53">
      <c r="B85" s="635"/>
      <c r="C85" s="635"/>
      <c r="D85" s="635"/>
      <c r="E85" s="635" t="s">
        <v>542</v>
      </c>
      <c r="F85" s="635"/>
      <c r="G85" s="635"/>
      <c r="H85" s="637"/>
      <c r="I85" s="635" t="s">
        <v>542</v>
      </c>
      <c r="J85" s="635"/>
      <c r="K85" s="635"/>
      <c r="L85" s="637"/>
      <c r="M85" s="640"/>
      <c r="N85" s="635"/>
      <c r="O85" s="635"/>
      <c r="P85" s="632" t="s">
        <v>377</v>
      </c>
      <c r="Q85" s="633"/>
      <c r="R85" s="633"/>
      <c r="S85" s="634"/>
      <c r="T85" s="635"/>
      <c r="U85" s="632" t="s">
        <v>377</v>
      </c>
      <c r="V85" s="633"/>
      <c r="W85" s="633"/>
      <c r="X85" s="634"/>
      <c r="Y85" s="635"/>
      <c r="Z85" s="632" t="s">
        <v>377</v>
      </c>
      <c r="AA85" s="633"/>
      <c r="AB85" s="633"/>
      <c r="AC85" s="634"/>
      <c r="AD85" s="635"/>
      <c r="AE85" s="632" t="s">
        <v>377</v>
      </c>
      <c r="AF85" s="633"/>
      <c r="AG85" s="633"/>
      <c r="AH85" s="634"/>
      <c r="AI85" s="635"/>
      <c r="AJ85" s="632" t="s">
        <v>377</v>
      </c>
      <c r="AK85" s="633"/>
      <c r="AL85" s="633"/>
      <c r="AM85" s="634"/>
      <c r="AN85" s="635"/>
      <c r="AO85" s="632" t="s">
        <v>377</v>
      </c>
      <c r="AP85" s="633"/>
      <c r="AQ85" s="633"/>
      <c r="AR85" s="634"/>
      <c r="AS85" s="635"/>
      <c r="AT85" s="632" t="s">
        <v>377</v>
      </c>
      <c r="AU85" s="633"/>
      <c r="AV85" s="633"/>
      <c r="AW85" s="634"/>
      <c r="AX85" s="635"/>
      <c r="BA85" s="635"/>
    </row>
    <row r="86" spans="2:53">
      <c r="B86" s="635"/>
      <c r="C86" s="635"/>
      <c r="D86" s="635"/>
      <c r="E86" s="382" t="s">
        <v>543</v>
      </c>
      <c r="F86" s="382" t="s">
        <v>544</v>
      </c>
      <c r="G86" s="382" t="s">
        <v>545</v>
      </c>
      <c r="H86" s="638"/>
      <c r="I86" s="382" t="s">
        <v>543</v>
      </c>
      <c r="J86" s="382" t="s">
        <v>544</v>
      </c>
      <c r="K86" s="382" t="s">
        <v>545</v>
      </c>
      <c r="L86" s="638"/>
      <c r="M86" s="641"/>
      <c r="N86" s="635"/>
      <c r="O86" s="635"/>
      <c r="P86" s="382" t="s">
        <v>378</v>
      </c>
      <c r="Q86" s="382" t="s">
        <v>379</v>
      </c>
      <c r="R86" s="382" t="s">
        <v>380</v>
      </c>
      <c r="S86" s="382" t="s">
        <v>370</v>
      </c>
      <c r="T86" s="635"/>
      <c r="U86" s="382" t="s">
        <v>378</v>
      </c>
      <c r="V86" s="382" t="s">
        <v>379</v>
      </c>
      <c r="W86" s="382" t="s">
        <v>380</v>
      </c>
      <c r="X86" s="382" t="s">
        <v>370</v>
      </c>
      <c r="Y86" s="635"/>
      <c r="Z86" s="382" t="s">
        <v>378</v>
      </c>
      <c r="AA86" s="382" t="s">
        <v>379</v>
      </c>
      <c r="AB86" s="382" t="s">
        <v>380</v>
      </c>
      <c r="AC86" s="382" t="s">
        <v>370</v>
      </c>
      <c r="AD86" s="635"/>
      <c r="AE86" s="382" t="s">
        <v>378</v>
      </c>
      <c r="AF86" s="382" t="s">
        <v>379</v>
      </c>
      <c r="AG86" s="382" t="s">
        <v>380</v>
      </c>
      <c r="AH86" s="382" t="s">
        <v>370</v>
      </c>
      <c r="AI86" s="635"/>
      <c r="AJ86" s="382" t="s">
        <v>378</v>
      </c>
      <c r="AK86" s="382" t="s">
        <v>379</v>
      </c>
      <c r="AL86" s="382" t="s">
        <v>380</v>
      </c>
      <c r="AM86" s="382" t="s">
        <v>370</v>
      </c>
      <c r="AN86" s="635"/>
      <c r="AO86" s="382" t="s">
        <v>378</v>
      </c>
      <c r="AP86" s="382" t="s">
        <v>379</v>
      </c>
      <c r="AQ86" s="382" t="s">
        <v>380</v>
      </c>
      <c r="AR86" s="382" t="s">
        <v>370</v>
      </c>
      <c r="AS86" s="635"/>
      <c r="AT86" s="382" t="s">
        <v>378</v>
      </c>
      <c r="AU86" s="382" t="s">
        <v>379</v>
      </c>
      <c r="AV86" s="382" t="s">
        <v>380</v>
      </c>
      <c r="AW86" s="382" t="s">
        <v>370</v>
      </c>
      <c r="AX86" s="635"/>
      <c r="AZ86" s="371" t="s">
        <v>370</v>
      </c>
      <c r="BA86" s="635"/>
    </row>
    <row r="87" spans="2:53">
      <c r="B87" s="635" t="s">
        <v>425</v>
      </c>
      <c r="C87" s="384">
        <v>1</v>
      </c>
      <c r="D87" s="225"/>
      <c r="E87" s="539"/>
      <c r="F87" s="535"/>
      <c r="G87" s="534"/>
      <c r="H87" s="670" t="e">
        <f>AVERAGE(G87:G101)</f>
        <v>#DIV/0!</v>
      </c>
      <c r="I87" s="385" t="str">
        <f t="shared" ref="I87:I100" si="51">IFERROR(AVERAGE(P87,U87,Z87,AE87,AJ87,AO87,AT87),"-")</f>
        <v>-</v>
      </c>
      <c r="J87" s="385" t="str">
        <f t="shared" ref="J87:J100" si="52">IFERROR(AVERAGE(Q87,V87,AA87,AF87,AK87,AP87,AU87),"-")</f>
        <v>-</v>
      </c>
      <c r="K87" s="199" t="str">
        <f t="shared" ref="K87:K100" si="53">IFERROR(AVERAGE(R87,W87,AB87,AG87,AL87,AQ87,AV87),"-")</f>
        <v>-</v>
      </c>
      <c r="L87" s="616" t="str">
        <f>IFERROR(AVERAGE(K87:K101),"-")</f>
        <v>-</v>
      </c>
      <c r="M87" s="389" t="e">
        <f>RANK(K87, K$87:$K$101)</f>
        <v>#VALUE!</v>
      </c>
      <c r="N87" s="635"/>
      <c r="O87" s="635"/>
      <c r="P87" s="485"/>
      <c r="Q87" s="488"/>
      <c r="R87" s="488"/>
      <c r="S87" s="484"/>
      <c r="T87" s="659"/>
      <c r="U87" s="485"/>
      <c r="V87" s="488"/>
      <c r="W87" s="488"/>
      <c r="X87" s="484"/>
      <c r="Y87" s="659"/>
      <c r="Z87" s="485"/>
      <c r="AA87" s="488"/>
      <c r="AB87" s="488"/>
      <c r="AC87" s="484"/>
      <c r="AD87" s="659"/>
      <c r="AE87" s="485"/>
      <c r="AF87" s="488"/>
      <c r="AG87" s="488"/>
      <c r="AH87" s="484"/>
      <c r="AI87" s="659"/>
      <c r="AJ87" s="485"/>
      <c r="AK87" s="488"/>
      <c r="AL87" s="488"/>
      <c r="AM87" s="484"/>
      <c r="AN87" s="659"/>
      <c r="AO87" s="485"/>
      <c r="AP87" s="488"/>
      <c r="AQ87" s="488"/>
      <c r="AR87" s="484"/>
      <c r="AS87" s="659"/>
      <c r="AT87" s="484"/>
      <c r="AU87" s="487"/>
      <c r="AV87" s="487"/>
      <c r="AW87" s="484"/>
      <c r="AX87" s="659"/>
      <c r="AZ87" s="372" t="e">
        <f t="shared" ref="AZ87:AZ101" si="54">RANK(AY87, AY$87:AY$101)</f>
        <v>#N/A</v>
      </c>
      <c r="BA87" s="659" t="e">
        <f t="shared" ref="BA87" si="55">AVERAGE(AY87:AY101)</f>
        <v>#DIV/0!</v>
      </c>
    </row>
    <row r="88" spans="2:53">
      <c r="B88" s="646"/>
      <c r="C88" s="384">
        <v>2</v>
      </c>
      <c r="D88" s="225"/>
      <c r="E88" s="539"/>
      <c r="F88" s="535"/>
      <c r="G88" s="534"/>
      <c r="H88" s="671"/>
      <c r="I88" s="385" t="str">
        <f t="shared" si="51"/>
        <v>-</v>
      </c>
      <c r="J88" s="385" t="str">
        <f t="shared" si="52"/>
        <v>-</v>
      </c>
      <c r="K88" s="199" t="str">
        <f t="shared" si="53"/>
        <v>-</v>
      </c>
      <c r="L88" s="617"/>
      <c r="M88" s="438" t="e">
        <f>RANK(K88, K$87:$K$101)</f>
        <v>#VALUE!</v>
      </c>
      <c r="N88" s="635"/>
      <c r="O88" s="635"/>
      <c r="P88" s="485"/>
      <c r="Q88" s="488"/>
      <c r="R88" s="488"/>
      <c r="S88" s="484"/>
      <c r="T88" s="659"/>
      <c r="U88" s="485"/>
      <c r="V88" s="488"/>
      <c r="W88" s="488"/>
      <c r="X88" s="484"/>
      <c r="Y88" s="659"/>
      <c r="Z88" s="485"/>
      <c r="AA88" s="488"/>
      <c r="AB88" s="488"/>
      <c r="AC88" s="484"/>
      <c r="AD88" s="659"/>
      <c r="AE88" s="485"/>
      <c r="AF88" s="488"/>
      <c r="AG88" s="488"/>
      <c r="AH88" s="484"/>
      <c r="AI88" s="659"/>
      <c r="AJ88" s="485"/>
      <c r="AK88" s="488"/>
      <c r="AL88" s="488"/>
      <c r="AM88" s="484"/>
      <c r="AN88" s="659"/>
      <c r="AO88" s="485"/>
      <c r="AP88" s="488"/>
      <c r="AQ88" s="488"/>
      <c r="AR88" s="484"/>
      <c r="AS88" s="659"/>
      <c r="AT88" s="484"/>
      <c r="AU88" s="487"/>
      <c r="AV88" s="487"/>
      <c r="AW88" s="484"/>
      <c r="AX88" s="659"/>
      <c r="AZ88" s="372" t="e">
        <f t="shared" si="54"/>
        <v>#N/A</v>
      </c>
      <c r="BA88" s="659"/>
    </row>
    <row r="89" spans="2:53">
      <c r="B89" s="646"/>
      <c r="C89" s="384">
        <v>3</v>
      </c>
      <c r="D89" s="225"/>
      <c r="E89" s="539"/>
      <c r="F89" s="535"/>
      <c r="G89" s="534"/>
      <c r="H89" s="671"/>
      <c r="I89" s="385" t="str">
        <f t="shared" si="51"/>
        <v>-</v>
      </c>
      <c r="J89" s="385" t="str">
        <f t="shared" si="52"/>
        <v>-</v>
      </c>
      <c r="K89" s="199" t="str">
        <f t="shared" si="53"/>
        <v>-</v>
      </c>
      <c r="L89" s="617"/>
      <c r="M89" s="438" t="e">
        <f>RANK(K89, K$87:$K$101)</f>
        <v>#VALUE!</v>
      </c>
      <c r="N89" s="635"/>
      <c r="O89" s="635"/>
      <c r="P89" s="485"/>
      <c r="Q89" s="488"/>
      <c r="R89" s="488"/>
      <c r="S89" s="484"/>
      <c r="T89" s="659"/>
      <c r="U89" s="485"/>
      <c r="V89" s="488"/>
      <c r="W89" s="488"/>
      <c r="X89" s="484"/>
      <c r="Y89" s="659"/>
      <c r="Z89" s="485"/>
      <c r="AA89" s="488"/>
      <c r="AB89" s="488"/>
      <c r="AC89" s="484"/>
      <c r="AD89" s="659"/>
      <c r="AE89" s="485"/>
      <c r="AF89" s="488"/>
      <c r="AG89" s="488"/>
      <c r="AH89" s="484"/>
      <c r="AI89" s="659"/>
      <c r="AJ89" s="485"/>
      <c r="AK89" s="488"/>
      <c r="AL89" s="488"/>
      <c r="AM89" s="484"/>
      <c r="AN89" s="659"/>
      <c r="AO89" s="485"/>
      <c r="AP89" s="488"/>
      <c r="AQ89" s="488"/>
      <c r="AR89" s="484"/>
      <c r="AS89" s="659"/>
      <c r="AT89" s="484"/>
      <c r="AU89" s="487"/>
      <c r="AV89" s="487"/>
      <c r="AW89" s="484"/>
      <c r="AX89" s="659"/>
      <c r="AZ89" s="372" t="e">
        <f t="shared" si="54"/>
        <v>#N/A</v>
      </c>
      <c r="BA89" s="659"/>
    </row>
    <row r="90" spans="2:53">
      <c r="B90" s="646"/>
      <c r="C90" s="384">
        <v>4</v>
      </c>
      <c r="D90" s="225"/>
      <c r="E90" s="539"/>
      <c r="F90" s="535"/>
      <c r="G90" s="534"/>
      <c r="H90" s="671"/>
      <c r="I90" s="385" t="str">
        <f t="shared" si="51"/>
        <v>-</v>
      </c>
      <c r="J90" s="385" t="str">
        <f t="shared" si="52"/>
        <v>-</v>
      </c>
      <c r="K90" s="199" t="str">
        <f t="shared" si="53"/>
        <v>-</v>
      </c>
      <c r="L90" s="617"/>
      <c r="M90" s="438" t="e">
        <f>RANK(K90, K$87:$K$101)</f>
        <v>#VALUE!</v>
      </c>
      <c r="N90" s="635"/>
      <c r="O90" s="635"/>
      <c r="P90" s="485"/>
      <c r="Q90" s="488"/>
      <c r="R90" s="488"/>
      <c r="S90" s="484"/>
      <c r="T90" s="659"/>
      <c r="U90" s="485"/>
      <c r="V90" s="488"/>
      <c r="W90" s="488"/>
      <c r="X90" s="484"/>
      <c r="Y90" s="659"/>
      <c r="Z90" s="485"/>
      <c r="AA90" s="488"/>
      <c r="AB90" s="488"/>
      <c r="AC90" s="484"/>
      <c r="AD90" s="659"/>
      <c r="AE90" s="485"/>
      <c r="AF90" s="488"/>
      <c r="AG90" s="488"/>
      <c r="AH90" s="484"/>
      <c r="AI90" s="659"/>
      <c r="AJ90" s="485"/>
      <c r="AK90" s="488"/>
      <c r="AL90" s="488"/>
      <c r="AM90" s="484"/>
      <c r="AN90" s="659"/>
      <c r="AO90" s="485"/>
      <c r="AP90" s="488"/>
      <c r="AQ90" s="488"/>
      <c r="AR90" s="484"/>
      <c r="AS90" s="659"/>
      <c r="AT90" s="484"/>
      <c r="AU90" s="487"/>
      <c r="AV90" s="487"/>
      <c r="AW90" s="484"/>
      <c r="AX90" s="659"/>
      <c r="AZ90" s="372" t="e">
        <f t="shared" si="54"/>
        <v>#N/A</v>
      </c>
      <c r="BA90" s="659"/>
    </row>
    <row r="91" spans="2:53">
      <c r="B91" s="646"/>
      <c r="C91" s="384">
        <v>5</v>
      </c>
      <c r="D91" s="225"/>
      <c r="E91" s="539"/>
      <c r="F91" s="535"/>
      <c r="G91" s="534"/>
      <c r="H91" s="671"/>
      <c r="I91" s="385" t="str">
        <f t="shared" si="51"/>
        <v>-</v>
      </c>
      <c r="J91" s="385" t="str">
        <f t="shared" si="52"/>
        <v>-</v>
      </c>
      <c r="K91" s="199" t="str">
        <f t="shared" si="53"/>
        <v>-</v>
      </c>
      <c r="L91" s="617"/>
      <c r="M91" s="438" t="e">
        <f>RANK(K91, K$87:$K$101)</f>
        <v>#VALUE!</v>
      </c>
      <c r="N91" s="635"/>
      <c r="O91" s="635"/>
      <c r="P91" s="485"/>
      <c r="Q91" s="488"/>
      <c r="R91" s="488"/>
      <c r="S91" s="484"/>
      <c r="T91" s="659"/>
      <c r="U91" s="485"/>
      <c r="V91" s="488"/>
      <c r="W91" s="488"/>
      <c r="X91" s="484"/>
      <c r="Y91" s="659"/>
      <c r="Z91" s="485"/>
      <c r="AA91" s="488"/>
      <c r="AB91" s="488"/>
      <c r="AC91" s="484"/>
      <c r="AD91" s="659"/>
      <c r="AE91" s="485"/>
      <c r="AF91" s="488"/>
      <c r="AG91" s="488"/>
      <c r="AH91" s="484"/>
      <c r="AI91" s="659"/>
      <c r="AJ91" s="485"/>
      <c r="AK91" s="488"/>
      <c r="AL91" s="488"/>
      <c r="AM91" s="484"/>
      <c r="AN91" s="659"/>
      <c r="AO91" s="485"/>
      <c r="AP91" s="488"/>
      <c r="AQ91" s="488"/>
      <c r="AR91" s="484"/>
      <c r="AS91" s="659"/>
      <c r="AT91" s="484"/>
      <c r="AU91" s="487"/>
      <c r="AV91" s="487"/>
      <c r="AW91" s="484"/>
      <c r="AX91" s="659"/>
      <c r="AZ91" s="372" t="e">
        <f t="shared" si="54"/>
        <v>#N/A</v>
      </c>
      <c r="BA91" s="659"/>
    </row>
    <row r="92" spans="2:53">
      <c r="B92" s="646"/>
      <c r="C92" s="384">
        <v>6</v>
      </c>
      <c r="D92" s="225"/>
      <c r="E92" s="539"/>
      <c r="F92" s="535"/>
      <c r="G92" s="534"/>
      <c r="H92" s="671"/>
      <c r="I92" s="385" t="str">
        <f t="shared" si="51"/>
        <v>-</v>
      </c>
      <c r="J92" s="385" t="str">
        <f t="shared" si="52"/>
        <v>-</v>
      </c>
      <c r="K92" s="199" t="str">
        <f t="shared" si="53"/>
        <v>-</v>
      </c>
      <c r="L92" s="617"/>
      <c r="M92" s="438" t="e">
        <f>RANK(K92, K$87:$K$101)</f>
        <v>#VALUE!</v>
      </c>
      <c r="N92" s="635"/>
      <c r="O92" s="635"/>
      <c r="P92" s="485"/>
      <c r="Q92" s="488"/>
      <c r="R92" s="488"/>
      <c r="S92" s="484"/>
      <c r="T92" s="659"/>
      <c r="U92" s="485"/>
      <c r="V92" s="488"/>
      <c r="W92" s="488"/>
      <c r="X92" s="484"/>
      <c r="Y92" s="659"/>
      <c r="Z92" s="485"/>
      <c r="AA92" s="488"/>
      <c r="AB92" s="488"/>
      <c r="AC92" s="484"/>
      <c r="AD92" s="659"/>
      <c r="AE92" s="485"/>
      <c r="AF92" s="488"/>
      <c r="AG92" s="488"/>
      <c r="AH92" s="484"/>
      <c r="AI92" s="659"/>
      <c r="AJ92" s="485"/>
      <c r="AK92" s="488"/>
      <c r="AL92" s="488"/>
      <c r="AM92" s="484"/>
      <c r="AN92" s="659"/>
      <c r="AO92" s="485"/>
      <c r="AP92" s="488"/>
      <c r="AQ92" s="488"/>
      <c r="AR92" s="484"/>
      <c r="AS92" s="659"/>
      <c r="AT92" s="484"/>
      <c r="AU92" s="487"/>
      <c r="AV92" s="487"/>
      <c r="AW92" s="484"/>
      <c r="AX92" s="659"/>
      <c r="AZ92" s="372" t="e">
        <f t="shared" si="54"/>
        <v>#N/A</v>
      </c>
      <c r="BA92" s="659"/>
    </row>
    <row r="93" spans="2:53">
      <c r="B93" s="646"/>
      <c r="C93" s="384">
        <v>7</v>
      </c>
      <c r="D93" s="225"/>
      <c r="E93" s="539"/>
      <c r="F93" s="535"/>
      <c r="G93" s="534"/>
      <c r="H93" s="671"/>
      <c r="I93" s="385" t="str">
        <f t="shared" si="51"/>
        <v>-</v>
      </c>
      <c r="J93" s="385" t="str">
        <f t="shared" si="52"/>
        <v>-</v>
      </c>
      <c r="K93" s="199" t="str">
        <f t="shared" si="53"/>
        <v>-</v>
      </c>
      <c r="L93" s="617"/>
      <c r="M93" s="438" t="e">
        <f>RANK(K93, K$87:$K$101)</f>
        <v>#VALUE!</v>
      </c>
      <c r="N93" s="635"/>
      <c r="O93" s="635"/>
      <c r="P93" s="485"/>
      <c r="Q93" s="488"/>
      <c r="R93" s="488"/>
      <c r="S93" s="484"/>
      <c r="T93" s="659"/>
      <c r="U93" s="485"/>
      <c r="V93" s="488"/>
      <c r="W93" s="488"/>
      <c r="X93" s="484"/>
      <c r="Y93" s="659"/>
      <c r="Z93" s="485"/>
      <c r="AA93" s="488"/>
      <c r="AB93" s="488"/>
      <c r="AC93" s="484"/>
      <c r="AD93" s="659"/>
      <c r="AE93" s="485"/>
      <c r="AF93" s="488"/>
      <c r="AG93" s="488"/>
      <c r="AH93" s="484"/>
      <c r="AI93" s="659"/>
      <c r="AJ93" s="485"/>
      <c r="AK93" s="488"/>
      <c r="AL93" s="488"/>
      <c r="AM93" s="484"/>
      <c r="AN93" s="659"/>
      <c r="AO93" s="485"/>
      <c r="AP93" s="488"/>
      <c r="AQ93" s="488"/>
      <c r="AR93" s="484"/>
      <c r="AS93" s="659"/>
      <c r="AT93" s="484"/>
      <c r="AU93" s="487"/>
      <c r="AV93" s="487"/>
      <c r="AW93" s="484"/>
      <c r="AX93" s="659"/>
      <c r="AZ93" s="372" t="e">
        <f t="shared" si="54"/>
        <v>#N/A</v>
      </c>
      <c r="BA93" s="659"/>
    </row>
    <row r="94" spans="2:53">
      <c r="B94" s="646"/>
      <c r="C94" s="384">
        <v>8</v>
      </c>
      <c r="D94" s="225"/>
      <c r="E94" s="539"/>
      <c r="F94" s="535"/>
      <c r="G94" s="534"/>
      <c r="H94" s="671"/>
      <c r="I94" s="385" t="str">
        <f t="shared" si="51"/>
        <v>-</v>
      </c>
      <c r="J94" s="385" t="str">
        <f t="shared" si="52"/>
        <v>-</v>
      </c>
      <c r="K94" s="199" t="str">
        <f t="shared" si="53"/>
        <v>-</v>
      </c>
      <c r="L94" s="617"/>
      <c r="M94" s="438" t="e">
        <f>RANK(K94, K$87:$K$101)</f>
        <v>#VALUE!</v>
      </c>
      <c r="N94" s="635"/>
      <c r="O94" s="635"/>
      <c r="P94" s="485"/>
      <c r="Q94" s="488"/>
      <c r="R94" s="488"/>
      <c r="S94" s="484"/>
      <c r="T94" s="659"/>
      <c r="U94" s="485"/>
      <c r="V94" s="488"/>
      <c r="W94" s="488"/>
      <c r="X94" s="484"/>
      <c r="Y94" s="659"/>
      <c r="Z94" s="485"/>
      <c r="AA94" s="488"/>
      <c r="AB94" s="488"/>
      <c r="AC94" s="484"/>
      <c r="AD94" s="659"/>
      <c r="AE94" s="485"/>
      <c r="AF94" s="488"/>
      <c r="AG94" s="488"/>
      <c r="AH94" s="484"/>
      <c r="AI94" s="659"/>
      <c r="AJ94" s="485"/>
      <c r="AK94" s="488"/>
      <c r="AL94" s="488"/>
      <c r="AM94" s="484"/>
      <c r="AN94" s="659"/>
      <c r="AO94" s="485"/>
      <c r="AP94" s="488"/>
      <c r="AQ94" s="488"/>
      <c r="AR94" s="484"/>
      <c r="AS94" s="659"/>
      <c r="AT94" s="484"/>
      <c r="AU94" s="487"/>
      <c r="AV94" s="487"/>
      <c r="AW94" s="484"/>
      <c r="AX94" s="659"/>
      <c r="AZ94" s="372" t="e">
        <f t="shared" si="54"/>
        <v>#N/A</v>
      </c>
      <c r="BA94" s="659"/>
    </row>
    <row r="95" spans="2:53">
      <c r="B95" s="646"/>
      <c r="C95" s="384">
        <v>9</v>
      </c>
      <c r="D95" s="225"/>
      <c r="E95" s="539"/>
      <c r="F95" s="535"/>
      <c r="G95" s="534"/>
      <c r="H95" s="671"/>
      <c r="I95" s="385" t="str">
        <f t="shared" si="51"/>
        <v>-</v>
      </c>
      <c r="J95" s="385" t="str">
        <f t="shared" si="52"/>
        <v>-</v>
      </c>
      <c r="K95" s="199" t="str">
        <f t="shared" si="53"/>
        <v>-</v>
      </c>
      <c r="L95" s="617"/>
      <c r="M95" s="438" t="e">
        <f>RANK(K95, K$87:$K$101)</f>
        <v>#VALUE!</v>
      </c>
      <c r="N95" s="635"/>
      <c r="O95" s="635"/>
      <c r="P95" s="485"/>
      <c r="Q95" s="488"/>
      <c r="R95" s="488"/>
      <c r="S95" s="484"/>
      <c r="T95" s="659"/>
      <c r="U95" s="485"/>
      <c r="V95" s="488"/>
      <c r="W95" s="488"/>
      <c r="X95" s="484"/>
      <c r="Y95" s="659"/>
      <c r="Z95" s="485"/>
      <c r="AA95" s="488"/>
      <c r="AB95" s="488"/>
      <c r="AC95" s="484"/>
      <c r="AD95" s="659"/>
      <c r="AE95" s="485"/>
      <c r="AF95" s="488"/>
      <c r="AG95" s="488"/>
      <c r="AH95" s="484"/>
      <c r="AI95" s="659"/>
      <c r="AJ95" s="485"/>
      <c r="AK95" s="488"/>
      <c r="AL95" s="488"/>
      <c r="AM95" s="484"/>
      <c r="AN95" s="659"/>
      <c r="AO95" s="485"/>
      <c r="AP95" s="488"/>
      <c r="AQ95" s="488"/>
      <c r="AR95" s="484"/>
      <c r="AS95" s="659"/>
      <c r="AT95" s="484"/>
      <c r="AU95" s="487"/>
      <c r="AV95" s="487"/>
      <c r="AW95" s="484"/>
      <c r="AX95" s="659"/>
      <c r="AZ95" s="372" t="e">
        <f t="shared" si="54"/>
        <v>#N/A</v>
      </c>
      <c r="BA95" s="659"/>
    </row>
    <row r="96" spans="2:53">
      <c r="B96" s="646"/>
      <c r="C96" s="384">
        <v>10</v>
      </c>
      <c r="D96" s="225"/>
      <c r="E96" s="539"/>
      <c r="F96" s="535"/>
      <c r="G96" s="534"/>
      <c r="H96" s="671"/>
      <c r="I96" s="385" t="str">
        <f t="shared" si="51"/>
        <v>-</v>
      </c>
      <c r="J96" s="385" t="str">
        <f t="shared" si="52"/>
        <v>-</v>
      </c>
      <c r="K96" s="199" t="str">
        <f t="shared" si="53"/>
        <v>-</v>
      </c>
      <c r="L96" s="617"/>
      <c r="M96" s="438" t="e">
        <f>RANK(K96, K$87:$K$101)</f>
        <v>#VALUE!</v>
      </c>
      <c r="N96" s="635"/>
      <c r="O96" s="635"/>
      <c r="P96" s="485"/>
      <c r="Q96" s="488"/>
      <c r="R96" s="488"/>
      <c r="S96" s="484"/>
      <c r="T96" s="659"/>
      <c r="U96" s="485"/>
      <c r="V96" s="488"/>
      <c r="W96" s="488"/>
      <c r="X96" s="484"/>
      <c r="Y96" s="659"/>
      <c r="Z96" s="485"/>
      <c r="AA96" s="488"/>
      <c r="AB96" s="488"/>
      <c r="AC96" s="484"/>
      <c r="AD96" s="659"/>
      <c r="AE96" s="485"/>
      <c r="AF96" s="488"/>
      <c r="AG96" s="488"/>
      <c r="AH96" s="484"/>
      <c r="AI96" s="659"/>
      <c r="AJ96" s="485"/>
      <c r="AK96" s="488"/>
      <c r="AL96" s="488"/>
      <c r="AM96" s="484"/>
      <c r="AN96" s="659"/>
      <c r="AO96" s="485"/>
      <c r="AP96" s="488"/>
      <c r="AQ96" s="488"/>
      <c r="AR96" s="484"/>
      <c r="AS96" s="659"/>
      <c r="AT96" s="484"/>
      <c r="AU96" s="487"/>
      <c r="AV96" s="487"/>
      <c r="AW96" s="484"/>
      <c r="AX96" s="659"/>
      <c r="AZ96" s="372" t="e">
        <f t="shared" si="54"/>
        <v>#N/A</v>
      </c>
      <c r="BA96" s="659"/>
    </row>
    <row r="97" spans="2:53">
      <c r="B97" s="646"/>
      <c r="C97" s="384">
        <v>11</v>
      </c>
      <c r="D97" s="225"/>
      <c r="E97" s="539"/>
      <c r="F97" s="535"/>
      <c r="G97" s="534"/>
      <c r="H97" s="671"/>
      <c r="I97" s="385" t="str">
        <f t="shared" si="51"/>
        <v>-</v>
      </c>
      <c r="J97" s="385" t="str">
        <f t="shared" si="52"/>
        <v>-</v>
      </c>
      <c r="K97" s="199" t="str">
        <f t="shared" si="53"/>
        <v>-</v>
      </c>
      <c r="L97" s="617"/>
      <c r="M97" s="438" t="e">
        <f>RANK(K97, K$87:$K$101)</f>
        <v>#VALUE!</v>
      </c>
      <c r="N97" s="635"/>
      <c r="O97" s="635"/>
      <c r="P97" s="485"/>
      <c r="Q97" s="488"/>
      <c r="R97" s="488"/>
      <c r="S97" s="484"/>
      <c r="T97" s="659"/>
      <c r="U97" s="485"/>
      <c r="V97" s="488"/>
      <c r="W97" s="488"/>
      <c r="X97" s="484"/>
      <c r="Y97" s="659"/>
      <c r="Z97" s="485"/>
      <c r="AA97" s="488"/>
      <c r="AB97" s="488"/>
      <c r="AC97" s="484"/>
      <c r="AD97" s="659"/>
      <c r="AE97" s="485"/>
      <c r="AF97" s="488"/>
      <c r="AG97" s="488"/>
      <c r="AH97" s="484"/>
      <c r="AI97" s="659"/>
      <c r="AJ97" s="485"/>
      <c r="AK97" s="488"/>
      <c r="AL97" s="488"/>
      <c r="AM97" s="484"/>
      <c r="AN97" s="659"/>
      <c r="AO97" s="485"/>
      <c r="AP97" s="488"/>
      <c r="AQ97" s="488"/>
      <c r="AR97" s="484"/>
      <c r="AS97" s="659"/>
      <c r="AT97" s="484"/>
      <c r="AU97" s="487"/>
      <c r="AV97" s="487"/>
      <c r="AW97" s="484"/>
      <c r="AX97" s="659"/>
      <c r="AZ97" s="372" t="e">
        <f t="shared" si="54"/>
        <v>#N/A</v>
      </c>
      <c r="BA97" s="659"/>
    </row>
    <row r="98" spans="2:53">
      <c r="B98" s="646"/>
      <c r="C98" s="384">
        <v>12</v>
      </c>
      <c r="D98" s="225"/>
      <c r="E98" s="539"/>
      <c r="F98" s="535"/>
      <c r="G98" s="534"/>
      <c r="H98" s="671"/>
      <c r="I98" s="385" t="str">
        <f t="shared" si="51"/>
        <v>-</v>
      </c>
      <c r="J98" s="385" t="str">
        <f t="shared" si="52"/>
        <v>-</v>
      </c>
      <c r="K98" s="199" t="str">
        <f t="shared" si="53"/>
        <v>-</v>
      </c>
      <c r="L98" s="617"/>
      <c r="M98" s="438" t="e">
        <f>RANK(K98, K$87:$K$101)</f>
        <v>#VALUE!</v>
      </c>
      <c r="N98" s="635"/>
      <c r="O98" s="635"/>
      <c r="P98" s="485"/>
      <c r="Q98" s="488"/>
      <c r="R98" s="488"/>
      <c r="S98" s="484"/>
      <c r="T98" s="659"/>
      <c r="U98" s="485"/>
      <c r="V98" s="488"/>
      <c r="W98" s="488"/>
      <c r="X98" s="484"/>
      <c r="Y98" s="659"/>
      <c r="Z98" s="485"/>
      <c r="AA98" s="488"/>
      <c r="AB98" s="488"/>
      <c r="AC98" s="484"/>
      <c r="AD98" s="659"/>
      <c r="AE98" s="485"/>
      <c r="AF98" s="488"/>
      <c r="AG98" s="488"/>
      <c r="AH98" s="484"/>
      <c r="AI98" s="659"/>
      <c r="AJ98" s="485"/>
      <c r="AK98" s="488"/>
      <c r="AL98" s="488"/>
      <c r="AM98" s="484"/>
      <c r="AN98" s="659"/>
      <c r="AO98" s="485"/>
      <c r="AP98" s="488"/>
      <c r="AQ98" s="488"/>
      <c r="AR98" s="484"/>
      <c r="AS98" s="659"/>
      <c r="AT98" s="484"/>
      <c r="AU98" s="487"/>
      <c r="AV98" s="487"/>
      <c r="AW98" s="484"/>
      <c r="AX98" s="659"/>
      <c r="AZ98" s="372" t="e">
        <f t="shared" si="54"/>
        <v>#N/A</v>
      </c>
      <c r="BA98" s="659"/>
    </row>
    <row r="99" spans="2:53">
      <c r="B99" s="646"/>
      <c r="C99" s="384">
        <v>13</v>
      </c>
      <c r="D99" s="225"/>
      <c r="E99" s="539"/>
      <c r="F99" s="535"/>
      <c r="G99" s="534"/>
      <c r="H99" s="671"/>
      <c r="I99" s="385" t="str">
        <f t="shared" si="51"/>
        <v>-</v>
      </c>
      <c r="J99" s="385" t="str">
        <f t="shared" si="52"/>
        <v>-</v>
      </c>
      <c r="K99" s="199" t="str">
        <f t="shared" si="53"/>
        <v>-</v>
      </c>
      <c r="L99" s="617"/>
      <c r="M99" s="438" t="e">
        <f>RANK(K99, K$87:$K$101)</f>
        <v>#VALUE!</v>
      </c>
      <c r="N99" s="635"/>
      <c r="O99" s="635"/>
      <c r="P99" s="485"/>
      <c r="Q99" s="488"/>
      <c r="R99" s="488"/>
      <c r="S99" s="484"/>
      <c r="T99" s="659"/>
      <c r="U99" s="485"/>
      <c r="V99" s="488"/>
      <c r="W99" s="488"/>
      <c r="X99" s="484"/>
      <c r="Y99" s="659"/>
      <c r="Z99" s="485"/>
      <c r="AA99" s="488"/>
      <c r="AB99" s="488"/>
      <c r="AC99" s="484"/>
      <c r="AD99" s="659"/>
      <c r="AE99" s="485"/>
      <c r="AF99" s="488"/>
      <c r="AG99" s="488"/>
      <c r="AH99" s="484"/>
      <c r="AI99" s="659"/>
      <c r="AJ99" s="485"/>
      <c r="AK99" s="488"/>
      <c r="AL99" s="488"/>
      <c r="AM99" s="484"/>
      <c r="AN99" s="659"/>
      <c r="AO99" s="485"/>
      <c r="AP99" s="488"/>
      <c r="AQ99" s="488"/>
      <c r="AR99" s="484"/>
      <c r="AS99" s="659"/>
      <c r="AT99" s="484"/>
      <c r="AU99" s="487"/>
      <c r="AV99" s="487"/>
      <c r="AW99" s="484"/>
      <c r="AX99" s="659"/>
      <c r="AZ99" s="372" t="e">
        <f t="shared" si="54"/>
        <v>#N/A</v>
      </c>
      <c r="BA99" s="659"/>
    </row>
    <row r="100" spans="2:53">
      <c r="B100" s="646"/>
      <c r="C100" s="384">
        <v>14</v>
      </c>
      <c r="D100" s="225"/>
      <c r="E100" s="539"/>
      <c r="F100" s="535"/>
      <c r="G100" s="534"/>
      <c r="H100" s="671"/>
      <c r="I100" s="385" t="str">
        <f t="shared" si="51"/>
        <v>-</v>
      </c>
      <c r="J100" s="385" t="str">
        <f t="shared" si="52"/>
        <v>-</v>
      </c>
      <c r="K100" s="199" t="str">
        <f t="shared" si="53"/>
        <v>-</v>
      </c>
      <c r="L100" s="617"/>
      <c r="M100" s="438" t="e">
        <f>RANK(K100, K$87:$K$101)</f>
        <v>#VALUE!</v>
      </c>
      <c r="N100" s="635"/>
      <c r="O100" s="635"/>
      <c r="P100" s="485"/>
      <c r="Q100" s="488"/>
      <c r="R100" s="488"/>
      <c r="S100" s="484"/>
      <c r="T100" s="659"/>
      <c r="U100" s="485"/>
      <c r="V100" s="488"/>
      <c r="W100" s="488"/>
      <c r="X100" s="484"/>
      <c r="Y100" s="659"/>
      <c r="Z100" s="485"/>
      <c r="AA100" s="488"/>
      <c r="AB100" s="488"/>
      <c r="AC100" s="484"/>
      <c r="AD100" s="659"/>
      <c r="AE100" s="485"/>
      <c r="AF100" s="488"/>
      <c r="AG100" s="488"/>
      <c r="AH100" s="484"/>
      <c r="AI100" s="659"/>
      <c r="AJ100" s="485"/>
      <c r="AK100" s="488"/>
      <c r="AL100" s="488"/>
      <c r="AM100" s="484"/>
      <c r="AN100" s="659"/>
      <c r="AO100" s="485"/>
      <c r="AP100" s="488"/>
      <c r="AQ100" s="488"/>
      <c r="AR100" s="484"/>
      <c r="AS100" s="659"/>
      <c r="AT100" s="484"/>
      <c r="AU100" s="487"/>
      <c r="AV100" s="487"/>
      <c r="AW100" s="484"/>
      <c r="AX100" s="659"/>
      <c r="AZ100" s="372" t="e">
        <f t="shared" si="54"/>
        <v>#N/A</v>
      </c>
      <c r="BA100" s="659"/>
    </row>
    <row r="101" spans="2:53">
      <c r="B101" s="646"/>
      <c r="C101" s="384">
        <v>15</v>
      </c>
      <c r="D101" s="225"/>
      <c r="E101" s="539"/>
      <c r="F101" s="535"/>
      <c r="G101" s="534"/>
      <c r="H101" s="680"/>
      <c r="I101" s="384"/>
      <c r="J101" s="384"/>
      <c r="K101" s="384"/>
      <c r="L101" s="618"/>
      <c r="M101" s="438" t="e">
        <f>RANK(K101, K$87:$K$101)</f>
        <v>#N/A</v>
      </c>
      <c r="N101" s="635"/>
      <c r="O101" s="635"/>
      <c r="P101" s="485"/>
      <c r="Q101" s="488"/>
      <c r="R101" s="488"/>
      <c r="S101" s="484"/>
      <c r="T101" s="659"/>
      <c r="U101" s="485"/>
      <c r="V101" s="488"/>
      <c r="W101" s="488"/>
      <c r="X101" s="484"/>
      <c r="Y101" s="659"/>
      <c r="Z101" s="485"/>
      <c r="AA101" s="488"/>
      <c r="AB101" s="488"/>
      <c r="AC101" s="484"/>
      <c r="AD101" s="659"/>
      <c r="AE101" s="485"/>
      <c r="AF101" s="488"/>
      <c r="AG101" s="488"/>
      <c r="AH101" s="484"/>
      <c r="AI101" s="659"/>
      <c r="AJ101" s="485"/>
      <c r="AK101" s="488"/>
      <c r="AL101" s="488"/>
      <c r="AM101" s="484"/>
      <c r="AN101" s="659"/>
      <c r="AO101" s="485"/>
      <c r="AP101" s="488"/>
      <c r="AQ101" s="488"/>
      <c r="AR101" s="484"/>
      <c r="AS101" s="659"/>
      <c r="AT101" s="484"/>
      <c r="AU101" s="487"/>
      <c r="AV101" s="487"/>
      <c r="AW101" s="484"/>
      <c r="AX101" s="659"/>
      <c r="AZ101" s="372" t="e">
        <f t="shared" si="54"/>
        <v>#N/A</v>
      </c>
      <c r="BA101" s="659"/>
    </row>
    <row r="102" spans="2:53" ht="15.75">
      <c r="B102" s="650" t="s">
        <v>162</v>
      </c>
      <c r="C102" s="651"/>
      <c r="D102" s="651"/>
      <c r="E102" s="651"/>
      <c r="F102" s="651"/>
      <c r="G102" s="651"/>
      <c r="H102" s="652"/>
      <c r="I102" s="207"/>
      <c r="J102" s="207"/>
      <c r="K102" s="207"/>
      <c r="L102" s="207"/>
      <c r="M102" s="206"/>
      <c r="N102" s="639" t="s">
        <v>156</v>
      </c>
      <c r="O102" s="639" t="s">
        <v>105</v>
      </c>
      <c r="P102" s="645">
        <f>P82+7</f>
        <v>46238</v>
      </c>
      <c r="Q102" s="646"/>
      <c r="R102" s="646"/>
      <c r="S102" s="646"/>
      <c r="T102" s="646"/>
      <c r="U102" s="642">
        <f>P102+1</f>
        <v>46239</v>
      </c>
      <c r="V102" s="643"/>
      <c r="W102" s="643"/>
      <c r="X102" s="643"/>
      <c r="Y102" s="644"/>
      <c r="Z102" s="642">
        <f>U102+1</f>
        <v>46240</v>
      </c>
      <c r="AA102" s="643"/>
      <c r="AB102" s="643"/>
      <c r="AC102" s="643"/>
      <c r="AD102" s="644"/>
      <c r="AE102" s="642">
        <f>Z102+1</f>
        <v>46241</v>
      </c>
      <c r="AF102" s="643"/>
      <c r="AG102" s="643"/>
      <c r="AH102" s="643"/>
      <c r="AI102" s="644"/>
      <c r="AJ102" s="642">
        <f>AE102+1</f>
        <v>46242</v>
      </c>
      <c r="AK102" s="643"/>
      <c r="AL102" s="643"/>
      <c r="AM102" s="643"/>
      <c r="AN102" s="644"/>
      <c r="AO102" s="642">
        <f>AJ102+1</f>
        <v>46243</v>
      </c>
      <c r="AP102" s="643"/>
      <c r="AQ102" s="643"/>
      <c r="AR102" s="643"/>
      <c r="AS102" s="644"/>
      <c r="AT102" s="642">
        <f>AO102+1</f>
        <v>46244</v>
      </c>
      <c r="AU102" s="643"/>
      <c r="AV102" s="643"/>
      <c r="AW102" s="643"/>
      <c r="AX102" s="644"/>
    </row>
    <row r="103" spans="2:53" ht="15.75">
      <c r="B103" s="653"/>
      <c r="C103" s="653"/>
      <c r="D103" s="653"/>
      <c r="E103" s="653"/>
      <c r="F103" s="653"/>
      <c r="G103" s="653"/>
      <c r="H103" s="653"/>
      <c r="I103" s="204"/>
      <c r="J103" s="204"/>
      <c r="K103" s="204"/>
      <c r="L103" s="204"/>
      <c r="M103" s="205"/>
      <c r="N103" s="641"/>
      <c r="O103" s="641"/>
      <c r="P103" s="645" t="s">
        <v>158</v>
      </c>
      <c r="Q103" s="646"/>
      <c r="R103" s="646"/>
      <c r="S103" s="646"/>
      <c r="T103" s="646"/>
      <c r="U103" s="645" t="s">
        <v>114</v>
      </c>
      <c r="V103" s="646"/>
      <c r="W103" s="646"/>
      <c r="X103" s="646"/>
      <c r="Y103" s="646"/>
      <c r="Z103" s="645" t="s">
        <v>159</v>
      </c>
      <c r="AA103" s="646"/>
      <c r="AB103" s="646"/>
      <c r="AC103" s="646"/>
      <c r="AD103" s="646"/>
      <c r="AE103" s="645" t="s">
        <v>157</v>
      </c>
      <c r="AF103" s="646"/>
      <c r="AG103" s="646"/>
      <c r="AH103" s="646"/>
      <c r="AI103" s="646"/>
      <c r="AJ103" s="645" t="s">
        <v>160</v>
      </c>
      <c r="AK103" s="646"/>
      <c r="AL103" s="646"/>
      <c r="AM103" s="646"/>
      <c r="AN103" s="646"/>
      <c r="AO103" s="645" t="s">
        <v>115</v>
      </c>
      <c r="AP103" s="646"/>
      <c r="AQ103" s="646"/>
      <c r="AR103" s="646"/>
      <c r="AS103" s="646"/>
      <c r="AT103" s="645" t="s">
        <v>161</v>
      </c>
      <c r="AU103" s="646"/>
      <c r="AV103" s="646"/>
      <c r="AW103" s="646"/>
      <c r="AX103" s="646"/>
    </row>
    <row r="104" spans="2:53">
      <c r="B104" s="635" t="s">
        <v>535</v>
      </c>
      <c r="C104" s="635" t="s">
        <v>536</v>
      </c>
      <c r="D104" s="635"/>
      <c r="E104" s="635" t="s">
        <v>537</v>
      </c>
      <c r="F104" s="635"/>
      <c r="G104" s="635"/>
      <c r="H104" s="636" t="s">
        <v>538</v>
      </c>
      <c r="I104" s="635" t="s">
        <v>539</v>
      </c>
      <c r="J104" s="635"/>
      <c r="K104" s="635"/>
      <c r="L104" s="636" t="s">
        <v>369</v>
      </c>
      <c r="M104" s="639" t="s">
        <v>540</v>
      </c>
      <c r="N104" s="635"/>
      <c r="O104" s="635" t="s">
        <v>526</v>
      </c>
      <c r="P104" s="632" t="s">
        <v>527</v>
      </c>
      <c r="Q104" s="633"/>
      <c r="R104" s="633"/>
      <c r="S104" s="634"/>
      <c r="T104" s="635" t="s">
        <v>523</v>
      </c>
      <c r="U104" s="632" t="s">
        <v>527</v>
      </c>
      <c r="V104" s="633"/>
      <c r="W104" s="633"/>
      <c r="X104" s="634"/>
      <c r="Y104" s="635" t="s">
        <v>523</v>
      </c>
      <c r="Z104" s="632" t="s">
        <v>527</v>
      </c>
      <c r="AA104" s="633"/>
      <c r="AB104" s="633"/>
      <c r="AC104" s="634"/>
      <c r="AD104" s="635" t="s">
        <v>523</v>
      </c>
      <c r="AE104" s="632" t="s">
        <v>527</v>
      </c>
      <c r="AF104" s="633"/>
      <c r="AG104" s="633"/>
      <c r="AH104" s="634"/>
      <c r="AI104" s="635" t="s">
        <v>523</v>
      </c>
      <c r="AJ104" s="632" t="s">
        <v>527</v>
      </c>
      <c r="AK104" s="633"/>
      <c r="AL104" s="633"/>
      <c r="AM104" s="634"/>
      <c r="AN104" s="635" t="s">
        <v>523</v>
      </c>
      <c r="AO104" s="632" t="s">
        <v>527</v>
      </c>
      <c r="AP104" s="633"/>
      <c r="AQ104" s="633"/>
      <c r="AR104" s="634"/>
      <c r="AS104" s="635" t="s">
        <v>523</v>
      </c>
      <c r="AT104" s="632" t="s">
        <v>527</v>
      </c>
      <c r="AU104" s="633"/>
      <c r="AV104" s="633"/>
      <c r="AW104" s="634"/>
      <c r="AX104" s="635" t="s">
        <v>523</v>
      </c>
      <c r="BA104" s="635" t="s">
        <v>369</v>
      </c>
    </row>
    <row r="105" spans="2:53">
      <c r="B105" s="635"/>
      <c r="C105" s="635"/>
      <c r="D105" s="635"/>
      <c r="E105" s="635" t="s">
        <v>542</v>
      </c>
      <c r="F105" s="635"/>
      <c r="G105" s="635"/>
      <c r="H105" s="637"/>
      <c r="I105" s="635" t="s">
        <v>542</v>
      </c>
      <c r="J105" s="635"/>
      <c r="K105" s="635"/>
      <c r="L105" s="637"/>
      <c r="M105" s="640"/>
      <c r="N105" s="635"/>
      <c r="O105" s="635"/>
      <c r="P105" s="632" t="s">
        <v>529</v>
      </c>
      <c r="Q105" s="633"/>
      <c r="R105" s="633"/>
      <c r="S105" s="634"/>
      <c r="T105" s="635"/>
      <c r="U105" s="632" t="s">
        <v>529</v>
      </c>
      <c r="V105" s="633"/>
      <c r="W105" s="633"/>
      <c r="X105" s="634"/>
      <c r="Y105" s="635"/>
      <c r="Z105" s="632" t="s">
        <v>529</v>
      </c>
      <c r="AA105" s="633"/>
      <c r="AB105" s="633"/>
      <c r="AC105" s="634"/>
      <c r="AD105" s="635"/>
      <c r="AE105" s="632" t="s">
        <v>529</v>
      </c>
      <c r="AF105" s="633"/>
      <c r="AG105" s="633"/>
      <c r="AH105" s="634"/>
      <c r="AI105" s="635"/>
      <c r="AJ105" s="632" t="s">
        <v>529</v>
      </c>
      <c r="AK105" s="633"/>
      <c r="AL105" s="633"/>
      <c r="AM105" s="634"/>
      <c r="AN105" s="635"/>
      <c r="AO105" s="632" t="s">
        <v>529</v>
      </c>
      <c r="AP105" s="633"/>
      <c r="AQ105" s="633"/>
      <c r="AR105" s="634"/>
      <c r="AS105" s="635"/>
      <c r="AT105" s="632" t="s">
        <v>529</v>
      </c>
      <c r="AU105" s="633"/>
      <c r="AV105" s="633"/>
      <c r="AW105" s="634"/>
      <c r="AX105" s="635"/>
      <c r="BA105" s="635"/>
    </row>
    <row r="106" spans="2:53">
      <c r="B106" s="635"/>
      <c r="C106" s="635"/>
      <c r="D106" s="635"/>
      <c r="E106" s="349" t="s">
        <v>543</v>
      </c>
      <c r="F106" s="349" t="s">
        <v>544</v>
      </c>
      <c r="G106" s="349" t="s">
        <v>545</v>
      </c>
      <c r="H106" s="638"/>
      <c r="I106" s="349" t="s">
        <v>543</v>
      </c>
      <c r="J106" s="349" t="s">
        <v>544</v>
      </c>
      <c r="K106" s="349" t="s">
        <v>545</v>
      </c>
      <c r="L106" s="638"/>
      <c r="M106" s="641"/>
      <c r="N106" s="635"/>
      <c r="O106" s="635"/>
      <c r="P106" s="349" t="s">
        <v>530</v>
      </c>
      <c r="Q106" s="349" t="s">
        <v>531</v>
      </c>
      <c r="R106" s="349" t="s">
        <v>532</v>
      </c>
      <c r="S106" s="349" t="s">
        <v>525</v>
      </c>
      <c r="T106" s="635"/>
      <c r="U106" s="349" t="s">
        <v>530</v>
      </c>
      <c r="V106" s="349" t="s">
        <v>531</v>
      </c>
      <c r="W106" s="349" t="s">
        <v>532</v>
      </c>
      <c r="X106" s="349" t="s">
        <v>525</v>
      </c>
      <c r="Y106" s="635"/>
      <c r="Z106" s="349" t="s">
        <v>530</v>
      </c>
      <c r="AA106" s="349" t="s">
        <v>531</v>
      </c>
      <c r="AB106" s="349" t="s">
        <v>532</v>
      </c>
      <c r="AC106" s="349" t="s">
        <v>525</v>
      </c>
      <c r="AD106" s="635"/>
      <c r="AE106" s="349" t="s">
        <v>530</v>
      </c>
      <c r="AF106" s="349" t="s">
        <v>531</v>
      </c>
      <c r="AG106" s="349" t="s">
        <v>532</v>
      </c>
      <c r="AH106" s="349" t="s">
        <v>525</v>
      </c>
      <c r="AI106" s="635"/>
      <c r="AJ106" s="349" t="s">
        <v>530</v>
      </c>
      <c r="AK106" s="349" t="s">
        <v>531</v>
      </c>
      <c r="AL106" s="349" t="s">
        <v>532</v>
      </c>
      <c r="AM106" s="349" t="s">
        <v>525</v>
      </c>
      <c r="AN106" s="635"/>
      <c r="AO106" s="349" t="s">
        <v>530</v>
      </c>
      <c r="AP106" s="349" t="s">
        <v>531</v>
      </c>
      <c r="AQ106" s="349" t="s">
        <v>532</v>
      </c>
      <c r="AR106" s="349" t="s">
        <v>525</v>
      </c>
      <c r="AS106" s="635"/>
      <c r="AT106" s="349" t="s">
        <v>530</v>
      </c>
      <c r="AU106" s="349" t="s">
        <v>531</v>
      </c>
      <c r="AV106" s="349" t="s">
        <v>532</v>
      </c>
      <c r="AW106" s="349" t="s">
        <v>525</v>
      </c>
      <c r="AX106" s="635"/>
      <c r="AZ106" s="371" t="s">
        <v>525</v>
      </c>
      <c r="BA106" s="635"/>
    </row>
    <row r="107" spans="2:53">
      <c r="B107" s="635" t="s">
        <v>136</v>
      </c>
      <c r="C107" s="352">
        <v>1</v>
      </c>
      <c r="D107" s="225"/>
      <c r="E107" s="181"/>
      <c r="F107" s="357"/>
      <c r="G107" s="358"/>
      <c r="H107" s="670" t="e">
        <f>AVERAGE(G107:G121)</f>
        <v>#DIV/0!</v>
      </c>
      <c r="I107" s="367" t="str">
        <f t="shared" ref="I107:I120" si="56">IFERROR(AVERAGE(P107,U107,Z107,AE107,AJ107,AO107,AT107),"-")</f>
        <v>-</v>
      </c>
      <c r="J107" s="367" t="str">
        <f t="shared" ref="J107:J120" si="57">IFERROR(AVERAGE(Q107,V107,AA107,AF107,AK107,AP107,AU107),"-")</f>
        <v>-</v>
      </c>
      <c r="K107" s="199" t="str">
        <f t="shared" ref="K107:K120" si="58">IFERROR(AVERAGE(R107,W107,AB107,AG107,AL107,AQ107,AV107),"-")</f>
        <v>-</v>
      </c>
      <c r="L107" s="616" t="str">
        <f>IFERROR(AVERAGE(K107:K121),"-")</f>
        <v>-</v>
      </c>
      <c r="M107" s="353" t="e">
        <f>RANK(K107, K$67:$K$81)</f>
        <v>#VALUE!</v>
      </c>
      <c r="N107" s="635"/>
      <c r="O107" s="635"/>
      <c r="P107" s="528"/>
      <c r="Q107" s="530"/>
      <c r="R107" s="530"/>
      <c r="S107" s="528"/>
      <c r="T107" s="659"/>
      <c r="U107" s="528"/>
      <c r="V107" s="530"/>
      <c r="W107" s="530"/>
      <c r="X107" s="528"/>
      <c r="Y107" s="659"/>
      <c r="Z107" s="528"/>
      <c r="AA107" s="530"/>
      <c r="AB107" s="530"/>
      <c r="AC107" s="528"/>
      <c r="AD107" s="659"/>
      <c r="AE107" s="528"/>
      <c r="AF107" s="530"/>
      <c r="AG107" s="530"/>
      <c r="AH107" s="528"/>
      <c r="AI107" s="659"/>
      <c r="AJ107" s="528"/>
      <c r="AK107" s="530"/>
      <c r="AL107" s="530"/>
      <c r="AM107" s="528"/>
      <c r="AN107" s="659"/>
      <c r="AO107" s="528"/>
      <c r="AP107" s="530"/>
      <c r="AQ107" s="530"/>
      <c r="AR107" s="528"/>
      <c r="AS107" s="659"/>
      <c r="AT107" s="528"/>
      <c r="AU107" s="530"/>
      <c r="AV107" s="530"/>
      <c r="AW107" s="528"/>
      <c r="AX107" s="659"/>
      <c r="AZ107" s="373" t="e">
        <f>RANK(AY107, AY$67:AY$81)</f>
        <v>#N/A</v>
      </c>
      <c r="BA107" s="694" t="e">
        <f>AVERAGE(AY107:AY121)</f>
        <v>#DIV/0!</v>
      </c>
    </row>
    <row r="108" spans="2:53">
      <c r="B108" s="669"/>
      <c r="C108" s="352">
        <v>2</v>
      </c>
      <c r="D108" s="225"/>
      <c r="E108" s="181"/>
      <c r="F108" s="357"/>
      <c r="G108" s="358"/>
      <c r="H108" s="671"/>
      <c r="I108" s="367" t="str">
        <f t="shared" si="56"/>
        <v>-</v>
      </c>
      <c r="J108" s="367" t="str">
        <f t="shared" si="57"/>
        <v>-</v>
      </c>
      <c r="K108" s="199" t="str">
        <f t="shared" si="58"/>
        <v>-</v>
      </c>
      <c r="L108" s="617"/>
      <c r="M108" s="353" t="e">
        <f>RANK(K108, K$67:$K$81)</f>
        <v>#VALUE!</v>
      </c>
      <c r="N108" s="635"/>
      <c r="O108" s="635"/>
      <c r="P108" s="528"/>
      <c r="Q108" s="530"/>
      <c r="R108" s="530"/>
      <c r="S108" s="528"/>
      <c r="T108" s="659"/>
      <c r="U108" s="528"/>
      <c r="V108" s="530"/>
      <c r="W108" s="530"/>
      <c r="X108" s="528"/>
      <c r="Y108" s="659"/>
      <c r="Z108" s="528"/>
      <c r="AA108" s="530"/>
      <c r="AB108" s="530"/>
      <c r="AC108" s="528"/>
      <c r="AD108" s="659"/>
      <c r="AE108" s="528"/>
      <c r="AF108" s="530"/>
      <c r="AG108" s="530"/>
      <c r="AH108" s="528"/>
      <c r="AI108" s="659"/>
      <c r="AJ108" s="528"/>
      <c r="AK108" s="530"/>
      <c r="AL108" s="530"/>
      <c r="AM108" s="528"/>
      <c r="AN108" s="659"/>
      <c r="AO108" s="528"/>
      <c r="AP108" s="530"/>
      <c r="AQ108" s="530"/>
      <c r="AR108" s="528"/>
      <c r="AS108" s="659"/>
      <c r="AT108" s="528"/>
      <c r="AU108" s="530"/>
      <c r="AV108" s="530"/>
      <c r="AW108" s="528"/>
      <c r="AX108" s="659"/>
      <c r="AZ108" s="373" t="e">
        <f t="shared" ref="AZ108:AZ121" si="59">RANK(AY108, AY$67:AY$81)</f>
        <v>#N/A</v>
      </c>
      <c r="BA108" s="694"/>
    </row>
    <row r="109" spans="2:53">
      <c r="B109" s="669"/>
      <c r="C109" s="352">
        <v>3</v>
      </c>
      <c r="D109" s="225"/>
      <c r="E109" s="181"/>
      <c r="F109" s="357"/>
      <c r="G109" s="358"/>
      <c r="H109" s="671"/>
      <c r="I109" s="367" t="str">
        <f t="shared" si="56"/>
        <v>-</v>
      </c>
      <c r="J109" s="367" t="str">
        <f t="shared" si="57"/>
        <v>-</v>
      </c>
      <c r="K109" s="199" t="str">
        <f t="shared" si="58"/>
        <v>-</v>
      </c>
      <c r="L109" s="617"/>
      <c r="M109" s="353" t="e">
        <f>RANK(K109, K$67:$K$81)</f>
        <v>#VALUE!</v>
      </c>
      <c r="N109" s="635"/>
      <c r="O109" s="635"/>
      <c r="P109" s="528"/>
      <c r="Q109" s="530"/>
      <c r="R109" s="530"/>
      <c r="S109" s="528"/>
      <c r="T109" s="659"/>
      <c r="U109" s="528"/>
      <c r="V109" s="530"/>
      <c r="W109" s="530"/>
      <c r="X109" s="528"/>
      <c r="Y109" s="659"/>
      <c r="Z109" s="528"/>
      <c r="AA109" s="530"/>
      <c r="AB109" s="530"/>
      <c r="AC109" s="528"/>
      <c r="AD109" s="659"/>
      <c r="AE109" s="528"/>
      <c r="AF109" s="530"/>
      <c r="AG109" s="530"/>
      <c r="AH109" s="528"/>
      <c r="AI109" s="659"/>
      <c r="AJ109" s="528"/>
      <c r="AK109" s="530"/>
      <c r="AL109" s="530"/>
      <c r="AM109" s="528"/>
      <c r="AN109" s="659"/>
      <c r="AO109" s="528"/>
      <c r="AP109" s="530"/>
      <c r="AQ109" s="530"/>
      <c r="AR109" s="528"/>
      <c r="AS109" s="659"/>
      <c r="AT109" s="528"/>
      <c r="AU109" s="530"/>
      <c r="AV109" s="530"/>
      <c r="AW109" s="528"/>
      <c r="AX109" s="659"/>
      <c r="AZ109" s="373" t="e">
        <f t="shared" si="59"/>
        <v>#N/A</v>
      </c>
      <c r="BA109" s="694"/>
    </row>
    <row r="110" spans="2:53">
      <c r="B110" s="669"/>
      <c r="C110" s="352">
        <v>4</v>
      </c>
      <c r="D110" s="225"/>
      <c r="E110" s="181"/>
      <c r="F110" s="357"/>
      <c r="G110" s="358"/>
      <c r="H110" s="671"/>
      <c r="I110" s="367" t="str">
        <f t="shared" si="56"/>
        <v>-</v>
      </c>
      <c r="J110" s="367" t="str">
        <f t="shared" si="57"/>
        <v>-</v>
      </c>
      <c r="K110" s="199" t="str">
        <f t="shared" si="58"/>
        <v>-</v>
      </c>
      <c r="L110" s="617"/>
      <c r="M110" s="353" t="e">
        <f>RANK(K110, K$67:$K$81)</f>
        <v>#VALUE!</v>
      </c>
      <c r="N110" s="635"/>
      <c r="O110" s="635"/>
      <c r="P110" s="528"/>
      <c r="Q110" s="530"/>
      <c r="R110" s="530"/>
      <c r="S110" s="528"/>
      <c r="T110" s="659"/>
      <c r="U110" s="528"/>
      <c r="V110" s="530"/>
      <c r="W110" s="530"/>
      <c r="X110" s="528"/>
      <c r="Y110" s="659"/>
      <c r="Z110" s="528"/>
      <c r="AA110" s="530"/>
      <c r="AB110" s="530"/>
      <c r="AC110" s="528"/>
      <c r="AD110" s="659"/>
      <c r="AE110" s="528"/>
      <c r="AF110" s="530"/>
      <c r="AG110" s="530"/>
      <c r="AH110" s="528"/>
      <c r="AI110" s="659"/>
      <c r="AJ110" s="528"/>
      <c r="AK110" s="530"/>
      <c r="AL110" s="530"/>
      <c r="AM110" s="528"/>
      <c r="AN110" s="659"/>
      <c r="AO110" s="528"/>
      <c r="AP110" s="530"/>
      <c r="AQ110" s="530"/>
      <c r="AR110" s="528"/>
      <c r="AS110" s="659"/>
      <c r="AT110" s="528"/>
      <c r="AU110" s="530"/>
      <c r="AV110" s="530"/>
      <c r="AW110" s="528"/>
      <c r="AX110" s="659"/>
      <c r="AZ110" s="373" t="e">
        <f t="shared" si="59"/>
        <v>#N/A</v>
      </c>
      <c r="BA110" s="694"/>
    </row>
    <row r="111" spans="2:53">
      <c r="B111" s="669"/>
      <c r="C111" s="352">
        <v>5</v>
      </c>
      <c r="D111" s="225"/>
      <c r="E111" s="181"/>
      <c r="F111" s="357"/>
      <c r="G111" s="358"/>
      <c r="H111" s="671"/>
      <c r="I111" s="367" t="str">
        <f t="shared" si="56"/>
        <v>-</v>
      </c>
      <c r="J111" s="367" t="str">
        <f t="shared" si="57"/>
        <v>-</v>
      </c>
      <c r="K111" s="199" t="str">
        <f t="shared" si="58"/>
        <v>-</v>
      </c>
      <c r="L111" s="617"/>
      <c r="M111" s="353" t="e">
        <f>RANK(K111, K$67:$K$81)</f>
        <v>#VALUE!</v>
      </c>
      <c r="N111" s="635"/>
      <c r="O111" s="635"/>
      <c r="P111" s="528"/>
      <c r="Q111" s="530"/>
      <c r="R111" s="530"/>
      <c r="S111" s="528"/>
      <c r="T111" s="659"/>
      <c r="U111" s="528"/>
      <c r="V111" s="530"/>
      <c r="W111" s="530"/>
      <c r="X111" s="528"/>
      <c r="Y111" s="659"/>
      <c r="Z111" s="528"/>
      <c r="AA111" s="530"/>
      <c r="AB111" s="530"/>
      <c r="AC111" s="528"/>
      <c r="AD111" s="659"/>
      <c r="AE111" s="528"/>
      <c r="AF111" s="530"/>
      <c r="AG111" s="530"/>
      <c r="AH111" s="528"/>
      <c r="AI111" s="659"/>
      <c r="AJ111" s="528"/>
      <c r="AK111" s="530"/>
      <c r="AL111" s="530"/>
      <c r="AM111" s="528"/>
      <c r="AN111" s="659"/>
      <c r="AO111" s="528"/>
      <c r="AP111" s="530"/>
      <c r="AQ111" s="530"/>
      <c r="AR111" s="528"/>
      <c r="AS111" s="659"/>
      <c r="AT111" s="528"/>
      <c r="AU111" s="530"/>
      <c r="AV111" s="530"/>
      <c r="AW111" s="528"/>
      <c r="AX111" s="659"/>
      <c r="AZ111" s="373" t="e">
        <f t="shared" si="59"/>
        <v>#N/A</v>
      </c>
      <c r="BA111" s="694"/>
    </row>
    <row r="112" spans="2:53">
      <c r="B112" s="669"/>
      <c r="C112" s="352">
        <v>6</v>
      </c>
      <c r="D112" s="225"/>
      <c r="E112" s="181"/>
      <c r="F112" s="357"/>
      <c r="G112" s="358"/>
      <c r="H112" s="671"/>
      <c r="I112" s="367" t="str">
        <f t="shared" si="56"/>
        <v>-</v>
      </c>
      <c r="J112" s="367" t="str">
        <f t="shared" si="57"/>
        <v>-</v>
      </c>
      <c r="K112" s="199" t="str">
        <f t="shared" si="58"/>
        <v>-</v>
      </c>
      <c r="L112" s="617"/>
      <c r="M112" s="353" t="e">
        <f>RANK(K112, K$67:$K$81)</f>
        <v>#VALUE!</v>
      </c>
      <c r="N112" s="635"/>
      <c r="O112" s="635"/>
      <c r="P112" s="528"/>
      <c r="Q112" s="530"/>
      <c r="R112" s="530"/>
      <c r="S112" s="528"/>
      <c r="T112" s="659"/>
      <c r="U112" s="528"/>
      <c r="V112" s="530"/>
      <c r="W112" s="530"/>
      <c r="X112" s="528"/>
      <c r="Y112" s="659"/>
      <c r="Z112" s="528"/>
      <c r="AA112" s="530"/>
      <c r="AB112" s="530"/>
      <c r="AC112" s="528"/>
      <c r="AD112" s="659"/>
      <c r="AE112" s="528"/>
      <c r="AF112" s="530"/>
      <c r="AG112" s="530"/>
      <c r="AH112" s="528"/>
      <c r="AI112" s="659"/>
      <c r="AJ112" s="528"/>
      <c r="AK112" s="530"/>
      <c r="AL112" s="530"/>
      <c r="AM112" s="528"/>
      <c r="AN112" s="659"/>
      <c r="AO112" s="528"/>
      <c r="AP112" s="530"/>
      <c r="AQ112" s="530"/>
      <c r="AR112" s="528"/>
      <c r="AS112" s="659"/>
      <c r="AT112" s="528"/>
      <c r="AU112" s="530"/>
      <c r="AV112" s="530"/>
      <c r="AW112" s="528"/>
      <c r="AX112" s="659"/>
      <c r="AZ112" s="373" t="e">
        <f t="shared" si="59"/>
        <v>#N/A</v>
      </c>
      <c r="BA112" s="694"/>
    </row>
    <row r="113" spans="2:53">
      <c r="B113" s="669"/>
      <c r="C113" s="352">
        <v>7</v>
      </c>
      <c r="D113" s="225"/>
      <c r="E113" s="181"/>
      <c r="F113" s="357"/>
      <c r="G113" s="358"/>
      <c r="H113" s="671"/>
      <c r="I113" s="367" t="str">
        <f t="shared" si="56"/>
        <v>-</v>
      </c>
      <c r="J113" s="367" t="str">
        <f t="shared" si="57"/>
        <v>-</v>
      </c>
      <c r="K113" s="199" t="str">
        <f t="shared" si="58"/>
        <v>-</v>
      </c>
      <c r="L113" s="617"/>
      <c r="M113" s="353" t="e">
        <f>RANK(K113, K$67:$K$81)</f>
        <v>#VALUE!</v>
      </c>
      <c r="N113" s="635"/>
      <c r="O113" s="635"/>
      <c r="P113" s="528"/>
      <c r="Q113" s="530"/>
      <c r="R113" s="530"/>
      <c r="S113" s="528"/>
      <c r="T113" s="659"/>
      <c r="U113" s="528"/>
      <c r="V113" s="530"/>
      <c r="W113" s="530"/>
      <c r="X113" s="528"/>
      <c r="Y113" s="659"/>
      <c r="Z113" s="528"/>
      <c r="AA113" s="530"/>
      <c r="AB113" s="530"/>
      <c r="AC113" s="528"/>
      <c r="AD113" s="659"/>
      <c r="AE113" s="528"/>
      <c r="AF113" s="530"/>
      <c r="AG113" s="530"/>
      <c r="AH113" s="528"/>
      <c r="AI113" s="659"/>
      <c r="AJ113" s="528"/>
      <c r="AK113" s="530"/>
      <c r="AL113" s="530"/>
      <c r="AM113" s="528"/>
      <c r="AN113" s="659"/>
      <c r="AO113" s="528"/>
      <c r="AP113" s="530"/>
      <c r="AQ113" s="530"/>
      <c r="AR113" s="528"/>
      <c r="AS113" s="659"/>
      <c r="AT113" s="528"/>
      <c r="AU113" s="530"/>
      <c r="AV113" s="530"/>
      <c r="AW113" s="528"/>
      <c r="AX113" s="659"/>
      <c r="AZ113" s="373" t="e">
        <f t="shared" si="59"/>
        <v>#N/A</v>
      </c>
      <c r="BA113" s="694"/>
    </row>
    <row r="114" spans="2:53">
      <c r="B114" s="669"/>
      <c r="C114" s="352">
        <v>8</v>
      </c>
      <c r="D114" s="225"/>
      <c r="E114" s="181"/>
      <c r="F114" s="357"/>
      <c r="G114" s="358"/>
      <c r="H114" s="671"/>
      <c r="I114" s="367" t="str">
        <f t="shared" si="56"/>
        <v>-</v>
      </c>
      <c r="J114" s="367" t="str">
        <f t="shared" si="57"/>
        <v>-</v>
      </c>
      <c r="K114" s="199" t="str">
        <f t="shared" si="58"/>
        <v>-</v>
      </c>
      <c r="L114" s="617"/>
      <c r="M114" s="353" t="e">
        <f>RANK(K114, K$67:$K$81)</f>
        <v>#VALUE!</v>
      </c>
      <c r="N114" s="635"/>
      <c r="O114" s="635"/>
      <c r="P114" s="528"/>
      <c r="Q114" s="530"/>
      <c r="R114" s="530"/>
      <c r="S114" s="528"/>
      <c r="T114" s="659"/>
      <c r="U114" s="528"/>
      <c r="V114" s="530"/>
      <c r="W114" s="530"/>
      <c r="X114" s="528"/>
      <c r="Y114" s="659"/>
      <c r="Z114" s="528"/>
      <c r="AA114" s="530"/>
      <c r="AB114" s="530"/>
      <c r="AC114" s="528"/>
      <c r="AD114" s="659"/>
      <c r="AE114" s="528"/>
      <c r="AF114" s="530"/>
      <c r="AG114" s="530"/>
      <c r="AH114" s="528"/>
      <c r="AI114" s="659"/>
      <c r="AJ114" s="528"/>
      <c r="AK114" s="530"/>
      <c r="AL114" s="530"/>
      <c r="AM114" s="528"/>
      <c r="AN114" s="659"/>
      <c r="AO114" s="528"/>
      <c r="AP114" s="530"/>
      <c r="AQ114" s="530"/>
      <c r="AR114" s="528"/>
      <c r="AS114" s="659"/>
      <c r="AT114" s="528"/>
      <c r="AU114" s="530"/>
      <c r="AV114" s="530"/>
      <c r="AW114" s="528"/>
      <c r="AX114" s="659"/>
      <c r="AZ114" s="373" t="e">
        <f t="shared" si="59"/>
        <v>#N/A</v>
      </c>
      <c r="BA114" s="694"/>
    </row>
    <row r="115" spans="2:53">
      <c r="B115" s="669"/>
      <c r="C115" s="352">
        <v>9</v>
      </c>
      <c r="D115" s="225"/>
      <c r="E115" s="181"/>
      <c r="F115" s="357"/>
      <c r="G115" s="358"/>
      <c r="H115" s="671"/>
      <c r="I115" s="367" t="str">
        <f t="shared" si="56"/>
        <v>-</v>
      </c>
      <c r="J115" s="367" t="str">
        <f t="shared" si="57"/>
        <v>-</v>
      </c>
      <c r="K115" s="199" t="str">
        <f t="shared" si="58"/>
        <v>-</v>
      </c>
      <c r="L115" s="617"/>
      <c r="M115" s="353" t="e">
        <f>RANK(K115, K$67:$K$81)</f>
        <v>#VALUE!</v>
      </c>
      <c r="N115" s="635"/>
      <c r="O115" s="635"/>
      <c r="P115" s="528"/>
      <c r="Q115" s="530"/>
      <c r="R115" s="530"/>
      <c r="S115" s="528"/>
      <c r="T115" s="659"/>
      <c r="U115" s="528"/>
      <c r="V115" s="530"/>
      <c r="W115" s="530"/>
      <c r="X115" s="528"/>
      <c r="Y115" s="659"/>
      <c r="Z115" s="528"/>
      <c r="AA115" s="530"/>
      <c r="AB115" s="530"/>
      <c r="AC115" s="528"/>
      <c r="AD115" s="659"/>
      <c r="AE115" s="528"/>
      <c r="AF115" s="530"/>
      <c r="AG115" s="530"/>
      <c r="AH115" s="528"/>
      <c r="AI115" s="659"/>
      <c r="AJ115" s="528"/>
      <c r="AK115" s="530"/>
      <c r="AL115" s="530"/>
      <c r="AM115" s="528"/>
      <c r="AN115" s="659"/>
      <c r="AO115" s="528"/>
      <c r="AP115" s="530"/>
      <c r="AQ115" s="530"/>
      <c r="AR115" s="528"/>
      <c r="AS115" s="659"/>
      <c r="AT115" s="528"/>
      <c r="AU115" s="530"/>
      <c r="AV115" s="530"/>
      <c r="AW115" s="528"/>
      <c r="AX115" s="659"/>
      <c r="AZ115" s="373" t="e">
        <f t="shared" si="59"/>
        <v>#N/A</v>
      </c>
      <c r="BA115" s="694"/>
    </row>
    <row r="116" spans="2:53">
      <c r="B116" s="669"/>
      <c r="C116" s="352">
        <v>10</v>
      </c>
      <c r="D116" s="225"/>
      <c r="E116" s="181"/>
      <c r="F116" s="357"/>
      <c r="G116" s="358"/>
      <c r="H116" s="671"/>
      <c r="I116" s="367" t="str">
        <f t="shared" si="56"/>
        <v>-</v>
      </c>
      <c r="J116" s="367" t="str">
        <f t="shared" si="57"/>
        <v>-</v>
      </c>
      <c r="K116" s="199" t="str">
        <f t="shared" si="58"/>
        <v>-</v>
      </c>
      <c r="L116" s="617"/>
      <c r="M116" s="353" t="e">
        <f>RANK(K116, K$67:$K$81)</f>
        <v>#VALUE!</v>
      </c>
      <c r="N116" s="635"/>
      <c r="O116" s="635"/>
      <c r="P116" s="528"/>
      <c r="Q116" s="530"/>
      <c r="R116" s="530"/>
      <c r="S116" s="528"/>
      <c r="T116" s="659"/>
      <c r="U116" s="528"/>
      <c r="V116" s="530"/>
      <c r="W116" s="530"/>
      <c r="X116" s="528"/>
      <c r="Y116" s="659"/>
      <c r="Z116" s="528"/>
      <c r="AA116" s="530"/>
      <c r="AB116" s="530"/>
      <c r="AC116" s="528"/>
      <c r="AD116" s="659"/>
      <c r="AE116" s="528"/>
      <c r="AF116" s="530"/>
      <c r="AG116" s="530"/>
      <c r="AH116" s="528"/>
      <c r="AI116" s="659"/>
      <c r="AJ116" s="528"/>
      <c r="AK116" s="530"/>
      <c r="AL116" s="530"/>
      <c r="AM116" s="528"/>
      <c r="AN116" s="659"/>
      <c r="AO116" s="528"/>
      <c r="AP116" s="530"/>
      <c r="AQ116" s="530"/>
      <c r="AR116" s="528"/>
      <c r="AS116" s="659"/>
      <c r="AT116" s="528"/>
      <c r="AU116" s="530"/>
      <c r="AV116" s="530"/>
      <c r="AW116" s="528"/>
      <c r="AX116" s="659"/>
      <c r="AZ116" s="373" t="e">
        <f t="shared" si="59"/>
        <v>#N/A</v>
      </c>
      <c r="BA116" s="694"/>
    </row>
    <row r="117" spans="2:53">
      <c r="B117" s="669"/>
      <c r="C117" s="352">
        <v>11</v>
      </c>
      <c r="D117" s="225"/>
      <c r="E117" s="181"/>
      <c r="F117" s="357"/>
      <c r="G117" s="358"/>
      <c r="H117" s="671"/>
      <c r="I117" s="367" t="str">
        <f t="shared" si="56"/>
        <v>-</v>
      </c>
      <c r="J117" s="367" t="str">
        <f t="shared" si="57"/>
        <v>-</v>
      </c>
      <c r="K117" s="199" t="str">
        <f t="shared" si="58"/>
        <v>-</v>
      </c>
      <c r="L117" s="617"/>
      <c r="M117" s="353" t="e">
        <f>RANK(K117, K$67:$K$81)</f>
        <v>#VALUE!</v>
      </c>
      <c r="N117" s="635"/>
      <c r="O117" s="635"/>
      <c r="P117" s="528"/>
      <c r="Q117" s="530"/>
      <c r="R117" s="530"/>
      <c r="S117" s="528"/>
      <c r="T117" s="659"/>
      <c r="U117" s="528"/>
      <c r="V117" s="530"/>
      <c r="W117" s="530"/>
      <c r="X117" s="528"/>
      <c r="Y117" s="659"/>
      <c r="Z117" s="528"/>
      <c r="AA117" s="530"/>
      <c r="AB117" s="530"/>
      <c r="AC117" s="528"/>
      <c r="AD117" s="659"/>
      <c r="AE117" s="528"/>
      <c r="AF117" s="530"/>
      <c r="AG117" s="530"/>
      <c r="AH117" s="528"/>
      <c r="AI117" s="659"/>
      <c r="AJ117" s="528"/>
      <c r="AK117" s="530"/>
      <c r="AL117" s="530"/>
      <c r="AM117" s="528"/>
      <c r="AN117" s="659"/>
      <c r="AO117" s="528"/>
      <c r="AP117" s="530"/>
      <c r="AQ117" s="530"/>
      <c r="AR117" s="528"/>
      <c r="AS117" s="659"/>
      <c r="AT117" s="528"/>
      <c r="AU117" s="530"/>
      <c r="AV117" s="530"/>
      <c r="AW117" s="528"/>
      <c r="AX117" s="659"/>
      <c r="AZ117" s="373" t="e">
        <f t="shared" si="59"/>
        <v>#N/A</v>
      </c>
      <c r="BA117" s="694"/>
    </row>
    <row r="118" spans="2:53">
      <c r="B118" s="669"/>
      <c r="C118" s="352">
        <v>12</v>
      </c>
      <c r="D118" s="225"/>
      <c r="E118" s="181"/>
      <c r="F118" s="357"/>
      <c r="G118" s="358"/>
      <c r="H118" s="671"/>
      <c r="I118" s="367" t="str">
        <f t="shared" si="56"/>
        <v>-</v>
      </c>
      <c r="J118" s="367" t="str">
        <f t="shared" si="57"/>
        <v>-</v>
      </c>
      <c r="K118" s="199" t="str">
        <f t="shared" si="58"/>
        <v>-</v>
      </c>
      <c r="L118" s="617"/>
      <c r="M118" s="353" t="e">
        <f>RANK(K118, K$67:$K$81)</f>
        <v>#VALUE!</v>
      </c>
      <c r="N118" s="635"/>
      <c r="O118" s="635"/>
      <c r="P118" s="528"/>
      <c r="Q118" s="530"/>
      <c r="R118" s="530"/>
      <c r="S118" s="528"/>
      <c r="T118" s="659"/>
      <c r="U118" s="528"/>
      <c r="V118" s="530"/>
      <c r="W118" s="530"/>
      <c r="X118" s="528"/>
      <c r="Y118" s="659"/>
      <c r="Z118" s="528"/>
      <c r="AA118" s="530"/>
      <c r="AB118" s="530"/>
      <c r="AC118" s="528"/>
      <c r="AD118" s="659"/>
      <c r="AE118" s="528"/>
      <c r="AF118" s="530"/>
      <c r="AG118" s="530"/>
      <c r="AH118" s="528"/>
      <c r="AI118" s="659"/>
      <c r="AJ118" s="528"/>
      <c r="AK118" s="530"/>
      <c r="AL118" s="530"/>
      <c r="AM118" s="528"/>
      <c r="AN118" s="659"/>
      <c r="AO118" s="528"/>
      <c r="AP118" s="530"/>
      <c r="AQ118" s="530"/>
      <c r="AR118" s="528"/>
      <c r="AS118" s="659"/>
      <c r="AT118" s="528"/>
      <c r="AU118" s="530"/>
      <c r="AV118" s="530"/>
      <c r="AW118" s="528"/>
      <c r="AX118" s="659"/>
      <c r="AZ118" s="373" t="e">
        <f t="shared" si="59"/>
        <v>#N/A</v>
      </c>
      <c r="BA118" s="694"/>
    </row>
    <row r="119" spans="2:53">
      <c r="B119" s="669"/>
      <c r="C119" s="352">
        <v>13</v>
      </c>
      <c r="D119" s="225"/>
      <c r="E119" s="181"/>
      <c r="F119" s="357"/>
      <c r="G119" s="358"/>
      <c r="H119" s="671"/>
      <c r="I119" s="367" t="str">
        <f t="shared" si="56"/>
        <v>-</v>
      </c>
      <c r="J119" s="367" t="str">
        <f t="shared" si="57"/>
        <v>-</v>
      </c>
      <c r="K119" s="199" t="str">
        <f t="shared" si="58"/>
        <v>-</v>
      </c>
      <c r="L119" s="617"/>
      <c r="M119" s="353" t="e">
        <f>RANK(K119, K$67:$K$81)</f>
        <v>#VALUE!</v>
      </c>
      <c r="N119" s="635"/>
      <c r="O119" s="635"/>
      <c r="P119" s="528"/>
      <c r="Q119" s="530"/>
      <c r="R119" s="530"/>
      <c r="S119" s="528"/>
      <c r="T119" s="659"/>
      <c r="U119" s="528"/>
      <c r="V119" s="530"/>
      <c r="W119" s="530"/>
      <c r="X119" s="528"/>
      <c r="Y119" s="659"/>
      <c r="Z119" s="528"/>
      <c r="AA119" s="530"/>
      <c r="AB119" s="530"/>
      <c r="AC119" s="528"/>
      <c r="AD119" s="659"/>
      <c r="AE119" s="528"/>
      <c r="AF119" s="530"/>
      <c r="AG119" s="530"/>
      <c r="AH119" s="528"/>
      <c r="AI119" s="659"/>
      <c r="AJ119" s="528"/>
      <c r="AK119" s="530"/>
      <c r="AL119" s="530"/>
      <c r="AM119" s="528"/>
      <c r="AN119" s="659"/>
      <c r="AO119" s="528"/>
      <c r="AP119" s="530"/>
      <c r="AQ119" s="530"/>
      <c r="AR119" s="528"/>
      <c r="AS119" s="659"/>
      <c r="AT119" s="528"/>
      <c r="AU119" s="530"/>
      <c r="AV119" s="530"/>
      <c r="AW119" s="528"/>
      <c r="AX119" s="659"/>
      <c r="AZ119" s="373" t="e">
        <f t="shared" si="59"/>
        <v>#N/A</v>
      </c>
      <c r="BA119" s="694"/>
    </row>
    <row r="120" spans="2:53">
      <c r="B120" s="669"/>
      <c r="C120" s="352">
        <v>14</v>
      </c>
      <c r="D120" s="225"/>
      <c r="E120" s="181"/>
      <c r="F120" s="357"/>
      <c r="G120" s="358"/>
      <c r="H120" s="671"/>
      <c r="I120" s="367" t="str">
        <f t="shared" si="56"/>
        <v>-</v>
      </c>
      <c r="J120" s="367" t="str">
        <f t="shared" si="57"/>
        <v>-</v>
      </c>
      <c r="K120" s="199" t="str">
        <f t="shared" si="58"/>
        <v>-</v>
      </c>
      <c r="L120" s="617"/>
      <c r="M120" s="353" t="e">
        <f>RANK(K120, K$67:$K$81)</f>
        <v>#VALUE!</v>
      </c>
      <c r="N120" s="635"/>
      <c r="O120" s="635"/>
      <c r="P120" s="528"/>
      <c r="Q120" s="530"/>
      <c r="R120" s="530"/>
      <c r="S120" s="528"/>
      <c r="T120" s="659"/>
      <c r="U120" s="528"/>
      <c r="V120" s="530"/>
      <c r="W120" s="530"/>
      <c r="X120" s="528"/>
      <c r="Y120" s="659"/>
      <c r="Z120" s="528"/>
      <c r="AA120" s="530"/>
      <c r="AB120" s="530"/>
      <c r="AC120" s="528"/>
      <c r="AD120" s="659"/>
      <c r="AE120" s="528"/>
      <c r="AF120" s="530"/>
      <c r="AG120" s="530"/>
      <c r="AH120" s="528"/>
      <c r="AI120" s="659"/>
      <c r="AJ120" s="528"/>
      <c r="AK120" s="530"/>
      <c r="AL120" s="530"/>
      <c r="AM120" s="528"/>
      <c r="AN120" s="659"/>
      <c r="AO120" s="528"/>
      <c r="AP120" s="530"/>
      <c r="AQ120" s="530"/>
      <c r="AR120" s="528"/>
      <c r="AS120" s="659"/>
      <c r="AT120" s="528"/>
      <c r="AU120" s="530"/>
      <c r="AV120" s="530"/>
      <c r="AW120" s="528"/>
      <c r="AX120" s="659"/>
      <c r="AZ120" s="373" t="e">
        <f t="shared" si="59"/>
        <v>#N/A</v>
      </c>
      <c r="BA120" s="694"/>
    </row>
    <row r="121" spans="2:53">
      <c r="B121" s="669"/>
      <c r="C121" s="352">
        <v>15</v>
      </c>
      <c r="D121" s="225"/>
      <c r="E121" s="181"/>
      <c r="F121" s="357"/>
      <c r="G121" s="358"/>
      <c r="H121" s="680"/>
      <c r="I121" s="369"/>
      <c r="J121" s="369"/>
      <c r="K121" s="369"/>
      <c r="L121" s="618"/>
      <c r="M121" s="353" t="e">
        <f>RANK(K121, K$47:$K$61)</f>
        <v>#N/A</v>
      </c>
      <c r="N121" s="635"/>
      <c r="O121" s="635"/>
      <c r="P121" s="528"/>
      <c r="Q121" s="530"/>
      <c r="R121" s="530"/>
      <c r="S121" s="528"/>
      <c r="T121" s="659"/>
      <c r="U121" s="528"/>
      <c r="V121" s="530"/>
      <c r="W121" s="530"/>
      <c r="X121" s="528"/>
      <c r="Y121" s="659"/>
      <c r="Z121" s="528"/>
      <c r="AA121" s="530"/>
      <c r="AB121" s="530"/>
      <c r="AC121" s="528"/>
      <c r="AD121" s="659"/>
      <c r="AE121" s="528"/>
      <c r="AF121" s="530"/>
      <c r="AG121" s="530"/>
      <c r="AH121" s="528"/>
      <c r="AI121" s="659"/>
      <c r="AJ121" s="528"/>
      <c r="AK121" s="530"/>
      <c r="AL121" s="530"/>
      <c r="AM121" s="528"/>
      <c r="AN121" s="659"/>
      <c r="AO121" s="528"/>
      <c r="AP121" s="530"/>
      <c r="AQ121" s="530"/>
      <c r="AR121" s="528"/>
      <c r="AS121" s="659"/>
      <c r="AT121" s="528"/>
      <c r="AU121" s="530"/>
      <c r="AV121" s="530"/>
      <c r="AW121" s="528"/>
      <c r="AX121" s="659"/>
      <c r="AZ121" s="373" t="e">
        <f t="shared" si="59"/>
        <v>#N/A</v>
      </c>
      <c r="BA121" s="694"/>
    </row>
    <row r="123" spans="2:53" ht="15.75">
      <c r="B123" s="672" t="s">
        <v>475</v>
      </c>
      <c r="C123" s="673"/>
      <c r="D123" s="673"/>
      <c r="E123" s="673"/>
      <c r="F123" s="673"/>
      <c r="G123" s="673"/>
      <c r="H123" s="674"/>
      <c r="I123" s="311"/>
      <c r="J123" s="311"/>
      <c r="K123" s="311"/>
      <c r="L123" s="311"/>
      <c r="M123" s="312"/>
    </row>
    <row r="124" spans="2:53" ht="15.75">
      <c r="B124" s="675"/>
      <c r="C124" s="675"/>
      <c r="D124" s="675"/>
      <c r="E124" s="675"/>
      <c r="F124" s="675"/>
      <c r="G124" s="675"/>
      <c r="H124" s="675"/>
      <c r="I124" s="313"/>
      <c r="J124" s="313"/>
      <c r="K124" s="313"/>
      <c r="L124" s="313"/>
      <c r="M124" s="314"/>
    </row>
    <row r="125" spans="2:53">
      <c r="B125" s="635" t="s">
        <v>476</v>
      </c>
      <c r="C125" s="635" t="s">
        <v>477</v>
      </c>
      <c r="D125" s="635"/>
      <c r="E125" s="635" t="s">
        <v>478</v>
      </c>
      <c r="F125" s="635"/>
      <c r="G125" s="635"/>
      <c r="H125" s="636" t="s">
        <v>479</v>
      </c>
      <c r="I125" s="676" t="s">
        <v>480</v>
      </c>
      <c r="J125" s="676"/>
      <c r="K125" s="676"/>
      <c r="L125" s="688" t="s">
        <v>479</v>
      </c>
      <c r="M125" s="691" t="s">
        <v>481</v>
      </c>
    </row>
    <row r="126" spans="2:53">
      <c r="B126" s="635"/>
      <c r="C126" s="635"/>
      <c r="D126" s="635"/>
      <c r="E126" s="635" t="s">
        <v>482</v>
      </c>
      <c r="F126" s="635"/>
      <c r="G126" s="635"/>
      <c r="H126" s="637"/>
      <c r="I126" s="676" t="s">
        <v>482</v>
      </c>
      <c r="J126" s="676"/>
      <c r="K126" s="676"/>
      <c r="L126" s="689"/>
      <c r="M126" s="692"/>
    </row>
    <row r="127" spans="2:53">
      <c r="B127" s="635"/>
      <c r="C127" s="635"/>
      <c r="D127" s="635"/>
      <c r="E127" s="308" t="s">
        <v>483</v>
      </c>
      <c r="F127" s="308" t="s">
        <v>484</v>
      </c>
      <c r="G127" s="308" t="s">
        <v>485</v>
      </c>
      <c r="H127" s="638"/>
      <c r="I127" s="315" t="s">
        <v>483</v>
      </c>
      <c r="J127" s="315" t="s">
        <v>484</v>
      </c>
      <c r="K127" s="315" t="s">
        <v>485</v>
      </c>
      <c r="L127" s="690"/>
      <c r="M127" s="693"/>
    </row>
    <row r="128" spans="2:53">
      <c r="B128" s="635" t="s">
        <v>492</v>
      </c>
      <c r="C128" s="307">
        <v>1</v>
      </c>
      <c r="D128" s="225"/>
      <c r="E128" s="181"/>
      <c r="F128" s="307"/>
      <c r="G128" s="310"/>
      <c r="H128" s="681" t="e">
        <f>AVERAGE(G128:G142)</f>
        <v>#DIV/0!</v>
      </c>
      <c r="I128" s="198" t="e">
        <f t="shared" ref="I128:J132" si="60">AVERAGEIF($D$7:$D$121,$D128,I$7:I$121)</f>
        <v>#DIV/0!</v>
      </c>
      <c r="J128" s="198" t="e">
        <f t="shared" si="60"/>
        <v>#DIV/0!</v>
      </c>
      <c r="K128" s="198" t="e">
        <f>AVERAGEIF($D$7:$D$121,$D128,K$7:K$121)</f>
        <v>#DIV/0!</v>
      </c>
      <c r="L128" s="685" t="e">
        <f>AVERAGE(K128:K142)</f>
        <v>#DIV/0!</v>
      </c>
      <c r="M128" s="198" t="e">
        <f>RANK(K128, K$128:$K$142)</f>
        <v>#DIV/0!</v>
      </c>
    </row>
    <row r="129" spans="2:39">
      <c r="B129" s="646"/>
      <c r="C129" s="307">
        <v>2</v>
      </c>
      <c r="D129" s="225"/>
      <c r="E129" s="181"/>
      <c r="F129" s="307"/>
      <c r="G129" s="310"/>
      <c r="H129" s="682"/>
      <c r="I129" s="198" t="e">
        <f t="shared" si="60"/>
        <v>#DIV/0!</v>
      </c>
      <c r="J129" s="198" t="e">
        <f t="shared" si="60"/>
        <v>#DIV/0!</v>
      </c>
      <c r="K129" s="198" t="e">
        <f>AVERAGEIF($D$7:$D$121,$D129,K$7:K$121)</f>
        <v>#DIV/0!</v>
      </c>
      <c r="L129" s="686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6"/>
      <c r="C130" s="307">
        <v>3</v>
      </c>
      <c r="D130" s="225"/>
      <c r="E130" s="181"/>
      <c r="F130" s="307"/>
      <c r="G130" s="310"/>
      <c r="H130" s="682"/>
      <c r="I130" s="198" t="e">
        <f t="shared" si="60"/>
        <v>#DIV/0!</v>
      </c>
      <c r="J130" s="198" t="e">
        <f t="shared" si="60"/>
        <v>#DIV/0!</v>
      </c>
      <c r="K130" s="198" t="e">
        <f>AVERAGEIF($D$7:$D$121,$D130,K$7:K$121)</f>
        <v>#DIV/0!</v>
      </c>
      <c r="L130" s="686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6"/>
      <c r="C131" s="307">
        <v>4</v>
      </c>
      <c r="D131" s="225"/>
      <c r="E131" s="181"/>
      <c r="F131" s="307"/>
      <c r="G131" s="310"/>
      <c r="H131" s="682"/>
      <c r="I131" s="198" t="e">
        <f t="shared" si="60"/>
        <v>#DIV/0!</v>
      </c>
      <c r="J131" s="198" t="e">
        <f t="shared" si="60"/>
        <v>#DIV/0!</v>
      </c>
      <c r="K131" s="198" t="e">
        <f>AVERAGEIF($D$7:$D$121,$D131,K$7:K$121)</f>
        <v>#DIV/0!</v>
      </c>
      <c r="L131" s="686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6"/>
      <c r="C132" s="307">
        <v>5</v>
      </c>
      <c r="D132" s="225"/>
      <c r="E132" s="181"/>
      <c r="F132" s="307"/>
      <c r="G132" s="310"/>
      <c r="H132" s="682"/>
      <c r="I132" s="198" t="e">
        <f t="shared" si="60"/>
        <v>#DIV/0!</v>
      </c>
      <c r="J132" s="198" t="e">
        <f t="shared" si="60"/>
        <v>#DIV/0!</v>
      </c>
      <c r="K132" s="198" t="e">
        <f>AVERAGEIF($D$7:$D$121,$D132,K$7:K$121)</f>
        <v>#DIV/0!</v>
      </c>
      <c r="L132" s="686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6"/>
      <c r="C133" s="307">
        <v>6</v>
      </c>
      <c r="D133" s="316"/>
      <c r="E133" s="181"/>
      <c r="F133" s="307"/>
      <c r="G133" s="310"/>
      <c r="H133" s="682"/>
      <c r="I133" s="198"/>
      <c r="J133" s="198"/>
      <c r="K133" s="198"/>
      <c r="L133" s="686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6"/>
      <c r="C134" s="307">
        <v>7</v>
      </c>
      <c r="D134" s="225"/>
      <c r="E134" s="181"/>
      <c r="F134" s="307"/>
      <c r="G134" s="310"/>
      <c r="H134" s="682"/>
      <c r="I134" s="198"/>
      <c r="J134" s="198"/>
      <c r="K134" s="198"/>
      <c r="L134" s="686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6"/>
      <c r="C135" s="307">
        <v>8</v>
      </c>
      <c r="D135" s="225"/>
      <c r="E135" s="181"/>
      <c r="F135" s="307"/>
      <c r="G135" s="310"/>
      <c r="H135" s="682"/>
      <c r="I135" s="198"/>
      <c r="J135" s="198"/>
      <c r="K135" s="198"/>
      <c r="L135" s="686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6"/>
      <c r="C136" s="307">
        <v>9</v>
      </c>
      <c r="D136" s="225"/>
      <c r="E136" s="307"/>
      <c r="F136" s="307"/>
      <c r="G136" s="307"/>
      <c r="H136" s="682"/>
      <c r="I136" s="198"/>
      <c r="J136" s="198"/>
      <c r="K136" s="198"/>
      <c r="L136" s="686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6"/>
      <c r="C137" s="307">
        <v>10</v>
      </c>
      <c r="D137" s="225"/>
      <c r="E137" s="307"/>
      <c r="F137" s="307"/>
      <c r="G137" s="307"/>
      <c r="H137" s="682"/>
      <c r="I137" s="198"/>
      <c r="J137" s="198"/>
      <c r="K137" s="198"/>
      <c r="L137" s="686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6"/>
      <c r="C138" s="307">
        <v>11</v>
      </c>
      <c r="D138" s="225"/>
      <c r="E138" s="307"/>
      <c r="F138" s="307"/>
      <c r="G138" s="307"/>
      <c r="H138" s="682"/>
      <c r="I138" s="198"/>
      <c r="J138" s="198"/>
      <c r="K138" s="198"/>
      <c r="L138" s="686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6"/>
      <c r="C139" s="307">
        <v>12</v>
      </c>
      <c r="D139" s="225"/>
      <c r="E139" s="307"/>
      <c r="F139" s="307"/>
      <c r="G139" s="307"/>
      <c r="H139" s="682"/>
      <c r="I139" s="198"/>
      <c r="J139" s="198"/>
      <c r="K139" s="198"/>
      <c r="L139" s="686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6"/>
      <c r="C140" s="307">
        <v>13</v>
      </c>
      <c r="D140" s="225"/>
      <c r="E140" s="307"/>
      <c r="F140" s="307"/>
      <c r="G140" s="307"/>
      <c r="H140" s="682"/>
      <c r="I140" s="198"/>
      <c r="J140" s="198"/>
      <c r="K140" s="198"/>
      <c r="L140" s="686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6"/>
      <c r="C141" s="307">
        <v>14</v>
      </c>
      <c r="D141" s="225"/>
      <c r="E141" s="307"/>
      <c r="F141" s="307"/>
      <c r="G141" s="307"/>
      <c r="H141" s="682"/>
      <c r="I141" s="198"/>
      <c r="J141" s="198"/>
      <c r="K141" s="198"/>
      <c r="L141" s="686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6"/>
      <c r="C142" s="307">
        <v>15</v>
      </c>
      <c r="D142" s="225"/>
      <c r="E142" s="307"/>
      <c r="F142" s="307"/>
      <c r="G142" s="307"/>
      <c r="H142" s="683"/>
      <c r="I142" s="198"/>
      <c r="J142" s="198"/>
      <c r="K142" s="198"/>
      <c r="L142" s="687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32" zoomScale="55" zoomScaleNormal="55" workbookViewId="0">
      <pane xSplit="15" topLeftCell="S1" activePane="topRight" state="frozen"/>
      <selection activeCell="D27" activeCellId="1" sqref="D47:G61 D27:G41"/>
      <selection pane="topRight" activeCell="T67" activeCellId="6" sqref="AW67:AX81 AR67:AS81 AM67:AN81 AH67:AI81 AC67:AD81 X67:Y81 S67:T8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152.50525687685735</v>
      </c>
    </row>
    <row r="2" spans="1:53" ht="15.75">
      <c r="A2" s="81"/>
      <c r="B2" s="650" t="s">
        <v>162</v>
      </c>
      <c r="C2" s="650"/>
      <c r="D2" s="650"/>
      <c r="E2" s="650"/>
      <c r="F2" s="650"/>
      <c r="G2" s="650"/>
      <c r="H2" s="650"/>
      <c r="I2" s="288"/>
      <c r="J2" s="288"/>
      <c r="K2" s="288"/>
      <c r="L2" s="288"/>
      <c r="M2" s="196"/>
      <c r="N2" s="639" t="s">
        <v>156</v>
      </c>
      <c r="O2" s="639" t="s">
        <v>155</v>
      </c>
      <c r="P2" s="645">
        <v>46203</v>
      </c>
      <c r="Q2" s="646"/>
      <c r="R2" s="646"/>
      <c r="S2" s="646"/>
      <c r="T2" s="646"/>
      <c r="U2" s="642">
        <f>P2+1</f>
        <v>46204</v>
      </c>
      <c r="V2" s="643"/>
      <c r="W2" s="643"/>
      <c r="X2" s="643"/>
      <c r="Y2" s="644"/>
      <c r="Z2" s="642">
        <f>U2+1</f>
        <v>46205</v>
      </c>
      <c r="AA2" s="643"/>
      <c r="AB2" s="643"/>
      <c r="AC2" s="643"/>
      <c r="AD2" s="644"/>
      <c r="AE2" s="642">
        <f>Z2+1</f>
        <v>46206</v>
      </c>
      <c r="AF2" s="643"/>
      <c r="AG2" s="643"/>
      <c r="AH2" s="643"/>
      <c r="AI2" s="644"/>
      <c r="AJ2" s="642">
        <f>AE2+1</f>
        <v>46207</v>
      </c>
      <c r="AK2" s="643"/>
      <c r="AL2" s="643"/>
      <c r="AM2" s="643"/>
      <c r="AN2" s="644"/>
      <c r="AO2" s="642">
        <f>AJ2+1</f>
        <v>46208</v>
      </c>
      <c r="AP2" s="643"/>
      <c r="AQ2" s="643"/>
      <c r="AR2" s="643"/>
      <c r="AS2" s="644"/>
      <c r="AT2" s="642">
        <f>AO2+1</f>
        <v>46209</v>
      </c>
      <c r="AU2" s="643"/>
      <c r="AV2" s="643"/>
      <c r="AW2" s="643"/>
      <c r="AX2" s="644"/>
    </row>
    <row r="3" spans="1:53" ht="15.75">
      <c r="A3" s="81"/>
      <c r="B3" s="684"/>
      <c r="C3" s="684"/>
      <c r="D3" s="684"/>
      <c r="E3" s="684"/>
      <c r="F3" s="684"/>
      <c r="G3" s="684"/>
      <c r="H3" s="684"/>
      <c r="I3" s="289"/>
      <c r="J3" s="289"/>
      <c r="K3" s="289"/>
      <c r="L3" s="289"/>
      <c r="M3" s="197"/>
      <c r="N3" s="641"/>
      <c r="O3" s="641"/>
      <c r="P3" s="645" t="s">
        <v>158</v>
      </c>
      <c r="Q3" s="646"/>
      <c r="R3" s="646"/>
      <c r="S3" s="646"/>
      <c r="T3" s="646"/>
      <c r="U3" s="645" t="s">
        <v>114</v>
      </c>
      <c r="V3" s="646"/>
      <c r="W3" s="646"/>
      <c r="X3" s="646"/>
      <c r="Y3" s="646"/>
      <c r="Z3" s="645" t="s">
        <v>159</v>
      </c>
      <c r="AA3" s="646"/>
      <c r="AB3" s="646"/>
      <c r="AC3" s="646"/>
      <c r="AD3" s="646"/>
      <c r="AE3" s="645" t="s">
        <v>157</v>
      </c>
      <c r="AF3" s="646"/>
      <c r="AG3" s="646"/>
      <c r="AH3" s="646"/>
      <c r="AI3" s="646"/>
      <c r="AJ3" s="645" t="s">
        <v>160</v>
      </c>
      <c r="AK3" s="646"/>
      <c r="AL3" s="646"/>
      <c r="AM3" s="646"/>
      <c r="AN3" s="646"/>
      <c r="AO3" s="645" t="s">
        <v>115</v>
      </c>
      <c r="AP3" s="646"/>
      <c r="AQ3" s="646"/>
      <c r="AR3" s="646"/>
      <c r="AS3" s="646"/>
      <c r="AT3" s="645" t="s">
        <v>161</v>
      </c>
      <c r="AU3" s="646"/>
      <c r="AV3" s="646"/>
      <c r="AW3" s="646"/>
      <c r="AX3" s="646"/>
    </row>
    <row r="4" spans="1:53" ht="14.25">
      <c r="A4" s="81"/>
      <c r="B4" s="635" t="s">
        <v>535</v>
      </c>
      <c r="C4" s="635" t="s">
        <v>382</v>
      </c>
      <c r="D4" s="635"/>
      <c r="E4" s="635" t="s">
        <v>373</v>
      </c>
      <c r="F4" s="635"/>
      <c r="G4" s="635"/>
      <c r="H4" s="636" t="s">
        <v>369</v>
      </c>
      <c r="I4" s="619" t="s">
        <v>374</v>
      </c>
      <c r="J4" s="619"/>
      <c r="K4" s="619"/>
      <c r="L4" s="620" t="s">
        <v>369</v>
      </c>
      <c r="M4" s="626" t="s">
        <v>370</v>
      </c>
      <c r="N4" s="635"/>
      <c r="O4" s="635" t="s">
        <v>375</v>
      </c>
      <c r="P4" s="632" t="s">
        <v>371</v>
      </c>
      <c r="Q4" s="633"/>
      <c r="R4" s="633"/>
      <c r="S4" s="634"/>
      <c r="T4" s="635" t="s">
        <v>369</v>
      </c>
      <c r="U4" s="632" t="s">
        <v>371</v>
      </c>
      <c r="V4" s="633"/>
      <c r="W4" s="633"/>
      <c r="X4" s="634"/>
      <c r="Y4" s="635" t="s">
        <v>369</v>
      </c>
      <c r="Z4" s="632" t="s">
        <v>371</v>
      </c>
      <c r="AA4" s="633"/>
      <c r="AB4" s="633"/>
      <c r="AC4" s="634"/>
      <c r="AD4" s="635" t="s">
        <v>369</v>
      </c>
      <c r="AE4" s="632" t="s">
        <v>371</v>
      </c>
      <c r="AF4" s="633"/>
      <c r="AG4" s="633"/>
      <c r="AH4" s="634"/>
      <c r="AI4" s="635" t="s">
        <v>369</v>
      </c>
      <c r="AJ4" s="632" t="s">
        <v>371</v>
      </c>
      <c r="AK4" s="633"/>
      <c r="AL4" s="633"/>
      <c r="AM4" s="634"/>
      <c r="AN4" s="635" t="s">
        <v>369</v>
      </c>
      <c r="AO4" s="632" t="s">
        <v>371</v>
      </c>
      <c r="AP4" s="633"/>
      <c r="AQ4" s="633"/>
      <c r="AR4" s="634"/>
      <c r="AS4" s="635" t="s">
        <v>369</v>
      </c>
      <c r="AT4" s="632" t="s">
        <v>371</v>
      </c>
      <c r="AU4" s="633"/>
      <c r="AV4" s="633"/>
      <c r="AW4" s="634"/>
      <c r="AX4" s="635" t="s">
        <v>369</v>
      </c>
      <c r="BA4" s="635" t="s">
        <v>369</v>
      </c>
    </row>
    <row r="5" spans="1:53" ht="14.25">
      <c r="A5" s="81"/>
      <c r="B5" s="635"/>
      <c r="C5" s="635"/>
      <c r="D5" s="635"/>
      <c r="E5" s="635" t="s">
        <v>376</v>
      </c>
      <c r="F5" s="635"/>
      <c r="G5" s="635"/>
      <c r="H5" s="637"/>
      <c r="I5" s="619" t="s">
        <v>376</v>
      </c>
      <c r="J5" s="619"/>
      <c r="K5" s="619"/>
      <c r="L5" s="621"/>
      <c r="M5" s="627"/>
      <c r="N5" s="635"/>
      <c r="O5" s="635"/>
      <c r="P5" s="632" t="s">
        <v>377</v>
      </c>
      <c r="Q5" s="633"/>
      <c r="R5" s="633"/>
      <c r="S5" s="634"/>
      <c r="T5" s="635"/>
      <c r="U5" s="632" t="s">
        <v>377</v>
      </c>
      <c r="V5" s="633"/>
      <c r="W5" s="633"/>
      <c r="X5" s="634"/>
      <c r="Y5" s="635"/>
      <c r="Z5" s="632" t="s">
        <v>377</v>
      </c>
      <c r="AA5" s="633"/>
      <c r="AB5" s="633"/>
      <c r="AC5" s="634"/>
      <c r="AD5" s="635"/>
      <c r="AE5" s="632" t="s">
        <v>377</v>
      </c>
      <c r="AF5" s="633"/>
      <c r="AG5" s="633"/>
      <c r="AH5" s="634"/>
      <c r="AI5" s="635"/>
      <c r="AJ5" s="632" t="s">
        <v>377</v>
      </c>
      <c r="AK5" s="633"/>
      <c r="AL5" s="633"/>
      <c r="AM5" s="634"/>
      <c r="AN5" s="635"/>
      <c r="AO5" s="632" t="s">
        <v>377</v>
      </c>
      <c r="AP5" s="633"/>
      <c r="AQ5" s="633"/>
      <c r="AR5" s="634"/>
      <c r="AS5" s="635"/>
      <c r="AT5" s="632" t="s">
        <v>377</v>
      </c>
      <c r="AU5" s="633"/>
      <c r="AV5" s="633"/>
      <c r="AW5" s="634"/>
      <c r="AX5" s="635"/>
      <c r="BA5" s="635"/>
    </row>
    <row r="6" spans="1:53" ht="14.25">
      <c r="A6" s="79"/>
      <c r="B6" s="635"/>
      <c r="C6" s="635"/>
      <c r="D6" s="635"/>
      <c r="E6" s="382" t="s">
        <v>378</v>
      </c>
      <c r="F6" s="382" t="s">
        <v>379</v>
      </c>
      <c r="G6" s="382" t="s">
        <v>380</v>
      </c>
      <c r="H6" s="638"/>
      <c r="I6" s="381" t="s">
        <v>378</v>
      </c>
      <c r="J6" s="381" t="s">
        <v>379</v>
      </c>
      <c r="K6" s="381" t="s">
        <v>380</v>
      </c>
      <c r="L6" s="622"/>
      <c r="M6" s="628"/>
      <c r="N6" s="635"/>
      <c r="O6" s="635"/>
      <c r="P6" s="533" t="s">
        <v>378</v>
      </c>
      <c r="Q6" s="533" t="s">
        <v>379</v>
      </c>
      <c r="R6" s="533" t="s">
        <v>380</v>
      </c>
      <c r="S6" s="533" t="s">
        <v>370</v>
      </c>
      <c r="T6" s="635"/>
      <c r="U6" s="533" t="s">
        <v>378</v>
      </c>
      <c r="V6" s="533" t="s">
        <v>379</v>
      </c>
      <c r="W6" s="533" t="s">
        <v>380</v>
      </c>
      <c r="X6" s="533" t="s">
        <v>370</v>
      </c>
      <c r="Y6" s="635"/>
      <c r="Z6" s="533" t="s">
        <v>378</v>
      </c>
      <c r="AA6" s="533" t="s">
        <v>379</v>
      </c>
      <c r="AB6" s="533" t="s">
        <v>380</v>
      </c>
      <c r="AC6" s="533" t="s">
        <v>370</v>
      </c>
      <c r="AD6" s="635"/>
      <c r="AE6" s="533" t="s">
        <v>378</v>
      </c>
      <c r="AF6" s="533" t="s">
        <v>379</v>
      </c>
      <c r="AG6" s="533" t="s">
        <v>380</v>
      </c>
      <c r="AH6" s="533" t="s">
        <v>370</v>
      </c>
      <c r="AI6" s="635"/>
      <c r="AJ6" s="533" t="s">
        <v>378</v>
      </c>
      <c r="AK6" s="533" t="s">
        <v>379</v>
      </c>
      <c r="AL6" s="533" t="s">
        <v>380</v>
      </c>
      <c r="AM6" s="533" t="s">
        <v>370</v>
      </c>
      <c r="AN6" s="635"/>
      <c r="AO6" s="533" t="s">
        <v>378</v>
      </c>
      <c r="AP6" s="533" t="s">
        <v>379</v>
      </c>
      <c r="AQ6" s="533" t="s">
        <v>380</v>
      </c>
      <c r="AR6" s="533" t="s">
        <v>370</v>
      </c>
      <c r="AS6" s="635"/>
      <c r="AT6" s="533" t="s">
        <v>378</v>
      </c>
      <c r="AU6" s="533" t="s">
        <v>379</v>
      </c>
      <c r="AV6" s="533" t="s">
        <v>380</v>
      </c>
      <c r="AW6" s="533" t="s">
        <v>370</v>
      </c>
      <c r="AX6" s="635"/>
      <c r="AZ6" s="371" t="s">
        <v>370</v>
      </c>
      <c r="BA6" s="635"/>
    </row>
    <row r="7" spans="1:53" ht="14.25">
      <c r="A7" s="81"/>
      <c r="B7" s="635" t="s">
        <v>136</v>
      </c>
      <c r="C7" s="383">
        <v>1</v>
      </c>
      <c r="D7" s="225" t="s">
        <v>356</v>
      </c>
      <c r="E7" s="539">
        <v>7</v>
      </c>
      <c r="F7" s="535">
        <v>1500</v>
      </c>
      <c r="G7" s="534">
        <v>214.28571428571428</v>
      </c>
      <c r="H7" s="681">
        <f>AVERAGE(G7:G21)</f>
        <v>164.87532467532466</v>
      </c>
      <c r="I7" s="385">
        <f t="shared" ref="I7:I20" si="0">IFERROR(AVERAGE(P7,U7,Z7,AE7,AJ7,AO7,AT7),"-")</f>
        <v>7</v>
      </c>
      <c r="J7" s="385">
        <f t="shared" ref="J7:J20" si="1">IFERROR(AVERAGE(Q7,V7,AA7,AF7,AK7,AP7,AU7),"-")</f>
        <v>1465.9786201754891</v>
      </c>
      <c r="K7" s="199">
        <f t="shared" ref="K7:K20" si="2">IFERROR(AVERAGE(R7,W7,AB7,AG7,AL7,AQ7,AV7),"-")</f>
        <v>209.42551716792701</v>
      </c>
      <c r="L7" s="616">
        <f>IFERROR(AVERAGE(K7:K21),"-")</f>
        <v>148.20804760543649</v>
      </c>
      <c r="M7" s="387">
        <f>RANK(K7, K$7:$K$21)</f>
        <v>2</v>
      </c>
      <c r="N7" s="635"/>
      <c r="O7" s="635"/>
      <c r="P7" s="535">
        <v>7</v>
      </c>
      <c r="Q7" s="539">
        <v>1483.2000000000003</v>
      </c>
      <c r="R7" s="539">
        <v>211.88571428571433</v>
      </c>
      <c r="S7" s="535">
        <v>1</v>
      </c>
      <c r="T7" s="659">
        <v>149.24181183645945</v>
      </c>
      <c r="U7" s="535">
        <v>7</v>
      </c>
      <c r="V7" s="539">
        <v>1447.6595744680853</v>
      </c>
      <c r="W7" s="539">
        <v>206.80851063829792</v>
      </c>
      <c r="X7" s="535">
        <v>3</v>
      </c>
      <c r="Y7" s="659">
        <v>148.36711434948259</v>
      </c>
      <c r="Z7" s="535">
        <v>7</v>
      </c>
      <c r="AA7" s="539">
        <v>1461.7021276595747</v>
      </c>
      <c r="AB7" s="539">
        <v>208.81458966565353</v>
      </c>
      <c r="AC7" s="535">
        <v>4</v>
      </c>
      <c r="AD7" s="659">
        <v>148.26659715655558</v>
      </c>
      <c r="AE7" s="535">
        <v>7</v>
      </c>
      <c r="AF7" s="539">
        <v>1457.9999999999993</v>
      </c>
      <c r="AG7" s="539">
        <v>208.28571428571419</v>
      </c>
      <c r="AH7" s="535">
        <v>3</v>
      </c>
      <c r="AI7" s="659">
        <v>147.75877431502039</v>
      </c>
      <c r="AJ7" s="535">
        <v>7</v>
      </c>
      <c r="AK7" s="539">
        <v>1465.5319148936173</v>
      </c>
      <c r="AL7" s="539">
        <v>209.36170212765961</v>
      </c>
      <c r="AM7" s="535">
        <v>3</v>
      </c>
      <c r="AN7" s="659">
        <v>147.85721442755238</v>
      </c>
      <c r="AO7" s="535">
        <v>7</v>
      </c>
      <c r="AP7" s="539">
        <v>1480.8510638297876</v>
      </c>
      <c r="AQ7" s="539">
        <v>211.55015197568395</v>
      </c>
      <c r="AR7" s="535">
        <v>2</v>
      </c>
      <c r="AS7" s="659">
        <v>147.48571029702308</v>
      </c>
      <c r="AT7" s="535">
        <v>7</v>
      </c>
      <c r="AU7" s="539">
        <v>1464.9056603773581</v>
      </c>
      <c r="AV7" s="539">
        <v>209.27223719676545</v>
      </c>
      <c r="AW7" s="535">
        <v>3</v>
      </c>
      <c r="AX7" s="659">
        <v>148.47911085596206</v>
      </c>
      <c r="AZ7" s="373" t="e">
        <f t="shared" ref="AZ7:AZ21" si="3">RANK(AY7, AY$7:AY$21)</f>
        <v>#N/A</v>
      </c>
      <c r="BA7" s="694" t="e">
        <f t="shared" ref="BA7" si="4">AVERAGE(AY7:AY21)</f>
        <v>#DIV/0!</v>
      </c>
    </row>
    <row r="8" spans="1:53" ht="15" customHeight="1">
      <c r="A8" s="81"/>
      <c r="B8" s="669"/>
      <c r="C8" s="383">
        <v>2</v>
      </c>
      <c r="D8" s="225" t="s">
        <v>357</v>
      </c>
      <c r="E8" s="539">
        <v>7</v>
      </c>
      <c r="F8" s="535">
        <v>1500</v>
      </c>
      <c r="G8" s="534">
        <v>214.28571428571428</v>
      </c>
      <c r="H8" s="682"/>
      <c r="I8" s="385">
        <f t="shared" si="0"/>
        <v>7</v>
      </c>
      <c r="J8" s="385">
        <f t="shared" si="1"/>
        <v>1468.0689909868888</v>
      </c>
      <c r="K8" s="199">
        <f t="shared" si="2"/>
        <v>209.72414156955554</v>
      </c>
      <c r="L8" s="617"/>
      <c r="M8" s="387">
        <f>RANK(K8, K$7:$K$21)</f>
        <v>1</v>
      </c>
      <c r="N8" s="635"/>
      <c r="O8" s="635"/>
      <c r="P8" s="535">
        <v>7</v>
      </c>
      <c r="Q8" s="539">
        <v>1445.611510791367</v>
      </c>
      <c r="R8" s="539">
        <v>206.51593011305243</v>
      </c>
      <c r="S8" s="535">
        <v>5</v>
      </c>
      <c r="T8" s="659"/>
      <c r="U8" s="535">
        <v>7</v>
      </c>
      <c r="V8" s="539">
        <v>1467.1874999999995</v>
      </c>
      <c r="W8" s="539">
        <v>209.59821428571422</v>
      </c>
      <c r="X8" s="535">
        <v>1</v>
      </c>
      <c r="Y8" s="659"/>
      <c r="Z8" s="535">
        <v>7</v>
      </c>
      <c r="AA8" s="539">
        <v>1469.5161290322585</v>
      </c>
      <c r="AB8" s="539">
        <v>209.93087557603693</v>
      </c>
      <c r="AC8" s="535">
        <v>1</v>
      </c>
      <c r="AD8" s="659"/>
      <c r="AE8" s="535">
        <v>7</v>
      </c>
      <c r="AF8" s="539">
        <v>1486.6666666666665</v>
      </c>
      <c r="AG8" s="539">
        <v>212.38095238095235</v>
      </c>
      <c r="AH8" s="535">
        <v>1</v>
      </c>
      <c r="AI8" s="659"/>
      <c r="AJ8" s="535">
        <v>7</v>
      </c>
      <c r="AK8" s="539">
        <v>1467.6106194690267</v>
      </c>
      <c r="AL8" s="539">
        <v>209.65865992414666</v>
      </c>
      <c r="AM8" s="535">
        <v>2</v>
      </c>
      <c r="AN8" s="659"/>
      <c r="AO8" s="535">
        <v>7</v>
      </c>
      <c r="AP8" s="539">
        <v>1484.9999999999995</v>
      </c>
      <c r="AQ8" s="539">
        <v>212.14285714285708</v>
      </c>
      <c r="AR8" s="535">
        <v>1</v>
      </c>
      <c r="AS8" s="659"/>
      <c r="AT8" s="535">
        <v>7</v>
      </c>
      <c r="AU8" s="539">
        <v>1454.8905109489051</v>
      </c>
      <c r="AV8" s="539">
        <v>207.84150156412929</v>
      </c>
      <c r="AW8" s="535">
        <v>4</v>
      </c>
      <c r="AX8" s="659"/>
      <c r="AZ8" s="373" t="e">
        <f t="shared" si="3"/>
        <v>#N/A</v>
      </c>
      <c r="BA8" s="694"/>
    </row>
    <row r="9" spans="1:53" ht="14.25">
      <c r="A9" s="81"/>
      <c r="B9" s="669"/>
      <c r="C9" s="383">
        <v>3</v>
      </c>
      <c r="D9" s="225" t="s">
        <v>329</v>
      </c>
      <c r="E9" s="539">
        <v>20</v>
      </c>
      <c r="F9" s="535">
        <v>1385</v>
      </c>
      <c r="G9" s="534">
        <v>69.2</v>
      </c>
      <c r="H9" s="682"/>
      <c r="I9" s="385">
        <f t="shared" si="0"/>
        <v>19.714285714285715</v>
      </c>
      <c r="J9" s="385">
        <f t="shared" si="1"/>
        <v>1298.7507330562225</v>
      </c>
      <c r="K9" s="199">
        <f t="shared" si="2"/>
        <v>65.916655122785443</v>
      </c>
      <c r="L9" s="617"/>
      <c r="M9" s="387">
        <f>RANK(K9, K$7:$K$21)</f>
        <v>11</v>
      </c>
      <c r="N9" s="635"/>
      <c r="O9" s="635"/>
      <c r="P9" s="535">
        <v>19</v>
      </c>
      <c r="Q9" s="539">
        <v>1320.5496183206108</v>
      </c>
      <c r="R9" s="539">
        <v>69.502611490558465</v>
      </c>
      <c r="S9" s="535">
        <v>11</v>
      </c>
      <c r="T9" s="659"/>
      <c r="U9" s="535">
        <v>19</v>
      </c>
      <c r="V9" s="539">
        <v>1283.9055118110234</v>
      </c>
      <c r="W9" s="539">
        <v>67.573974305843336</v>
      </c>
      <c r="X9" s="535">
        <v>11</v>
      </c>
      <c r="Y9" s="659"/>
      <c r="Z9" s="535">
        <v>20</v>
      </c>
      <c r="AA9" s="539">
        <v>1290.8672268907565</v>
      </c>
      <c r="AB9" s="539">
        <v>64.543361344537828</v>
      </c>
      <c r="AC9" s="535">
        <v>11</v>
      </c>
      <c r="AD9" s="659"/>
      <c r="AE9" s="535">
        <v>20</v>
      </c>
      <c r="AF9" s="539">
        <v>1290.0000000000002</v>
      </c>
      <c r="AG9" s="539">
        <v>64.500000000000014</v>
      </c>
      <c r="AH9" s="535">
        <v>11</v>
      </c>
      <c r="AI9" s="659"/>
      <c r="AJ9" s="535">
        <v>20</v>
      </c>
      <c r="AK9" s="539">
        <v>1285.3770491803284</v>
      </c>
      <c r="AL9" s="539">
        <v>64.268852459016415</v>
      </c>
      <c r="AM9" s="535">
        <v>11</v>
      </c>
      <c r="AN9" s="659"/>
      <c r="AO9" s="535">
        <v>20</v>
      </c>
      <c r="AP9" s="539">
        <v>1311.7557251908397</v>
      </c>
      <c r="AQ9" s="539">
        <v>65.587786259541986</v>
      </c>
      <c r="AR9" s="535">
        <v>11</v>
      </c>
      <c r="AS9" s="659"/>
      <c r="AT9" s="535">
        <v>20</v>
      </c>
      <c r="AU9" s="539">
        <v>1308.8000000000002</v>
      </c>
      <c r="AV9" s="539">
        <v>65.440000000000012</v>
      </c>
      <c r="AW9" s="535">
        <v>11</v>
      </c>
      <c r="AX9" s="659"/>
      <c r="AZ9" s="373" t="e">
        <f t="shared" si="3"/>
        <v>#N/A</v>
      </c>
      <c r="BA9" s="694"/>
    </row>
    <row r="10" spans="1:53" ht="14.25">
      <c r="A10" s="81"/>
      <c r="B10" s="669"/>
      <c r="C10" s="383">
        <v>4</v>
      </c>
      <c r="D10" s="225" t="s">
        <v>358</v>
      </c>
      <c r="E10" s="539">
        <v>17</v>
      </c>
      <c r="F10" s="535">
        <v>1500</v>
      </c>
      <c r="G10" s="534">
        <v>86.5</v>
      </c>
      <c r="H10" s="682"/>
      <c r="I10" s="385">
        <f t="shared" si="0"/>
        <v>16.714285714285715</v>
      </c>
      <c r="J10" s="385">
        <f t="shared" si="1"/>
        <v>1383.3280014548486</v>
      </c>
      <c r="K10" s="199">
        <f t="shared" si="2"/>
        <v>82.840510189620929</v>
      </c>
      <c r="L10" s="617"/>
      <c r="M10" s="387">
        <f>RANK(K10, K$7:$K$21)</f>
        <v>9</v>
      </c>
      <c r="N10" s="635"/>
      <c r="O10" s="635"/>
      <c r="P10" s="535">
        <v>16</v>
      </c>
      <c r="Q10" s="539">
        <v>1396.4285714285709</v>
      </c>
      <c r="R10" s="539">
        <v>87.27678571428568</v>
      </c>
      <c r="S10" s="535">
        <v>9</v>
      </c>
      <c r="T10" s="659"/>
      <c r="U10" s="535">
        <v>16</v>
      </c>
      <c r="V10" s="539">
        <v>1399.166666666667</v>
      </c>
      <c r="W10" s="539">
        <v>87.447916666666686</v>
      </c>
      <c r="X10" s="535">
        <v>9</v>
      </c>
      <c r="Y10" s="659"/>
      <c r="Z10" s="535">
        <v>17</v>
      </c>
      <c r="AA10" s="539">
        <v>1368.3333333333337</v>
      </c>
      <c r="AB10" s="539">
        <v>80.490196078431396</v>
      </c>
      <c r="AC10" s="535">
        <v>9</v>
      </c>
      <c r="AD10" s="659"/>
      <c r="AE10" s="535">
        <v>17</v>
      </c>
      <c r="AF10" s="539">
        <v>1394.4827586206889</v>
      </c>
      <c r="AG10" s="539">
        <v>82.028397565922873</v>
      </c>
      <c r="AH10" s="535">
        <v>9</v>
      </c>
      <c r="AI10" s="659"/>
      <c r="AJ10" s="535">
        <v>17</v>
      </c>
      <c r="AK10" s="539">
        <v>1359.7499999999995</v>
      </c>
      <c r="AL10" s="539">
        <v>79.98529411764703</v>
      </c>
      <c r="AM10" s="535">
        <v>9</v>
      </c>
      <c r="AN10" s="659"/>
      <c r="AO10" s="535">
        <v>17</v>
      </c>
      <c r="AP10" s="539">
        <v>1367.4074074074069</v>
      </c>
      <c r="AQ10" s="539">
        <v>80.435729847494528</v>
      </c>
      <c r="AR10" s="535">
        <v>9</v>
      </c>
      <c r="AS10" s="659"/>
      <c r="AT10" s="535">
        <v>17</v>
      </c>
      <c r="AU10" s="539">
        <v>1397.7272727272727</v>
      </c>
      <c r="AV10" s="539">
        <v>82.219251336898395</v>
      </c>
      <c r="AW10" s="535">
        <v>9</v>
      </c>
      <c r="AX10" s="659"/>
      <c r="AZ10" s="373" t="e">
        <f t="shared" si="3"/>
        <v>#N/A</v>
      </c>
      <c r="BA10" s="694"/>
    </row>
    <row r="11" spans="1:53" ht="14.25">
      <c r="A11" s="81"/>
      <c r="B11" s="669"/>
      <c r="C11" s="383">
        <v>5</v>
      </c>
      <c r="D11" s="225" t="s">
        <v>391</v>
      </c>
      <c r="E11" s="539">
        <v>7</v>
      </c>
      <c r="F11" s="535">
        <v>1500</v>
      </c>
      <c r="G11" s="534">
        <v>214.28571428571428</v>
      </c>
      <c r="H11" s="682"/>
      <c r="I11" s="385">
        <f t="shared" si="0"/>
        <v>7</v>
      </c>
      <c r="J11" s="385">
        <f t="shared" si="1"/>
        <v>1465.5814486632346</v>
      </c>
      <c r="K11" s="199">
        <f t="shared" si="2"/>
        <v>209.36877838046206</v>
      </c>
      <c r="L11" s="617"/>
      <c r="M11" s="387">
        <f>RANK(K11, K$7:$K$21)</f>
        <v>3</v>
      </c>
      <c r="N11" s="635"/>
      <c r="O11" s="635"/>
      <c r="P11" s="535">
        <v>7</v>
      </c>
      <c r="Q11" s="539">
        <v>1476.3265306122451</v>
      </c>
      <c r="R11" s="539">
        <v>210.90379008746359</v>
      </c>
      <c r="S11" s="535">
        <v>2</v>
      </c>
      <c r="T11" s="659"/>
      <c r="U11" s="535">
        <v>7</v>
      </c>
      <c r="V11" s="539">
        <v>1463.4042553191487</v>
      </c>
      <c r="W11" s="539">
        <v>209.05775075987839</v>
      </c>
      <c r="X11" s="535">
        <v>2</v>
      </c>
      <c r="Y11" s="659"/>
      <c r="Z11" s="535">
        <v>7</v>
      </c>
      <c r="AA11" s="539">
        <v>1454.8872180451133</v>
      </c>
      <c r="AB11" s="539">
        <v>207.8410311493019</v>
      </c>
      <c r="AC11" s="535">
        <v>5</v>
      </c>
      <c r="AD11" s="659"/>
      <c r="AE11" s="535">
        <v>7</v>
      </c>
      <c r="AF11" s="539">
        <v>1472.3478260869565</v>
      </c>
      <c r="AG11" s="539">
        <v>210.33540372670808</v>
      </c>
      <c r="AH11" s="535">
        <v>2</v>
      </c>
      <c r="AI11" s="659"/>
      <c r="AJ11" s="535">
        <v>7</v>
      </c>
      <c r="AK11" s="539">
        <v>1453.4883720930236</v>
      </c>
      <c r="AL11" s="539">
        <v>207.64119601328909</v>
      </c>
      <c r="AM11" s="535">
        <v>4</v>
      </c>
      <c r="AN11" s="659"/>
      <c r="AO11" s="535">
        <v>7</v>
      </c>
      <c r="AP11" s="539">
        <v>1453.1125827814569</v>
      </c>
      <c r="AQ11" s="539">
        <v>207.58751182592241</v>
      </c>
      <c r="AR11" s="535">
        <v>4</v>
      </c>
      <c r="AS11" s="659"/>
      <c r="AT11" s="535">
        <v>7</v>
      </c>
      <c r="AU11" s="539">
        <v>1485.5033557046977</v>
      </c>
      <c r="AV11" s="539">
        <v>212.21476510067109</v>
      </c>
      <c r="AW11" s="535">
        <v>1</v>
      </c>
      <c r="AX11" s="659"/>
      <c r="AZ11" s="373" t="e">
        <f t="shared" si="3"/>
        <v>#N/A</v>
      </c>
      <c r="BA11" s="694"/>
    </row>
    <row r="12" spans="1:53" ht="14.25">
      <c r="A12" s="81"/>
      <c r="B12" s="669"/>
      <c r="C12" s="383">
        <v>6</v>
      </c>
      <c r="D12" s="225" t="s">
        <v>583</v>
      </c>
      <c r="E12" s="539">
        <v>12</v>
      </c>
      <c r="F12" s="535">
        <v>2000</v>
      </c>
      <c r="G12" s="534">
        <v>166.66666666666666</v>
      </c>
      <c r="H12" s="682"/>
      <c r="I12" s="385">
        <f t="shared" si="0"/>
        <v>12</v>
      </c>
      <c r="J12" s="385">
        <f t="shared" si="1"/>
        <v>1434.753812834899</v>
      </c>
      <c r="K12" s="199">
        <f t="shared" si="2"/>
        <v>119.56281773624157</v>
      </c>
      <c r="L12" s="617"/>
      <c r="M12" s="387">
        <f>RANK(K12, K$7:$K$21)</f>
        <v>8</v>
      </c>
      <c r="N12" s="635"/>
      <c r="O12" s="635"/>
      <c r="P12" s="535">
        <v>12</v>
      </c>
      <c r="Q12" s="539">
        <v>1445.8064516129036</v>
      </c>
      <c r="R12" s="539">
        <v>120.48387096774196</v>
      </c>
      <c r="S12" s="535">
        <v>8</v>
      </c>
      <c r="T12" s="659"/>
      <c r="U12" s="535">
        <v>12</v>
      </c>
      <c r="V12" s="539">
        <v>1439.4915254237289</v>
      </c>
      <c r="W12" s="539">
        <v>119.95762711864408</v>
      </c>
      <c r="X12" s="535">
        <v>8</v>
      </c>
      <c r="Y12" s="659"/>
      <c r="Z12" s="535">
        <v>12</v>
      </c>
      <c r="AA12" s="539">
        <v>1448.0357142857144</v>
      </c>
      <c r="AB12" s="539">
        <v>120.66964285714288</v>
      </c>
      <c r="AC12" s="535">
        <v>7</v>
      </c>
      <c r="AD12" s="659"/>
      <c r="AE12" s="535">
        <v>12</v>
      </c>
      <c r="AF12" s="539">
        <v>1431.1578947368412</v>
      </c>
      <c r="AG12" s="539">
        <v>119.26315789473676</v>
      </c>
      <c r="AH12" s="535">
        <v>7</v>
      </c>
      <c r="AI12" s="659"/>
      <c r="AJ12" s="535">
        <v>12</v>
      </c>
      <c r="AK12" s="539">
        <v>1426.1111111111109</v>
      </c>
      <c r="AL12" s="539">
        <v>118.84259259259257</v>
      </c>
      <c r="AM12" s="535">
        <v>8</v>
      </c>
      <c r="AN12" s="659"/>
      <c r="AO12" s="535">
        <v>12</v>
      </c>
      <c r="AP12" s="539">
        <v>1430.7692307692309</v>
      </c>
      <c r="AQ12" s="539">
        <v>119.23076923076924</v>
      </c>
      <c r="AR12" s="535">
        <v>8</v>
      </c>
      <c r="AS12" s="659"/>
      <c r="AT12" s="535">
        <v>12</v>
      </c>
      <c r="AU12" s="539">
        <v>1421.9047619047624</v>
      </c>
      <c r="AV12" s="539">
        <v>118.49206349206354</v>
      </c>
      <c r="AW12" s="535">
        <v>8</v>
      </c>
      <c r="AX12" s="659"/>
      <c r="AZ12" s="373" t="e">
        <f t="shared" si="3"/>
        <v>#N/A</v>
      </c>
      <c r="BA12" s="694"/>
    </row>
    <row r="13" spans="1:53" ht="14.25">
      <c r="A13" s="81"/>
      <c r="B13" s="669"/>
      <c r="C13" s="383">
        <v>7</v>
      </c>
      <c r="D13" s="225" t="s">
        <v>567</v>
      </c>
      <c r="E13" s="539">
        <v>7</v>
      </c>
      <c r="F13" s="535">
        <v>1500</v>
      </c>
      <c r="G13" s="534">
        <v>214.28571428571428</v>
      </c>
      <c r="H13" s="682"/>
      <c r="I13" s="385">
        <f t="shared" si="0"/>
        <v>7</v>
      </c>
      <c r="J13" s="385">
        <f t="shared" si="1"/>
        <v>1451.3807129974828</v>
      </c>
      <c r="K13" s="199">
        <f t="shared" si="2"/>
        <v>207.34010185678329</v>
      </c>
      <c r="L13" s="617"/>
      <c r="M13" s="387">
        <f>RANK(K13, K$7:$K$21)</f>
        <v>5</v>
      </c>
      <c r="N13" s="635"/>
      <c r="O13" s="635"/>
      <c r="P13" s="535">
        <v>7</v>
      </c>
      <c r="Q13" s="539">
        <v>1473.3333333333328</v>
      </c>
      <c r="R13" s="539">
        <v>210.4761904761904</v>
      </c>
      <c r="S13" s="535">
        <v>3</v>
      </c>
      <c r="T13" s="659"/>
      <c r="U13" s="535">
        <v>7</v>
      </c>
      <c r="V13" s="539">
        <v>1442.3999999999996</v>
      </c>
      <c r="W13" s="539">
        <v>206.05714285714279</v>
      </c>
      <c r="X13" s="535">
        <v>5</v>
      </c>
      <c r="Y13" s="659"/>
      <c r="Z13" s="535">
        <v>7</v>
      </c>
      <c r="AA13" s="539">
        <v>1464.1666666666661</v>
      </c>
      <c r="AB13" s="539">
        <v>209.16666666666657</v>
      </c>
      <c r="AC13" s="535">
        <v>3</v>
      </c>
      <c r="AD13" s="659"/>
      <c r="AE13" s="535">
        <v>7</v>
      </c>
      <c r="AF13" s="539">
        <v>1450.4761904761908</v>
      </c>
      <c r="AG13" s="539">
        <v>207.21088435374153</v>
      </c>
      <c r="AH13" s="535">
        <v>4</v>
      </c>
      <c r="AI13" s="659"/>
      <c r="AJ13" s="535">
        <v>7</v>
      </c>
      <c r="AK13" s="539">
        <v>1453.0434782608695</v>
      </c>
      <c r="AL13" s="539">
        <v>207.57763975155279</v>
      </c>
      <c r="AM13" s="535">
        <v>5</v>
      </c>
      <c r="AN13" s="659"/>
      <c r="AO13" s="535">
        <v>7</v>
      </c>
      <c r="AP13" s="539">
        <v>1422.4615384615381</v>
      </c>
      <c r="AQ13" s="539">
        <v>203.20879120879115</v>
      </c>
      <c r="AR13" s="535">
        <v>5</v>
      </c>
      <c r="AS13" s="659"/>
      <c r="AT13" s="535">
        <v>7</v>
      </c>
      <c r="AU13" s="539">
        <v>1453.7837837837835</v>
      </c>
      <c r="AV13" s="539">
        <v>207.68339768339766</v>
      </c>
      <c r="AW13" s="535">
        <v>5</v>
      </c>
      <c r="AX13" s="659"/>
      <c r="AZ13" s="373" t="e">
        <f t="shared" si="3"/>
        <v>#N/A</v>
      </c>
      <c r="BA13" s="694"/>
    </row>
    <row r="14" spans="1:53" ht="14.25">
      <c r="A14" s="81"/>
      <c r="B14" s="669"/>
      <c r="C14" s="383">
        <v>8</v>
      </c>
      <c r="D14" s="225" t="s">
        <v>616</v>
      </c>
      <c r="E14" s="539">
        <v>12</v>
      </c>
      <c r="F14" s="535">
        <v>2000</v>
      </c>
      <c r="G14" s="534">
        <v>166.66666666666666</v>
      </c>
      <c r="H14" s="682"/>
      <c r="I14" s="385">
        <f t="shared" si="0"/>
        <v>12</v>
      </c>
      <c r="J14" s="385">
        <f t="shared" si="1"/>
        <v>1446.833157647294</v>
      </c>
      <c r="K14" s="199">
        <f t="shared" si="2"/>
        <v>120.56942980394116</v>
      </c>
      <c r="L14" s="617"/>
      <c r="M14" s="387">
        <f>RANK(K14, K$7:$K$21)</f>
        <v>7</v>
      </c>
      <c r="N14" s="635"/>
      <c r="O14" s="635"/>
      <c r="P14" s="535">
        <v>12</v>
      </c>
      <c r="Q14" s="539">
        <v>1449.9452054794524</v>
      </c>
      <c r="R14" s="539">
        <v>120.8287671232877</v>
      </c>
      <c r="S14" s="535">
        <v>7</v>
      </c>
      <c r="T14" s="659"/>
      <c r="U14" s="535">
        <v>12</v>
      </c>
      <c r="V14" s="539">
        <v>1455.8142857142861</v>
      </c>
      <c r="W14" s="539">
        <v>121.31785714285718</v>
      </c>
      <c r="X14" s="535">
        <v>7</v>
      </c>
      <c r="Y14" s="659"/>
      <c r="Z14" s="535">
        <v>12</v>
      </c>
      <c r="AA14" s="539">
        <v>1434.9705882352939</v>
      </c>
      <c r="AB14" s="539">
        <v>119.58088235294116</v>
      </c>
      <c r="AC14" s="535">
        <v>8</v>
      </c>
      <c r="AD14" s="659"/>
      <c r="AE14" s="535">
        <v>12</v>
      </c>
      <c r="AF14" s="539">
        <v>1418.181818181818</v>
      </c>
      <c r="AG14" s="539">
        <v>118.18181818181817</v>
      </c>
      <c r="AH14" s="535">
        <v>8</v>
      </c>
      <c r="AI14" s="659"/>
      <c r="AJ14" s="535">
        <v>12</v>
      </c>
      <c r="AK14" s="539">
        <v>1449.1904761904759</v>
      </c>
      <c r="AL14" s="539">
        <v>120.765873015873</v>
      </c>
      <c r="AM14" s="535">
        <v>7</v>
      </c>
      <c r="AN14" s="659"/>
      <c r="AO14" s="535">
        <v>12</v>
      </c>
      <c r="AP14" s="539">
        <v>1454.5945945945953</v>
      </c>
      <c r="AQ14" s="539">
        <v>121.21621621621627</v>
      </c>
      <c r="AR14" s="535">
        <v>7</v>
      </c>
      <c r="AS14" s="659"/>
      <c r="AT14" s="535">
        <v>12</v>
      </c>
      <c r="AU14" s="539">
        <v>1465.1351351351359</v>
      </c>
      <c r="AV14" s="539">
        <v>122.09459459459465</v>
      </c>
      <c r="AW14" s="535">
        <v>7</v>
      </c>
      <c r="AX14" s="659"/>
      <c r="AZ14" s="373" t="e">
        <f t="shared" si="3"/>
        <v>#N/A</v>
      </c>
      <c r="BA14" s="694"/>
    </row>
    <row r="15" spans="1:53" ht="14.25">
      <c r="A15" s="81"/>
      <c r="B15" s="669"/>
      <c r="C15" s="383">
        <v>9</v>
      </c>
      <c r="D15" s="225" t="s">
        <v>617</v>
      </c>
      <c r="E15" s="539">
        <v>12</v>
      </c>
      <c r="F15" s="535">
        <v>2000</v>
      </c>
      <c r="G15" s="534">
        <v>166.66666666666666</v>
      </c>
      <c r="H15" s="682"/>
      <c r="I15" s="385">
        <f t="shared" si="0"/>
        <v>12</v>
      </c>
      <c r="J15" s="385">
        <f t="shared" si="1"/>
        <v>1516.9596914523388</v>
      </c>
      <c r="K15" s="199">
        <f t="shared" si="2"/>
        <v>126.41330762102824</v>
      </c>
      <c r="L15" s="617"/>
      <c r="M15" s="387">
        <f>RANK(K15, K$7:$K$21)</f>
        <v>6</v>
      </c>
      <c r="N15" s="635"/>
      <c r="O15" s="635"/>
      <c r="P15" s="535">
        <v>12</v>
      </c>
      <c r="Q15" s="539">
        <v>1512.3529411764707</v>
      </c>
      <c r="R15" s="539">
        <v>126.0294117647059</v>
      </c>
      <c r="S15" s="535">
        <v>6</v>
      </c>
      <c r="T15" s="659"/>
      <c r="U15" s="535">
        <v>12</v>
      </c>
      <c r="V15" s="539">
        <v>1520.0000000000005</v>
      </c>
      <c r="W15" s="539">
        <v>126.6666666666667</v>
      </c>
      <c r="X15" s="535">
        <v>6</v>
      </c>
      <c r="Y15" s="659"/>
      <c r="Z15" s="535">
        <v>12</v>
      </c>
      <c r="AA15" s="539">
        <v>1548.0000000000002</v>
      </c>
      <c r="AB15" s="539">
        <v>129.00000000000003</v>
      </c>
      <c r="AC15" s="535">
        <v>6</v>
      </c>
      <c r="AD15" s="659"/>
      <c r="AE15" s="535">
        <v>12</v>
      </c>
      <c r="AF15" s="539">
        <v>1500.0000000000005</v>
      </c>
      <c r="AG15" s="539">
        <v>125.00000000000004</v>
      </c>
      <c r="AH15" s="535">
        <v>6</v>
      </c>
      <c r="AI15" s="659"/>
      <c r="AJ15" s="535">
        <v>12</v>
      </c>
      <c r="AK15" s="539">
        <v>1539.3749999999995</v>
      </c>
      <c r="AL15" s="539">
        <v>128.28124999999997</v>
      </c>
      <c r="AM15" s="535">
        <v>6</v>
      </c>
      <c r="AN15" s="659"/>
      <c r="AO15" s="535">
        <v>12</v>
      </c>
      <c r="AP15" s="539">
        <v>1484.4444444444453</v>
      </c>
      <c r="AQ15" s="539">
        <v>123.70370370370377</v>
      </c>
      <c r="AR15" s="535">
        <v>6</v>
      </c>
      <c r="AS15" s="659"/>
      <c r="AT15" s="535">
        <v>12</v>
      </c>
      <c r="AU15" s="539">
        <v>1514.5454545454545</v>
      </c>
      <c r="AV15" s="539">
        <v>126.2121212121212</v>
      </c>
      <c r="AW15" s="535">
        <v>6</v>
      </c>
      <c r="AX15" s="659"/>
      <c r="AZ15" s="373" t="e">
        <f t="shared" si="3"/>
        <v>#N/A</v>
      </c>
      <c r="BA15" s="694"/>
    </row>
    <row r="16" spans="1:53" ht="14.25">
      <c r="A16" s="81"/>
      <c r="B16" s="669"/>
      <c r="C16" s="383">
        <v>10</v>
      </c>
      <c r="D16" s="225" t="s">
        <v>629</v>
      </c>
      <c r="E16" s="539">
        <v>16</v>
      </c>
      <c r="F16" s="535">
        <v>1385</v>
      </c>
      <c r="G16" s="534">
        <v>86.5</v>
      </c>
      <c r="H16" s="682"/>
      <c r="I16" s="385">
        <f t="shared" si="0"/>
        <v>16</v>
      </c>
      <c r="J16" s="385">
        <f t="shared" si="1"/>
        <v>1131.5087183892724</v>
      </c>
      <c r="K16" s="199">
        <f t="shared" si="2"/>
        <v>70.719294899329526</v>
      </c>
      <c r="L16" s="617"/>
      <c r="M16" s="387">
        <f>RANK(K16, K$7:$K$21)</f>
        <v>10</v>
      </c>
      <c r="N16" s="635"/>
      <c r="O16" s="635"/>
      <c r="P16" s="535">
        <v>16</v>
      </c>
      <c r="Q16" s="539">
        <v>1139.3478260869565</v>
      </c>
      <c r="R16" s="539">
        <v>71.209239130434781</v>
      </c>
      <c r="S16" s="535">
        <v>10</v>
      </c>
      <c r="T16" s="659"/>
      <c r="U16" s="535">
        <v>16</v>
      </c>
      <c r="V16" s="539">
        <v>1138.4415584415588</v>
      </c>
      <c r="W16" s="539">
        <v>71.152597402597422</v>
      </c>
      <c r="X16" s="535">
        <v>10</v>
      </c>
      <c r="Y16" s="659"/>
      <c r="Z16" s="535">
        <v>16</v>
      </c>
      <c r="AA16" s="539">
        <v>1138.4810126582286</v>
      </c>
      <c r="AB16" s="539">
        <v>71.155063291139285</v>
      </c>
      <c r="AC16" s="535">
        <v>10</v>
      </c>
      <c r="AD16" s="659"/>
      <c r="AE16" s="535">
        <v>16</v>
      </c>
      <c r="AF16" s="539">
        <v>1142.9999999999993</v>
      </c>
      <c r="AG16" s="539">
        <v>71.437499999999957</v>
      </c>
      <c r="AH16" s="535">
        <v>10</v>
      </c>
      <c r="AI16" s="659"/>
      <c r="AJ16" s="535">
        <v>16</v>
      </c>
      <c r="AK16" s="539">
        <v>1109.5200000000004</v>
      </c>
      <c r="AL16" s="539">
        <v>69.345000000000027</v>
      </c>
      <c r="AM16" s="535">
        <v>10</v>
      </c>
      <c r="AN16" s="659"/>
      <c r="AO16" s="535">
        <v>16</v>
      </c>
      <c r="AP16" s="539">
        <v>1113.7931034482756</v>
      </c>
      <c r="AQ16" s="539">
        <v>69.612068965517224</v>
      </c>
      <c r="AR16" s="535">
        <v>10</v>
      </c>
      <c r="AS16" s="659"/>
      <c r="AT16" s="535">
        <v>16</v>
      </c>
      <c r="AU16" s="539">
        <v>1137.9775280898875</v>
      </c>
      <c r="AV16" s="539">
        <v>71.123595505617971</v>
      </c>
      <c r="AW16" s="535">
        <v>10</v>
      </c>
      <c r="AX16" s="659"/>
      <c r="AZ16" s="373" t="e">
        <f t="shared" si="3"/>
        <v>#N/A</v>
      </c>
      <c r="BA16" s="694"/>
    </row>
    <row r="17" spans="2:53">
      <c r="B17" s="669"/>
      <c r="C17" s="383">
        <v>11</v>
      </c>
      <c r="D17" s="225" t="s">
        <v>634</v>
      </c>
      <c r="E17" s="539">
        <v>7</v>
      </c>
      <c r="F17" s="535">
        <v>1500</v>
      </c>
      <c r="G17" s="534">
        <v>214.28571428571428</v>
      </c>
      <c r="H17" s="682"/>
      <c r="I17" s="385">
        <f t="shared" si="0"/>
        <v>7</v>
      </c>
      <c r="J17" s="385">
        <f t="shared" si="1"/>
        <v>1458.8557851848875</v>
      </c>
      <c r="K17" s="199">
        <f t="shared" si="2"/>
        <v>208.4079693121268</v>
      </c>
      <c r="L17" s="617"/>
      <c r="M17" s="387">
        <f>RANK(K17, K$7:$K$21)</f>
        <v>4</v>
      </c>
      <c r="N17" s="635"/>
      <c r="O17" s="635"/>
      <c r="P17" s="535">
        <v>7</v>
      </c>
      <c r="Q17" s="539">
        <v>1445.8333333333337</v>
      </c>
      <c r="R17" s="539">
        <v>206.54761904761909</v>
      </c>
      <c r="S17" s="535">
        <v>4</v>
      </c>
      <c r="T17" s="659"/>
      <c r="U17" s="535">
        <v>7</v>
      </c>
      <c r="V17" s="539">
        <v>1444.8000000000006</v>
      </c>
      <c r="W17" s="539">
        <v>206.40000000000009</v>
      </c>
      <c r="X17" s="535">
        <v>4</v>
      </c>
      <c r="Y17" s="659"/>
      <c r="Z17" s="535">
        <v>7</v>
      </c>
      <c r="AA17" s="539">
        <v>1468.181818181818</v>
      </c>
      <c r="AB17" s="539">
        <v>209.74025974025972</v>
      </c>
      <c r="AC17" s="535">
        <v>2</v>
      </c>
      <c r="AD17" s="659"/>
      <c r="AE17" s="535">
        <v>7</v>
      </c>
      <c r="AF17" s="539">
        <v>1447.058823529411</v>
      </c>
      <c r="AG17" s="539">
        <v>206.72268907563014</v>
      </c>
      <c r="AH17" s="535">
        <v>5</v>
      </c>
      <c r="AI17" s="659"/>
      <c r="AJ17" s="535">
        <v>7</v>
      </c>
      <c r="AK17" s="539">
        <v>1474.9090909090917</v>
      </c>
      <c r="AL17" s="539">
        <v>210.70129870129881</v>
      </c>
      <c r="AM17" s="535">
        <v>1</v>
      </c>
      <c r="AN17" s="659"/>
      <c r="AO17" s="535">
        <v>7</v>
      </c>
      <c r="AP17" s="539">
        <v>1456.4705882352946</v>
      </c>
      <c r="AQ17" s="539">
        <v>208.06722689075636</v>
      </c>
      <c r="AR17" s="535">
        <v>3</v>
      </c>
      <c r="AS17" s="659"/>
      <c r="AT17" s="535">
        <v>7</v>
      </c>
      <c r="AU17" s="539">
        <v>1474.7368421052643</v>
      </c>
      <c r="AV17" s="539">
        <v>210.67669172932347</v>
      </c>
      <c r="AW17" s="535">
        <v>2</v>
      </c>
      <c r="AX17" s="659"/>
      <c r="AZ17" s="373" t="e">
        <f t="shared" si="3"/>
        <v>#N/A</v>
      </c>
      <c r="BA17" s="694"/>
    </row>
    <row r="18" spans="2:53">
      <c r="B18" s="669"/>
      <c r="C18" s="383">
        <v>12</v>
      </c>
      <c r="D18" s="225"/>
      <c r="E18" s="539"/>
      <c r="F18" s="535"/>
      <c r="G18" s="534"/>
      <c r="H18" s="682"/>
      <c r="I18" s="385" t="str">
        <f t="shared" si="0"/>
        <v>-</v>
      </c>
      <c r="J18" s="385" t="str">
        <f t="shared" si="1"/>
        <v>-</v>
      </c>
      <c r="K18" s="199" t="str">
        <f t="shared" si="2"/>
        <v>-</v>
      </c>
      <c r="L18" s="617"/>
      <c r="M18" s="387" t="e">
        <f>RANK(K18, K$7:$K$21)</f>
        <v>#VALUE!</v>
      </c>
      <c r="N18" s="635"/>
      <c r="O18" s="635"/>
      <c r="P18" s="535" t="s">
        <v>592</v>
      </c>
      <c r="Q18" s="539" t="s">
        <v>592</v>
      </c>
      <c r="R18" s="539" t="s">
        <v>592</v>
      </c>
      <c r="S18" s="535" t="e">
        <v>#VALUE!</v>
      </c>
      <c r="T18" s="659"/>
      <c r="U18" s="535" t="s">
        <v>592</v>
      </c>
      <c r="V18" s="539" t="s">
        <v>592</v>
      </c>
      <c r="W18" s="539" t="s">
        <v>592</v>
      </c>
      <c r="X18" s="535" t="e">
        <v>#VALUE!</v>
      </c>
      <c r="Y18" s="659"/>
      <c r="Z18" s="535" t="s">
        <v>592</v>
      </c>
      <c r="AA18" s="539" t="s">
        <v>592</v>
      </c>
      <c r="AB18" s="539" t="s">
        <v>592</v>
      </c>
      <c r="AC18" s="535" t="e">
        <v>#VALUE!</v>
      </c>
      <c r="AD18" s="659"/>
      <c r="AE18" s="535" t="s">
        <v>592</v>
      </c>
      <c r="AF18" s="539" t="s">
        <v>592</v>
      </c>
      <c r="AG18" s="539" t="s">
        <v>592</v>
      </c>
      <c r="AH18" s="535" t="e">
        <v>#VALUE!</v>
      </c>
      <c r="AI18" s="659"/>
      <c r="AJ18" s="535" t="s">
        <v>592</v>
      </c>
      <c r="AK18" s="539" t="s">
        <v>592</v>
      </c>
      <c r="AL18" s="539" t="s">
        <v>592</v>
      </c>
      <c r="AM18" s="535" t="e">
        <v>#VALUE!</v>
      </c>
      <c r="AN18" s="659"/>
      <c r="AO18" s="535" t="s">
        <v>592</v>
      </c>
      <c r="AP18" s="539" t="s">
        <v>592</v>
      </c>
      <c r="AQ18" s="539" t="s">
        <v>592</v>
      </c>
      <c r="AR18" s="535" t="e">
        <v>#VALUE!</v>
      </c>
      <c r="AS18" s="659"/>
      <c r="AT18" s="535" t="s">
        <v>592</v>
      </c>
      <c r="AU18" s="539" t="s">
        <v>592</v>
      </c>
      <c r="AV18" s="539" t="s">
        <v>592</v>
      </c>
      <c r="AW18" s="535" t="e">
        <v>#VALUE!</v>
      </c>
      <c r="AX18" s="659"/>
      <c r="AZ18" s="373" t="e">
        <f t="shared" si="3"/>
        <v>#N/A</v>
      </c>
      <c r="BA18" s="694"/>
    </row>
    <row r="19" spans="2:53">
      <c r="B19" s="669"/>
      <c r="C19" s="383">
        <v>13</v>
      </c>
      <c r="D19" s="225"/>
      <c r="E19" s="539"/>
      <c r="F19" s="535"/>
      <c r="G19" s="534"/>
      <c r="H19" s="682"/>
      <c r="I19" s="385" t="str">
        <f t="shared" si="0"/>
        <v>-</v>
      </c>
      <c r="J19" s="385" t="str">
        <f t="shared" si="1"/>
        <v>-</v>
      </c>
      <c r="K19" s="199" t="str">
        <f t="shared" si="2"/>
        <v>-</v>
      </c>
      <c r="L19" s="617"/>
      <c r="M19" s="387" t="e">
        <f>RANK(K19, K$7:$K$21)</f>
        <v>#VALUE!</v>
      </c>
      <c r="N19" s="635"/>
      <c r="O19" s="635"/>
      <c r="P19" s="535" t="s">
        <v>592</v>
      </c>
      <c r="Q19" s="539" t="s">
        <v>592</v>
      </c>
      <c r="R19" s="539" t="s">
        <v>592</v>
      </c>
      <c r="S19" s="535" t="e">
        <v>#VALUE!</v>
      </c>
      <c r="T19" s="659"/>
      <c r="U19" s="535" t="s">
        <v>592</v>
      </c>
      <c r="V19" s="539" t="s">
        <v>592</v>
      </c>
      <c r="W19" s="539" t="s">
        <v>592</v>
      </c>
      <c r="X19" s="535" t="e">
        <v>#VALUE!</v>
      </c>
      <c r="Y19" s="659"/>
      <c r="Z19" s="535" t="s">
        <v>592</v>
      </c>
      <c r="AA19" s="539" t="s">
        <v>592</v>
      </c>
      <c r="AB19" s="539" t="s">
        <v>592</v>
      </c>
      <c r="AC19" s="535" t="e">
        <v>#VALUE!</v>
      </c>
      <c r="AD19" s="659"/>
      <c r="AE19" s="535" t="s">
        <v>592</v>
      </c>
      <c r="AF19" s="539" t="s">
        <v>592</v>
      </c>
      <c r="AG19" s="539" t="s">
        <v>592</v>
      </c>
      <c r="AH19" s="535" t="e">
        <v>#VALUE!</v>
      </c>
      <c r="AI19" s="659"/>
      <c r="AJ19" s="535" t="s">
        <v>592</v>
      </c>
      <c r="AK19" s="539" t="s">
        <v>592</v>
      </c>
      <c r="AL19" s="539" t="s">
        <v>592</v>
      </c>
      <c r="AM19" s="535" t="e">
        <v>#VALUE!</v>
      </c>
      <c r="AN19" s="659"/>
      <c r="AO19" s="535" t="s">
        <v>592</v>
      </c>
      <c r="AP19" s="539" t="s">
        <v>592</v>
      </c>
      <c r="AQ19" s="539" t="s">
        <v>592</v>
      </c>
      <c r="AR19" s="535" t="e">
        <v>#VALUE!</v>
      </c>
      <c r="AS19" s="659"/>
      <c r="AT19" s="535" t="s">
        <v>592</v>
      </c>
      <c r="AU19" s="539" t="s">
        <v>592</v>
      </c>
      <c r="AV19" s="539" t="s">
        <v>592</v>
      </c>
      <c r="AW19" s="535" t="e">
        <v>#VALUE!</v>
      </c>
      <c r="AX19" s="659"/>
      <c r="AZ19" s="373" t="e">
        <f t="shared" si="3"/>
        <v>#N/A</v>
      </c>
      <c r="BA19" s="694"/>
    </row>
    <row r="20" spans="2:53">
      <c r="B20" s="669"/>
      <c r="C20" s="383">
        <v>14</v>
      </c>
      <c r="D20" s="225"/>
      <c r="E20" s="539"/>
      <c r="F20" s="535"/>
      <c r="G20" s="534"/>
      <c r="H20" s="682"/>
      <c r="I20" s="385" t="str">
        <f t="shared" si="0"/>
        <v>-</v>
      </c>
      <c r="J20" s="385" t="str">
        <f t="shared" si="1"/>
        <v>-</v>
      </c>
      <c r="K20" s="199" t="str">
        <f t="shared" si="2"/>
        <v>-</v>
      </c>
      <c r="L20" s="617"/>
      <c r="M20" s="387" t="e">
        <f>RANK(K20, K$7:$K$21)</f>
        <v>#VALUE!</v>
      </c>
      <c r="N20" s="635"/>
      <c r="O20" s="635"/>
      <c r="P20" s="535" t="s">
        <v>592</v>
      </c>
      <c r="Q20" s="539" t="s">
        <v>592</v>
      </c>
      <c r="R20" s="539" t="s">
        <v>592</v>
      </c>
      <c r="S20" s="535" t="e">
        <v>#VALUE!</v>
      </c>
      <c r="T20" s="659"/>
      <c r="U20" s="535" t="s">
        <v>592</v>
      </c>
      <c r="V20" s="539" t="s">
        <v>592</v>
      </c>
      <c r="W20" s="539" t="s">
        <v>592</v>
      </c>
      <c r="X20" s="535" t="e">
        <v>#VALUE!</v>
      </c>
      <c r="Y20" s="659"/>
      <c r="Z20" s="535" t="s">
        <v>592</v>
      </c>
      <c r="AA20" s="539" t="s">
        <v>592</v>
      </c>
      <c r="AB20" s="539" t="s">
        <v>592</v>
      </c>
      <c r="AC20" s="535" t="e">
        <v>#VALUE!</v>
      </c>
      <c r="AD20" s="659"/>
      <c r="AE20" s="535" t="s">
        <v>592</v>
      </c>
      <c r="AF20" s="539" t="s">
        <v>592</v>
      </c>
      <c r="AG20" s="539" t="s">
        <v>592</v>
      </c>
      <c r="AH20" s="535" t="e">
        <v>#VALUE!</v>
      </c>
      <c r="AI20" s="659"/>
      <c r="AJ20" s="535" t="s">
        <v>592</v>
      </c>
      <c r="AK20" s="539" t="s">
        <v>592</v>
      </c>
      <c r="AL20" s="539" t="s">
        <v>592</v>
      </c>
      <c r="AM20" s="535" t="e">
        <v>#VALUE!</v>
      </c>
      <c r="AN20" s="659"/>
      <c r="AO20" s="535" t="s">
        <v>592</v>
      </c>
      <c r="AP20" s="539" t="s">
        <v>592</v>
      </c>
      <c r="AQ20" s="539" t="s">
        <v>592</v>
      </c>
      <c r="AR20" s="535" t="e">
        <v>#VALUE!</v>
      </c>
      <c r="AS20" s="659"/>
      <c r="AT20" s="535" t="s">
        <v>592</v>
      </c>
      <c r="AU20" s="539" t="s">
        <v>592</v>
      </c>
      <c r="AV20" s="539" t="s">
        <v>592</v>
      </c>
      <c r="AW20" s="535" t="e">
        <v>#VALUE!</v>
      </c>
      <c r="AX20" s="659"/>
      <c r="AZ20" s="373" t="e">
        <f t="shared" si="3"/>
        <v>#N/A</v>
      </c>
      <c r="BA20" s="694"/>
    </row>
    <row r="21" spans="2:53">
      <c r="B21" s="669"/>
      <c r="C21" s="383">
        <v>15</v>
      </c>
      <c r="D21" s="225"/>
      <c r="E21" s="539"/>
      <c r="F21" s="535"/>
      <c r="G21" s="534"/>
      <c r="H21" s="683"/>
      <c r="I21" s="384"/>
      <c r="J21" s="384"/>
      <c r="K21" s="384"/>
      <c r="L21" s="618"/>
      <c r="M21" s="387" t="e">
        <f>RANK(K21, K$7:$K$21)</f>
        <v>#N/A</v>
      </c>
      <c r="N21" s="635"/>
      <c r="O21" s="635"/>
      <c r="P21" s="535" t="s">
        <v>592</v>
      </c>
      <c r="Q21" s="539" t="s">
        <v>592</v>
      </c>
      <c r="R21" s="539" t="s">
        <v>592</v>
      </c>
      <c r="S21" s="535" t="e">
        <v>#VALUE!</v>
      </c>
      <c r="T21" s="659"/>
      <c r="U21" s="535" t="s">
        <v>592</v>
      </c>
      <c r="V21" s="539" t="s">
        <v>592</v>
      </c>
      <c r="W21" s="539" t="s">
        <v>592</v>
      </c>
      <c r="X21" s="535" t="e">
        <v>#VALUE!</v>
      </c>
      <c r="Y21" s="659"/>
      <c r="Z21" s="535" t="s">
        <v>592</v>
      </c>
      <c r="AA21" s="539" t="s">
        <v>592</v>
      </c>
      <c r="AB21" s="539" t="s">
        <v>592</v>
      </c>
      <c r="AC21" s="535" t="e">
        <v>#VALUE!</v>
      </c>
      <c r="AD21" s="659"/>
      <c r="AE21" s="535" t="s">
        <v>592</v>
      </c>
      <c r="AF21" s="539" t="s">
        <v>592</v>
      </c>
      <c r="AG21" s="539" t="s">
        <v>592</v>
      </c>
      <c r="AH21" s="535" t="e">
        <v>#VALUE!</v>
      </c>
      <c r="AI21" s="659"/>
      <c r="AJ21" s="535" t="s">
        <v>592</v>
      </c>
      <c r="AK21" s="539" t="s">
        <v>592</v>
      </c>
      <c r="AL21" s="539" t="s">
        <v>592</v>
      </c>
      <c r="AM21" s="535" t="e">
        <v>#VALUE!</v>
      </c>
      <c r="AN21" s="659"/>
      <c r="AO21" s="535" t="s">
        <v>592</v>
      </c>
      <c r="AP21" s="539" t="s">
        <v>592</v>
      </c>
      <c r="AQ21" s="539" t="s">
        <v>592</v>
      </c>
      <c r="AR21" s="535" t="e">
        <v>#VALUE!</v>
      </c>
      <c r="AS21" s="659"/>
      <c r="AT21" s="535" t="s">
        <v>592</v>
      </c>
      <c r="AU21" s="539" t="s">
        <v>592</v>
      </c>
      <c r="AV21" s="539" t="s">
        <v>592</v>
      </c>
      <c r="AW21" s="535" t="e">
        <v>#VALUE!</v>
      </c>
      <c r="AX21" s="659"/>
      <c r="AZ21" s="373" t="e">
        <f t="shared" si="3"/>
        <v>#N/A</v>
      </c>
      <c r="BA21" s="694"/>
    </row>
    <row r="22" spans="2:53" ht="15.75">
      <c r="B22" s="666" t="s">
        <v>162</v>
      </c>
      <c r="C22" s="667"/>
      <c r="D22" s="667"/>
      <c r="E22" s="667"/>
      <c r="F22" s="667"/>
      <c r="G22" s="667"/>
      <c r="H22" s="667"/>
      <c r="I22" s="202"/>
      <c r="J22" s="202"/>
      <c r="K22" s="202"/>
      <c r="L22" s="202"/>
      <c r="M22" s="203"/>
      <c r="N22" s="639" t="s">
        <v>156</v>
      </c>
      <c r="O22" s="639" t="s">
        <v>105</v>
      </c>
      <c r="P22" s="645">
        <f>P2+7</f>
        <v>46210</v>
      </c>
      <c r="Q22" s="646"/>
      <c r="R22" s="646"/>
      <c r="S22" s="646"/>
      <c r="T22" s="646"/>
      <c r="U22" s="642">
        <f>P22+1</f>
        <v>46211</v>
      </c>
      <c r="V22" s="643"/>
      <c r="W22" s="643"/>
      <c r="X22" s="643"/>
      <c r="Y22" s="644"/>
      <c r="Z22" s="642">
        <f>U22+1</f>
        <v>46212</v>
      </c>
      <c r="AA22" s="643"/>
      <c r="AB22" s="643"/>
      <c r="AC22" s="643"/>
      <c r="AD22" s="644"/>
      <c r="AE22" s="642">
        <f>Z22+1</f>
        <v>46213</v>
      </c>
      <c r="AF22" s="643"/>
      <c r="AG22" s="643"/>
      <c r="AH22" s="643"/>
      <c r="AI22" s="644"/>
      <c r="AJ22" s="642">
        <f>AE22+1</f>
        <v>46214</v>
      </c>
      <c r="AK22" s="643"/>
      <c r="AL22" s="643"/>
      <c r="AM22" s="643"/>
      <c r="AN22" s="644"/>
      <c r="AO22" s="642">
        <f>AJ22+1</f>
        <v>46215</v>
      </c>
      <c r="AP22" s="643"/>
      <c r="AQ22" s="643"/>
      <c r="AR22" s="643"/>
      <c r="AS22" s="644"/>
      <c r="AT22" s="642">
        <f>AO22+1</f>
        <v>46216</v>
      </c>
      <c r="AU22" s="643"/>
      <c r="AV22" s="643"/>
      <c r="AW22" s="643"/>
      <c r="AX22" s="644"/>
    </row>
    <row r="23" spans="2:53" ht="15.75">
      <c r="B23" s="653"/>
      <c r="C23" s="653"/>
      <c r="D23" s="653"/>
      <c r="E23" s="653"/>
      <c r="F23" s="653"/>
      <c r="G23" s="653"/>
      <c r="H23" s="653"/>
      <c r="I23" s="204"/>
      <c r="J23" s="204"/>
      <c r="K23" s="204"/>
      <c r="L23" s="204"/>
      <c r="M23" s="205"/>
      <c r="N23" s="641"/>
      <c r="O23" s="641"/>
      <c r="P23" s="645" t="s">
        <v>317</v>
      </c>
      <c r="Q23" s="646"/>
      <c r="R23" s="646"/>
      <c r="S23" s="646"/>
      <c r="T23" s="646"/>
      <c r="U23" s="645" t="s">
        <v>318</v>
      </c>
      <c r="V23" s="646"/>
      <c r="W23" s="646"/>
      <c r="X23" s="646"/>
      <c r="Y23" s="646"/>
      <c r="Z23" s="645" t="s">
        <v>319</v>
      </c>
      <c r="AA23" s="646"/>
      <c r="AB23" s="646"/>
      <c r="AC23" s="646"/>
      <c r="AD23" s="646"/>
      <c r="AE23" s="645" t="s">
        <v>320</v>
      </c>
      <c r="AF23" s="646"/>
      <c r="AG23" s="646"/>
      <c r="AH23" s="646"/>
      <c r="AI23" s="646"/>
      <c r="AJ23" s="645" t="s">
        <v>321</v>
      </c>
      <c r="AK23" s="646"/>
      <c r="AL23" s="646"/>
      <c r="AM23" s="646"/>
      <c r="AN23" s="646"/>
      <c r="AO23" s="645" t="s">
        <v>322</v>
      </c>
      <c r="AP23" s="646"/>
      <c r="AQ23" s="646"/>
      <c r="AR23" s="646"/>
      <c r="AS23" s="646"/>
      <c r="AT23" s="645" t="s">
        <v>323</v>
      </c>
      <c r="AU23" s="646"/>
      <c r="AV23" s="646"/>
      <c r="AW23" s="646"/>
      <c r="AX23" s="646"/>
    </row>
    <row r="24" spans="2:53">
      <c r="B24" s="635" t="s">
        <v>444</v>
      </c>
      <c r="C24" s="635" t="s">
        <v>536</v>
      </c>
      <c r="D24" s="635"/>
      <c r="E24" s="635" t="s">
        <v>537</v>
      </c>
      <c r="F24" s="635"/>
      <c r="G24" s="635"/>
      <c r="H24" s="636" t="s">
        <v>538</v>
      </c>
      <c r="I24" s="635" t="s">
        <v>539</v>
      </c>
      <c r="J24" s="635"/>
      <c r="K24" s="635"/>
      <c r="L24" s="636" t="s">
        <v>369</v>
      </c>
      <c r="M24" s="639" t="s">
        <v>540</v>
      </c>
      <c r="N24" s="635"/>
      <c r="O24" s="635" t="s">
        <v>375</v>
      </c>
      <c r="P24" s="632" t="s">
        <v>371</v>
      </c>
      <c r="Q24" s="633"/>
      <c r="R24" s="633"/>
      <c r="S24" s="634"/>
      <c r="T24" s="635" t="s">
        <v>369</v>
      </c>
      <c r="U24" s="632" t="s">
        <v>371</v>
      </c>
      <c r="V24" s="633"/>
      <c r="W24" s="633"/>
      <c r="X24" s="634"/>
      <c r="Y24" s="635" t="s">
        <v>369</v>
      </c>
      <c r="Z24" s="632" t="s">
        <v>371</v>
      </c>
      <c r="AA24" s="633"/>
      <c r="AB24" s="633"/>
      <c r="AC24" s="634"/>
      <c r="AD24" s="635" t="s">
        <v>369</v>
      </c>
      <c r="AE24" s="632" t="s">
        <v>371</v>
      </c>
      <c r="AF24" s="633"/>
      <c r="AG24" s="633"/>
      <c r="AH24" s="634"/>
      <c r="AI24" s="635" t="s">
        <v>369</v>
      </c>
      <c r="AJ24" s="632" t="s">
        <v>371</v>
      </c>
      <c r="AK24" s="633"/>
      <c r="AL24" s="633"/>
      <c r="AM24" s="634"/>
      <c r="AN24" s="635" t="s">
        <v>369</v>
      </c>
      <c r="AO24" s="632" t="s">
        <v>371</v>
      </c>
      <c r="AP24" s="633"/>
      <c r="AQ24" s="633"/>
      <c r="AR24" s="634"/>
      <c r="AS24" s="635" t="s">
        <v>369</v>
      </c>
      <c r="AT24" s="632" t="s">
        <v>371</v>
      </c>
      <c r="AU24" s="633"/>
      <c r="AV24" s="633"/>
      <c r="AW24" s="634"/>
      <c r="AX24" s="635" t="s">
        <v>369</v>
      </c>
      <c r="BA24" s="635" t="s">
        <v>369</v>
      </c>
    </row>
    <row r="25" spans="2:53">
      <c r="B25" s="635"/>
      <c r="C25" s="635"/>
      <c r="D25" s="635"/>
      <c r="E25" s="635" t="s">
        <v>542</v>
      </c>
      <c r="F25" s="635"/>
      <c r="G25" s="635"/>
      <c r="H25" s="637"/>
      <c r="I25" s="635" t="s">
        <v>542</v>
      </c>
      <c r="J25" s="635"/>
      <c r="K25" s="635"/>
      <c r="L25" s="637"/>
      <c r="M25" s="640"/>
      <c r="N25" s="635"/>
      <c r="O25" s="635"/>
      <c r="P25" s="632" t="s">
        <v>377</v>
      </c>
      <c r="Q25" s="633"/>
      <c r="R25" s="633"/>
      <c r="S25" s="634"/>
      <c r="T25" s="635"/>
      <c r="U25" s="632" t="s">
        <v>377</v>
      </c>
      <c r="V25" s="633"/>
      <c r="W25" s="633"/>
      <c r="X25" s="634"/>
      <c r="Y25" s="635"/>
      <c r="Z25" s="632" t="s">
        <v>377</v>
      </c>
      <c r="AA25" s="633"/>
      <c r="AB25" s="633"/>
      <c r="AC25" s="634"/>
      <c r="AD25" s="635"/>
      <c r="AE25" s="632" t="s">
        <v>377</v>
      </c>
      <c r="AF25" s="633"/>
      <c r="AG25" s="633"/>
      <c r="AH25" s="634"/>
      <c r="AI25" s="635"/>
      <c r="AJ25" s="632" t="s">
        <v>377</v>
      </c>
      <c r="AK25" s="633"/>
      <c r="AL25" s="633"/>
      <c r="AM25" s="634"/>
      <c r="AN25" s="635"/>
      <c r="AO25" s="632" t="s">
        <v>377</v>
      </c>
      <c r="AP25" s="633"/>
      <c r="AQ25" s="633"/>
      <c r="AR25" s="634"/>
      <c r="AS25" s="635"/>
      <c r="AT25" s="632" t="s">
        <v>377</v>
      </c>
      <c r="AU25" s="633"/>
      <c r="AV25" s="633"/>
      <c r="AW25" s="634"/>
      <c r="AX25" s="635"/>
      <c r="BA25" s="635"/>
    </row>
    <row r="26" spans="2:53">
      <c r="B26" s="635"/>
      <c r="C26" s="635"/>
      <c r="D26" s="635"/>
      <c r="E26" s="382" t="s">
        <v>543</v>
      </c>
      <c r="F26" s="382" t="s">
        <v>544</v>
      </c>
      <c r="G26" s="382" t="s">
        <v>545</v>
      </c>
      <c r="H26" s="638"/>
      <c r="I26" s="382" t="s">
        <v>543</v>
      </c>
      <c r="J26" s="382" t="s">
        <v>544</v>
      </c>
      <c r="K26" s="382" t="s">
        <v>545</v>
      </c>
      <c r="L26" s="638"/>
      <c r="M26" s="641"/>
      <c r="N26" s="635"/>
      <c r="O26" s="635"/>
      <c r="P26" s="382" t="s">
        <v>378</v>
      </c>
      <c r="Q26" s="382" t="s">
        <v>379</v>
      </c>
      <c r="R26" s="382" t="s">
        <v>380</v>
      </c>
      <c r="S26" s="382" t="s">
        <v>370</v>
      </c>
      <c r="T26" s="635"/>
      <c r="U26" s="382" t="s">
        <v>378</v>
      </c>
      <c r="V26" s="382" t="s">
        <v>379</v>
      </c>
      <c r="W26" s="382" t="s">
        <v>380</v>
      </c>
      <c r="X26" s="382" t="s">
        <v>370</v>
      </c>
      <c r="Y26" s="635"/>
      <c r="Z26" s="382" t="s">
        <v>378</v>
      </c>
      <c r="AA26" s="382" t="s">
        <v>379</v>
      </c>
      <c r="AB26" s="382" t="s">
        <v>380</v>
      </c>
      <c r="AC26" s="382" t="s">
        <v>370</v>
      </c>
      <c r="AD26" s="635"/>
      <c r="AE26" s="382" t="s">
        <v>378</v>
      </c>
      <c r="AF26" s="382" t="s">
        <v>379</v>
      </c>
      <c r="AG26" s="382" t="s">
        <v>380</v>
      </c>
      <c r="AH26" s="382" t="s">
        <v>370</v>
      </c>
      <c r="AI26" s="635"/>
      <c r="AJ26" s="382" t="s">
        <v>378</v>
      </c>
      <c r="AK26" s="382" t="s">
        <v>379</v>
      </c>
      <c r="AL26" s="382" t="s">
        <v>380</v>
      </c>
      <c r="AM26" s="382" t="s">
        <v>370</v>
      </c>
      <c r="AN26" s="635"/>
      <c r="AO26" s="382" t="s">
        <v>378</v>
      </c>
      <c r="AP26" s="382" t="s">
        <v>379</v>
      </c>
      <c r="AQ26" s="382" t="s">
        <v>380</v>
      </c>
      <c r="AR26" s="382" t="s">
        <v>370</v>
      </c>
      <c r="AS26" s="635"/>
      <c r="AT26" s="382" t="s">
        <v>378</v>
      </c>
      <c r="AU26" s="382" t="s">
        <v>379</v>
      </c>
      <c r="AV26" s="382" t="s">
        <v>380</v>
      </c>
      <c r="AW26" s="382" t="s">
        <v>370</v>
      </c>
      <c r="AX26" s="635"/>
      <c r="AZ26" s="371" t="s">
        <v>370</v>
      </c>
      <c r="BA26" s="635"/>
    </row>
    <row r="27" spans="2:53">
      <c r="B27" s="635" t="s">
        <v>445</v>
      </c>
      <c r="C27" s="384">
        <v>1</v>
      </c>
      <c r="D27" s="225" t="s">
        <v>356</v>
      </c>
      <c r="E27" s="539">
        <v>7</v>
      </c>
      <c r="F27" s="535">
        <v>1500</v>
      </c>
      <c r="G27" s="534">
        <v>214.28571428571428</v>
      </c>
      <c r="H27" s="670">
        <f>AVERAGE(G27:G41)</f>
        <v>164.87532467532466</v>
      </c>
      <c r="I27" s="385">
        <f t="shared" ref="I27:I40" si="5">IFERROR(AVERAGE(P27,U27,Z27,AE27,AJ27,AO27,AT27),"-")</f>
        <v>7</v>
      </c>
      <c r="J27" s="385">
        <f t="shared" ref="J27:J40" si="6">IFERROR(AVERAGE(Q27,V27,AA27,AF27,AK27,AP27,AU27),"-")</f>
        <v>1454.0161296165297</v>
      </c>
      <c r="K27" s="199">
        <f t="shared" ref="K27:K40" si="7">IFERROR(AVERAGE(R27,W27,AB27,AG27,AL27,AQ27,AV27),"-")</f>
        <v>207.71658994521846</v>
      </c>
      <c r="L27" s="616">
        <f>IFERROR(AVERAGE(K27:K41),"-")</f>
        <v>148.56502504275318</v>
      </c>
      <c r="M27" s="389">
        <f>RANK(K27, K$24:$K$41)</f>
        <v>4</v>
      </c>
      <c r="N27" s="635"/>
      <c r="O27" s="635"/>
      <c r="P27" s="542">
        <v>7</v>
      </c>
      <c r="Q27" s="543">
        <v>1436.5384615384623</v>
      </c>
      <c r="R27" s="543">
        <v>205.21978021978035</v>
      </c>
      <c r="S27" s="542">
        <f t="shared" ref="S27:S41" si="8">RANK(R27, R$27:R$41)</f>
        <v>5</v>
      </c>
      <c r="T27" s="647">
        <f t="shared" ref="T27" si="9">AVERAGE(R27:R41)</f>
        <v>148.79971287530779</v>
      </c>
      <c r="U27" s="542">
        <v>7</v>
      </c>
      <c r="V27" s="543">
        <v>1451.1111111111111</v>
      </c>
      <c r="W27" s="543">
        <v>207.30158730158729</v>
      </c>
      <c r="X27" s="542">
        <f t="shared" ref="X27:X41" si="10">RANK(W27, W$27:W$41)</f>
        <v>4</v>
      </c>
      <c r="Y27" s="647">
        <f t="shared" ref="Y27" si="11">AVERAGE(W27:W41)</f>
        <v>148.20158156833449</v>
      </c>
      <c r="Z27" s="542">
        <v>7</v>
      </c>
      <c r="AA27" s="543">
        <v>1456.0000000000005</v>
      </c>
      <c r="AB27" s="543">
        <v>208.00000000000006</v>
      </c>
      <c r="AC27" s="542">
        <f t="shared" ref="AC27:AC41" si="12">RANK(AB27, AB$27:AB$41)</f>
        <v>4</v>
      </c>
      <c r="AD27" s="647">
        <f t="shared" ref="AD27" si="13">AVERAGE(AB27:AB41)</f>
        <v>149.43841851202845</v>
      </c>
      <c r="AE27" s="542">
        <v>7</v>
      </c>
      <c r="AF27" s="543">
        <v>1437.0731707317068</v>
      </c>
      <c r="AG27" s="543">
        <v>205.29616724738668</v>
      </c>
      <c r="AH27" s="542">
        <f t="shared" ref="AH27:AH41" si="14">RANK(AG27, AG$27:AG$41)</f>
        <v>5</v>
      </c>
      <c r="AI27" s="647">
        <f t="shared" ref="AI27" si="15">AVERAGE(AG27:AG41)</f>
        <v>146.39066103818757</v>
      </c>
      <c r="AJ27" s="542">
        <v>7</v>
      </c>
      <c r="AK27" s="543">
        <v>1466.4000000000005</v>
      </c>
      <c r="AL27" s="543">
        <v>209.48571428571435</v>
      </c>
      <c r="AM27" s="542">
        <f t="shared" ref="AM27:AM41" si="16">RANK(AL27, AL$27:AL$41)</f>
        <v>3</v>
      </c>
      <c r="AN27" s="647">
        <f t="shared" ref="AN27" si="17">AVERAGE(AL27:AL41)</f>
        <v>157.53175744865865</v>
      </c>
      <c r="AO27" s="542">
        <v>7</v>
      </c>
      <c r="AP27" s="543">
        <v>1466.4000000000005</v>
      </c>
      <c r="AQ27" s="543">
        <v>209.48571428571435</v>
      </c>
      <c r="AR27" s="542">
        <f t="shared" ref="AR27:AR41" si="18">RANK(AQ27, AQ$27:AQ$41)</f>
        <v>3</v>
      </c>
      <c r="AS27" s="647">
        <f t="shared" ref="AS27" si="19">AVERAGE(AQ27:AQ41)</f>
        <v>157.53175744865865</v>
      </c>
      <c r="AT27" s="542">
        <v>7</v>
      </c>
      <c r="AU27" s="543">
        <v>1464.5901639344258</v>
      </c>
      <c r="AV27" s="543">
        <v>209.22716627634654</v>
      </c>
      <c r="AW27" s="542">
        <f t="shared" ref="AW27:AW41" si="20">RANK(AV27, AV$27:AV$41)</f>
        <v>2</v>
      </c>
      <c r="AX27" s="647">
        <f t="shared" ref="AX27" si="21">AVERAGE(AV27:AV41)</f>
        <v>156.61769588748686</v>
      </c>
      <c r="AZ27" s="372" t="e">
        <f t="shared" ref="AZ27:AZ41" si="22">RANK(AY27, AY$27:AY$41)</f>
        <v>#N/A</v>
      </c>
      <c r="BA27" s="647" t="e">
        <f t="shared" ref="BA27" si="23">AVERAGE(AY27:AY41)</f>
        <v>#DIV/0!</v>
      </c>
    </row>
    <row r="28" spans="2:53">
      <c r="B28" s="646"/>
      <c r="C28" s="384">
        <v>2</v>
      </c>
      <c r="D28" s="225" t="s">
        <v>357</v>
      </c>
      <c r="E28" s="539">
        <v>7</v>
      </c>
      <c r="F28" s="535">
        <v>1500</v>
      </c>
      <c r="G28" s="534">
        <v>214.28571428571428</v>
      </c>
      <c r="H28" s="671"/>
      <c r="I28" s="385">
        <f t="shared" si="5"/>
        <v>7</v>
      </c>
      <c r="J28" s="385">
        <f t="shared" si="6"/>
        <v>1456.8099911534098</v>
      </c>
      <c r="K28" s="199">
        <f t="shared" si="7"/>
        <v>208.1157130219157</v>
      </c>
      <c r="L28" s="617"/>
      <c r="M28" s="392">
        <f>RANK(K28, K$24:$K$41)</f>
        <v>3</v>
      </c>
      <c r="N28" s="635"/>
      <c r="O28" s="635"/>
      <c r="P28" s="542">
        <v>7</v>
      </c>
      <c r="Q28" s="543">
        <v>1469.7841726618706</v>
      </c>
      <c r="R28" s="543">
        <v>209.96916752312436</v>
      </c>
      <c r="S28" s="542">
        <f t="shared" si="8"/>
        <v>1</v>
      </c>
      <c r="T28" s="648"/>
      <c r="U28" s="542">
        <v>7</v>
      </c>
      <c r="V28" s="543">
        <v>1462.553191489362</v>
      </c>
      <c r="W28" s="543">
        <v>208.936170212766</v>
      </c>
      <c r="X28" s="542">
        <f t="shared" si="10"/>
        <v>2</v>
      </c>
      <c r="Y28" s="648"/>
      <c r="Z28" s="542">
        <v>7</v>
      </c>
      <c r="AA28" s="543">
        <v>1470.6122448979588</v>
      </c>
      <c r="AB28" s="543">
        <v>210.08746355685125</v>
      </c>
      <c r="AC28" s="542">
        <f t="shared" si="12"/>
        <v>3</v>
      </c>
      <c r="AD28" s="648"/>
      <c r="AE28" s="542">
        <v>7</v>
      </c>
      <c r="AF28" s="543">
        <v>1459.4594594594594</v>
      </c>
      <c r="AG28" s="543">
        <v>208.49420849420849</v>
      </c>
      <c r="AH28" s="542">
        <f t="shared" si="14"/>
        <v>3</v>
      </c>
      <c r="AI28" s="648"/>
      <c r="AJ28" s="542">
        <v>7</v>
      </c>
      <c r="AK28" s="543">
        <v>1443.130434782609</v>
      </c>
      <c r="AL28" s="543">
        <v>206.16149068322986</v>
      </c>
      <c r="AM28" s="542">
        <f t="shared" si="16"/>
        <v>5</v>
      </c>
      <c r="AN28" s="648"/>
      <c r="AO28" s="542">
        <v>7</v>
      </c>
      <c r="AP28" s="543">
        <v>1443.130434782609</v>
      </c>
      <c r="AQ28" s="543">
        <v>206.16149068322986</v>
      </c>
      <c r="AR28" s="542">
        <f t="shared" si="18"/>
        <v>5</v>
      </c>
      <c r="AS28" s="648"/>
      <c r="AT28" s="542">
        <v>7</v>
      </c>
      <c r="AU28" s="543">
        <v>1449</v>
      </c>
      <c r="AV28" s="543">
        <v>207</v>
      </c>
      <c r="AW28" s="542">
        <f t="shared" si="20"/>
        <v>4</v>
      </c>
      <c r="AX28" s="648"/>
      <c r="AZ28" s="372" t="e">
        <f t="shared" si="22"/>
        <v>#N/A</v>
      </c>
      <c r="BA28" s="648"/>
    </row>
    <row r="29" spans="2:53">
      <c r="B29" s="646"/>
      <c r="C29" s="384">
        <v>3</v>
      </c>
      <c r="D29" s="225" t="s">
        <v>329</v>
      </c>
      <c r="E29" s="539">
        <v>20</v>
      </c>
      <c r="F29" s="535">
        <v>1385</v>
      </c>
      <c r="G29" s="534">
        <v>69.2</v>
      </c>
      <c r="H29" s="671"/>
      <c r="I29" s="385">
        <f t="shared" si="5"/>
        <v>20</v>
      </c>
      <c r="J29" s="385">
        <f t="shared" si="6"/>
        <v>1343.7380434100778</v>
      </c>
      <c r="K29" s="199">
        <f t="shared" si="7"/>
        <v>67.186902170503885</v>
      </c>
      <c r="L29" s="617"/>
      <c r="M29" s="392">
        <f>RANK(K29, K$24:$K$41)</f>
        <v>11</v>
      </c>
      <c r="N29" s="635"/>
      <c r="O29" s="635"/>
      <c r="P29" s="542">
        <v>20</v>
      </c>
      <c r="Q29" s="543">
        <v>1365.8879999999999</v>
      </c>
      <c r="R29" s="543">
        <v>68.294399999999996</v>
      </c>
      <c r="S29" s="542">
        <f t="shared" si="8"/>
        <v>11</v>
      </c>
      <c r="T29" s="648"/>
      <c r="U29" s="542">
        <v>20</v>
      </c>
      <c r="V29" s="543">
        <v>1307.0163934426228</v>
      </c>
      <c r="W29" s="543">
        <v>65.350819672131138</v>
      </c>
      <c r="X29" s="542">
        <f t="shared" si="10"/>
        <v>11</v>
      </c>
      <c r="Y29" s="648"/>
      <c r="Z29" s="542">
        <v>20</v>
      </c>
      <c r="AA29" s="543">
        <v>1320.5669291338581</v>
      </c>
      <c r="AB29" s="543">
        <v>66.028346456692901</v>
      </c>
      <c r="AC29" s="542">
        <f t="shared" si="12"/>
        <v>11</v>
      </c>
      <c r="AD29" s="648"/>
      <c r="AE29" s="542">
        <v>20</v>
      </c>
      <c r="AF29" s="543">
        <v>1381.48085106383</v>
      </c>
      <c r="AG29" s="543">
        <v>69.074042553191504</v>
      </c>
      <c r="AH29" s="542">
        <f t="shared" si="14"/>
        <v>11</v>
      </c>
      <c r="AI29" s="648"/>
      <c r="AJ29" s="542" t="s">
        <v>592</v>
      </c>
      <c r="AK29" s="543" t="s">
        <v>592</v>
      </c>
      <c r="AL29" s="543" t="s">
        <v>592</v>
      </c>
      <c r="AM29" s="542" t="e">
        <f t="shared" si="16"/>
        <v>#VALUE!</v>
      </c>
      <c r="AN29" s="648"/>
      <c r="AO29" s="542" t="s">
        <v>592</v>
      </c>
      <c r="AP29" s="543" t="s">
        <v>592</v>
      </c>
      <c r="AQ29" s="543" t="s">
        <v>592</v>
      </c>
      <c r="AR29" s="542" t="e">
        <f t="shared" si="18"/>
        <v>#VALUE!</v>
      </c>
      <c r="AS29" s="648"/>
      <c r="AT29" s="542" t="s">
        <v>592</v>
      </c>
      <c r="AU29" s="543" t="s">
        <v>592</v>
      </c>
      <c r="AV29" s="543" t="s">
        <v>592</v>
      </c>
      <c r="AW29" s="542" t="e">
        <f t="shared" si="20"/>
        <v>#VALUE!</v>
      </c>
      <c r="AX29" s="648"/>
      <c r="AZ29" s="372" t="e">
        <f t="shared" si="22"/>
        <v>#N/A</v>
      </c>
      <c r="BA29" s="648"/>
    </row>
    <row r="30" spans="2:53">
      <c r="B30" s="646"/>
      <c r="C30" s="384">
        <v>4</v>
      </c>
      <c r="D30" s="225" t="s">
        <v>358</v>
      </c>
      <c r="E30" s="539">
        <v>17</v>
      </c>
      <c r="F30" s="535">
        <v>1500</v>
      </c>
      <c r="G30" s="534">
        <v>86.5</v>
      </c>
      <c r="H30" s="671"/>
      <c r="I30" s="385">
        <f t="shared" si="5"/>
        <v>16.142857142857142</v>
      </c>
      <c r="J30" s="385">
        <f t="shared" si="6"/>
        <v>1392.9297541825949</v>
      </c>
      <c r="K30" s="199">
        <f t="shared" si="7"/>
        <v>86.335229575296822</v>
      </c>
      <c r="L30" s="617"/>
      <c r="M30" s="392">
        <f>RANK(K30, K$24:$K$41)</f>
        <v>9</v>
      </c>
      <c r="N30" s="635"/>
      <c r="O30" s="635"/>
      <c r="P30" s="542">
        <v>16</v>
      </c>
      <c r="Q30" s="543">
        <v>1404.5454545454545</v>
      </c>
      <c r="R30" s="543">
        <v>87.784090909090907</v>
      </c>
      <c r="S30" s="542">
        <f t="shared" si="8"/>
        <v>9</v>
      </c>
      <c r="T30" s="648"/>
      <c r="U30" s="542">
        <v>16</v>
      </c>
      <c r="V30" s="543">
        <v>1385.853658536585</v>
      </c>
      <c r="W30" s="543">
        <v>86.615853658536565</v>
      </c>
      <c r="X30" s="542">
        <f t="shared" si="10"/>
        <v>9</v>
      </c>
      <c r="Y30" s="648"/>
      <c r="Z30" s="542">
        <v>16</v>
      </c>
      <c r="AA30" s="543">
        <v>1400.2173913043484</v>
      </c>
      <c r="AB30" s="543">
        <v>87.513586956521777</v>
      </c>
      <c r="AC30" s="542">
        <f t="shared" si="12"/>
        <v>9</v>
      </c>
      <c r="AD30" s="648"/>
      <c r="AE30" s="542">
        <v>17</v>
      </c>
      <c r="AF30" s="543">
        <v>1376.3636363636369</v>
      </c>
      <c r="AG30" s="543">
        <v>80.96256684491982</v>
      </c>
      <c r="AH30" s="542">
        <f t="shared" si="14"/>
        <v>9</v>
      </c>
      <c r="AI30" s="648"/>
      <c r="AJ30" s="542">
        <v>16</v>
      </c>
      <c r="AK30" s="543">
        <v>1402.5974025974031</v>
      </c>
      <c r="AL30" s="543">
        <v>87.662337662337691</v>
      </c>
      <c r="AM30" s="542">
        <f t="shared" si="16"/>
        <v>9</v>
      </c>
      <c r="AN30" s="648"/>
      <c r="AO30" s="542">
        <v>16</v>
      </c>
      <c r="AP30" s="543">
        <v>1402.5974025974031</v>
      </c>
      <c r="AQ30" s="543">
        <v>87.662337662337691</v>
      </c>
      <c r="AR30" s="542">
        <f t="shared" si="18"/>
        <v>9</v>
      </c>
      <c r="AS30" s="648"/>
      <c r="AT30" s="542">
        <v>16</v>
      </c>
      <c r="AU30" s="543">
        <v>1378.3333333333337</v>
      </c>
      <c r="AV30" s="543">
        <v>86.145833333333357</v>
      </c>
      <c r="AW30" s="542">
        <f t="shared" si="20"/>
        <v>9</v>
      </c>
      <c r="AX30" s="648"/>
      <c r="AZ30" s="372" t="e">
        <f t="shared" si="22"/>
        <v>#N/A</v>
      </c>
      <c r="BA30" s="648"/>
    </row>
    <row r="31" spans="2:53">
      <c r="B31" s="646"/>
      <c r="C31" s="384">
        <v>5</v>
      </c>
      <c r="D31" s="225" t="s">
        <v>391</v>
      </c>
      <c r="E31" s="539">
        <v>7</v>
      </c>
      <c r="F31" s="535">
        <v>1500</v>
      </c>
      <c r="G31" s="534">
        <v>214.28571428571428</v>
      </c>
      <c r="H31" s="671"/>
      <c r="I31" s="385">
        <f t="shared" si="5"/>
        <v>7</v>
      </c>
      <c r="J31" s="385">
        <f t="shared" si="6"/>
        <v>1451.4105641135488</v>
      </c>
      <c r="K31" s="199">
        <f t="shared" si="7"/>
        <v>207.34436630193554</v>
      </c>
      <c r="L31" s="617"/>
      <c r="M31" s="392">
        <f>RANK(K31, K$24:$K$41)</f>
        <v>5</v>
      </c>
      <c r="N31" s="635"/>
      <c r="O31" s="635"/>
      <c r="P31" s="542">
        <v>7</v>
      </c>
      <c r="Q31" s="543">
        <v>1437.2185430463578</v>
      </c>
      <c r="R31" s="543">
        <v>205.31693472090825</v>
      </c>
      <c r="S31" s="542">
        <f t="shared" si="8"/>
        <v>4</v>
      </c>
      <c r="T31" s="648"/>
      <c r="U31" s="542">
        <v>7</v>
      </c>
      <c r="V31" s="543">
        <v>1435.5999999999997</v>
      </c>
      <c r="W31" s="543">
        <v>205.08571428571423</v>
      </c>
      <c r="X31" s="542">
        <f t="shared" si="10"/>
        <v>5</v>
      </c>
      <c r="Y31" s="648"/>
      <c r="Z31" s="542">
        <v>7</v>
      </c>
      <c r="AA31" s="543">
        <v>1478.2894736842104</v>
      </c>
      <c r="AB31" s="543">
        <v>211.18421052631578</v>
      </c>
      <c r="AC31" s="542">
        <f t="shared" si="12"/>
        <v>1</v>
      </c>
      <c r="AD31" s="648"/>
      <c r="AE31" s="542">
        <v>7</v>
      </c>
      <c r="AF31" s="543">
        <v>1453.6842105263158</v>
      </c>
      <c r="AG31" s="543">
        <v>207.66917293233084</v>
      </c>
      <c r="AH31" s="542">
        <f t="shared" si="14"/>
        <v>4</v>
      </c>
      <c r="AI31" s="648"/>
      <c r="AJ31" s="542">
        <v>7</v>
      </c>
      <c r="AK31" s="543">
        <v>1447.7862595419851</v>
      </c>
      <c r="AL31" s="543">
        <v>206.82660850599788</v>
      </c>
      <c r="AM31" s="542">
        <f t="shared" si="16"/>
        <v>4</v>
      </c>
      <c r="AN31" s="648"/>
      <c r="AO31" s="542">
        <v>7</v>
      </c>
      <c r="AP31" s="543">
        <v>1447.7862595419851</v>
      </c>
      <c r="AQ31" s="543">
        <v>206.82660850599788</v>
      </c>
      <c r="AR31" s="542">
        <f t="shared" si="18"/>
        <v>4</v>
      </c>
      <c r="AS31" s="648"/>
      <c r="AT31" s="542">
        <v>7</v>
      </c>
      <c r="AU31" s="543">
        <v>1459.5092024539877</v>
      </c>
      <c r="AV31" s="543">
        <v>208.50131463628395</v>
      </c>
      <c r="AW31" s="542">
        <f t="shared" si="20"/>
        <v>3</v>
      </c>
      <c r="AX31" s="648"/>
      <c r="AZ31" s="372" t="e">
        <f t="shared" si="22"/>
        <v>#N/A</v>
      </c>
      <c r="BA31" s="648"/>
    </row>
    <row r="32" spans="2:53">
      <c r="B32" s="646"/>
      <c r="C32" s="384">
        <v>6</v>
      </c>
      <c r="D32" s="225" t="s">
        <v>583</v>
      </c>
      <c r="E32" s="539">
        <v>12</v>
      </c>
      <c r="F32" s="535">
        <v>2000</v>
      </c>
      <c r="G32" s="534">
        <v>166.66666666666666</v>
      </c>
      <c r="H32" s="671"/>
      <c r="I32" s="385">
        <f t="shared" si="5"/>
        <v>12</v>
      </c>
      <c r="J32" s="385">
        <f t="shared" si="6"/>
        <v>1431.2116817638682</v>
      </c>
      <c r="K32" s="199">
        <f t="shared" si="7"/>
        <v>119.26764014698901</v>
      </c>
      <c r="L32" s="617"/>
      <c r="M32" s="392">
        <f>RANK(K32, K$24:$K$41)</f>
        <v>8</v>
      </c>
      <c r="N32" s="635"/>
      <c r="O32" s="635"/>
      <c r="P32" s="542">
        <v>12</v>
      </c>
      <c r="Q32" s="543">
        <v>1469.5238095238101</v>
      </c>
      <c r="R32" s="543">
        <v>122.46031746031751</v>
      </c>
      <c r="S32" s="542">
        <f t="shared" si="8"/>
        <v>8</v>
      </c>
      <c r="T32" s="648"/>
      <c r="U32" s="542">
        <v>12</v>
      </c>
      <c r="V32" s="543">
        <v>1406.1654135338354</v>
      </c>
      <c r="W32" s="543">
        <v>117.18045112781961</v>
      </c>
      <c r="X32" s="542">
        <f t="shared" si="10"/>
        <v>8</v>
      </c>
      <c r="Y32" s="648"/>
      <c r="Z32" s="542">
        <v>12</v>
      </c>
      <c r="AA32" s="543">
        <v>1428.5294117647049</v>
      </c>
      <c r="AB32" s="543">
        <v>119.04411764705874</v>
      </c>
      <c r="AC32" s="542">
        <f t="shared" si="12"/>
        <v>8</v>
      </c>
      <c r="AD32" s="648"/>
      <c r="AE32" s="542">
        <v>12</v>
      </c>
      <c r="AF32" s="543">
        <v>1403.6363636363631</v>
      </c>
      <c r="AG32" s="543">
        <v>116.96969696969693</v>
      </c>
      <c r="AH32" s="542">
        <f t="shared" si="14"/>
        <v>7</v>
      </c>
      <c r="AI32" s="648"/>
      <c r="AJ32" s="542">
        <v>12</v>
      </c>
      <c r="AK32" s="543">
        <v>1453.3928571428571</v>
      </c>
      <c r="AL32" s="543">
        <v>121.11607142857143</v>
      </c>
      <c r="AM32" s="542">
        <f t="shared" si="16"/>
        <v>8</v>
      </c>
      <c r="AN32" s="648"/>
      <c r="AO32" s="542">
        <v>12</v>
      </c>
      <c r="AP32" s="543">
        <v>1453.3928571428571</v>
      </c>
      <c r="AQ32" s="543">
        <v>121.11607142857143</v>
      </c>
      <c r="AR32" s="542">
        <f t="shared" si="18"/>
        <v>8</v>
      </c>
      <c r="AS32" s="648"/>
      <c r="AT32" s="542">
        <v>12</v>
      </c>
      <c r="AU32" s="543">
        <v>1403.8410596026488</v>
      </c>
      <c r="AV32" s="543">
        <v>116.9867549668874</v>
      </c>
      <c r="AW32" s="542">
        <f t="shared" si="20"/>
        <v>8</v>
      </c>
      <c r="AX32" s="648"/>
      <c r="AZ32" s="372" t="e">
        <f t="shared" si="22"/>
        <v>#N/A</v>
      </c>
      <c r="BA32" s="648"/>
    </row>
    <row r="33" spans="2:53">
      <c r="B33" s="646"/>
      <c r="C33" s="384">
        <v>7</v>
      </c>
      <c r="D33" s="225" t="s">
        <v>567</v>
      </c>
      <c r="E33" s="539">
        <v>7</v>
      </c>
      <c r="F33" s="535">
        <v>1500</v>
      </c>
      <c r="G33" s="534">
        <v>214.28571428571428</v>
      </c>
      <c r="H33" s="671"/>
      <c r="I33" s="385">
        <f t="shared" si="5"/>
        <v>7</v>
      </c>
      <c r="J33" s="385">
        <f t="shared" si="6"/>
        <v>1461.1086491550293</v>
      </c>
      <c r="K33" s="199">
        <f t="shared" si="7"/>
        <v>208.72980702214701</v>
      </c>
      <c r="L33" s="617"/>
      <c r="M33" s="392">
        <f>RANK(K33, K$24:$K$41)</f>
        <v>2</v>
      </c>
      <c r="N33" s="635"/>
      <c r="O33" s="635"/>
      <c r="P33" s="542">
        <v>7</v>
      </c>
      <c r="Q33" s="543">
        <v>1452.9113924050641</v>
      </c>
      <c r="R33" s="543">
        <v>207.55877034358059</v>
      </c>
      <c r="S33" s="542">
        <f t="shared" si="8"/>
        <v>3</v>
      </c>
      <c r="T33" s="648"/>
      <c r="U33" s="542">
        <v>7</v>
      </c>
      <c r="V33" s="543">
        <v>1451.590909090909</v>
      </c>
      <c r="W33" s="543">
        <v>207.37012987012986</v>
      </c>
      <c r="X33" s="542">
        <f t="shared" si="10"/>
        <v>3</v>
      </c>
      <c r="Y33" s="648"/>
      <c r="Z33" s="542">
        <v>7</v>
      </c>
      <c r="AA33" s="543">
        <v>1453.8947368421057</v>
      </c>
      <c r="AB33" s="543">
        <v>207.69924812030081</v>
      </c>
      <c r="AC33" s="542">
        <f t="shared" si="12"/>
        <v>5</v>
      </c>
      <c r="AD33" s="648"/>
      <c r="AE33" s="542">
        <v>7</v>
      </c>
      <c r="AF33" s="543">
        <v>1459.6551724137933</v>
      </c>
      <c r="AG33" s="543">
        <v>208.52216748768475</v>
      </c>
      <c r="AH33" s="542">
        <f t="shared" si="14"/>
        <v>2</v>
      </c>
      <c r="AI33" s="648"/>
      <c r="AJ33" s="542">
        <v>7</v>
      </c>
      <c r="AK33" s="543">
        <v>1482.1874999999995</v>
      </c>
      <c r="AL33" s="543">
        <v>211.74107142857136</v>
      </c>
      <c r="AM33" s="542">
        <f t="shared" si="16"/>
        <v>2</v>
      </c>
      <c r="AN33" s="648"/>
      <c r="AO33" s="542">
        <v>7</v>
      </c>
      <c r="AP33" s="543">
        <v>1482.1874999999995</v>
      </c>
      <c r="AQ33" s="543">
        <v>211.74107142857136</v>
      </c>
      <c r="AR33" s="542">
        <f t="shared" si="18"/>
        <v>2</v>
      </c>
      <c r="AS33" s="648"/>
      <c r="AT33" s="542">
        <v>7</v>
      </c>
      <c r="AU33" s="543">
        <v>1445.3333333333333</v>
      </c>
      <c r="AV33" s="543">
        <v>206.47619047619045</v>
      </c>
      <c r="AW33" s="542">
        <f t="shared" si="20"/>
        <v>5</v>
      </c>
      <c r="AX33" s="648"/>
      <c r="AZ33" s="372" t="e">
        <f t="shared" si="22"/>
        <v>#N/A</v>
      </c>
      <c r="BA33" s="648"/>
    </row>
    <row r="34" spans="2:53">
      <c r="B34" s="646"/>
      <c r="C34" s="384">
        <v>8</v>
      </c>
      <c r="D34" s="225" t="s">
        <v>616</v>
      </c>
      <c r="E34" s="539">
        <v>12</v>
      </c>
      <c r="F34" s="535">
        <v>2000</v>
      </c>
      <c r="G34" s="534">
        <v>166.66666666666666</v>
      </c>
      <c r="H34" s="671"/>
      <c r="I34" s="385">
        <f t="shared" si="5"/>
        <v>12</v>
      </c>
      <c r="J34" s="385">
        <f t="shared" si="6"/>
        <v>1505.6799379162676</v>
      </c>
      <c r="K34" s="199">
        <f t="shared" si="7"/>
        <v>125.47332815968899</v>
      </c>
      <c r="L34" s="617"/>
      <c r="M34" s="392">
        <f>RANK(K34, K$24:$K$41)</f>
        <v>6</v>
      </c>
      <c r="N34" s="635"/>
      <c r="O34" s="635"/>
      <c r="P34" s="542">
        <v>12</v>
      </c>
      <c r="Q34" s="543">
        <v>1509.8181818181818</v>
      </c>
      <c r="R34" s="543">
        <v>125.81818181818181</v>
      </c>
      <c r="S34" s="542">
        <f t="shared" si="8"/>
        <v>6</v>
      </c>
      <c r="T34" s="648"/>
      <c r="U34" s="542">
        <v>12</v>
      </c>
      <c r="V34" s="543">
        <v>1482.7499999999995</v>
      </c>
      <c r="W34" s="543">
        <v>123.56249999999996</v>
      </c>
      <c r="X34" s="542">
        <f t="shared" si="10"/>
        <v>7</v>
      </c>
      <c r="Y34" s="648"/>
      <c r="Z34" s="542">
        <v>12</v>
      </c>
      <c r="AA34" s="543">
        <v>1503.5294117647059</v>
      </c>
      <c r="AB34" s="543">
        <v>125.29411764705883</v>
      </c>
      <c r="AC34" s="542">
        <f t="shared" si="12"/>
        <v>7</v>
      </c>
      <c r="AD34" s="648"/>
      <c r="AE34" s="542">
        <v>12</v>
      </c>
      <c r="AF34" s="543">
        <v>1507.5</v>
      </c>
      <c r="AG34" s="543">
        <v>125.625</v>
      </c>
      <c r="AH34" s="542">
        <f t="shared" si="14"/>
        <v>6</v>
      </c>
      <c r="AI34" s="648"/>
      <c r="AJ34" s="542">
        <v>12</v>
      </c>
      <c r="AK34" s="543">
        <v>1506.2500000000005</v>
      </c>
      <c r="AL34" s="543">
        <v>125.52083333333337</v>
      </c>
      <c r="AM34" s="542">
        <f t="shared" si="16"/>
        <v>6</v>
      </c>
      <c r="AN34" s="648"/>
      <c r="AO34" s="542">
        <v>12</v>
      </c>
      <c r="AP34" s="543">
        <v>1506.2500000000005</v>
      </c>
      <c r="AQ34" s="543">
        <v>125.52083333333337</v>
      </c>
      <c r="AR34" s="542">
        <f t="shared" si="18"/>
        <v>6</v>
      </c>
      <c r="AS34" s="648"/>
      <c r="AT34" s="542">
        <v>12</v>
      </c>
      <c r="AU34" s="543">
        <v>1523.6619718309862</v>
      </c>
      <c r="AV34" s="543">
        <v>126.97183098591552</v>
      </c>
      <c r="AW34" s="542">
        <f t="shared" si="20"/>
        <v>6</v>
      </c>
      <c r="AX34" s="648"/>
      <c r="AZ34" s="372" t="e">
        <f t="shared" si="22"/>
        <v>#N/A</v>
      </c>
      <c r="BA34" s="648"/>
    </row>
    <row r="35" spans="2:53">
      <c r="B35" s="646"/>
      <c r="C35" s="384">
        <v>9</v>
      </c>
      <c r="D35" s="225" t="s">
        <v>617</v>
      </c>
      <c r="E35" s="539">
        <v>12</v>
      </c>
      <c r="F35" s="535">
        <v>2000</v>
      </c>
      <c r="G35" s="534">
        <v>166.66666666666666</v>
      </c>
      <c r="H35" s="671"/>
      <c r="I35" s="385">
        <f t="shared" si="5"/>
        <v>12</v>
      </c>
      <c r="J35" s="385">
        <f t="shared" si="6"/>
        <v>1477.3433513747912</v>
      </c>
      <c r="K35" s="199">
        <f t="shared" si="7"/>
        <v>123.11194594789927</v>
      </c>
      <c r="L35" s="617"/>
      <c r="M35" s="392">
        <f>RANK(K35, K$24:$K$41)</f>
        <v>7</v>
      </c>
      <c r="N35" s="635"/>
      <c r="O35" s="635"/>
      <c r="P35" s="542">
        <v>12</v>
      </c>
      <c r="Q35" s="543">
        <v>1492.4999999999995</v>
      </c>
      <c r="R35" s="543">
        <v>124.37499999999996</v>
      </c>
      <c r="S35" s="542">
        <f t="shared" si="8"/>
        <v>7</v>
      </c>
      <c r="T35" s="648"/>
      <c r="U35" s="542">
        <v>12</v>
      </c>
      <c r="V35" s="543">
        <v>1538.1818181818182</v>
      </c>
      <c r="W35" s="543">
        <v>128.18181818181819</v>
      </c>
      <c r="X35" s="542">
        <f t="shared" si="10"/>
        <v>6</v>
      </c>
      <c r="Y35" s="648"/>
      <c r="Z35" s="542">
        <v>12</v>
      </c>
      <c r="AA35" s="543">
        <v>1525.0000000000002</v>
      </c>
      <c r="AB35" s="543">
        <v>127.08333333333336</v>
      </c>
      <c r="AC35" s="542">
        <f t="shared" si="12"/>
        <v>6</v>
      </c>
      <c r="AD35" s="648"/>
      <c r="AE35" s="542">
        <v>12</v>
      </c>
      <c r="AF35" s="543">
        <v>1299.2307692307697</v>
      </c>
      <c r="AG35" s="543">
        <v>108.26923076923082</v>
      </c>
      <c r="AH35" s="542">
        <f t="shared" si="14"/>
        <v>8</v>
      </c>
      <c r="AI35" s="648"/>
      <c r="AJ35" s="542">
        <v>12</v>
      </c>
      <c r="AK35" s="543">
        <v>1502.0689655172403</v>
      </c>
      <c r="AL35" s="543">
        <v>125.17241379310336</v>
      </c>
      <c r="AM35" s="542">
        <f t="shared" si="16"/>
        <v>7</v>
      </c>
      <c r="AN35" s="648"/>
      <c r="AO35" s="542">
        <v>12</v>
      </c>
      <c r="AP35" s="543">
        <v>1502.0689655172403</v>
      </c>
      <c r="AQ35" s="543">
        <v>125.17241379310336</v>
      </c>
      <c r="AR35" s="542">
        <f t="shared" si="18"/>
        <v>7</v>
      </c>
      <c r="AS35" s="648"/>
      <c r="AT35" s="542">
        <v>12</v>
      </c>
      <c r="AU35" s="543">
        <v>1482.3529411764707</v>
      </c>
      <c r="AV35" s="543">
        <v>123.5294117647059</v>
      </c>
      <c r="AW35" s="542">
        <f t="shared" si="20"/>
        <v>7</v>
      </c>
      <c r="AX35" s="648"/>
      <c r="AZ35" s="372" t="e">
        <f t="shared" si="22"/>
        <v>#N/A</v>
      </c>
      <c r="BA35" s="648"/>
    </row>
    <row r="36" spans="2:53">
      <c r="B36" s="646"/>
      <c r="C36" s="384">
        <v>10</v>
      </c>
      <c r="D36" s="225" t="s">
        <v>629</v>
      </c>
      <c r="E36" s="539">
        <v>16</v>
      </c>
      <c r="F36" s="535">
        <v>1385</v>
      </c>
      <c r="G36" s="534">
        <v>86.5</v>
      </c>
      <c r="H36" s="671"/>
      <c r="I36" s="385">
        <f t="shared" si="5"/>
        <v>16</v>
      </c>
      <c r="J36" s="385">
        <f t="shared" si="6"/>
        <v>1124.7987589050203</v>
      </c>
      <c r="K36" s="199">
        <f t="shared" si="7"/>
        <v>70.299922431563772</v>
      </c>
      <c r="L36" s="617"/>
      <c r="M36" s="392">
        <f>RANK(K36, K$24:$K$41)</f>
        <v>10</v>
      </c>
      <c r="N36" s="635"/>
      <c r="O36" s="635"/>
      <c r="P36" s="542">
        <v>16</v>
      </c>
      <c r="Q36" s="543">
        <v>1127.0967741935485</v>
      </c>
      <c r="R36" s="543">
        <v>70.443548387096783</v>
      </c>
      <c r="S36" s="542">
        <f t="shared" si="8"/>
        <v>10</v>
      </c>
      <c r="T36" s="648"/>
      <c r="U36" s="542">
        <v>16</v>
      </c>
      <c r="V36" s="543">
        <v>1130.1176470588234</v>
      </c>
      <c r="W36" s="543">
        <v>70.632352941176464</v>
      </c>
      <c r="X36" s="542">
        <f t="shared" si="10"/>
        <v>10</v>
      </c>
      <c r="Y36" s="648"/>
      <c r="Z36" s="542">
        <v>16</v>
      </c>
      <c r="AA36" s="543">
        <v>1135.3846153846155</v>
      </c>
      <c r="AB36" s="543">
        <v>70.961538461538467</v>
      </c>
      <c r="AC36" s="542">
        <f t="shared" si="12"/>
        <v>10</v>
      </c>
      <c r="AD36" s="648"/>
      <c r="AE36" s="542">
        <v>16</v>
      </c>
      <c r="AF36" s="543">
        <v>1128.1818181818182</v>
      </c>
      <c r="AG36" s="543">
        <v>70.51136363636364</v>
      </c>
      <c r="AH36" s="542">
        <f t="shared" si="14"/>
        <v>10</v>
      </c>
      <c r="AI36" s="648"/>
      <c r="AJ36" s="542">
        <v>16</v>
      </c>
      <c r="AK36" s="543">
        <v>1111.1111111111106</v>
      </c>
      <c r="AL36" s="543">
        <v>69.444444444444414</v>
      </c>
      <c r="AM36" s="542">
        <f t="shared" si="16"/>
        <v>10</v>
      </c>
      <c r="AN36" s="648"/>
      <c r="AO36" s="542">
        <v>16</v>
      </c>
      <c r="AP36" s="543">
        <v>1111.1111111111106</v>
      </c>
      <c r="AQ36" s="543">
        <v>69.444444444444414</v>
      </c>
      <c r="AR36" s="542">
        <f t="shared" si="18"/>
        <v>10</v>
      </c>
      <c r="AS36" s="648"/>
      <c r="AT36" s="542">
        <v>16</v>
      </c>
      <c r="AU36" s="543">
        <v>1130.5882352941173</v>
      </c>
      <c r="AV36" s="543">
        <v>70.661764705882334</v>
      </c>
      <c r="AW36" s="542">
        <f t="shared" si="20"/>
        <v>10</v>
      </c>
      <c r="AX36" s="648"/>
      <c r="AZ36" s="372" t="e">
        <f t="shared" si="22"/>
        <v>#N/A</v>
      </c>
      <c r="BA36" s="648"/>
    </row>
    <row r="37" spans="2:53">
      <c r="B37" s="646"/>
      <c r="C37" s="384">
        <v>11</v>
      </c>
      <c r="D37" s="225" t="s">
        <v>634</v>
      </c>
      <c r="E37" s="539">
        <v>7</v>
      </c>
      <c r="F37" s="535">
        <v>1500</v>
      </c>
      <c r="G37" s="534">
        <v>214.28571428571428</v>
      </c>
      <c r="H37" s="671"/>
      <c r="I37" s="385">
        <f t="shared" si="5"/>
        <v>7</v>
      </c>
      <c r="J37" s="385">
        <f t="shared" si="6"/>
        <v>1474.4368152298848</v>
      </c>
      <c r="K37" s="199">
        <f t="shared" si="7"/>
        <v>210.63383074712644</v>
      </c>
      <c r="L37" s="617"/>
      <c r="M37" s="392">
        <f>RANK(K37, K$24:$K$41)</f>
        <v>1</v>
      </c>
      <c r="N37" s="635"/>
      <c r="O37" s="635"/>
      <c r="P37" s="542">
        <v>7</v>
      </c>
      <c r="Q37" s="543">
        <v>1466.896551724137</v>
      </c>
      <c r="R37" s="543">
        <v>209.55665024630528</v>
      </c>
      <c r="S37" s="542">
        <f t="shared" si="8"/>
        <v>2</v>
      </c>
      <c r="T37" s="648"/>
      <c r="U37" s="542">
        <v>7</v>
      </c>
      <c r="V37" s="543">
        <v>1470</v>
      </c>
      <c r="W37" s="543">
        <v>210</v>
      </c>
      <c r="X37" s="542">
        <f t="shared" si="10"/>
        <v>1</v>
      </c>
      <c r="Y37" s="648"/>
      <c r="Z37" s="542">
        <v>7</v>
      </c>
      <c r="AA37" s="543">
        <v>1476.4864864864869</v>
      </c>
      <c r="AB37" s="543">
        <v>210.926640926641</v>
      </c>
      <c r="AC37" s="542">
        <f t="shared" si="12"/>
        <v>2</v>
      </c>
      <c r="AD37" s="648"/>
      <c r="AE37" s="542">
        <v>7</v>
      </c>
      <c r="AF37" s="543">
        <v>1462.3255813953488</v>
      </c>
      <c r="AG37" s="543">
        <v>208.90365448504983</v>
      </c>
      <c r="AH37" s="542">
        <f t="shared" si="14"/>
        <v>1</v>
      </c>
      <c r="AI37" s="648"/>
      <c r="AJ37" s="542">
        <v>7</v>
      </c>
      <c r="AK37" s="543">
        <v>1485.30612244898</v>
      </c>
      <c r="AL37" s="543">
        <v>212.18658892128286</v>
      </c>
      <c r="AM37" s="542">
        <f t="shared" si="16"/>
        <v>1</v>
      </c>
      <c r="AN37" s="648"/>
      <c r="AO37" s="542">
        <v>7</v>
      </c>
      <c r="AP37" s="543">
        <v>1485.30612244898</v>
      </c>
      <c r="AQ37" s="543">
        <v>212.18658892128286</v>
      </c>
      <c r="AR37" s="542">
        <f t="shared" si="18"/>
        <v>1</v>
      </c>
      <c r="AS37" s="648"/>
      <c r="AT37" s="542">
        <v>7</v>
      </c>
      <c r="AU37" s="543">
        <v>1474.7368421052622</v>
      </c>
      <c r="AV37" s="543">
        <v>210.67669172932318</v>
      </c>
      <c r="AW37" s="542">
        <f t="shared" si="20"/>
        <v>1</v>
      </c>
      <c r="AX37" s="648"/>
      <c r="AZ37" s="372" t="e">
        <f t="shared" si="22"/>
        <v>#N/A</v>
      </c>
      <c r="BA37" s="648"/>
    </row>
    <row r="38" spans="2:53">
      <c r="B38" s="646"/>
      <c r="C38" s="384">
        <v>12</v>
      </c>
      <c r="D38" s="225"/>
      <c r="E38" s="539"/>
      <c r="F38" s="535"/>
      <c r="G38" s="534"/>
      <c r="H38" s="671"/>
      <c r="I38" s="385" t="str">
        <f t="shared" si="5"/>
        <v>-</v>
      </c>
      <c r="J38" s="385" t="str">
        <f t="shared" si="6"/>
        <v>-</v>
      </c>
      <c r="K38" s="199" t="str">
        <f t="shared" si="7"/>
        <v>-</v>
      </c>
      <c r="L38" s="617"/>
      <c r="M38" s="392" t="e">
        <f>RANK(K38, K$24:$K$41)</f>
        <v>#VALUE!</v>
      </c>
      <c r="N38" s="635"/>
      <c r="O38" s="635"/>
      <c r="P38" s="542" t="s">
        <v>592</v>
      </c>
      <c r="Q38" s="543" t="s">
        <v>592</v>
      </c>
      <c r="R38" s="543" t="s">
        <v>592</v>
      </c>
      <c r="S38" s="542" t="e">
        <f t="shared" si="8"/>
        <v>#VALUE!</v>
      </c>
      <c r="T38" s="648"/>
      <c r="U38" s="542" t="s">
        <v>592</v>
      </c>
      <c r="V38" s="543" t="s">
        <v>592</v>
      </c>
      <c r="W38" s="543" t="s">
        <v>592</v>
      </c>
      <c r="X38" s="542" t="e">
        <f t="shared" si="10"/>
        <v>#VALUE!</v>
      </c>
      <c r="Y38" s="648"/>
      <c r="Z38" s="542" t="s">
        <v>592</v>
      </c>
      <c r="AA38" s="543" t="s">
        <v>592</v>
      </c>
      <c r="AB38" s="543" t="s">
        <v>592</v>
      </c>
      <c r="AC38" s="542" t="e">
        <f t="shared" si="12"/>
        <v>#VALUE!</v>
      </c>
      <c r="AD38" s="648"/>
      <c r="AE38" s="542" t="s">
        <v>592</v>
      </c>
      <c r="AF38" s="543" t="s">
        <v>592</v>
      </c>
      <c r="AG38" s="543" t="s">
        <v>592</v>
      </c>
      <c r="AH38" s="542" t="e">
        <f t="shared" si="14"/>
        <v>#VALUE!</v>
      </c>
      <c r="AI38" s="648"/>
      <c r="AJ38" s="542" t="s">
        <v>592</v>
      </c>
      <c r="AK38" s="543" t="s">
        <v>592</v>
      </c>
      <c r="AL38" s="543" t="s">
        <v>592</v>
      </c>
      <c r="AM38" s="542" t="e">
        <f t="shared" si="16"/>
        <v>#VALUE!</v>
      </c>
      <c r="AN38" s="648"/>
      <c r="AO38" s="542" t="s">
        <v>592</v>
      </c>
      <c r="AP38" s="543" t="s">
        <v>592</v>
      </c>
      <c r="AQ38" s="543" t="s">
        <v>592</v>
      </c>
      <c r="AR38" s="542" t="e">
        <f t="shared" si="18"/>
        <v>#VALUE!</v>
      </c>
      <c r="AS38" s="648"/>
      <c r="AT38" s="542" t="s">
        <v>592</v>
      </c>
      <c r="AU38" s="543" t="s">
        <v>592</v>
      </c>
      <c r="AV38" s="543" t="s">
        <v>592</v>
      </c>
      <c r="AW38" s="542" t="e">
        <f t="shared" si="20"/>
        <v>#VALUE!</v>
      </c>
      <c r="AX38" s="648"/>
      <c r="AZ38" s="372" t="e">
        <f t="shared" si="22"/>
        <v>#N/A</v>
      </c>
      <c r="BA38" s="648"/>
    </row>
    <row r="39" spans="2:53">
      <c r="B39" s="646"/>
      <c r="C39" s="384">
        <v>13</v>
      </c>
      <c r="D39" s="225"/>
      <c r="E39" s="539"/>
      <c r="F39" s="535"/>
      <c r="G39" s="534"/>
      <c r="H39" s="671"/>
      <c r="I39" s="385" t="str">
        <f t="shared" si="5"/>
        <v>-</v>
      </c>
      <c r="J39" s="385" t="str">
        <f t="shared" si="6"/>
        <v>-</v>
      </c>
      <c r="K39" s="199" t="str">
        <f t="shared" si="7"/>
        <v>-</v>
      </c>
      <c r="L39" s="617"/>
      <c r="M39" s="392" t="e">
        <f>RANK(K39, K$24:$K$41)</f>
        <v>#VALUE!</v>
      </c>
      <c r="N39" s="635"/>
      <c r="O39" s="635"/>
      <c r="P39" s="542" t="s">
        <v>592</v>
      </c>
      <c r="Q39" s="543" t="s">
        <v>592</v>
      </c>
      <c r="R39" s="543" t="s">
        <v>592</v>
      </c>
      <c r="S39" s="542" t="e">
        <f t="shared" si="8"/>
        <v>#VALUE!</v>
      </c>
      <c r="T39" s="648"/>
      <c r="U39" s="542" t="s">
        <v>592</v>
      </c>
      <c r="V39" s="543" t="s">
        <v>592</v>
      </c>
      <c r="W39" s="543" t="s">
        <v>592</v>
      </c>
      <c r="X39" s="542" t="e">
        <f t="shared" si="10"/>
        <v>#VALUE!</v>
      </c>
      <c r="Y39" s="648"/>
      <c r="Z39" s="542" t="s">
        <v>592</v>
      </c>
      <c r="AA39" s="543" t="s">
        <v>592</v>
      </c>
      <c r="AB39" s="543" t="s">
        <v>592</v>
      </c>
      <c r="AC39" s="542" t="e">
        <f t="shared" si="12"/>
        <v>#VALUE!</v>
      </c>
      <c r="AD39" s="648"/>
      <c r="AE39" s="542" t="s">
        <v>592</v>
      </c>
      <c r="AF39" s="543" t="s">
        <v>592</v>
      </c>
      <c r="AG39" s="543" t="s">
        <v>592</v>
      </c>
      <c r="AH39" s="542" t="e">
        <f t="shared" si="14"/>
        <v>#VALUE!</v>
      </c>
      <c r="AI39" s="648"/>
      <c r="AJ39" s="542" t="s">
        <v>592</v>
      </c>
      <c r="AK39" s="543" t="s">
        <v>592</v>
      </c>
      <c r="AL39" s="543" t="s">
        <v>592</v>
      </c>
      <c r="AM39" s="542" t="e">
        <f t="shared" si="16"/>
        <v>#VALUE!</v>
      </c>
      <c r="AN39" s="648"/>
      <c r="AO39" s="542" t="s">
        <v>592</v>
      </c>
      <c r="AP39" s="543" t="s">
        <v>592</v>
      </c>
      <c r="AQ39" s="543" t="s">
        <v>592</v>
      </c>
      <c r="AR39" s="542" t="e">
        <f t="shared" si="18"/>
        <v>#VALUE!</v>
      </c>
      <c r="AS39" s="648"/>
      <c r="AT39" s="542" t="s">
        <v>592</v>
      </c>
      <c r="AU39" s="543" t="s">
        <v>592</v>
      </c>
      <c r="AV39" s="543" t="s">
        <v>592</v>
      </c>
      <c r="AW39" s="542" t="e">
        <f t="shared" si="20"/>
        <v>#VALUE!</v>
      </c>
      <c r="AX39" s="648"/>
      <c r="AZ39" s="372" t="e">
        <f t="shared" si="22"/>
        <v>#N/A</v>
      </c>
      <c r="BA39" s="648"/>
    </row>
    <row r="40" spans="2:53">
      <c r="B40" s="646"/>
      <c r="C40" s="384">
        <v>14</v>
      </c>
      <c r="D40" s="225"/>
      <c r="E40" s="539"/>
      <c r="F40" s="535"/>
      <c r="G40" s="534"/>
      <c r="H40" s="671"/>
      <c r="I40" s="385" t="str">
        <f t="shared" si="5"/>
        <v>-</v>
      </c>
      <c r="J40" s="385" t="str">
        <f t="shared" si="6"/>
        <v>-</v>
      </c>
      <c r="K40" s="199" t="str">
        <f t="shared" si="7"/>
        <v>-</v>
      </c>
      <c r="L40" s="617"/>
      <c r="M40" s="392" t="e">
        <f>RANK(K40, K$24:$K$41)</f>
        <v>#VALUE!</v>
      </c>
      <c r="N40" s="635"/>
      <c r="O40" s="635"/>
      <c r="P40" s="542" t="s">
        <v>592</v>
      </c>
      <c r="Q40" s="543" t="s">
        <v>592</v>
      </c>
      <c r="R40" s="543" t="s">
        <v>592</v>
      </c>
      <c r="S40" s="542" t="e">
        <f t="shared" si="8"/>
        <v>#VALUE!</v>
      </c>
      <c r="T40" s="648"/>
      <c r="U40" s="542" t="s">
        <v>592</v>
      </c>
      <c r="V40" s="543" t="s">
        <v>592</v>
      </c>
      <c r="W40" s="543" t="s">
        <v>592</v>
      </c>
      <c r="X40" s="542" t="e">
        <f t="shared" si="10"/>
        <v>#VALUE!</v>
      </c>
      <c r="Y40" s="648"/>
      <c r="Z40" s="542" t="s">
        <v>592</v>
      </c>
      <c r="AA40" s="543" t="s">
        <v>592</v>
      </c>
      <c r="AB40" s="543" t="s">
        <v>592</v>
      </c>
      <c r="AC40" s="542" t="e">
        <f t="shared" si="12"/>
        <v>#VALUE!</v>
      </c>
      <c r="AD40" s="648"/>
      <c r="AE40" s="542" t="s">
        <v>592</v>
      </c>
      <c r="AF40" s="543" t="s">
        <v>592</v>
      </c>
      <c r="AG40" s="543" t="s">
        <v>592</v>
      </c>
      <c r="AH40" s="542" t="e">
        <f t="shared" si="14"/>
        <v>#VALUE!</v>
      </c>
      <c r="AI40" s="648"/>
      <c r="AJ40" s="542" t="s">
        <v>592</v>
      </c>
      <c r="AK40" s="543" t="s">
        <v>592</v>
      </c>
      <c r="AL40" s="543" t="s">
        <v>592</v>
      </c>
      <c r="AM40" s="542" t="e">
        <f t="shared" si="16"/>
        <v>#VALUE!</v>
      </c>
      <c r="AN40" s="648"/>
      <c r="AO40" s="542" t="s">
        <v>592</v>
      </c>
      <c r="AP40" s="543" t="s">
        <v>592</v>
      </c>
      <c r="AQ40" s="543" t="s">
        <v>592</v>
      </c>
      <c r="AR40" s="542" t="e">
        <f t="shared" si="18"/>
        <v>#VALUE!</v>
      </c>
      <c r="AS40" s="648"/>
      <c r="AT40" s="542" t="s">
        <v>592</v>
      </c>
      <c r="AU40" s="543" t="s">
        <v>592</v>
      </c>
      <c r="AV40" s="543" t="s">
        <v>592</v>
      </c>
      <c r="AW40" s="542" t="e">
        <f t="shared" si="20"/>
        <v>#VALUE!</v>
      </c>
      <c r="AX40" s="648"/>
      <c r="AZ40" s="372" t="e">
        <f t="shared" si="22"/>
        <v>#N/A</v>
      </c>
      <c r="BA40" s="648"/>
    </row>
    <row r="41" spans="2:53">
      <c r="B41" s="646"/>
      <c r="C41" s="384">
        <v>15</v>
      </c>
      <c r="D41" s="225"/>
      <c r="E41" s="539"/>
      <c r="F41" s="535"/>
      <c r="G41" s="534"/>
      <c r="H41" s="680"/>
      <c r="I41" s="384"/>
      <c r="J41" s="384"/>
      <c r="K41" s="384"/>
      <c r="L41" s="618"/>
      <c r="M41" s="392" t="e">
        <f>RANK(K41, K$24:$K$41)</f>
        <v>#N/A</v>
      </c>
      <c r="N41" s="635"/>
      <c r="O41" s="635"/>
      <c r="P41" s="542" t="s">
        <v>592</v>
      </c>
      <c r="Q41" s="543" t="s">
        <v>592</v>
      </c>
      <c r="R41" s="543" t="s">
        <v>592</v>
      </c>
      <c r="S41" s="542" t="e">
        <f t="shared" si="8"/>
        <v>#VALUE!</v>
      </c>
      <c r="T41" s="649"/>
      <c r="U41" s="542" t="s">
        <v>592</v>
      </c>
      <c r="V41" s="543" t="s">
        <v>592</v>
      </c>
      <c r="W41" s="543" t="s">
        <v>592</v>
      </c>
      <c r="X41" s="542" t="e">
        <f t="shared" si="10"/>
        <v>#VALUE!</v>
      </c>
      <c r="Y41" s="649"/>
      <c r="Z41" s="542" t="s">
        <v>592</v>
      </c>
      <c r="AA41" s="543" t="s">
        <v>592</v>
      </c>
      <c r="AB41" s="543" t="s">
        <v>592</v>
      </c>
      <c r="AC41" s="542" t="e">
        <f t="shared" si="12"/>
        <v>#VALUE!</v>
      </c>
      <c r="AD41" s="649"/>
      <c r="AE41" s="542" t="s">
        <v>592</v>
      </c>
      <c r="AF41" s="543" t="s">
        <v>592</v>
      </c>
      <c r="AG41" s="543" t="s">
        <v>592</v>
      </c>
      <c r="AH41" s="542" t="e">
        <f t="shared" si="14"/>
        <v>#VALUE!</v>
      </c>
      <c r="AI41" s="649"/>
      <c r="AJ41" s="542" t="s">
        <v>592</v>
      </c>
      <c r="AK41" s="543" t="s">
        <v>592</v>
      </c>
      <c r="AL41" s="543" t="s">
        <v>592</v>
      </c>
      <c r="AM41" s="542" t="e">
        <f t="shared" si="16"/>
        <v>#VALUE!</v>
      </c>
      <c r="AN41" s="649"/>
      <c r="AO41" s="542" t="s">
        <v>592</v>
      </c>
      <c r="AP41" s="543" t="s">
        <v>592</v>
      </c>
      <c r="AQ41" s="543" t="s">
        <v>592</v>
      </c>
      <c r="AR41" s="542" t="e">
        <f t="shared" si="18"/>
        <v>#VALUE!</v>
      </c>
      <c r="AS41" s="649"/>
      <c r="AT41" s="542" t="s">
        <v>592</v>
      </c>
      <c r="AU41" s="543" t="s">
        <v>592</v>
      </c>
      <c r="AV41" s="543" t="s">
        <v>592</v>
      </c>
      <c r="AW41" s="542" t="e">
        <f t="shared" si="20"/>
        <v>#VALUE!</v>
      </c>
      <c r="AX41" s="649"/>
      <c r="AZ41" s="372" t="e">
        <f t="shared" si="22"/>
        <v>#N/A</v>
      </c>
      <c r="BA41" s="649"/>
    </row>
    <row r="42" spans="2:53" ht="15.75">
      <c r="B42" s="666" t="s">
        <v>162</v>
      </c>
      <c r="C42" s="667"/>
      <c r="D42" s="667"/>
      <c r="E42" s="667"/>
      <c r="F42" s="667"/>
      <c r="G42" s="667"/>
      <c r="H42" s="667"/>
      <c r="I42" s="207"/>
      <c r="J42" s="202"/>
      <c r="K42" s="207"/>
      <c r="L42" s="207"/>
      <c r="M42" s="203"/>
      <c r="N42" s="639" t="s">
        <v>156</v>
      </c>
      <c r="O42" s="639" t="s">
        <v>105</v>
      </c>
      <c r="P42" s="645">
        <f>P22+7</f>
        <v>46217</v>
      </c>
      <c r="Q42" s="646"/>
      <c r="R42" s="646"/>
      <c r="S42" s="646"/>
      <c r="T42" s="646"/>
      <c r="U42" s="642">
        <f>P42+1</f>
        <v>46218</v>
      </c>
      <c r="V42" s="643"/>
      <c r="W42" s="643"/>
      <c r="X42" s="643"/>
      <c r="Y42" s="644"/>
      <c r="Z42" s="642">
        <f>U42+1</f>
        <v>46219</v>
      </c>
      <c r="AA42" s="643"/>
      <c r="AB42" s="643"/>
      <c r="AC42" s="643"/>
      <c r="AD42" s="644"/>
      <c r="AE42" s="642">
        <f>Z42+1</f>
        <v>46220</v>
      </c>
      <c r="AF42" s="643"/>
      <c r="AG42" s="643"/>
      <c r="AH42" s="643"/>
      <c r="AI42" s="644"/>
      <c r="AJ42" s="642">
        <f>AE42+1</f>
        <v>46221</v>
      </c>
      <c r="AK42" s="643"/>
      <c r="AL42" s="643"/>
      <c r="AM42" s="643"/>
      <c r="AN42" s="644"/>
      <c r="AO42" s="642">
        <f>AJ42+1</f>
        <v>46222</v>
      </c>
      <c r="AP42" s="643"/>
      <c r="AQ42" s="643"/>
      <c r="AR42" s="643"/>
      <c r="AS42" s="644"/>
      <c r="AT42" s="642">
        <f>AO42+1</f>
        <v>46223</v>
      </c>
      <c r="AU42" s="643"/>
      <c r="AV42" s="643"/>
      <c r="AW42" s="643"/>
      <c r="AX42" s="644"/>
    </row>
    <row r="43" spans="2:53" ht="15.75">
      <c r="B43" s="653"/>
      <c r="C43" s="653"/>
      <c r="D43" s="653"/>
      <c r="E43" s="653"/>
      <c r="F43" s="653"/>
      <c r="G43" s="653"/>
      <c r="H43" s="653"/>
      <c r="I43" s="204"/>
      <c r="J43" s="204"/>
      <c r="K43" s="204"/>
      <c r="L43" s="204"/>
      <c r="M43" s="205"/>
      <c r="N43" s="641"/>
      <c r="O43" s="641"/>
      <c r="P43" s="645" t="s">
        <v>317</v>
      </c>
      <c r="Q43" s="646"/>
      <c r="R43" s="646"/>
      <c r="S43" s="646"/>
      <c r="T43" s="646"/>
      <c r="U43" s="645" t="s">
        <v>318</v>
      </c>
      <c r="V43" s="646"/>
      <c r="W43" s="646"/>
      <c r="X43" s="646"/>
      <c r="Y43" s="646"/>
      <c r="Z43" s="645" t="s">
        <v>319</v>
      </c>
      <c r="AA43" s="646"/>
      <c r="AB43" s="646"/>
      <c r="AC43" s="646"/>
      <c r="AD43" s="646"/>
      <c r="AE43" s="645" t="s">
        <v>320</v>
      </c>
      <c r="AF43" s="646"/>
      <c r="AG43" s="646"/>
      <c r="AH43" s="646"/>
      <c r="AI43" s="646"/>
      <c r="AJ43" s="645" t="s">
        <v>321</v>
      </c>
      <c r="AK43" s="646"/>
      <c r="AL43" s="646"/>
      <c r="AM43" s="646"/>
      <c r="AN43" s="646"/>
      <c r="AO43" s="645" t="s">
        <v>322</v>
      </c>
      <c r="AP43" s="646"/>
      <c r="AQ43" s="646"/>
      <c r="AR43" s="646"/>
      <c r="AS43" s="646"/>
      <c r="AT43" s="645" t="s">
        <v>323</v>
      </c>
      <c r="AU43" s="646"/>
      <c r="AV43" s="646"/>
      <c r="AW43" s="646"/>
      <c r="AX43" s="646"/>
    </row>
    <row r="44" spans="2:53">
      <c r="B44" s="635" t="s">
        <v>456</v>
      </c>
      <c r="C44" s="635" t="s">
        <v>536</v>
      </c>
      <c r="D44" s="635"/>
      <c r="E44" s="635" t="s">
        <v>537</v>
      </c>
      <c r="F44" s="635"/>
      <c r="G44" s="635"/>
      <c r="H44" s="636" t="s">
        <v>538</v>
      </c>
      <c r="I44" s="635" t="s">
        <v>539</v>
      </c>
      <c r="J44" s="635"/>
      <c r="K44" s="635"/>
      <c r="L44" s="636" t="s">
        <v>369</v>
      </c>
      <c r="M44" s="639" t="s">
        <v>540</v>
      </c>
      <c r="N44" s="635"/>
      <c r="O44" s="635" t="s">
        <v>375</v>
      </c>
      <c r="P44" s="632" t="s">
        <v>371</v>
      </c>
      <c r="Q44" s="633"/>
      <c r="R44" s="633"/>
      <c r="S44" s="634"/>
      <c r="T44" s="635" t="s">
        <v>369</v>
      </c>
      <c r="U44" s="632" t="s">
        <v>371</v>
      </c>
      <c r="V44" s="633"/>
      <c r="W44" s="633"/>
      <c r="X44" s="634"/>
      <c r="Y44" s="635" t="s">
        <v>369</v>
      </c>
      <c r="Z44" s="632" t="s">
        <v>371</v>
      </c>
      <c r="AA44" s="633"/>
      <c r="AB44" s="633"/>
      <c r="AC44" s="634"/>
      <c r="AD44" s="635" t="s">
        <v>369</v>
      </c>
      <c r="AE44" s="632" t="s">
        <v>371</v>
      </c>
      <c r="AF44" s="633"/>
      <c r="AG44" s="633"/>
      <c r="AH44" s="634"/>
      <c r="AI44" s="635" t="s">
        <v>369</v>
      </c>
      <c r="AJ44" s="632" t="s">
        <v>371</v>
      </c>
      <c r="AK44" s="633"/>
      <c r="AL44" s="633"/>
      <c r="AM44" s="634"/>
      <c r="AN44" s="635" t="s">
        <v>369</v>
      </c>
      <c r="AO44" s="632" t="s">
        <v>371</v>
      </c>
      <c r="AP44" s="633"/>
      <c r="AQ44" s="633"/>
      <c r="AR44" s="634"/>
      <c r="AS44" s="635" t="s">
        <v>369</v>
      </c>
      <c r="AT44" s="632" t="s">
        <v>371</v>
      </c>
      <c r="AU44" s="633"/>
      <c r="AV44" s="633"/>
      <c r="AW44" s="634"/>
      <c r="AX44" s="635" t="s">
        <v>369</v>
      </c>
      <c r="BA44" s="635" t="s">
        <v>369</v>
      </c>
    </row>
    <row r="45" spans="2:53">
      <c r="B45" s="635"/>
      <c r="C45" s="635"/>
      <c r="D45" s="635"/>
      <c r="E45" s="635" t="s">
        <v>542</v>
      </c>
      <c r="F45" s="635"/>
      <c r="G45" s="635"/>
      <c r="H45" s="637"/>
      <c r="I45" s="635" t="s">
        <v>542</v>
      </c>
      <c r="J45" s="635"/>
      <c r="K45" s="635"/>
      <c r="L45" s="637"/>
      <c r="M45" s="640"/>
      <c r="N45" s="635"/>
      <c r="O45" s="635"/>
      <c r="P45" s="632" t="s">
        <v>377</v>
      </c>
      <c r="Q45" s="633"/>
      <c r="R45" s="633"/>
      <c r="S45" s="634"/>
      <c r="T45" s="635"/>
      <c r="U45" s="632" t="s">
        <v>377</v>
      </c>
      <c r="V45" s="633"/>
      <c r="W45" s="633"/>
      <c r="X45" s="634"/>
      <c r="Y45" s="635"/>
      <c r="Z45" s="632" t="s">
        <v>377</v>
      </c>
      <c r="AA45" s="633"/>
      <c r="AB45" s="633"/>
      <c r="AC45" s="634"/>
      <c r="AD45" s="635"/>
      <c r="AE45" s="632" t="s">
        <v>377</v>
      </c>
      <c r="AF45" s="633"/>
      <c r="AG45" s="633"/>
      <c r="AH45" s="634"/>
      <c r="AI45" s="635"/>
      <c r="AJ45" s="632" t="s">
        <v>377</v>
      </c>
      <c r="AK45" s="633"/>
      <c r="AL45" s="633"/>
      <c r="AM45" s="634"/>
      <c r="AN45" s="635"/>
      <c r="AO45" s="632" t="s">
        <v>377</v>
      </c>
      <c r="AP45" s="633"/>
      <c r="AQ45" s="633"/>
      <c r="AR45" s="634"/>
      <c r="AS45" s="635"/>
      <c r="AT45" s="632" t="s">
        <v>377</v>
      </c>
      <c r="AU45" s="633"/>
      <c r="AV45" s="633"/>
      <c r="AW45" s="634"/>
      <c r="AX45" s="635"/>
      <c r="BA45" s="635"/>
    </row>
    <row r="46" spans="2:53">
      <c r="B46" s="635"/>
      <c r="C46" s="635"/>
      <c r="D46" s="635"/>
      <c r="E46" s="382" t="s">
        <v>543</v>
      </c>
      <c r="F46" s="382" t="s">
        <v>544</v>
      </c>
      <c r="G46" s="382" t="s">
        <v>545</v>
      </c>
      <c r="H46" s="638"/>
      <c r="I46" s="382" t="s">
        <v>543</v>
      </c>
      <c r="J46" s="382" t="s">
        <v>544</v>
      </c>
      <c r="K46" s="382" t="s">
        <v>545</v>
      </c>
      <c r="L46" s="638"/>
      <c r="M46" s="641"/>
      <c r="N46" s="635"/>
      <c r="O46" s="635"/>
      <c r="P46" s="382" t="s">
        <v>378</v>
      </c>
      <c r="Q46" s="382" t="s">
        <v>379</v>
      </c>
      <c r="R46" s="382" t="s">
        <v>380</v>
      </c>
      <c r="S46" s="382" t="s">
        <v>370</v>
      </c>
      <c r="T46" s="635"/>
      <c r="U46" s="382" t="s">
        <v>378</v>
      </c>
      <c r="V46" s="382" t="s">
        <v>379</v>
      </c>
      <c r="W46" s="382" t="s">
        <v>380</v>
      </c>
      <c r="X46" s="382" t="s">
        <v>370</v>
      </c>
      <c r="Y46" s="635"/>
      <c r="Z46" s="382" t="s">
        <v>378</v>
      </c>
      <c r="AA46" s="382" t="s">
        <v>379</v>
      </c>
      <c r="AB46" s="382" t="s">
        <v>380</v>
      </c>
      <c r="AC46" s="382" t="s">
        <v>370</v>
      </c>
      <c r="AD46" s="635"/>
      <c r="AE46" s="382" t="s">
        <v>378</v>
      </c>
      <c r="AF46" s="382" t="s">
        <v>379</v>
      </c>
      <c r="AG46" s="382" t="s">
        <v>380</v>
      </c>
      <c r="AH46" s="382" t="s">
        <v>370</v>
      </c>
      <c r="AI46" s="635"/>
      <c r="AJ46" s="382" t="s">
        <v>378</v>
      </c>
      <c r="AK46" s="382" t="s">
        <v>379</v>
      </c>
      <c r="AL46" s="382" t="s">
        <v>380</v>
      </c>
      <c r="AM46" s="382" t="s">
        <v>370</v>
      </c>
      <c r="AN46" s="635"/>
      <c r="AO46" s="382" t="s">
        <v>378</v>
      </c>
      <c r="AP46" s="382" t="s">
        <v>379</v>
      </c>
      <c r="AQ46" s="382" t="s">
        <v>380</v>
      </c>
      <c r="AR46" s="382" t="s">
        <v>370</v>
      </c>
      <c r="AS46" s="635"/>
      <c r="AT46" s="382" t="s">
        <v>378</v>
      </c>
      <c r="AU46" s="382" t="s">
        <v>379</v>
      </c>
      <c r="AV46" s="382" t="s">
        <v>380</v>
      </c>
      <c r="AW46" s="382" t="s">
        <v>370</v>
      </c>
      <c r="AX46" s="635"/>
      <c r="AZ46" s="371" t="s">
        <v>565</v>
      </c>
      <c r="BA46" s="635"/>
    </row>
    <row r="47" spans="2:53">
      <c r="B47" s="635" t="s">
        <v>472</v>
      </c>
      <c r="C47" s="384">
        <v>1</v>
      </c>
      <c r="D47" s="225" t="s">
        <v>356</v>
      </c>
      <c r="E47" s="539">
        <v>7</v>
      </c>
      <c r="F47" s="535">
        <v>1500</v>
      </c>
      <c r="G47" s="534">
        <v>214.28571428571428</v>
      </c>
      <c r="H47" s="670">
        <f>AVERAGE(G47:G61)</f>
        <v>174.62263655462186</v>
      </c>
      <c r="I47" s="385">
        <f t="shared" ref="I47:I60" si="24">IFERROR(AVERAGE(P47,U47,Z47,AE47,AJ47,AO47,AT47),"-")</f>
        <v>7</v>
      </c>
      <c r="J47" s="385">
        <f t="shared" ref="J47:J60" si="25">IFERROR(AVERAGE(Q47,V47,AA47,AF47,AK47,AP47,AU47),"-")</f>
        <v>1447.59447331813</v>
      </c>
      <c r="K47" s="199">
        <f t="shared" ref="K47:K60" si="26">IFERROR(AVERAGE(R47,W47,AB47,AG47,AL47,AQ47,AV47),"-")</f>
        <v>206.79921047401857</v>
      </c>
      <c r="L47" s="616">
        <f>IFERROR(AVERAGE(K47:K61),"-")</f>
        <v>157.07549185780513</v>
      </c>
      <c r="M47" s="389">
        <f>RANK(K47, K$47:$K$61)</f>
        <v>5</v>
      </c>
      <c r="N47" s="635"/>
      <c r="O47" s="635"/>
      <c r="P47" s="546">
        <v>7</v>
      </c>
      <c r="Q47" s="547">
        <v>1442.1052631578948</v>
      </c>
      <c r="R47" s="547">
        <v>206.01503759398497</v>
      </c>
      <c r="S47" s="547">
        <v>5</v>
      </c>
      <c r="T47" s="657">
        <v>157.13588330835253</v>
      </c>
      <c r="U47" s="546">
        <v>7</v>
      </c>
      <c r="V47" s="547">
        <v>1463.7735849056598</v>
      </c>
      <c r="W47" s="547">
        <v>209.11051212937997</v>
      </c>
      <c r="X47" s="547">
        <v>1</v>
      </c>
      <c r="Y47" s="657">
        <v>155.97156557768935</v>
      </c>
      <c r="Z47" s="546">
        <v>7</v>
      </c>
      <c r="AA47" s="547">
        <v>1458.0000000000005</v>
      </c>
      <c r="AB47" s="547">
        <v>208.28571428571436</v>
      </c>
      <c r="AC47" s="547">
        <v>3</v>
      </c>
      <c r="AD47" s="657">
        <v>157.0952018470835</v>
      </c>
      <c r="AE47" s="546">
        <v>7</v>
      </c>
      <c r="AF47" s="547">
        <v>1417.674418604651</v>
      </c>
      <c r="AG47" s="547">
        <v>202.52491694352156</v>
      </c>
      <c r="AH47" s="547">
        <v>5</v>
      </c>
      <c r="AI47" s="657">
        <v>156.9959911846305</v>
      </c>
      <c r="AJ47" s="546">
        <v>7</v>
      </c>
      <c r="AK47" s="547">
        <v>1470.76923076923</v>
      </c>
      <c r="AL47" s="547">
        <v>210.10989010989002</v>
      </c>
      <c r="AM47" s="547">
        <v>1</v>
      </c>
      <c r="AN47" s="657">
        <v>157.08882320875816</v>
      </c>
      <c r="AO47" s="546">
        <v>7</v>
      </c>
      <c r="AP47" s="547">
        <v>1430.5263157894735</v>
      </c>
      <c r="AQ47" s="547">
        <v>204.36090225563908</v>
      </c>
      <c r="AR47" s="547">
        <v>5</v>
      </c>
      <c r="AS47" s="657">
        <v>157.88526901597936</v>
      </c>
      <c r="AT47" s="546">
        <v>7</v>
      </c>
      <c r="AU47" s="547">
        <v>1450.3124999999995</v>
      </c>
      <c r="AV47" s="547">
        <v>207.18749999999994</v>
      </c>
      <c r="AW47" s="547">
        <v>4</v>
      </c>
      <c r="AX47" s="657">
        <v>157.35570886214254</v>
      </c>
      <c r="AZ47" s="372" t="e">
        <f t="shared" ref="AZ47:AZ61" si="27">RANK(AY47, AY$47:AY$61)</f>
        <v>#N/A</v>
      </c>
      <c r="BA47" s="647" t="e">
        <f t="shared" ref="BA47" si="28">AVERAGE(AY47:AY61)</f>
        <v>#DIV/0!</v>
      </c>
    </row>
    <row r="48" spans="2:53">
      <c r="B48" s="646"/>
      <c r="C48" s="384">
        <v>2</v>
      </c>
      <c r="D48" s="225" t="s">
        <v>357</v>
      </c>
      <c r="E48" s="539">
        <v>7</v>
      </c>
      <c r="F48" s="535">
        <v>1500</v>
      </c>
      <c r="G48" s="534">
        <v>214.28571428571428</v>
      </c>
      <c r="H48" s="671"/>
      <c r="I48" s="385">
        <f t="shared" si="24"/>
        <v>7</v>
      </c>
      <c r="J48" s="385">
        <f t="shared" si="25"/>
        <v>1459.466350806128</v>
      </c>
      <c r="K48" s="199">
        <f t="shared" si="26"/>
        <v>208.49519297230401</v>
      </c>
      <c r="L48" s="617"/>
      <c r="M48" s="432">
        <f>RANK(K48, K$47:$K$61)</f>
        <v>1</v>
      </c>
      <c r="N48" s="635"/>
      <c r="O48" s="635"/>
      <c r="P48" s="546">
        <v>7</v>
      </c>
      <c r="Q48" s="547">
        <v>1449.3243243243239</v>
      </c>
      <c r="R48" s="547">
        <v>207.046332046332</v>
      </c>
      <c r="S48" s="547">
        <v>4</v>
      </c>
      <c r="T48" s="657"/>
      <c r="U48" s="546">
        <v>7</v>
      </c>
      <c r="V48" s="547">
        <v>1445.8333333333328</v>
      </c>
      <c r="W48" s="547">
        <v>206.54761904761898</v>
      </c>
      <c r="X48" s="547">
        <v>2</v>
      </c>
      <c r="Y48" s="657"/>
      <c r="Z48" s="546">
        <v>7</v>
      </c>
      <c r="AA48" s="547">
        <v>1461.6541353383459</v>
      </c>
      <c r="AB48" s="547">
        <v>208.8077336197637</v>
      </c>
      <c r="AC48" s="547">
        <v>2</v>
      </c>
      <c r="AD48" s="657"/>
      <c r="AE48" s="546">
        <v>7</v>
      </c>
      <c r="AF48" s="547">
        <v>1458.918918918919</v>
      </c>
      <c r="AG48" s="547">
        <v>208.41698841698843</v>
      </c>
      <c r="AH48" s="547">
        <v>2</v>
      </c>
      <c r="AI48" s="657"/>
      <c r="AJ48" s="546">
        <v>7</v>
      </c>
      <c r="AK48" s="547">
        <v>1466.7272727272725</v>
      </c>
      <c r="AL48" s="547">
        <v>209.53246753246751</v>
      </c>
      <c r="AM48" s="547">
        <v>2</v>
      </c>
      <c r="AN48" s="657"/>
      <c r="AO48" s="546">
        <v>7</v>
      </c>
      <c r="AP48" s="547">
        <v>1474.4776119402986</v>
      </c>
      <c r="AQ48" s="547">
        <v>210.63965884861409</v>
      </c>
      <c r="AR48" s="547">
        <v>2</v>
      </c>
      <c r="AS48" s="657"/>
      <c r="AT48" s="546">
        <v>7</v>
      </c>
      <c r="AU48" s="547">
        <v>1459.3288590604031</v>
      </c>
      <c r="AV48" s="547">
        <v>208.47555129434332</v>
      </c>
      <c r="AW48" s="547">
        <v>2</v>
      </c>
      <c r="AX48" s="657"/>
      <c r="AZ48" s="372" t="e">
        <f t="shared" si="27"/>
        <v>#N/A</v>
      </c>
      <c r="BA48" s="648"/>
    </row>
    <row r="49" spans="2:53">
      <c r="B49" s="646"/>
      <c r="C49" s="384">
        <v>3</v>
      </c>
      <c r="D49" s="225" t="s">
        <v>358</v>
      </c>
      <c r="E49" s="539">
        <v>17</v>
      </c>
      <c r="F49" s="535">
        <v>1500</v>
      </c>
      <c r="G49" s="534">
        <v>88.235294117647058</v>
      </c>
      <c r="H49" s="671"/>
      <c r="I49" s="385">
        <f t="shared" si="24"/>
        <v>16.571428571428573</v>
      </c>
      <c r="J49" s="385">
        <f t="shared" si="25"/>
        <v>1363.8448434761074</v>
      </c>
      <c r="K49" s="199">
        <f t="shared" si="26"/>
        <v>82.360410450208747</v>
      </c>
      <c r="L49" s="617"/>
      <c r="M49" s="432">
        <f>RANK(K49, K$47:$K$61)</f>
        <v>9</v>
      </c>
      <c r="N49" s="635"/>
      <c r="O49" s="635"/>
      <c r="P49" s="546">
        <v>17</v>
      </c>
      <c r="Q49" s="547">
        <v>1370.2040816326535</v>
      </c>
      <c r="R49" s="547">
        <v>80.600240096038434</v>
      </c>
      <c r="S49" s="547">
        <v>9</v>
      </c>
      <c r="T49" s="657"/>
      <c r="U49" s="546">
        <v>17</v>
      </c>
      <c r="V49" s="547">
        <v>1357.7528089887639</v>
      </c>
      <c r="W49" s="547">
        <v>79.867812293456709</v>
      </c>
      <c r="X49" s="547">
        <v>9</v>
      </c>
      <c r="Y49" s="657"/>
      <c r="Z49" s="546">
        <v>17</v>
      </c>
      <c r="AA49" s="547">
        <v>1384.3902439024394</v>
      </c>
      <c r="AB49" s="547">
        <v>81.434720229555253</v>
      </c>
      <c r="AC49" s="547">
        <v>9</v>
      </c>
      <c r="AD49" s="657"/>
      <c r="AE49" s="546">
        <v>16</v>
      </c>
      <c r="AF49" s="547">
        <v>1355.4929577464791</v>
      </c>
      <c r="AG49" s="547">
        <v>84.718309859154942</v>
      </c>
      <c r="AH49" s="547">
        <v>9</v>
      </c>
      <c r="AI49" s="657"/>
      <c r="AJ49" s="546">
        <v>16</v>
      </c>
      <c r="AK49" s="547">
        <v>1352.8767123287676</v>
      </c>
      <c r="AL49" s="547">
        <v>84.554794520547972</v>
      </c>
      <c r="AM49" s="547">
        <v>9</v>
      </c>
      <c r="AN49" s="657"/>
      <c r="AO49" s="546">
        <v>17</v>
      </c>
      <c r="AP49" s="547">
        <v>1370.9677419354839</v>
      </c>
      <c r="AQ49" s="547">
        <v>80.645161290322577</v>
      </c>
      <c r="AR49" s="547">
        <v>9</v>
      </c>
      <c r="AS49" s="657"/>
      <c r="AT49" s="546">
        <v>16</v>
      </c>
      <c r="AU49" s="547">
        <v>1355.229357798165</v>
      </c>
      <c r="AV49" s="547">
        <v>84.701834862385311</v>
      </c>
      <c r="AW49" s="547">
        <v>9</v>
      </c>
      <c r="AX49" s="657"/>
      <c r="AZ49" s="372" t="e">
        <f t="shared" si="27"/>
        <v>#N/A</v>
      </c>
      <c r="BA49" s="648"/>
    </row>
    <row r="50" spans="2:53">
      <c r="B50" s="646"/>
      <c r="C50" s="384">
        <v>4</v>
      </c>
      <c r="D50" s="225" t="s">
        <v>391</v>
      </c>
      <c r="E50" s="539">
        <v>7</v>
      </c>
      <c r="F50" s="535">
        <v>1500</v>
      </c>
      <c r="G50" s="534">
        <v>214.28571428571428</v>
      </c>
      <c r="H50" s="671"/>
      <c r="I50" s="385">
        <f t="shared" si="24"/>
        <v>7</v>
      </c>
      <c r="J50" s="385">
        <f t="shared" si="25"/>
        <v>1455.4256625952542</v>
      </c>
      <c r="K50" s="199">
        <f t="shared" si="26"/>
        <v>207.917951799322</v>
      </c>
      <c r="L50" s="617"/>
      <c r="M50" s="432">
        <f>RANK(K50, K$47:$K$61)</f>
        <v>3</v>
      </c>
      <c r="N50" s="635"/>
      <c r="O50" s="635"/>
      <c r="P50" s="546">
        <v>7</v>
      </c>
      <c r="Q50" s="547">
        <v>1479.2156862745094</v>
      </c>
      <c r="R50" s="547">
        <v>211.31652661064419</v>
      </c>
      <c r="S50" s="547">
        <v>1</v>
      </c>
      <c r="T50" s="657"/>
      <c r="U50" s="546">
        <v>7</v>
      </c>
      <c r="V50" s="547">
        <v>1437.5675675675673</v>
      </c>
      <c r="W50" s="547">
        <v>205.36679536679532</v>
      </c>
      <c r="X50" s="547">
        <v>5</v>
      </c>
      <c r="Y50" s="657"/>
      <c r="Z50" s="546">
        <v>7</v>
      </c>
      <c r="AA50" s="547">
        <v>1464.6808510638293</v>
      </c>
      <c r="AB50" s="547">
        <v>209.24012158054705</v>
      </c>
      <c r="AC50" s="547">
        <v>1</v>
      </c>
      <c r="AD50" s="657"/>
      <c r="AE50" s="546">
        <v>7</v>
      </c>
      <c r="AF50" s="547">
        <v>1440.0000000000002</v>
      </c>
      <c r="AG50" s="547">
        <v>205.71428571428575</v>
      </c>
      <c r="AH50" s="547">
        <v>4</v>
      </c>
      <c r="AI50" s="657"/>
      <c r="AJ50" s="546">
        <v>7</v>
      </c>
      <c r="AK50" s="547">
        <v>1458.3870967741937</v>
      </c>
      <c r="AL50" s="547">
        <v>208.34101382488481</v>
      </c>
      <c r="AM50" s="547">
        <v>3</v>
      </c>
      <c r="AN50" s="657"/>
      <c r="AO50" s="546">
        <v>7</v>
      </c>
      <c r="AP50" s="547">
        <v>1474.0243902439026</v>
      </c>
      <c r="AQ50" s="547">
        <v>210.57491289198609</v>
      </c>
      <c r="AR50" s="547">
        <v>3</v>
      </c>
      <c r="AS50" s="657"/>
      <c r="AT50" s="546">
        <v>7</v>
      </c>
      <c r="AU50" s="547">
        <v>1434.104046242775</v>
      </c>
      <c r="AV50" s="547">
        <v>204.87200660611072</v>
      </c>
      <c r="AW50" s="547">
        <v>5</v>
      </c>
      <c r="AX50" s="657"/>
      <c r="AZ50" s="372" t="e">
        <f t="shared" si="27"/>
        <v>#N/A</v>
      </c>
      <c r="BA50" s="648"/>
    </row>
    <row r="51" spans="2:53">
      <c r="B51" s="646"/>
      <c r="C51" s="384">
        <v>5</v>
      </c>
      <c r="D51" s="225" t="s">
        <v>583</v>
      </c>
      <c r="E51" s="539">
        <v>12</v>
      </c>
      <c r="F51" s="535">
        <v>2000</v>
      </c>
      <c r="G51" s="534">
        <v>166.66666666666666</v>
      </c>
      <c r="H51" s="671"/>
      <c r="I51" s="385">
        <f t="shared" si="24"/>
        <v>12</v>
      </c>
      <c r="J51" s="385">
        <f t="shared" si="25"/>
        <v>1518.1477175346906</v>
      </c>
      <c r="K51" s="199">
        <f t="shared" si="26"/>
        <v>126.51230979455754</v>
      </c>
      <c r="L51" s="617"/>
      <c r="M51" s="432">
        <f>RANK(K51, K$47:$K$61)</f>
        <v>7</v>
      </c>
      <c r="N51" s="635"/>
      <c r="O51" s="635"/>
      <c r="P51" s="546">
        <v>12</v>
      </c>
      <c r="Q51" s="547">
        <v>1515.2307692307679</v>
      </c>
      <c r="R51" s="547">
        <v>126.26923076923066</v>
      </c>
      <c r="S51" s="547">
        <v>6</v>
      </c>
      <c r="T51" s="657"/>
      <c r="U51" s="546">
        <v>12</v>
      </c>
      <c r="V51" s="547">
        <v>1499.7906976744196</v>
      </c>
      <c r="W51" s="547">
        <v>124.98255813953496</v>
      </c>
      <c r="X51" s="547">
        <v>7</v>
      </c>
      <c r="Y51" s="657"/>
      <c r="Z51" s="546">
        <v>12</v>
      </c>
      <c r="AA51" s="547">
        <v>1516.1481481481489</v>
      </c>
      <c r="AB51" s="547">
        <v>126.34567901234574</v>
      </c>
      <c r="AC51" s="547">
        <v>8</v>
      </c>
      <c r="AD51" s="657"/>
      <c r="AE51" s="546">
        <v>12</v>
      </c>
      <c r="AF51" s="547">
        <v>1548.9090909090908</v>
      </c>
      <c r="AG51" s="547">
        <v>129.07575757575756</v>
      </c>
      <c r="AH51" s="547">
        <v>6</v>
      </c>
      <c r="AI51" s="657"/>
      <c r="AJ51" s="546">
        <v>12</v>
      </c>
      <c r="AK51" s="547">
        <v>1496.0281690140848</v>
      </c>
      <c r="AL51" s="547">
        <v>124.66901408450707</v>
      </c>
      <c r="AM51" s="547">
        <v>7</v>
      </c>
      <c r="AN51" s="657"/>
      <c r="AO51" s="546">
        <v>12</v>
      </c>
      <c r="AP51" s="547">
        <v>1531.1333333333346</v>
      </c>
      <c r="AQ51" s="547">
        <v>127.59444444444455</v>
      </c>
      <c r="AR51" s="547">
        <v>7</v>
      </c>
      <c r="AS51" s="657"/>
      <c r="AT51" s="546">
        <v>12</v>
      </c>
      <c r="AU51" s="547">
        <v>1519.7938144329887</v>
      </c>
      <c r="AV51" s="547">
        <v>126.6494845360824</v>
      </c>
      <c r="AW51" s="547">
        <v>7</v>
      </c>
      <c r="AX51" s="657"/>
      <c r="AZ51" s="372" t="e">
        <f t="shared" si="27"/>
        <v>#N/A</v>
      </c>
      <c r="BA51" s="648"/>
    </row>
    <row r="52" spans="2:53">
      <c r="B52" s="646"/>
      <c r="C52" s="384">
        <v>6</v>
      </c>
      <c r="D52" s="225" t="s">
        <v>567</v>
      </c>
      <c r="E52" s="539">
        <v>7</v>
      </c>
      <c r="F52" s="535">
        <v>1500</v>
      </c>
      <c r="G52" s="534">
        <v>214.28571428571428</v>
      </c>
      <c r="H52" s="671"/>
      <c r="I52" s="385">
        <f t="shared" si="24"/>
        <v>7</v>
      </c>
      <c r="J52" s="385">
        <f t="shared" si="25"/>
        <v>1455.8087360386482</v>
      </c>
      <c r="K52" s="199">
        <f t="shared" si="26"/>
        <v>207.97267657694974</v>
      </c>
      <c r="L52" s="617"/>
      <c r="M52" s="432">
        <f>RANK(K52, K$47:$K$61)</f>
        <v>2</v>
      </c>
      <c r="N52" s="635"/>
      <c r="O52" s="635"/>
      <c r="P52" s="546">
        <v>7</v>
      </c>
      <c r="Q52" s="547">
        <v>1456.9230769230778</v>
      </c>
      <c r="R52" s="547">
        <v>208.13186813186826</v>
      </c>
      <c r="S52" s="547">
        <v>3</v>
      </c>
      <c r="T52" s="657"/>
      <c r="U52" s="546">
        <v>7</v>
      </c>
      <c r="V52" s="547">
        <v>1440.7594936708861</v>
      </c>
      <c r="W52" s="547">
        <v>205.82278481012659</v>
      </c>
      <c r="X52" s="547">
        <v>3</v>
      </c>
      <c r="Y52" s="657"/>
      <c r="Z52" s="546">
        <v>7</v>
      </c>
      <c r="AA52" s="547">
        <v>1449.5121951219514</v>
      </c>
      <c r="AB52" s="547">
        <v>207.07317073170734</v>
      </c>
      <c r="AC52" s="547">
        <v>4</v>
      </c>
      <c r="AD52" s="657"/>
      <c r="AE52" s="546">
        <v>7</v>
      </c>
      <c r="AF52" s="547">
        <v>1464.9999999999993</v>
      </c>
      <c r="AG52" s="547">
        <v>209.28571428571419</v>
      </c>
      <c r="AH52" s="547">
        <v>1</v>
      </c>
      <c r="AI52" s="657"/>
      <c r="AJ52" s="546">
        <v>7</v>
      </c>
      <c r="AK52" s="547">
        <v>1447.5000000000011</v>
      </c>
      <c r="AL52" s="547">
        <v>206.78571428571445</v>
      </c>
      <c r="AM52" s="547">
        <v>4</v>
      </c>
      <c r="AN52" s="657"/>
      <c r="AO52" s="546">
        <v>7</v>
      </c>
      <c r="AP52" s="547">
        <v>1478.8235294117649</v>
      </c>
      <c r="AQ52" s="547">
        <v>211.2605042016807</v>
      </c>
      <c r="AR52" s="547">
        <v>1</v>
      </c>
      <c r="AS52" s="657"/>
      <c r="AT52" s="546">
        <v>7</v>
      </c>
      <c r="AU52" s="547">
        <v>1452.1428571428567</v>
      </c>
      <c r="AV52" s="547">
        <v>207.44897959183666</v>
      </c>
      <c r="AW52" s="547">
        <v>3</v>
      </c>
      <c r="AX52" s="657"/>
      <c r="AZ52" s="372" t="e">
        <f t="shared" si="27"/>
        <v>#N/A</v>
      </c>
      <c r="BA52" s="648"/>
    </row>
    <row r="53" spans="2:53">
      <c r="B53" s="646"/>
      <c r="C53" s="384">
        <v>7</v>
      </c>
      <c r="D53" s="225" t="s">
        <v>616</v>
      </c>
      <c r="E53" s="539">
        <v>12</v>
      </c>
      <c r="F53" s="535">
        <v>2000</v>
      </c>
      <c r="G53" s="534">
        <v>166.66666666666666</v>
      </c>
      <c r="H53" s="671"/>
      <c r="I53" s="385">
        <f t="shared" si="24"/>
        <v>12</v>
      </c>
      <c r="J53" s="385">
        <f t="shared" si="25"/>
        <v>1524.0630325619338</v>
      </c>
      <c r="K53" s="199">
        <f t="shared" si="26"/>
        <v>127.0052527134945</v>
      </c>
      <c r="L53" s="617"/>
      <c r="M53" s="432">
        <f>RANK(K53, K$47:$K$61)</f>
        <v>6</v>
      </c>
      <c r="N53" s="635"/>
      <c r="O53" s="635"/>
      <c r="P53" s="546">
        <v>12</v>
      </c>
      <c r="Q53" s="547">
        <v>1506.6153846153845</v>
      </c>
      <c r="R53" s="547">
        <v>125.55128205128204</v>
      </c>
      <c r="S53" s="547">
        <v>7</v>
      </c>
      <c r="T53" s="657"/>
      <c r="U53" s="546">
        <v>12</v>
      </c>
      <c r="V53" s="547">
        <v>1534.4383561643838</v>
      </c>
      <c r="W53" s="547">
        <v>127.86986301369865</v>
      </c>
      <c r="X53" s="547">
        <v>6</v>
      </c>
      <c r="Y53" s="657"/>
      <c r="Z53" s="546">
        <v>12</v>
      </c>
      <c r="AA53" s="547">
        <v>1529.1549295774648</v>
      </c>
      <c r="AB53" s="547">
        <v>127.42957746478874</v>
      </c>
      <c r="AC53" s="547">
        <v>6</v>
      </c>
      <c r="AD53" s="657"/>
      <c r="AE53" s="546">
        <v>12</v>
      </c>
      <c r="AF53" s="547">
        <v>1501.8620689655174</v>
      </c>
      <c r="AG53" s="547">
        <v>125.15517241379312</v>
      </c>
      <c r="AH53" s="547">
        <v>8</v>
      </c>
      <c r="AI53" s="657"/>
      <c r="AJ53" s="546">
        <v>12</v>
      </c>
      <c r="AK53" s="547">
        <v>1520.9508196721306</v>
      </c>
      <c r="AL53" s="547">
        <v>126.74590163934421</v>
      </c>
      <c r="AM53" s="547">
        <v>6</v>
      </c>
      <c r="AN53" s="657"/>
      <c r="AO53" s="546">
        <v>12</v>
      </c>
      <c r="AP53" s="547">
        <v>1542.1538461538462</v>
      </c>
      <c r="AQ53" s="547">
        <v>128.51282051282053</v>
      </c>
      <c r="AR53" s="547">
        <v>6</v>
      </c>
      <c r="AS53" s="657"/>
      <c r="AT53" s="546">
        <v>12</v>
      </c>
      <c r="AU53" s="547">
        <v>1533.2658227848101</v>
      </c>
      <c r="AV53" s="547">
        <v>127.77215189873418</v>
      </c>
      <c r="AW53" s="547">
        <v>6</v>
      </c>
      <c r="AX53" s="657"/>
      <c r="AZ53" s="372" t="e">
        <f t="shared" si="27"/>
        <v>#N/A</v>
      </c>
      <c r="BA53" s="648"/>
    </row>
    <row r="54" spans="2:53">
      <c r="B54" s="646"/>
      <c r="C54" s="384">
        <v>8</v>
      </c>
      <c r="D54" s="225" t="s">
        <v>617</v>
      </c>
      <c r="E54" s="539">
        <v>12</v>
      </c>
      <c r="F54" s="535">
        <v>2000</v>
      </c>
      <c r="G54" s="534">
        <v>166.66666666666666</v>
      </c>
      <c r="H54" s="671"/>
      <c r="I54" s="385">
        <f t="shared" si="24"/>
        <v>12</v>
      </c>
      <c r="J54" s="385">
        <f t="shared" si="25"/>
        <v>1507.786096696743</v>
      </c>
      <c r="K54" s="199">
        <f t="shared" si="26"/>
        <v>125.64884139139524</v>
      </c>
      <c r="L54" s="617"/>
      <c r="M54" s="432">
        <f>RANK(K54, K$47:$K$61)</f>
        <v>8</v>
      </c>
      <c r="N54" s="635"/>
      <c r="O54" s="635"/>
      <c r="P54" s="546">
        <v>12</v>
      </c>
      <c r="Q54" s="547">
        <v>1505.9999999999993</v>
      </c>
      <c r="R54" s="547">
        <v>125.49999999999994</v>
      </c>
      <c r="S54" s="547">
        <v>8</v>
      </c>
      <c r="T54" s="657"/>
      <c r="U54" s="546">
        <v>12</v>
      </c>
      <c r="V54" s="547">
        <v>1479.3749999999995</v>
      </c>
      <c r="W54" s="547">
        <v>123.28124999999996</v>
      </c>
      <c r="X54" s="547">
        <v>8</v>
      </c>
      <c r="Y54" s="657"/>
      <c r="Z54" s="546">
        <v>12</v>
      </c>
      <c r="AA54" s="547">
        <v>1525.16129032258</v>
      </c>
      <c r="AB54" s="547">
        <v>127.09677419354834</v>
      </c>
      <c r="AC54" s="547">
        <v>7</v>
      </c>
      <c r="AD54" s="657"/>
      <c r="AE54" s="546">
        <v>12</v>
      </c>
      <c r="AF54" s="547">
        <v>1534.2857142857138</v>
      </c>
      <c r="AG54" s="547">
        <v>127.85714285714282</v>
      </c>
      <c r="AH54" s="547">
        <v>7</v>
      </c>
      <c r="AI54" s="657"/>
      <c r="AJ54" s="546">
        <v>12</v>
      </c>
      <c r="AK54" s="547">
        <v>1487.9999999999993</v>
      </c>
      <c r="AL54" s="547">
        <v>123.99999999999994</v>
      </c>
      <c r="AM54" s="547">
        <v>8</v>
      </c>
      <c r="AN54" s="657"/>
      <c r="AO54" s="546">
        <v>12</v>
      </c>
      <c r="AP54" s="547">
        <v>1512.857142857144</v>
      </c>
      <c r="AQ54" s="547">
        <v>126.07142857142867</v>
      </c>
      <c r="AR54" s="547">
        <v>8</v>
      </c>
      <c r="AS54" s="657"/>
      <c r="AT54" s="546">
        <v>12</v>
      </c>
      <c r="AU54" s="547">
        <v>1508.8235294117649</v>
      </c>
      <c r="AV54" s="547">
        <v>125.73529411764707</v>
      </c>
      <c r="AW54" s="547">
        <v>8</v>
      </c>
      <c r="AX54" s="657"/>
      <c r="AZ54" s="372" t="e">
        <f t="shared" si="27"/>
        <v>#N/A</v>
      </c>
      <c r="BA54" s="648"/>
    </row>
    <row r="55" spans="2:53">
      <c r="B55" s="646"/>
      <c r="C55" s="384">
        <v>9</v>
      </c>
      <c r="D55" s="225" t="s">
        <v>629</v>
      </c>
      <c r="E55" s="539">
        <v>16</v>
      </c>
      <c r="F55" s="535">
        <v>1385</v>
      </c>
      <c r="G55" s="534">
        <v>86.5625</v>
      </c>
      <c r="H55" s="671"/>
      <c r="I55" s="385">
        <f t="shared" si="24"/>
        <v>16</v>
      </c>
      <c r="J55" s="385">
        <f t="shared" si="25"/>
        <v>1132.0560238077792</v>
      </c>
      <c r="K55" s="199">
        <f t="shared" si="26"/>
        <v>70.753501487986199</v>
      </c>
      <c r="L55" s="617"/>
      <c r="M55" s="432">
        <f>RANK(K55, K$47:$K$61)</f>
        <v>10</v>
      </c>
      <c r="N55" s="635"/>
      <c r="O55" s="635"/>
      <c r="P55" s="546">
        <v>16</v>
      </c>
      <c r="Q55" s="547">
        <v>1136.1975903614455</v>
      </c>
      <c r="R55" s="547">
        <v>71.012349397590341</v>
      </c>
      <c r="S55" s="547">
        <v>10</v>
      </c>
      <c r="T55" s="657"/>
      <c r="U55" s="546">
        <v>16</v>
      </c>
      <c r="V55" s="547">
        <v>1140.8837837837841</v>
      </c>
      <c r="W55" s="547">
        <v>71.305236486486507</v>
      </c>
      <c r="X55" s="547">
        <v>10</v>
      </c>
      <c r="Y55" s="657"/>
      <c r="Z55" s="546">
        <v>16</v>
      </c>
      <c r="AA55" s="547">
        <v>1124.2105263157898</v>
      </c>
      <c r="AB55" s="547">
        <v>70.263157894736864</v>
      </c>
      <c r="AC55" s="547">
        <v>10</v>
      </c>
      <c r="AD55" s="657"/>
      <c r="AE55" s="546">
        <v>16</v>
      </c>
      <c r="AF55" s="547">
        <v>1111.304347826087</v>
      </c>
      <c r="AG55" s="547">
        <v>69.456521739130437</v>
      </c>
      <c r="AH55" s="547">
        <v>10</v>
      </c>
      <c r="AI55" s="657"/>
      <c r="AJ55" s="546">
        <v>16</v>
      </c>
      <c r="AK55" s="547">
        <v>1130.5714285714289</v>
      </c>
      <c r="AL55" s="547">
        <v>70.660714285714306</v>
      </c>
      <c r="AM55" s="547">
        <v>10</v>
      </c>
      <c r="AN55" s="657"/>
      <c r="AO55" s="546">
        <v>16</v>
      </c>
      <c r="AP55" s="547">
        <v>1140</v>
      </c>
      <c r="AQ55" s="547">
        <v>71.25</v>
      </c>
      <c r="AR55" s="547">
        <v>10</v>
      </c>
      <c r="AS55" s="657"/>
      <c r="AT55" s="546">
        <v>16</v>
      </c>
      <c r="AU55" s="547">
        <v>1141.2244897959188</v>
      </c>
      <c r="AV55" s="547">
        <v>71.326530612244923</v>
      </c>
      <c r="AW55" s="547">
        <v>10</v>
      </c>
      <c r="AX55" s="657"/>
      <c r="AZ55" s="430" t="e">
        <f t="shared" si="27"/>
        <v>#N/A</v>
      </c>
      <c r="BA55" s="648"/>
    </row>
    <row r="56" spans="2:53">
      <c r="B56" s="646"/>
      <c r="C56" s="384">
        <v>10</v>
      </c>
      <c r="D56" s="225" t="s">
        <v>634</v>
      </c>
      <c r="E56" s="539">
        <v>7</v>
      </c>
      <c r="F56" s="535">
        <v>1500</v>
      </c>
      <c r="G56" s="534">
        <v>214.28571428571428</v>
      </c>
      <c r="H56" s="671"/>
      <c r="I56" s="385">
        <f t="shared" si="24"/>
        <v>7</v>
      </c>
      <c r="J56" s="385">
        <f t="shared" si="25"/>
        <v>1451.0269964247038</v>
      </c>
      <c r="K56" s="199">
        <f t="shared" si="26"/>
        <v>207.28957091781484</v>
      </c>
      <c r="L56" s="617"/>
      <c r="M56" s="432">
        <f>RANK(K56, K$47:$K$61)</f>
        <v>4</v>
      </c>
      <c r="N56" s="635"/>
      <c r="O56" s="635"/>
      <c r="P56" s="546">
        <v>7</v>
      </c>
      <c r="Q56" s="547">
        <v>1469.4117647058829</v>
      </c>
      <c r="R56" s="547">
        <v>209.91596638655469</v>
      </c>
      <c r="S56" s="547">
        <v>2</v>
      </c>
      <c r="T56" s="657"/>
      <c r="U56" s="546">
        <v>7</v>
      </c>
      <c r="V56" s="547">
        <v>1438.9285714285704</v>
      </c>
      <c r="W56" s="547">
        <v>205.56122448979576</v>
      </c>
      <c r="X56" s="547">
        <v>4</v>
      </c>
      <c r="Y56" s="657"/>
      <c r="Z56" s="546">
        <v>7</v>
      </c>
      <c r="AA56" s="547">
        <v>1434.8275862068956</v>
      </c>
      <c r="AB56" s="547">
        <v>204.97536945812794</v>
      </c>
      <c r="AC56" s="547">
        <v>5</v>
      </c>
      <c r="AD56" s="657"/>
      <c r="AE56" s="546">
        <v>7</v>
      </c>
      <c r="AF56" s="547">
        <v>1454.2857142857138</v>
      </c>
      <c r="AG56" s="547">
        <v>207.75510204081624</v>
      </c>
      <c r="AH56" s="547">
        <v>3</v>
      </c>
      <c r="AI56" s="657"/>
      <c r="AJ56" s="546">
        <v>7</v>
      </c>
      <c r="AK56" s="547">
        <v>1438.4210526315778</v>
      </c>
      <c r="AL56" s="547">
        <v>205.48872180451113</v>
      </c>
      <c r="AM56" s="547">
        <v>5</v>
      </c>
      <c r="AN56" s="657"/>
      <c r="AO56" s="546">
        <v>7</v>
      </c>
      <c r="AP56" s="547">
        <v>1455.6000000000006</v>
      </c>
      <c r="AQ56" s="547">
        <v>207.94285714285724</v>
      </c>
      <c r="AR56" s="547">
        <v>4</v>
      </c>
      <c r="AS56" s="657"/>
      <c r="AT56" s="546">
        <v>7</v>
      </c>
      <c r="AU56" s="547">
        <v>1465.7142857142853</v>
      </c>
      <c r="AV56" s="547">
        <v>209.38775510204076</v>
      </c>
      <c r="AW56" s="547">
        <v>1</v>
      </c>
      <c r="AX56" s="657"/>
      <c r="AZ56" s="430" t="e">
        <f t="shared" si="27"/>
        <v>#N/A</v>
      </c>
      <c r="BA56" s="648"/>
    </row>
    <row r="57" spans="2:53">
      <c r="B57" s="646"/>
      <c r="C57" s="384">
        <v>11</v>
      </c>
      <c r="D57" s="225"/>
      <c r="E57" s="539"/>
      <c r="F57" s="535"/>
      <c r="G57" s="534"/>
      <c r="H57" s="671"/>
      <c r="I57" s="385" t="str">
        <f t="shared" si="24"/>
        <v>-</v>
      </c>
      <c r="J57" s="385" t="str">
        <f t="shared" si="25"/>
        <v>-</v>
      </c>
      <c r="K57" s="199" t="str">
        <f t="shared" si="26"/>
        <v>-</v>
      </c>
      <c r="L57" s="617"/>
      <c r="M57" s="432" t="e">
        <f>RANK(K57, K$47:$K$61)</f>
        <v>#VALUE!</v>
      </c>
      <c r="N57" s="635"/>
      <c r="O57" s="635"/>
      <c r="P57" s="546" t="s">
        <v>592</v>
      </c>
      <c r="Q57" s="547" t="s">
        <v>592</v>
      </c>
      <c r="R57" s="547" t="s">
        <v>592</v>
      </c>
      <c r="S57" s="547" t="e">
        <v>#VALUE!</v>
      </c>
      <c r="T57" s="657"/>
      <c r="U57" s="546" t="s">
        <v>592</v>
      </c>
      <c r="V57" s="547" t="s">
        <v>592</v>
      </c>
      <c r="W57" s="547" t="s">
        <v>592</v>
      </c>
      <c r="X57" s="547" t="e">
        <v>#VALUE!</v>
      </c>
      <c r="Y57" s="657"/>
      <c r="Z57" s="546" t="s">
        <v>592</v>
      </c>
      <c r="AA57" s="547" t="s">
        <v>592</v>
      </c>
      <c r="AB57" s="547" t="s">
        <v>592</v>
      </c>
      <c r="AC57" s="547" t="e">
        <v>#VALUE!</v>
      </c>
      <c r="AD57" s="657"/>
      <c r="AE57" s="546" t="s">
        <v>592</v>
      </c>
      <c r="AF57" s="547" t="s">
        <v>592</v>
      </c>
      <c r="AG57" s="547" t="s">
        <v>592</v>
      </c>
      <c r="AH57" s="547" t="e">
        <v>#VALUE!</v>
      </c>
      <c r="AI57" s="657"/>
      <c r="AJ57" s="546" t="s">
        <v>592</v>
      </c>
      <c r="AK57" s="547" t="s">
        <v>592</v>
      </c>
      <c r="AL57" s="547" t="s">
        <v>592</v>
      </c>
      <c r="AM57" s="547" t="e">
        <v>#VALUE!</v>
      </c>
      <c r="AN57" s="657"/>
      <c r="AO57" s="546" t="s">
        <v>592</v>
      </c>
      <c r="AP57" s="547" t="s">
        <v>592</v>
      </c>
      <c r="AQ57" s="547" t="s">
        <v>592</v>
      </c>
      <c r="AR57" s="547" t="e">
        <v>#VALUE!</v>
      </c>
      <c r="AS57" s="657"/>
      <c r="AT57" s="546" t="s">
        <v>592</v>
      </c>
      <c r="AU57" s="547" t="s">
        <v>592</v>
      </c>
      <c r="AV57" s="547" t="s">
        <v>592</v>
      </c>
      <c r="AW57" s="547" t="e">
        <v>#VALUE!</v>
      </c>
      <c r="AX57" s="657"/>
      <c r="AZ57" s="430" t="e">
        <f t="shared" si="27"/>
        <v>#N/A</v>
      </c>
      <c r="BA57" s="648"/>
    </row>
    <row r="58" spans="2:53">
      <c r="B58" s="646"/>
      <c r="C58" s="384">
        <v>12</v>
      </c>
      <c r="D58" s="225"/>
      <c r="E58" s="539"/>
      <c r="F58" s="535"/>
      <c r="G58" s="534"/>
      <c r="H58" s="671"/>
      <c r="I58" s="385" t="str">
        <f t="shared" si="24"/>
        <v>-</v>
      </c>
      <c r="J58" s="385" t="str">
        <f t="shared" si="25"/>
        <v>-</v>
      </c>
      <c r="K58" s="199" t="str">
        <f t="shared" si="26"/>
        <v>-</v>
      </c>
      <c r="L58" s="617"/>
      <c r="M58" s="432" t="e">
        <f>RANK(K58, K$47:$K$61)</f>
        <v>#VALUE!</v>
      </c>
      <c r="N58" s="635"/>
      <c r="O58" s="635"/>
      <c r="P58" s="546" t="s">
        <v>592</v>
      </c>
      <c r="Q58" s="547" t="s">
        <v>592</v>
      </c>
      <c r="R58" s="547" t="s">
        <v>592</v>
      </c>
      <c r="S58" s="547" t="e">
        <v>#VALUE!</v>
      </c>
      <c r="T58" s="657"/>
      <c r="U58" s="546" t="s">
        <v>592</v>
      </c>
      <c r="V58" s="547" t="s">
        <v>592</v>
      </c>
      <c r="W58" s="547" t="s">
        <v>592</v>
      </c>
      <c r="X58" s="547" t="e">
        <v>#VALUE!</v>
      </c>
      <c r="Y58" s="657"/>
      <c r="Z58" s="546" t="s">
        <v>592</v>
      </c>
      <c r="AA58" s="547" t="s">
        <v>592</v>
      </c>
      <c r="AB58" s="547" t="s">
        <v>592</v>
      </c>
      <c r="AC58" s="547" t="e">
        <v>#VALUE!</v>
      </c>
      <c r="AD58" s="657"/>
      <c r="AE58" s="546" t="s">
        <v>592</v>
      </c>
      <c r="AF58" s="547" t="s">
        <v>592</v>
      </c>
      <c r="AG58" s="547" t="s">
        <v>592</v>
      </c>
      <c r="AH58" s="547" t="e">
        <v>#VALUE!</v>
      </c>
      <c r="AI58" s="657"/>
      <c r="AJ58" s="546" t="s">
        <v>592</v>
      </c>
      <c r="AK58" s="547" t="s">
        <v>592</v>
      </c>
      <c r="AL58" s="547" t="s">
        <v>592</v>
      </c>
      <c r="AM58" s="547" t="e">
        <v>#VALUE!</v>
      </c>
      <c r="AN58" s="657"/>
      <c r="AO58" s="546" t="s">
        <v>592</v>
      </c>
      <c r="AP58" s="547" t="s">
        <v>592</v>
      </c>
      <c r="AQ58" s="547" t="s">
        <v>592</v>
      </c>
      <c r="AR58" s="547" t="e">
        <v>#VALUE!</v>
      </c>
      <c r="AS58" s="657"/>
      <c r="AT58" s="546" t="s">
        <v>592</v>
      </c>
      <c r="AU58" s="547" t="s">
        <v>592</v>
      </c>
      <c r="AV58" s="547" t="s">
        <v>592</v>
      </c>
      <c r="AW58" s="547" t="e">
        <v>#VALUE!</v>
      </c>
      <c r="AX58" s="657"/>
      <c r="AZ58" s="430" t="e">
        <f t="shared" si="27"/>
        <v>#N/A</v>
      </c>
      <c r="BA58" s="648"/>
    </row>
    <row r="59" spans="2:53">
      <c r="B59" s="646"/>
      <c r="C59" s="384">
        <v>13</v>
      </c>
      <c r="D59" s="225"/>
      <c r="E59" s="539"/>
      <c r="F59" s="535"/>
      <c r="G59" s="534"/>
      <c r="H59" s="671"/>
      <c r="I59" s="385" t="str">
        <f t="shared" si="24"/>
        <v>-</v>
      </c>
      <c r="J59" s="385" t="str">
        <f t="shared" si="25"/>
        <v>-</v>
      </c>
      <c r="K59" s="199" t="str">
        <f t="shared" si="26"/>
        <v>-</v>
      </c>
      <c r="L59" s="617"/>
      <c r="M59" s="432" t="e">
        <f>RANK(K59, K$47:$K$61)</f>
        <v>#VALUE!</v>
      </c>
      <c r="N59" s="635"/>
      <c r="O59" s="635"/>
      <c r="P59" s="546" t="s">
        <v>592</v>
      </c>
      <c r="Q59" s="547" t="s">
        <v>592</v>
      </c>
      <c r="R59" s="547" t="s">
        <v>592</v>
      </c>
      <c r="S59" s="547" t="e">
        <v>#VALUE!</v>
      </c>
      <c r="T59" s="657"/>
      <c r="U59" s="546" t="s">
        <v>592</v>
      </c>
      <c r="V59" s="547" t="s">
        <v>592</v>
      </c>
      <c r="W59" s="547" t="s">
        <v>592</v>
      </c>
      <c r="X59" s="547" t="e">
        <v>#VALUE!</v>
      </c>
      <c r="Y59" s="657"/>
      <c r="Z59" s="546" t="s">
        <v>592</v>
      </c>
      <c r="AA59" s="547" t="s">
        <v>592</v>
      </c>
      <c r="AB59" s="547" t="s">
        <v>592</v>
      </c>
      <c r="AC59" s="547" t="e">
        <v>#VALUE!</v>
      </c>
      <c r="AD59" s="657"/>
      <c r="AE59" s="546" t="s">
        <v>592</v>
      </c>
      <c r="AF59" s="547" t="s">
        <v>592</v>
      </c>
      <c r="AG59" s="547" t="s">
        <v>592</v>
      </c>
      <c r="AH59" s="547" t="e">
        <v>#VALUE!</v>
      </c>
      <c r="AI59" s="657"/>
      <c r="AJ59" s="546" t="s">
        <v>592</v>
      </c>
      <c r="AK59" s="547" t="s">
        <v>592</v>
      </c>
      <c r="AL59" s="547" t="s">
        <v>592</v>
      </c>
      <c r="AM59" s="547" t="e">
        <v>#VALUE!</v>
      </c>
      <c r="AN59" s="657"/>
      <c r="AO59" s="546" t="s">
        <v>592</v>
      </c>
      <c r="AP59" s="547" t="s">
        <v>592</v>
      </c>
      <c r="AQ59" s="547" t="s">
        <v>592</v>
      </c>
      <c r="AR59" s="547" t="e">
        <v>#VALUE!</v>
      </c>
      <c r="AS59" s="657"/>
      <c r="AT59" s="546" t="s">
        <v>592</v>
      </c>
      <c r="AU59" s="547" t="s">
        <v>592</v>
      </c>
      <c r="AV59" s="547" t="s">
        <v>592</v>
      </c>
      <c r="AW59" s="547" t="e">
        <v>#VALUE!</v>
      </c>
      <c r="AX59" s="657"/>
      <c r="AZ59" s="430" t="e">
        <f t="shared" si="27"/>
        <v>#N/A</v>
      </c>
      <c r="BA59" s="648"/>
    </row>
    <row r="60" spans="2:53">
      <c r="B60" s="646"/>
      <c r="C60" s="384">
        <v>14</v>
      </c>
      <c r="D60" s="225"/>
      <c r="E60" s="539"/>
      <c r="F60" s="535"/>
      <c r="G60" s="534"/>
      <c r="H60" s="671"/>
      <c r="I60" s="385" t="str">
        <f t="shared" si="24"/>
        <v>-</v>
      </c>
      <c r="J60" s="385" t="str">
        <f t="shared" si="25"/>
        <v>-</v>
      </c>
      <c r="K60" s="199" t="str">
        <f t="shared" si="26"/>
        <v>-</v>
      </c>
      <c r="L60" s="617"/>
      <c r="M60" s="432" t="e">
        <f>RANK(K60, K$47:$K$61)</f>
        <v>#VALUE!</v>
      </c>
      <c r="N60" s="635"/>
      <c r="O60" s="635"/>
      <c r="P60" s="546" t="s">
        <v>592</v>
      </c>
      <c r="Q60" s="547" t="s">
        <v>592</v>
      </c>
      <c r="R60" s="547" t="s">
        <v>592</v>
      </c>
      <c r="S60" s="547" t="e">
        <v>#VALUE!</v>
      </c>
      <c r="T60" s="657"/>
      <c r="U60" s="546" t="s">
        <v>592</v>
      </c>
      <c r="V60" s="547" t="s">
        <v>592</v>
      </c>
      <c r="W60" s="547" t="s">
        <v>592</v>
      </c>
      <c r="X60" s="547" t="e">
        <v>#VALUE!</v>
      </c>
      <c r="Y60" s="657"/>
      <c r="Z60" s="546" t="s">
        <v>592</v>
      </c>
      <c r="AA60" s="547" t="s">
        <v>592</v>
      </c>
      <c r="AB60" s="547" t="s">
        <v>592</v>
      </c>
      <c r="AC60" s="547" t="e">
        <v>#VALUE!</v>
      </c>
      <c r="AD60" s="657"/>
      <c r="AE60" s="546" t="s">
        <v>592</v>
      </c>
      <c r="AF60" s="547" t="s">
        <v>592</v>
      </c>
      <c r="AG60" s="547" t="s">
        <v>592</v>
      </c>
      <c r="AH60" s="547" t="e">
        <v>#VALUE!</v>
      </c>
      <c r="AI60" s="657"/>
      <c r="AJ60" s="546" t="s">
        <v>592</v>
      </c>
      <c r="AK60" s="547" t="s">
        <v>592</v>
      </c>
      <c r="AL60" s="547" t="s">
        <v>592</v>
      </c>
      <c r="AM60" s="547" t="e">
        <v>#VALUE!</v>
      </c>
      <c r="AN60" s="657"/>
      <c r="AO60" s="546" t="s">
        <v>592</v>
      </c>
      <c r="AP60" s="547" t="s">
        <v>592</v>
      </c>
      <c r="AQ60" s="547" t="s">
        <v>592</v>
      </c>
      <c r="AR60" s="547" t="e">
        <v>#VALUE!</v>
      </c>
      <c r="AS60" s="657"/>
      <c r="AT60" s="546" t="s">
        <v>592</v>
      </c>
      <c r="AU60" s="547" t="s">
        <v>592</v>
      </c>
      <c r="AV60" s="547" t="s">
        <v>592</v>
      </c>
      <c r="AW60" s="547" t="e">
        <v>#VALUE!</v>
      </c>
      <c r="AX60" s="657"/>
      <c r="AZ60" s="430" t="e">
        <f t="shared" si="27"/>
        <v>#N/A</v>
      </c>
      <c r="BA60" s="648"/>
    </row>
    <row r="61" spans="2:53">
      <c r="B61" s="646"/>
      <c r="C61" s="384">
        <v>15</v>
      </c>
      <c r="D61" s="225"/>
      <c r="E61" s="539"/>
      <c r="F61" s="535"/>
      <c r="G61" s="534"/>
      <c r="H61" s="680"/>
      <c r="I61" s="384"/>
      <c r="J61" s="384"/>
      <c r="K61" s="384"/>
      <c r="L61" s="618"/>
      <c r="M61" s="432" t="e">
        <f>RANK(K61, K$47:$K$61)</f>
        <v>#N/A</v>
      </c>
      <c r="N61" s="635"/>
      <c r="O61" s="635"/>
      <c r="P61" s="546" t="s">
        <v>592</v>
      </c>
      <c r="Q61" s="547" t="s">
        <v>592</v>
      </c>
      <c r="R61" s="547" t="s">
        <v>592</v>
      </c>
      <c r="S61" s="547" t="e">
        <v>#VALUE!</v>
      </c>
      <c r="T61" s="657"/>
      <c r="U61" s="546" t="s">
        <v>592</v>
      </c>
      <c r="V61" s="547" t="s">
        <v>592</v>
      </c>
      <c r="W61" s="547" t="s">
        <v>592</v>
      </c>
      <c r="X61" s="547" t="e">
        <v>#VALUE!</v>
      </c>
      <c r="Y61" s="657"/>
      <c r="Z61" s="546" t="s">
        <v>592</v>
      </c>
      <c r="AA61" s="547" t="s">
        <v>592</v>
      </c>
      <c r="AB61" s="547" t="s">
        <v>592</v>
      </c>
      <c r="AC61" s="547" t="e">
        <v>#VALUE!</v>
      </c>
      <c r="AD61" s="657"/>
      <c r="AE61" s="546" t="s">
        <v>592</v>
      </c>
      <c r="AF61" s="547" t="s">
        <v>592</v>
      </c>
      <c r="AG61" s="547" t="s">
        <v>592</v>
      </c>
      <c r="AH61" s="547" t="e">
        <v>#VALUE!</v>
      </c>
      <c r="AI61" s="657"/>
      <c r="AJ61" s="546" t="s">
        <v>592</v>
      </c>
      <c r="AK61" s="547" t="s">
        <v>592</v>
      </c>
      <c r="AL61" s="547" t="s">
        <v>592</v>
      </c>
      <c r="AM61" s="547" t="e">
        <v>#VALUE!</v>
      </c>
      <c r="AN61" s="657"/>
      <c r="AO61" s="546" t="s">
        <v>592</v>
      </c>
      <c r="AP61" s="547" t="s">
        <v>592</v>
      </c>
      <c r="AQ61" s="547" t="s">
        <v>592</v>
      </c>
      <c r="AR61" s="547" t="e">
        <v>#VALUE!</v>
      </c>
      <c r="AS61" s="657"/>
      <c r="AT61" s="546" t="s">
        <v>592</v>
      </c>
      <c r="AU61" s="547" t="s">
        <v>592</v>
      </c>
      <c r="AV61" s="547" t="s">
        <v>592</v>
      </c>
      <c r="AW61" s="547" t="e">
        <v>#VALUE!</v>
      </c>
      <c r="AX61" s="657"/>
      <c r="AZ61" s="430" t="e">
        <f t="shared" si="27"/>
        <v>#N/A</v>
      </c>
      <c r="BA61" s="649"/>
    </row>
    <row r="62" spans="2:53" ht="15.75">
      <c r="B62" s="650" t="s">
        <v>162</v>
      </c>
      <c r="C62" s="651"/>
      <c r="D62" s="651"/>
      <c r="E62" s="651"/>
      <c r="F62" s="651"/>
      <c r="G62" s="651"/>
      <c r="H62" s="652"/>
      <c r="I62" s="207"/>
      <c r="J62" s="207"/>
      <c r="K62" s="207"/>
      <c r="L62" s="207"/>
      <c r="M62" s="206"/>
      <c r="N62" s="639" t="s">
        <v>156</v>
      </c>
      <c r="O62" s="639" t="s">
        <v>105</v>
      </c>
      <c r="P62" s="645">
        <f>P42+7</f>
        <v>46224</v>
      </c>
      <c r="Q62" s="646"/>
      <c r="R62" s="646"/>
      <c r="S62" s="646"/>
      <c r="T62" s="646"/>
      <c r="U62" s="642">
        <f>P62+1</f>
        <v>46225</v>
      </c>
      <c r="V62" s="643"/>
      <c r="W62" s="643"/>
      <c r="X62" s="643"/>
      <c r="Y62" s="644"/>
      <c r="Z62" s="642">
        <f>U62+1</f>
        <v>46226</v>
      </c>
      <c r="AA62" s="643"/>
      <c r="AB62" s="643"/>
      <c r="AC62" s="643"/>
      <c r="AD62" s="644"/>
      <c r="AE62" s="642">
        <f>Z62+1</f>
        <v>46227</v>
      </c>
      <c r="AF62" s="643"/>
      <c r="AG62" s="643"/>
      <c r="AH62" s="643"/>
      <c r="AI62" s="644"/>
      <c r="AJ62" s="642">
        <f>AE62+1</f>
        <v>46228</v>
      </c>
      <c r="AK62" s="643"/>
      <c r="AL62" s="643"/>
      <c r="AM62" s="643"/>
      <c r="AN62" s="644"/>
      <c r="AO62" s="642">
        <f>AJ62+1</f>
        <v>46229</v>
      </c>
      <c r="AP62" s="643"/>
      <c r="AQ62" s="643"/>
      <c r="AR62" s="643"/>
      <c r="AS62" s="644"/>
      <c r="AT62" s="642">
        <f>AO62+1</f>
        <v>46230</v>
      </c>
      <c r="AU62" s="643"/>
      <c r="AV62" s="643"/>
      <c r="AW62" s="643"/>
      <c r="AX62" s="644"/>
    </row>
    <row r="63" spans="2:53" ht="15.75">
      <c r="B63" s="653"/>
      <c r="C63" s="653"/>
      <c r="D63" s="653"/>
      <c r="E63" s="653"/>
      <c r="F63" s="653"/>
      <c r="G63" s="653"/>
      <c r="H63" s="653"/>
      <c r="I63" s="204"/>
      <c r="J63" s="204"/>
      <c r="K63" s="204"/>
      <c r="L63" s="204"/>
      <c r="M63" s="205"/>
      <c r="N63" s="641"/>
      <c r="O63" s="641"/>
      <c r="P63" s="645" t="s">
        <v>317</v>
      </c>
      <c r="Q63" s="646"/>
      <c r="R63" s="646"/>
      <c r="S63" s="646"/>
      <c r="T63" s="646"/>
      <c r="U63" s="645" t="s">
        <v>318</v>
      </c>
      <c r="V63" s="646"/>
      <c r="W63" s="646"/>
      <c r="X63" s="646"/>
      <c r="Y63" s="646"/>
      <c r="Z63" s="645" t="s">
        <v>319</v>
      </c>
      <c r="AA63" s="646"/>
      <c r="AB63" s="646"/>
      <c r="AC63" s="646"/>
      <c r="AD63" s="646"/>
      <c r="AE63" s="645" t="s">
        <v>320</v>
      </c>
      <c r="AF63" s="646"/>
      <c r="AG63" s="646"/>
      <c r="AH63" s="646"/>
      <c r="AI63" s="646"/>
      <c r="AJ63" s="645" t="s">
        <v>321</v>
      </c>
      <c r="AK63" s="646"/>
      <c r="AL63" s="646"/>
      <c r="AM63" s="646"/>
      <c r="AN63" s="646"/>
      <c r="AO63" s="645" t="s">
        <v>322</v>
      </c>
      <c r="AP63" s="646"/>
      <c r="AQ63" s="646"/>
      <c r="AR63" s="646"/>
      <c r="AS63" s="646"/>
      <c r="AT63" s="645" t="s">
        <v>323</v>
      </c>
      <c r="AU63" s="646"/>
      <c r="AV63" s="646"/>
      <c r="AW63" s="646"/>
      <c r="AX63" s="646"/>
    </row>
    <row r="64" spans="2:53">
      <c r="B64" s="635" t="s">
        <v>410</v>
      </c>
      <c r="C64" s="635" t="s">
        <v>536</v>
      </c>
      <c r="D64" s="635"/>
      <c r="E64" s="635" t="s">
        <v>537</v>
      </c>
      <c r="F64" s="635"/>
      <c r="G64" s="635"/>
      <c r="H64" s="636" t="s">
        <v>538</v>
      </c>
      <c r="I64" s="635" t="s">
        <v>539</v>
      </c>
      <c r="J64" s="635"/>
      <c r="K64" s="635"/>
      <c r="L64" s="636" t="s">
        <v>369</v>
      </c>
      <c r="M64" s="639" t="s">
        <v>540</v>
      </c>
      <c r="N64" s="635"/>
      <c r="O64" s="635" t="s">
        <v>375</v>
      </c>
      <c r="P64" s="632" t="s">
        <v>371</v>
      </c>
      <c r="Q64" s="633"/>
      <c r="R64" s="633"/>
      <c r="S64" s="634"/>
      <c r="T64" s="635" t="s">
        <v>369</v>
      </c>
      <c r="U64" s="632" t="s">
        <v>371</v>
      </c>
      <c r="V64" s="633"/>
      <c r="W64" s="633"/>
      <c r="X64" s="634"/>
      <c r="Y64" s="635" t="s">
        <v>369</v>
      </c>
      <c r="Z64" s="632" t="s">
        <v>371</v>
      </c>
      <c r="AA64" s="633"/>
      <c r="AB64" s="633"/>
      <c r="AC64" s="634"/>
      <c r="AD64" s="635" t="s">
        <v>369</v>
      </c>
      <c r="AE64" s="632" t="s">
        <v>371</v>
      </c>
      <c r="AF64" s="633"/>
      <c r="AG64" s="633"/>
      <c r="AH64" s="634"/>
      <c r="AI64" s="635" t="s">
        <v>369</v>
      </c>
      <c r="AJ64" s="632" t="s">
        <v>371</v>
      </c>
      <c r="AK64" s="633"/>
      <c r="AL64" s="633"/>
      <c r="AM64" s="634"/>
      <c r="AN64" s="635" t="s">
        <v>369</v>
      </c>
      <c r="AO64" s="632" t="s">
        <v>371</v>
      </c>
      <c r="AP64" s="633"/>
      <c r="AQ64" s="633"/>
      <c r="AR64" s="634"/>
      <c r="AS64" s="635" t="s">
        <v>369</v>
      </c>
      <c r="AT64" s="632" t="s">
        <v>371</v>
      </c>
      <c r="AU64" s="633"/>
      <c r="AV64" s="633"/>
      <c r="AW64" s="634"/>
      <c r="AX64" s="635" t="s">
        <v>369</v>
      </c>
      <c r="BA64" s="635" t="s">
        <v>369</v>
      </c>
    </row>
    <row r="65" spans="2:53">
      <c r="B65" s="635"/>
      <c r="C65" s="635"/>
      <c r="D65" s="635"/>
      <c r="E65" s="635" t="s">
        <v>542</v>
      </c>
      <c r="F65" s="635"/>
      <c r="G65" s="635"/>
      <c r="H65" s="637"/>
      <c r="I65" s="635" t="s">
        <v>542</v>
      </c>
      <c r="J65" s="635"/>
      <c r="K65" s="635"/>
      <c r="L65" s="637"/>
      <c r="M65" s="640"/>
      <c r="N65" s="635"/>
      <c r="O65" s="635"/>
      <c r="P65" s="632" t="s">
        <v>377</v>
      </c>
      <c r="Q65" s="633"/>
      <c r="R65" s="633"/>
      <c r="S65" s="634"/>
      <c r="T65" s="635"/>
      <c r="U65" s="632" t="s">
        <v>377</v>
      </c>
      <c r="V65" s="633"/>
      <c r="W65" s="633"/>
      <c r="X65" s="634"/>
      <c r="Y65" s="635"/>
      <c r="Z65" s="632" t="s">
        <v>377</v>
      </c>
      <c r="AA65" s="633"/>
      <c r="AB65" s="633"/>
      <c r="AC65" s="634"/>
      <c r="AD65" s="635"/>
      <c r="AE65" s="632" t="s">
        <v>377</v>
      </c>
      <c r="AF65" s="633"/>
      <c r="AG65" s="633"/>
      <c r="AH65" s="634"/>
      <c r="AI65" s="635"/>
      <c r="AJ65" s="632" t="s">
        <v>377</v>
      </c>
      <c r="AK65" s="633"/>
      <c r="AL65" s="633"/>
      <c r="AM65" s="634"/>
      <c r="AN65" s="635"/>
      <c r="AO65" s="632" t="s">
        <v>377</v>
      </c>
      <c r="AP65" s="633"/>
      <c r="AQ65" s="633"/>
      <c r="AR65" s="634"/>
      <c r="AS65" s="635"/>
      <c r="AT65" s="632" t="s">
        <v>377</v>
      </c>
      <c r="AU65" s="633"/>
      <c r="AV65" s="633"/>
      <c r="AW65" s="634"/>
      <c r="AX65" s="635"/>
      <c r="BA65" s="635"/>
    </row>
    <row r="66" spans="2:53">
      <c r="B66" s="635"/>
      <c r="C66" s="635"/>
      <c r="D66" s="635"/>
      <c r="E66" s="382" t="s">
        <v>543</v>
      </c>
      <c r="F66" s="382" t="s">
        <v>544</v>
      </c>
      <c r="G66" s="382" t="s">
        <v>545</v>
      </c>
      <c r="H66" s="638"/>
      <c r="I66" s="382" t="s">
        <v>543</v>
      </c>
      <c r="J66" s="382" t="s">
        <v>544</v>
      </c>
      <c r="K66" s="382" t="s">
        <v>545</v>
      </c>
      <c r="L66" s="638"/>
      <c r="M66" s="641"/>
      <c r="N66" s="635"/>
      <c r="O66" s="635"/>
      <c r="P66" s="382" t="s">
        <v>378</v>
      </c>
      <c r="Q66" s="382" t="s">
        <v>379</v>
      </c>
      <c r="R66" s="382" t="s">
        <v>380</v>
      </c>
      <c r="S66" s="382" t="s">
        <v>370</v>
      </c>
      <c r="T66" s="635"/>
      <c r="U66" s="382" t="s">
        <v>378</v>
      </c>
      <c r="V66" s="382" t="s">
        <v>379</v>
      </c>
      <c r="W66" s="382" t="s">
        <v>380</v>
      </c>
      <c r="X66" s="382" t="s">
        <v>370</v>
      </c>
      <c r="Y66" s="635"/>
      <c r="Z66" s="382" t="s">
        <v>378</v>
      </c>
      <c r="AA66" s="382" t="s">
        <v>379</v>
      </c>
      <c r="AB66" s="382" t="s">
        <v>380</v>
      </c>
      <c r="AC66" s="382" t="s">
        <v>370</v>
      </c>
      <c r="AD66" s="635"/>
      <c r="AE66" s="382" t="s">
        <v>378</v>
      </c>
      <c r="AF66" s="382" t="s">
        <v>379</v>
      </c>
      <c r="AG66" s="382" t="s">
        <v>380</v>
      </c>
      <c r="AH66" s="382" t="s">
        <v>370</v>
      </c>
      <c r="AI66" s="635"/>
      <c r="AJ66" s="382" t="s">
        <v>378</v>
      </c>
      <c r="AK66" s="382" t="s">
        <v>379</v>
      </c>
      <c r="AL66" s="382" t="s">
        <v>380</v>
      </c>
      <c r="AM66" s="382" t="s">
        <v>370</v>
      </c>
      <c r="AN66" s="635"/>
      <c r="AO66" s="382" t="s">
        <v>378</v>
      </c>
      <c r="AP66" s="382" t="s">
        <v>379</v>
      </c>
      <c r="AQ66" s="382" t="s">
        <v>380</v>
      </c>
      <c r="AR66" s="382" t="s">
        <v>370</v>
      </c>
      <c r="AS66" s="635"/>
      <c r="AT66" s="382" t="s">
        <v>378</v>
      </c>
      <c r="AU66" s="382" t="s">
        <v>379</v>
      </c>
      <c r="AV66" s="382" t="s">
        <v>380</v>
      </c>
      <c r="AW66" s="382" t="s">
        <v>370</v>
      </c>
      <c r="AX66" s="635"/>
      <c r="AZ66" s="371" t="s">
        <v>370</v>
      </c>
      <c r="BA66" s="635"/>
    </row>
    <row r="67" spans="2:53">
      <c r="B67" s="635" t="s">
        <v>424</v>
      </c>
      <c r="C67" s="384">
        <v>1</v>
      </c>
      <c r="D67" s="225" t="s">
        <v>356</v>
      </c>
      <c r="E67" s="539">
        <v>7</v>
      </c>
      <c r="F67" s="535">
        <v>1500</v>
      </c>
      <c r="G67" s="534">
        <v>214.28571428571428</v>
      </c>
      <c r="H67" s="670">
        <f>AVERAGE(G67:G81)</f>
        <v>174.62263655462186</v>
      </c>
      <c r="I67" s="385">
        <f t="shared" ref="I67:I80" si="29">IFERROR(AVERAGE(P67,U67,Z67,AE67,AJ67,AO67,AT67),"-")</f>
        <v>7</v>
      </c>
      <c r="J67" s="385">
        <f t="shared" ref="J67:J80" si="30">IFERROR(AVERAGE(Q67,V67,AA67,AF67,AK67,AP67,AU67),"-")</f>
        <v>1444.5980997560505</v>
      </c>
      <c r="K67" s="199">
        <f t="shared" ref="K67:K80" si="31">IFERROR(AVERAGE(R67,W67,AB67,AG67,AL67,AQ67,AV67),"-")</f>
        <v>206.37115710800717</v>
      </c>
      <c r="L67" s="616">
        <f>IFERROR(AVERAGE(K67:K81),"-")</f>
        <v>156.17246300143455</v>
      </c>
      <c r="M67" s="389">
        <f>RANK(K67, K$67:$K$81)</f>
        <v>3</v>
      </c>
      <c r="N67" s="635"/>
      <c r="O67" s="635"/>
      <c r="P67" s="557">
        <v>7</v>
      </c>
      <c r="Q67" s="531">
        <v>1462.7586206896553</v>
      </c>
      <c r="R67" s="531">
        <v>208.96551724137933</v>
      </c>
      <c r="S67" s="555">
        <f t="shared" ref="S67:S81" si="32">RANK(R67, R$67:R$81)</f>
        <v>2</v>
      </c>
      <c r="T67" s="647">
        <f t="shared" ref="T67" si="33">AVERAGE(R67:R81)</f>
        <v>155.83183594278617</v>
      </c>
      <c r="U67" s="557">
        <v>7</v>
      </c>
      <c r="V67" s="531">
        <v>1460.6896551724139</v>
      </c>
      <c r="W67" s="531">
        <v>208.66995073891627</v>
      </c>
      <c r="X67" s="555">
        <f t="shared" ref="X67:X81" si="34">RANK(W67, W$67:W$81)</f>
        <v>3</v>
      </c>
      <c r="Y67" s="647">
        <f t="shared" ref="Y67" si="35">AVERAGE(W67:W81)</f>
        <v>158.03528795341259</v>
      </c>
      <c r="Z67" s="557">
        <v>7</v>
      </c>
      <c r="AA67" s="531">
        <v>1437.0000000000005</v>
      </c>
      <c r="AB67" s="531">
        <v>205.28571428571436</v>
      </c>
      <c r="AC67" s="555">
        <f t="shared" ref="AC67:AC81" si="36">RANK(AB67, AB$67:AB$81)</f>
        <v>3</v>
      </c>
      <c r="AD67" s="647">
        <f t="shared" ref="AD67" si="37">AVERAGE(AB67:AB81)</f>
        <v>157.63528632601876</v>
      </c>
      <c r="AE67" s="557">
        <v>7</v>
      </c>
      <c r="AF67" s="531">
        <v>1428.7500000000005</v>
      </c>
      <c r="AG67" s="531">
        <v>204.10714285714292</v>
      </c>
      <c r="AH67" s="555">
        <f t="shared" ref="AH67:AH81" si="38">RANK(AG67, AG$67:AG$81)</f>
        <v>3</v>
      </c>
      <c r="AI67" s="647">
        <f t="shared" ref="AI67" si="39">AVERAGE(AG67:AG81)</f>
        <v>154.33326006721921</v>
      </c>
      <c r="AJ67" s="557">
        <v>7</v>
      </c>
      <c r="AK67" s="531">
        <v>1441.395348837209</v>
      </c>
      <c r="AL67" s="531">
        <v>205.91362126245843</v>
      </c>
      <c r="AM67" s="555">
        <f t="shared" ref="AM67:AM81" si="40">RANK(AL67, AL$67:AL$81)</f>
        <v>5</v>
      </c>
      <c r="AN67" s="647">
        <f t="shared" ref="AN67" si="41">AVERAGE(AL67:AL81)</f>
        <v>155.90175277795782</v>
      </c>
      <c r="AO67" s="557">
        <v>7</v>
      </c>
      <c r="AP67" s="531">
        <v>1422.5454545454545</v>
      </c>
      <c r="AQ67" s="531">
        <v>203.22077922077921</v>
      </c>
      <c r="AR67" s="555">
        <f t="shared" ref="AR67:AR81" si="42">RANK(AQ67, AQ$67:AQ$81)</f>
        <v>4</v>
      </c>
      <c r="AS67" s="647">
        <f t="shared" ref="AS67" si="43">AVERAGE(AQ67:AQ81)</f>
        <v>154.61489652968405</v>
      </c>
      <c r="AT67" s="555">
        <v>7</v>
      </c>
      <c r="AU67" s="556">
        <v>1459.0476190476188</v>
      </c>
      <c r="AV67" s="556">
        <v>208.43537414965982</v>
      </c>
      <c r="AW67" s="555">
        <f t="shared" ref="AW67:AW81" si="44">RANK(AV67, AV$67:AV$81)</f>
        <v>2</v>
      </c>
      <c r="AX67" s="647">
        <f t="shared" ref="AX67" si="45">AVERAGE(AV67:AV81)</f>
        <v>156.85492141296351</v>
      </c>
      <c r="AZ67" s="372" t="e">
        <f t="shared" ref="AZ67:AZ81" si="46">RANK(AY67, AY$67:AY$81)</f>
        <v>#N/A</v>
      </c>
      <c r="BA67" s="647" t="e">
        <f t="shared" ref="BA67" si="47">AVERAGE(AY67:AY81)</f>
        <v>#DIV/0!</v>
      </c>
    </row>
    <row r="68" spans="2:53">
      <c r="B68" s="646"/>
      <c r="C68" s="384">
        <v>2</v>
      </c>
      <c r="D68" s="225" t="s">
        <v>357</v>
      </c>
      <c r="E68" s="539">
        <v>7</v>
      </c>
      <c r="F68" s="535">
        <v>1500</v>
      </c>
      <c r="G68" s="534">
        <v>214.28571428571428</v>
      </c>
      <c r="H68" s="671"/>
      <c r="I68" s="385">
        <f t="shared" si="29"/>
        <v>7</v>
      </c>
      <c r="J68" s="385">
        <f t="shared" si="30"/>
        <v>1468.4953407553726</v>
      </c>
      <c r="K68" s="199">
        <f t="shared" si="31"/>
        <v>209.7850486793389</v>
      </c>
      <c r="L68" s="617"/>
      <c r="M68" s="389">
        <f>RANK(K68, K$67:$K$81)</f>
        <v>1</v>
      </c>
      <c r="N68" s="635"/>
      <c r="O68" s="635"/>
      <c r="P68" s="557">
        <v>7</v>
      </c>
      <c r="Q68" s="531">
        <v>1478.0281690140848</v>
      </c>
      <c r="R68" s="531">
        <v>211.14688128772642</v>
      </c>
      <c r="S68" s="555">
        <f t="shared" si="32"/>
        <v>1</v>
      </c>
      <c r="T68" s="648"/>
      <c r="U68" s="557">
        <v>7</v>
      </c>
      <c r="V68" s="531">
        <v>1467.0000000000005</v>
      </c>
      <c r="W68" s="531">
        <v>209.57142857142864</v>
      </c>
      <c r="X68" s="555">
        <f t="shared" si="34"/>
        <v>1</v>
      </c>
      <c r="Y68" s="648"/>
      <c r="Z68" s="557">
        <v>7</v>
      </c>
      <c r="AA68" s="531">
        <v>1455.2173913043478</v>
      </c>
      <c r="AB68" s="531">
        <v>207.88819875776397</v>
      </c>
      <c r="AC68" s="555">
        <f t="shared" si="36"/>
        <v>1</v>
      </c>
      <c r="AD68" s="648"/>
      <c r="AE68" s="557">
        <v>7</v>
      </c>
      <c r="AF68" s="531">
        <v>1478.4615384615386</v>
      </c>
      <c r="AG68" s="531">
        <v>211.20879120879121</v>
      </c>
      <c r="AH68" s="555">
        <f t="shared" si="38"/>
        <v>1</v>
      </c>
      <c r="AI68" s="648"/>
      <c r="AJ68" s="557">
        <v>7</v>
      </c>
      <c r="AK68" s="531">
        <v>1474.2105263157894</v>
      </c>
      <c r="AL68" s="531">
        <v>210.60150375939847</v>
      </c>
      <c r="AM68" s="555">
        <f t="shared" si="40"/>
        <v>3</v>
      </c>
      <c r="AN68" s="648"/>
      <c r="AO68" s="557">
        <v>7</v>
      </c>
      <c r="AP68" s="531">
        <v>1448.6330935251799</v>
      </c>
      <c r="AQ68" s="531">
        <v>206.94758478931141</v>
      </c>
      <c r="AR68" s="555">
        <f t="shared" si="42"/>
        <v>2</v>
      </c>
      <c r="AS68" s="648"/>
      <c r="AT68" s="555">
        <v>7</v>
      </c>
      <c r="AU68" s="556">
        <v>1477.9166666666661</v>
      </c>
      <c r="AV68" s="556">
        <v>211.13095238095229</v>
      </c>
      <c r="AW68" s="555">
        <f t="shared" si="44"/>
        <v>1</v>
      </c>
      <c r="AX68" s="648"/>
      <c r="AZ68" s="372" t="e">
        <f t="shared" si="46"/>
        <v>#N/A</v>
      </c>
      <c r="BA68" s="648"/>
    </row>
    <row r="69" spans="2:53">
      <c r="B69" s="646"/>
      <c r="C69" s="384">
        <v>3</v>
      </c>
      <c r="D69" s="225" t="s">
        <v>358</v>
      </c>
      <c r="E69" s="539">
        <v>17</v>
      </c>
      <c r="F69" s="535">
        <v>1500</v>
      </c>
      <c r="G69" s="534">
        <v>88.235294117647058</v>
      </c>
      <c r="H69" s="671"/>
      <c r="I69" s="385">
        <f t="shared" si="29"/>
        <v>17</v>
      </c>
      <c r="J69" s="385">
        <f t="shared" si="30"/>
        <v>1396.726820932088</v>
      </c>
      <c r="K69" s="199">
        <f t="shared" si="31"/>
        <v>82.160401231299304</v>
      </c>
      <c r="L69" s="617"/>
      <c r="M69" s="389">
        <f>RANK(K69, K$67:$K$81)</f>
        <v>9</v>
      </c>
      <c r="N69" s="635"/>
      <c r="O69" s="635"/>
      <c r="P69" s="557">
        <v>17</v>
      </c>
      <c r="Q69" s="531">
        <v>1418</v>
      </c>
      <c r="R69" s="531">
        <v>83.411764705882348</v>
      </c>
      <c r="S69" s="555">
        <f t="shared" si="32"/>
        <v>9</v>
      </c>
      <c r="T69" s="648"/>
      <c r="U69" s="557">
        <v>17</v>
      </c>
      <c r="V69" s="531">
        <v>1402.092307692307</v>
      </c>
      <c r="W69" s="531">
        <v>82.476018099547474</v>
      </c>
      <c r="X69" s="555">
        <f t="shared" si="34"/>
        <v>9</v>
      </c>
      <c r="Y69" s="648"/>
      <c r="Z69" s="557">
        <v>17</v>
      </c>
      <c r="AA69" s="531">
        <v>1389.8823529411761</v>
      </c>
      <c r="AB69" s="531">
        <v>81.757785467128002</v>
      </c>
      <c r="AC69" s="555">
        <f t="shared" si="36"/>
        <v>9</v>
      </c>
      <c r="AD69" s="648"/>
      <c r="AE69" s="557">
        <v>17</v>
      </c>
      <c r="AF69" s="531">
        <v>1408.6567164179105</v>
      </c>
      <c r="AG69" s="531">
        <v>82.862159789288853</v>
      </c>
      <c r="AH69" s="555">
        <f t="shared" si="38"/>
        <v>9</v>
      </c>
      <c r="AI69" s="648"/>
      <c r="AJ69" s="557">
        <v>17</v>
      </c>
      <c r="AK69" s="531">
        <v>1404.5454545454545</v>
      </c>
      <c r="AL69" s="531">
        <v>82.620320855614978</v>
      </c>
      <c r="AM69" s="555">
        <f t="shared" si="40"/>
        <v>9</v>
      </c>
      <c r="AN69" s="648"/>
      <c r="AO69" s="557">
        <v>17</v>
      </c>
      <c r="AP69" s="531">
        <v>1382.6966292134832</v>
      </c>
      <c r="AQ69" s="531">
        <v>81.335095836087248</v>
      </c>
      <c r="AR69" s="555">
        <f t="shared" si="42"/>
        <v>9</v>
      </c>
      <c r="AS69" s="648"/>
      <c r="AT69" s="555">
        <v>17</v>
      </c>
      <c r="AU69" s="556">
        <v>1371.2142857142853</v>
      </c>
      <c r="AV69" s="556">
        <v>80.659663865546193</v>
      </c>
      <c r="AW69" s="555">
        <f t="shared" si="44"/>
        <v>9</v>
      </c>
      <c r="AX69" s="648"/>
      <c r="AZ69" s="372" t="e">
        <f t="shared" si="46"/>
        <v>#N/A</v>
      </c>
      <c r="BA69" s="648"/>
    </row>
    <row r="70" spans="2:53">
      <c r="B70" s="646"/>
      <c r="C70" s="384">
        <v>4</v>
      </c>
      <c r="D70" s="225" t="s">
        <v>391</v>
      </c>
      <c r="E70" s="539">
        <v>7</v>
      </c>
      <c r="F70" s="535">
        <v>1500</v>
      </c>
      <c r="G70" s="534">
        <v>214.28571428571428</v>
      </c>
      <c r="H70" s="671"/>
      <c r="I70" s="385">
        <f t="shared" si="29"/>
        <v>7</v>
      </c>
      <c r="J70" s="385">
        <f t="shared" si="30"/>
        <v>1465.6601876261047</v>
      </c>
      <c r="K70" s="199">
        <f t="shared" si="31"/>
        <v>209.38002680372924</v>
      </c>
      <c r="L70" s="617"/>
      <c r="M70" s="389">
        <f>RANK(K70, K$67:$K$81)</f>
        <v>2</v>
      </c>
      <c r="N70" s="635"/>
      <c r="O70" s="635"/>
      <c r="P70" s="557">
        <v>7</v>
      </c>
      <c r="Q70" s="531">
        <v>1441.0588235294122</v>
      </c>
      <c r="R70" s="531">
        <v>205.86554621848745</v>
      </c>
      <c r="S70" s="555">
        <f t="shared" si="32"/>
        <v>3</v>
      </c>
      <c r="T70" s="648"/>
      <c r="U70" s="557">
        <v>7</v>
      </c>
      <c r="V70" s="531">
        <v>1464.3636363636365</v>
      </c>
      <c r="W70" s="531">
        <v>209.19480519480521</v>
      </c>
      <c r="X70" s="555">
        <f t="shared" si="34"/>
        <v>2</v>
      </c>
      <c r="Y70" s="648"/>
      <c r="Z70" s="557">
        <v>7</v>
      </c>
      <c r="AA70" s="531">
        <v>1450.181818181818</v>
      </c>
      <c r="AB70" s="531">
        <v>207.16883116883113</v>
      </c>
      <c r="AC70" s="555">
        <f t="shared" si="36"/>
        <v>2</v>
      </c>
      <c r="AD70" s="648"/>
      <c r="AE70" s="557">
        <v>7</v>
      </c>
      <c r="AF70" s="531">
        <v>1476.6906474820144</v>
      </c>
      <c r="AG70" s="531">
        <v>210.95580678314491</v>
      </c>
      <c r="AH70" s="555">
        <f t="shared" si="38"/>
        <v>2</v>
      </c>
      <c r="AI70" s="648"/>
      <c r="AJ70" s="557">
        <v>7</v>
      </c>
      <c r="AK70" s="531">
        <v>1495.0375939849623</v>
      </c>
      <c r="AL70" s="531">
        <v>213.57679914070891</v>
      </c>
      <c r="AM70" s="555">
        <f t="shared" si="40"/>
        <v>1</v>
      </c>
      <c r="AN70" s="648"/>
      <c r="AO70" s="557">
        <v>7</v>
      </c>
      <c r="AP70" s="531">
        <v>1481.3173652694611</v>
      </c>
      <c r="AQ70" s="531">
        <v>211.61676646706587</v>
      </c>
      <c r="AR70" s="555">
        <f t="shared" si="42"/>
        <v>1</v>
      </c>
      <c r="AS70" s="648"/>
      <c r="AT70" s="555">
        <v>7</v>
      </c>
      <c r="AU70" s="556">
        <v>1450.9714285714283</v>
      </c>
      <c r="AV70" s="556">
        <v>207.28163265306119</v>
      </c>
      <c r="AW70" s="555">
        <f t="shared" si="44"/>
        <v>3</v>
      </c>
      <c r="AX70" s="648"/>
      <c r="AZ70" s="372" t="e">
        <f t="shared" si="46"/>
        <v>#N/A</v>
      </c>
      <c r="BA70" s="648"/>
    </row>
    <row r="71" spans="2:53">
      <c r="B71" s="646"/>
      <c r="C71" s="384">
        <v>5</v>
      </c>
      <c r="D71" s="225" t="s">
        <v>583</v>
      </c>
      <c r="E71" s="539">
        <v>12</v>
      </c>
      <c r="F71" s="535">
        <v>2000</v>
      </c>
      <c r="G71" s="534">
        <v>166.66666666666666</v>
      </c>
      <c r="H71" s="671"/>
      <c r="I71" s="385">
        <f t="shared" si="29"/>
        <v>11.428571428571429</v>
      </c>
      <c r="J71" s="385">
        <f t="shared" si="30"/>
        <v>1509.8129422196014</v>
      </c>
      <c r="K71" s="199">
        <f t="shared" si="31"/>
        <v>132.64098683794978</v>
      </c>
      <c r="L71" s="617"/>
      <c r="M71" s="389">
        <f>RANK(K71, K$67:$K$81)</f>
        <v>6</v>
      </c>
      <c r="N71" s="635"/>
      <c r="O71" s="635"/>
      <c r="P71" s="557">
        <v>12</v>
      </c>
      <c r="Q71" s="531">
        <v>1507.1641791044767</v>
      </c>
      <c r="R71" s="531">
        <v>125.59701492537306</v>
      </c>
      <c r="S71" s="555">
        <f t="shared" si="32"/>
        <v>7</v>
      </c>
      <c r="T71" s="648"/>
      <c r="U71" s="557">
        <v>10</v>
      </c>
      <c r="V71" s="531">
        <v>1415.4166666666661</v>
      </c>
      <c r="W71" s="531">
        <v>141.5416666666666</v>
      </c>
      <c r="X71" s="555">
        <f t="shared" si="34"/>
        <v>6</v>
      </c>
      <c r="Y71" s="648"/>
      <c r="Z71" s="557">
        <v>10</v>
      </c>
      <c r="AA71" s="531">
        <v>1450.3448275862063</v>
      </c>
      <c r="AB71" s="531">
        <v>145.03448275862064</v>
      </c>
      <c r="AC71" s="555">
        <f t="shared" si="36"/>
        <v>6</v>
      </c>
      <c r="AD71" s="648"/>
      <c r="AE71" s="557">
        <v>12</v>
      </c>
      <c r="AF71" s="531">
        <v>1526.5486725663718</v>
      </c>
      <c r="AG71" s="531">
        <v>127.21238938053098</v>
      </c>
      <c r="AH71" s="555">
        <f t="shared" si="38"/>
        <v>6</v>
      </c>
      <c r="AI71" s="648"/>
      <c r="AJ71" s="557">
        <v>12</v>
      </c>
      <c r="AK71" s="531">
        <v>1519.2233009708734</v>
      </c>
      <c r="AL71" s="531">
        <v>126.60194174757278</v>
      </c>
      <c r="AM71" s="555">
        <f t="shared" si="40"/>
        <v>6</v>
      </c>
      <c r="AN71" s="648"/>
      <c r="AO71" s="557">
        <v>12</v>
      </c>
      <c r="AP71" s="531">
        <v>1577.0078740157487</v>
      </c>
      <c r="AQ71" s="531">
        <v>131.41732283464572</v>
      </c>
      <c r="AR71" s="555">
        <f t="shared" si="42"/>
        <v>6</v>
      </c>
      <c r="AS71" s="648"/>
      <c r="AT71" s="555">
        <v>12</v>
      </c>
      <c r="AU71" s="556">
        <v>1572.9850746268648</v>
      </c>
      <c r="AV71" s="556">
        <v>131.08208955223873</v>
      </c>
      <c r="AW71" s="555">
        <f t="shared" si="44"/>
        <v>6</v>
      </c>
      <c r="AX71" s="648"/>
      <c r="AZ71" s="372" t="e">
        <f t="shared" si="46"/>
        <v>#N/A</v>
      </c>
      <c r="BA71" s="648"/>
    </row>
    <row r="72" spans="2:53">
      <c r="B72" s="646"/>
      <c r="C72" s="384">
        <v>6</v>
      </c>
      <c r="D72" s="225" t="s">
        <v>567</v>
      </c>
      <c r="E72" s="539">
        <v>7</v>
      </c>
      <c r="F72" s="535">
        <v>1500</v>
      </c>
      <c r="G72" s="534">
        <v>214.28571428571428</v>
      </c>
      <c r="H72" s="671"/>
      <c r="I72" s="385">
        <f t="shared" si="29"/>
        <v>7</v>
      </c>
      <c r="J72" s="385">
        <f t="shared" si="30"/>
        <v>1425.2148106419706</v>
      </c>
      <c r="K72" s="199">
        <f t="shared" si="31"/>
        <v>203.60211580599579</v>
      </c>
      <c r="L72" s="617"/>
      <c r="M72" s="389">
        <f>RANK(K72, K$67:$K$81)</f>
        <v>4</v>
      </c>
      <c r="N72" s="635"/>
      <c r="O72" s="635"/>
      <c r="P72" s="557">
        <v>7</v>
      </c>
      <c r="Q72" s="531">
        <v>1428.1481481481483</v>
      </c>
      <c r="R72" s="531">
        <v>204.02116402116403</v>
      </c>
      <c r="S72" s="555">
        <f t="shared" si="32"/>
        <v>4</v>
      </c>
      <c r="T72" s="648"/>
      <c r="U72" s="557">
        <v>7</v>
      </c>
      <c r="V72" s="531">
        <v>1419.5294117647063</v>
      </c>
      <c r="W72" s="531">
        <v>202.78991596638662</v>
      </c>
      <c r="X72" s="555">
        <f t="shared" si="34"/>
        <v>5</v>
      </c>
      <c r="Y72" s="648"/>
      <c r="Z72" s="557">
        <v>7</v>
      </c>
      <c r="AA72" s="531">
        <v>1434.9397590361448</v>
      </c>
      <c r="AB72" s="531">
        <v>204.99139414802067</v>
      </c>
      <c r="AC72" s="555">
        <f t="shared" si="36"/>
        <v>4</v>
      </c>
      <c r="AD72" s="648"/>
      <c r="AE72" s="557">
        <v>7</v>
      </c>
      <c r="AF72" s="531">
        <v>1407.8260869565213</v>
      </c>
      <c r="AG72" s="531">
        <v>201.11801242236018</v>
      </c>
      <c r="AH72" s="555">
        <f t="shared" si="38"/>
        <v>4</v>
      </c>
      <c r="AI72" s="648"/>
      <c r="AJ72" s="557">
        <v>7</v>
      </c>
      <c r="AK72" s="531">
        <v>1444.0000000000005</v>
      </c>
      <c r="AL72" s="531">
        <v>206.28571428571436</v>
      </c>
      <c r="AM72" s="555">
        <f t="shared" si="40"/>
        <v>4</v>
      </c>
      <c r="AN72" s="648"/>
      <c r="AO72" s="557">
        <v>7</v>
      </c>
      <c r="AP72" s="531">
        <v>1426.4788732394368</v>
      </c>
      <c r="AQ72" s="531">
        <v>203.78269617706241</v>
      </c>
      <c r="AR72" s="555">
        <f t="shared" si="42"/>
        <v>3</v>
      </c>
      <c r="AS72" s="648"/>
      <c r="AT72" s="555">
        <v>7</v>
      </c>
      <c r="AU72" s="556">
        <v>1415.5813953488371</v>
      </c>
      <c r="AV72" s="556">
        <v>202.22591362126244</v>
      </c>
      <c r="AW72" s="555">
        <f t="shared" si="44"/>
        <v>5</v>
      </c>
      <c r="AX72" s="648"/>
      <c r="AZ72" s="372" t="e">
        <f t="shared" si="46"/>
        <v>#N/A</v>
      </c>
      <c r="BA72" s="648"/>
    </row>
    <row r="73" spans="2:53">
      <c r="B73" s="646"/>
      <c r="C73" s="384">
        <v>7</v>
      </c>
      <c r="D73" s="225" t="s">
        <v>616</v>
      </c>
      <c r="E73" s="539">
        <v>12</v>
      </c>
      <c r="F73" s="535">
        <v>2000</v>
      </c>
      <c r="G73" s="534">
        <v>166.66666666666666</v>
      </c>
      <c r="H73" s="671"/>
      <c r="I73" s="385">
        <f t="shared" si="29"/>
        <v>12</v>
      </c>
      <c r="J73" s="385">
        <f t="shared" si="30"/>
        <v>1479.7611073883309</v>
      </c>
      <c r="K73" s="199">
        <f t="shared" si="31"/>
        <v>123.31342561569423</v>
      </c>
      <c r="L73" s="617"/>
      <c r="M73" s="389">
        <f>RANK(K73, K$67:$K$81)</f>
        <v>7</v>
      </c>
      <c r="N73" s="635"/>
      <c r="O73" s="635"/>
      <c r="P73" s="557">
        <v>12</v>
      </c>
      <c r="Q73" s="531">
        <v>1482.2891566265055</v>
      </c>
      <c r="R73" s="531">
        <v>123.52409638554212</v>
      </c>
      <c r="S73" s="555">
        <f t="shared" si="32"/>
        <v>8</v>
      </c>
      <c r="T73" s="648"/>
      <c r="U73" s="557">
        <v>12</v>
      </c>
      <c r="V73" s="531">
        <v>1437.9069767441858</v>
      </c>
      <c r="W73" s="531">
        <v>119.82558139534882</v>
      </c>
      <c r="X73" s="555">
        <f t="shared" si="34"/>
        <v>8</v>
      </c>
      <c r="Y73" s="648"/>
      <c r="Z73" s="557">
        <v>12</v>
      </c>
      <c r="AA73" s="531">
        <v>1502.0886075949368</v>
      </c>
      <c r="AB73" s="531">
        <v>125.1740506329114</v>
      </c>
      <c r="AC73" s="555">
        <f t="shared" si="36"/>
        <v>8</v>
      </c>
      <c r="AD73" s="648"/>
      <c r="AE73" s="557">
        <v>12</v>
      </c>
      <c r="AF73" s="531">
        <v>1471.2096774193544</v>
      </c>
      <c r="AG73" s="531">
        <v>122.60080645161287</v>
      </c>
      <c r="AH73" s="555">
        <f t="shared" si="38"/>
        <v>7</v>
      </c>
      <c r="AI73" s="648"/>
      <c r="AJ73" s="557">
        <v>12</v>
      </c>
      <c r="AK73" s="531">
        <v>1484.9999999999995</v>
      </c>
      <c r="AL73" s="531">
        <v>123.74999999999996</v>
      </c>
      <c r="AM73" s="555">
        <f t="shared" si="40"/>
        <v>7</v>
      </c>
      <c r="AN73" s="648"/>
      <c r="AO73" s="557">
        <v>12</v>
      </c>
      <c r="AP73" s="531">
        <v>1495.125</v>
      </c>
      <c r="AQ73" s="531">
        <v>124.59375</v>
      </c>
      <c r="AR73" s="555">
        <f t="shared" si="42"/>
        <v>7</v>
      </c>
      <c r="AS73" s="648"/>
      <c r="AT73" s="555">
        <v>12</v>
      </c>
      <c r="AU73" s="556">
        <v>1484.7083333333337</v>
      </c>
      <c r="AV73" s="556">
        <v>123.72569444444447</v>
      </c>
      <c r="AW73" s="555">
        <f t="shared" si="44"/>
        <v>8</v>
      </c>
      <c r="AX73" s="648"/>
      <c r="AZ73" s="372" t="e">
        <f t="shared" si="46"/>
        <v>#N/A</v>
      </c>
      <c r="BA73" s="648"/>
    </row>
    <row r="74" spans="2:53">
      <c r="B74" s="646"/>
      <c r="C74" s="384">
        <v>8</v>
      </c>
      <c r="D74" s="225" t="s">
        <v>617</v>
      </c>
      <c r="E74" s="539">
        <v>12</v>
      </c>
      <c r="F74" s="535">
        <v>2000</v>
      </c>
      <c r="G74" s="534">
        <v>166.66666666666666</v>
      </c>
      <c r="H74" s="671"/>
      <c r="I74" s="385">
        <f t="shared" si="29"/>
        <v>12</v>
      </c>
      <c r="J74" s="385">
        <f t="shared" si="30"/>
        <v>1444.5845460821522</v>
      </c>
      <c r="K74" s="199">
        <f t="shared" si="31"/>
        <v>120.382045506846</v>
      </c>
      <c r="L74" s="617"/>
      <c r="M74" s="389">
        <f>RANK(K74, K$67:$K$81)</f>
        <v>8</v>
      </c>
      <c r="N74" s="635"/>
      <c r="O74" s="635"/>
      <c r="P74" s="557">
        <v>12</v>
      </c>
      <c r="Q74" s="531">
        <v>1530.0000000000011</v>
      </c>
      <c r="R74" s="531">
        <v>127.5000000000001</v>
      </c>
      <c r="S74" s="555">
        <f t="shared" si="32"/>
        <v>6</v>
      </c>
      <c r="T74" s="648"/>
      <c r="U74" s="557">
        <v>12</v>
      </c>
      <c r="V74" s="531">
        <v>1535.1724137931026</v>
      </c>
      <c r="W74" s="531">
        <v>127.93103448275855</v>
      </c>
      <c r="X74" s="555">
        <f t="shared" si="34"/>
        <v>7</v>
      </c>
      <c r="Y74" s="648"/>
      <c r="Z74" s="557">
        <v>12</v>
      </c>
      <c r="AA74" s="531">
        <v>1540.645161290322</v>
      </c>
      <c r="AB74" s="531">
        <v>128.38709677419351</v>
      </c>
      <c r="AC74" s="555">
        <f t="shared" si="36"/>
        <v>7</v>
      </c>
      <c r="AD74" s="648"/>
      <c r="AE74" s="557">
        <v>12</v>
      </c>
      <c r="AF74" s="531">
        <v>1333.0434782608695</v>
      </c>
      <c r="AG74" s="531">
        <v>111.08695652173913</v>
      </c>
      <c r="AH74" s="555">
        <f t="shared" si="38"/>
        <v>8</v>
      </c>
      <c r="AI74" s="648"/>
      <c r="AJ74" s="557">
        <v>12</v>
      </c>
      <c r="AK74" s="531">
        <v>1289.9999999999995</v>
      </c>
      <c r="AL74" s="531">
        <v>107.49999999999996</v>
      </c>
      <c r="AM74" s="555">
        <f t="shared" si="40"/>
        <v>8</v>
      </c>
      <c r="AN74" s="648"/>
      <c r="AO74" s="557">
        <v>12</v>
      </c>
      <c r="AP74" s="531">
        <v>1329.23076923077</v>
      </c>
      <c r="AQ74" s="531">
        <v>110.76923076923083</v>
      </c>
      <c r="AR74" s="555">
        <f t="shared" si="42"/>
        <v>8</v>
      </c>
      <c r="AS74" s="648"/>
      <c r="AT74" s="555">
        <v>12</v>
      </c>
      <c r="AU74" s="556">
        <v>1553.9999999999993</v>
      </c>
      <c r="AV74" s="556">
        <v>129.49999999999994</v>
      </c>
      <c r="AW74" s="555">
        <f t="shared" si="44"/>
        <v>7</v>
      </c>
      <c r="AX74" s="648"/>
      <c r="AZ74" s="372" t="e">
        <f t="shared" si="46"/>
        <v>#N/A</v>
      </c>
      <c r="BA74" s="648"/>
    </row>
    <row r="75" spans="2:53">
      <c r="B75" s="646"/>
      <c r="C75" s="384">
        <v>9</v>
      </c>
      <c r="D75" s="225" t="s">
        <v>629</v>
      </c>
      <c r="E75" s="539">
        <v>16</v>
      </c>
      <c r="F75" s="535">
        <v>1385</v>
      </c>
      <c r="G75" s="534">
        <v>86.5625</v>
      </c>
      <c r="H75" s="671"/>
      <c r="I75" s="385">
        <f t="shared" si="29"/>
        <v>16</v>
      </c>
      <c r="J75" s="385">
        <f t="shared" si="30"/>
        <v>1132.8186372052894</v>
      </c>
      <c r="K75" s="199">
        <f t="shared" si="31"/>
        <v>70.801164825330588</v>
      </c>
      <c r="L75" s="617"/>
      <c r="M75" s="389">
        <f>RANK(K75, K$67:$K$81)</f>
        <v>10</v>
      </c>
      <c r="N75" s="635"/>
      <c r="O75" s="635"/>
      <c r="P75" s="557">
        <v>16</v>
      </c>
      <c r="Q75" s="531">
        <v>1112.7272727272727</v>
      </c>
      <c r="R75" s="531">
        <v>69.545454545454547</v>
      </c>
      <c r="S75" s="555">
        <f t="shared" si="32"/>
        <v>10</v>
      </c>
      <c r="T75" s="648"/>
      <c r="U75" s="557">
        <v>16</v>
      </c>
      <c r="V75" s="531">
        <v>1142.9629629629626</v>
      </c>
      <c r="W75" s="531">
        <v>71.435185185185162</v>
      </c>
      <c r="X75" s="555">
        <f t="shared" si="34"/>
        <v>10</v>
      </c>
      <c r="Y75" s="648"/>
      <c r="Z75" s="557">
        <v>16</v>
      </c>
      <c r="AA75" s="531">
        <v>1129.8701298701303</v>
      </c>
      <c r="AB75" s="531">
        <v>70.616883116883145</v>
      </c>
      <c r="AC75" s="555">
        <f t="shared" si="36"/>
        <v>10</v>
      </c>
      <c r="AD75" s="648"/>
      <c r="AE75" s="557">
        <v>16</v>
      </c>
      <c r="AF75" s="531">
        <v>1155.8823529411766</v>
      </c>
      <c r="AG75" s="531">
        <v>72.242647058823536</v>
      </c>
      <c r="AH75" s="555">
        <f t="shared" si="38"/>
        <v>10</v>
      </c>
      <c r="AI75" s="648"/>
      <c r="AJ75" s="557">
        <v>16</v>
      </c>
      <c r="AK75" s="531">
        <v>1140.9677419354834</v>
      </c>
      <c r="AL75" s="531">
        <v>71.310483870967715</v>
      </c>
      <c r="AM75" s="555">
        <f t="shared" si="40"/>
        <v>10</v>
      </c>
      <c r="AN75" s="648"/>
      <c r="AO75" s="557">
        <v>16</v>
      </c>
      <c r="AP75" s="531">
        <v>1134.9999999999995</v>
      </c>
      <c r="AQ75" s="531">
        <v>70.937499999999972</v>
      </c>
      <c r="AR75" s="555">
        <f t="shared" si="42"/>
        <v>10</v>
      </c>
      <c r="AS75" s="648"/>
      <c r="AT75" s="555">
        <v>16</v>
      </c>
      <c r="AU75" s="556">
        <v>1112.3200000000004</v>
      </c>
      <c r="AV75" s="556">
        <v>69.520000000000024</v>
      </c>
      <c r="AW75" s="555">
        <f t="shared" si="44"/>
        <v>10</v>
      </c>
      <c r="AX75" s="648"/>
      <c r="AZ75" s="372" t="e">
        <f t="shared" si="46"/>
        <v>#N/A</v>
      </c>
      <c r="BA75" s="648"/>
    </row>
    <row r="76" spans="2:53">
      <c r="B76" s="646"/>
      <c r="C76" s="384">
        <v>10</v>
      </c>
      <c r="D76" s="225" t="s">
        <v>634</v>
      </c>
      <c r="E76" s="539">
        <v>7</v>
      </c>
      <c r="F76" s="535">
        <v>1500</v>
      </c>
      <c r="G76" s="534">
        <v>214.28571428571428</v>
      </c>
      <c r="H76" s="671"/>
      <c r="I76" s="385">
        <f t="shared" si="29"/>
        <v>7</v>
      </c>
      <c r="J76" s="385">
        <f t="shared" si="30"/>
        <v>1423.0178032010833</v>
      </c>
      <c r="K76" s="199">
        <f t="shared" si="31"/>
        <v>203.28825760015479</v>
      </c>
      <c r="L76" s="617"/>
      <c r="M76" s="389">
        <f>RANK(K76, K$67:$K$81)</f>
        <v>5</v>
      </c>
      <c r="N76" s="635"/>
      <c r="O76" s="635"/>
      <c r="P76" s="557">
        <v>7</v>
      </c>
      <c r="Q76" s="531">
        <v>1391.1864406779655</v>
      </c>
      <c r="R76" s="531">
        <v>198.74092009685222</v>
      </c>
      <c r="S76" s="555">
        <f t="shared" si="32"/>
        <v>5</v>
      </c>
      <c r="T76" s="648"/>
      <c r="U76" s="557">
        <v>7</v>
      </c>
      <c r="V76" s="531">
        <v>1448.421052631578</v>
      </c>
      <c r="W76" s="531">
        <v>206.91729323308257</v>
      </c>
      <c r="X76" s="555">
        <f t="shared" si="34"/>
        <v>4</v>
      </c>
      <c r="Y76" s="648"/>
      <c r="Z76" s="557">
        <v>7</v>
      </c>
      <c r="AA76" s="531">
        <v>1400.3389830508468</v>
      </c>
      <c r="AB76" s="531">
        <v>200.04842615012097</v>
      </c>
      <c r="AC76" s="555">
        <f t="shared" si="36"/>
        <v>5</v>
      </c>
      <c r="AD76" s="648"/>
      <c r="AE76" s="557">
        <v>7</v>
      </c>
      <c r="AF76" s="531">
        <v>1399.5652173913043</v>
      </c>
      <c r="AG76" s="531">
        <v>199.93788819875775</v>
      </c>
      <c r="AH76" s="555">
        <f t="shared" si="38"/>
        <v>5</v>
      </c>
      <c r="AI76" s="648"/>
      <c r="AJ76" s="557">
        <v>7</v>
      </c>
      <c r="AK76" s="531">
        <v>1475.9999999999986</v>
      </c>
      <c r="AL76" s="531">
        <v>210.85714285714266</v>
      </c>
      <c r="AM76" s="555">
        <f t="shared" si="40"/>
        <v>2</v>
      </c>
      <c r="AN76" s="648"/>
      <c r="AO76" s="557">
        <v>7</v>
      </c>
      <c r="AP76" s="531">
        <v>1410.6976744186045</v>
      </c>
      <c r="AQ76" s="531">
        <v>201.52823920265777</v>
      </c>
      <c r="AR76" s="555">
        <f t="shared" si="42"/>
        <v>5</v>
      </c>
      <c r="AS76" s="648"/>
      <c r="AT76" s="555">
        <v>7</v>
      </c>
      <c r="AU76" s="556">
        <v>1434.9152542372874</v>
      </c>
      <c r="AV76" s="556">
        <v>204.98789346246963</v>
      </c>
      <c r="AW76" s="555">
        <f t="shared" si="44"/>
        <v>4</v>
      </c>
      <c r="AX76" s="648"/>
      <c r="AZ76" s="372" t="e">
        <f t="shared" si="46"/>
        <v>#N/A</v>
      </c>
      <c r="BA76" s="648"/>
    </row>
    <row r="77" spans="2:53">
      <c r="B77" s="646"/>
      <c r="C77" s="384">
        <v>11</v>
      </c>
      <c r="D77" s="225"/>
      <c r="E77" s="539"/>
      <c r="F77" s="535"/>
      <c r="G77" s="534"/>
      <c r="H77" s="671"/>
      <c r="I77" s="385" t="str">
        <f t="shared" si="29"/>
        <v>-</v>
      </c>
      <c r="J77" s="385" t="str">
        <f t="shared" si="30"/>
        <v>-</v>
      </c>
      <c r="K77" s="199" t="str">
        <f t="shared" si="31"/>
        <v>-</v>
      </c>
      <c r="L77" s="617"/>
      <c r="M77" s="389" t="e">
        <f>RANK(K77, K$67:$K$81)</f>
        <v>#VALUE!</v>
      </c>
      <c r="N77" s="635"/>
      <c r="O77" s="635"/>
      <c r="P77" s="557" t="s">
        <v>592</v>
      </c>
      <c r="Q77" s="531" t="s">
        <v>592</v>
      </c>
      <c r="R77" s="531" t="s">
        <v>592</v>
      </c>
      <c r="S77" s="555" t="e">
        <f t="shared" si="32"/>
        <v>#VALUE!</v>
      </c>
      <c r="T77" s="648"/>
      <c r="U77" s="557" t="s">
        <v>592</v>
      </c>
      <c r="V77" s="531" t="s">
        <v>592</v>
      </c>
      <c r="W77" s="531" t="s">
        <v>592</v>
      </c>
      <c r="X77" s="555" t="e">
        <f t="shared" si="34"/>
        <v>#VALUE!</v>
      </c>
      <c r="Y77" s="648"/>
      <c r="Z77" s="557" t="s">
        <v>592</v>
      </c>
      <c r="AA77" s="531" t="s">
        <v>592</v>
      </c>
      <c r="AB77" s="531" t="s">
        <v>592</v>
      </c>
      <c r="AC77" s="555" t="e">
        <f t="shared" si="36"/>
        <v>#VALUE!</v>
      </c>
      <c r="AD77" s="648"/>
      <c r="AE77" s="557" t="s">
        <v>592</v>
      </c>
      <c r="AF77" s="531" t="s">
        <v>592</v>
      </c>
      <c r="AG77" s="531" t="s">
        <v>592</v>
      </c>
      <c r="AH77" s="555" t="e">
        <f t="shared" si="38"/>
        <v>#VALUE!</v>
      </c>
      <c r="AI77" s="648"/>
      <c r="AJ77" s="557" t="s">
        <v>592</v>
      </c>
      <c r="AK77" s="531" t="s">
        <v>592</v>
      </c>
      <c r="AL77" s="531" t="s">
        <v>592</v>
      </c>
      <c r="AM77" s="555" t="e">
        <f t="shared" si="40"/>
        <v>#VALUE!</v>
      </c>
      <c r="AN77" s="648"/>
      <c r="AO77" s="557" t="s">
        <v>592</v>
      </c>
      <c r="AP77" s="531" t="s">
        <v>592</v>
      </c>
      <c r="AQ77" s="531" t="s">
        <v>592</v>
      </c>
      <c r="AR77" s="555" t="e">
        <f t="shared" si="42"/>
        <v>#VALUE!</v>
      </c>
      <c r="AS77" s="648"/>
      <c r="AT77" s="555" t="s">
        <v>592</v>
      </c>
      <c r="AU77" s="556" t="s">
        <v>592</v>
      </c>
      <c r="AV77" s="556" t="s">
        <v>592</v>
      </c>
      <c r="AW77" s="555" t="e">
        <f t="shared" si="44"/>
        <v>#VALUE!</v>
      </c>
      <c r="AX77" s="648"/>
      <c r="AZ77" s="372" t="e">
        <f t="shared" si="46"/>
        <v>#N/A</v>
      </c>
      <c r="BA77" s="648"/>
    </row>
    <row r="78" spans="2:53">
      <c r="B78" s="646"/>
      <c r="C78" s="384">
        <v>12</v>
      </c>
      <c r="D78" s="225"/>
      <c r="E78" s="539"/>
      <c r="F78" s="535"/>
      <c r="G78" s="534"/>
      <c r="H78" s="671"/>
      <c r="I78" s="385" t="str">
        <f t="shared" si="29"/>
        <v>-</v>
      </c>
      <c r="J78" s="385" t="str">
        <f t="shared" si="30"/>
        <v>-</v>
      </c>
      <c r="K78" s="199" t="str">
        <f t="shared" si="31"/>
        <v>-</v>
      </c>
      <c r="L78" s="617"/>
      <c r="M78" s="389" t="e">
        <f>RANK(K78, K$67:$K$81)</f>
        <v>#VALUE!</v>
      </c>
      <c r="N78" s="635"/>
      <c r="O78" s="635"/>
      <c r="P78" s="557" t="s">
        <v>592</v>
      </c>
      <c r="Q78" s="531" t="s">
        <v>592</v>
      </c>
      <c r="R78" s="531" t="s">
        <v>592</v>
      </c>
      <c r="S78" s="555" t="e">
        <f t="shared" si="32"/>
        <v>#VALUE!</v>
      </c>
      <c r="T78" s="648"/>
      <c r="U78" s="557" t="s">
        <v>592</v>
      </c>
      <c r="V78" s="531" t="s">
        <v>592</v>
      </c>
      <c r="W78" s="531" t="s">
        <v>592</v>
      </c>
      <c r="X78" s="555" t="e">
        <f t="shared" si="34"/>
        <v>#VALUE!</v>
      </c>
      <c r="Y78" s="648"/>
      <c r="Z78" s="557" t="s">
        <v>592</v>
      </c>
      <c r="AA78" s="531" t="s">
        <v>592</v>
      </c>
      <c r="AB78" s="531" t="s">
        <v>592</v>
      </c>
      <c r="AC78" s="555" t="e">
        <f t="shared" si="36"/>
        <v>#VALUE!</v>
      </c>
      <c r="AD78" s="648"/>
      <c r="AE78" s="557" t="s">
        <v>592</v>
      </c>
      <c r="AF78" s="531" t="s">
        <v>592</v>
      </c>
      <c r="AG78" s="531" t="s">
        <v>592</v>
      </c>
      <c r="AH78" s="555" t="e">
        <f t="shared" si="38"/>
        <v>#VALUE!</v>
      </c>
      <c r="AI78" s="648"/>
      <c r="AJ78" s="557" t="s">
        <v>592</v>
      </c>
      <c r="AK78" s="531" t="s">
        <v>592</v>
      </c>
      <c r="AL78" s="531" t="s">
        <v>592</v>
      </c>
      <c r="AM78" s="555" t="e">
        <f t="shared" si="40"/>
        <v>#VALUE!</v>
      </c>
      <c r="AN78" s="648"/>
      <c r="AO78" s="557" t="s">
        <v>592</v>
      </c>
      <c r="AP78" s="531" t="s">
        <v>592</v>
      </c>
      <c r="AQ78" s="531" t="s">
        <v>592</v>
      </c>
      <c r="AR78" s="555" t="e">
        <f t="shared" si="42"/>
        <v>#VALUE!</v>
      </c>
      <c r="AS78" s="648"/>
      <c r="AT78" s="555" t="s">
        <v>592</v>
      </c>
      <c r="AU78" s="556" t="s">
        <v>592</v>
      </c>
      <c r="AV78" s="556" t="s">
        <v>592</v>
      </c>
      <c r="AW78" s="555" t="e">
        <f t="shared" si="44"/>
        <v>#VALUE!</v>
      </c>
      <c r="AX78" s="648"/>
      <c r="AZ78" s="372" t="e">
        <f t="shared" si="46"/>
        <v>#N/A</v>
      </c>
      <c r="BA78" s="648"/>
    </row>
    <row r="79" spans="2:53">
      <c r="B79" s="646"/>
      <c r="C79" s="384">
        <v>13</v>
      </c>
      <c r="D79" s="225"/>
      <c r="E79" s="539"/>
      <c r="F79" s="535"/>
      <c r="G79" s="534"/>
      <c r="H79" s="671"/>
      <c r="I79" s="385" t="str">
        <f t="shared" si="29"/>
        <v>-</v>
      </c>
      <c r="J79" s="385" t="str">
        <f t="shared" si="30"/>
        <v>-</v>
      </c>
      <c r="K79" s="199" t="str">
        <f t="shared" si="31"/>
        <v>-</v>
      </c>
      <c r="L79" s="617"/>
      <c r="M79" s="389" t="e">
        <f>RANK(K79, K$67:$K$81)</f>
        <v>#VALUE!</v>
      </c>
      <c r="N79" s="635"/>
      <c r="O79" s="635"/>
      <c r="P79" s="557" t="s">
        <v>592</v>
      </c>
      <c r="Q79" s="531" t="s">
        <v>592</v>
      </c>
      <c r="R79" s="531" t="s">
        <v>592</v>
      </c>
      <c r="S79" s="555" t="e">
        <f t="shared" si="32"/>
        <v>#VALUE!</v>
      </c>
      <c r="T79" s="648"/>
      <c r="U79" s="557" t="s">
        <v>592</v>
      </c>
      <c r="V79" s="531" t="s">
        <v>592</v>
      </c>
      <c r="W79" s="531" t="s">
        <v>592</v>
      </c>
      <c r="X79" s="555" t="e">
        <f t="shared" si="34"/>
        <v>#VALUE!</v>
      </c>
      <c r="Y79" s="648"/>
      <c r="Z79" s="557" t="s">
        <v>592</v>
      </c>
      <c r="AA79" s="531" t="s">
        <v>592</v>
      </c>
      <c r="AB79" s="531" t="s">
        <v>592</v>
      </c>
      <c r="AC79" s="555" t="e">
        <f t="shared" si="36"/>
        <v>#VALUE!</v>
      </c>
      <c r="AD79" s="648"/>
      <c r="AE79" s="557" t="s">
        <v>592</v>
      </c>
      <c r="AF79" s="531" t="s">
        <v>592</v>
      </c>
      <c r="AG79" s="531" t="s">
        <v>592</v>
      </c>
      <c r="AH79" s="555" t="e">
        <f t="shared" si="38"/>
        <v>#VALUE!</v>
      </c>
      <c r="AI79" s="648"/>
      <c r="AJ79" s="557" t="s">
        <v>592</v>
      </c>
      <c r="AK79" s="531" t="s">
        <v>592</v>
      </c>
      <c r="AL79" s="531" t="s">
        <v>592</v>
      </c>
      <c r="AM79" s="555" t="e">
        <f t="shared" si="40"/>
        <v>#VALUE!</v>
      </c>
      <c r="AN79" s="648"/>
      <c r="AO79" s="557" t="s">
        <v>592</v>
      </c>
      <c r="AP79" s="531" t="s">
        <v>592</v>
      </c>
      <c r="AQ79" s="531" t="s">
        <v>592</v>
      </c>
      <c r="AR79" s="555" t="e">
        <f t="shared" si="42"/>
        <v>#VALUE!</v>
      </c>
      <c r="AS79" s="648"/>
      <c r="AT79" s="555" t="s">
        <v>592</v>
      </c>
      <c r="AU79" s="556" t="s">
        <v>592</v>
      </c>
      <c r="AV79" s="556" t="s">
        <v>592</v>
      </c>
      <c r="AW79" s="555" t="e">
        <f t="shared" si="44"/>
        <v>#VALUE!</v>
      </c>
      <c r="AX79" s="648"/>
      <c r="AZ79" s="372" t="e">
        <f t="shared" si="46"/>
        <v>#N/A</v>
      </c>
      <c r="BA79" s="648"/>
    </row>
    <row r="80" spans="2:53">
      <c r="B80" s="646"/>
      <c r="C80" s="384">
        <v>14</v>
      </c>
      <c r="D80" s="225"/>
      <c r="E80" s="539"/>
      <c r="F80" s="535"/>
      <c r="G80" s="534"/>
      <c r="H80" s="671"/>
      <c r="I80" s="385" t="str">
        <f t="shared" si="29"/>
        <v>-</v>
      </c>
      <c r="J80" s="385" t="str">
        <f t="shared" si="30"/>
        <v>-</v>
      </c>
      <c r="K80" s="199" t="str">
        <f t="shared" si="31"/>
        <v>-</v>
      </c>
      <c r="L80" s="617"/>
      <c r="M80" s="389" t="e">
        <f>RANK(K80, K$67:$K$81)</f>
        <v>#VALUE!</v>
      </c>
      <c r="N80" s="635"/>
      <c r="O80" s="635"/>
      <c r="P80" s="557" t="s">
        <v>592</v>
      </c>
      <c r="Q80" s="531" t="s">
        <v>592</v>
      </c>
      <c r="R80" s="531" t="s">
        <v>592</v>
      </c>
      <c r="S80" s="555" t="e">
        <f t="shared" si="32"/>
        <v>#VALUE!</v>
      </c>
      <c r="T80" s="648"/>
      <c r="U80" s="557" t="s">
        <v>592</v>
      </c>
      <c r="V80" s="531" t="s">
        <v>592</v>
      </c>
      <c r="W80" s="531" t="s">
        <v>592</v>
      </c>
      <c r="X80" s="555" t="e">
        <f t="shared" si="34"/>
        <v>#VALUE!</v>
      </c>
      <c r="Y80" s="648"/>
      <c r="Z80" s="557" t="s">
        <v>592</v>
      </c>
      <c r="AA80" s="531" t="s">
        <v>592</v>
      </c>
      <c r="AB80" s="531" t="s">
        <v>592</v>
      </c>
      <c r="AC80" s="555" t="e">
        <f t="shared" si="36"/>
        <v>#VALUE!</v>
      </c>
      <c r="AD80" s="648"/>
      <c r="AE80" s="557" t="s">
        <v>592</v>
      </c>
      <c r="AF80" s="531" t="s">
        <v>592</v>
      </c>
      <c r="AG80" s="531" t="s">
        <v>592</v>
      </c>
      <c r="AH80" s="555" t="e">
        <f t="shared" si="38"/>
        <v>#VALUE!</v>
      </c>
      <c r="AI80" s="648"/>
      <c r="AJ80" s="557" t="s">
        <v>592</v>
      </c>
      <c r="AK80" s="531" t="s">
        <v>592</v>
      </c>
      <c r="AL80" s="531" t="s">
        <v>592</v>
      </c>
      <c r="AM80" s="555" t="e">
        <f t="shared" si="40"/>
        <v>#VALUE!</v>
      </c>
      <c r="AN80" s="648"/>
      <c r="AO80" s="557" t="s">
        <v>592</v>
      </c>
      <c r="AP80" s="531" t="s">
        <v>592</v>
      </c>
      <c r="AQ80" s="531" t="s">
        <v>592</v>
      </c>
      <c r="AR80" s="555" t="e">
        <f t="shared" si="42"/>
        <v>#VALUE!</v>
      </c>
      <c r="AS80" s="648"/>
      <c r="AT80" s="555" t="s">
        <v>592</v>
      </c>
      <c r="AU80" s="556" t="s">
        <v>592</v>
      </c>
      <c r="AV80" s="556" t="s">
        <v>592</v>
      </c>
      <c r="AW80" s="555" t="e">
        <f t="shared" si="44"/>
        <v>#VALUE!</v>
      </c>
      <c r="AX80" s="648"/>
      <c r="AZ80" s="372" t="e">
        <f t="shared" si="46"/>
        <v>#N/A</v>
      </c>
      <c r="BA80" s="648"/>
    </row>
    <row r="81" spans="2:53">
      <c r="B81" s="646"/>
      <c r="C81" s="384">
        <v>15</v>
      </c>
      <c r="D81" s="225"/>
      <c r="E81" s="539"/>
      <c r="F81" s="535"/>
      <c r="G81" s="534"/>
      <c r="H81" s="680"/>
      <c r="I81" s="384"/>
      <c r="J81" s="384"/>
      <c r="K81" s="384"/>
      <c r="L81" s="618"/>
      <c r="M81" s="389" t="e">
        <f>RANK(K81, K$47:$K$61)</f>
        <v>#N/A</v>
      </c>
      <c r="N81" s="635"/>
      <c r="O81" s="635"/>
      <c r="P81" s="557" t="s">
        <v>592</v>
      </c>
      <c r="Q81" s="531" t="s">
        <v>592</v>
      </c>
      <c r="R81" s="531" t="s">
        <v>592</v>
      </c>
      <c r="S81" s="555" t="e">
        <f t="shared" si="32"/>
        <v>#VALUE!</v>
      </c>
      <c r="T81" s="649"/>
      <c r="U81" s="557" t="s">
        <v>592</v>
      </c>
      <c r="V81" s="531" t="s">
        <v>592</v>
      </c>
      <c r="W81" s="531" t="s">
        <v>592</v>
      </c>
      <c r="X81" s="555" t="e">
        <f t="shared" si="34"/>
        <v>#VALUE!</v>
      </c>
      <c r="Y81" s="649"/>
      <c r="Z81" s="557" t="s">
        <v>592</v>
      </c>
      <c r="AA81" s="531" t="s">
        <v>592</v>
      </c>
      <c r="AB81" s="531" t="s">
        <v>592</v>
      </c>
      <c r="AC81" s="555" t="e">
        <f t="shared" si="36"/>
        <v>#VALUE!</v>
      </c>
      <c r="AD81" s="649"/>
      <c r="AE81" s="557" t="s">
        <v>592</v>
      </c>
      <c r="AF81" s="531" t="s">
        <v>592</v>
      </c>
      <c r="AG81" s="531" t="s">
        <v>592</v>
      </c>
      <c r="AH81" s="555" t="e">
        <f t="shared" si="38"/>
        <v>#VALUE!</v>
      </c>
      <c r="AI81" s="649"/>
      <c r="AJ81" s="557" t="s">
        <v>592</v>
      </c>
      <c r="AK81" s="531" t="s">
        <v>592</v>
      </c>
      <c r="AL81" s="531" t="s">
        <v>592</v>
      </c>
      <c r="AM81" s="555" t="e">
        <f t="shared" si="40"/>
        <v>#VALUE!</v>
      </c>
      <c r="AN81" s="649"/>
      <c r="AO81" s="557" t="s">
        <v>592</v>
      </c>
      <c r="AP81" s="531" t="s">
        <v>592</v>
      </c>
      <c r="AQ81" s="531" t="s">
        <v>592</v>
      </c>
      <c r="AR81" s="555" t="e">
        <f t="shared" si="42"/>
        <v>#VALUE!</v>
      </c>
      <c r="AS81" s="649"/>
      <c r="AT81" s="555" t="s">
        <v>592</v>
      </c>
      <c r="AU81" s="556" t="s">
        <v>592</v>
      </c>
      <c r="AV81" s="556" t="s">
        <v>592</v>
      </c>
      <c r="AW81" s="555" t="e">
        <f t="shared" si="44"/>
        <v>#VALUE!</v>
      </c>
      <c r="AX81" s="649"/>
      <c r="AZ81" s="372" t="e">
        <f t="shared" si="46"/>
        <v>#N/A</v>
      </c>
      <c r="BA81" s="649"/>
    </row>
    <row r="82" spans="2:53" ht="15.75">
      <c r="B82" s="650" t="s">
        <v>162</v>
      </c>
      <c r="C82" s="651"/>
      <c r="D82" s="651"/>
      <c r="E82" s="651"/>
      <c r="F82" s="651"/>
      <c r="G82" s="651"/>
      <c r="H82" s="652"/>
      <c r="I82" s="207"/>
      <c r="J82" s="207"/>
      <c r="K82" s="207"/>
      <c r="L82" s="207"/>
      <c r="M82" s="206"/>
      <c r="N82" s="639" t="s">
        <v>156</v>
      </c>
      <c r="O82" s="639" t="s">
        <v>105</v>
      </c>
      <c r="P82" s="645">
        <f>P62+7</f>
        <v>46231</v>
      </c>
      <c r="Q82" s="646"/>
      <c r="R82" s="646"/>
      <c r="S82" s="646"/>
      <c r="T82" s="646"/>
      <c r="U82" s="642">
        <f>P82+1</f>
        <v>46232</v>
      </c>
      <c r="V82" s="643"/>
      <c r="W82" s="643"/>
      <c r="X82" s="643"/>
      <c r="Y82" s="644"/>
      <c r="Z82" s="642">
        <f>U82+1</f>
        <v>46233</v>
      </c>
      <c r="AA82" s="643"/>
      <c r="AB82" s="643"/>
      <c r="AC82" s="643"/>
      <c r="AD82" s="644"/>
      <c r="AE82" s="642">
        <f>Z82+1</f>
        <v>46234</v>
      </c>
      <c r="AF82" s="643"/>
      <c r="AG82" s="643"/>
      <c r="AH82" s="643"/>
      <c r="AI82" s="644"/>
      <c r="AJ82" s="642">
        <f>AE82+1</f>
        <v>46235</v>
      </c>
      <c r="AK82" s="643"/>
      <c r="AL82" s="643"/>
      <c r="AM82" s="643"/>
      <c r="AN82" s="644"/>
      <c r="AO82" s="642">
        <f>AJ82+1</f>
        <v>46236</v>
      </c>
      <c r="AP82" s="643"/>
      <c r="AQ82" s="643"/>
      <c r="AR82" s="643"/>
      <c r="AS82" s="644"/>
      <c r="AT82" s="642">
        <f>AO82+1</f>
        <v>46237</v>
      </c>
      <c r="AU82" s="643"/>
      <c r="AV82" s="643"/>
      <c r="AW82" s="643"/>
      <c r="AX82" s="644"/>
    </row>
    <row r="83" spans="2:53" ht="15.75">
      <c r="B83" s="653"/>
      <c r="C83" s="653"/>
      <c r="D83" s="653"/>
      <c r="E83" s="653"/>
      <c r="F83" s="653"/>
      <c r="G83" s="653"/>
      <c r="H83" s="653"/>
      <c r="I83" s="204"/>
      <c r="J83" s="204"/>
      <c r="K83" s="204"/>
      <c r="L83" s="204"/>
      <c r="M83" s="205"/>
      <c r="N83" s="641"/>
      <c r="O83" s="641"/>
      <c r="P83" s="645" t="s">
        <v>317</v>
      </c>
      <c r="Q83" s="646"/>
      <c r="R83" s="646"/>
      <c r="S83" s="646"/>
      <c r="T83" s="646"/>
      <c r="U83" s="645" t="s">
        <v>318</v>
      </c>
      <c r="V83" s="646"/>
      <c r="W83" s="646"/>
      <c r="X83" s="646"/>
      <c r="Y83" s="646"/>
      <c r="Z83" s="645" t="s">
        <v>319</v>
      </c>
      <c r="AA83" s="646"/>
      <c r="AB83" s="646"/>
      <c r="AC83" s="646"/>
      <c r="AD83" s="646"/>
      <c r="AE83" s="645" t="s">
        <v>320</v>
      </c>
      <c r="AF83" s="646"/>
      <c r="AG83" s="646"/>
      <c r="AH83" s="646"/>
      <c r="AI83" s="646"/>
      <c r="AJ83" s="645" t="s">
        <v>321</v>
      </c>
      <c r="AK83" s="646"/>
      <c r="AL83" s="646"/>
      <c r="AM83" s="646"/>
      <c r="AN83" s="646"/>
      <c r="AO83" s="645" t="s">
        <v>322</v>
      </c>
      <c r="AP83" s="646"/>
      <c r="AQ83" s="646"/>
      <c r="AR83" s="646"/>
      <c r="AS83" s="646"/>
      <c r="AT83" s="645" t="s">
        <v>323</v>
      </c>
      <c r="AU83" s="646"/>
      <c r="AV83" s="646"/>
      <c r="AW83" s="646"/>
      <c r="AX83" s="646"/>
    </row>
    <row r="84" spans="2:53">
      <c r="B84" s="635" t="s">
        <v>410</v>
      </c>
      <c r="C84" s="635" t="s">
        <v>536</v>
      </c>
      <c r="D84" s="635"/>
      <c r="E84" s="635" t="s">
        <v>537</v>
      </c>
      <c r="F84" s="635"/>
      <c r="G84" s="635"/>
      <c r="H84" s="636" t="s">
        <v>538</v>
      </c>
      <c r="I84" s="635" t="s">
        <v>539</v>
      </c>
      <c r="J84" s="635"/>
      <c r="K84" s="635"/>
      <c r="L84" s="636" t="s">
        <v>369</v>
      </c>
      <c r="M84" s="639" t="s">
        <v>540</v>
      </c>
      <c r="N84" s="635"/>
      <c r="O84" s="635" t="s">
        <v>375</v>
      </c>
      <c r="P84" s="632" t="s">
        <v>371</v>
      </c>
      <c r="Q84" s="633"/>
      <c r="R84" s="633"/>
      <c r="S84" s="634"/>
      <c r="T84" s="635" t="s">
        <v>369</v>
      </c>
      <c r="U84" s="632" t="s">
        <v>371</v>
      </c>
      <c r="V84" s="633"/>
      <c r="W84" s="633"/>
      <c r="X84" s="634"/>
      <c r="Y84" s="635" t="s">
        <v>369</v>
      </c>
      <c r="Z84" s="632" t="s">
        <v>371</v>
      </c>
      <c r="AA84" s="633"/>
      <c r="AB84" s="633"/>
      <c r="AC84" s="634"/>
      <c r="AD84" s="635" t="s">
        <v>369</v>
      </c>
      <c r="AE84" s="632" t="s">
        <v>371</v>
      </c>
      <c r="AF84" s="633"/>
      <c r="AG84" s="633"/>
      <c r="AH84" s="634"/>
      <c r="AI84" s="635" t="s">
        <v>369</v>
      </c>
      <c r="AJ84" s="632" t="s">
        <v>371</v>
      </c>
      <c r="AK84" s="633"/>
      <c r="AL84" s="633"/>
      <c r="AM84" s="634"/>
      <c r="AN84" s="635" t="s">
        <v>369</v>
      </c>
      <c r="AO84" s="632" t="s">
        <v>371</v>
      </c>
      <c r="AP84" s="633"/>
      <c r="AQ84" s="633"/>
      <c r="AR84" s="634"/>
      <c r="AS84" s="635" t="s">
        <v>369</v>
      </c>
      <c r="AT84" s="632" t="s">
        <v>371</v>
      </c>
      <c r="AU84" s="633"/>
      <c r="AV84" s="633"/>
      <c r="AW84" s="634"/>
      <c r="AX84" s="635" t="s">
        <v>369</v>
      </c>
      <c r="BA84" s="635" t="s">
        <v>369</v>
      </c>
    </row>
    <row r="85" spans="2:53">
      <c r="B85" s="635"/>
      <c r="C85" s="635"/>
      <c r="D85" s="635"/>
      <c r="E85" s="635" t="s">
        <v>542</v>
      </c>
      <c r="F85" s="635"/>
      <c r="G85" s="635"/>
      <c r="H85" s="637"/>
      <c r="I85" s="635" t="s">
        <v>542</v>
      </c>
      <c r="J85" s="635"/>
      <c r="K85" s="635"/>
      <c r="L85" s="637"/>
      <c r="M85" s="640"/>
      <c r="N85" s="635"/>
      <c r="O85" s="635"/>
      <c r="P85" s="632" t="s">
        <v>377</v>
      </c>
      <c r="Q85" s="633"/>
      <c r="R85" s="633"/>
      <c r="S85" s="634"/>
      <c r="T85" s="635"/>
      <c r="U85" s="632" t="s">
        <v>377</v>
      </c>
      <c r="V85" s="633"/>
      <c r="W85" s="633"/>
      <c r="X85" s="634"/>
      <c r="Y85" s="635"/>
      <c r="Z85" s="632" t="s">
        <v>377</v>
      </c>
      <c r="AA85" s="633"/>
      <c r="AB85" s="633"/>
      <c r="AC85" s="634"/>
      <c r="AD85" s="635"/>
      <c r="AE85" s="632" t="s">
        <v>377</v>
      </c>
      <c r="AF85" s="633"/>
      <c r="AG85" s="633"/>
      <c r="AH85" s="634"/>
      <c r="AI85" s="635"/>
      <c r="AJ85" s="632" t="s">
        <v>377</v>
      </c>
      <c r="AK85" s="633"/>
      <c r="AL85" s="633"/>
      <c r="AM85" s="634"/>
      <c r="AN85" s="635"/>
      <c r="AO85" s="632" t="s">
        <v>377</v>
      </c>
      <c r="AP85" s="633"/>
      <c r="AQ85" s="633"/>
      <c r="AR85" s="634"/>
      <c r="AS85" s="635"/>
      <c r="AT85" s="632" t="s">
        <v>377</v>
      </c>
      <c r="AU85" s="633"/>
      <c r="AV85" s="633"/>
      <c r="AW85" s="634"/>
      <c r="AX85" s="635"/>
      <c r="BA85" s="635"/>
    </row>
    <row r="86" spans="2:53">
      <c r="B86" s="635"/>
      <c r="C86" s="635"/>
      <c r="D86" s="635"/>
      <c r="E86" s="382" t="s">
        <v>543</v>
      </c>
      <c r="F86" s="382" t="s">
        <v>544</v>
      </c>
      <c r="G86" s="382" t="s">
        <v>545</v>
      </c>
      <c r="H86" s="638"/>
      <c r="I86" s="382" t="s">
        <v>543</v>
      </c>
      <c r="J86" s="382" t="s">
        <v>544</v>
      </c>
      <c r="K86" s="382" t="s">
        <v>545</v>
      </c>
      <c r="L86" s="638"/>
      <c r="M86" s="641"/>
      <c r="N86" s="635"/>
      <c r="O86" s="635"/>
      <c r="P86" s="382" t="s">
        <v>378</v>
      </c>
      <c r="Q86" s="382" t="s">
        <v>379</v>
      </c>
      <c r="R86" s="382" t="s">
        <v>380</v>
      </c>
      <c r="S86" s="382" t="s">
        <v>370</v>
      </c>
      <c r="T86" s="635"/>
      <c r="U86" s="382" t="s">
        <v>378</v>
      </c>
      <c r="V86" s="382" t="s">
        <v>379</v>
      </c>
      <c r="W86" s="382" t="s">
        <v>380</v>
      </c>
      <c r="X86" s="382" t="s">
        <v>370</v>
      </c>
      <c r="Y86" s="635"/>
      <c r="Z86" s="382" t="s">
        <v>378</v>
      </c>
      <c r="AA86" s="382" t="s">
        <v>379</v>
      </c>
      <c r="AB86" s="382" t="s">
        <v>380</v>
      </c>
      <c r="AC86" s="382" t="s">
        <v>370</v>
      </c>
      <c r="AD86" s="635"/>
      <c r="AE86" s="382" t="s">
        <v>378</v>
      </c>
      <c r="AF86" s="382" t="s">
        <v>379</v>
      </c>
      <c r="AG86" s="382" t="s">
        <v>380</v>
      </c>
      <c r="AH86" s="382" t="s">
        <v>370</v>
      </c>
      <c r="AI86" s="635"/>
      <c r="AJ86" s="382" t="s">
        <v>378</v>
      </c>
      <c r="AK86" s="382" t="s">
        <v>379</v>
      </c>
      <c r="AL86" s="382" t="s">
        <v>380</v>
      </c>
      <c r="AM86" s="382" t="s">
        <v>370</v>
      </c>
      <c r="AN86" s="635"/>
      <c r="AO86" s="382" t="s">
        <v>378</v>
      </c>
      <c r="AP86" s="382" t="s">
        <v>379</v>
      </c>
      <c r="AQ86" s="382" t="s">
        <v>380</v>
      </c>
      <c r="AR86" s="382" t="s">
        <v>370</v>
      </c>
      <c r="AS86" s="635"/>
      <c r="AT86" s="382" t="s">
        <v>378</v>
      </c>
      <c r="AU86" s="382" t="s">
        <v>379</v>
      </c>
      <c r="AV86" s="382" t="s">
        <v>380</v>
      </c>
      <c r="AW86" s="382" t="s">
        <v>370</v>
      </c>
      <c r="AX86" s="635"/>
      <c r="AZ86" s="371" t="s">
        <v>370</v>
      </c>
      <c r="BA86" s="635"/>
    </row>
    <row r="87" spans="2:53">
      <c r="B87" s="635" t="s">
        <v>424</v>
      </c>
      <c r="C87" s="384">
        <v>1</v>
      </c>
      <c r="D87" s="225"/>
      <c r="E87" s="539"/>
      <c r="F87" s="535"/>
      <c r="G87" s="534"/>
      <c r="H87" s="670" t="e">
        <f>AVERAGE(G87:G101)</f>
        <v>#DIV/0!</v>
      </c>
      <c r="I87" s="385" t="str">
        <f t="shared" ref="I87:I100" si="48">IFERROR(AVERAGE(P87,U87,Z87,AE87,AJ87,AO87,AT87),"-")</f>
        <v>-</v>
      </c>
      <c r="J87" s="385" t="str">
        <f t="shared" ref="J87:J100" si="49">IFERROR(AVERAGE(Q87,V87,AA87,AF87,AK87,AP87,AU87),"-")</f>
        <v>-</v>
      </c>
      <c r="K87" s="199" t="str">
        <f t="shared" ref="K87:K100" si="50">IFERROR(AVERAGE(R87,W87,AB87,AG87,AL87,AQ87,AV87),"-")</f>
        <v>-</v>
      </c>
      <c r="L87" s="616" t="str">
        <f>IFERROR(AVERAGE(K87:K101),"-")</f>
        <v>-</v>
      </c>
      <c r="M87" s="389" t="e">
        <f>RANK(K87, K$87:$K$101)</f>
        <v>#VALUE!</v>
      </c>
      <c r="N87" s="635"/>
      <c r="O87" s="635"/>
      <c r="P87" s="485"/>
      <c r="Q87" s="488"/>
      <c r="R87" s="488"/>
      <c r="S87" s="484"/>
      <c r="T87" s="659"/>
      <c r="U87" s="485"/>
      <c r="V87" s="488"/>
      <c r="W87" s="488"/>
      <c r="X87" s="484"/>
      <c r="Y87" s="659"/>
      <c r="Z87" s="485"/>
      <c r="AA87" s="488"/>
      <c r="AB87" s="488"/>
      <c r="AC87" s="484"/>
      <c r="AD87" s="659"/>
      <c r="AE87" s="485"/>
      <c r="AF87" s="488"/>
      <c r="AG87" s="488"/>
      <c r="AH87" s="484"/>
      <c r="AI87" s="659"/>
      <c r="AJ87" s="485"/>
      <c r="AK87" s="488"/>
      <c r="AL87" s="488"/>
      <c r="AM87" s="484"/>
      <c r="AN87" s="659"/>
      <c r="AO87" s="485"/>
      <c r="AP87" s="488"/>
      <c r="AQ87" s="488"/>
      <c r="AR87" s="484"/>
      <c r="AS87" s="659"/>
      <c r="AT87" s="484"/>
      <c r="AU87" s="487"/>
      <c r="AV87" s="487"/>
      <c r="AW87" s="484"/>
      <c r="AX87" s="659"/>
      <c r="AZ87" s="372" t="e">
        <f t="shared" ref="AZ87:AZ101" si="51">RANK(AY87, AY$87:AY$101)</f>
        <v>#N/A</v>
      </c>
      <c r="BA87" s="659" t="e">
        <f t="shared" ref="BA87" si="52">AVERAGE(AY87:AY101)</f>
        <v>#DIV/0!</v>
      </c>
    </row>
    <row r="88" spans="2:53">
      <c r="B88" s="646"/>
      <c r="C88" s="384">
        <v>2</v>
      </c>
      <c r="D88" s="225"/>
      <c r="E88" s="539"/>
      <c r="F88" s="535"/>
      <c r="G88" s="534"/>
      <c r="H88" s="671"/>
      <c r="I88" s="385" t="str">
        <f t="shared" si="48"/>
        <v>-</v>
      </c>
      <c r="J88" s="385" t="str">
        <f t="shared" si="49"/>
        <v>-</v>
      </c>
      <c r="K88" s="199" t="str">
        <f t="shared" si="50"/>
        <v>-</v>
      </c>
      <c r="L88" s="617"/>
      <c r="M88" s="488" t="e">
        <f>RANK(K88, K$87:$K$101)</f>
        <v>#VALUE!</v>
      </c>
      <c r="N88" s="635"/>
      <c r="O88" s="635"/>
      <c r="P88" s="485"/>
      <c r="Q88" s="488"/>
      <c r="R88" s="488"/>
      <c r="S88" s="484"/>
      <c r="T88" s="659"/>
      <c r="U88" s="485"/>
      <c r="V88" s="488"/>
      <c r="W88" s="488"/>
      <c r="X88" s="484"/>
      <c r="Y88" s="659"/>
      <c r="Z88" s="485"/>
      <c r="AA88" s="488"/>
      <c r="AB88" s="488"/>
      <c r="AC88" s="484"/>
      <c r="AD88" s="659"/>
      <c r="AE88" s="485"/>
      <c r="AF88" s="488"/>
      <c r="AG88" s="488"/>
      <c r="AH88" s="484"/>
      <c r="AI88" s="659"/>
      <c r="AJ88" s="485"/>
      <c r="AK88" s="488"/>
      <c r="AL88" s="488"/>
      <c r="AM88" s="484"/>
      <c r="AN88" s="659"/>
      <c r="AO88" s="485"/>
      <c r="AP88" s="488"/>
      <c r="AQ88" s="488"/>
      <c r="AR88" s="484"/>
      <c r="AS88" s="659"/>
      <c r="AT88" s="484"/>
      <c r="AU88" s="487"/>
      <c r="AV88" s="487"/>
      <c r="AW88" s="484"/>
      <c r="AX88" s="659"/>
      <c r="AZ88" s="372" t="e">
        <f t="shared" si="51"/>
        <v>#N/A</v>
      </c>
      <c r="BA88" s="659"/>
    </row>
    <row r="89" spans="2:53">
      <c r="B89" s="646"/>
      <c r="C89" s="384">
        <v>3</v>
      </c>
      <c r="D89" s="225"/>
      <c r="E89" s="539"/>
      <c r="F89" s="535"/>
      <c r="G89" s="534"/>
      <c r="H89" s="671"/>
      <c r="I89" s="385" t="str">
        <f t="shared" si="48"/>
        <v>-</v>
      </c>
      <c r="J89" s="385" t="str">
        <f t="shared" si="49"/>
        <v>-</v>
      </c>
      <c r="K89" s="199" t="str">
        <f t="shared" si="50"/>
        <v>-</v>
      </c>
      <c r="L89" s="617"/>
      <c r="M89" s="488" t="e">
        <f>RANK(K89, K$87:$K$101)</f>
        <v>#VALUE!</v>
      </c>
      <c r="N89" s="635"/>
      <c r="O89" s="635"/>
      <c r="P89" s="485"/>
      <c r="Q89" s="488"/>
      <c r="R89" s="488"/>
      <c r="S89" s="484"/>
      <c r="T89" s="659"/>
      <c r="U89" s="485"/>
      <c r="V89" s="488"/>
      <c r="W89" s="488"/>
      <c r="X89" s="484"/>
      <c r="Y89" s="659"/>
      <c r="Z89" s="485"/>
      <c r="AA89" s="488"/>
      <c r="AB89" s="488"/>
      <c r="AC89" s="484"/>
      <c r="AD89" s="659"/>
      <c r="AE89" s="485"/>
      <c r="AF89" s="488"/>
      <c r="AG89" s="488"/>
      <c r="AH89" s="484"/>
      <c r="AI89" s="659"/>
      <c r="AJ89" s="485"/>
      <c r="AK89" s="488"/>
      <c r="AL89" s="488"/>
      <c r="AM89" s="484"/>
      <c r="AN89" s="659"/>
      <c r="AO89" s="485"/>
      <c r="AP89" s="488"/>
      <c r="AQ89" s="488"/>
      <c r="AR89" s="484"/>
      <c r="AS89" s="659"/>
      <c r="AT89" s="484"/>
      <c r="AU89" s="487"/>
      <c r="AV89" s="487"/>
      <c r="AW89" s="484"/>
      <c r="AX89" s="659"/>
      <c r="AZ89" s="372" t="e">
        <f t="shared" si="51"/>
        <v>#N/A</v>
      </c>
      <c r="BA89" s="659"/>
    </row>
    <row r="90" spans="2:53">
      <c r="B90" s="646"/>
      <c r="C90" s="384">
        <v>4</v>
      </c>
      <c r="D90" s="225"/>
      <c r="E90" s="539"/>
      <c r="F90" s="535"/>
      <c r="G90" s="534"/>
      <c r="H90" s="671"/>
      <c r="I90" s="385" t="str">
        <f t="shared" si="48"/>
        <v>-</v>
      </c>
      <c r="J90" s="385" t="str">
        <f t="shared" si="49"/>
        <v>-</v>
      </c>
      <c r="K90" s="199" t="str">
        <f t="shared" si="50"/>
        <v>-</v>
      </c>
      <c r="L90" s="617"/>
      <c r="M90" s="488" t="e">
        <f>RANK(K90, K$87:$K$101)</f>
        <v>#VALUE!</v>
      </c>
      <c r="N90" s="635"/>
      <c r="O90" s="635"/>
      <c r="P90" s="485"/>
      <c r="Q90" s="488"/>
      <c r="R90" s="488"/>
      <c r="S90" s="484"/>
      <c r="T90" s="659"/>
      <c r="U90" s="485"/>
      <c r="V90" s="488"/>
      <c r="W90" s="488"/>
      <c r="X90" s="484"/>
      <c r="Y90" s="659"/>
      <c r="Z90" s="485"/>
      <c r="AA90" s="488"/>
      <c r="AB90" s="488"/>
      <c r="AC90" s="484"/>
      <c r="AD90" s="659"/>
      <c r="AE90" s="485"/>
      <c r="AF90" s="488"/>
      <c r="AG90" s="488"/>
      <c r="AH90" s="484"/>
      <c r="AI90" s="659"/>
      <c r="AJ90" s="485"/>
      <c r="AK90" s="488"/>
      <c r="AL90" s="488"/>
      <c r="AM90" s="484"/>
      <c r="AN90" s="659"/>
      <c r="AO90" s="485"/>
      <c r="AP90" s="488"/>
      <c r="AQ90" s="488"/>
      <c r="AR90" s="484"/>
      <c r="AS90" s="659"/>
      <c r="AT90" s="484"/>
      <c r="AU90" s="487"/>
      <c r="AV90" s="487"/>
      <c r="AW90" s="484"/>
      <c r="AX90" s="659"/>
      <c r="AZ90" s="372" t="e">
        <f t="shared" si="51"/>
        <v>#N/A</v>
      </c>
      <c r="BA90" s="659"/>
    </row>
    <row r="91" spans="2:53">
      <c r="B91" s="646"/>
      <c r="C91" s="384">
        <v>5</v>
      </c>
      <c r="D91" s="225"/>
      <c r="E91" s="539"/>
      <c r="F91" s="535"/>
      <c r="G91" s="534"/>
      <c r="H91" s="671"/>
      <c r="I91" s="385" t="str">
        <f t="shared" si="48"/>
        <v>-</v>
      </c>
      <c r="J91" s="385" t="str">
        <f t="shared" si="49"/>
        <v>-</v>
      </c>
      <c r="K91" s="199" t="str">
        <f t="shared" si="50"/>
        <v>-</v>
      </c>
      <c r="L91" s="617"/>
      <c r="M91" s="488" t="e">
        <f>RANK(K91, K$87:$K$101)</f>
        <v>#VALUE!</v>
      </c>
      <c r="N91" s="635"/>
      <c r="O91" s="635"/>
      <c r="P91" s="485"/>
      <c r="Q91" s="488"/>
      <c r="R91" s="488"/>
      <c r="S91" s="484"/>
      <c r="T91" s="659"/>
      <c r="U91" s="485"/>
      <c r="V91" s="488"/>
      <c r="W91" s="488"/>
      <c r="X91" s="484"/>
      <c r="Y91" s="659"/>
      <c r="Z91" s="485"/>
      <c r="AA91" s="488"/>
      <c r="AB91" s="488"/>
      <c r="AC91" s="484"/>
      <c r="AD91" s="659"/>
      <c r="AE91" s="485"/>
      <c r="AF91" s="488"/>
      <c r="AG91" s="488"/>
      <c r="AH91" s="484"/>
      <c r="AI91" s="659"/>
      <c r="AJ91" s="485"/>
      <c r="AK91" s="488"/>
      <c r="AL91" s="488"/>
      <c r="AM91" s="484"/>
      <c r="AN91" s="659"/>
      <c r="AO91" s="485"/>
      <c r="AP91" s="488"/>
      <c r="AQ91" s="488"/>
      <c r="AR91" s="484"/>
      <c r="AS91" s="659"/>
      <c r="AT91" s="484"/>
      <c r="AU91" s="487"/>
      <c r="AV91" s="487"/>
      <c r="AW91" s="484"/>
      <c r="AX91" s="659"/>
      <c r="AZ91" s="372" t="e">
        <f t="shared" si="51"/>
        <v>#N/A</v>
      </c>
      <c r="BA91" s="659"/>
    </row>
    <row r="92" spans="2:53">
      <c r="B92" s="646"/>
      <c r="C92" s="384">
        <v>6</v>
      </c>
      <c r="D92" s="225"/>
      <c r="E92" s="539"/>
      <c r="F92" s="535"/>
      <c r="G92" s="534"/>
      <c r="H92" s="671"/>
      <c r="I92" s="385" t="str">
        <f t="shared" si="48"/>
        <v>-</v>
      </c>
      <c r="J92" s="385" t="str">
        <f t="shared" si="49"/>
        <v>-</v>
      </c>
      <c r="K92" s="199" t="str">
        <f t="shared" si="50"/>
        <v>-</v>
      </c>
      <c r="L92" s="617"/>
      <c r="M92" s="488" t="e">
        <f>RANK(K92, K$87:$K$101)</f>
        <v>#VALUE!</v>
      </c>
      <c r="N92" s="635"/>
      <c r="O92" s="635"/>
      <c r="P92" s="485"/>
      <c r="Q92" s="488"/>
      <c r="R92" s="488"/>
      <c r="S92" s="484"/>
      <c r="T92" s="659"/>
      <c r="U92" s="485"/>
      <c r="V92" s="488"/>
      <c r="W92" s="488"/>
      <c r="X92" s="484"/>
      <c r="Y92" s="659"/>
      <c r="Z92" s="485"/>
      <c r="AA92" s="488"/>
      <c r="AB92" s="488"/>
      <c r="AC92" s="484"/>
      <c r="AD92" s="659"/>
      <c r="AE92" s="485"/>
      <c r="AF92" s="488"/>
      <c r="AG92" s="488"/>
      <c r="AH92" s="484"/>
      <c r="AI92" s="659"/>
      <c r="AJ92" s="485"/>
      <c r="AK92" s="488"/>
      <c r="AL92" s="488"/>
      <c r="AM92" s="484"/>
      <c r="AN92" s="659"/>
      <c r="AO92" s="485"/>
      <c r="AP92" s="488"/>
      <c r="AQ92" s="488"/>
      <c r="AR92" s="484"/>
      <c r="AS92" s="659"/>
      <c r="AT92" s="484"/>
      <c r="AU92" s="487"/>
      <c r="AV92" s="487"/>
      <c r="AW92" s="484"/>
      <c r="AX92" s="659"/>
      <c r="AZ92" s="372" t="e">
        <f t="shared" si="51"/>
        <v>#N/A</v>
      </c>
      <c r="BA92" s="659"/>
    </row>
    <row r="93" spans="2:53">
      <c r="B93" s="646"/>
      <c r="C93" s="384">
        <v>7</v>
      </c>
      <c r="D93" s="225"/>
      <c r="E93" s="539"/>
      <c r="F93" s="535"/>
      <c r="G93" s="534"/>
      <c r="H93" s="671"/>
      <c r="I93" s="385" t="str">
        <f t="shared" si="48"/>
        <v>-</v>
      </c>
      <c r="J93" s="385" t="str">
        <f t="shared" si="49"/>
        <v>-</v>
      </c>
      <c r="K93" s="199" t="str">
        <f t="shared" si="50"/>
        <v>-</v>
      </c>
      <c r="L93" s="617"/>
      <c r="M93" s="488" t="e">
        <f>RANK(K93, K$87:$K$101)</f>
        <v>#VALUE!</v>
      </c>
      <c r="N93" s="635"/>
      <c r="O93" s="635"/>
      <c r="P93" s="485"/>
      <c r="Q93" s="488"/>
      <c r="R93" s="488"/>
      <c r="S93" s="484"/>
      <c r="T93" s="659"/>
      <c r="U93" s="485"/>
      <c r="V93" s="488"/>
      <c r="W93" s="488"/>
      <c r="X93" s="484"/>
      <c r="Y93" s="659"/>
      <c r="Z93" s="485"/>
      <c r="AA93" s="488"/>
      <c r="AB93" s="488"/>
      <c r="AC93" s="484"/>
      <c r="AD93" s="659"/>
      <c r="AE93" s="485"/>
      <c r="AF93" s="488"/>
      <c r="AG93" s="488"/>
      <c r="AH93" s="484"/>
      <c r="AI93" s="659"/>
      <c r="AJ93" s="485"/>
      <c r="AK93" s="488"/>
      <c r="AL93" s="488"/>
      <c r="AM93" s="484"/>
      <c r="AN93" s="659"/>
      <c r="AO93" s="485"/>
      <c r="AP93" s="488"/>
      <c r="AQ93" s="488"/>
      <c r="AR93" s="484"/>
      <c r="AS93" s="659"/>
      <c r="AT93" s="484"/>
      <c r="AU93" s="487"/>
      <c r="AV93" s="487"/>
      <c r="AW93" s="484"/>
      <c r="AX93" s="659"/>
      <c r="AZ93" s="372" t="e">
        <f t="shared" si="51"/>
        <v>#N/A</v>
      </c>
      <c r="BA93" s="659"/>
    </row>
    <row r="94" spans="2:53">
      <c r="B94" s="646"/>
      <c r="C94" s="384">
        <v>8</v>
      </c>
      <c r="D94" s="225"/>
      <c r="E94" s="539"/>
      <c r="F94" s="535"/>
      <c r="G94" s="534"/>
      <c r="H94" s="671"/>
      <c r="I94" s="385" t="str">
        <f t="shared" si="48"/>
        <v>-</v>
      </c>
      <c r="J94" s="385" t="str">
        <f t="shared" si="49"/>
        <v>-</v>
      </c>
      <c r="K94" s="199" t="str">
        <f t="shared" si="50"/>
        <v>-</v>
      </c>
      <c r="L94" s="617"/>
      <c r="M94" s="488" t="e">
        <f>RANK(K94, K$87:$K$101)</f>
        <v>#VALUE!</v>
      </c>
      <c r="N94" s="635"/>
      <c r="O94" s="635"/>
      <c r="P94" s="485"/>
      <c r="Q94" s="488"/>
      <c r="R94" s="488"/>
      <c r="S94" s="484"/>
      <c r="T94" s="659"/>
      <c r="U94" s="485"/>
      <c r="V94" s="488"/>
      <c r="W94" s="488"/>
      <c r="X94" s="484"/>
      <c r="Y94" s="659"/>
      <c r="Z94" s="485"/>
      <c r="AA94" s="488"/>
      <c r="AB94" s="488"/>
      <c r="AC94" s="484"/>
      <c r="AD94" s="659"/>
      <c r="AE94" s="485"/>
      <c r="AF94" s="488"/>
      <c r="AG94" s="488"/>
      <c r="AH94" s="484"/>
      <c r="AI94" s="659"/>
      <c r="AJ94" s="485"/>
      <c r="AK94" s="488"/>
      <c r="AL94" s="488"/>
      <c r="AM94" s="484"/>
      <c r="AN94" s="659"/>
      <c r="AO94" s="485"/>
      <c r="AP94" s="488"/>
      <c r="AQ94" s="488"/>
      <c r="AR94" s="484"/>
      <c r="AS94" s="659"/>
      <c r="AT94" s="484"/>
      <c r="AU94" s="487"/>
      <c r="AV94" s="487"/>
      <c r="AW94" s="484"/>
      <c r="AX94" s="659"/>
      <c r="AZ94" s="372" t="e">
        <f t="shared" si="51"/>
        <v>#N/A</v>
      </c>
      <c r="BA94" s="659"/>
    </row>
    <row r="95" spans="2:53">
      <c r="B95" s="646"/>
      <c r="C95" s="384">
        <v>9</v>
      </c>
      <c r="D95" s="225"/>
      <c r="E95" s="539"/>
      <c r="F95" s="535"/>
      <c r="G95" s="534"/>
      <c r="H95" s="671"/>
      <c r="I95" s="385" t="str">
        <f t="shared" si="48"/>
        <v>-</v>
      </c>
      <c r="J95" s="385" t="str">
        <f t="shared" si="49"/>
        <v>-</v>
      </c>
      <c r="K95" s="199" t="str">
        <f t="shared" si="50"/>
        <v>-</v>
      </c>
      <c r="L95" s="617"/>
      <c r="M95" s="488" t="e">
        <f>RANK(K95, K$87:$K$101)</f>
        <v>#VALUE!</v>
      </c>
      <c r="N95" s="635"/>
      <c r="O95" s="635"/>
      <c r="P95" s="485"/>
      <c r="Q95" s="488"/>
      <c r="R95" s="488"/>
      <c r="S95" s="484"/>
      <c r="T95" s="659"/>
      <c r="U95" s="485"/>
      <c r="V95" s="488"/>
      <c r="W95" s="488"/>
      <c r="X95" s="484"/>
      <c r="Y95" s="659"/>
      <c r="Z95" s="485"/>
      <c r="AA95" s="488"/>
      <c r="AB95" s="488"/>
      <c r="AC95" s="484"/>
      <c r="AD95" s="659"/>
      <c r="AE95" s="485"/>
      <c r="AF95" s="488"/>
      <c r="AG95" s="488"/>
      <c r="AH95" s="484"/>
      <c r="AI95" s="659"/>
      <c r="AJ95" s="485"/>
      <c r="AK95" s="488"/>
      <c r="AL95" s="488"/>
      <c r="AM95" s="484"/>
      <c r="AN95" s="659"/>
      <c r="AO95" s="485"/>
      <c r="AP95" s="488"/>
      <c r="AQ95" s="488"/>
      <c r="AR95" s="484"/>
      <c r="AS95" s="659"/>
      <c r="AT95" s="484"/>
      <c r="AU95" s="487"/>
      <c r="AV95" s="487"/>
      <c r="AW95" s="484"/>
      <c r="AX95" s="659"/>
      <c r="AZ95" s="372" t="e">
        <f t="shared" si="51"/>
        <v>#N/A</v>
      </c>
      <c r="BA95" s="659"/>
    </row>
    <row r="96" spans="2:53">
      <c r="B96" s="646"/>
      <c r="C96" s="384">
        <v>10</v>
      </c>
      <c r="D96" s="225"/>
      <c r="E96" s="539"/>
      <c r="F96" s="535"/>
      <c r="G96" s="534"/>
      <c r="H96" s="671"/>
      <c r="I96" s="385" t="str">
        <f t="shared" si="48"/>
        <v>-</v>
      </c>
      <c r="J96" s="385" t="str">
        <f t="shared" si="49"/>
        <v>-</v>
      </c>
      <c r="K96" s="199" t="str">
        <f t="shared" si="50"/>
        <v>-</v>
      </c>
      <c r="L96" s="617"/>
      <c r="M96" s="488" t="e">
        <f>RANK(K96, K$87:$K$101)</f>
        <v>#VALUE!</v>
      </c>
      <c r="N96" s="635"/>
      <c r="O96" s="635"/>
      <c r="P96" s="485"/>
      <c r="Q96" s="488"/>
      <c r="R96" s="488"/>
      <c r="S96" s="484"/>
      <c r="T96" s="659"/>
      <c r="U96" s="485"/>
      <c r="V96" s="488"/>
      <c r="W96" s="488"/>
      <c r="X96" s="484"/>
      <c r="Y96" s="659"/>
      <c r="Z96" s="485"/>
      <c r="AA96" s="488"/>
      <c r="AB96" s="488"/>
      <c r="AC96" s="484"/>
      <c r="AD96" s="659"/>
      <c r="AE96" s="485"/>
      <c r="AF96" s="488"/>
      <c r="AG96" s="488"/>
      <c r="AH96" s="484"/>
      <c r="AI96" s="659"/>
      <c r="AJ96" s="485"/>
      <c r="AK96" s="488"/>
      <c r="AL96" s="488"/>
      <c r="AM96" s="484"/>
      <c r="AN96" s="659"/>
      <c r="AO96" s="485"/>
      <c r="AP96" s="488"/>
      <c r="AQ96" s="488"/>
      <c r="AR96" s="484"/>
      <c r="AS96" s="659"/>
      <c r="AT96" s="484"/>
      <c r="AU96" s="487"/>
      <c r="AV96" s="487"/>
      <c r="AW96" s="484"/>
      <c r="AX96" s="659"/>
      <c r="AZ96" s="372" t="e">
        <f t="shared" si="51"/>
        <v>#N/A</v>
      </c>
      <c r="BA96" s="659"/>
    </row>
    <row r="97" spans="2:53">
      <c r="B97" s="646"/>
      <c r="C97" s="384">
        <v>11</v>
      </c>
      <c r="D97" s="225"/>
      <c r="E97" s="539"/>
      <c r="F97" s="535"/>
      <c r="G97" s="534"/>
      <c r="H97" s="671"/>
      <c r="I97" s="385" t="str">
        <f t="shared" si="48"/>
        <v>-</v>
      </c>
      <c r="J97" s="385" t="str">
        <f t="shared" si="49"/>
        <v>-</v>
      </c>
      <c r="K97" s="199" t="str">
        <f t="shared" si="50"/>
        <v>-</v>
      </c>
      <c r="L97" s="617"/>
      <c r="M97" s="488" t="e">
        <f>RANK(K97, K$87:$K$101)</f>
        <v>#VALUE!</v>
      </c>
      <c r="N97" s="635"/>
      <c r="O97" s="635"/>
      <c r="P97" s="485"/>
      <c r="Q97" s="488"/>
      <c r="R97" s="488"/>
      <c r="S97" s="484"/>
      <c r="T97" s="659"/>
      <c r="U97" s="485"/>
      <c r="V97" s="488"/>
      <c r="W97" s="488"/>
      <c r="X97" s="484"/>
      <c r="Y97" s="659"/>
      <c r="Z97" s="485"/>
      <c r="AA97" s="488"/>
      <c r="AB97" s="488"/>
      <c r="AC97" s="484"/>
      <c r="AD97" s="659"/>
      <c r="AE97" s="485"/>
      <c r="AF97" s="488"/>
      <c r="AG97" s="488"/>
      <c r="AH97" s="484"/>
      <c r="AI97" s="659"/>
      <c r="AJ97" s="485"/>
      <c r="AK97" s="488"/>
      <c r="AL97" s="488"/>
      <c r="AM97" s="484"/>
      <c r="AN97" s="659"/>
      <c r="AO97" s="485"/>
      <c r="AP97" s="488"/>
      <c r="AQ97" s="488"/>
      <c r="AR97" s="484"/>
      <c r="AS97" s="659"/>
      <c r="AT97" s="484"/>
      <c r="AU97" s="487"/>
      <c r="AV97" s="487"/>
      <c r="AW97" s="484"/>
      <c r="AX97" s="659"/>
      <c r="AZ97" s="372" t="e">
        <f t="shared" si="51"/>
        <v>#N/A</v>
      </c>
      <c r="BA97" s="659"/>
    </row>
    <row r="98" spans="2:53">
      <c r="B98" s="646"/>
      <c r="C98" s="384">
        <v>12</v>
      </c>
      <c r="D98" s="225"/>
      <c r="E98" s="539"/>
      <c r="F98" s="535"/>
      <c r="G98" s="534"/>
      <c r="H98" s="671"/>
      <c r="I98" s="385" t="str">
        <f t="shared" si="48"/>
        <v>-</v>
      </c>
      <c r="J98" s="385" t="str">
        <f t="shared" si="49"/>
        <v>-</v>
      </c>
      <c r="K98" s="199" t="str">
        <f t="shared" si="50"/>
        <v>-</v>
      </c>
      <c r="L98" s="617"/>
      <c r="M98" s="488" t="e">
        <f>RANK(K98, K$87:$K$101)</f>
        <v>#VALUE!</v>
      </c>
      <c r="N98" s="635"/>
      <c r="O98" s="635"/>
      <c r="P98" s="485"/>
      <c r="Q98" s="488"/>
      <c r="R98" s="488"/>
      <c r="S98" s="484"/>
      <c r="T98" s="659"/>
      <c r="U98" s="485"/>
      <c r="V98" s="488"/>
      <c r="W98" s="488"/>
      <c r="X98" s="484"/>
      <c r="Y98" s="659"/>
      <c r="Z98" s="485"/>
      <c r="AA98" s="488"/>
      <c r="AB98" s="488"/>
      <c r="AC98" s="484"/>
      <c r="AD98" s="659"/>
      <c r="AE98" s="485"/>
      <c r="AF98" s="488"/>
      <c r="AG98" s="488"/>
      <c r="AH98" s="484"/>
      <c r="AI98" s="659"/>
      <c r="AJ98" s="485"/>
      <c r="AK98" s="488"/>
      <c r="AL98" s="488"/>
      <c r="AM98" s="484"/>
      <c r="AN98" s="659"/>
      <c r="AO98" s="485"/>
      <c r="AP98" s="488"/>
      <c r="AQ98" s="488"/>
      <c r="AR98" s="484"/>
      <c r="AS98" s="659"/>
      <c r="AT98" s="484"/>
      <c r="AU98" s="487"/>
      <c r="AV98" s="487"/>
      <c r="AW98" s="484"/>
      <c r="AX98" s="659"/>
      <c r="AZ98" s="372" t="e">
        <f t="shared" si="51"/>
        <v>#N/A</v>
      </c>
      <c r="BA98" s="659"/>
    </row>
    <row r="99" spans="2:53">
      <c r="B99" s="646"/>
      <c r="C99" s="384">
        <v>13</v>
      </c>
      <c r="D99" s="225"/>
      <c r="E99" s="539"/>
      <c r="F99" s="535"/>
      <c r="G99" s="534"/>
      <c r="H99" s="671"/>
      <c r="I99" s="385" t="str">
        <f t="shared" si="48"/>
        <v>-</v>
      </c>
      <c r="J99" s="385" t="str">
        <f t="shared" si="49"/>
        <v>-</v>
      </c>
      <c r="K99" s="199" t="str">
        <f t="shared" si="50"/>
        <v>-</v>
      </c>
      <c r="L99" s="617"/>
      <c r="M99" s="488" t="e">
        <f>RANK(K99, K$87:$K$101)</f>
        <v>#VALUE!</v>
      </c>
      <c r="N99" s="635"/>
      <c r="O99" s="635"/>
      <c r="P99" s="485"/>
      <c r="Q99" s="488"/>
      <c r="R99" s="488"/>
      <c r="S99" s="484"/>
      <c r="T99" s="659"/>
      <c r="U99" s="485"/>
      <c r="V99" s="488"/>
      <c r="W99" s="488"/>
      <c r="X99" s="484"/>
      <c r="Y99" s="659"/>
      <c r="Z99" s="485"/>
      <c r="AA99" s="488"/>
      <c r="AB99" s="488"/>
      <c r="AC99" s="484"/>
      <c r="AD99" s="659"/>
      <c r="AE99" s="485"/>
      <c r="AF99" s="488"/>
      <c r="AG99" s="488"/>
      <c r="AH99" s="484"/>
      <c r="AI99" s="659"/>
      <c r="AJ99" s="485"/>
      <c r="AK99" s="488"/>
      <c r="AL99" s="488"/>
      <c r="AM99" s="484"/>
      <c r="AN99" s="659"/>
      <c r="AO99" s="485"/>
      <c r="AP99" s="488"/>
      <c r="AQ99" s="488"/>
      <c r="AR99" s="484"/>
      <c r="AS99" s="659"/>
      <c r="AT99" s="484"/>
      <c r="AU99" s="487"/>
      <c r="AV99" s="487"/>
      <c r="AW99" s="484"/>
      <c r="AX99" s="659"/>
      <c r="AZ99" s="372" t="e">
        <f t="shared" si="51"/>
        <v>#N/A</v>
      </c>
      <c r="BA99" s="659"/>
    </row>
    <row r="100" spans="2:53">
      <c r="B100" s="646"/>
      <c r="C100" s="384">
        <v>14</v>
      </c>
      <c r="D100" s="225"/>
      <c r="E100" s="539"/>
      <c r="F100" s="535"/>
      <c r="G100" s="534"/>
      <c r="H100" s="671"/>
      <c r="I100" s="385" t="str">
        <f t="shared" si="48"/>
        <v>-</v>
      </c>
      <c r="J100" s="385" t="str">
        <f t="shared" si="49"/>
        <v>-</v>
      </c>
      <c r="K100" s="199" t="str">
        <f t="shared" si="50"/>
        <v>-</v>
      </c>
      <c r="L100" s="617"/>
      <c r="M100" s="488" t="e">
        <f>RANK(K100, K$87:$K$101)</f>
        <v>#VALUE!</v>
      </c>
      <c r="N100" s="635"/>
      <c r="O100" s="635"/>
      <c r="P100" s="485"/>
      <c r="Q100" s="488"/>
      <c r="R100" s="488"/>
      <c r="S100" s="484"/>
      <c r="T100" s="659"/>
      <c r="U100" s="485"/>
      <c r="V100" s="488"/>
      <c r="W100" s="488"/>
      <c r="X100" s="484"/>
      <c r="Y100" s="659"/>
      <c r="Z100" s="485"/>
      <c r="AA100" s="488"/>
      <c r="AB100" s="488"/>
      <c r="AC100" s="484"/>
      <c r="AD100" s="659"/>
      <c r="AE100" s="485"/>
      <c r="AF100" s="488"/>
      <c r="AG100" s="488"/>
      <c r="AH100" s="484"/>
      <c r="AI100" s="659"/>
      <c r="AJ100" s="485"/>
      <c r="AK100" s="488"/>
      <c r="AL100" s="488"/>
      <c r="AM100" s="484"/>
      <c r="AN100" s="659"/>
      <c r="AO100" s="485"/>
      <c r="AP100" s="488"/>
      <c r="AQ100" s="488"/>
      <c r="AR100" s="484"/>
      <c r="AS100" s="659"/>
      <c r="AT100" s="484"/>
      <c r="AU100" s="487"/>
      <c r="AV100" s="487"/>
      <c r="AW100" s="484"/>
      <c r="AX100" s="659"/>
      <c r="AZ100" s="372" t="e">
        <f t="shared" si="51"/>
        <v>#N/A</v>
      </c>
      <c r="BA100" s="659"/>
    </row>
    <row r="101" spans="2:53">
      <c r="B101" s="646"/>
      <c r="C101" s="384">
        <v>15</v>
      </c>
      <c r="D101" s="225"/>
      <c r="E101" s="539"/>
      <c r="F101" s="535"/>
      <c r="G101" s="534"/>
      <c r="H101" s="680"/>
      <c r="I101" s="384"/>
      <c r="J101" s="384"/>
      <c r="K101" s="384"/>
      <c r="L101" s="618"/>
      <c r="M101" s="488" t="e">
        <f>RANK(K101, K$87:$K$101)</f>
        <v>#N/A</v>
      </c>
      <c r="N101" s="635"/>
      <c r="O101" s="635"/>
      <c r="P101" s="485"/>
      <c r="Q101" s="488"/>
      <c r="R101" s="488"/>
      <c r="S101" s="484"/>
      <c r="T101" s="659"/>
      <c r="U101" s="485"/>
      <c r="V101" s="488"/>
      <c r="W101" s="488"/>
      <c r="X101" s="484"/>
      <c r="Y101" s="659"/>
      <c r="Z101" s="485"/>
      <c r="AA101" s="488"/>
      <c r="AB101" s="488"/>
      <c r="AC101" s="484"/>
      <c r="AD101" s="659"/>
      <c r="AE101" s="485"/>
      <c r="AF101" s="488"/>
      <c r="AG101" s="488"/>
      <c r="AH101" s="484"/>
      <c r="AI101" s="659"/>
      <c r="AJ101" s="485"/>
      <c r="AK101" s="488"/>
      <c r="AL101" s="488"/>
      <c r="AM101" s="484"/>
      <c r="AN101" s="659"/>
      <c r="AO101" s="485"/>
      <c r="AP101" s="488"/>
      <c r="AQ101" s="488"/>
      <c r="AR101" s="484"/>
      <c r="AS101" s="659"/>
      <c r="AT101" s="484"/>
      <c r="AU101" s="487"/>
      <c r="AV101" s="487"/>
      <c r="AW101" s="484"/>
      <c r="AX101" s="659"/>
      <c r="AZ101" s="372" t="e">
        <f t="shared" si="51"/>
        <v>#N/A</v>
      </c>
      <c r="BA101" s="659"/>
    </row>
    <row r="102" spans="2:53" ht="15.75">
      <c r="B102" s="650" t="s">
        <v>162</v>
      </c>
      <c r="C102" s="651"/>
      <c r="D102" s="651"/>
      <c r="E102" s="651"/>
      <c r="F102" s="651"/>
      <c r="G102" s="651"/>
      <c r="H102" s="652"/>
      <c r="I102" s="207"/>
      <c r="J102" s="207"/>
      <c r="K102" s="207"/>
      <c r="L102" s="207"/>
      <c r="M102" s="206"/>
      <c r="N102" s="639" t="s">
        <v>156</v>
      </c>
      <c r="O102" s="639" t="s">
        <v>105</v>
      </c>
      <c r="P102" s="645">
        <f>P82+7</f>
        <v>46238</v>
      </c>
      <c r="Q102" s="646"/>
      <c r="R102" s="646"/>
      <c r="S102" s="646"/>
      <c r="T102" s="646"/>
      <c r="U102" s="642">
        <f>P102+1</f>
        <v>46239</v>
      </c>
      <c r="V102" s="643"/>
      <c r="W102" s="643"/>
      <c r="X102" s="643"/>
      <c r="Y102" s="644"/>
      <c r="Z102" s="642">
        <f>U102+1</f>
        <v>46240</v>
      </c>
      <c r="AA102" s="643"/>
      <c r="AB102" s="643"/>
      <c r="AC102" s="643"/>
      <c r="AD102" s="644"/>
      <c r="AE102" s="642">
        <f>Z102+1</f>
        <v>46241</v>
      </c>
      <c r="AF102" s="643"/>
      <c r="AG102" s="643"/>
      <c r="AH102" s="643"/>
      <c r="AI102" s="644"/>
      <c r="AJ102" s="642">
        <f>AE102+1</f>
        <v>46242</v>
      </c>
      <c r="AK102" s="643"/>
      <c r="AL102" s="643"/>
      <c r="AM102" s="643"/>
      <c r="AN102" s="644"/>
      <c r="AO102" s="642">
        <f>AJ102+1</f>
        <v>46243</v>
      </c>
      <c r="AP102" s="643"/>
      <c r="AQ102" s="643"/>
      <c r="AR102" s="643"/>
      <c r="AS102" s="644"/>
      <c r="AT102" s="642">
        <f>AO102+1</f>
        <v>46244</v>
      </c>
      <c r="AU102" s="643"/>
      <c r="AV102" s="643"/>
      <c r="AW102" s="643"/>
      <c r="AX102" s="644"/>
    </row>
    <row r="103" spans="2:53" ht="15.75">
      <c r="B103" s="653"/>
      <c r="C103" s="653"/>
      <c r="D103" s="653"/>
      <c r="E103" s="653"/>
      <c r="F103" s="653"/>
      <c r="G103" s="653"/>
      <c r="H103" s="653"/>
      <c r="I103" s="204"/>
      <c r="J103" s="204"/>
      <c r="K103" s="204"/>
      <c r="L103" s="204"/>
      <c r="M103" s="205"/>
      <c r="N103" s="641"/>
      <c r="O103" s="641"/>
      <c r="P103" s="645" t="s">
        <v>158</v>
      </c>
      <c r="Q103" s="646"/>
      <c r="R103" s="646"/>
      <c r="S103" s="646"/>
      <c r="T103" s="646"/>
      <c r="U103" s="645" t="s">
        <v>114</v>
      </c>
      <c r="V103" s="646"/>
      <c r="W103" s="646"/>
      <c r="X103" s="646"/>
      <c r="Y103" s="646"/>
      <c r="Z103" s="645" t="s">
        <v>159</v>
      </c>
      <c r="AA103" s="646"/>
      <c r="AB103" s="646"/>
      <c r="AC103" s="646"/>
      <c r="AD103" s="646"/>
      <c r="AE103" s="645" t="s">
        <v>157</v>
      </c>
      <c r="AF103" s="646"/>
      <c r="AG103" s="646"/>
      <c r="AH103" s="646"/>
      <c r="AI103" s="646"/>
      <c r="AJ103" s="645" t="s">
        <v>160</v>
      </c>
      <c r="AK103" s="646"/>
      <c r="AL103" s="646"/>
      <c r="AM103" s="646"/>
      <c r="AN103" s="646"/>
      <c r="AO103" s="645" t="s">
        <v>115</v>
      </c>
      <c r="AP103" s="646"/>
      <c r="AQ103" s="646"/>
      <c r="AR103" s="646"/>
      <c r="AS103" s="646"/>
      <c r="AT103" s="645" t="s">
        <v>161</v>
      </c>
      <c r="AU103" s="646"/>
      <c r="AV103" s="646"/>
      <c r="AW103" s="646"/>
      <c r="AX103" s="646"/>
    </row>
    <row r="104" spans="2:53">
      <c r="B104" s="635" t="s">
        <v>535</v>
      </c>
      <c r="C104" s="635" t="s">
        <v>536</v>
      </c>
      <c r="D104" s="635"/>
      <c r="E104" s="635" t="s">
        <v>537</v>
      </c>
      <c r="F104" s="635"/>
      <c r="G104" s="635"/>
      <c r="H104" s="636" t="s">
        <v>538</v>
      </c>
      <c r="I104" s="635" t="s">
        <v>539</v>
      </c>
      <c r="J104" s="635"/>
      <c r="K104" s="635"/>
      <c r="L104" s="636" t="s">
        <v>369</v>
      </c>
      <c r="M104" s="639" t="s">
        <v>540</v>
      </c>
      <c r="N104" s="635"/>
      <c r="O104" s="635" t="s">
        <v>526</v>
      </c>
      <c r="P104" s="632" t="s">
        <v>527</v>
      </c>
      <c r="Q104" s="633"/>
      <c r="R104" s="633"/>
      <c r="S104" s="634"/>
      <c r="T104" s="635" t="s">
        <v>523</v>
      </c>
      <c r="U104" s="632" t="s">
        <v>527</v>
      </c>
      <c r="V104" s="633"/>
      <c r="W104" s="633"/>
      <c r="X104" s="634"/>
      <c r="Y104" s="635" t="s">
        <v>523</v>
      </c>
      <c r="Z104" s="632" t="s">
        <v>527</v>
      </c>
      <c r="AA104" s="633"/>
      <c r="AB104" s="633"/>
      <c r="AC104" s="634"/>
      <c r="AD104" s="635" t="s">
        <v>523</v>
      </c>
      <c r="AE104" s="632" t="s">
        <v>527</v>
      </c>
      <c r="AF104" s="633"/>
      <c r="AG104" s="633"/>
      <c r="AH104" s="634"/>
      <c r="AI104" s="635" t="s">
        <v>523</v>
      </c>
      <c r="AJ104" s="632" t="s">
        <v>527</v>
      </c>
      <c r="AK104" s="633"/>
      <c r="AL104" s="633"/>
      <c r="AM104" s="634"/>
      <c r="AN104" s="635" t="s">
        <v>523</v>
      </c>
      <c r="AO104" s="632" t="s">
        <v>527</v>
      </c>
      <c r="AP104" s="633"/>
      <c r="AQ104" s="633"/>
      <c r="AR104" s="634"/>
      <c r="AS104" s="635" t="s">
        <v>523</v>
      </c>
      <c r="AT104" s="632" t="s">
        <v>527</v>
      </c>
      <c r="AU104" s="633"/>
      <c r="AV104" s="633"/>
      <c r="AW104" s="634"/>
      <c r="AX104" s="635" t="s">
        <v>523</v>
      </c>
      <c r="BA104" s="635" t="s">
        <v>369</v>
      </c>
    </row>
    <row r="105" spans="2:53">
      <c r="B105" s="635"/>
      <c r="C105" s="635"/>
      <c r="D105" s="635"/>
      <c r="E105" s="635" t="s">
        <v>542</v>
      </c>
      <c r="F105" s="635"/>
      <c r="G105" s="635"/>
      <c r="H105" s="637"/>
      <c r="I105" s="635" t="s">
        <v>542</v>
      </c>
      <c r="J105" s="635"/>
      <c r="K105" s="635"/>
      <c r="L105" s="637"/>
      <c r="M105" s="640"/>
      <c r="N105" s="635"/>
      <c r="O105" s="635"/>
      <c r="P105" s="632" t="s">
        <v>529</v>
      </c>
      <c r="Q105" s="633"/>
      <c r="R105" s="633"/>
      <c r="S105" s="634"/>
      <c r="T105" s="635"/>
      <c r="U105" s="632" t="s">
        <v>529</v>
      </c>
      <c r="V105" s="633"/>
      <c r="W105" s="633"/>
      <c r="X105" s="634"/>
      <c r="Y105" s="635"/>
      <c r="Z105" s="632" t="s">
        <v>529</v>
      </c>
      <c r="AA105" s="633"/>
      <c r="AB105" s="633"/>
      <c r="AC105" s="634"/>
      <c r="AD105" s="635"/>
      <c r="AE105" s="632" t="s">
        <v>529</v>
      </c>
      <c r="AF105" s="633"/>
      <c r="AG105" s="633"/>
      <c r="AH105" s="634"/>
      <c r="AI105" s="635"/>
      <c r="AJ105" s="632" t="s">
        <v>529</v>
      </c>
      <c r="AK105" s="633"/>
      <c r="AL105" s="633"/>
      <c r="AM105" s="634"/>
      <c r="AN105" s="635"/>
      <c r="AO105" s="632" t="s">
        <v>529</v>
      </c>
      <c r="AP105" s="633"/>
      <c r="AQ105" s="633"/>
      <c r="AR105" s="634"/>
      <c r="AS105" s="635"/>
      <c r="AT105" s="632" t="s">
        <v>529</v>
      </c>
      <c r="AU105" s="633"/>
      <c r="AV105" s="633"/>
      <c r="AW105" s="634"/>
      <c r="AX105" s="635"/>
      <c r="BA105" s="635"/>
    </row>
    <row r="106" spans="2:53">
      <c r="B106" s="635"/>
      <c r="C106" s="635"/>
      <c r="D106" s="635"/>
      <c r="E106" s="349" t="s">
        <v>543</v>
      </c>
      <c r="F106" s="349" t="s">
        <v>544</v>
      </c>
      <c r="G106" s="349" t="s">
        <v>545</v>
      </c>
      <c r="H106" s="638"/>
      <c r="I106" s="349" t="s">
        <v>543</v>
      </c>
      <c r="J106" s="349" t="s">
        <v>544</v>
      </c>
      <c r="K106" s="349" t="s">
        <v>545</v>
      </c>
      <c r="L106" s="638"/>
      <c r="M106" s="641"/>
      <c r="N106" s="635"/>
      <c r="O106" s="635"/>
      <c r="P106" s="349" t="s">
        <v>530</v>
      </c>
      <c r="Q106" s="349" t="s">
        <v>531</v>
      </c>
      <c r="R106" s="349" t="s">
        <v>532</v>
      </c>
      <c r="S106" s="349" t="s">
        <v>525</v>
      </c>
      <c r="T106" s="635"/>
      <c r="U106" s="349" t="s">
        <v>530</v>
      </c>
      <c r="V106" s="349" t="s">
        <v>531</v>
      </c>
      <c r="W106" s="349" t="s">
        <v>532</v>
      </c>
      <c r="X106" s="349" t="s">
        <v>525</v>
      </c>
      <c r="Y106" s="635"/>
      <c r="Z106" s="349" t="s">
        <v>530</v>
      </c>
      <c r="AA106" s="349" t="s">
        <v>531</v>
      </c>
      <c r="AB106" s="349" t="s">
        <v>532</v>
      </c>
      <c r="AC106" s="349" t="s">
        <v>525</v>
      </c>
      <c r="AD106" s="635"/>
      <c r="AE106" s="349" t="s">
        <v>530</v>
      </c>
      <c r="AF106" s="349" t="s">
        <v>531</v>
      </c>
      <c r="AG106" s="349" t="s">
        <v>532</v>
      </c>
      <c r="AH106" s="349" t="s">
        <v>525</v>
      </c>
      <c r="AI106" s="635"/>
      <c r="AJ106" s="349" t="s">
        <v>530</v>
      </c>
      <c r="AK106" s="349" t="s">
        <v>531</v>
      </c>
      <c r="AL106" s="349" t="s">
        <v>532</v>
      </c>
      <c r="AM106" s="349" t="s">
        <v>525</v>
      </c>
      <c r="AN106" s="635"/>
      <c r="AO106" s="349" t="s">
        <v>530</v>
      </c>
      <c r="AP106" s="349" t="s">
        <v>531</v>
      </c>
      <c r="AQ106" s="349" t="s">
        <v>532</v>
      </c>
      <c r="AR106" s="349" t="s">
        <v>525</v>
      </c>
      <c r="AS106" s="635"/>
      <c r="AT106" s="349" t="s">
        <v>530</v>
      </c>
      <c r="AU106" s="349" t="s">
        <v>531</v>
      </c>
      <c r="AV106" s="349" t="s">
        <v>532</v>
      </c>
      <c r="AW106" s="349" t="s">
        <v>525</v>
      </c>
      <c r="AX106" s="635"/>
      <c r="AZ106" s="371" t="s">
        <v>525</v>
      </c>
      <c r="BA106" s="635"/>
    </row>
    <row r="107" spans="2:53">
      <c r="B107" s="635" t="s">
        <v>136</v>
      </c>
      <c r="C107" s="352">
        <v>1</v>
      </c>
      <c r="D107" s="225"/>
      <c r="E107" s="181"/>
      <c r="F107" s="357"/>
      <c r="G107" s="358"/>
      <c r="H107" s="670" t="e">
        <f>AVERAGE(G107:G121)</f>
        <v>#DIV/0!</v>
      </c>
      <c r="I107" s="367" t="str">
        <f t="shared" ref="I107:I120" si="53">IFERROR(AVERAGE(P107,U107,Z107,AE107,AJ107,AO107,AT107),"-")</f>
        <v>-</v>
      </c>
      <c r="J107" s="367" t="str">
        <f t="shared" ref="J107:J120" si="54">IFERROR(AVERAGE(Q107,V107,AA107,AF107,AK107,AP107,AU107),"-")</f>
        <v>-</v>
      </c>
      <c r="K107" s="199" t="str">
        <f t="shared" ref="K107:K120" si="55">IFERROR(AVERAGE(R107,W107,AB107,AG107,AL107,AQ107,AV107),"-")</f>
        <v>-</v>
      </c>
      <c r="L107" s="616" t="str">
        <f>IFERROR(AVERAGE(K107:K121),"-")</f>
        <v>-</v>
      </c>
      <c r="M107" s="353" t="e">
        <f>RANK(K107, K$67:$K$81)</f>
        <v>#VALUE!</v>
      </c>
      <c r="N107" s="635"/>
      <c r="O107" s="635"/>
      <c r="P107" s="528"/>
      <c r="Q107" s="530"/>
      <c r="R107" s="530"/>
      <c r="S107" s="528"/>
      <c r="T107" s="659"/>
      <c r="U107" s="528"/>
      <c r="V107" s="530"/>
      <c r="W107" s="530"/>
      <c r="X107" s="528"/>
      <c r="Y107" s="659"/>
      <c r="Z107" s="528"/>
      <c r="AA107" s="530"/>
      <c r="AB107" s="530"/>
      <c r="AC107" s="528"/>
      <c r="AD107" s="659"/>
      <c r="AE107" s="528"/>
      <c r="AF107" s="530"/>
      <c r="AG107" s="530"/>
      <c r="AH107" s="528"/>
      <c r="AI107" s="659"/>
      <c r="AJ107" s="528"/>
      <c r="AK107" s="530"/>
      <c r="AL107" s="530"/>
      <c r="AM107" s="528"/>
      <c r="AN107" s="659"/>
      <c r="AO107" s="528"/>
      <c r="AP107" s="530"/>
      <c r="AQ107" s="530"/>
      <c r="AR107" s="528"/>
      <c r="AS107" s="659"/>
      <c r="AT107" s="528"/>
      <c r="AU107" s="530"/>
      <c r="AV107" s="530"/>
      <c r="AW107" s="528"/>
      <c r="AX107" s="659"/>
      <c r="AZ107" s="373" t="e">
        <f>RANK(AY107, AY$67:AY$81)</f>
        <v>#N/A</v>
      </c>
      <c r="BA107" s="694" t="e">
        <f>AVERAGE(AY107:AY121)</f>
        <v>#DIV/0!</v>
      </c>
    </row>
    <row r="108" spans="2:53">
      <c r="B108" s="669"/>
      <c r="C108" s="352">
        <v>2</v>
      </c>
      <c r="D108" s="225"/>
      <c r="E108" s="181"/>
      <c r="F108" s="357"/>
      <c r="G108" s="358"/>
      <c r="H108" s="671"/>
      <c r="I108" s="367" t="str">
        <f t="shared" si="53"/>
        <v>-</v>
      </c>
      <c r="J108" s="367" t="str">
        <f t="shared" si="54"/>
        <v>-</v>
      </c>
      <c r="K108" s="199" t="str">
        <f t="shared" si="55"/>
        <v>-</v>
      </c>
      <c r="L108" s="617"/>
      <c r="M108" s="353" t="e">
        <f>RANK(K108, K$67:$K$81)</f>
        <v>#VALUE!</v>
      </c>
      <c r="N108" s="635"/>
      <c r="O108" s="635"/>
      <c r="P108" s="528"/>
      <c r="Q108" s="530"/>
      <c r="R108" s="530"/>
      <c r="S108" s="528"/>
      <c r="T108" s="659"/>
      <c r="U108" s="528"/>
      <c r="V108" s="530"/>
      <c r="W108" s="530"/>
      <c r="X108" s="528"/>
      <c r="Y108" s="659"/>
      <c r="Z108" s="528"/>
      <c r="AA108" s="530"/>
      <c r="AB108" s="530"/>
      <c r="AC108" s="528"/>
      <c r="AD108" s="659"/>
      <c r="AE108" s="528"/>
      <c r="AF108" s="530"/>
      <c r="AG108" s="530"/>
      <c r="AH108" s="528"/>
      <c r="AI108" s="659"/>
      <c r="AJ108" s="528"/>
      <c r="AK108" s="530"/>
      <c r="AL108" s="530"/>
      <c r="AM108" s="528"/>
      <c r="AN108" s="659"/>
      <c r="AO108" s="528"/>
      <c r="AP108" s="530"/>
      <c r="AQ108" s="530"/>
      <c r="AR108" s="528"/>
      <c r="AS108" s="659"/>
      <c r="AT108" s="528"/>
      <c r="AU108" s="530"/>
      <c r="AV108" s="530"/>
      <c r="AW108" s="528"/>
      <c r="AX108" s="659"/>
      <c r="AZ108" s="373" t="e">
        <f t="shared" ref="AZ108:AZ121" si="56">RANK(AY108, AY$67:AY$81)</f>
        <v>#N/A</v>
      </c>
      <c r="BA108" s="694"/>
    </row>
    <row r="109" spans="2:53">
      <c r="B109" s="669"/>
      <c r="C109" s="352">
        <v>3</v>
      </c>
      <c r="D109" s="225"/>
      <c r="E109" s="181"/>
      <c r="F109" s="357"/>
      <c r="G109" s="358"/>
      <c r="H109" s="671"/>
      <c r="I109" s="367" t="str">
        <f t="shared" si="53"/>
        <v>-</v>
      </c>
      <c r="J109" s="367" t="str">
        <f t="shared" si="54"/>
        <v>-</v>
      </c>
      <c r="K109" s="199" t="str">
        <f t="shared" si="55"/>
        <v>-</v>
      </c>
      <c r="L109" s="617"/>
      <c r="M109" s="353" t="e">
        <f>RANK(K109, K$67:$K$81)</f>
        <v>#VALUE!</v>
      </c>
      <c r="N109" s="635"/>
      <c r="O109" s="635"/>
      <c r="P109" s="528"/>
      <c r="Q109" s="530"/>
      <c r="R109" s="530"/>
      <c r="S109" s="528"/>
      <c r="T109" s="659"/>
      <c r="U109" s="528"/>
      <c r="V109" s="530"/>
      <c r="W109" s="530"/>
      <c r="X109" s="528"/>
      <c r="Y109" s="659"/>
      <c r="Z109" s="528"/>
      <c r="AA109" s="530"/>
      <c r="AB109" s="530"/>
      <c r="AC109" s="528"/>
      <c r="AD109" s="659"/>
      <c r="AE109" s="528"/>
      <c r="AF109" s="530"/>
      <c r="AG109" s="530"/>
      <c r="AH109" s="528"/>
      <c r="AI109" s="659"/>
      <c r="AJ109" s="528"/>
      <c r="AK109" s="530"/>
      <c r="AL109" s="530"/>
      <c r="AM109" s="528"/>
      <c r="AN109" s="659"/>
      <c r="AO109" s="528"/>
      <c r="AP109" s="530"/>
      <c r="AQ109" s="530"/>
      <c r="AR109" s="528"/>
      <c r="AS109" s="659"/>
      <c r="AT109" s="528"/>
      <c r="AU109" s="530"/>
      <c r="AV109" s="530"/>
      <c r="AW109" s="528"/>
      <c r="AX109" s="659"/>
      <c r="AZ109" s="373" t="e">
        <f t="shared" si="56"/>
        <v>#N/A</v>
      </c>
      <c r="BA109" s="694"/>
    </row>
    <row r="110" spans="2:53">
      <c r="B110" s="669"/>
      <c r="C110" s="352">
        <v>4</v>
      </c>
      <c r="D110" s="225"/>
      <c r="E110" s="181"/>
      <c r="F110" s="357"/>
      <c r="G110" s="358"/>
      <c r="H110" s="671"/>
      <c r="I110" s="367" t="str">
        <f t="shared" si="53"/>
        <v>-</v>
      </c>
      <c r="J110" s="367" t="str">
        <f t="shared" si="54"/>
        <v>-</v>
      </c>
      <c r="K110" s="199" t="str">
        <f t="shared" si="55"/>
        <v>-</v>
      </c>
      <c r="L110" s="617"/>
      <c r="M110" s="353" t="e">
        <f>RANK(K110, K$67:$K$81)</f>
        <v>#VALUE!</v>
      </c>
      <c r="N110" s="635"/>
      <c r="O110" s="635"/>
      <c r="P110" s="528"/>
      <c r="Q110" s="530"/>
      <c r="R110" s="530"/>
      <c r="S110" s="528"/>
      <c r="T110" s="659"/>
      <c r="U110" s="528"/>
      <c r="V110" s="530"/>
      <c r="W110" s="530"/>
      <c r="X110" s="528"/>
      <c r="Y110" s="659"/>
      <c r="Z110" s="528"/>
      <c r="AA110" s="530"/>
      <c r="AB110" s="530"/>
      <c r="AC110" s="528"/>
      <c r="AD110" s="659"/>
      <c r="AE110" s="528"/>
      <c r="AF110" s="530"/>
      <c r="AG110" s="530"/>
      <c r="AH110" s="528"/>
      <c r="AI110" s="659"/>
      <c r="AJ110" s="528"/>
      <c r="AK110" s="530"/>
      <c r="AL110" s="530"/>
      <c r="AM110" s="528"/>
      <c r="AN110" s="659"/>
      <c r="AO110" s="528"/>
      <c r="AP110" s="530"/>
      <c r="AQ110" s="530"/>
      <c r="AR110" s="528"/>
      <c r="AS110" s="659"/>
      <c r="AT110" s="528"/>
      <c r="AU110" s="530"/>
      <c r="AV110" s="530"/>
      <c r="AW110" s="528"/>
      <c r="AX110" s="659"/>
      <c r="AZ110" s="373" t="e">
        <f t="shared" si="56"/>
        <v>#N/A</v>
      </c>
      <c r="BA110" s="694"/>
    </row>
    <row r="111" spans="2:53">
      <c r="B111" s="669"/>
      <c r="C111" s="352">
        <v>5</v>
      </c>
      <c r="D111" s="225"/>
      <c r="E111" s="181"/>
      <c r="F111" s="357"/>
      <c r="G111" s="358"/>
      <c r="H111" s="671"/>
      <c r="I111" s="367" t="str">
        <f t="shared" si="53"/>
        <v>-</v>
      </c>
      <c r="J111" s="367" t="str">
        <f t="shared" si="54"/>
        <v>-</v>
      </c>
      <c r="K111" s="199" t="str">
        <f t="shared" si="55"/>
        <v>-</v>
      </c>
      <c r="L111" s="617"/>
      <c r="M111" s="353" t="e">
        <f>RANK(K111, K$67:$K$81)</f>
        <v>#VALUE!</v>
      </c>
      <c r="N111" s="635"/>
      <c r="O111" s="635"/>
      <c r="P111" s="528"/>
      <c r="Q111" s="530"/>
      <c r="R111" s="530"/>
      <c r="S111" s="528"/>
      <c r="T111" s="659"/>
      <c r="U111" s="528"/>
      <c r="V111" s="530"/>
      <c r="W111" s="530"/>
      <c r="X111" s="528"/>
      <c r="Y111" s="659"/>
      <c r="Z111" s="528"/>
      <c r="AA111" s="530"/>
      <c r="AB111" s="530"/>
      <c r="AC111" s="528"/>
      <c r="AD111" s="659"/>
      <c r="AE111" s="528"/>
      <c r="AF111" s="530"/>
      <c r="AG111" s="530"/>
      <c r="AH111" s="528"/>
      <c r="AI111" s="659"/>
      <c r="AJ111" s="528"/>
      <c r="AK111" s="530"/>
      <c r="AL111" s="530"/>
      <c r="AM111" s="528"/>
      <c r="AN111" s="659"/>
      <c r="AO111" s="528"/>
      <c r="AP111" s="530"/>
      <c r="AQ111" s="530"/>
      <c r="AR111" s="528"/>
      <c r="AS111" s="659"/>
      <c r="AT111" s="528"/>
      <c r="AU111" s="530"/>
      <c r="AV111" s="530"/>
      <c r="AW111" s="528"/>
      <c r="AX111" s="659"/>
      <c r="AZ111" s="373" t="e">
        <f t="shared" si="56"/>
        <v>#N/A</v>
      </c>
      <c r="BA111" s="694"/>
    </row>
    <row r="112" spans="2:53">
      <c r="B112" s="669"/>
      <c r="C112" s="352">
        <v>6</v>
      </c>
      <c r="D112" s="225"/>
      <c r="E112" s="181"/>
      <c r="F112" s="357"/>
      <c r="G112" s="358"/>
      <c r="H112" s="671"/>
      <c r="I112" s="367" t="str">
        <f t="shared" si="53"/>
        <v>-</v>
      </c>
      <c r="J112" s="367" t="str">
        <f t="shared" si="54"/>
        <v>-</v>
      </c>
      <c r="K112" s="199" t="str">
        <f t="shared" si="55"/>
        <v>-</v>
      </c>
      <c r="L112" s="617"/>
      <c r="M112" s="353" t="e">
        <f>RANK(K112, K$67:$K$81)</f>
        <v>#VALUE!</v>
      </c>
      <c r="N112" s="635"/>
      <c r="O112" s="635"/>
      <c r="P112" s="528"/>
      <c r="Q112" s="530"/>
      <c r="R112" s="530"/>
      <c r="S112" s="528"/>
      <c r="T112" s="659"/>
      <c r="U112" s="528"/>
      <c r="V112" s="530"/>
      <c r="W112" s="530"/>
      <c r="X112" s="528"/>
      <c r="Y112" s="659"/>
      <c r="Z112" s="528"/>
      <c r="AA112" s="530"/>
      <c r="AB112" s="530"/>
      <c r="AC112" s="528"/>
      <c r="AD112" s="659"/>
      <c r="AE112" s="528"/>
      <c r="AF112" s="530"/>
      <c r="AG112" s="530"/>
      <c r="AH112" s="528"/>
      <c r="AI112" s="659"/>
      <c r="AJ112" s="528"/>
      <c r="AK112" s="530"/>
      <c r="AL112" s="530"/>
      <c r="AM112" s="528"/>
      <c r="AN112" s="659"/>
      <c r="AO112" s="528"/>
      <c r="AP112" s="530"/>
      <c r="AQ112" s="530"/>
      <c r="AR112" s="528"/>
      <c r="AS112" s="659"/>
      <c r="AT112" s="528"/>
      <c r="AU112" s="530"/>
      <c r="AV112" s="530"/>
      <c r="AW112" s="528"/>
      <c r="AX112" s="659"/>
      <c r="AZ112" s="373" t="e">
        <f t="shared" si="56"/>
        <v>#N/A</v>
      </c>
      <c r="BA112" s="694"/>
    </row>
    <row r="113" spans="2:53">
      <c r="B113" s="669"/>
      <c r="C113" s="352">
        <v>7</v>
      </c>
      <c r="D113" s="225"/>
      <c r="E113" s="181"/>
      <c r="F113" s="357"/>
      <c r="G113" s="358"/>
      <c r="H113" s="671"/>
      <c r="I113" s="367" t="str">
        <f t="shared" si="53"/>
        <v>-</v>
      </c>
      <c r="J113" s="367" t="str">
        <f t="shared" si="54"/>
        <v>-</v>
      </c>
      <c r="K113" s="199" t="str">
        <f t="shared" si="55"/>
        <v>-</v>
      </c>
      <c r="L113" s="617"/>
      <c r="M113" s="353" t="e">
        <f>RANK(K113, K$67:$K$81)</f>
        <v>#VALUE!</v>
      </c>
      <c r="N113" s="635"/>
      <c r="O113" s="635"/>
      <c r="P113" s="528"/>
      <c r="Q113" s="530"/>
      <c r="R113" s="530"/>
      <c r="S113" s="528"/>
      <c r="T113" s="659"/>
      <c r="U113" s="528"/>
      <c r="V113" s="530"/>
      <c r="W113" s="530"/>
      <c r="X113" s="528"/>
      <c r="Y113" s="659"/>
      <c r="Z113" s="528"/>
      <c r="AA113" s="530"/>
      <c r="AB113" s="530"/>
      <c r="AC113" s="528"/>
      <c r="AD113" s="659"/>
      <c r="AE113" s="528"/>
      <c r="AF113" s="530"/>
      <c r="AG113" s="530"/>
      <c r="AH113" s="528"/>
      <c r="AI113" s="659"/>
      <c r="AJ113" s="528"/>
      <c r="AK113" s="530"/>
      <c r="AL113" s="530"/>
      <c r="AM113" s="528"/>
      <c r="AN113" s="659"/>
      <c r="AO113" s="528"/>
      <c r="AP113" s="530"/>
      <c r="AQ113" s="530"/>
      <c r="AR113" s="528"/>
      <c r="AS113" s="659"/>
      <c r="AT113" s="528"/>
      <c r="AU113" s="530"/>
      <c r="AV113" s="530"/>
      <c r="AW113" s="528"/>
      <c r="AX113" s="659"/>
      <c r="AZ113" s="373" t="e">
        <f t="shared" si="56"/>
        <v>#N/A</v>
      </c>
      <c r="BA113" s="694"/>
    </row>
    <row r="114" spans="2:53">
      <c r="B114" s="669"/>
      <c r="C114" s="352">
        <v>8</v>
      </c>
      <c r="D114" s="225"/>
      <c r="E114" s="181"/>
      <c r="F114" s="357"/>
      <c r="G114" s="358"/>
      <c r="H114" s="671"/>
      <c r="I114" s="367" t="str">
        <f t="shared" si="53"/>
        <v>-</v>
      </c>
      <c r="J114" s="367" t="str">
        <f t="shared" si="54"/>
        <v>-</v>
      </c>
      <c r="K114" s="199" t="str">
        <f t="shared" si="55"/>
        <v>-</v>
      </c>
      <c r="L114" s="617"/>
      <c r="M114" s="353" t="e">
        <f>RANK(K114, K$67:$K$81)</f>
        <v>#VALUE!</v>
      </c>
      <c r="N114" s="635"/>
      <c r="O114" s="635"/>
      <c r="P114" s="528"/>
      <c r="Q114" s="530"/>
      <c r="R114" s="530"/>
      <c r="S114" s="528"/>
      <c r="T114" s="659"/>
      <c r="U114" s="528"/>
      <c r="V114" s="530"/>
      <c r="W114" s="530"/>
      <c r="X114" s="528"/>
      <c r="Y114" s="659"/>
      <c r="Z114" s="528"/>
      <c r="AA114" s="530"/>
      <c r="AB114" s="530"/>
      <c r="AC114" s="528"/>
      <c r="AD114" s="659"/>
      <c r="AE114" s="528"/>
      <c r="AF114" s="530"/>
      <c r="AG114" s="530"/>
      <c r="AH114" s="528"/>
      <c r="AI114" s="659"/>
      <c r="AJ114" s="528"/>
      <c r="AK114" s="530"/>
      <c r="AL114" s="530"/>
      <c r="AM114" s="528"/>
      <c r="AN114" s="659"/>
      <c r="AO114" s="528"/>
      <c r="AP114" s="530"/>
      <c r="AQ114" s="530"/>
      <c r="AR114" s="528"/>
      <c r="AS114" s="659"/>
      <c r="AT114" s="528"/>
      <c r="AU114" s="530"/>
      <c r="AV114" s="530"/>
      <c r="AW114" s="528"/>
      <c r="AX114" s="659"/>
      <c r="AZ114" s="373" t="e">
        <f t="shared" si="56"/>
        <v>#N/A</v>
      </c>
      <c r="BA114" s="694"/>
    </row>
    <row r="115" spans="2:53">
      <c r="B115" s="669"/>
      <c r="C115" s="352">
        <v>9</v>
      </c>
      <c r="D115" s="225"/>
      <c r="E115" s="181"/>
      <c r="F115" s="357"/>
      <c r="G115" s="358"/>
      <c r="H115" s="671"/>
      <c r="I115" s="367" t="str">
        <f t="shared" si="53"/>
        <v>-</v>
      </c>
      <c r="J115" s="367" t="str">
        <f t="shared" si="54"/>
        <v>-</v>
      </c>
      <c r="K115" s="199" t="str">
        <f t="shared" si="55"/>
        <v>-</v>
      </c>
      <c r="L115" s="617"/>
      <c r="M115" s="353" t="e">
        <f>RANK(K115, K$67:$K$81)</f>
        <v>#VALUE!</v>
      </c>
      <c r="N115" s="635"/>
      <c r="O115" s="635"/>
      <c r="P115" s="528"/>
      <c r="Q115" s="530"/>
      <c r="R115" s="530"/>
      <c r="S115" s="528"/>
      <c r="T115" s="659"/>
      <c r="U115" s="528"/>
      <c r="V115" s="530"/>
      <c r="W115" s="530"/>
      <c r="X115" s="528"/>
      <c r="Y115" s="659"/>
      <c r="Z115" s="528"/>
      <c r="AA115" s="530"/>
      <c r="AB115" s="530"/>
      <c r="AC115" s="528"/>
      <c r="AD115" s="659"/>
      <c r="AE115" s="528"/>
      <c r="AF115" s="530"/>
      <c r="AG115" s="530"/>
      <c r="AH115" s="528"/>
      <c r="AI115" s="659"/>
      <c r="AJ115" s="528"/>
      <c r="AK115" s="530"/>
      <c r="AL115" s="530"/>
      <c r="AM115" s="528"/>
      <c r="AN115" s="659"/>
      <c r="AO115" s="528"/>
      <c r="AP115" s="530"/>
      <c r="AQ115" s="530"/>
      <c r="AR115" s="528"/>
      <c r="AS115" s="659"/>
      <c r="AT115" s="528"/>
      <c r="AU115" s="530"/>
      <c r="AV115" s="530"/>
      <c r="AW115" s="528"/>
      <c r="AX115" s="659"/>
      <c r="AZ115" s="373" t="e">
        <f t="shared" si="56"/>
        <v>#N/A</v>
      </c>
      <c r="BA115" s="694"/>
    </row>
    <row r="116" spans="2:53">
      <c r="B116" s="669"/>
      <c r="C116" s="352">
        <v>10</v>
      </c>
      <c r="D116" s="225"/>
      <c r="E116" s="181"/>
      <c r="F116" s="357"/>
      <c r="G116" s="358"/>
      <c r="H116" s="671"/>
      <c r="I116" s="367" t="str">
        <f t="shared" si="53"/>
        <v>-</v>
      </c>
      <c r="J116" s="367" t="str">
        <f t="shared" si="54"/>
        <v>-</v>
      </c>
      <c r="K116" s="199" t="str">
        <f t="shared" si="55"/>
        <v>-</v>
      </c>
      <c r="L116" s="617"/>
      <c r="M116" s="353" t="e">
        <f>RANK(K116, K$67:$K$81)</f>
        <v>#VALUE!</v>
      </c>
      <c r="N116" s="635"/>
      <c r="O116" s="635"/>
      <c r="P116" s="528"/>
      <c r="Q116" s="530"/>
      <c r="R116" s="530"/>
      <c r="S116" s="528"/>
      <c r="T116" s="659"/>
      <c r="U116" s="528"/>
      <c r="V116" s="530"/>
      <c r="W116" s="530"/>
      <c r="X116" s="528"/>
      <c r="Y116" s="659"/>
      <c r="Z116" s="528"/>
      <c r="AA116" s="530"/>
      <c r="AB116" s="530"/>
      <c r="AC116" s="528"/>
      <c r="AD116" s="659"/>
      <c r="AE116" s="528"/>
      <c r="AF116" s="530"/>
      <c r="AG116" s="530"/>
      <c r="AH116" s="528"/>
      <c r="AI116" s="659"/>
      <c r="AJ116" s="528"/>
      <c r="AK116" s="530"/>
      <c r="AL116" s="530"/>
      <c r="AM116" s="528"/>
      <c r="AN116" s="659"/>
      <c r="AO116" s="528"/>
      <c r="AP116" s="530"/>
      <c r="AQ116" s="530"/>
      <c r="AR116" s="528"/>
      <c r="AS116" s="659"/>
      <c r="AT116" s="528"/>
      <c r="AU116" s="530"/>
      <c r="AV116" s="530"/>
      <c r="AW116" s="528"/>
      <c r="AX116" s="659"/>
      <c r="AZ116" s="373" t="e">
        <f t="shared" si="56"/>
        <v>#N/A</v>
      </c>
      <c r="BA116" s="694"/>
    </row>
    <row r="117" spans="2:53">
      <c r="B117" s="669"/>
      <c r="C117" s="352">
        <v>11</v>
      </c>
      <c r="D117" s="225"/>
      <c r="E117" s="181"/>
      <c r="F117" s="357"/>
      <c r="G117" s="358"/>
      <c r="H117" s="671"/>
      <c r="I117" s="367" t="str">
        <f t="shared" si="53"/>
        <v>-</v>
      </c>
      <c r="J117" s="367" t="str">
        <f t="shared" si="54"/>
        <v>-</v>
      </c>
      <c r="K117" s="199" t="str">
        <f t="shared" si="55"/>
        <v>-</v>
      </c>
      <c r="L117" s="617"/>
      <c r="M117" s="353" t="e">
        <f>RANK(K117, K$67:$K$81)</f>
        <v>#VALUE!</v>
      </c>
      <c r="N117" s="635"/>
      <c r="O117" s="635"/>
      <c r="P117" s="528"/>
      <c r="Q117" s="530"/>
      <c r="R117" s="530"/>
      <c r="S117" s="528"/>
      <c r="T117" s="659"/>
      <c r="U117" s="528"/>
      <c r="V117" s="530"/>
      <c r="W117" s="530"/>
      <c r="X117" s="528"/>
      <c r="Y117" s="659"/>
      <c r="Z117" s="528"/>
      <c r="AA117" s="530"/>
      <c r="AB117" s="530"/>
      <c r="AC117" s="528"/>
      <c r="AD117" s="659"/>
      <c r="AE117" s="528"/>
      <c r="AF117" s="530"/>
      <c r="AG117" s="530"/>
      <c r="AH117" s="528"/>
      <c r="AI117" s="659"/>
      <c r="AJ117" s="528"/>
      <c r="AK117" s="530"/>
      <c r="AL117" s="530"/>
      <c r="AM117" s="528"/>
      <c r="AN117" s="659"/>
      <c r="AO117" s="528"/>
      <c r="AP117" s="530"/>
      <c r="AQ117" s="530"/>
      <c r="AR117" s="528"/>
      <c r="AS117" s="659"/>
      <c r="AT117" s="528"/>
      <c r="AU117" s="530"/>
      <c r="AV117" s="530"/>
      <c r="AW117" s="528"/>
      <c r="AX117" s="659"/>
      <c r="AZ117" s="373" t="e">
        <f t="shared" si="56"/>
        <v>#N/A</v>
      </c>
      <c r="BA117" s="694"/>
    </row>
    <row r="118" spans="2:53">
      <c r="B118" s="669"/>
      <c r="C118" s="352">
        <v>12</v>
      </c>
      <c r="D118" s="225"/>
      <c r="E118" s="181"/>
      <c r="F118" s="357"/>
      <c r="G118" s="358"/>
      <c r="H118" s="671"/>
      <c r="I118" s="367" t="str">
        <f t="shared" si="53"/>
        <v>-</v>
      </c>
      <c r="J118" s="367" t="str">
        <f t="shared" si="54"/>
        <v>-</v>
      </c>
      <c r="K118" s="199" t="str">
        <f t="shared" si="55"/>
        <v>-</v>
      </c>
      <c r="L118" s="617"/>
      <c r="M118" s="353" t="e">
        <f>RANK(K118, K$67:$K$81)</f>
        <v>#VALUE!</v>
      </c>
      <c r="N118" s="635"/>
      <c r="O118" s="635"/>
      <c r="P118" s="528"/>
      <c r="Q118" s="530"/>
      <c r="R118" s="530"/>
      <c r="S118" s="528"/>
      <c r="T118" s="659"/>
      <c r="U118" s="528"/>
      <c r="V118" s="530"/>
      <c r="W118" s="530"/>
      <c r="X118" s="528"/>
      <c r="Y118" s="659"/>
      <c r="Z118" s="528"/>
      <c r="AA118" s="530"/>
      <c r="AB118" s="530"/>
      <c r="AC118" s="528"/>
      <c r="AD118" s="659"/>
      <c r="AE118" s="528"/>
      <c r="AF118" s="530"/>
      <c r="AG118" s="530"/>
      <c r="AH118" s="528"/>
      <c r="AI118" s="659"/>
      <c r="AJ118" s="528"/>
      <c r="AK118" s="530"/>
      <c r="AL118" s="530"/>
      <c r="AM118" s="528"/>
      <c r="AN118" s="659"/>
      <c r="AO118" s="528"/>
      <c r="AP118" s="530"/>
      <c r="AQ118" s="530"/>
      <c r="AR118" s="528"/>
      <c r="AS118" s="659"/>
      <c r="AT118" s="528"/>
      <c r="AU118" s="530"/>
      <c r="AV118" s="530"/>
      <c r="AW118" s="528"/>
      <c r="AX118" s="659"/>
      <c r="AZ118" s="373" t="e">
        <f t="shared" si="56"/>
        <v>#N/A</v>
      </c>
      <c r="BA118" s="694"/>
    </row>
    <row r="119" spans="2:53">
      <c r="B119" s="669"/>
      <c r="C119" s="352">
        <v>13</v>
      </c>
      <c r="D119" s="225"/>
      <c r="E119" s="181"/>
      <c r="F119" s="357"/>
      <c r="G119" s="358"/>
      <c r="H119" s="671"/>
      <c r="I119" s="367" t="str">
        <f t="shared" si="53"/>
        <v>-</v>
      </c>
      <c r="J119" s="367" t="str">
        <f t="shared" si="54"/>
        <v>-</v>
      </c>
      <c r="K119" s="199" t="str">
        <f t="shared" si="55"/>
        <v>-</v>
      </c>
      <c r="L119" s="617"/>
      <c r="M119" s="353" t="e">
        <f>RANK(K119, K$67:$K$81)</f>
        <v>#VALUE!</v>
      </c>
      <c r="N119" s="635"/>
      <c r="O119" s="635"/>
      <c r="P119" s="528"/>
      <c r="Q119" s="530"/>
      <c r="R119" s="530"/>
      <c r="S119" s="528"/>
      <c r="T119" s="659"/>
      <c r="U119" s="528"/>
      <c r="V119" s="530"/>
      <c r="W119" s="530"/>
      <c r="X119" s="528"/>
      <c r="Y119" s="659"/>
      <c r="Z119" s="528"/>
      <c r="AA119" s="530"/>
      <c r="AB119" s="530"/>
      <c r="AC119" s="528"/>
      <c r="AD119" s="659"/>
      <c r="AE119" s="528"/>
      <c r="AF119" s="530"/>
      <c r="AG119" s="530"/>
      <c r="AH119" s="528"/>
      <c r="AI119" s="659"/>
      <c r="AJ119" s="528"/>
      <c r="AK119" s="530"/>
      <c r="AL119" s="530"/>
      <c r="AM119" s="528"/>
      <c r="AN119" s="659"/>
      <c r="AO119" s="528"/>
      <c r="AP119" s="530"/>
      <c r="AQ119" s="530"/>
      <c r="AR119" s="528"/>
      <c r="AS119" s="659"/>
      <c r="AT119" s="528"/>
      <c r="AU119" s="530"/>
      <c r="AV119" s="530"/>
      <c r="AW119" s="528"/>
      <c r="AX119" s="659"/>
      <c r="AZ119" s="373" t="e">
        <f t="shared" si="56"/>
        <v>#N/A</v>
      </c>
      <c r="BA119" s="694"/>
    </row>
    <row r="120" spans="2:53">
      <c r="B120" s="669"/>
      <c r="C120" s="352">
        <v>14</v>
      </c>
      <c r="D120" s="225"/>
      <c r="E120" s="181"/>
      <c r="F120" s="357"/>
      <c r="G120" s="358"/>
      <c r="H120" s="671"/>
      <c r="I120" s="367" t="str">
        <f t="shared" si="53"/>
        <v>-</v>
      </c>
      <c r="J120" s="367" t="str">
        <f t="shared" si="54"/>
        <v>-</v>
      </c>
      <c r="K120" s="199" t="str">
        <f t="shared" si="55"/>
        <v>-</v>
      </c>
      <c r="L120" s="617"/>
      <c r="M120" s="353" t="e">
        <f>RANK(K120, K$67:$K$81)</f>
        <v>#VALUE!</v>
      </c>
      <c r="N120" s="635"/>
      <c r="O120" s="635"/>
      <c r="P120" s="528"/>
      <c r="Q120" s="530"/>
      <c r="R120" s="530"/>
      <c r="S120" s="528"/>
      <c r="T120" s="659"/>
      <c r="U120" s="528"/>
      <c r="V120" s="530"/>
      <c r="W120" s="530"/>
      <c r="X120" s="528"/>
      <c r="Y120" s="659"/>
      <c r="Z120" s="528"/>
      <c r="AA120" s="530"/>
      <c r="AB120" s="530"/>
      <c r="AC120" s="528"/>
      <c r="AD120" s="659"/>
      <c r="AE120" s="528"/>
      <c r="AF120" s="530"/>
      <c r="AG120" s="530"/>
      <c r="AH120" s="528"/>
      <c r="AI120" s="659"/>
      <c r="AJ120" s="528"/>
      <c r="AK120" s="530"/>
      <c r="AL120" s="530"/>
      <c r="AM120" s="528"/>
      <c r="AN120" s="659"/>
      <c r="AO120" s="528"/>
      <c r="AP120" s="530"/>
      <c r="AQ120" s="530"/>
      <c r="AR120" s="528"/>
      <c r="AS120" s="659"/>
      <c r="AT120" s="528"/>
      <c r="AU120" s="530"/>
      <c r="AV120" s="530"/>
      <c r="AW120" s="528"/>
      <c r="AX120" s="659"/>
      <c r="AZ120" s="373" t="e">
        <f t="shared" si="56"/>
        <v>#N/A</v>
      </c>
      <c r="BA120" s="694"/>
    </row>
    <row r="121" spans="2:53">
      <c r="B121" s="669"/>
      <c r="C121" s="352">
        <v>15</v>
      </c>
      <c r="D121" s="225"/>
      <c r="E121" s="181"/>
      <c r="F121" s="357"/>
      <c r="G121" s="358"/>
      <c r="H121" s="680"/>
      <c r="I121" s="369"/>
      <c r="J121" s="369"/>
      <c r="K121" s="369"/>
      <c r="L121" s="618"/>
      <c r="M121" s="353" t="e">
        <f>RANK(K121, K$47:$K$61)</f>
        <v>#N/A</v>
      </c>
      <c r="N121" s="635"/>
      <c r="O121" s="635"/>
      <c r="P121" s="528"/>
      <c r="Q121" s="530"/>
      <c r="R121" s="530"/>
      <c r="S121" s="528"/>
      <c r="T121" s="659"/>
      <c r="U121" s="528"/>
      <c r="V121" s="530"/>
      <c r="W121" s="530"/>
      <c r="X121" s="528"/>
      <c r="Y121" s="659"/>
      <c r="Z121" s="528"/>
      <c r="AA121" s="530"/>
      <c r="AB121" s="530"/>
      <c r="AC121" s="528"/>
      <c r="AD121" s="659"/>
      <c r="AE121" s="528"/>
      <c r="AF121" s="530"/>
      <c r="AG121" s="530"/>
      <c r="AH121" s="528"/>
      <c r="AI121" s="659"/>
      <c r="AJ121" s="528"/>
      <c r="AK121" s="530"/>
      <c r="AL121" s="530"/>
      <c r="AM121" s="528"/>
      <c r="AN121" s="659"/>
      <c r="AO121" s="528"/>
      <c r="AP121" s="530"/>
      <c r="AQ121" s="530"/>
      <c r="AR121" s="528"/>
      <c r="AS121" s="659"/>
      <c r="AT121" s="528"/>
      <c r="AU121" s="530"/>
      <c r="AV121" s="530"/>
      <c r="AW121" s="528"/>
      <c r="AX121" s="659"/>
      <c r="AZ121" s="373" t="e">
        <f t="shared" si="56"/>
        <v>#N/A</v>
      </c>
      <c r="BA121" s="694"/>
    </row>
    <row r="123" spans="2:53" ht="15.75">
      <c r="B123" s="672" t="s">
        <v>475</v>
      </c>
      <c r="C123" s="673"/>
      <c r="D123" s="673"/>
      <c r="E123" s="673"/>
      <c r="F123" s="673"/>
      <c r="G123" s="673"/>
      <c r="H123" s="674"/>
      <c r="I123" s="311"/>
      <c r="J123" s="311"/>
      <c r="K123" s="311"/>
      <c r="L123" s="311"/>
      <c r="M123" s="312"/>
    </row>
    <row r="124" spans="2:53" ht="15.75">
      <c r="B124" s="675"/>
      <c r="C124" s="675"/>
      <c r="D124" s="675"/>
      <c r="E124" s="675"/>
      <c r="F124" s="675"/>
      <c r="G124" s="675"/>
      <c r="H124" s="675"/>
      <c r="I124" s="313"/>
      <c r="J124" s="313"/>
      <c r="K124" s="313"/>
      <c r="L124" s="313"/>
      <c r="M124" s="314"/>
    </row>
    <row r="125" spans="2:53">
      <c r="B125" s="635" t="s">
        <v>476</v>
      </c>
      <c r="C125" s="635" t="s">
        <v>477</v>
      </c>
      <c r="D125" s="635"/>
      <c r="E125" s="635" t="s">
        <v>478</v>
      </c>
      <c r="F125" s="635"/>
      <c r="G125" s="635"/>
      <c r="H125" s="636" t="s">
        <v>479</v>
      </c>
      <c r="I125" s="676" t="s">
        <v>480</v>
      </c>
      <c r="J125" s="676"/>
      <c r="K125" s="676"/>
      <c r="L125" s="688" t="s">
        <v>479</v>
      </c>
      <c r="M125" s="691" t="s">
        <v>481</v>
      </c>
    </row>
    <row r="126" spans="2:53">
      <c r="B126" s="635"/>
      <c r="C126" s="635"/>
      <c r="D126" s="635"/>
      <c r="E126" s="635" t="s">
        <v>482</v>
      </c>
      <c r="F126" s="635"/>
      <c r="G126" s="635"/>
      <c r="H126" s="637"/>
      <c r="I126" s="676" t="s">
        <v>482</v>
      </c>
      <c r="J126" s="676"/>
      <c r="K126" s="676"/>
      <c r="L126" s="689"/>
      <c r="M126" s="692"/>
    </row>
    <row r="127" spans="2:53">
      <c r="B127" s="635"/>
      <c r="C127" s="635"/>
      <c r="D127" s="635"/>
      <c r="E127" s="308" t="s">
        <v>483</v>
      </c>
      <c r="F127" s="308" t="s">
        <v>484</v>
      </c>
      <c r="G127" s="308" t="s">
        <v>485</v>
      </c>
      <c r="H127" s="638"/>
      <c r="I127" s="315" t="s">
        <v>483</v>
      </c>
      <c r="J127" s="315" t="s">
        <v>484</v>
      </c>
      <c r="K127" s="315" t="s">
        <v>485</v>
      </c>
      <c r="L127" s="690"/>
      <c r="M127" s="693"/>
    </row>
    <row r="128" spans="2:53">
      <c r="B128" s="635" t="s">
        <v>493</v>
      </c>
      <c r="C128" s="307">
        <v>1</v>
      </c>
      <c r="D128" s="225"/>
      <c r="E128" s="181"/>
      <c r="F128" s="307"/>
      <c r="G128" s="310"/>
      <c r="H128" s="681" t="e">
        <f>AVERAGE(G128:G142)</f>
        <v>#DIV/0!</v>
      </c>
      <c r="I128" s="198" t="e">
        <f t="shared" ref="I128:J133" si="57">AVERAGEIF($D$7:$D$121,$D128,I$7:I$121)</f>
        <v>#DIV/0!</v>
      </c>
      <c r="J128" s="198" t="e">
        <f t="shared" si="57"/>
        <v>#DIV/0!</v>
      </c>
      <c r="K128" s="198" t="e">
        <f t="shared" ref="K128:K133" si="58">AVERAGEIF($D$7:$D$121,$D128,K$7:K$121)</f>
        <v>#DIV/0!</v>
      </c>
      <c r="L128" s="685" t="e">
        <f>AVERAGE(K128:K142)</f>
        <v>#DIV/0!</v>
      </c>
      <c r="M128" s="198" t="e">
        <f>RANK(K128, K$128:$K$142)</f>
        <v>#DIV/0!</v>
      </c>
    </row>
    <row r="129" spans="2:13">
      <c r="B129" s="646"/>
      <c r="C129" s="307">
        <v>2</v>
      </c>
      <c r="D129" s="225"/>
      <c r="E129" s="181"/>
      <c r="F129" s="307"/>
      <c r="G129" s="310"/>
      <c r="H129" s="682"/>
      <c r="I129" s="198" t="e">
        <f t="shared" si="57"/>
        <v>#DIV/0!</v>
      </c>
      <c r="J129" s="198" t="e">
        <f t="shared" si="57"/>
        <v>#DIV/0!</v>
      </c>
      <c r="K129" s="198" t="e">
        <f t="shared" si="58"/>
        <v>#DIV/0!</v>
      </c>
      <c r="L129" s="686"/>
      <c r="M129" s="198" t="e">
        <f>RANK(K129, K$128:$K$142)</f>
        <v>#DIV/0!</v>
      </c>
    </row>
    <row r="130" spans="2:13">
      <c r="B130" s="646"/>
      <c r="C130" s="307">
        <v>3</v>
      </c>
      <c r="D130" s="225"/>
      <c r="E130" s="181"/>
      <c r="F130" s="307"/>
      <c r="G130" s="310"/>
      <c r="H130" s="682"/>
      <c r="I130" s="198" t="e">
        <f t="shared" si="57"/>
        <v>#DIV/0!</v>
      </c>
      <c r="J130" s="198" t="e">
        <f t="shared" si="57"/>
        <v>#DIV/0!</v>
      </c>
      <c r="K130" s="198" t="e">
        <f t="shared" si="58"/>
        <v>#DIV/0!</v>
      </c>
      <c r="L130" s="686"/>
      <c r="M130" s="198" t="e">
        <f>RANK(K130, K$128:$K$142)</f>
        <v>#DIV/0!</v>
      </c>
    </row>
    <row r="131" spans="2:13">
      <c r="B131" s="646"/>
      <c r="C131" s="307">
        <v>4</v>
      </c>
      <c r="D131" s="225"/>
      <c r="E131" s="181"/>
      <c r="F131" s="307"/>
      <c r="G131" s="310"/>
      <c r="H131" s="682"/>
      <c r="I131" s="198" t="e">
        <f t="shared" si="57"/>
        <v>#DIV/0!</v>
      </c>
      <c r="J131" s="198" t="e">
        <f t="shared" si="57"/>
        <v>#DIV/0!</v>
      </c>
      <c r="K131" s="198" t="e">
        <f t="shared" si="58"/>
        <v>#DIV/0!</v>
      </c>
      <c r="L131" s="686"/>
      <c r="M131" s="198" t="e">
        <f>RANK(K131, K$128:$K$142)</f>
        <v>#DIV/0!</v>
      </c>
    </row>
    <row r="132" spans="2:13">
      <c r="B132" s="646"/>
      <c r="C132" s="307">
        <v>5</v>
      </c>
      <c r="D132" s="225"/>
      <c r="E132" s="181"/>
      <c r="F132" s="307"/>
      <c r="G132" s="310"/>
      <c r="H132" s="682"/>
      <c r="I132" s="198" t="e">
        <f t="shared" si="57"/>
        <v>#DIV/0!</v>
      </c>
      <c r="J132" s="198" t="e">
        <f t="shared" si="57"/>
        <v>#DIV/0!</v>
      </c>
      <c r="K132" s="198" t="e">
        <f t="shared" si="58"/>
        <v>#DIV/0!</v>
      </c>
      <c r="L132" s="686"/>
      <c r="M132" s="198" t="e">
        <f>RANK(K132, K$128:$K$142)</f>
        <v>#DIV/0!</v>
      </c>
    </row>
    <row r="133" spans="2:13">
      <c r="B133" s="646"/>
      <c r="C133" s="307">
        <v>6</v>
      </c>
      <c r="D133" s="316"/>
      <c r="E133" s="181"/>
      <c r="F133" s="307"/>
      <c r="G133" s="310"/>
      <c r="H133" s="682"/>
      <c r="I133" s="198" t="e">
        <f t="shared" si="57"/>
        <v>#DIV/0!</v>
      </c>
      <c r="J133" s="198" t="e">
        <f t="shared" si="57"/>
        <v>#DIV/0!</v>
      </c>
      <c r="K133" s="198" t="e">
        <f t="shared" si="58"/>
        <v>#DIV/0!</v>
      </c>
      <c r="L133" s="686"/>
      <c r="M133" s="198" t="e">
        <f>RANK(K133, K$128:$K$142)</f>
        <v>#DIV/0!</v>
      </c>
    </row>
    <row r="134" spans="2:13">
      <c r="B134" s="646"/>
      <c r="C134" s="307">
        <v>7</v>
      </c>
      <c r="D134" s="225"/>
      <c r="E134" s="181"/>
      <c r="F134" s="307"/>
      <c r="G134" s="310"/>
      <c r="H134" s="682"/>
      <c r="I134" s="198"/>
      <c r="J134" s="198"/>
      <c r="K134" s="198"/>
      <c r="L134" s="686"/>
      <c r="M134" s="198" t="e">
        <f>RANK(K134, K$128:$K$142)</f>
        <v>#DIV/0!</v>
      </c>
    </row>
    <row r="135" spans="2:13">
      <c r="B135" s="646"/>
      <c r="C135" s="307">
        <v>8</v>
      </c>
      <c r="D135" s="225"/>
      <c r="E135" s="181"/>
      <c r="F135" s="307"/>
      <c r="G135" s="310"/>
      <c r="H135" s="682"/>
      <c r="I135" s="198"/>
      <c r="J135" s="198"/>
      <c r="K135" s="198"/>
      <c r="L135" s="686"/>
      <c r="M135" s="198" t="e">
        <f>RANK(K135, K$128:$K$142)</f>
        <v>#DIV/0!</v>
      </c>
    </row>
    <row r="136" spans="2:13">
      <c r="B136" s="646"/>
      <c r="C136" s="307">
        <v>9</v>
      </c>
      <c r="D136" s="225"/>
      <c r="E136" s="307"/>
      <c r="F136" s="307"/>
      <c r="G136" s="307"/>
      <c r="H136" s="682"/>
      <c r="I136" s="198"/>
      <c r="J136" s="198"/>
      <c r="K136" s="198"/>
      <c r="L136" s="686"/>
      <c r="M136" s="198" t="e">
        <f>RANK(K136, K$128:$K$142)</f>
        <v>#DIV/0!</v>
      </c>
    </row>
    <row r="137" spans="2:13">
      <c r="B137" s="646"/>
      <c r="C137" s="307">
        <v>10</v>
      </c>
      <c r="D137" s="225"/>
      <c r="E137" s="307"/>
      <c r="F137" s="307"/>
      <c r="G137" s="307"/>
      <c r="H137" s="682"/>
      <c r="I137" s="198"/>
      <c r="J137" s="198"/>
      <c r="K137" s="198"/>
      <c r="L137" s="686"/>
      <c r="M137" s="198" t="e">
        <f>RANK(K137, K$128:$K$142)</f>
        <v>#DIV/0!</v>
      </c>
    </row>
    <row r="138" spans="2:13">
      <c r="B138" s="646"/>
      <c r="C138" s="307">
        <v>11</v>
      </c>
      <c r="D138" s="225"/>
      <c r="E138" s="307"/>
      <c r="F138" s="307"/>
      <c r="G138" s="307"/>
      <c r="H138" s="682"/>
      <c r="I138" s="198"/>
      <c r="J138" s="198"/>
      <c r="K138" s="198"/>
      <c r="L138" s="686"/>
      <c r="M138" s="198" t="e">
        <f>RANK(K138, K$128:$K$142)</f>
        <v>#DIV/0!</v>
      </c>
    </row>
    <row r="139" spans="2:13">
      <c r="B139" s="646"/>
      <c r="C139" s="307">
        <v>12</v>
      </c>
      <c r="D139" s="225"/>
      <c r="E139" s="307"/>
      <c r="F139" s="307"/>
      <c r="G139" s="307"/>
      <c r="H139" s="682"/>
      <c r="I139" s="198"/>
      <c r="J139" s="198"/>
      <c r="K139" s="198"/>
      <c r="L139" s="686"/>
      <c r="M139" s="198" t="e">
        <f>RANK(K139, K$128:$K$142)</f>
        <v>#DIV/0!</v>
      </c>
    </row>
    <row r="140" spans="2:13">
      <c r="B140" s="646"/>
      <c r="C140" s="307">
        <v>13</v>
      </c>
      <c r="D140" s="225"/>
      <c r="E140" s="307"/>
      <c r="F140" s="307"/>
      <c r="G140" s="307"/>
      <c r="H140" s="682"/>
      <c r="I140" s="198"/>
      <c r="J140" s="198"/>
      <c r="K140" s="198"/>
      <c r="L140" s="686"/>
      <c r="M140" s="198" t="e">
        <f>RANK(K140, K$128:$K$142)</f>
        <v>#DIV/0!</v>
      </c>
    </row>
    <row r="141" spans="2:13">
      <c r="B141" s="646"/>
      <c r="C141" s="307">
        <v>14</v>
      </c>
      <c r="D141" s="225"/>
      <c r="E141" s="307"/>
      <c r="F141" s="307"/>
      <c r="G141" s="307"/>
      <c r="H141" s="682"/>
      <c r="I141" s="198"/>
      <c r="J141" s="198"/>
      <c r="K141" s="198"/>
      <c r="L141" s="686"/>
      <c r="M141" s="198" t="e">
        <f>RANK(K141, K$128:$K$142)</f>
        <v>#DIV/0!</v>
      </c>
    </row>
    <row r="142" spans="2:13">
      <c r="B142" s="646"/>
      <c r="C142" s="307">
        <v>15</v>
      </c>
      <c r="D142" s="225"/>
      <c r="E142" s="307"/>
      <c r="F142" s="307"/>
      <c r="G142" s="307"/>
      <c r="H142" s="683"/>
      <c r="I142" s="198"/>
      <c r="J142" s="198"/>
      <c r="K142" s="198"/>
      <c r="L142" s="687"/>
      <c r="M142" s="198" t="e">
        <f>RANK(K142, K$128:$K$142)</f>
        <v>#DIV/0!</v>
      </c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88" t="s">
        <v>185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119"/>
    </row>
    <row r="2" spans="1:13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</row>
    <row r="3" spans="1:13" ht="15.75" customHeight="1">
      <c r="A3" s="718" t="s">
        <v>186</v>
      </c>
      <c r="B3" s="719"/>
      <c r="C3" s="719"/>
      <c r="D3" s="719"/>
      <c r="E3" s="719"/>
      <c r="F3" s="719"/>
      <c r="G3" s="719"/>
      <c r="H3" s="719"/>
      <c r="I3" s="719"/>
      <c r="J3" s="719"/>
      <c r="K3" s="719"/>
      <c r="L3" s="719"/>
      <c r="M3" s="151"/>
    </row>
    <row r="4" spans="1:13" s="120" customFormat="1" ht="15.75" customHeight="1">
      <c r="A4" s="719"/>
      <c r="B4" s="719"/>
      <c r="C4" s="719"/>
      <c r="D4" s="719"/>
      <c r="E4" s="719"/>
      <c r="F4" s="719"/>
      <c r="G4" s="719"/>
      <c r="H4" s="719"/>
      <c r="I4" s="719"/>
      <c r="J4" s="719"/>
      <c r="K4" s="719"/>
      <c r="L4" s="719"/>
      <c r="M4" s="130"/>
    </row>
    <row r="5" spans="1:13" s="153" customFormat="1" ht="16.350000000000001" customHeight="1">
      <c r="A5" s="706" t="s">
        <v>154</v>
      </c>
      <c r="B5" s="165">
        <v>1</v>
      </c>
      <c r="C5" s="16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06"/>
      <c r="B6" s="166" t="s">
        <v>187</v>
      </c>
      <c r="C6" s="16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07" t="s">
        <v>168</v>
      </c>
      <c r="B7" s="707"/>
      <c r="C7" s="350" t="s">
        <v>388</v>
      </c>
      <c r="D7" s="707" t="s">
        <v>12</v>
      </c>
      <c r="E7" s="710"/>
      <c r="F7" s="710"/>
      <c r="G7" s="350" t="s">
        <v>46</v>
      </c>
      <c r="H7" s="350" t="s">
        <v>510</v>
      </c>
      <c r="I7" s="350" t="s">
        <v>385</v>
      </c>
      <c r="J7" s="221" t="s">
        <v>386</v>
      </c>
      <c r="K7" s="707" t="s">
        <v>387</v>
      </c>
      <c r="L7" s="710"/>
      <c r="M7" s="152"/>
    </row>
    <row r="8" spans="1:13" ht="15.75" customHeight="1">
      <c r="A8" s="706">
        <v>1</v>
      </c>
      <c r="B8" s="707" t="s">
        <v>150</v>
      </c>
      <c r="C8" s="558">
        <v>1</v>
      </c>
      <c r="D8" s="366" t="s">
        <v>336</v>
      </c>
      <c r="E8" s="347"/>
      <c r="F8" s="348"/>
      <c r="G8" s="361">
        <v>3</v>
      </c>
      <c r="H8" s="361">
        <v>3207.0315988548164</v>
      </c>
      <c r="I8" s="361">
        <v>1069.0105329516055</v>
      </c>
      <c r="J8" s="380" t="s">
        <v>776</v>
      </c>
      <c r="K8" s="712" t="s">
        <v>777</v>
      </c>
      <c r="L8" s="713"/>
      <c r="M8" s="130"/>
    </row>
    <row r="9" spans="1:13" ht="15.75" customHeight="1">
      <c r="A9" s="706"/>
      <c r="B9" s="707"/>
      <c r="C9" s="558">
        <v>2</v>
      </c>
      <c r="D9" s="360" t="s">
        <v>341</v>
      </c>
      <c r="E9" s="347"/>
      <c r="F9" s="348"/>
      <c r="G9" s="361">
        <v>3</v>
      </c>
      <c r="H9" s="361">
        <v>3204.5862246793909</v>
      </c>
      <c r="I9" s="361">
        <v>1068.1954082264635</v>
      </c>
      <c r="J9" s="240" t="s">
        <v>778</v>
      </c>
      <c r="K9" s="714"/>
      <c r="L9" s="715"/>
      <c r="M9" s="130"/>
    </row>
    <row r="10" spans="1:13" ht="15.75" customHeight="1">
      <c r="A10" s="706"/>
      <c r="B10" s="707"/>
      <c r="C10" s="558">
        <v>3</v>
      </c>
      <c r="D10" s="366" t="s">
        <v>338</v>
      </c>
      <c r="E10" s="347"/>
      <c r="F10" s="348"/>
      <c r="G10" s="361">
        <v>3</v>
      </c>
      <c r="H10" s="361">
        <v>3204.3039671241795</v>
      </c>
      <c r="I10" s="361">
        <v>1068.1013223747266</v>
      </c>
      <c r="J10" s="241" t="s">
        <v>779</v>
      </c>
      <c r="K10" s="714"/>
      <c r="L10" s="715"/>
      <c r="M10" s="130"/>
    </row>
    <row r="11" spans="1:13" ht="15.75" customHeight="1">
      <c r="A11" s="706"/>
      <c r="B11" s="707"/>
      <c r="C11" s="558">
        <v>4</v>
      </c>
      <c r="D11" s="483" t="s">
        <v>340</v>
      </c>
      <c r="E11" s="347"/>
      <c r="F11" s="348"/>
      <c r="G11" s="361">
        <v>3</v>
      </c>
      <c r="H11" s="361">
        <v>3181.4551733980293</v>
      </c>
      <c r="I11" s="361">
        <v>1060.4850577993432</v>
      </c>
      <c r="J11" s="241" t="s">
        <v>779</v>
      </c>
      <c r="K11" s="714"/>
      <c r="L11" s="715"/>
      <c r="M11" s="130"/>
    </row>
    <row r="12" spans="1:13" ht="15.75" customHeight="1">
      <c r="A12" s="706"/>
      <c r="B12" s="707"/>
      <c r="C12" s="558">
        <v>5</v>
      </c>
      <c r="D12" s="366" t="s">
        <v>618</v>
      </c>
      <c r="E12" s="347"/>
      <c r="F12" s="348"/>
      <c r="G12" s="361">
        <v>3</v>
      </c>
      <c r="H12" s="361">
        <v>3174.7393086789384</v>
      </c>
      <c r="I12" s="361">
        <v>1058.2464362263129</v>
      </c>
      <c r="J12" s="240" t="s">
        <v>778</v>
      </c>
      <c r="K12" s="716"/>
      <c r="L12" s="717"/>
      <c r="M12" s="130"/>
    </row>
    <row r="13" spans="1:13" ht="15.75" customHeight="1">
      <c r="A13" s="706"/>
      <c r="B13" s="707"/>
      <c r="C13" s="164" t="s">
        <v>780</v>
      </c>
      <c r="D13" s="360" t="s">
        <v>604</v>
      </c>
      <c r="E13" s="347"/>
      <c r="F13" s="348"/>
      <c r="G13" s="361">
        <v>12</v>
      </c>
      <c r="H13" s="361">
        <v>1432.7979926230669</v>
      </c>
      <c r="I13" s="361">
        <v>119.39983271858894</v>
      </c>
      <c r="J13" s="380" t="s">
        <v>776</v>
      </c>
      <c r="K13" s="709"/>
      <c r="L13" s="710"/>
      <c r="M13" s="130"/>
    </row>
    <row r="14" spans="1:13" ht="15.75" customHeight="1">
      <c r="A14" s="706"/>
      <c r="B14" s="707"/>
      <c r="C14" s="164" t="s">
        <v>781</v>
      </c>
      <c r="D14" s="360" t="s">
        <v>648</v>
      </c>
      <c r="E14" s="347"/>
      <c r="F14" s="348"/>
      <c r="G14" s="361">
        <v>5</v>
      </c>
      <c r="H14" s="361">
        <v>1823.7924540445565</v>
      </c>
      <c r="I14" s="361">
        <v>364.75849080891129</v>
      </c>
      <c r="J14" s="239" t="s">
        <v>776</v>
      </c>
      <c r="K14" s="711"/>
      <c r="L14" s="711"/>
      <c r="M14" s="130"/>
    </row>
    <row r="15" spans="1:13" ht="15.75" customHeight="1">
      <c r="A15" s="706"/>
      <c r="B15" s="707"/>
      <c r="C15" s="164" t="s">
        <v>782</v>
      </c>
      <c r="D15" s="481" t="s">
        <v>647</v>
      </c>
      <c r="E15" s="347"/>
      <c r="F15" s="348"/>
      <c r="G15" s="361">
        <v>5</v>
      </c>
      <c r="H15" s="361">
        <v>1869.1703154946233</v>
      </c>
      <c r="I15" s="361">
        <v>373.83406309892462</v>
      </c>
      <c r="J15" s="239" t="s">
        <v>776</v>
      </c>
      <c r="K15" s="711"/>
      <c r="L15" s="711"/>
      <c r="M15" s="130"/>
    </row>
    <row r="16" spans="1:13" ht="15.75" customHeight="1">
      <c r="A16" s="706"/>
      <c r="B16" s="707"/>
      <c r="C16" s="164" t="s">
        <v>783</v>
      </c>
      <c r="D16" s="360" t="s">
        <v>644</v>
      </c>
      <c r="E16" s="347"/>
      <c r="F16" s="348"/>
      <c r="G16" s="361">
        <v>4</v>
      </c>
      <c r="H16" s="361">
        <v>2199.5816326530635</v>
      </c>
      <c r="I16" s="361">
        <v>549.89540816326587</v>
      </c>
      <c r="J16" s="239" t="s">
        <v>776</v>
      </c>
      <c r="K16" s="711"/>
      <c r="L16" s="711"/>
      <c r="M16" s="151"/>
    </row>
    <row r="17" spans="1:13" ht="15.75" customHeight="1">
      <c r="A17" s="706"/>
      <c r="B17" s="707"/>
      <c r="C17" s="164" t="s">
        <v>784</v>
      </c>
      <c r="D17" s="483" t="s">
        <v>575</v>
      </c>
      <c r="E17" s="347"/>
      <c r="F17" s="348"/>
      <c r="G17" s="361">
        <v>4</v>
      </c>
      <c r="H17" s="361">
        <v>2689.8874822656367</v>
      </c>
      <c r="I17" s="361">
        <v>672.47187056640917</v>
      </c>
      <c r="J17" s="239" t="s">
        <v>776</v>
      </c>
      <c r="K17" s="709"/>
      <c r="L17" s="710"/>
      <c r="M17" s="151"/>
    </row>
    <row r="18" spans="1:13" s="161" customFormat="1" ht="15.75" customHeight="1">
      <c r="A18" s="704" t="s">
        <v>785</v>
      </c>
      <c r="B18" s="704"/>
      <c r="C18" s="559" t="s">
        <v>786</v>
      </c>
      <c r="D18" s="704" t="s">
        <v>12</v>
      </c>
      <c r="E18" s="705"/>
      <c r="F18" s="705"/>
      <c r="G18" s="559" t="s">
        <v>787</v>
      </c>
      <c r="H18" s="559" t="s">
        <v>788</v>
      </c>
      <c r="I18" s="559" t="s">
        <v>789</v>
      </c>
      <c r="J18" s="221" t="s">
        <v>790</v>
      </c>
      <c r="K18" s="704" t="s">
        <v>791</v>
      </c>
      <c r="L18" s="705"/>
      <c r="M18" s="154"/>
    </row>
    <row r="19" spans="1:13" ht="15.75" customHeight="1">
      <c r="A19" s="706">
        <v>2</v>
      </c>
      <c r="B19" s="707" t="s">
        <v>151</v>
      </c>
      <c r="C19" s="558">
        <v>1</v>
      </c>
      <c r="D19" s="346" t="s">
        <v>576</v>
      </c>
      <c r="E19" s="347"/>
      <c r="F19" s="348"/>
      <c r="G19" s="361">
        <v>10</v>
      </c>
      <c r="H19" s="361">
        <v>1492.7836734693872</v>
      </c>
      <c r="I19" s="361">
        <v>149.27836734693872</v>
      </c>
      <c r="J19" s="240" t="s">
        <v>778</v>
      </c>
      <c r="K19" s="708" t="s">
        <v>792</v>
      </c>
      <c r="L19" s="703"/>
      <c r="M19" s="151"/>
    </row>
    <row r="20" spans="1:13" ht="15.75" customHeight="1">
      <c r="A20" s="706"/>
      <c r="B20" s="707"/>
      <c r="C20" s="558">
        <v>2</v>
      </c>
      <c r="D20" s="346" t="s">
        <v>599</v>
      </c>
      <c r="E20" s="347"/>
      <c r="F20" s="348"/>
      <c r="G20" s="361">
        <v>12.142857142857142</v>
      </c>
      <c r="H20" s="361">
        <v>1807.7507635221918</v>
      </c>
      <c r="I20" s="361">
        <v>149.01402882831454</v>
      </c>
      <c r="J20" s="239" t="s">
        <v>776</v>
      </c>
      <c r="K20" s="708"/>
      <c r="L20" s="703"/>
      <c r="M20" s="151"/>
    </row>
    <row r="21" spans="1:13" ht="15.75" customHeight="1">
      <c r="A21" s="706"/>
      <c r="B21" s="707"/>
      <c r="C21" s="558">
        <v>3</v>
      </c>
      <c r="D21" s="362" t="s">
        <v>600</v>
      </c>
      <c r="E21" s="347"/>
      <c r="F21" s="348"/>
      <c r="G21" s="361">
        <v>12.142857142857142</v>
      </c>
      <c r="H21" s="361">
        <v>1806.641758241758</v>
      </c>
      <c r="I21" s="361">
        <v>148.93555931248235</v>
      </c>
      <c r="J21" s="241" t="s">
        <v>779</v>
      </c>
      <c r="K21" s="708" t="s">
        <v>792</v>
      </c>
      <c r="L21" s="703"/>
      <c r="M21" s="151"/>
    </row>
    <row r="22" spans="1:13" ht="15.75" customHeight="1">
      <c r="A22" s="706"/>
      <c r="B22" s="707"/>
      <c r="C22" s="558">
        <v>4</v>
      </c>
      <c r="D22" s="362" t="s">
        <v>773</v>
      </c>
      <c r="E22" s="347"/>
      <c r="F22" s="348"/>
      <c r="G22" s="361">
        <v>12.142857142857142</v>
      </c>
      <c r="H22" s="361">
        <v>1770.2358140311705</v>
      </c>
      <c r="I22" s="361">
        <v>145.90232731664622</v>
      </c>
      <c r="J22" s="239" t="s">
        <v>776</v>
      </c>
      <c r="K22" s="702" t="s">
        <v>793</v>
      </c>
      <c r="L22" s="703"/>
      <c r="M22" s="151"/>
    </row>
    <row r="23" spans="1:13" ht="15.75" customHeight="1">
      <c r="A23" s="706"/>
      <c r="B23" s="707"/>
      <c r="C23" s="558">
        <v>5</v>
      </c>
      <c r="D23" s="362"/>
      <c r="E23" s="347"/>
      <c r="F23" s="348"/>
      <c r="G23" s="361"/>
      <c r="H23" s="361"/>
      <c r="I23" s="361"/>
      <c r="J23" s="239"/>
      <c r="K23" s="702"/>
      <c r="L23" s="703"/>
      <c r="M23" s="151"/>
    </row>
    <row r="24" spans="1:13" ht="15.75" customHeight="1">
      <c r="A24" s="706"/>
      <c r="B24" s="707"/>
      <c r="C24" s="164" t="s">
        <v>780</v>
      </c>
      <c r="D24" s="346"/>
      <c r="E24" s="347"/>
      <c r="F24" s="348"/>
      <c r="G24" s="361"/>
      <c r="H24" s="361"/>
      <c r="I24" s="361"/>
      <c r="J24" s="239"/>
      <c r="K24" s="708"/>
      <c r="L24" s="703"/>
      <c r="M24" s="151"/>
    </row>
    <row r="25" spans="1:13" ht="15.75" customHeight="1">
      <c r="A25" s="706"/>
      <c r="B25" s="707"/>
      <c r="C25" s="164" t="s">
        <v>781</v>
      </c>
      <c r="D25" s="346"/>
      <c r="E25" s="347"/>
      <c r="F25" s="348"/>
      <c r="G25" s="361"/>
      <c r="H25" s="361"/>
      <c r="I25" s="361"/>
      <c r="J25" s="239"/>
      <c r="K25" s="702"/>
      <c r="L25" s="703"/>
      <c r="M25" s="151"/>
    </row>
    <row r="26" spans="1:13" ht="15.75" customHeight="1">
      <c r="A26" s="706"/>
      <c r="B26" s="707"/>
      <c r="C26" s="164" t="s">
        <v>782</v>
      </c>
      <c r="E26" s="347"/>
      <c r="F26" s="348"/>
      <c r="G26" s="361"/>
      <c r="H26" s="361"/>
      <c r="I26" s="361"/>
      <c r="J26" s="560"/>
      <c r="K26" s="702"/>
      <c r="L26" s="703"/>
      <c r="M26" s="151"/>
    </row>
    <row r="27" spans="1:13" ht="15.75" customHeight="1">
      <c r="A27" s="706"/>
      <c r="B27" s="707"/>
      <c r="C27" s="164" t="s">
        <v>783</v>
      </c>
      <c r="D27" s="346"/>
      <c r="E27" s="347"/>
      <c r="F27" s="348"/>
      <c r="G27" s="361"/>
      <c r="H27" s="361"/>
      <c r="I27" s="361"/>
      <c r="J27" s="560"/>
      <c r="K27" s="702"/>
      <c r="L27" s="703"/>
      <c r="M27" s="151"/>
    </row>
    <row r="28" spans="1:13" ht="15.75" customHeight="1">
      <c r="A28" s="706"/>
      <c r="B28" s="707"/>
      <c r="C28" s="164" t="s">
        <v>784</v>
      </c>
      <c r="D28" s="346"/>
      <c r="E28" s="347"/>
      <c r="F28" s="348"/>
      <c r="G28" s="560"/>
      <c r="H28" s="560"/>
      <c r="I28" s="560"/>
      <c r="J28" s="560"/>
      <c r="K28" s="702"/>
      <c r="L28" s="703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9">
    <mergeCell ref="A1:L2"/>
    <mergeCell ref="A5:A6"/>
    <mergeCell ref="A7:B7"/>
    <mergeCell ref="D7:F7"/>
    <mergeCell ref="K7:L7"/>
    <mergeCell ref="A3:L4"/>
    <mergeCell ref="K13:L13"/>
    <mergeCell ref="A8:A17"/>
    <mergeCell ref="B8:B17"/>
    <mergeCell ref="K14:L14"/>
    <mergeCell ref="K17:L17"/>
    <mergeCell ref="K8:L12"/>
    <mergeCell ref="K15:L15"/>
    <mergeCell ref="K16:L16"/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0"/>
    <mergeCell ref="K21:L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88" t="s">
        <v>185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119"/>
    </row>
    <row r="2" spans="1:13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</row>
    <row r="3" spans="1:13" ht="15.75" customHeight="1">
      <c r="A3" s="718" t="s">
        <v>186</v>
      </c>
      <c r="B3" s="719"/>
      <c r="C3" s="719"/>
      <c r="D3" s="719"/>
      <c r="E3" s="719"/>
      <c r="F3" s="719"/>
      <c r="G3" s="719"/>
      <c r="H3" s="719"/>
      <c r="I3" s="719"/>
      <c r="J3" s="719"/>
      <c r="K3" s="719"/>
      <c r="L3" s="719"/>
      <c r="M3" s="151"/>
    </row>
    <row r="4" spans="1:13" s="120" customFormat="1" ht="15.75" customHeight="1">
      <c r="A4" s="719"/>
      <c r="B4" s="719"/>
      <c r="C4" s="719"/>
      <c r="D4" s="719"/>
      <c r="E4" s="719"/>
      <c r="F4" s="719"/>
      <c r="G4" s="719"/>
      <c r="H4" s="719"/>
      <c r="I4" s="719"/>
      <c r="J4" s="719"/>
      <c r="K4" s="719"/>
      <c r="L4" s="719"/>
      <c r="M4" s="130"/>
    </row>
    <row r="5" spans="1:13" s="153" customFormat="1" ht="16.350000000000001" customHeight="1">
      <c r="A5" s="706" t="s">
        <v>154</v>
      </c>
      <c r="B5" s="155">
        <v>1</v>
      </c>
      <c r="C5" s="155">
        <v>2</v>
      </c>
      <c r="D5" s="165">
        <v>3</v>
      </c>
      <c r="E5" s="16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06"/>
      <c r="B6" s="156" t="s">
        <v>187</v>
      </c>
      <c r="C6" s="156" t="s">
        <v>151</v>
      </c>
      <c r="D6" s="166" t="s">
        <v>188</v>
      </c>
      <c r="E6" s="16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07" t="s">
        <v>168</v>
      </c>
      <c r="B7" s="707"/>
      <c r="C7" s="350" t="s">
        <v>388</v>
      </c>
      <c r="D7" s="707" t="s">
        <v>12</v>
      </c>
      <c r="E7" s="710"/>
      <c r="F7" s="710"/>
      <c r="G7" s="365" t="s">
        <v>557</v>
      </c>
      <c r="H7" s="365" t="s">
        <v>558</v>
      </c>
      <c r="I7" s="365" t="s">
        <v>559</v>
      </c>
      <c r="J7" s="221" t="s">
        <v>560</v>
      </c>
      <c r="K7" s="707" t="s">
        <v>561</v>
      </c>
      <c r="L7" s="710"/>
      <c r="M7" s="152"/>
    </row>
    <row r="8" spans="1:13" ht="15.75" customHeight="1">
      <c r="A8" s="706">
        <v>3</v>
      </c>
      <c r="B8" s="707" t="s">
        <v>152</v>
      </c>
      <c r="C8" s="558">
        <v>1</v>
      </c>
      <c r="D8" s="346" t="s">
        <v>431</v>
      </c>
      <c r="E8" s="347"/>
      <c r="F8" s="348"/>
      <c r="G8" s="361">
        <v>5</v>
      </c>
      <c r="H8" s="361">
        <v>2092.2370266838348</v>
      </c>
      <c r="I8" s="361">
        <v>418.44740533676696</v>
      </c>
      <c r="J8" s="240" t="s">
        <v>778</v>
      </c>
      <c r="K8" s="729" t="s">
        <v>794</v>
      </c>
      <c r="L8" s="730"/>
      <c r="M8" s="130"/>
    </row>
    <row r="9" spans="1:13" ht="15.75" customHeight="1">
      <c r="A9" s="706"/>
      <c r="B9" s="707"/>
      <c r="C9" s="558">
        <v>2</v>
      </c>
      <c r="D9" s="346" t="s">
        <v>360</v>
      </c>
      <c r="E9" s="347"/>
      <c r="F9" s="348"/>
      <c r="G9" s="361">
        <v>5</v>
      </c>
      <c r="H9" s="361">
        <v>2083.8354034922104</v>
      </c>
      <c r="I9" s="361">
        <v>416.76708069844204</v>
      </c>
      <c r="J9" s="241" t="s">
        <v>779</v>
      </c>
      <c r="K9" s="731"/>
      <c r="L9" s="732"/>
      <c r="M9" s="130"/>
    </row>
    <row r="10" spans="1:13" ht="15.75" customHeight="1">
      <c r="A10" s="706"/>
      <c r="B10" s="707"/>
      <c r="C10" s="558">
        <v>3</v>
      </c>
      <c r="D10" s="346" t="s">
        <v>725</v>
      </c>
      <c r="E10" s="347"/>
      <c r="F10" s="348"/>
      <c r="G10" s="361">
        <v>7</v>
      </c>
      <c r="H10" s="361">
        <v>2084.9321671010553</v>
      </c>
      <c r="I10" s="361">
        <v>297.84745244300791</v>
      </c>
      <c r="J10" s="239" t="s">
        <v>776</v>
      </c>
      <c r="K10" s="727"/>
      <c r="L10" s="728"/>
      <c r="M10" s="130"/>
    </row>
    <row r="11" spans="1:13" ht="15.75" customHeight="1">
      <c r="A11" s="706"/>
      <c r="B11" s="707"/>
      <c r="C11" s="558">
        <v>4</v>
      </c>
      <c r="D11" s="346" t="s">
        <v>363</v>
      </c>
      <c r="E11" s="347"/>
      <c r="F11" s="348"/>
      <c r="G11" s="361">
        <v>10</v>
      </c>
      <c r="H11" s="361">
        <v>2338.9039680830115</v>
      </c>
      <c r="I11" s="361">
        <v>233.89039680830115</v>
      </c>
      <c r="J11" s="239" t="s">
        <v>776</v>
      </c>
      <c r="K11" s="720"/>
      <c r="L11" s="705"/>
      <c r="M11" s="130"/>
    </row>
    <row r="12" spans="1:13" ht="15.75" customHeight="1">
      <c r="A12" s="706"/>
      <c r="B12" s="707"/>
      <c r="C12" s="558">
        <v>5</v>
      </c>
      <c r="D12" s="346" t="s">
        <v>707</v>
      </c>
      <c r="E12" s="347"/>
      <c r="F12" s="348"/>
      <c r="G12" s="361">
        <v>11</v>
      </c>
      <c r="H12" s="361">
        <v>2116.9217580456593</v>
      </c>
      <c r="I12" s="361">
        <v>192.44743254960537</v>
      </c>
      <c r="J12" s="239" t="s">
        <v>776</v>
      </c>
      <c r="K12" s="720"/>
      <c r="L12" s="705"/>
      <c r="M12" s="130"/>
    </row>
    <row r="13" spans="1:13" ht="15.75" customHeight="1">
      <c r="A13" s="706"/>
      <c r="B13" s="707"/>
      <c r="C13" s="164" t="s">
        <v>780</v>
      </c>
      <c r="D13" s="346" t="s">
        <v>359</v>
      </c>
      <c r="E13" s="347"/>
      <c r="F13" s="348"/>
      <c r="G13" s="361">
        <v>18.142857142857142</v>
      </c>
      <c r="H13" s="361">
        <v>1196.8935863460822</v>
      </c>
      <c r="I13" s="361">
        <v>65.979802416052181</v>
      </c>
      <c r="J13" s="239" t="s">
        <v>776</v>
      </c>
      <c r="K13" s="720"/>
      <c r="L13" s="705"/>
      <c r="M13" s="130"/>
    </row>
    <row r="14" spans="1:13" ht="15.75" customHeight="1">
      <c r="A14" s="706"/>
      <c r="B14" s="707"/>
      <c r="C14" s="164" t="s">
        <v>781</v>
      </c>
      <c r="D14" s="346" t="s">
        <v>362</v>
      </c>
      <c r="E14" s="347"/>
      <c r="F14" s="348"/>
      <c r="G14" s="361">
        <v>13</v>
      </c>
      <c r="H14" s="361">
        <v>2115.9170773394781</v>
      </c>
      <c r="I14" s="361">
        <v>162.76285210303675</v>
      </c>
      <c r="J14" s="241" t="s">
        <v>779</v>
      </c>
      <c r="K14" s="721" t="s">
        <v>792</v>
      </c>
      <c r="L14" s="722"/>
      <c r="M14" s="130"/>
    </row>
    <row r="15" spans="1:13" ht="15.75" customHeight="1">
      <c r="A15" s="706"/>
      <c r="B15" s="707"/>
      <c r="C15" s="164" t="s">
        <v>782</v>
      </c>
      <c r="D15" s="346" t="s">
        <v>577</v>
      </c>
      <c r="E15" s="347"/>
      <c r="F15" s="348"/>
      <c r="G15" s="361">
        <v>13</v>
      </c>
      <c r="H15" s="361">
        <v>2125.9339172117866</v>
      </c>
      <c r="I15" s="361">
        <v>163.53337824706051</v>
      </c>
      <c r="J15" s="240" t="s">
        <v>778</v>
      </c>
      <c r="K15" s="723"/>
      <c r="L15" s="724"/>
      <c r="M15" s="130"/>
    </row>
    <row r="16" spans="1:13" ht="15.75" customHeight="1">
      <c r="A16" s="706"/>
      <c r="B16" s="707"/>
      <c r="C16" s="164" t="s">
        <v>783</v>
      </c>
      <c r="D16" s="346" t="s">
        <v>361</v>
      </c>
      <c r="E16" s="347"/>
      <c r="F16" s="348"/>
      <c r="G16" s="361">
        <v>12</v>
      </c>
      <c r="H16" s="361">
        <v>2014.2056551759799</v>
      </c>
      <c r="I16" s="361">
        <v>167.85047126466498</v>
      </c>
      <c r="J16" s="239" t="s">
        <v>776</v>
      </c>
      <c r="K16" s="720"/>
      <c r="L16" s="705"/>
      <c r="M16" s="151"/>
    </row>
    <row r="17" spans="1:13" ht="15.75" customHeight="1">
      <c r="A17" s="706"/>
      <c r="B17" s="707"/>
      <c r="C17" s="164" t="s">
        <v>784</v>
      </c>
      <c r="D17" s="346"/>
      <c r="E17" s="347"/>
      <c r="F17" s="348"/>
      <c r="G17" s="361"/>
      <c r="H17" s="361"/>
      <c r="I17" s="361"/>
      <c r="J17" s="239"/>
      <c r="K17" s="720"/>
      <c r="L17" s="705"/>
      <c r="M17" s="151"/>
    </row>
    <row r="18" spans="1:13" s="161" customFormat="1" ht="15.75" customHeight="1">
      <c r="A18" s="704" t="s">
        <v>785</v>
      </c>
      <c r="B18" s="704"/>
      <c r="C18" s="559" t="s">
        <v>786</v>
      </c>
      <c r="D18" s="704" t="s">
        <v>12</v>
      </c>
      <c r="E18" s="705"/>
      <c r="F18" s="705"/>
      <c r="G18" s="559" t="s">
        <v>787</v>
      </c>
      <c r="H18" s="559" t="s">
        <v>788</v>
      </c>
      <c r="I18" s="559" t="s">
        <v>789</v>
      </c>
      <c r="J18" s="221" t="s">
        <v>790</v>
      </c>
      <c r="K18" s="704" t="s">
        <v>791</v>
      </c>
      <c r="L18" s="705"/>
      <c r="M18" s="154"/>
    </row>
    <row r="19" spans="1:13" ht="15.75" customHeight="1">
      <c r="A19" s="706">
        <v>4</v>
      </c>
      <c r="B19" s="707" t="s">
        <v>153</v>
      </c>
      <c r="C19" s="558">
        <v>1</v>
      </c>
      <c r="D19" s="362" t="s">
        <v>722</v>
      </c>
      <c r="E19" s="347"/>
      <c r="F19" s="348"/>
      <c r="G19" s="361">
        <v>10</v>
      </c>
      <c r="H19" s="361">
        <v>1958.3262384674149</v>
      </c>
      <c r="I19" s="361">
        <v>195.83262384674148</v>
      </c>
      <c r="J19" s="239" t="s">
        <v>776</v>
      </c>
      <c r="K19" s="726"/>
      <c r="L19" s="703"/>
      <c r="M19" s="151"/>
    </row>
    <row r="20" spans="1:13" ht="15.75" customHeight="1">
      <c r="A20" s="706"/>
      <c r="B20" s="707"/>
      <c r="C20" s="558">
        <v>2</v>
      </c>
      <c r="D20" s="346" t="s">
        <v>708</v>
      </c>
      <c r="E20" s="347"/>
      <c r="F20" s="348"/>
      <c r="G20" s="361">
        <v>15</v>
      </c>
      <c r="H20" s="361">
        <v>1949.8886827458259</v>
      </c>
      <c r="I20" s="361">
        <v>129.99257884972172</v>
      </c>
      <c r="J20" s="239" t="s">
        <v>776</v>
      </c>
      <c r="K20" s="702"/>
      <c r="L20" s="703"/>
      <c r="M20" s="151"/>
    </row>
    <row r="21" spans="1:13" ht="15.75" customHeight="1">
      <c r="A21" s="706"/>
      <c r="B21" s="707"/>
      <c r="C21" s="558">
        <v>3</v>
      </c>
      <c r="D21" s="362"/>
      <c r="E21" s="347"/>
      <c r="F21" s="348"/>
      <c r="G21" s="361"/>
      <c r="H21" s="361"/>
      <c r="I21" s="361"/>
      <c r="J21" s="241"/>
      <c r="K21" s="702"/>
      <c r="L21" s="703"/>
      <c r="M21" s="151"/>
    </row>
    <row r="22" spans="1:13" ht="15.75" customHeight="1">
      <c r="A22" s="706"/>
      <c r="B22" s="707"/>
      <c r="C22" s="558">
        <v>4</v>
      </c>
      <c r="D22" s="362"/>
      <c r="E22" s="347"/>
      <c r="F22" s="348"/>
      <c r="G22" s="560"/>
      <c r="H22" s="361"/>
      <c r="I22" s="361"/>
      <c r="J22" s="239"/>
      <c r="K22" s="702"/>
      <c r="L22" s="703"/>
      <c r="M22" s="151"/>
    </row>
    <row r="23" spans="1:13" ht="15.75" customHeight="1">
      <c r="A23" s="706"/>
      <c r="B23" s="707"/>
      <c r="C23" s="558">
        <v>5</v>
      </c>
      <c r="D23" s="346"/>
      <c r="E23" s="347"/>
      <c r="F23" s="348"/>
      <c r="G23" s="560"/>
      <c r="H23" s="560"/>
      <c r="I23" s="560"/>
      <c r="J23" s="560"/>
      <c r="K23" s="702"/>
      <c r="L23" s="703"/>
      <c r="M23" s="151"/>
    </row>
    <row r="24" spans="1:13" ht="15.75" customHeight="1">
      <c r="A24" s="706"/>
      <c r="B24" s="707"/>
      <c r="C24" s="164" t="s">
        <v>780</v>
      </c>
      <c r="D24" s="362"/>
      <c r="E24" s="347"/>
      <c r="F24" s="348"/>
      <c r="G24" s="361"/>
      <c r="H24" s="361"/>
      <c r="I24" s="361"/>
      <c r="J24" s="239"/>
      <c r="K24" s="725"/>
      <c r="L24" s="703"/>
      <c r="M24" s="151"/>
    </row>
    <row r="25" spans="1:13" ht="15.75" customHeight="1">
      <c r="A25" s="706"/>
      <c r="B25" s="707"/>
      <c r="C25" s="164" t="s">
        <v>781</v>
      </c>
      <c r="D25" s="346"/>
      <c r="E25" s="347"/>
      <c r="F25" s="348"/>
      <c r="G25" s="560"/>
      <c r="H25" s="560"/>
      <c r="I25" s="560"/>
      <c r="J25" s="560"/>
      <c r="K25" s="702"/>
      <c r="L25" s="703"/>
      <c r="M25" s="151"/>
    </row>
    <row r="26" spans="1:13" ht="15.75" customHeight="1">
      <c r="A26" s="706"/>
      <c r="B26" s="707"/>
      <c r="C26" s="164" t="s">
        <v>782</v>
      </c>
      <c r="D26" s="346"/>
      <c r="E26" s="347"/>
      <c r="F26" s="348"/>
      <c r="G26" s="560"/>
      <c r="H26" s="560"/>
      <c r="I26" s="560"/>
      <c r="J26" s="560"/>
      <c r="K26" s="702"/>
      <c r="L26" s="703"/>
      <c r="M26" s="151"/>
    </row>
    <row r="27" spans="1:13" ht="15.75" customHeight="1">
      <c r="A27" s="706"/>
      <c r="B27" s="707"/>
      <c r="C27" s="164" t="s">
        <v>783</v>
      </c>
      <c r="D27" s="346"/>
      <c r="E27" s="347"/>
      <c r="F27" s="348"/>
      <c r="G27" s="560"/>
      <c r="H27" s="560"/>
      <c r="I27" s="560"/>
      <c r="J27" s="560"/>
      <c r="K27" s="702"/>
      <c r="L27" s="703"/>
      <c r="M27" s="151"/>
    </row>
    <row r="28" spans="1:13" ht="15.75" customHeight="1">
      <c r="A28" s="706"/>
      <c r="B28" s="707"/>
      <c r="C28" s="164" t="s">
        <v>784</v>
      </c>
      <c r="D28" s="346"/>
      <c r="E28" s="347"/>
      <c r="F28" s="348"/>
      <c r="G28" s="560"/>
      <c r="H28" s="560"/>
      <c r="I28" s="560"/>
      <c r="J28" s="560"/>
      <c r="K28" s="702"/>
      <c r="L28" s="703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1">
    <mergeCell ref="A1:L2"/>
    <mergeCell ref="A3:L4"/>
    <mergeCell ref="K10:L10"/>
    <mergeCell ref="A5:A6"/>
    <mergeCell ref="A7:B7"/>
    <mergeCell ref="D7:F7"/>
    <mergeCell ref="K7:L7"/>
    <mergeCell ref="A8:A17"/>
    <mergeCell ref="B8:B17"/>
    <mergeCell ref="K16:L16"/>
    <mergeCell ref="K13:L13"/>
    <mergeCell ref="K8:L9"/>
    <mergeCell ref="A19:A28"/>
    <mergeCell ref="K25:L25"/>
    <mergeCell ref="K26:L26"/>
    <mergeCell ref="K28:L28"/>
    <mergeCell ref="K22:L22"/>
    <mergeCell ref="K23:L23"/>
    <mergeCell ref="K27:L27"/>
    <mergeCell ref="K24:L24"/>
    <mergeCell ref="K19:L19"/>
    <mergeCell ref="B19:B28"/>
    <mergeCell ref="K20:L20"/>
    <mergeCell ref="K21:L21"/>
    <mergeCell ref="A18:B18"/>
    <mergeCell ref="K17:L17"/>
    <mergeCell ref="D18:F18"/>
    <mergeCell ref="K11:L11"/>
    <mergeCell ref="K12:L12"/>
    <mergeCell ref="K18:L18"/>
    <mergeCell ref="K14:L1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8" ht="15.75" customHeight="1">
      <c r="A1" s="588" t="s">
        <v>185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119"/>
    </row>
    <row r="2" spans="1:18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</row>
    <row r="3" spans="1:18" ht="15.75" customHeight="1">
      <c r="A3" s="718" t="s">
        <v>186</v>
      </c>
      <c r="B3" s="719"/>
      <c r="C3" s="719"/>
      <c r="D3" s="719"/>
      <c r="E3" s="719"/>
      <c r="F3" s="719"/>
      <c r="G3" s="719"/>
      <c r="H3" s="719"/>
      <c r="I3" s="719"/>
      <c r="J3" s="719"/>
      <c r="K3" s="719"/>
      <c r="L3" s="719"/>
      <c r="M3" s="151"/>
    </row>
    <row r="4" spans="1:18" s="120" customFormat="1" ht="15.75" customHeight="1">
      <c r="A4" s="719"/>
      <c r="B4" s="719"/>
      <c r="C4" s="719"/>
      <c r="D4" s="719"/>
      <c r="E4" s="719"/>
      <c r="F4" s="719"/>
      <c r="G4" s="719"/>
      <c r="H4" s="719"/>
      <c r="I4" s="719"/>
      <c r="J4" s="719"/>
      <c r="K4" s="719"/>
      <c r="L4" s="719"/>
      <c r="M4" s="130"/>
    </row>
    <row r="5" spans="1:18" s="153" customFormat="1" ht="16.350000000000001" customHeight="1">
      <c r="A5" s="706" t="s">
        <v>154</v>
      </c>
      <c r="B5" s="155">
        <v>1</v>
      </c>
      <c r="C5" s="155">
        <v>2</v>
      </c>
      <c r="D5" s="155">
        <v>3</v>
      </c>
      <c r="E5" s="155">
        <v>4</v>
      </c>
      <c r="F5" s="165">
        <v>5</v>
      </c>
      <c r="G5" s="16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8" ht="16.350000000000001" customHeight="1">
      <c r="A6" s="706"/>
      <c r="B6" s="156" t="s">
        <v>187</v>
      </c>
      <c r="C6" s="156" t="s">
        <v>151</v>
      </c>
      <c r="D6" s="156" t="s">
        <v>188</v>
      </c>
      <c r="E6" s="156" t="s">
        <v>153</v>
      </c>
      <c r="F6" s="167" t="s">
        <v>133</v>
      </c>
      <c r="G6" s="16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8" s="153" customFormat="1" ht="15.75" customHeight="1">
      <c r="A7" s="707" t="s">
        <v>546</v>
      </c>
      <c r="B7" s="707"/>
      <c r="C7" s="350" t="s">
        <v>547</v>
      </c>
      <c r="D7" s="707" t="s">
        <v>12</v>
      </c>
      <c r="E7" s="710"/>
      <c r="F7" s="710"/>
      <c r="G7" s="365" t="s">
        <v>557</v>
      </c>
      <c r="H7" s="365" t="s">
        <v>558</v>
      </c>
      <c r="I7" s="365" t="s">
        <v>559</v>
      </c>
      <c r="J7" s="221" t="s">
        <v>560</v>
      </c>
      <c r="K7" s="707" t="s">
        <v>561</v>
      </c>
      <c r="L7" s="710"/>
      <c r="M7" s="152"/>
    </row>
    <row r="8" spans="1:18" ht="15.75" customHeight="1">
      <c r="A8" s="706">
        <v>5</v>
      </c>
      <c r="B8" s="707" t="s">
        <v>133</v>
      </c>
      <c r="C8" s="558">
        <v>1</v>
      </c>
      <c r="D8" s="375" t="s">
        <v>593</v>
      </c>
      <c r="E8" s="347"/>
      <c r="F8" s="348"/>
      <c r="G8" s="361">
        <v>6</v>
      </c>
      <c r="H8" s="361">
        <v>1427.4451843284571</v>
      </c>
      <c r="I8" s="361">
        <v>237.90753072140953</v>
      </c>
      <c r="J8" s="240" t="s">
        <v>778</v>
      </c>
      <c r="K8" s="729" t="s">
        <v>795</v>
      </c>
      <c r="L8" s="739"/>
      <c r="M8" s="130"/>
      <c r="P8" s="250"/>
      <c r="Q8" s="250"/>
      <c r="R8" s="250"/>
    </row>
    <row r="9" spans="1:18" ht="15.75" customHeight="1">
      <c r="A9" s="706"/>
      <c r="B9" s="707"/>
      <c r="C9" s="558">
        <v>2</v>
      </c>
      <c r="D9" s="362" t="s">
        <v>343</v>
      </c>
      <c r="E9" s="347"/>
      <c r="F9" s="348"/>
      <c r="G9" s="361">
        <v>6</v>
      </c>
      <c r="H9" s="361">
        <v>1422.121488535488</v>
      </c>
      <c r="I9" s="361">
        <v>237.02024808924804</v>
      </c>
      <c r="J9" s="241" t="s">
        <v>779</v>
      </c>
      <c r="K9" s="740"/>
      <c r="L9" s="741"/>
      <c r="M9" s="130"/>
      <c r="P9" s="250"/>
      <c r="Q9" s="250"/>
      <c r="R9" s="250"/>
    </row>
    <row r="10" spans="1:18" ht="15.75" customHeight="1">
      <c r="A10" s="706"/>
      <c r="B10" s="707"/>
      <c r="C10" s="558">
        <v>3</v>
      </c>
      <c r="D10" s="346" t="s">
        <v>614</v>
      </c>
      <c r="E10" s="347"/>
      <c r="F10" s="348"/>
      <c r="G10" s="361">
        <v>16</v>
      </c>
      <c r="H10" s="361">
        <v>1408.3405094167015</v>
      </c>
      <c r="I10" s="361">
        <v>88.021281838543842</v>
      </c>
      <c r="J10" s="239" t="s">
        <v>776</v>
      </c>
      <c r="K10" s="738"/>
      <c r="L10" s="710"/>
      <c r="M10" s="130"/>
      <c r="P10" s="250"/>
      <c r="Q10" s="250"/>
      <c r="R10" s="250"/>
    </row>
    <row r="11" spans="1:18" ht="15.75" customHeight="1">
      <c r="A11" s="706"/>
      <c r="B11" s="707"/>
      <c r="C11" s="558">
        <v>4</v>
      </c>
      <c r="D11" s="482" t="s">
        <v>346</v>
      </c>
      <c r="E11" s="347"/>
      <c r="F11" s="348"/>
      <c r="G11" s="361">
        <v>15</v>
      </c>
      <c r="H11" s="361">
        <v>1306.0273588739176</v>
      </c>
      <c r="I11" s="361">
        <v>87.068490591594511</v>
      </c>
      <c r="J11" s="239" t="s">
        <v>776</v>
      </c>
      <c r="K11" s="738"/>
      <c r="L11" s="710"/>
      <c r="M11" s="130"/>
      <c r="P11" s="250"/>
      <c r="Q11" s="250"/>
      <c r="R11" s="250"/>
    </row>
    <row r="12" spans="1:18" ht="15.75" customHeight="1">
      <c r="A12" s="706"/>
      <c r="B12" s="707"/>
      <c r="C12" s="558">
        <v>5</v>
      </c>
      <c r="D12" s="346" t="s">
        <v>345</v>
      </c>
      <c r="E12" s="347"/>
      <c r="F12" s="348"/>
      <c r="G12" s="361">
        <v>16</v>
      </c>
      <c r="H12" s="361">
        <v>1370.6423927641797</v>
      </c>
      <c r="I12" s="361">
        <v>85.665149547761231</v>
      </c>
      <c r="J12" s="240" t="s">
        <v>778</v>
      </c>
      <c r="K12" s="738" t="s">
        <v>796</v>
      </c>
      <c r="L12" s="710"/>
      <c r="M12" s="130"/>
      <c r="P12" s="250"/>
      <c r="Q12" s="250"/>
      <c r="R12" s="250"/>
    </row>
    <row r="13" spans="1:18" ht="15.75" customHeight="1">
      <c r="A13" s="706"/>
      <c r="B13" s="707"/>
      <c r="C13" s="164" t="s">
        <v>780</v>
      </c>
      <c r="D13" s="482" t="s">
        <v>714</v>
      </c>
      <c r="E13" s="347"/>
      <c r="F13" s="348"/>
      <c r="G13" s="361">
        <v>20.571428571428573</v>
      </c>
      <c r="H13" s="361">
        <v>1190.7799890196134</v>
      </c>
      <c r="I13" s="361">
        <v>57.949087669815128</v>
      </c>
      <c r="J13" s="239" t="s">
        <v>776</v>
      </c>
      <c r="K13" s="738"/>
      <c r="L13" s="710"/>
      <c r="M13" s="130"/>
      <c r="P13" s="250"/>
      <c r="Q13" s="250"/>
      <c r="R13" s="250"/>
    </row>
    <row r="14" spans="1:18" ht="15.75" customHeight="1">
      <c r="A14" s="706"/>
      <c r="B14" s="707"/>
      <c r="C14" s="164" t="s">
        <v>781</v>
      </c>
      <c r="D14" s="482" t="s">
        <v>639</v>
      </c>
      <c r="E14" s="347"/>
      <c r="F14" s="348"/>
      <c r="G14" s="361">
        <v>20.142857142857142</v>
      </c>
      <c r="H14" s="361">
        <v>1247.8136375269205</v>
      </c>
      <c r="I14" s="361">
        <v>61.962110447774592</v>
      </c>
      <c r="J14" s="239" t="s">
        <v>776</v>
      </c>
      <c r="K14" s="738"/>
      <c r="L14" s="710"/>
      <c r="M14" s="130"/>
      <c r="P14" s="250"/>
      <c r="Q14" s="250"/>
      <c r="R14" s="250"/>
    </row>
    <row r="15" spans="1:18" ht="15.75" customHeight="1">
      <c r="A15" s="706"/>
      <c r="B15" s="707"/>
      <c r="C15" s="164" t="s">
        <v>782</v>
      </c>
      <c r="D15" s="346" t="s">
        <v>515</v>
      </c>
      <c r="E15" s="347"/>
      <c r="F15" s="348"/>
      <c r="G15" s="361">
        <v>20</v>
      </c>
      <c r="H15" s="361">
        <v>1325.202356439373</v>
      </c>
      <c r="I15" s="361">
        <v>66.260117821968649</v>
      </c>
      <c r="J15" s="239" t="s">
        <v>776</v>
      </c>
      <c r="K15" s="738"/>
      <c r="L15" s="710"/>
      <c r="M15" s="130"/>
      <c r="P15" s="250"/>
      <c r="Q15" s="250"/>
      <c r="R15" s="250"/>
    </row>
    <row r="16" spans="1:18" ht="15.75" customHeight="1">
      <c r="A16" s="706"/>
      <c r="B16" s="707"/>
      <c r="C16" s="164" t="s">
        <v>783</v>
      </c>
      <c r="D16" s="362" t="s">
        <v>642</v>
      </c>
      <c r="E16" s="347"/>
      <c r="F16" s="348"/>
      <c r="G16" s="361">
        <v>19</v>
      </c>
      <c r="H16" s="361">
        <v>1296.1653051032704</v>
      </c>
      <c r="I16" s="361">
        <v>68.219226584382653</v>
      </c>
      <c r="J16" s="241" t="s">
        <v>779</v>
      </c>
      <c r="K16" s="712" t="s">
        <v>796</v>
      </c>
      <c r="L16" s="713"/>
      <c r="M16" s="151"/>
      <c r="P16" s="250"/>
      <c r="Q16" s="250"/>
      <c r="R16" s="250"/>
    </row>
    <row r="17" spans="1:18" ht="15.75" customHeight="1">
      <c r="A17" s="706"/>
      <c r="B17" s="707"/>
      <c r="C17" s="164" t="s">
        <v>784</v>
      </c>
      <c r="D17" s="362" t="s">
        <v>719</v>
      </c>
      <c r="E17" s="347"/>
      <c r="F17" s="348"/>
      <c r="G17" s="361">
        <v>19</v>
      </c>
      <c r="H17" s="361">
        <v>1300.9385053356145</v>
      </c>
      <c r="I17" s="361">
        <v>68.470447649242857</v>
      </c>
      <c r="J17" s="241" t="s">
        <v>779</v>
      </c>
      <c r="K17" s="716"/>
      <c r="L17" s="717"/>
      <c r="M17" s="151"/>
      <c r="P17" s="250"/>
      <c r="Q17" s="250"/>
      <c r="R17" s="250"/>
    </row>
    <row r="18" spans="1:18" s="161" customFormat="1" ht="15.75" customHeight="1">
      <c r="A18" s="704" t="s">
        <v>785</v>
      </c>
      <c r="B18" s="704"/>
      <c r="C18" s="559" t="s">
        <v>786</v>
      </c>
      <c r="D18" s="704" t="s">
        <v>12</v>
      </c>
      <c r="E18" s="705"/>
      <c r="F18" s="705"/>
      <c r="G18" s="559" t="s">
        <v>787</v>
      </c>
      <c r="H18" s="559" t="s">
        <v>788</v>
      </c>
      <c r="I18" s="559" t="s">
        <v>789</v>
      </c>
      <c r="J18" s="221" t="s">
        <v>790</v>
      </c>
      <c r="K18" s="704" t="s">
        <v>791</v>
      </c>
      <c r="L18" s="705"/>
      <c r="M18" s="154"/>
    </row>
    <row r="19" spans="1:18" ht="15.75" customHeight="1">
      <c r="A19" s="706">
        <v>6</v>
      </c>
      <c r="B19" s="707" t="s">
        <v>131</v>
      </c>
      <c r="C19" s="558">
        <v>1</v>
      </c>
      <c r="D19" s="346" t="s">
        <v>513</v>
      </c>
      <c r="E19" s="347"/>
      <c r="F19" s="348"/>
      <c r="G19" s="361">
        <v>16</v>
      </c>
      <c r="H19" s="361">
        <v>1334.3779866884956</v>
      </c>
      <c r="I19" s="361">
        <v>83.398624168030977</v>
      </c>
      <c r="J19" s="239" t="s">
        <v>776</v>
      </c>
      <c r="K19" s="733"/>
      <c r="L19" s="710"/>
      <c r="M19" s="151"/>
      <c r="P19" s="250"/>
      <c r="Q19" s="250"/>
      <c r="R19" s="250"/>
    </row>
    <row r="20" spans="1:18" ht="15.75" customHeight="1">
      <c r="A20" s="706"/>
      <c r="B20" s="707"/>
      <c r="C20" s="558">
        <v>2</v>
      </c>
      <c r="D20" s="346" t="s">
        <v>596</v>
      </c>
      <c r="E20" s="347"/>
      <c r="F20" s="348"/>
      <c r="G20" s="361">
        <v>17</v>
      </c>
      <c r="H20" s="361">
        <v>1365.7544478003297</v>
      </c>
      <c r="I20" s="361">
        <v>80.338496929431145</v>
      </c>
      <c r="J20" s="239" t="s">
        <v>776</v>
      </c>
      <c r="K20" s="733"/>
      <c r="L20" s="710"/>
      <c r="M20" s="151"/>
      <c r="P20" s="250"/>
      <c r="Q20" s="250"/>
      <c r="R20" s="250"/>
    </row>
    <row r="21" spans="1:18" ht="15.75" customHeight="1">
      <c r="A21" s="706"/>
      <c r="B21" s="707"/>
      <c r="C21" s="558">
        <v>3</v>
      </c>
      <c r="D21" s="346" t="s">
        <v>348</v>
      </c>
      <c r="E21" s="347"/>
      <c r="F21" s="348"/>
      <c r="G21" s="361">
        <v>17</v>
      </c>
      <c r="H21" s="361">
        <v>1338.0259887225748</v>
      </c>
      <c r="I21" s="361">
        <v>78.707411101327935</v>
      </c>
      <c r="J21" s="239" t="s">
        <v>776</v>
      </c>
      <c r="K21" s="733"/>
      <c r="L21" s="710"/>
      <c r="M21" s="151"/>
      <c r="P21" s="250"/>
      <c r="Q21" s="250"/>
      <c r="R21" s="250"/>
    </row>
    <row r="22" spans="1:18" ht="15.75" customHeight="1">
      <c r="A22" s="706"/>
      <c r="B22" s="707"/>
      <c r="C22" s="558">
        <v>4</v>
      </c>
      <c r="D22" s="346" t="s">
        <v>566</v>
      </c>
      <c r="E22" s="347"/>
      <c r="F22" s="348"/>
      <c r="G22" s="361">
        <v>19</v>
      </c>
      <c r="H22" s="361">
        <v>1445.3310146265678</v>
      </c>
      <c r="I22" s="361">
        <v>76.070053401398312</v>
      </c>
      <c r="J22" s="240" t="s">
        <v>778</v>
      </c>
      <c r="K22" s="738" t="s">
        <v>797</v>
      </c>
      <c r="L22" s="710"/>
      <c r="M22" s="151"/>
      <c r="P22" s="250"/>
      <c r="Q22" s="250"/>
      <c r="R22" s="250"/>
    </row>
    <row r="23" spans="1:18" ht="15.75" customHeight="1">
      <c r="A23" s="706"/>
      <c r="B23" s="707"/>
      <c r="C23" s="558">
        <v>5</v>
      </c>
      <c r="D23" s="346" t="s">
        <v>615</v>
      </c>
      <c r="E23" s="347"/>
      <c r="F23" s="348"/>
      <c r="G23" s="361">
        <v>17</v>
      </c>
      <c r="H23" s="361">
        <v>1292.0043689157992</v>
      </c>
      <c r="I23" s="361">
        <v>76.00025699504701</v>
      </c>
      <c r="J23" s="241" t="s">
        <v>779</v>
      </c>
      <c r="K23" s="733" t="s">
        <v>796</v>
      </c>
      <c r="L23" s="710"/>
      <c r="M23" s="151"/>
      <c r="P23" s="250"/>
      <c r="Q23" s="250"/>
      <c r="R23" s="250"/>
    </row>
    <row r="24" spans="1:18" ht="15.75" customHeight="1">
      <c r="A24" s="706"/>
      <c r="B24" s="707"/>
      <c r="C24" s="164" t="s">
        <v>780</v>
      </c>
      <c r="D24" s="362" t="s">
        <v>589</v>
      </c>
      <c r="E24" s="347"/>
      <c r="F24" s="348"/>
      <c r="G24" s="361">
        <v>18.142857142857142</v>
      </c>
      <c r="H24" s="361">
        <v>1071.3586889301214</v>
      </c>
      <c r="I24" s="361">
        <v>59.075960102276099</v>
      </c>
      <c r="J24" s="239" t="s">
        <v>776</v>
      </c>
      <c r="K24" s="733"/>
      <c r="L24" s="710"/>
      <c r="M24" s="151"/>
      <c r="P24" s="250"/>
      <c r="Q24" s="250"/>
      <c r="R24" s="250"/>
    </row>
    <row r="25" spans="1:18" ht="15.75" customHeight="1">
      <c r="A25" s="706"/>
      <c r="B25" s="707"/>
      <c r="C25" s="164" t="s">
        <v>781</v>
      </c>
      <c r="D25" s="346" t="s">
        <v>350</v>
      </c>
      <c r="E25" s="347"/>
      <c r="F25" s="348"/>
      <c r="G25" s="361">
        <v>21</v>
      </c>
      <c r="H25" s="361">
        <v>1275.334204801406</v>
      </c>
      <c r="I25" s="361">
        <v>60.730200228638388</v>
      </c>
      <c r="J25" s="239" t="s">
        <v>776</v>
      </c>
      <c r="K25" s="733"/>
      <c r="L25" s="710"/>
      <c r="M25" s="151"/>
      <c r="P25" s="250"/>
      <c r="Q25" s="250"/>
      <c r="R25" s="250"/>
    </row>
    <row r="26" spans="1:18" ht="15.75" customHeight="1">
      <c r="A26" s="706"/>
      <c r="B26" s="707"/>
      <c r="C26" s="164" t="s">
        <v>782</v>
      </c>
      <c r="D26" s="482" t="s">
        <v>496</v>
      </c>
      <c r="E26" s="347"/>
      <c r="F26" s="348"/>
      <c r="G26" s="361">
        <v>18</v>
      </c>
      <c r="H26" s="361">
        <v>1236.0982501486694</v>
      </c>
      <c r="I26" s="361">
        <v>68.672125008259414</v>
      </c>
      <c r="J26" s="239" t="s">
        <v>776</v>
      </c>
      <c r="K26" s="733"/>
      <c r="L26" s="710"/>
      <c r="M26" s="151"/>
      <c r="P26" s="250"/>
      <c r="Q26" s="250"/>
      <c r="R26" s="250"/>
    </row>
    <row r="27" spans="1:18" ht="15.75" customHeight="1">
      <c r="A27" s="706"/>
      <c r="B27" s="707"/>
      <c r="C27" s="164" t="s">
        <v>783</v>
      </c>
      <c r="D27" s="346" t="s">
        <v>654</v>
      </c>
      <c r="E27" s="347"/>
      <c r="F27" s="348"/>
      <c r="G27" s="361">
        <v>19</v>
      </c>
      <c r="H27" s="361">
        <v>1305.6405671198845</v>
      </c>
      <c r="I27" s="361">
        <v>68.71792458525708</v>
      </c>
      <c r="J27" s="241" t="s">
        <v>779</v>
      </c>
      <c r="K27" s="734" t="s">
        <v>798</v>
      </c>
      <c r="L27" s="735"/>
      <c r="M27" s="151"/>
      <c r="P27" s="250"/>
      <c r="Q27" s="250"/>
      <c r="R27" s="250"/>
    </row>
    <row r="28" spans="1:18" ht="15.75" customHeight="1">
      <c r="A28" s="706"/>
      <c r="B28" s="707"/>
      <c r="C28" s="164" t="s">
        <v>784</v>
      </c>
      <c r="D28" s="346" t="s">
        <v>347</v>
      </c>
      <c r="E28" s="347"/>
      <c r="F28" s="348"/>
      <c r="G28" s="361">
        <v>18</v>
      </c>
      <c r="H28" s="361">
        <v>1237.645490454245</v>
      </c>
      <c r="I28" s="361">
        <v>68.758082803013622</v>
      </c>
      <c r="J28" s="240" t="s">
        <v>778</v>
      </c>
      <c r="K28" s="736"/>
      <c r="L28" s="737"/>
      <c r="M28" s="151"/>
      <c r="P28" s="250"/>
      <c r="Q28" s="250"/>
      <c r="R28" s="250"/>
    </row>
    <row r="29" spans="1:18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8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8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8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0">
    <mergeCell ref="K22:L22"/>
    <mergeCell ref="K23:L23"/>
    <mergeCell ref="K21:L21"/>
    <mergeCell ref="A1:L2"/>
    <mergeCell ref="A3:L4"/>
    <mergeCell ref="A5:A6"/>
    <mergeCell ref="A7:B7"/>
    <mergeCell ref="D7:F7"/>
    <mergeCell ref="K7:L7"/>
    <mergeCell ref="K13:L13"/>
    <mergeCell ref="K14:L14"/>
    <mergeCell ref="K16:L17"/>
    <mergeCell ref="K10:L10"/>
    <mergeCell ref="K11:L11"/>
    <mergeCell ref="K26:L26"/>
    <mergeCell ref="K27:L28"/>
    <mergeCell ref="A19:A28"/>
    <mergeCell ref="A8:A17"/>
    <mergeCell ref="B8:B17"/>
    <mergeCell ref="A18:B18"/>
    <mergeCell ref="D18:F18"/>
    <mergeCell ref="B19:B28"/>
    <mergeCell ref="K24:L24"/>
    <mergeCell ref="K18:L18"/>
    <mergeCell ref="K19:L19"/>
    <mergeCell ref="K15:L15"/>
    <mergeCell ref="K8:L9"/>
    <mergeCell ref="K20:L20"/>
    <mergeCell ref="K25:L25"/>
    <mergeCell ref="K12:L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88" t="s">
        <v>185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119"/>
    </row>
    <row r="2" spans="1:13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</row>
    <row r="3" spans="1:13" ht="15.75" customHeight="1">
      <c r="A3" s="718" t="s">
        <v>186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151"/>
    </row>
    <row r="4" spans="1:13" s="120" customFormat="1" ht="15.75" customHeight="1">
      <c r="A4" s="718"/>
      <c r="B4" s="718"/>
      <c r="C4" s="718"/>
      <c r="D4" s="718"/>
      <c r="E4" s="718"/>
      <c r="F4" s="718"/>
      <c r="G4" s="718"/>
      <c r="H4" s="718"/>
      <c r="I4" s="718"/>
      <c r="J4" s="718"/>
      <c r="K4" s="718"/>
      <c r="L4" s="718"/>
      <c r="M4" s="130"/>
    </row>
    <row r="5" spans="1:13" s="153" customFormat="1" ht="16.350000000000001" customHeight="1">
      <c r="A5" s="748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65">
        <v>7</v>
      </c>
      <c r="I5" s="165">
        <v>8</v>
      </c>
      <c r="J5" s="155">
        <v>9</v>
      </c>
      <c r="K5" s="152"/>
      <c r="L5" s="152"/>
      <c r="M5" s="152"/>
    </row>
    <row r="6" spans="1:13" ht="16.350000000000001" customHeight="1">
      <c r="A6" s="749"/>
      <c r="B6" s="156" t="s">
        <v>187</v>
      </c>
      <c r="C6" s="15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66" t="s">
        <v>189</v>
      </c>
      <c r="I6" s="16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50" t="s">
        <v>546</v>
      </c>
      <c r="B7" s="751"/>
      <c r="C7" s="350" t="s">
        <v>547</v>
      </c>
      <c r="D7" s="750" t="s">
        <v>12</v>
      </c>
      <c r="E7" s="752"/>
      <c r="F7" s="751"/>
      <c r="G7" s="365" t="s">
        <v>46</v>
      </c>
      <c r="H7" s="365" t="s">
        <v>562</v>
      </c>
      <c r="I7" s="365" t="s">
        <v>563</v>
      </c>
      <c r="J7" s="221" t="s">
        <v>564</v>
      </c>
      <c r="K7" s="750" t="s">
        <v>51</v>
      </c>
      <c r="L7" s="751"/>
      <c r="M7" s="152"/>
    </row>
    <row r="8" spans="1:13" ht="15.75" customHeight="1">
      <c r="A8" s="748">
        <v>7</v>
      </c>
      <c r="B8" s="754" t="s">
        <v>135</v>
      </c>
      <c r="C8" s="558">
        <v>1</v>
      </c>
      <c r="D8" s="346" t="s">
        <v>595</v>
      </c>
      <c r="E8" s="347"/>
      <c r="F8" s="348"/>
      <c r="G8" s="361">
        <v>17</v>
      </c>
      <c r="H8" s="361">
        <v>1389.259914177341</v>
      </c>
      <c r="I8" s="361">
        <v>81.72117142219652</v>
      </c>
      <c r="J8" s="239" t="s">
        <v>776</v>
      </c>
      <c r="K8" s="742"/>
      <c r="L8" s="743"/>
      <c r="M8" s="130"/>
    </row>
    <row r="9" spans="1:13" ht="15.75" customHeight="1">
      <c r="A9" s="753"/>
      <c r="B9" s="755"/>
      <c r="C9" s="558">
        <v>2</v>
      </c>
      <c r="D9" s="346" t="s">
        <v>636</v>
      </c>
      <c r="E9" s="347"/>
      <c r="F9" s="348"/>
      <c r="G9" s="361">
        <v>17</v>
      </c>
      <c r="H9" s="361">
        <v>1356.5390362843139</v>
      </c>
      <c r="I9" s="361">
        <v>79.796413899077294</v>
      </c>
      <c r="J9" s="239" t="s">
        <v>776</v>
      </c>
      <c r="K9" s="742"/>
      <c r="L9" s="743"/>
      <c r="M9" s="130"/>
    </row>
    <row r="10" spans="1:13" ht="15.75" customHeight="1">
      <c r="A10" s="753"/>
      <c r="B10" s="755"/>
      <c r="C10" s="558">
        <v>3</v>
      </c>
      <c r="D10" s="362" t="s">
        <v>799</v>
      </c>
      <c r="E10" s="347"/>
      <c r="F10" s="348"/>
      <c r="G10" s="361">
        <v>17</v>
      </c>
      <c r="H10" s="361">
        <v>1312.8737797401161</v>
      </c>
      <c r="I10" s="361">
        <v>77.227869396477431</v>
      </c>
      <c r="J10" s="239" t="s">
        <v>776</v>
      </c>
      <c r="K10" s="742" t="s">
        <v>800</v>
      </c>
      <c r="L10" s="743"/>
      <c r="M10" s="130"/>
    </row>
    <row r="11" spans="1:13" ht="15.75" customHeight="1">
      <c r="A11" s="753"/>
      <c r="B11" s="755"/>
      <c r="C11" s="558">
        <v>4</v>
      </c>
      <c r="D11" s="346" t="s">
        <v>627</v>
      </c>
      <c r="E11" s="347"/>
      <c r="F11" s="348"/>
      <c r="G11" s="361">
        <v>18</v>
      </c>
      <c r="H11" s="361">
        <v>1357.6063971245694</v>
      </c>
      <c r="I11" s="361">
        <v>75.422577618031625</v>
      </c>
      <c r="J11" s="239" t="s">
        <v>776</v>
      </c>
      <c r="K11" s="742"/>
      <c r="L11" s="743"/>
      <c r="M11" s="130"/>
    </row>
    <row r="12" spans="1:13" ht="15.75" customHeight="1">
      <c r="A12" s="753"/>
      <c r="B12" s="755"/>
      <c r="C12" s="558">
        <v>5</v>
      </c>
      <c r="D12" s="362" t="s">
        <v>619</v>
      </c>
      <c r="E12" s="347"/>
      <c r="F12" s="348"/>
      <c r="G12" s="361">
        <v>19</v>
      </c>
      <c r="H12" s="361">
        <v>1385.0099020637738</v>
      </c>
      <c r="I12" s="361">
        <v>72.895258003356517</v>
      </c>
      <c r="J12" s="239" t="s">
        <v>776</v>
      </c>
      <c r="K12" s="742"/>
      <c r="L12" s="743"/>
      <c r="M12" s="130"/>
    </row>
    <row r="13" spans="1:13" ht="15.75" customHeight="1">
      <c r="A13" s="753"/>
      <c r="B13" s="755"/>
      <c r="C13" s="164" t="s">
        <v>780</v>
      </c>
      <c r="D13" s="362"/>
      <c r="E13" s="347"/>
      <c r="F13" s="348"/>
      <c r="G13" s="361"/>
      <c r="H13" s="361"/>
      <c r="I13" s="361"/>
      <c r="J13" s="239"/>
      <c r="K13" s="759"/>
      <c r="L13" s="758"/>
      <c r="M13" s="130"/>
    </row>
    <row r="14" spans="1:13" ht="15.75" customHeight="1">
      <c r="A14" s="753"/>
      <c r="B14" s="755"/>
      <c r="C14" s="164" t="s">
        <v>781</v>
      </c>
      <c r="D14" s="346"/>
      <c r="E14" s="347"/>
      <c r="F14" s="348"/>
      <c r="G14" s="361"/>
      <c r="H14" s="361"/>
      <c r="I14" s="361"/>
      <c r="J14" s="239"/>
      <c r="K14" s="757"/>
      <c r="L14" s="758"/>
      <c r="M14" s="130"/>
    </row>
    <row r="15" spans="1:13" ht="15.75" customHeight="1">
      <c r="A15" s="753"/>
      <c r="B15" s="755"/>
      <c r="C15" s="164" t="s">
        <v>782</v>
      </c>
      <c r="D15" s="346"/>
      <c r="E15" s="347"/>
      <c r="F15" s="348"/>
      <c r="G15" s="361"/>
      <c r="H15" s="361"/>
      <c r="I15" s="361"/>
      <c r="J15" s="239"/>
      <c r="K15" s="757"/>
      <c r="L15" s="758"/>
      <c r="M15" s="130"/>
    </row>
    <row r="16" spans="1:13" ht="15.75" customHeight="1">
      <c r="A16" s="753"/>
      <c r="B16" s="755"/>
      <c r="C16" s="164" t="s">
        <v>783</v>
      </c>
      <c r="D16" s="346"/>
      <c r="E16" s="347"/>
      <c r="F16" s="348"/>
      <c r="G16" s="361"/>
      <c r="H16" s="361"/>
      <c r="I16" s="361"/>
      <c r="J16" s="239"/>
      <c r="K16" s="757"/>
      <c r="L16" s="758"/>
      <c r="M16" s="151"/>
    </row>
    <row r="17" spans="1:13" ht="15.75" customHeight="1">
      <c r="A17" s="749"/>
      <c r="B17" s="756"/>
      <c r="C17" s="164" t="s">
        <v>784</v>
      </c>
      <c r="D17" s="346"/>
      <c r="E17" s="347"/>
      <c r="F17" s="348"/>
      <c r="G17" s="560"/>
      <c r="H17" s="560"/>
      <c r="I17" s="560"/>
      <c r="J17" s="560"/>
      <c r="K17" s="757"/>
      <c r="L17" s="758"/>
      <c r="M17" s="151"/>
    </row>
    <row r="18" spans="1:13" s="161" customFormat="1" ht="15.75" customHeight="1">
      <c r="A18" s="763" t="s">
        <v>785</v>
      </c>
      <c r="B18" s="764"/>
      <c r="C18" s="559" t="s">
        <v>786</v>
      </c>
      <c r="D18" s="763" t="s">
        <v>12</v>
      </c>
      <c r="E18" s="765"/>
      <c r="F18" s="764"/>
      <c r="G18" s="559" t="s">
        <v>787</v>
      </c>
      <c r="H18" s="559" t="s">
        <v>788</v>
      </c>
      <c r="I18" s="559" t="s">
        <v>789</v>
      </c>
      <c r="J18" s="221" t="s">
        <v>790</v>
      </c>
      <c r="K18" s="763" t="s">
        <v>791</v>
      </c>
      <c r="L18" s="764"/>
      <c r="M18" s="154"/>
    </row>
    <row r="19" spans="1:13" ht="15.75" customHeight="1">
      <c r="A19" s="748">
        <v>8</v>
      </c>
      <c r="B19" s="754" t="s">
        <v>136</v>
      </c>
      <c r="C19" s="558">
        <v>1</v>
      </c>
      <c r="D19" s="482" t="s">
        <v>601</v>
      </c>
      <c r="E19" s="347"/>
      <c r="F19" s="348"/>
      <c r="G19" s="361">
        <v>17</v>
      </c>
      <c r="H19" s="361">
        <v>2362.5007358192488</v>
      </c>
      <c r="I19" s="361">
        <v>138.97063151877936</v>
      </c>
      <c r="J19" s="240" t="s">
        <v>778</v>
      </c>
      <c r="K19" s="747" t="s">
        <v>792</v>
      </c>
      <c r="L19" s="722"/>
      <c r="M19" s="151"/>
    </row>
    <row r="20" spans="1:13" ht="15.75" customHeight="1">
      <c r="A20" s="753"/>
      <c r="B20" s="755"/>
      <c r="C20" s="558">
        <v>2</v>
      </c>
      <c r="D20" s="482" t="s">
        <v>353</v>
      </c>
      <c r="E20" s="347"/>
      <c r="F20" s="348"/>
      <c r="G20" s="361">
        <v>18.428571428571427</v>
      </c>
      <c r="H20" s="361">
        <v>2497.4714639248632</v>
      </c>
      <c r="I20" s="361">
        <v>135.63272730843789</v>
      </c>
      <c r="J20" s="241" t="s">
        <v>779</v>
      </c>
      <c r="K20" s="723"/>
      <c r="L20" s="724"/>
      <c r="M20" s="151"/>
    </row>
    <row r="21" spans="1:13" ht="15.75" customHeight="1">
      <c r="A21" s="753"/>
      <c r="B21" s="755"/>
      <c r="C21" s="558">
        <v>3</v>
      </c>
      <c r="D21" s="346" t="s">
        <v>628</v>
      </c>
      <c r="E21" s="347"/>
      <c r="F21" s="348"/>
      <c r="G21" s="361">
        <v>18</v>
      </c>
      <c r="H21" s="361">
        <v>2348.6190687192984</v>
      </c>
      <c r="I21" s="361">
        <v>130.47883715107213</v>
      </c>
      <c r="J21" s="239" t="s">
        <v>776</v>
      </c>
      <c r="K21" s="760"/>
      <c r="L21" s="761"/>
      <c r="M21" s="151"/>
    </row>
    <row r="22" spans="1:13" ht="15.75" customHeight="1">
      <c r="A22" s="753"/>
      <c r="B22" s="755"/>
      <c r="C22" s="558">
        <v>4</v>
      </c>
      <c r="D22" s="346" t="s">
        <v>775</v>
      </c>
      <c r="E22" s="347"/>
      <c r="F22" s="348"/>
      <c r="G22" s="361">
        <v>18</v>
      </c>
      <c r="H22" s="361">
        <v>2332.4830513417828</v>
      </c>
      <c r="I22" s="361">
        <v>129.58239174121016</v>
      </c>
      <c r="J22" s="239" t="s">
        <v>776</v>
      </c>
      <c r="K22" s="760"/>
      <c r="L22" s="761"/>
      <c r="M22" s="151"/>
    </row>
    <row r="23" spans="1:13" ht="15.75" customHeight="1">
      <c r="A23" s="753"/>
      <c r="B23" s="755"/>
      <c r="C23" s="558">
        <v>5</v>
      </c>
      <c r="D23" s="346" t="s">
        <v>354</v>
      </c>
      <c r="E23" s="347"/>
      <c r="F23" s="348"/>
      <c r="G23" s="361">
        <v>20</v>
      </c>
      <c r="H23" s="361">
        <v>2531.5550320277239</v>
      </c>
      <c r="I23" s="361">
        <v>126.5777516013862</v>
      </c>
      <c r="J23" s="239" t="s">
        <v>776</v>
      </c>
      <c r="K23" s="760"/>
      <c r="L23" s="761"/>
      <c r="M23" s="151"/>
    </row>
    <row r="24" spans="1:13" ht="15.75" customHeight="1">
      <c r="A24" s="753"/>
      <c r="B24" s="755"/>
      <c r="C24" s="164" t="s">
        <v>780</v>
      </c>
      <c r="D24" s="346" t="s">
        <v>638</v>
      </c>
      <c r="E24" s="347"/>
      <c r="F24" s="348"/>
      <c r="G24" s="361">
        <v>21</v>
      </c>
      <c r="H24" s="361">
        <v>2091.6984863228818</v>
      </c>
      <c r="I24" s="361">
        <v>99.604689824899168</v>
      </c>
      <c r="J24" s="239" t="s">
        <v>776</v>
      </c>
      <c r="K24" s="760"/>
      <c r="L24" s="761"/>
      <c r="M24" s="151"/>
    </row>
    <row r="25" spans="1:13" ht="15.75" customHeight="1">
      <c r="A25" s="753"/>
      <c r="B25" s="755"/>
      <c r="C25" s="164" t="s">
        <v>781</v>
      </c>
      <c r="D25" s="482" t="s">
        <v>632</v>
      </c>
      <c r="E25" s="347"/>
      <c r="F25" s="348"/>
      <c r="G25" s="361">
        <v>19</v>
      </c>
      <c r="H25" s="361">
        <v>2064.020577877719</v>
      </c>
      <c r="I25" s="361">
        <v>108.63266199356416</v>
      </c>
      <c r="J25" s="239" t="s">
        <v>776</v>
      </c>
      <c r="K25" s="760"/>
      <c r="L25" s="761"/>
      <c r="M25" s="151"/>
    </row>
    <row r="26" spans="1:13" ht="15.75" customHeight="1">
      <c r="A26" s="753"/>
      <c r="B26" s="755"/>
      <c r="C26" s="164" t="s">
        <v>782</v>
      </c>
      <c r="D26" s="482" t="s">
        <v>620</v>
      </c>
      <c r="E26" s="347"/>
      <c r="F26" s="348"/>
      <c r="G26" s="361">
        <v>18.428571428571427</v>
      </c>
      <c r="H26" s="361">
        <v>2066.9008808651638</v>
      </c>
      <c r="I26" s="361">
        <v>112.24352203769483</v>
      </c>
      <c r="J26" s="239" t="s">
        <v>776</v>
      </c>
      <c r="K26" s="762"/>
      <c r="L26" s="743"/>
      <c r="M26" s="151"/>
    </row>
    <row r="27" spans="1:13" ht="15.75" customHeight="1">
      <c r="A27" s="753"/>
      <c r="B27" s="755"/>
      <c r="C27" s="164" t="s">
        <v>783</v>
      </c>
      <c r="D27" s="346" t="s">
        <v>352</v>
      </c>
      <c r="E27" s="347"/>
      <c r="F27" s="348"/>
      <c r="G27" s="361">
        <v>21</v>
      </c>
      <c r="H27" s="361">
        <v>2371.1875914997231</v>
      </c>
      <c r="I27" s="361">
        <v>112.91369483332016</v>
      </c>
      <c r="J27" s="241" t="s">
        <v>779</v>
      </c>
      <c r="K27" s="721" t="s">
        <v>801</v>
      </c>
      <c r="L27" s="744"/>
      <c r="M27" s="151"/>
    </row>
    <row r="28" spans="1:13" ht="15.75" customHeight="1">
      <c r="A28" s="749"/>
      <c r="B28" s="756"/>
      <c r="C28" s="164" t="s">
        <v>784</v>
      </c>
      <c r="D28" s="346" t="s">
        <v>514</v>
      </c>
      <c r="E28" s="347"/>
      <c r="F28" s="348"/>
      <c r="G28" s="361">
        <v>19</v>
      </c>
      <c r="H28" s="361">
        <v>2173.6675155928888</v>
      </c>
      <c r="I28" s="361">
        <v>114.4035534522573</v>
      </c>
      <c r="J28" s="241" t="s">
        <v>779</v>
      </c>
      <c r="K28" s="745"/>
      <c r="L28" s="746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1">
    <mergeCell ref="K13:L13"/>
    <mergeCell ref="K10:L10"/>
    <mergeCell ref="A19:A28"/>
    <mergeCell ref="B19:B28"/>
    <mergeCell ref="K23:L23"/>
    <mergeCell ref="K21:L21"/>
    <mergeCell ref="K24:L24"/>
    <mergeCell ref="K25:L25"/>
    <mergeCell ref="K26:L26"/>
    <mergeCell ref="K22:L22"/>
    <mergeCell ref="K11:L11"/>
    <mergeCell ref="K12:L12"/>
    <mergeCell ref="A18:B18"/>
    <mergeCell ref="D18:F18"/>
    <mergeCell ref="K18:L18"/>
    <mergeCell ref="K8:L8"/>
    <mergeCell ref="K9:L9"/>
    <mergeCell ref="K27:L28"/>
    <mergeCell ref="K19:L20"/>
    <mergeCell ref="A1:L2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4:L14"/>
    <mergeCell ref="K15:L1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V35"/>
  <sheetViews>
    <sheetView zoomScale="70" zoomScaleNormal="70" zoomScaleSheetLayoutView="100" workbookViewId="0">
      <selection activeCell="M21" sqref="M21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22" ht="15.75" customHeight="1">
      <c r="A1" s="588" t="s">
        <v>185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119"/>
    </row>
    <row r="2" spans="1:22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</row>
    <row r="3" spans="1:22" ht="15.75" customHeight="1">
      <c r="A3" s="718" t="s">
        <v>186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151"/>
    </row>
    <row r="4" spans="1:22" s="120" customFormat="1" ht="15.75" customHeight="1">
      <c r="A4" s="718"/>
      <c r="B4" s="718"/>
      <c r="C4" s="718"/>
      <c r="D4" s="718"/>
      <c r="E4" s="718"/>
      <c r="F4" s="718"/>
      <c r="G4" s="718"/>
      <c r="H4" s="718"/>
      <c r="I4" s="718"/>
      <c r="J4" s="718"/>
      <c r="K4" s="718"/>
      <c r="L4" s="718"/>
      <c r="M4" s="130"/>
    </row>
    <row r="5" spans="1:22" s="153" customFormat="1" ht="16.350000000000001" customHeight="1">
      <c r="A5" s="748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65">
        <v>9</v>
      </c>
      <c r="K5" s="152"/>
      <c r="L5" s="152"/>
      <c r="M5" s="152"/>
      <c r="U5" s="477"/>
      <c r="V5" s="478"/>
    </row>
    <row r="6" spans="1:22" ht="16.350000000000001" customHeight="1">
      <c r="A6" s="749"/>
      <c r="B6" s="156" t="s">
        <v>187</v>
      </c>
      <c r="C6" s="15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68" t="s">
        <v>137</v>
      </c>
      <c r="K6" s="154"/>
      <c r="L6" s="154"/>
      <c r="M6" s="130"/>
      <c r="U6" s="250"/>
      <c r="V6" s="479"/>
    </row>
    <row r="7" spans="1:22" s="153" customFormat="1" ht="15.75" customHeight="1">
      <c r="A7" s="750" t="s">
        <v>546</v>
      </c>
      <c r="B7" s="751"/>
      <c r="C7" s="350" t="s">
        <v>547</v>
      </c>
      <c r="D7" s="750" t="s">
        <v>12</v>
      </c>
      <c r="E7" s="752"/>
      <c r="F7" s="751"/>
      <c r="G7" s="365" t="s">
        <v>557</v>
      </c>
      <c r="H7" s="365" t="s">
        <v>558</v>
      </c>
      <c r="I7" s="365" t="s">
        <v>559</v>
      </c>
      <c r="J7" s="221" t="s">
        <v>560</v>
      </c>
      <c r="K7" s="750" t="s">
        <v>561</v>
      </c>
      <c r="L7" s="751"/>
      <c r="M7" s="152"/>
      <c r="U7" s="477"/>
      <c r="V7" s="478"/>
    </row>
    <row r="8" spans="1:22" ht="15.75" customHeight="1">
      <c r="A8" s="748">
        <f>J5</f>
        <v>9</v>
      </c>
      <c r="B8" s="754" t="str">
        <f>J6</f>
        <v>微波小吃</v>
      </c>
      <c r="C8" s="558">
        <v>1</v>
      </c>
      <c r="D8" s="346" t="s">
        <v>357</v>
      </c>
      <c r="E8" s="347"/>
      <c r="F8" s="348"/>
      <c r="G8" s="439">
        <v>7</v>
      </c>
      <c r="H8" s="439">
        <v>1468.4953407553726</v>
      </c>
      <c r="I8" s="439">
        <v>209.7850486793389</v>
      </c>
      <c r="J8" s="239" t="s">
        <v>776</v>
      </c>
      <c r="K8" s="769" t="s">
        <v>802</v>
      </c>
      <c r="L8" s="770"/>
      <c r="M8" s="130"/>
      <c r="U8" s="250"/>
      <c r="V8" s="479"/>
    </row>
    <row r="9" spans="1:22" ht="15.75" customHeight="1">
      <c r="A9" s="753"/>
      <c r="B9" s="755"/>
      <c r="C9" s="558">
        <v>2</v>
      </c>
      <c r="D9" s="346" t="s">
        <v>391</v>
      </c>
      <c r="E9" s="347"/>
      <c r="F9" s="348"/>
      <c r="G9" s="439">
        <v>7</v>
      </c>
      <c r="H9" s="439">
        <v>1465.6601876261047</v>
      </c>
      <c r="I9" s="439">
        <v>209.38002680372924</v>
      </c>
      <c r="J9" s="240" t="s">
        <v>778</v>
      </c>
      <c r="K9" s="771"/>
      <c r="L9" s="772"/>
      <c r="M9" s="130"/>
      <c r="U9" s="250"/>
      <c r="V9" s="479"/>
    </row>
    <row r="10" spans="1:22" ht="15.75" customHeight="1">
      <c r="A10" s="753"/>
      <c r="B10" s="755"/>
      <c r="C10" s="558">
        <v>3</v>
      </c>
      <c r="D10" s="346" t="s">
        <v>356</v>
      </c>
      <c r="E10" s="347"/>
      <c r="F10" s="348"/>
      <c r="G10" s="439">
        <v>7</v>
      </c>
      <c r="H10" s="439">
        <v>1444.5980997560505</v>
      </c>
      <c r="I10" s="439">
        <v>206.37115710800717</v>
      </c>
      <c r="J10" s="240" t="s">
        <v>778</v>
      </c>
      <c r="K10" s="771"/>
      <c r="L10" s="772"/>
      <c r="M10" s="130"/>
      <c r="U10" s="250"/>
      <c r="V10" s="479"/>
    </row>
    <row r="11" spans="1:22" ht="15.75" customHeight="1">
      <c r="A11" s="753"/>
      <c r="B11" s="755"/>
      <c r="C11" s="558">
        <v>4</v>
      </c>
      <c r="D11" s="362" t="s">
        <v>567</v>
      </c>
      <c r="E11" s="347"/>
      <c r="F11" s="348"/>
      <c r="G11" s="439">
        <v>7</v>
      </c>
      <c r="H11" s="439">
        <v>1425.2148106419706</v>
      </c>
      <c r="I11" s="439">
        <v>203.60211580599579</v>
      </c>
      <c r="J11" s="241" t="s">
        <v>779</v>
      </c>
      <c r="K11" s="771"/>
      <c r="L11" s="772"/>
      <c r="M11" s="130"/>
      <c r="U11" s="250"/>
      <c r="V11" s="479"/>
    </row>
    <row r="12" spans="1:22" ht="15.75" customHeight="1">
      <c r="A12" s="753"/>
      <c r="B12" s="755"/>
      <c r="C12" s="558">
        <v>5</v>
      </c>
      <c r="D12" s="362" t="s">
        <v>634</v>
      </c>
      <c r="E12" s="347"/>
      <c r="F12" s="348"/>
      <c r="G12" s="439">
        <v>7</v>
      </c>
      <c r="H12" s="439">
        <v>1423.0178032010833</v>
      </c>
      <c r="I12" s="439">
        <v>203.28825760015479</v>
      </c>
      <c r="J12" s="241" t="s">
        <v>779</v>
      </c>
      <c r="K12" s="773"/>
      <c r="L12" s="774"/>
      <c r="M12" s="130"/>
    </row>
    <row r="13" spans="1:22" ht="15.75" customHeight="1">
      <c r="A13" s="753"/>
      <c r="B13" s="755"/>
      <c r="C13" s="164" t="s">
        <v>780</v>
      </c>
      <c r="D13" s="362" t="s">
        <v>629</v>
      </c>
      <c r="E13" s="347"/>
      <c r="F13" s="348"/>
      <c r="G13" s="439">
        <v>16</v>
      </c>
      <c r="H13" s="439">
        <v>1132.8186372052894</v>
      </c>
      <c r="I13" s="439">
        <v>70.801164825330588</v>
      </c>
      <c r="J13" s="239" t="s">
        <v>776</v>
      </c>
      <c r="K13" s="768"/>
      <c r="L13" s="768"/>
      <c r="M13" s="130"/>
    </row>
    <row r="14" spans="1:22" ht="15.75" customHeight="1">
      <c r="A14" s="753"/>
      <c r="B14" s="755"/>
      <c r="C14" s="164" t="s">
        <v>781</v>
      </c>
      <c r="D14" s="346" t="s">
        <v>358</v>
      </c>
      <c r="E14" s="347"/>
      <c r="F14" s="348"/>
      <c r="G14" s="439">
        <v>17</v>
      </c>
      <c r="H14" s="439">
        <v>1396.726820932088</v>
      </c>
      <c r="I14" s="439">
        <v>82.160401231299304</v>
      </c>
      <c r="J14" s="239" t="s">
        <v>776</v>
      </c>
      <c r="K14" s="766"/>
      <c r="L14" s="767"/>
      <c r="M14" s="130"/>
    </row>
    <row r="15" spans="1:22" ht="15.75" customHeight="1">
      <c r="A15" s="753"/>
      <c r="B15" s="755"/>
      <c r="C15" s="164" t="s">
        <v>782</v>
      </c>
      <c r="D15" s="346" t="s">
        <v>617</v>
      </c>
      <c r="E15" s="347"/>
      <c r="F15" s="348"/>
      <c r="G15" s="361">
        <v>12</v>
      </c>
      <c r="H15" s="361">
        <v>1444.5845460821522</v>
      </c>
      <c r="I15" s="361">
        <v>120.382045506846</v>
      </c>
      <c r="J15" s="239" t="s">
        <v>776</v>
      </c>
      <c r="K15" s="712" t="s">
        <v>803</v>
      </c>
      <c r="L15" s="713"/>
      <c r="M15" s="130"/>
    </row>
    <row r="16" spans="1:22" ht="15.75" customHeight="1">
      <c r="A16" s="753"/>
      <c r="B16" s="755"/>
      <c r="C16" s="164" t="s">
        <v>783</v>
      </c>
      <c r="D16" s="362" t="s">
        <v>616</v>
      </c>
      <c r="E16" s="347"/>
      <c r="F16" s="348"/>
      <c r="G16" s="361">
        <v>12</v>
      </c>
      <c r="H16" s="361">
        <v>1479.7611073883309</v>
      </c>
      <c r="I16" s="361">
        <v>123.31342561569423</v>
      </c>
      <c r="J16" s="241" t="s">
        <v>779</v>
      </c>
      <c r="K16" s="714"/>
      <c r="L16" s="715"/>
      <c r="M16" s="151"/>
    </row>
    <row r="17" spans="1:13" ht="15.75" customHeight="1">
      <c r="A17" s="749"/>
      <c r="B17" s="756"/>
      <c r="C17" s="164" t="s">
        <v>784</v>
      </c>
      <c r="D17" s="362" t="s">
        <v>583</v>
      </c>
      <c r="E17" s="347"/>
      <c r="F17" s="348"/>
      <c r="G17" s="361">
        <v>11.428571428571429</v>
      </c>
      <c r="H17" s="361">
        <v>1509.8129422196014</v>
      </c>
      <c r="I17" s="361">
        <v>132.64098683794978</v>
      </c>
      <c r="J17" s="240" t="s">
        <v>778</v>
      </c>
      <c r="K17" s="716"/>
      <c r="L17" s="717"/>
      <c r="M17" s="151"/>
    </row>
    <row r="18" spans="1:13" s="161" customFormat="1" ht="15.75" customHeight="1">
      <c r="A18" s="763" t="s">
        <v>785</v>
      </c>
      <c r="B18" s="764"/>
      <c r="C18" s="559" t="s">
        <v>786</v>
      </c>
      <c r="D18" s="763" t="s">
        <v>12</v>
      </c>
      <c r="E18" s="765"/>
      <c r="F18" s="764"/>
      <c r="G18" s="559" t="s">
        <v>787</v>
      </c>
      <c r="H18" s="559" t="s">
        <v>788</v>
      </c>
      <c r="I18" s="559" t="s">
        <v>789</v>
      </c>
      <c r="J18" s="221" t="s">
        <v>790</v>
      </c>
      <c r="K18" s="763" t="s">
        <v>791</v>
      </c>
      <c r="L18" s="764"/>
      <c r="M18" s="154"/>
    </row>
    <row r="19" spans="1:13" ht="15.75" customHeight="1">
      <c r="A19" s="748"/>
      <c r="B19" s="754"/>
      <c r="C19" s="558">
        <v>1</v>
      </c>
      <c r="D19" s="346"/>
      <c r="E19" s="347"/>
      <c r="F19" s="348"/>
      <c r="G19" s="560"/>
      <c r="H19" s="560"/>
      <c r="I19" s="560"/>
      <c r="J19" s="560"/>
      <c r="K19" s="777"/>
      <c r="L19" s="778"/>
      <c r="M19" s="151"/>
    </row>
    <row r="20" spans="1:13" ht="15.75" customHeight="1">
      <c r="A20" s="753"/>
      <c r="B20" s="755"/>
      <c r="C20" s="558">
        <v>2</v>
      </c>
      <c r="D20" s="346"/>
      <c r="E20" s="347"/>
      <c r="F20" s="348"/>
      <c r="G20" s="560"/>
      <c r="H20" s="560"/>
      <c r="I20" s="560"/>
      <c r="J20" s="560"/>
      <c r="K20" s="775"/>
      <c r="L20" s="776"/>
      <c r="M20" s="151"/>
    </row>
    <row r="21" spans="1:13" ht="15.75" customHeight="1">
      <c r="A21" s="753"/>
      <c r="B21" s="755"/>
      <c r="C21" s="558">
        <v>3</v>
      </c>
      <c r="D21" s="346"/>
      <c r="E21" s="347"/>
      <c r="F21" s="348"/>
      <c r="G21" s="560"/>
      <c r="H21" s="560"/>
      <c r="I21" s="560"/>
      <c r="J21" s="560"/>
      <c r="K21" s="775"/>
      <c r="L21" s="776"/>
      <c r="M21" s="151"/>
    </row>
    <row r="22" spans="1:13" ht="15.75" customHeight="1">
      <c r="A22" s="753"/>
      <c r="B22" s="755"/>
      <c r="C22" s="558">
        <v>4</v>
      </c>
      <c r="D22" s="346"/>
      <c r="E22" s="347"/>
      <c r="F22" s="348"/>
      <c r="G22" s="560"/>
      <c r="H22" s="560"/>
      <c r="I22" s="560"/>
      <c r="J22" s="560"/>
      <c r="K22" s="775"/>
      <c r="L22" s="776"/>
      <c r="M22" s="151"/>
    </row>
    <row r="23" spans="1:13" ht="15.75" customHeight="1">
      <c r="A23" s="753"/>
      <c r="B23" s="755"/>
      <c r="C23" s="558">
        <v>5</v>
      </c>
      <c r="D23" s="346"/>
      <c r="E23" s="347"/>
      <c r="F23" s="348"/>
      <c r="G23" s="560"/>
      <c r="H23" s="560"/>
      <c r="I23" s="560"/>
      <c r="J23" s="560"/>
      <c r="K23" s="775"/>
      <c r="L23" s="776"/>
      <c r="M23" s="151"/>
    </row>
    <row r="24" spans="1:13" ht="15.75" customHeight="1">
      <c r="A24" s="753"/>
      <c r="B24" s="755"/>
      <c r="C24" s="164" t="s">
        <v>780</v>
      </c>
      <c r="D24" s="346"/>
      <c r="E24" s="347"/>
      <c r="F24" s="348"/>
      <c r="G24" s="560"/>
      <c r="H24" s="560"/>
      <c r="I24" s="560"/>
      <c r="J24" s="560"/>
      <c r="K24" s="777"/>
      <c r="L24" s="778"/>
      <c r="M24" s="151"/>
    </row>
    <row r="25" spans="1:13" ht="15.75" customHeight="1">
      <c r="A25" s="753"/>
      <c r="B25" s="755"/>
      <c r="C25" s="164" t="s">
        <v>781</v>
      </c>
      <c r="D25" s="346"/>
      <c r="E25" s="347"/>
      <c r="F25" s="348"/>
      <c r="G25" s="560"/>
      <c r="H25" s="560"/>
      <c r="I25" s="560"/>
      <c r="J25" s="560"/>
      <c r="K25" s="775"/>
      <c r="L25" s="776"/>
      <c r="M25" s="151"/>
    </row>
    <row r="26" spans="1:13" ht="15.75" customHeight="1">
      <c r="A26" s="753"/>
      <c r="B26" s="755"/>
      <c r="C26" s="164" t="s">
        <v>782</v>
      </c>
      <c r="D26" s="346"/>
      <c r="E26" s="347"/>
      <c r="F26" s="348"/>
      <c r="G26" s="560"/>
      <c r="H26" s="560"/>
      <c r="I26" s="560"/>
      <c r="J26" s="560"/>
      <c r="K26" s="775"/>
      <c r="L26" s="776"/>
      <c r="M26" s="151"/>
    </row>
    <row r="27" spans="1:13" ht="15.75" customHeight="1">
      <c r="A27" s="753"/>
      <c r="B27" s="755"/>
      <c r="C27" s="164" t="s">
        <v>783</v>
      </c>
      <c r="D27" s="346"/>
      <c r="E27" s="347"/>
      <c r="F27" s="348"/>
      <c r="G27" s="560"/>
      <c r="H27" s="560"/>
      <c r="I27" s="560"/>
      <c r="J27" s="560"/>
      <c r="K27" s="775"/>
      <c r="L27" s="776"/>
      <c r="M27" s="151"/>
    </row>
    <row r="28" spans="1:13" ht="15.75" customHeight="1">
      <c r="A28" s="749"/>
      <c r="B28" s="756"/>
      <c r="C28" s="164" t="s">
        <v>784</v>
      </c>
      <c r="D28" s="346"/>
      <c r="E28" s="347"/>
      <c r="F28" s="348"/>
      <c r="G28" s="560"/>
      <c r="H28" s="560"/>
      <c r="I28" s="560"/>
      <c r="J28" s="560"/>
      <c r="K28" s="775"/>
      <c r="L28" s="776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7">
    <mergeCell ref="K25:L25"/>
    <mergeCell ref="K22:L22"/>
    <mergeCell ref="K24:L24"/>
    <mergeCell ref="K23:L23"/>
    <mergeCell ref="A18:B18"/>
    <mergeCell ref="D18:F18"/>
    <mergeCell ref="K18:L18"/>
    <mergeCell ref="A19:A28"/>
    <mergeCell ref="B19:B28"/>
    <mergeCell ref="K19:L19"/>
    <mergeCell ref="K20:L20"/>
    <mergeCell ref="K28:L28"/>
    <mergeCell ref="K26:L26"/>
    <mergeCell ref="K21:L21"/>
    <mergeCell ref="K27:L27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8:L12"/>
    <mergeCell ref="K15:L1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4" ht="15.75" customHeight="1">
      <c r="A1" s="781" t="s">
        <v>217</v>
      </c>
      <c r="B1" s="781"/>
      <c r="C1" s="781"/>
      <c r="D1" s="781"/>
      <c r="E1" s="781"/>
      <c r="F1" s="781"/>
      <c r="G1" s="781"/>
      <c r="H1" s="781"/>
      <c r="I1" s="781"/>
      <c r="J1" s="781"/>
      <c r="K1" s="781"/>
      <c r="L1" s="781"/>
      <c r="M1" s="781"/>
    </row>
    <row r="2" spans="1:14" s="183" customFormat="1" ht="15.75" customHeight="1">
      <c r="A2" s="781"/>
      <c r="B2" s="781"/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</row>
    <row r="3" spans="1:14" ht="15.75" customHeight="1">
      <c r="A3" s="782" t="s">
        <v>218</v>
      </c>
      <c r="B3" s="782"/>
      <c r="C3" s="782"/>
      <c r="D3" s="782"/>
      <c r="E3" s="782"/>
      <c r="F3" s="782"/>
      <c r="G3" s="782"/>
      <c r="H3" s="782"/>
      <c r="I3" s="782"/>
      <c r="J3" s="782"/>
      <c r="K3" s="782"/>
      <c r="L3" s="782"/>
      <c r="M3" s="782"/>
      <c r="N3" s="184"/>
    </row>
    <row r="4" spans="1:14" s="183" customFormat="1" ht="15.75" customHeight="1">
      <c r="A4" s="782"/>
      <c r="B4" s="782"/>
      <c r="C4" s="782"/>
      <c r="D4" s="782"/>
      <c r="E4" s="782"/>
      <c r="F4" s="782"/>
      <c r="G4" s="782"/>
      <c r="H4" s="782"/>
      <c r="I4" s="782"/>
      <c r="J4" s="782"/>
      <c r="K4" s="782"/>
      <c r="L4" s="782"/>
      <c r="M4" s="782"/>
      <c r="N4" s="185"/>
    </row>
    <row r="5" spans="1:14" ht="15.75" customHeight="1">
      <c r="A5" s="186" t="s">
        <v>219</v>
      </c>
      <c r="B5" s="187">
        <v>212376150</v>
      </c>
    </row>
    <row r="6" spans="1:14" ht="15.75" customHeight="1">
      <c r="A6" s="783" t="s">
        <v>220</v>
      </c>
      <c r="B6" s="784" t="s">
        <v>10</v>
      </c>
      <c r="C6" s="784"/>
      <c r="D6" s="785"/>
      <c r="E6" s="783" t="s">
        <v>220</v>
      </c>
      <c r="F6" s="787">
        <v>1</v>
      </c>
      <c r="G6" s="787"/>
      <c r="H6" s="787">
        <v>2</v>
      </c>
      <c r="I6" s="787"/>
      <c r="J6" s="787">
        <v>3</v>
      </c>
      <c r="K6" s="787"/>
      <c r="L6" s="787">
        <v>4</v>
      </c>
      <c r="M6" s="787"/>
    </row>
    <row r="7" spans="1:14" ht="31.35" customHeight="1">
      <c r="A7" s="783"/>
      <c r="B7" s="784"/>
      <c r="C7" s="784"/>
      <c r="D7" s="786"/>
      <c r="E7" s="783"/>
      <c r="F7" s="779" t="s">
        <v>231</v>
      </c>
      <c r="G7" s="779"/>
      <c r="H7" s="779" t="s">
        <v>221</v>
      </c>
      <c r="I7" s="779"/>
      <c r="J7" s="779" t="s">
        <v>222</v>
      </c>
      <c r="K7" s="779"/>
      <c r="L7" s="779" t="s">
        <v>223</v>
      </c>
      <c r="M7" s="779"/>
    </row>
    <row r="8" spans="1:14" ht="15.75" customHeight="1">
      <c r="A8" s="783"/>
      <c r="B8" s="215" t="s">
        <v>11</v>
      </c>
      <c r="C8" s="215" t="s">
        <v>224</v>
      </c>
      <c r="D8" s="786"/>
      <c r="E8" s="783"/>
      <c r="F8" s="215" t="s">
        <v>11</v>
      </c>
      <c r="G8" s="215" t="s">
        <v>224</v>
      </c>
      <c r="H8" s="215" t="s">
        <v>11</v>
      </c>
      <c r="I8" s="215" t="s">
        <v>224</v>
      </c>
      <c r="J8" s="215" t="s">
        <v>11</v>
      </c>
      <c r="K8" s="215" t="s">
        <v>224</v>
      </c>
      <c r="L8" s="215" t="s">
        <v>11</v>
      </c>
      <c r="M8" s="215" t="s">
        <v>224</v>
      </c>
    </row>
    <row r="9" spans="1:14" s="193" customFormat="1" ht="19.350000000000001" customHeight="1">
      <c r="A9" s="188" t="s">
        <v>225</v>
      </c>
      <c r="B9" s="189">
        <v>47927.00699999994</v>
      </c>
      <c r="C9" s="190">
        <f>B9/$B$5</f>
        <v>2.256703824793883E-4</v>
      </c>
      <c r="D9" s="786"/>
      <c r="E9" s="188" t="s">
        <v>225</v>
      </c>
      <c r="F9" s="191">
        <v>1423.9050000000002</v>
      </c>
      <c r="G9" s="192">
        <f>IFERROR(F9/$B$9,"")</f>
        <v>2.9709866923256903E-2</v>
      </c>
      <c r="H9" s="191">
        <v>5535.9419999999991</v>
      </c>
      <c r="I9" s="192">
        <f>IFERROR(H9/$B$9,"")</f>
        <v>0.11550777623146812</v>
      </c>
      <c r="J9" s="191">
        <v>6691.5360000000019</v>
      </c>
      <c r="K9" s="192">
        <f>IFERROR(J9/$B$9,"")</f>
        <v>0.13961931735065389</v>
      </c>
      <c r="L9" s="191">
        <v>17258.763000000006</v>
      </c>
      <c r="M9" s="192">
        <f>IFERROR(L9/$B$9,"")</f>
        <v>0.36010516993059943</v>
      </c>
    </row>
    <row r="10" spans="1:14" s="193" customFormat="1" ht="19.350000000000001" customHeight="1">
      <c r="A10" s="194" t="s">
        <v>226</v>
      </c>
      <c r="B10" s="195">
        <v>69974.579191980054</v>
      </c>
      <c r="C10" s="190">
        <f>B10/$B$5</f>
        <v>3.2948416849999424E-4</v>
      </c>
      <c r="D10" s="786"/>
      <c r="E10" s="194" t="s">
        <v>226</v>
      </c>
      <c r="F10" s="191">
        <v>1179.8078200000007</v>
      </c>
      <c r="G10" s="192">
        <f>IFERROR(F10/$B$10,"")</f>
        <v>1.6860520400746062E-2</v>
      </c>
      <c r="H10" s="191">
        <v>3563.9139100000007</v>
      </c>
      <c r="I10" s="192">
        <f>IFERROR(H10/$B$10,"")</f>
        <v>5.0931551874319365E-2</v>
      </c>
      <c r="J10" s="191">
        <v>3130.998689999999</v>
      </c>
      <c r="K10" s="192">
        <f>IFERROR(J10/$B$10,"")</f>
        <v>4.4744801986016804E-2</v>
      </c>
      <c r="L10" s="191">
        <v>14381.948886699534</v>
      </c>
      <c r="M10" s="192">
        <f>IFERROR(L10/$B$10,"")</f>
        <v>0.20553105217312806</v>
      </c>
    </row>
    <row r="11" spans="1:14" ht="15.75" customHeight="1">
      <c r="D11" s="786"/>
      <c r="E11" s="783" t="s">
        <v>220</v>
      </c>
      <c r="F11" s="787">
        <v>5</v>
      </c>
      <c r="G11" s="787"/>
      <c r="H11" s="787">
        <v>6</v>
      </c>
      <c r="I11" s="787"/>
      <c r="J11" s="787">
        <v>7</v>
      </c>
      <c r="K11" s="787"/>
      <c r="L11" s="788">
        <v>8</v>
      </c>
      <c r="M11" s="788"/>
    </row>
    <row r="12" spans="1:14" ht="31.35" customHeight="1">
      <c r="D12" s="786"/>
      <c r="E12" s="783"/>
      <c r="F12" s="779" t="s">
        <v>227</v>
      </c>
      <c r="G12" s="779"/>
      <c r="H12" s="779" t="s">
        <v>228</v>
      </c>
      <c r="I12" s="779"/>
      <c r="J12" s="779" t="s">
        <v>229</v>
      </c>
      <c r="K12" s="779"/>
      <c r="L12" s="780" t="s">
        <v>230</v>
      </c>
      <c r="M12" s="780"/>
    </row>
    <row r="13" spans="1:14" ht="15.75" customHeight="1">
      <c r="D13" s="786"/>
      <c r="E13" s="783"/>
      <c r="F13" s="215" t="s">
        <v>11</v>
      </c>
      <c r="G13" s="215" t="s">
        <v>224</v>
      </c>
      <c r="H13" s="215" t="s">
        <v>11</v>
      </c>
      <c r="I13" s="215" t="s">
        <v>224</v>
      </c>
      <c r="J13" s="215" t="s">
        <v>11</v>
      </c>
      <c r="K13" s="215" t="s">
        <v>224</v>
      </c>
      <c r="L13" s="215" t="s">
        <v>11</v>
      </c>
      <c r="M13" s="215" t="s">
        <v>224</v>
      </c>
    </row>
    <row r="14" spans="1:14" s="193" customFormat="1" ht="19.350000000000001" customHeight="1">
      <c r="D14" s="786"/>
      <c r="E14" s="188" t="s">
        <v>225</v>
      </c>
      <c r="F14" s="191">
        <v>12460.915000000001</v>
      </c>
      <c r="G14" s="192">
        <f>IFERROR(F14/$B$9,"")</f>
        <v>0.25999777119401629</v>
      </c>
      <c r="H14" s="191">
        <v>1494.27</v>
      </c>
      <c r="I14" s="192">
        <f>IFERROR(H14/$B$9,"")</f>
        <v>3.1178037051218365E-2</v>
      </c>
      <c r="J14" s="191">
        <v>3061.675999999999</v>
      </c>
      <c r="K14" s="192">
        <f>IFERROR(J14/$B$9,"")</f>
        <v>6.3882061318788444E-2</v>
      </c>
      <c r="L14" s="191">
        <v>0</v>
      </c>
      <c r="M14" s="192">
        <f>IFERROR(L14/$B$9,"")</f>
        <v>0</v>
      </c>
    </row>
    <row r="15" spans="1:14" s="193" customFormat="1" ht="19.350000000000001" customHeight="1">
      <c r="D15" s="786"/>
      <c r="E15" s="194" t="s">
        <v>226</v>
      </c>
      <c r="F15" s="191">
        <v>30846.731825280494</v>
      </c>
      <c r="G15" s="192">
        <f>IFERROR(F15/$B$10,"")</f>
        <v>0.44082768601795191</v>
      </c>
      <c r="H15" s="191">
        <v>12704.309300000044</v>
      </c>
      <c r="I15" s="192">
        <f>IFERROR(H15/$B$10,"")</f>
        <v>0.18155606574131589</v>
      </c>
      <c r="J15" s="191">
        <v>3994.7131600000112</v>
      </c>
      <c r="K15" s="192">
        <f>IFERROR(J15/$B$10,"")</f>
        <v>5.7088062638293857E-2</v>
      </c>
      <c r="L15" s="191">
        <v>0</v>
      </c>
      <c r="M15" s="192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16"/>
  <sheetViews>
    <sheetView zoomScale="110" zoomScaleNormal="110" zoomScaleSheetLayoutView="115" workbookViewId="0">
      <selection activeCell="O23" sqref="O23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9" ht="15.75" customHeight="1">
      <c r="A1" s="781" t="s">
        <v>217</v>
      </c>
      <c r="B1" s="781"/>
      <c r="C1" s="781"/>
      <c r="D1" s="781"/>
      <c r="E1" s="781"/>
      <c r="F1" s="781"/>
      <c r="G1" s="781"/>
      <c r="H1" s="781"/>
      <c r="I1" s="781"/>
      <c r="J1" s="781"/>
      <c r="K1" s="781"/>
      <c r="L1" s="781"/>
      <c r="M1" s="781"/>
    </row>
    <row r="2" spans="1:19" s="183" customFormat="1" ht="15.75" customHeight="1">
      <c r="A2" s="781"/>
      <c r="B2" s="781"/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</row>
    <row r="3" spans="1:19" ht="15.75" customHeight="1">
      <c r="A3" s="782" t="s">
        <v>606</v>
      </c>
      <c r="B3" s="782"/>
      <c r="C3" s="782"/>
      <c r="D3" s="782"/>
      <c r="E3" s="782"/>
      <c r="F3" s="782"/>
      <c r="G3" s="782"/>
      <c r="H3" s="782"/>
      <c r="I3" s="782"/>
      <c r="J3" s="782"/>
      <c r="K3" s="782"/>
      <c r="L3" s="782"/>
      <c r="M3" s="782"/>
    </row>
    <row r="4" spans="1:19" s="183" customFormat="1" ht="15.75" customHeight="1">
      <c r="A4" s="782"/>
      <c r="B4" s="782"/>
      <c r="C4" s="782"/>
      <c r="D4" s="782"/>
      <c r="E4" s="782"/>
      <c r="F4" s="782"/>
      <c r="G4" s="782"/>
      <c r="H4" s="782"/>
      <c r="I4" s="782"/>
      <c r="J4" s="782"/>
      <c r="K4" s="782"/>
      <c r="L4" s="782"/>
      <c r="M4" s="782"/>
    </row>
    <row r="5" spans="1:19" ht="15.75" customHeight="1" thickBot="1"/>
    <row r="6" spans="1:19" ht="15.75" customHeight="1" thickBot="1">
      <c r="A6" s="394" t="s">
        <v>723</v>
      </c>
      <c r="B6" s="395">
        <v>59579431</v>
      </c>
      <c r="C6" s="396" t="s">
        <v>745</v>
      </c>
      <c r="E6" s="791" t="s">
        <v>710</v>
      </c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3"/>
    </row>
    <row r="7" spans="1:19" ht="15.75" customHeight="1">
      <c r="A7" s="794" t="s">
        <v>711</v>
      </c>
      <c r="B7" s="784" t="s">
        <v>10</v>
      </c>
      <c r="C7" s="795"/>
      <c r="D7" s="786"/>
      <c r="E7" s="796" t="s">
        <v>711</v>
      </c>
      <c r="F7" s="798">
        <v>1</v>
      </c>
      <c r="G7" s="799"/>
      <c r="H7" s="800">
        <v>2</v>
      </c>
      <c r="I7" s="801"/>
      <c r="J7" s="801">
        <v>3</v>
      </c>
      <c r="K7" s="802"/>
      <c r="L7" s="798">
        <v>4</v>
      </c>
      <c r="M7" s="799"/>
      <c r="N7" s="803">
        <v>5</v>
      </c>
      <c r="O7" s="804"/>
      <c r="P7" s="805">
        <v>6</v>
      </c>
      <c r="Q7" s="800"/>
      <c r="R7" s="802">
        <v>7</v>
      </c>
      <c r="S7" s="804"/>
    </row>
    <row r="8" spans="1:19" ht="15.75" customHeight="1">
      <c r="A8" s="794"/>
      <c r="B8" s="784"/>
      <c r="C8" s="795"/>
      <c r="D8" s="786"/>
      <c r="E8" s="797"/>
      <c r="F8" s="806" t="s">
        <v>609</v>
      </c>
      <c r="G8" s="807"/>
      <c r="H8" s="808" t="s">
        <v>659</v>
      </c>
      <c r="I8" s="779"/>
      <c r="J8" s="779" t="s">
        <v>367</v>
      </c>
      <c r="K8" s="789"/>
      <c r="L8" s="806" t="s">
        <v>495</v>
      </c>
      <c r="M8" s="807"/>
      <c r="N8" s="809" t="s">
        <v>193</v>
      </c>
      <c r="O8" s="790"/>
      <c r="P8" s="810" t="s">
        <v>194</v>
      </c>
      <c r="Q8" s="808"/>
      <c r="R8" s="789" t="s">
        <v>509</v>
      </c>
      <c r="S8" s="790"/>
    </row>
    <row r="9" spans="1:19" ht="15.75" customHeight="1">
      <c r="A9" s="794"/>
      <c r="B9" s="549" t="s">
        <v>11</v>
      </c>
      <c r="C9" s="550" t="s">
        <v>709</v>
      </c>
      <c r="D9" s="786"/>
      <c r="E9" s="797"/>
      <c r="F9" s="397" t="s">
        <v>11</v>
      </c>
      <c r="G9" s="550" t="s">
        <v>709</v>
      </c>
      <c r="H9" s="398" t="s">
        <v>11</v>
      </c>
      <c r="I9" s="549" t="s">
        <v>709</v>
      </c>
      <c r="J9" s="549" t="s">
        <v>11</v>
      </c>
      <c r="K9" s="399" t="s">
        <v>709</v>
      </c>
      <c r="L9" s="397" t="s">
        <v>11</v>
      </c>
      <c r="M9" s="550" t="s">
        <v>709</v>
      </c>
      <c r="N9" s="397" t="s">
        <v>11</v>
      </c>
      <c r="O9" s="550" t="s">
        <v>709</v>
      </c>
      <c r="P9" s="398" t="s">
        <v>11</v>
      </c>
      <c r="Q9" s="549" t="s">
        <v>709</v>
      </c>
      <c r="R9" s="549" t="s">
        <v>11</v>
      </c>
      <c r="S9" s="550" t="s">
        <v>709</v>
      </c>
    </row>
    <row r="10" spans="1:19" ht="15.75" customHeight="1">
      <c r="A10" s="261" t="s">
        <v>674</v>
      </c>
      <c r="B10" s="262">
        <v>144339.37099999998</v>
      </c>
      <c r="C10" s="400">
        <v>2.4226376213629833E-3</v>
      </c>
      <c r="D10" s="786"/>
      <c r="E10" s="401" t="s">
        <v>674</v>
      </c>
      <c r="F10" s="402">
        <v>0</v>
      </c>
      <c r="G10" s="264">
        <v>0</v>
      </c>
      <c r="H10" s="403">
        <v>901.3180000000001</v>
      </c>
      <c r="I10" s="192">
        <v>6.2444362460191138E-3</v>
      </c>
      <c r="J10" s="263">
        <v>2842.085</v>
      </c>
      <c r="K10" s="404">
        <v>1.9690296419540308E-2</v>
      </c>
      <c r="L10" s="402">
        <v>9172.152</v>
      </c>
      <c r="M10" s="264">
        <v>6.3545739020852463E-2</v>
      </c>
      <c r="N10" s="402">
        <v>3945.7150000000001</v>
      </c>
      <c r="O10" s="264">
        <v>2.7336373801989205E-2</v>
      </c>
      <c r="P10" s="403">
        <v>1072.8520000000001</v>
      </c>
      <c r="Q10" s="192">
        <v>7.4328438080833829E-3</v>
      </c>
      <c r="R10" s="263">
        <v>1058.335</v>
      </c>
      <c r="S10" s="264">
        <v>7.3322683386225938E-3</v>
      </c>
    </row>
    <row r="11" spans="1:19" ht="15.75" customHeight="1" thickBot="1">
      <c r="A11" s="405" t="s">
        <v>712</v>
      </c>
      <c r="B11" s="406">
        <v>238709.81049191422</v>
      </c>
      <c r="C11" s="407">
        <v>4.0065809035993352E-3</v>
      </c>
      <c r="D11" s="786"/>
      <c r="E11" s="408" t="s">
        <v>712</v>
      </c>
      <c r="F11" s="409">
        <v>0</v>
      </c>
      <c r="G11" s="266">
        <v>0</v>
      </c>
      <c r="H11" s="409">
        <v>0</v>
      </c>
      <c r="I11" s="265">
        <v>0</v>
      </c>
      <c r="J11" s="409">
        <v>2842.03424</v>
      </c>
      <c r="K11" s="410">
        <v>1.1905812476426341E-2</v>
      </c>
      <c r="L11" s="409">
        <v>9699.8032700000131</v>
      </c>
      <c r="M11" s="266">
        <v>4.0634288343706651E-2</v>
      </c>
      <c r="N11" s="409">
        <v>10201.565639999999</v>
      </c>
      <c r="O11" s="266">
        <v>4.2736264667871934E-2</v>
      </c>
      <c r="P11" s="409">
        <v>3767.2114999999931</v>
      </c>
      <c r="Q11" s="265">
        <v>1.578155289150799E-2</v>
      </c>
      <c r="R11" s="409">
        <v>3861.2001999999984</v>
      </c>
      <c r="S11" s="266">
        <v>1.617528911795935E-2</v>
      </c>
    </row>
    <row r="12" spans="1:19" ht="15.75" customHeight="1">
      <c r="A12" s="427"/>
      <c r="B12" s="184"/>
      <c r="C12" s="184"/>
      <c r="D12" s="786"/>
    </row>
    <row r="13" spans="1:19" ht="15.75" customHeight="1">
      <c r="A13" s="427"/>
      <c r="B13" s="184"/>
      <c r="C13" s="184"/>
      <c r="D13" s="786"/>
    </row>
    <row r="14" spans="1:19" ht="15.75" customHeight="1">
      <c r="A14" s="427"/>
      <c r="B14" s="184"/>
      <c r="C14" s="184"/>
      <c r="D14" s="786"/>
    </row>
    <row r="15" spans="1:19" ht="15.75" customHeight="1">
      <c r="A15" s="428"/>
      <c r="B15" s="429"/>
      <c r="C15" s="429"/>
      <c r="D15" s="786"/>
    </row>
    <row r="16" spans="1:19" ht="15.75" customHeight="1">
      <c r="A16" s="428"/>
      <c r="B16" s="429"/>
      <c r="C16" s="429"/>
      <c r="D16" s="786"/>
    </row>
  </sheetData>
  <mergeCells count="21">
    <mergeCell ref="J8:K8"/>
    <mergeCell ref="L8:M8"/>
    <mergeCell ref="A1:M2"/>
    <mergeCell ref="N8:O8"/>
    <mergeCell ref="P8:Q8"/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D7:D1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O18" sqref="O18:P18"/>
    </sheetView>
  </sheetViews>
  <sheetFormatPr defaultColWidth="12.5703125" defaultRowHeight="15.75" customHeight="1"/>
  <cols>
    <col min="1" max="1" width="5.42578125" style="119" customWidth="1"/>
    <col min="2" max="2" width="11.42578125" style="174" customWidth="1"/>
    <col min="3" max="3" width="4" style="160" customWidth="1"/>
    <col min="4" max="17" width="9.5703125" style="119" customWidth="1"/>
    <col min="18" max="16384" width="12.5703125" style="119"/>
  </cols>
  <sheetData>
    <row r="1" spans="1:17" ht="15.75" customHeight="1">
      <c r="A1" s="588" t="s">
        <v>185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</row>
    <row r="2" spans="1:17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</row>
    <row r="3" spans="1:17" ht="15.75" customHeight="1">
      <c r="A3" s="718" t="s">
        <v>191</v>
      </c>
      <c r="B3" s="719"/>
      <c r="C3" s="719"/>
      <c r="D3" s="719"/>
      <c r="E3" s="719"/>
      <c r="F3" s="719"/>
      <c r="G3" s="719"/>
      <c r="H3" s="719"/>
      <c r="I3" s="719"/>
      <c r="J3" s="719"/>
      <c r="K3" s="719"/>
      <c r="L3" s="719"/>
      <c r="M3" s="719"/>
      <c r="N3" s="151"/>
    </row>
    <row r="4" spans="1:17" s="120" customFormat="1" ht="15.75" customHeight="1">
      <c r="A4" s="719"/>
      <c r="B4" s="719"/>
      <c r="C4" s="719"/>
      <c r="D4" s="719"/>
      <c r="E4" s="719"/>
      <c r="F4" s="719"/>
      <c r="G4" s="719"/>
      <c r="H4" s="719"/>
      <c r="I4" s="719"/>
      <c r="J4" s="719"/>
      <c r="K4" s="719"/>
      <c r="L4" s="719"/>
      <c r="M4" s="719"/>
      <c r="N4" s="130"/>
    </row>
    <row r="5" spans="1:17" ht="15.75" customHeight="1">
      <c r="A5" s="607" t="s">
        <v>171</v>
      </c>
      <c r="B5" s="845">
        <v>1</v>
      </c>
      <c r="C5" s="845"/>
      <c r="D5" s="845">
        <v>2</v>
      </c>
      <c r="E5" s="845"/>
      <c r="F5" s="845">
        <v>3</v>
      </c>
      <c r="G5" s="845"/>
      <c r="H5" s="840">
        <v>4</v>
      </c>
      <c r="I5" s="840"/>
      <c r="J5" s="840">
        <v>5</v>
      </c>
      <c r="K5" s="840"/>
      <c r="L5" s="840">
        <v>6</v>
      </c>
      <c r="M5" s="840"/>
      <c r="N5" s="840">
        <v>7</v>
      </c>
      <c r="O5" s="840"/>
      <c r="P5" s="840">
        <v>8</v>
      </c>
      <c r="Q5" s="840"/>
    </row>
    <row r="6" spans="1:17" ht="15.75" customHeight="1">
      <c r="A6" s="607"/>
      <c r="B6" s="846" t="s">
        <v>302</v>
      </c>
      <c r="C6" s="846"/>
      <c r="D6" s="846" t="s">
        <v>192</v>
      </c>
      <c r="E6" s="846"/>
      <c r="F6" s="846" t="s">
        <v>163</v>
      </c>
      <c r="G6" s="846"/>
      <c r="H6" s="607" t="s">
        <v>495</v>
      </c>
      <c r="I6" s="607"/>
      <c r="J6" s="607" t="s">
        <v>169</v>
      </c>
      <c r="K6" s="607"/>
      <c r="L6" s="607" t="s">
        <v>164</v>
      </c>
      <c r="M6" s="607"/>
      <c r="N6" s="607" t="s">
        <v>170</v>
      </c>
      <c r="O6" s="607"/>
      <c r="P6" s="844" t="s">
        <v>195</v>
      </c>
      <c r="Q6" s="607"/>
    </row>
    <row r="8" spans="1:17" s="153" customFormat="1" ht="15.75" customHeight="1">
      <c r="A8" s="830" t="s">
        <v>649</v>
      </c>
      <c r="B8" s="831"/>
      <c r="C8" s="553" t="s">
        <v>540</v>
      </c>
      <c r="D8" s="832" t="s">
        <v>12</v>
      </c>
      <c r="E8" s="833"/>
      <c r="F8" s="834"/>
      <c r="G8" s="551" t="s">
        <v>650</v>
      </c>
      <c r="H8" s="552"/>
      <c r="I8" s="553"/>
      <c r="J8" s="169" t="s">
        <v>651</v>
      </c>
      <c r="K8" s="169" t="s">
        <v>652</v>
      </c>
      <c r="L8" s="169" t="s">
        <v>653</v>
      </c>
      <c r="M8" s="169" t="s">
        <v>11</v>
      </c>
      <c r="N8" s="323" t="s">
        <v>13</v>
      </c>
      <c r="O8" s="835" t="s">
        <v>50</v>
      </c>
      <c r="P8" s="836"/>
    </row>
    <row r="9" spans="1:17" ht="15.75" customHeight="1">
      <c r="A9" s="748">
        <v>1</v>
      </c>
      <c r="B9" s="817" t="s">
        <v>609</v>
      </c>
      <c r="C9" s="170">
        <v>1</v>
      </c>
      <c r="D9" s="561">
        <v>0</v>
      </c>
      <c r="E9" s="820"/>
      <c r="F9" s="821"/>
      <c r="G9" s="561">
        <v>0</v>
      </c>
      <c r="H9" s="820"/>
      <c r="I9" s="821"/>
      <c r="J9" s="4">
        <v>0</v>
      </c>
      <c r="K9" s="14">
        <v>0</v>
      </c>
      <c r="L9" s="4">
        <v>0</v>
      </c>
      <c r="M9" s="411">
        <v>0</v>
      </c>
      <c r="N9" s="171"/>
      <c r="O9" s="826"/>
      <c r="P9" s="827"/>
    </row>
    <row r="10" spans="1:17" ht="15.75" customHeight="1">
      <c r="A10" s="753"/>
      <c r="B10" s="818"/>
      <c r="C10" s="170">
        <v>2</v>
      </c>
      <c r="D10" s="561">
        <v>0</v>
      </c>
      <c r="E10" s="820"/>
      <c r="F10" s="821"/>
      <c r="G10" s="561">
        <v>0</v>
      </c>
      <c r="H10" s="820"/>
      <c r="I10" s="821"/>
      <c r="J10" s="4">
        <v>0</v>
      </c>
      <c r="K10" s="14">
        <v>0</v>
      </c>
      <c r="L10" s="4">
        <v>0</v>
      </c>
      <c r="M10" s="411">
        <v>0</v>
      </c>
      <c r="N10" s="171"/>
      <c r="O10" s="826"/>
      <c r="P10" s="827"/>
    </row>
    <row r="11" spans="1:17" ht="15.75" customHeight="1">
      <c r="A11" s="753"/>
      <c r="B11" s="818"/>
      <c r="C11" s="170">
        <v>3</v>
      </c>
      <c r="D11" s="561">
        <v>0</v>
      </c>
      <c r="E11" s="820"/>
      <c r="F11" s="821"/>
      <c r="G11" s="561">
        <v>0</v>
      </c>
      <c r="H11" s="820"/>
      <c r="I11" s="821"/>
      <c r="J11" s="4">
        <v>0</v>
      </c>
      <c r="K11" s="14">
        <v>0</v>
      </c>
      <c r="L11" s="4">
        <v>0</v>
      </c>
      <c r="M11" s="411">
        <v>0</v>
      </c>
      <c r="N11" s="171"/>
      <c r="O11" s="826"/>
      <c r="P11" s="827"/>
    </row>
    <row r="12" spans="1:17" ht="15.75" customHeight="1">
      <c r="A12" s="753"/>
      <c r="B12" s="818"/>
      <c r="C12" s="170">
        <v>4</v>
      </c>
      <c r="D12" s="561">
        <v>0</v>
      </c>
      <c r="E12" s="820"/>
      <c r="F12" s="821"/>
      <c r="G12" s="561">
        <v>0</v>
      </c>
      <c r="H12" s="820"/>
      <c r="I12" s="821"/>
      <c r="J12" s="4">
        <v>0</v>
      </c>
      <c r="K12" s="14">
        <v>0</v>
      </c>
      <c r="L12" s="4">
        <v>0</v>
      </c>
      <c r="M12" s="411">
        <v>0</v>
      </c>
      <c r="N12" s="171"/>
      <c r="O12" s="826"/>
      <c r="P12" s="827"/>
    </row>
    <row r="13" spans="1:17" ht="15.75" customHeight="1" thickBot="1">
      <c r="A13" s="753"/>
      <c r="B13" s="818"/>
      <c r="C13" s="172">
        <v>5</v>
      </c>
      <c r="D13" s="837">
        <v>0</v>
      </c>
      <c r="E13" s="838"/>
      <c r="F13" s="839"/>
      <c r="G13" s="837">
        <v>0</v>
      </c>
      <c r="H13" s="838"/>
      <c r="I13" s="839"/>
      <c r="J13" s="4">
        <v>0</v>
      </c>
      <c r="K13" s="14">
        <v>0</v>
      </c>
      <c r="L13" s="4">
        <v>0</v>
      </c>
      <c r="M13" s="411">
        <v>0</v>
      </c>
      <c r="N13" s="171"/>
      <c r="O13" s="828"/>
      <c r="P13" s="829"/>
    </row>
    <row r="14" spans="1:17" ht="15.75" customHeight="1" thickTop="1" thickBot="1">
      <c r="A14" s="749"/>
      <c r="B14" s="819"/>
      <c r="C14" s="811"/>
      <c r="D14" s="812"/>
      <c r="E14" s="812"/>
      <c r="F14" s="812"/>
      <c r="G14" s="812"/>
      <c r="H14" s="812"/>
      <c r="I14" s="813"/>
      <c r="J14" s="322" t="s">
        <v>655</v>
      </c>
      <c r="K14" s="244">
        <v>0</v>
      </c>
      <c r="L14" s="322" t="s">
        <v>656</v>
      </c>
      <c r="M14" s="412">
        <v>0</v>
      </c>
      <c r="N14" s="841"/>
      <c r="O14" s="842"/>
      <c r="P14" s="843"/>
    </row>
    <row r="15" spans="1:17" ht="15.75" customHeight="1" thickTop="1"/>
    <row r="16" spans="1:17" ht="15.75" customHeight="1">
      <c r="A16" s="830" t="s">
        <v>649</v>
      </c>
      <c r="B16" s="831"/>
      <c r="C16" s="553" t="s">
        <v>540</v>
      </c>
      <c r="D16" s="832" t="s">
        <v>12</v>
      </c>
      <c r="E16" s="833"/>
      <c r="F16" s="834"/>
      <c r="G16" s="551" t="s">
        <v>650</v>
      </c>
      <c r="H16" s="552"/>
      <c r="I16" s="553"/>
      <c r="J16" s="169" t="s">
        <v>651</v>
      </c>
      <c r="K16" s="169" t="s">
        <v>652</v>
      </c>
      <c r="L16" s="169" t="s">
        <v>653</v>
      </c>
      <c r="M16" s="169" t="s">
        <v>11</v>
      </c>
      <c r="N16" s="323" t="s">
        <v>13</v>
      </c>
      <c r="O16" s="835" t="s">
        <v>50</v>
      </c>
      <c r="P16" s="836"/>
    </row>
    <row r="17" spans="1:16" ht="15.75" customHeight="1">
      <c r="A17" s="748">
        <v>2</v>
      </c>
      <c r="B17" s="817" t="s">
        <v>659</v>
      </c>
      <c r="C17" s="170">
        <v>1</v>
      </c>
      <c r="D17" s="561" t="s">
        <v>331</v>
      </c>
      <c r="E17" s="820"/>
      <c r="F17" s="821"/>
      <c r="G17" s="561" t="s">
        <v>746</v>
      </c>
      <c r="H17" s="820"/>
      <c r="I17" s="821"/>
      <c r="J17" s="4">
        <v>150.91999999999999</v>
      </c>
      <c r="K17" s="14">
        <v>2.3985682392664073E-2</v>
      </c>
      <c r="L17" s="4">
        <v>1.3</v>
      </c>
      <c r="M17" s="411">
        <v>196.196</v>
      </c>
      <c r="N17" s="171"/>
      <c r="O17" s="847" t="s">
        <v>640</v>
      </c>
      <c r="P17" s="848"/>
    </row>
    <row r="18" spans="1:16" ht="15.75" customHeight="1">
      <c r="A18" s="753"/>
      <c r="B18" s="818"/>
      <c r="C18" s="170">
        <v>2</v>
      </c>
      <c r="D18" s="561" t="s">
        <v>654</v>
      </c>
      <c r="E18" s="820"/>
      <c r="F18" s="821"/>
      <c r="G18" s="561" t="s">
        <v>747</v>
      </c>
      <c r="H18" s="820"/>
      <c r="I18" s="821"/>
      <c r="J18" s="4">
        <v>85.03</v>
      </c>
      <c r="K18" s="14">
        <v>4.5418641390205371E-2</v>
      </c>
      <c r="L18" s="4">
        <v>2.2999999999999998</v>
      </c>
      <c r="M18" s="411">
        <v>195.56899999999999</v>
      </c>
      <c r="N18" s="171"/>
      <c r="O18" s="847" t="s">
        <v>640</v>
      </c>
      <c r="P18" s="848"/>
    </row>
    <row r="19" spans="1:16" ht="15.75" customHeight="1">
      <c r="A19" s="753"/>
      <c r="B19" s="818"/>
      <c r="C19" s="170">
        <v>3</v>
      </c>
      <c r="D19" s="561" t="s">
        <v>579</v>
      </c>
      <c r="E19" s="820"/>
      <c r="F19" s="821"/>
      <c r="G19" s="561" t="s">
        <v>748</v>
      </c>
      <c r="H19" s="820"/>
      <c r="I19" s="821"/>
      <c r="J19" s="4">
        <v>116.39</v>
      </c>
      <c r="K19" s="14">
        <v>7.2098053352559491E-2</v>
      </c>
      <c r="L19" s="4">
        <v>1.6</v>
      </c>
      <c r="M19" s="411">
        <v>186.22400000000002</v>
      </c>
      <c r="N19" s="171"/>
      <c r="O19" s="847" t="s">
        <v>640</v>
      </c>
      <c r="P19" s="848"/>
    </row>
    <row r="20" spans="1:16" ht="15.75" customHeight="1">
      <c r="A20" s="753"/>
      <c r="B20" s="818"/>
      <c r="C20" s="170">
        <v>4</v>
      </c>
      <c r="D20" s="561" t="s">
        <v>344</v>
      </c>
      <c r="E20" s="820"/>
      <c r="F20" s="821"/>
      <c r="G20" s="561" t="s">
        <v>749</v>
      </c>
      <c r="H20" s="820"/>
      <c r="I20" s="821"/>
      <c r="J20" s="4">
        <v>418.41</v>
      </c>
      <c r="K20" s="14">
        <v>3.2276284999596547E-2</v>
      </c>
      <c r="L20" s="4">
        <v>0.4</v>
      </c>
      <c r="M20" s="411">
        <v>167.36400000000003</v>
      </c>
      <c r="N20" s="171"/>
      <c r="O20" s="826" t="s">
        <v>640</v>
      </c>
      <c r="P20" s="827"/>
    </row>
    <row r="21" spans="1:16" ht="15.75" customHeight="1" thickBot="1">
      <c r="A21" s="753"/>
      <c r="B21" s="818"/>
      <c r="C21" s="172">
        <v>5</v>
      </c>
      <c r="D21" s="561" t="s">
        <v>716</v>
      </c>
      <c r="E21" s="820"/>
      <c r="F21" s="821"/>
      <c r="G21" s="561" t="s">
        <v>718</v>
      </c>
      <c r="H21" s="820"/>
      <c r="I21" s="821"/>
      <c r="J21" s="4">
        <v>547.79999999999995</v>
      </c>
      <c r="K21" s="14">
        <v>0.16474464579901152</v>
      </c>
      <c r="L21" s="4">
        <v>0.3</v>
      </c>
      <c r="M21" s="411">
        <v>164.33999999999997</v>
      </c>
      <c r="N21" s="173"/>
      <c r="O21" s="828" t="s">
        <v>640</v>
      </c>
      <c r="P21" s="829"/>
    </row>
    <row r="22" spans="1:16" ht="15.75" customHeight="1" thickTop="1" thickBot="1">
      <c r="A22" s="749"/>
      <c r="B22" s="819"/>
      <c r="C22" s="822"/>
      <c r="D22" s="823"/>
      <c r="E22" s="823"/>
      <c r="F22" s="823"/>
      <c r="G22" s="823"/>
      <c r="H22" s="823"/>
      <c r="I22" s="824"/>
      <c r="J22" s="322" t="s">
        <v>655</v>
      </c>
      <c r="K22" s="244">
        <v>6.3024592229932895E-3</v>
      </c>
      <c r="L22" s="322" t="s">
        <v>656</v>
      </c>
      <c r="M22" s="412">
        <v>909.69299999999998</v>
      </c>
      <c r="N22" s="825"/>
      <c r="O22" s="815"/>
      <c r="P22" s="816"/>
    </row>
    <row r="23" spans="1:16" ht="15.75" customHeight="1" thickTop="1"/>
    <row r="24" spans="1:16" ht="15.75" customHeight="1">
      <c r="A24" s="830" t="s">
        <v>649</v>
      </c>
      <c r="B24" s="831"/>
      <c r="C24" s="553" t="s">
        <v>540</v>
      </c>
      <c r="D24" s="832" t="s">
        <v>12</v>
      </c>
      <c r="E24" s="833"/>
      <c r="F24" s="834"/>
      <c r="G24" s="551" t="s">
        <v>650</v>
      </c>
      <c r="H24" s="552"/>
      <c r="I24" s="553"/>
      <c r="J24" s="169" t="s">
        <v>651</v>
      </c>
      <c r="K24" s="169" t="s">
        <v>652</v>
      </c>
      <c r="L24" s="169" t="s">
        <v>653</v>
      </c>
      <c r="M24" s="169" t="s">
        <v>11</v>
      </c>
      <c r="N24" s="323" t="s">
        <v>13</v>
      </c>
      <c r="O24" s="835" t="s">
        <v>50</v>
      </c>
      <c r="P24" s="836"/>
    </row>
    <row r="25" spans="1:16" ht="15.75" customHeight="1">
      <c r="A25" s="748">
        <v>3</v>
      </c>
      <c r="B25" s="817" t="s">
        <v>367</v>
      </c>
      <c r="C25" s="170">
        <v>1</v>
      </c>
      <c r="D25" s="561" t="s">
        <v>577</v>
      </c>
      <c r="E25" s="820"/>
      <c r="F25" s="821"/>
      <c r="G25" s="561" t="s">
        <v>750</v>
      </c>
      <c r="H25" s="820"/>
      <c r="I25" s="821"/>
      <c r="J25" s="4">
        <v>96.32</v>
      </c>
      <c r="K25" s="14">
        <v>2.6465528648934766E-2</v>
      </c>
      <c r="L25" s="4">
        <v>2</v>
      </c>
      <c r="M25" s="411">
        <v>192.64</v>
      </c>
      <c r="N25" s="171"/>
      <c r="O25" s="826" t="s">
        <v>517</v>
      </c>
      <c r="P25" s="827"/>
    </row>
    <row r="26" spans="1:16" ht="15.75" customHeight="1">
      <c r="A26" s="753"/>
      <c r="B26" s="818"/>
      <c r="C26" s="170">
        <v>2</v>
      </c>
      <c r="D26" s="561" t="s">
        <v>346</v>
      </c>
      <c r="E26" s="820"/>
      <c r="F26" s="821"/>
      <c r="G26" s="561" t="s">
        <v>751</v>
      </c>
      <c r="H26" s="820"/>
      <c r="I26" s="821"/>
      <c r="J26" s="4">
        <v>95.43</v>
      </c>
      <c r="K26" s="14">
        <v>3.3840947546531303E-2</v>
      </c>
      <c r="L26" s="4">
        <v>2</v>
      </c>
      <c r="M26" s="411">
        <v>190.86</v>
      </c>
      <c r="N26" s="171"/>
      <c r="O26" s="826" t="s">
        <v>517</v>
      </c>
      <c r="P26" s="827"/>
    </row>
    <row r="27" spans="1:16" ht="15.75" customHeight="1">
      <c r="A27" s="753"/>
      <c r="B27" s="818"/>
      <c r="C27" s="170">
        <v>3</v>
      </c>
      <c r="D27" s="561" t="s">
        <v>595</v>
      </c>
      <c r="E27" s="820"/>
      <c r="F27" s="821"/>
      <c r="G27" s="561" t="s">
        <v>738</v>
      </c>
      <c r="H27" s="820"/>
      <c r="I27" s="821"/>
      <c r="J27" s="4">
        <v>143.99</v>
      </c>
      <c r="K27" s="14">
        <v>2.4358253700580854E-2</v>
      </c>
      <c r="L27" s="4">
        <v>1.3</v>
      </c>
      <c r="M27" s="411">
        <v>187.18700000000001</v>
      </c>
      <c r="N27" s="171"/>
      <c r="O27" s="826" t="s">
        <v>517</v>
      </c>
      <c r="P27" s="827"/>
    </row>
    <row r="28" spans="1:16" ht="15.75" customHeight="1">
      <c r="A28" s="753"/>
      <c r="B28" s="818"/>
      <c r="C28" s="170">
        <v>4</v>
      </c>
      <c r="D28" s="561" t="s">
        <v>351</v>
      </c>
      <c r="E28" s="820"/>
      <c r="F28" s="821"/>
      <c r="G28" s="561" t="s">
        <v>724</v>
      </c>
      <c r="H28" s="820"/>
      <c r="I28" s="821"/>
      <c r="J28" s="4">
        <v>151.29</v>
      </c>
      <c r="K28" s="14">
        <v>2.9940119760479042E-2</v>
      </c>
      <c r="L28" s="4">
        <v>1.2</v>
      </c>
      <c r="M28" s="411">
        <v>181.54799999999997</v>
      </c>
      <c r="N28" s="171"/>
      <c r="O28" s="826" t="s">
        <v>517</v>
      </c>
      <c r="P28" s="827"/>
    </row>
    <row r="29" spans="1:16" ht="15.75" customHeight="1" thickBot="1">
      <c r="A29" s="753"/>
      <c r="B29" s="818"/>
      <c r="C29" s="172">
        <v>5</v>
      </c>
      <c r="D29" s="561" t="s">
        <v>344</v>
      </c>
      <c r="E29" s="820"/>
      <c r="F29" s="821"/>
      <c r="G29" s="561" t="s">
        <v>752</v>
      </c>
      <c r="H29" s="820"/>
      <c r="I29" s="821"/>
      <c r="J29" s="4">
        <v>354.37</v>
      </c>
      <c r="K29" s="14">
        <v>3.1875557822261889E-2</v>
      </c>
      <c r="L29" s="4">
        <v>0.5</v>
      </c>
      <c r="M29" s="411">
        <v>177.185</v>
      </c>
      <c r="N29" s="173"/>
      <c r="O29" s="828" t="s">
        <v>517</v>
      </c>
      <c r="P29" s="829"/>
    </row>
    <row r="30" spans="1:16" ht="15.75" customHeight="1" thickTop="1" thickBot="1">
      <c r="A30" s="749"/>
      <c r="B30" s="819"/>
      <c r="C30" s="811"/>
      <c r="D30" s="812"/>
      <c r="E30" s="812"/>
      <c r="F30" s="812"/>
      <c r="G30" s="812"/>
      <c r="H30" s="812"/>
      <c r="I30" s="813"/>
      <c r="J30" s="322" t="s">
        <v>655</v>
      </c>
      <c r="K30" s="244">
        <v>6.4391301802195064E-3</v>
      </c>
      <c r="L30" s="322" t="s">
        <v>656</v>
      </c>
      <c r="M30" s="412">
        <v>929.42000000000007</v>
      </c>
      <c r="N30" s="814"/>
      <c r="O30" s="815"/>
      <c r="P30" s="816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10" zoomScaleNormal="60" zoomScaleSheetLayoutView="100" workbookViewId="0">
      <selection activeCell="G34" sqref="G34:I34"/>
    </sheetView>
  </sheetViews>
  <sheetFormatPr defaultColWidth="12.5703125" defaultRowHeight="15.75" customHeight="1"/>
  <cols>
    <col min="1" max="1" width="5.42578125" style="76" customWidth="1"/>
    <col min="2" max="2" width="11.42578125" style="110" customWidth="1"/>
    <col min="3" max="3" width="4" style="108" customWidth="1"/>
    <col min="4" max="17" width="9.5703125" style="76" customWidth="1"/>
    <col min="18" max="16384" width="12.5703125" style="76"/>
  </cols>
  <sheetData>
    <row r="1" spans="1:17" s="119" customFormat="1" ht="15.75" customHeight="1">
      <c r="A1" s="588" t="s">
        <v>185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</row>
    <row r="2" spans="1:17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</row>
    <row r="3" spans="1:17" s="119" customFormat="1" ht="15.75" customHeight="1">
      <c r="A3" s="718" t="s">
        <v>191</v>
      </c>
      <c r="B3" s="719"/>
      <c r="C3" s="719"/>
      <c r="D3" s="719"/>
      <c r="E3" s="719"/>
      <c r="F3" s="719"/>
      <c r="G3" s="719"/>
      <c r="H3" s="719"/>
      <c r="I3" s="719"/>
      <c r="J3" s="719"/>
      <c r="K3" s="719"/>
      <c r="L3" s="719"/>
      <c r="M3" s="719"/>
      <c r="N3" s="151"/>
    </row>
    <row r="4" spans="1:17" s="120" customFormat="1" ht="15.75" customHeight="1">
      <c r="A4" s="719"/>
      <c r="B4" s="719"/>
      <c r="C4" s="719"/>
      <c r="D4" s="719"/>
      <c r="E4" s="719"/>
      <c r="F4" s="719"/>
      <c r="G4" s="719"/>
      <c r="H4" s="719"/>
      <c r="I4" s="719"/>
      <c r="J4" s="719"/>
      <c r="K4" s="719"/>
      <c r="L4" s="719"/>
      <c r="M4" s="719"/>
      <c r="N4" s="130"/>
    </row>
    <row r="5" spans="1:17" s="119" customFormat="1" ht="15.75" customHeight="1">
      <c r="A5" s="607" t="s">
        <v>171</v>
      </c>
      <c r="B5" s="840">
        <v>1</v>
      </c>
      <c r="C5" s="840"/>
      <c r="D5" s="840">
        <v>2</v>
      </c>
      <c r="E5" s="840"/>
      <c r="F5" s="840">
        <v>3</v>
      </c>
      <c r="G5" s="840"/>
      <c r="H5" s="845">
        <v>4</v>
      </c>
      <c r="I5" s="845"/>
      <c r="J5" s="845">
        <v>5</v>
      </c>
      <c r="K5" s="845"/>
      <c r="L5" s="845">
        <v>6</v>
      </c>
      <c r="M5" s="845"/>
      <c r="N5" s="845">
        <v>7</v>
      </c>
      <c r="O5" s="845"/>
      <c r="P5" s="840">
        <v>8</v>
      </c>
      <c r="Q5" s="840"/>
    </row>
    <row r="6" spans="1:17" s="119" customFormat="1" ht="15.75" customHeight="1">
      <c r="A6" s="607"/>
      <c r="B6" s="607" t="s">
        <v>303</v>
      </c>
      <c r="C6" s="607"/>
      <c r="D6" s="607" t="s">
        <v>192</v>
      </c>
      <c r="E6" s="607"/>
      <c r="F6" s="607" t="s">
        <v>163</v>
      </c>
      <c r="G6" s="607"/>
      <c r="H6" s="846" t="s">
        <v>495</v>
      </c>
      <c r="I6" s="846"/>
      <c r="J6" s="846" t="s">
        <v>169</v>
      </c>
      <c r="K6" s="846"/>
      <c r="L6" s="846" t="s">
        <v>164</v>
      </c>
      <c r="M6" s="846"/>
      <c r="N6" s="846" t="s">
        <v>170</v>
      </c>
      <c r="O6" s="846"/>
      <c r="P6" s="844" t="s">
        <v>195</v>
      </c>
      <c r="Q6" s="607"/>
    </row>
    <row r="7" spans="1:17" s="119" customFormat="1" ht="15.75" customHeight="1">
      <c r="B7" s="174"/>
      <c r="C7" s="160"/>
    </row>
    <row r="8" spans="1:17" s="109" customFormat="1" ht="15.75" customHeight="1">
      <c r="A8" s="849" t="s">
        <v>649</v>
      </c>
      <c r="B8" s="850"/>
      <c r="C8" s="116" t="s">
        <v>540</v>
      </c>
      <c r="D8" s="851" t="s">
        <v>12</v>
      </c>
      <c r="E8" s="852"/>
      <c r="F8" s="853"/>
      <c r="G8" s="114" t="s">
        <v>650</v>
      </c>
      <c r="H8" s="115"/>
      <c r="I8" s="116"/>
      <c r="J8" s="113" t="s">
        <v>651</v>
      </c>
      <c r="K8" s="113" t="s">
        <v>652</v>
      </c>
      <c r="L8" s="113" t="s">
        <v>653</v>
      </c>
      <c r="M8" s="117" t="s">
        <v>11</v>
      </c>
      <c r="N8" s="323" t="s">
        <v>13</v>
      </c>
      <c r="O8" s="854" t="s">
        <v>50</v>
      </c>
      <c r="P8" s="855"/>
    </row>
    <row r="9" spans="1:17" ht="15.75" customHeight="1">
      <c r="A9" s="850">
        <v>4</v>
      </c>
      <c r="B9" s="857" t="s">
        <v>495</v>
      </c>
      <c r="C9" s="111">
        <v>1</v>
      </c>
      <c r="D9" s="561" t="s">
        <v>346</v>
      </c>
      <c r="E9" s="820"/>
      <c r="F9" s="821"/>
      <c r="G9" s="561" t="s">
        <v>753</v>
      </c>
      <c r="H9" s="820"/>
      <c r="I9" s="821"/>
      <c r="J9" s="4">
        <v>90.4</v>
      </c>
      <c r="K9" s="14">
        <v>1.2513366550633632E-2</v>
      </c>
      <c r="L9" s="4">
        <v>2.2000000000000002</v>
      </c>
      <c r="M9" s="411">
        <v>198.88000000000002</v>
      </c>
      <c r="N9" s="4"/>
      <c r="O9" s="826" t="s">
        <v>657</v>
      </c>
      <c r="P9" s="863"/>
      <c r="Q9" s="260"/>
    </row>
    <row r="10" spans="1:17" ht="15.75" customHeight="1">
      <c r="A10" s="850"/>
      <c r="B10" s="857"/>
      <c r="C10" s="111">
        <v>2</v>
      </c>
      <c r="D10" s="561" t="s">
        <v>331</v>
      </c>
      <c r="E10" s="820"/>
      <c r="F10" s="821"/>
      <c r="G10" s="561" t="s">
        <v>754</v>
      </c>
      <c r="H10" s="820"/>
      <c r="I10" s="821"/>
      <c r="J10" s="4">
        <v>116.66</v>
      </c>
      <c r="K10" s="14">
        <v>6.9405885619100499E-3</v>
      </c>
      <c r="L10" s="4">
        <v>1.7</v>
      </c>
      <c r="M10" s="411">
        <v>198.322</v>
      </c>
      <c r="N10" s="4"/>
      <c r="O10" s="826" t="s">
        <v>657</v>
      </c>
      <c r="P10" s="863"/>
      <c r="Q10" s="260"/>
    </row>
    <row r="11" spans="1:17" ht="15.75" customHeight="1">
      <c r="A11" s="850"/>
      <c r="B11" s="857"/>
      <c r="C11" s="111">
        <v>3</v>
      </c>
      <c r="D11" s="561" t="s">
        <v>512</v>
      </c>
      <c r="E11" s="820"/>
      <c r="F11" s="821"/>
      <c r="G11" s="561" t="s">
        <v>726</v>
      </c>
      <c r="H11" s="820"/>
      <c r="I11" s="821"/>
      <c r="J11" s="4">
        <v>103.97</v>
      </c>
      <c r="K11" s="14">
        <v>2.1827790223447642E-2</v>
      </c>
      <c r="L11" s="4">
        <v>1.9</v>
      </c>
      <c r="M11" s="411">
        <v>197.54299999999998</v>
      </c>
      <c r="N11" s="4"/>
      <c r="O11" s="826" t="s">
        <v>657</v>
      </c>
      <c r="P11" s="863"/>
      <c r="Q11" s="260"/>
    </row>
    <row r="12" spans="1:17" ht="15.75" customHeight="1">
      <c r="A12" s="850"/>
      <c r="B12" s="857"/>
      <c r="C12" s="111">
        <v>4</v>
      </c>
      <c r="D12" s="561" t="s">
        <v>636</v>
      </c>
      <c r="E12" s="820"/>
      <c r="F12" s="821"/>
      <c r="G12" s="561" t="s">
        <v>727</v>
      </c>
      <c r="H12" s="820"/>
      <c r="I12" s="821"/>
      <c r="J12" s="4">
        <v>103.55</v>
      </c>
      <c r="K12" s="14">
        <v>5.6736741519350211E-3</v>
      </c>
      <c r="L12" s="4">
        <v>1.9</v>
      </c>
      <c r="M12" s="411">
        <v>196.74499999999998</v>
      </c>
      <c r="N12" s="4"/>
      <c r="O12" s="826" t="s">
        <v>657</v>
      </c>
      <c r="P12" s="863"/>
      <c r="Q12" s="260"/>
    </row>
    <row r="13" spans="1:17" ht="15.75" customHeight="1" thickBot="1">
      <c r="A13" s="850"/>
      <c r="B13" s="857"/>
      <c r="C13" s="112">
        <v>5</v>
      </c>
      <c r="D13" s="561" t="s">
        <v>331</v>
      </c>
      <c r="E13" s="820"/>
      <c r="F13" s="821"/>
      <c r="G13" s="561" t="s">
        <v>728</v>
      </c>
      <c r="H13" s="820"/>
      <c r="I13" s="821"/>
      <c r="J13" s="4">
        <v>160.9</v>
      </c>
      <c r="K13" s="14">
        <v>1.8764659890539482E-2</v>
      </c>
      <c r="L13" s="4">
        <v>1.2</v>
      </c>
      <c r="M13" s="411">
        <v>193.08</v>
      </c>
      <c r="N13" s="27"/>
      <c r="O13" s="826" t="s">
        <v>657</v>
      </c>
      <c r="P13" s="863"/>
      <c r="Q13" s="260"/>
    </row>
    <row r="14" spans="1:17" ht="15.75" customHeight="1" thickTop="1" thickBot="1">
      <c r="A14" s="850"/>
      <c r="B14" s="857"/>
      <c r="C14" s="865"/>
      <c r="D14" s="865"/>
      <c r="E14" s="865"/>
      <c r="F14" s="865"/>
      <c r="G14" s="865"/>
      <c r="H14" s="865"/>
      <c r="I14" s="865"/>
      <c r="J14" s="245" t="s">
        <v>655</v>
      </c>
      <c r="K14" s="244">
        <v>6.8212158136673612E-3</v>
      </c>
      <c r="L14" s="245" t="s">
        <v>656</v>
      </c>
      <c r="M14" s="412">
        <v>984.57</v>
      </c>
      <c r="N14" s="864"/>
      <c r="O14" s="864"/>
      <c r="P14" s="864"/>
      <c r="Q14" s="260"/>
    </row>
    <row r="15" spans="1:17" ht="15.75" customHeight="1" thickTop="1">
      <c r="A15" s="548"/>
      <c r="D15" s="548"/>
      <c r="E15" s="548"/>
      <c r="F15" s="548"/>
      <c r="G15" s="548"/>
      <c r="H15" s="548"/>
      <c r="I15" s="548"/>
      <c r="J15" s="548"/>
      <c r="K15" s="548"/>
      <c r="L15" s="548"/>
      <c r="M15" s="548"/>
      <c r="N15" s="548"/>
      <c r="O15" s="548"/>
      <c r="P15" s="548"/>
      <c r="Q15" s="260"/>
    </row>
    <row r="16" spans="1:17" ht="15.75" customHeight="1">
      <c r="A16" s="849" t="s">
        <v>649</v>
      </c>
      <c r="B16" s="850"/>
      <c r="C16" s="116" t="s">
        <v>540</v>
      </c>
      <c r="D16" s="851" t="s">
        <v>12</v>
      </c>
      <c r="E16" s="852"/>
      <c r="F16" s="853"/>
      <c r="G16" s="114" t="s">
        <v>650</v>
      </c>
      <c r="H16" s="115"/>
      <c r="I16" s="116"/>
      <c r="J16" s="113" t="s">
        <v>651</v>
      </c>
      <c r="K16" s="113" t="s">
        <v>652</v>
      </c>
      <c r="L16" s="113" t="s">
        <v>653</v>
      </c>
      <c r="M16" s="117" t="s">
        <v>11</v>
      </c>
      <c r="N16" s="323" t="s">
        <v>13</v>
      </c>
      <c r="O16" s="854" t="s">
        <v>50</v>
      </c>
      <c r="P16" s="855"/>
      <c r="Q16" s="260"/>
    </row>
    <row r="17" spans="1:17" ht="15.75" customHeight="1">
      <c r="A17" s="850">
        <v>5</v>
      </c>
      <c r="B17" s="856" t="s">
        <v>193</v>
      </c>
      <c r="C17" s="111">
        <v>1</v>
      </c>
      <c r="D17" s="561" t="s">
        <v>630</v>
      </c>
      <c r="E17" s="820"/>
      <c r="F17" s="821"/>
      <c r="G17" s="561" t="s">
        <v>631</v>
      </c>
      <c r="H17" s="820"/>
      <c r="I17" s="821"/>
      <c r="J17" s="4">
        <v>395.29</v>
      </c>
      <c r="K17" s="14">
        <v>1.5723270440251572E-2</v>
      </c>
      <c r="L17" s="4">
        <v>0.5</v>
      </c>
      <c r="M17" s="411">
        <v>197.64500000000001</v>
      </c>
      <c r="N17" s="4"/>
      <c r="O17" s="826" t="s">
        <v>508</v>
      </c>
      <c r="P17" s="863"/>
      <c r="Q17" s="260"/>
    </row>
    <row r="18" spans="1:17" ht="15.75" customHeight="1">
      <c r="A18" s="850"/>
      <c r="B18" s="857"/>
      <c r="C18" s="111">
        <v>2</v>
      </c>
      <c r="D18" s="561" t="s">
        <v>512</v>
      </c>
      <c r="E18" s="820"/>
      <c r="F18" s="821"/>
      <c r="G18" s="561" t="s">
        <v>730</v>
      </c>
      <c r="H18" s="820"/>
      <c r="I18" s="821"/>
      <c r="J18" s="4">
        <v>278.12</v>
      </c>
      <c r="K18" s="14">
        <v>2.2095959595959596E-2</v>
      </c>
      <c r="L18" s="4">
        <v>0.7</v>
      </c>
      <c r="M18" s="411">
        <v>194.684</v>
      </c>
      <c r="N18" s="4"/>
      <c r="O18" s="826" t="s">
        <v>508</v>
      </c>
      <c r="P18" s="863"/>
      <c r="Q18" s="260"/>
    </row>
    <row r="19" spans="1:17" ht="15.75" customHeight="1">
      <c r="A19" s="850"/>
      <c r="B19" s="857"/>
      <c r="C19" s="111">
        <v>3</v>
      </c>
      <c r="D19" s="561" t="s">
        <v>331</v>
      </c>
      <c r="E19" s="820"/>
      <c r="F19" s="821"/>
      <c r="G19" s="561" t="s">
        <v>731</v>
      </c>
      <c r="H19" s="820"/>
      <c r="I19" s="821"/>
      <c r="J19" s="4">
        <v>136.88999999999999</v>
      </c>
      <c r="K19" s="14">
        <v>5.8828472980922766E-3</v>
      </c>
      <c r="L19" s="4">
        <v>1.4</v>
      </c>
      <c r="M19" s="411">
        <v>191.64599999999996</v>
      </c>
      <c r="N19" s="4"/>
      <c r="O19" s="826" t="s">
        <v>508</v>
      </c>
      <c r="P19" s="863"/>
      <c r="Q19" s="260"/>
    </row>
    <row r="20" spans="1:17" ht="15.75" customHeight="1">
      <c r="A20" s="850"/>
      <c r="B20" s="857"/>
      <c r="C20" s="111">
        <v>4</v>
      </c>
      <c r="D20" s="561" t="s">
        <v>327</v>
      </c>
      <c r="E20" s="820"/>
      <c r="F20" s="821"/>
      <c r="G20" s="561" t="s">
        <v>732</v>
      </c>
      <c r="H20" s="820"/>
      <c r="I20" s="821"/>
      <c r="J20" s="4">
        <v>272.74</v>
      </c>
      <c r="K20" s="14">
        <v>1.3115982761851228E-2</v>
      </c>
      <c r="L20" s="4">
        <v>0.7</v>
      </c>
      <c r="M20" s="411">
        <v>190.91800000000001</v>
      </c>
      <c r="N20" s="4"/>
      <c r="O20" s="826" t="s">
        <v>508</v>
      </c>
      <c r="P20" s="863"/>
      <c r="Q20" s="260"/>
    </row>
    <row r="21" spans="1:17" ht="15.75" customHeight="1" thickBot="1">
      <c r="A21" s="850"/>
      <c r="B21" s="857"/>
      <c r="C21" s="112">
        <v>5</v>
      </c>
      <c r="D21" s="561" t="s">
        <v>595</v>
      </c>
      <c r="E21" s="820"/>
      <c r="F21" s="821"/>
      <c r="G21" s="561" t="s">
        <v>662</v>
      </c>
      <c r="H21" s="820"/>
      <c r="I21" s="821"/>
      <c r="J21" s="4">
        <v>272.57</v>
      </c>
      <c r="K21" s="14">
        <v>1.1302171631549203E-2</v>
      </c>
      <c r="L21" s="4">
        <v>0.7</v>
      </c>
      <c r="M21" s="411">
        <v>190.79899999999998</v>
      </c>
      <c r="N21" s="4"/>
      <c r="O21" s="826" t="s">
        <v>508</v>
      </c>
      <c r="P21" s="863"/>
      <c r="Q21" s="260"/>
    </row>
    <row r="22" spans="1:17" ht="15.75" customHeight="1" thickTop="1" thickBot="1">
      <c r="A22" s="850"/>
      <c r="B22" s="857"/>
      <c r="C22" s="858"/>
      <c r="D22" s="858"/>
      <c r="E22" s="858"/>
      <c r="F22" s="858"/>
      <c r="G22" s="858"/>
      <c r="H22" s="858"/>
      <c r="I22" s="859"/>
      <c r="J22" s="118" t="s">
        <v>655</v>
      </c>
      <c r="K22" s="244">
        <v>6.6904268274800786E-3</v>
      </c>
      <c r="L22" s="118" t="s">
        <v>656</v>
      </c>
      <c r="M22" s="412">
        <v>965.69199999999989</v>
      </c>
      <c r="N22" s="860"/>
      <c r="O22" s="861"/>
      <c r="P22" s="862"/>
      <c r="Q22" s="260"/>
    </row>
    <row r="23" spans="1:17" ht="15.75" customHeight="1" thickTop="1">
      <c r="A23" s="548"/>
      <c r="D23" s="548"/>
      <c r="E23" s="548"/>
      <c r="F23" s="548"/>
      <c r="G23" s="548"/>
      <c r="H23" s="548"/>
      <c r="I23" s="548"/>
      <c r="J23" s="548"/>
      <c r="K23" s="548"/>
      <c r="L23" s="548"/>
      <c r="M23" s="548"/>
      <c r="N23" s="548"/>
      <c r="O23" s="548"/>
      <c r="P23" s="548"/>
      <c r="Q23" s="260"/>
    </row>
    <row r="24" spans="1:17" ht="15.75" customHeight="1">
      <c r="A24" s="849" t="s">
        <v>649</v>
      </c>
      <c r="B24" s="850"/>
      <c r="C24" s="116" t="s">
        <v>540</v>
      </c>
      <c r="D24" s="851" t="s">
        <v>12</v>
      </c>
      <c r="E24" s="852"/>
      <c r="F24" s="853"/>
      <c r="G24" s="114" t="s">
        <v>650</v>
      </c>
      <c r="H24" s="115"/>
      <c r="I24" s="116"/>
      <c r="J24" s="113" t="s">
        <v>651</v>
      </c>
      <c r="K24" s="113" t="s">
        <v>652</v>
      </c>
      <c r="L24" s="113" t="s">
        <v>653</v>
      </c>
      <c r="M24" s="117" t="s">
        <v>11</v>
      </c>
      <c r="N24" s="323" t="s">
        <v>13</v>
      </c>
      <c r="O24" s="854" t="s">
        <v>50</v>
      </c>
      <c r="P24" s="855"/>
      <c r="Q24" s="260"/>
    </row>
    <row r="25" spans="1:17" ht="15.75" customHeight="1">
      <c r="A25" s="850">
        <v>6</v>
      </c>
      <c r="B25" s="856" t="s">
        <v>194</v>
      </c>
      <c r="C25" s="111">
        <v>1</v>
      </c>
      <c r="D25" s="561" t="s">
        <v>639</v>
      </c>
      <c r="E25" s="820"/>
      <c r="F25" s="821"/>
      <c r="G25" s="561" t="s">
        <v>332</v>
      </c>
      <c r="H25" s="820"/>
      <c r="I25" s="821"/>
      <c r="J25" s="4">
        <v>487.66</v>
      </c>
      <c r="K25" s="14">
        <v>7.7220077220077231E-3</v>
      </c>
      <c r="L25" s="4">
        <v>0.4</v>
      </c>
      <c r="M25" s="411">
        <v>195.06400000000002</v>
      </c>
      <c r="N25" s="4"/>
      <c r="O25" s="826" t="s">
        <v>582</v>
      </c>
      <c r="P25" s="863"/>
      <c r="Q25" s="260"/>
    </row>
    <row r="26" spans="1:17" ht="15.75" customHeight="1">
      <c r="A26" s="850"/>
      <c r="B26" s="857"/>
      <c r="C26" s="111">
        <v>2</v>
      </c>
      <c r="D26" s="561" t="s">
        <v>716</v>
      </c>
      <c r="E26" s="820"/>
      <c r="F26" s="821"/>
      <c r="G26" s="561" t="s">
        <v>717</v>
      </c>
      <c r="H26" s="820"/>
      <c r="I26" s="821"/>
      <c r="J26" s="4">
        <v>535.87</v>
      </c>
      <c r="K26" s="14">
        <v>7.5490689481630593E-3</v>
      </c>
      <c r="L26" s="4">
        <v>0.3</v>
      </c>
      <c r="M26" s="411">
        <v>160.761</v>
      </c>
      <c r="N26" s="4"/>
      <c r="O26" s="826" t="s">
        <v>582</v>
      </c>
      <c r="P26" s="863"/>
      <c r="Q26" s="260"/>
    </row>
    <row r="27" spans="1:17" ht="15.75" customHeight="1">
      <c r="A27" s="850"/>
      <c r="B27" s="857"/>
      <c r="C27" s="111">
        <v>3</v>
      </c>
      <c r="D27" s="561">
        <v>0</v>
      </c>
      <c r="E27" s="820"/>
      <c r="F27" s="821"/>
      <c r="G27" s="561">
        <v>0</v>
      </c>
      <c r="H27" s="820"/>
      <c r="I27" s="821"/>
      <c r="J27" s="4">
        <v>0</v>
      </c>
      <c r="K27" s="14">
        <v>0</v>
      </c>
      <c r="L27" s="4">
        <v>0</v>
      </c>
      <c r="M27" s="411">
        <v>0</v>
      </c>
      <c r="N27" s="4"/>
      <c r="O27" s="826"/>
      <c r="P27" s="863"/>
      <c r="Q27" s="260"/>
    </row>
    <row r="28" spans="1:17" ht="15.75" customHeight="1">
      <c r="A28" s="850"/>
      <c r="B28" s="857"/>
      <c r="C28" s="111">
        <v>4</v>
      </c>
      <c r="D28" s="561">
        <v>0</v>
      </c>
      <c r="E28" s="820"/>
      <c r="F28" s="821"/>
      <c r="G28" s="561">
        <v>0</v>
      </c>
      <c r="H28" s="820"/>
      <c r="I28" s="821"/>
      <c r="J28" s="4">
        <v>0</v>
      </c>
      <c r="K28" s="14">
        <v>0</v>
      </c>
      <c r="L28" s="4">
        <v>0</v>
      </c>
      <c r="M28" s="411">
        <v>0</v>
      </c>
      <c r="N28" s="4"/>
      <c r="O28" s="826"/>
      <c r="P28" s="863"/>
      <c r="Q28" s="260"/>
    </row>
    <row r="29" spans="1:17" ht="15.75" customHeight="1" thickBot="1">
      <c r="A29" s="850"/>
      <c r="B29" s="857"/>
      <c r="C29" s="112">
        <v>5</v>
      </c>
      <c r="D29" s="561">
        <v>0</v>
      </c>
      <c r="E29" s="820"/>
      <c r="F29" s="821"/>
      <c r="G29" s="561">
        <v>0</v>
      </c>
      <c r="H29" s="820"/>
      <c r="I29" s="821"/>
      <c r="J29" s="4">
        <v>0</v>
      </c>
      <c r="K29" s="14">
        <v>0</v>
      </c>
      <c r="L29" s="4">
        <v>0</v>
      </c>
      <c r="M29" s="411">
        <v>0</v>
      </c>
      <c r="N29" s="4"/>
      <c r="O29" s="826"/>
      <c r="P29" s="863"/>
      <c r="Q29" s="260"/>
    </row>
    <row r="30" spans="1:17" ht="15.75" customHeight="1" thickTop="1" thickBot="1">
      <c r="A30" s="850"/>
      <c r="B30" s="857"/>
      <c r="C30" s="858"/>
      <c r="D30" s="858"/>
      <c r="E30" s="858"/>
      <c r="F30" s="858"/>
      <c r="G30" s="858"/>
      <c r="H30" s="858"/>
      <c r="I30" s="859"/>
      <c r="J30" s="118" t="s">
        <v>655</v>
      </c>
      <c r="K30" s="244">
        <v>2.4651971082789328E-3</v>
      </c>
      <c r="L30" s="118" t="s">
        <v>656</v>
      </c>
      <c r="M30" s="412">
        <v>355.82500000000005</v>
      </c>
      <c r="N30" s="860"/>
      <c r="O30" s="861"/>
      <c r="P30" s="862"/>
      <c r="Q30" s="260"/>
    </row>
    <row r="31" spans="1:17" ht="15.75" customHeight="1" thickTop="1">
      <c r="A31" s="548"/>
      <c r="D31" s="548"/>
      <c r="E31" s="548"/>
      <c r="F31" s="548"/>
      <c r="G31" s="548"/>
      <c r="H31" s="548"/>
      <c r="I31" s="548"/>
      <c r="J31" s="548"/>
      <c r="K31" s="548"/>
      <c r="L31" s="548"/>
      <c r="M31" s="548"/>
      <c r="N31" s="548"/>
      <c r="O31" s="548"/>
      <c r="P31" s="548"/>
      <c r="Q31" s="260"/>
    </row>
    <row r="32" spans="1:17" ht="15.75" customHeight="1">
      <c r="A32" s="849" t="s">
        <v>649</v>
      </c>
      <c r="B32" s="850"/>
      <c r="C32" s="116" t="s">
        <v>540</v>
      </c>
      <c r="D32" s="851" t="s">
        <v>12</v>
      </c>
      <c r="E32" s="852"/>
      <c r="F32" s="853"/>
      <c r="G32" s="114" t="s">
        <v>650</v>
      </c>
      <c r="H32" s="115"/>
      <c r="I32" s="116"/>
      <c r="J32" s="113" t="s">
        <v>651</v>
      </c>
      <c r="K32" s="113" t="s">
        <v>652</v>
      </c>
      <c r="L32" s="113" t="s">
        <v>653</v>
      </c>
      <c r="M32" s="117" t="s">
        <v>11</v>
      </c>
      <c r="N32" s="117" t="s">
        <v>13</v>
      </c>
      <c r="O32" s="854" t="s">
        <v>50</v>
      </c>
      <c r="P32" s="855"/>
      <c r="Q32" s="260"/>
    </row>
    <row r="33" spans="1:17" ht="15.75" customHeight="1">
      <c r="A33" s="850">
        <v>7</v>
      </c>
      <c r="B33" s="856" t="s">
        <v>509</v>
      </c>
      <c r="C33" s="111">
        <v>1</v>
      </c>
      <c r="D33" s="561" t="s">
        <v>719</v>
      </c>
      <c r="E33" s="820"/>
      <c r="F33" s="821"/>
      <c r="G33" s="561" t="s">
        <v>720</v>
      </c>
      <c r="H33" s="820"/>
      <c r="I33" s="821"/>
      <c r="J33" s="4">
        <v>1010.1</v>
      </c>
      <c r="K33" s="14">
        <v>1.4723203769140165E-2</v>
      </c>
      <c r="L33" s="4">
        <v>0.2</v>
      </c>
      <c r="M33" s="411">
        <v>202.02</v>
      </c>
      <c r="N33" s="4"/>
      <c r="O33" s="826" t="s">
        <v>597</v>
      </c>
      <c r="P33" s="863"/>
      <c r="Q33" s="260"/>
    </row>
    <row r="34" spans="1:17" ht="15.75" customHeight="1">
      <c r="A34" s="850"/>
      <c r="B34" s="857"/>
      <c r="C34" s="111">
        <v>2</v>
      </c>
      <c r="D34" s="561" t="s">
        <v>635</v>
      </c>
      <c r="E34" s="820"/>
      <c r="F34" s="821"/>
      <c r="G34" s="561" t="s">
        <v>755</v>
      </c>
      <c r="H34" s="820"/>
      <c r="I34" s="821"/>
      <c r="J34" s="4">
        <v>935.2</v>
      </c>
      <c r="K34" s="14">
        <v>1.0366991499066971E-2</v>
      </c>
      <c r="L34" s="4">
        <v>0.2</v>
      </c>
      <c r="M34" s="411">
        <v>187.04000000000002</v>
      </c>
      <c r="N34" s="4"/>
      <c r="O34" s="826" t="s">
        <v>597</v>
      </c>
      <c r="P34" s="827"/>
      <c r="Q34" s="260"/>
    </row>
    <row r="35" spans="1:17" ht="15.75" customHeight="1">
      <c r="A35" s="850"/>
      <c r="B35" s="857"/>
      <c r="C35" s="111">
        <v>3</v>
      </c>
      <c r="D35" s="561" t="s">
        <v>719</v>
      </c>
      <c r="E35" s="820"/>
      <c r="F35" s="821"/>
      <c r="G35" s="561" t="s">
        <v>733</v>
      </c>
      <c r="H35" s="820"/>
      <c r="I35" s="821"/>
      <c r="J35" s="4">
        <v>622.54999999999995</v>
      </c>
      <c r="K35" s="14">
        <v>9.6401028277634956E-2</v>
      </c>
      <c r="L35" s="4">
        <v>0.3</v>
      </c>
      <c r="M35" s="411">
        <v>186.76499999999999</v>
      </c>
      <c r="N35" s="4"/>
      <c r="O35" s="826" t="s">
        <v>597</v>
      </c>
      <c r="P35" s="827"/>
      <c r="Q35" s="260"/>
    </row>
    <row r="36" spans="1:17" ht="15.75" customHeight="1">
      <c r="A36" s="850"/>
      <c r="B36" s="857"/>
      <c r="C36" s="111">
        <v>4</v>
      </c>
      <c r="D36" s="561">
        <v>0</v>
      </c>
      <c r="E36" s="820"/>
      <c r="F36" s="821"/>
      <c r="G36" s="561">
        <v>0</v>
      </c>
      <c r="H36" s="820"/>
      <c r="I36" s="821"/>
      <c r="J36" s="4">
        <v>0</v>
      </c>
      <c r="K36" s="14">
        <v>0</v>
      </c>
      <c r="L36" s="4">
        <v>0</v>
      </c>
      <c r="M36" s="411">
        <v>0</v>
      </c>
      <c r="N36" s="4"/>
      <c r="O36" s="826"/>
      <c r="P36" s="863"/>
      <c r="Q36" s="260"/>
    </row>
    <row r="37" spans="1:17" ht="15.75" customHeight="1" thickBot="1">
      <c r="A37" s="850"/>
      <c r="B37" s="857"/>
      <c r="C37" s="112">
        <v>5</v>
      </c>
      <c r="D37" s="561">
        <v>0</v>
      </c>
      <c r="E37" s="820"/>
      <c r="F37" s="821"/>
      <c r="G37" s="561">
        <v>0</v>
      </c>
      <c r="H37" s="820"/>
      <c r="I37" s="821"/>
      <c r="J37" s="4">
        <v>0</v>
      </c>
      <c r="K37" s="14">
        <v>0</v>
      </c>
      <c r="L37" s="4">
        <v>0</v>
      </c>
      <c r="M37" s="411">
        <v>0</v>
      </c>
      <c r="N37" s="4"/>
      <c r="O37" s="826"/>
      <c r="P37" s="827"/>
      <c r="Q37" s="260"/>
    </row>
    <row r="38" spans="1:17" ht="15.75" customHeight="1" thickTop="1" thickBot="1">
      <c r="A38" s="850"/>
      <c r="B38" s="857"/>
      <c r="C38" s="858"/>
      <c r="D38" s="858"/>
      <c r="E38" s="858"/>
      <c r="F38" s="858"/>
      <c r="G38" s="858"/>
      <c r="H38" s="858"/>
      <c r="I38" s="859"/>
      <c r="J38" s="118" t="s">
        <v>655</v>
      </c>
      <c r="K38" s="244">
        <v>3.9893827720781745E-3</v>
      </c>
      <c r="L38" s="118" t="s">
        <v>656</v>
      </c>
      <c r="M38" s="412">
        <v>575.82500000000005</v>
      </c>
      <c r="N38" s="860"/>
      <c r="O38" s="861"/>
      <c r="P38" s="862"/>
      <c r="Q38" s="260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2" customWidth="1"/>
    <col min="2" max="2" width="11.42578125" style="325" customWidth="1"/>
    <col min="3" max="3" width="4" style="326" customWidth="1"/>
    <col min="4" max="17" width="9.5703125" style="182" customWidth="1"/>
    <col min="18" max="16384" width="12.5703125" style="182"/>
  </cols>
  <sheetData>
    <row r="1" spans="1:23" ht="15.75" customHeight="1">
      <c r="A1" s="781" t="s">
        <v>498</v>
      </c>
      <c r="B1" s="781"/>
      <c r="C1" s="781"/>
      <c r="D1" s="781"/>
      <c r="E1" s="781"/>
      <c r="F1" s="781"/>
      <c r="G1" s="781"/>
      <c r="H1" s="781"/>
      <c r="I1" s="781"/>
      <c r="J1" s="781"/>
      <c r="K1" s="781"/>
      <c r="L1" s="781"/>
      <c r="M1" s="781"/>
      <c r="N1" s="781"/>
      <c r="O1" s="781"/>
      <c r="P1" s="781"/>
      <c r="Q1" s="781"/>
    </row>
    <row r="2" spans="1:23" s="183" customFormat="1" ht="15.75" customHeight="1">
      <c r="A2" s="781"/>
      <c r="B2" s="781"/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  <c r="O2" s="781"/>
      <c r="P2" s="781"/>
      <c r="Q2" s="781"/>
      <c r="R2" s="182"/>
      <c r="S2" s="182"/>
      <c r="T2" s="182"/>
      <c r="U2" s="182"/>
      <c r="V2" s="182"/>
      <c r="W2" s="182"/>
    </row>
    <row r="3" spans="1:23" ht="15.75" customHeight="1">
      <c r="A3" s="782" t="s">
        <v>499</v>
      </c>
      <c r="B3" s="782"/>
      <c r="C3" s="782"/>
      <c r="D3" s="782"/>
      <c r="E3" s="782"/>
      <c r="F3" s="782"/>
      <c r="G3" s="782"/>
      <c r="H3" s="782"/>
      <c r="I3" s="782"/>
      <c r="J3" s="782"/>
      <c r="K3" s="782"/>
      <c r="L3" s="782"/>
      <c r="M3" s="782"/>
      <c r="N3" s="184"/>
    </row>
    <row r="4" spans="1:23" s="183" customFormat="1" ht="15.75" customHeight="1">
      <c r="A4" s="782"/>
      <c r="B4" s="782"/>
      <c r="C4" s="782"/>
      <c r="D4" s="782"/>
      <c r="E4" s="782"/>
      <c r="F4" s="782"/>
      <c r="G4" s="782"/>
      <c r="H4" s="782"/>
      <c r="I4" s="782"/>
      <c r="J4" s="782"/>
      <c r="K4" s="782"/>
      <c r="L4" s="782"/>
      <c r="M4" s="782"/>
      <c r="N4" s="185"/>
      <c r="R4" s="182"/>
      <c r="S4" s="182"/>
      <c r="T4" s="182"/>
      <c r="U4" s="182"/>
      <c r="V4" s="182"/>
      <c r="W4" s="182"/>
    </row>
    <row r="5" spans="1:23" ht="15.75" customHeight="1">
      <c r="A5" s="784" t="s">
        <v>497</v>
      </c>
      <c r="B5" s="867">
        <v>1</v>
      </c>
      <c r="C5" s="867"/>
      <c r="D5" s="867">
        <v>2</v>
      </c>
      <c r="E5" s="867"/>
      <c r="F5" s="867">
        <v>3</v>
      </c>
      <c r="G5" s="867"/>
      <c r="H5" s="787">
        <v>4</v>
      </c>
      <c r="I5" s="787"/>
      <c r="J5" s="787">
        <v>5</v>
      </c>
      <c r="K5" s="787"/>
      <c r="L5" s="787">
        <v>6</v>
      </c>
      <c r="M5" s="787"/>
      <c r="N5" s="787">
        <v>7</v>
      </c>
      <c r="O5" s="787"/>
      <c r="P5" s="787">
        <v>8</v>
      </c>
      <c r="Q5" s="787"/>
    </row>
    <row r="6" spans="1:23" ht="15.75" customHeight="1">
      <c r="A6" s="784"/>
      <c r="B6" s="868" t="s">
        <v>500</v>
      </c>
      <c r="C6" s="868"/>
      <c r="D6" s="868" t="s">
        <v>501</v>
      </c>
      <c r="E6" s="868"/>
      <c r="F6" s="868" t="s">
        <v>502</v>
      </c>
      <c r="G6" s="868"/>
      <c r="H6" s="866" t="s">
        <v>503</v>
      </c>
      <c r="I6" s="784"/>
      <c r="J6" s="784" t="s">
        <v>504</v>
      </c>
      <c r="K6" s="784"/>
      <c r="L6" s="784" t="s">
        <v>505</v>
      </c>
      <c r="M6" s="784"/>
      <c r="N6" s="784" t="s">
        <v>506</v>
      </c>
      <c r="O6" s="784"/>
      <c r="P6" s="866" t="s">
        <v>507</v>
      </c>
      <c r="Q6" s="784"/>
    </row>
    <row r="8" spans="1:23" s="324" customFormat="1" ht="15.75" customHeight="1">
      <c r="A8" s="830" t="s">
        <v>649</v>
      </c>
      <c r="B8" s="831"/>
      <c r="C8" s="553" t="s">
        <v>540</v>
      </c>
      <c r="D8" s="832" t="s">
        <v>12</v>
      </c>
      <c r="E8" s="833"/>
      <c r="F8" s="834"/>
      <c r="G8" s="551" t="s">
        <v>650</v>
      </c>
      <c r="H8" s="552"/>
      <c r="I8" s="553"/>
      <c r="J8" s="169" t="s">
        <v>651</v>
      </c>
      <c r="K8" s="323" t="s">
        <v>658</v>
      </c>
      <c r="L8" s="169" t="s">
        <v>653</v>
      </c>
      <c r="M8" s="169" t="s">
        <v>11</v>
      </c>
      <c r="N8" s="323" t="s">
        <v>13</v>
      </c>
      <c r="O8" s="835" t="s">
        <v>50</v>
      </c>
      <c r="P8" s="836"/>
      <c r="R8" s="182"/>
      <c r="S8" s="182"/>
      <c r="T8" s="182"/>
      <c r="U8" s="182"/>
      <c r="V8" s="182"/>
      <c r="W8" s="182"/>
    </row>
    <row r="9" spans="1:23" ht="15.75" customHeight="1">
      <c r="A9" s="748">
        <v>1</v>
      </c>
      <c r="B9" s="817" t="s">
        <v>609</v>
      </c>
      <c r="C9" s="170">
        <v>1</v>
      </c>
      <c r="D9" s="561">
        <v>0</v>
      </c>
      <c r="E9" s="820"/>
      <c r="F9" s="821"/>
      <c r="G9" s="561">
        <v>0</v>
      </c>
      <c r="H9" s="820"/>
      <c r="I9" s="821"/>
      <c r="J9" s="4">
        <v>0</v>
      </c>
      <c r="K9" s="14">
        <v>0</v>
      </c>
      <c r="L9" s="4">
        <v>0</v>
      </c>
      <c r="M9" s="411">
        <v>0</v>
      </c>
      <c r="N9" s="171"/>
      <c r="O9" s="826"/>
      <c r="P9" s="827"/>
    </row>
    <row r="10" spans="1:23" ht="15.75" customHeight="1">
      <c r="A10" s="753"/>
      <c r="B10" s="818"/>
      <c r="C10" s="170">
        <v>2</v>
      </c>
      <c r="D10" s="561">
        <v>0</v>
      </c>
      <c r="E10" s="820"/>
      <c r="F10" s="821"/>
      <c r="G10" s="561">
        <v>0</v>
      </c>
      <c r="H10" s="820"/>
      <c r="I10" s="821"/>
      <c r="J10" s="4">
        <v>0</v>
      </c>
      <c r="K10" s="14">
        <v>0</v>
      </c>
      <c r="L10" s="4">
        <v>0</v>
      </c>
      <c r="M10" s="411">
        <v>0</v>
      </c>
      <c r="N10" s="171"/>
      <c r="O10" s="826"/>
      <c r="P10" s="827"/>
    </row>
    <row r="11" spans="1:23" ht="15.75" customHeight="1">
      <c r="A11" s="753"/>
      <c r="B11" s="818"/>
      <c r="C11" s="170">
        <v>3</v>
      </c>
      <c r="D11" s="561">
        <v>0</v>
      </c>
      <c r="E11" s="820"/>
      <c r="F11" s="821"/>
      <c r="G11" s="561">
        <v>0</v>
      </c>
      <c r="H11" s="820"/>
      <c r="I11" s="821"/>
      <c r="J11" s="4">
        <v>0</v>
      </c>
      <c r="K11" s="14">
        <v>0</v>
      </c>
      <c r="L11" s="4">
        <v>0</v>
      </c>
      <c r="M11" s="411">
        <v>0</v>
      </c>
      <c r="N11" s="171"/>
      <c r="O11" s="826"/>
      <c r="P11" s="827"/>
    </row>
    <row r="12" spans="1:23" ht="15.75" customHeight="1">
      <c r="A12" s="753"/>
      <c r="B12" s="818"/>
      <c r="C12" s="170">
        <v>4</v>
      </c>
      <c r="D12" s="561">
        <v>0</v>
      </c>
      <c r="E12" s="820"/>
      <c r="F12" s="821"/>
      <c r="G12" s="561">
        <v>0</v>
      </c>
      <c r="H12" s="820"/>
      <c r="I12" s="821"/>
      <c r="J12" s="4">
        <v>0</v>
      </c>
      <c r="K12" s="14">
        <v>0</v>
      </c>
      <c r="L12" s="4">
        <v>0</v>
      </c>
      <c r="M12" s="411">
        <v>0</v>
      </c>
      <c r="N12" s="171"/>
      <c r="O12" s="826"/>
      <c r="P12" s="827"/>
    </row>
    <row r="13" spans="1:23" ht="15.75" customHeight="1" thickBot="1">
      <c r="A13" s="753"/>
      <c r="B13" s="818"/>
      <c r="C13" s="172">
        <v>5</v>
      </c>
      <c r="D13" s="561">
        <v>0</v>
      </c>
      <c r="E13" s="820"/>
      <c r="F13" s="821"/>
      <c r="G13" s="561">
        <v>0</v>
      </c>
      <c r="H13" s="820"/>
      <c r="I13" s="821"/>
      <c r="J13" s="4">
        <v>0</v>
      </c>
      <c r="K13" s="14">
        <v>0</v>
      </c>
      <c r="L13" s="4">
        <v>0</v>
      </c>
      <c r="M13" s="411">
        <v>0</v>
      </c>
      <c r="N13" s="173"/>
      <c r="O13" s="828"/>
      <c r="P13" s="829"/>
    </row>
    <row r="14" spans="1:23" ht="15.75" customHeight="1" thickTop="1" thickBot="1">
      <c r="A14" s="749"/>
      <c r="B14" s="819"/>
      <c r="C14" s="811"/>
      <c r="D14" s="812"/>
      <c r="E14" s="812"/>
      <c r="F14" s="812"/>
      <c r="G14" s="812"/>
      <c r="H14" s="812"/>
      <c r="I14" s="813"/>
      <c r="J14" s="322" t="s">
        <v>655</v>
      </c>
      <c r="K14" s="244">
        <v>0</v>
      </c>
      <c r="L14" s="322" t="s">
        <v>656</v>
      </c>
      <c r="M14" s="412">
        <v>0</v>
      </c>
      <c r="N14" s="814"/>
      <c r="O14" s="815"/>
      <c r="P14" s="816"/>
    </row>
    <row r="15" spans="1:23" ht="15.75" customHeight="1" thickTop="1">
      <c r="A15" s="119"/>
      <c r="B15" s="174"/>
      <c r="C15" s="160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</row>
    <row r="16" spans="1:23" ht="15.75" customHeight="1">
      <c r="A16" s="830" t="s">
        <v>649</v>
      </c>
      <c r="B16" s="831"/>
      <c r="C16" s="553" t="s">
        <v>540</v>
      </c>
      <c r="D16" s="832" t="s">
        <v>12</v>
      </c>
      <c r="E16" s="833"/>
      <c r="F16" s="834"/>
      <c r="G16" s="551" t="s">
        <v>650</v>
      </c>
      <c r="H16" s="552"/>
      <c r="I16" s="553"/>
      <c r="J16" s="169" t="s">
        <v>651</v>
      </c>
      <c r="K16" s="323" t="s">
        <v>658</v>
      </c>
      <c r="L16" s="169" t="s">
        <v>653</v>
      </c>
      <c r="M16" s="169" t="s">
        <v>11</v>
      </c>
      <c r="N16" s="323" t="s">
        <v>13</v>
      </c>
      <c r="O16" s="835" t="s">
        <v>50</v>
      </c>
      <c r="P16" s="836"/>
    </row>
    <row r="17" spans="1:16" ht="15.75" customHeight="1">
      <c r="A17" s="748">
        <v>2</v>
      </c>
      <c r="B17" s="817" t="s">
        <v>659</v>
      </c>
      <c r="C17" s="170">
        <v>1</v>
      </c>
      <c r="D17" s="561" t="s">
        <v>716</v>
      </c>
      <c r="E17" s="820"/>
      <c r="F17" s="821"/>
      <c r="G17" s="561" t="s">
        <v>718</v>
      </c>
      <c r="H17" s="820"/>
      <c r="I17" s="821"/>
      <c r="J17" s="4">
        <v>547.79999999999995</v>
      </c>
      <c r="K17" s="14">
        <v>0.31795716639209226</v>
      </c>
      <c r="L17" s="4">
        <v>0.57899999999999996</v>
      </c>
      <c r="M17" s="411">
        <v>317.17619999999994</v>
      </c>
      <c r="N17" s="171"/>
      <c r="O17" s="826" t="s">
        <v>640</v>
      </c>
      <c r="P17" s="827"/>
    </row>
    <row r="18" spans="1:16" ht="15.75" customHeight="1">
      <c r="A18" s="753"/>
      <c r="B18" s="818"/>
      <c r="C18" s="170">
        <v>2</v>
      </c>
      <c r="D18" s="561" t="s">
        <v>331</v>
      </c>
      <c r="E18" s="820"/>
      <c r="F18" s="821"/>
      <c r="G18" s="561" t="s">
        <v>746</v>
      </c>
      <c r="H18" s="820"/>
      <c r="I18" s="821"/>
      <c r="J18" s="4">
        <v>150.91999999999999</v>
      </c>
      <c r="K18" s="14">
        <v>3.1384342884555078E-2</v>
      </c>
      <c r="L18" s="4">
        <v>1.7010000000000005</v>
      </c>
      <c r="M18" s="411">
        <v>256.71492000000006</v>
      </c>
      <c r="N18" s="171"/>
      <c r="O18" s="826" t="s">
        <v>640</v>
      </c>
      <c r="P18" s="827"/>
    </row>
    <row r="19" spans="1:16" ht="15.75" customHeight="1">
      <c r="A19" s="753"/>
      <c r="B19" s="818"/>
      <c r="C19" s="170">
        <v>3</v>
      </c>
      <c r="D19" s="561" t="s">
        <v>344</v>
      </c>
      <c r="E19" s="820"/>
      <c r="F19" s="821"/>
      <c r="G19" s="561" t="s">
        <v>749</v>
      </c>
      <c r="H19" s="820"/>
      <c r="I19" s="821"/>
      <c r="J19" s="4">
        <v>418.41</v>
      </c>
      <c r="K19" s="14">
        <v>4.8979262486887699E-2</v>
      </c>
      <c r="L19" s="4">
        <v>0.60699999999999932</v>
      </c>
      <c r="M19" s="411">
        <v>253.97486999999973</v>
      </c>
      <c r="N19" s="171"/>
      <c r="O19" s="826" t="s">
        <v>640</v>
      </c>
      <c r="P19" s="827"/>
    </row>
    <row r="20" spans="1:16" ht="15.75" customHeight="1">
      <c r="A20" s="753"/>
      <c r="B20" s="818"/>
      <c r="C20" s="170">
        <v>4</v>
      </c>
      <c r="D20" s="561" t="s">
        <v>627</v>
      </c>
      <c r="E20" s="820"/>
      <c r="F20" s="821"/>
      <c r="G20" s="561" t="s">
        <v>756</v>
      </c>
      <c r="H20" s="820"/>
      <c r="I20" s="821"/>
      <c r="J20" s="4">
        <v>261.51</v>
      </c>
      <c r="K20" s="14">
        <v>0.12203731719616741</v>
      </c>
      <c r="L20" s="4">
        <v>0.96799999999999997</v>
      </c>
      <c r="M20" s="411">
        <v>253.14167999999998</v>
      </c>
      <c r="N20" s="171"/>
      <c r="O20" s="826" t="s">
        <v>640</v>
      </c>
      <c r="P20" s="827"/>
    </row>
    <row r="21" spans="1:16" ht="15.75" customHeight="1" thickBot="1">
      <c r="A21" s="753"/>
      <c r="B21" s="818"/>
      <c r="C21" s="172">
        <v>5</v>
      </c>
      <c r="D21" s="561" t="s">
        <v>632</v>
      </c>
      <c r="E21" s="820"/>
      <c r="F21" s="821"/>
      <c r="G21" s="561" t="s">
        <v>757</v>
      </c>
      <c r="H21" s="820"/>
      <c r="I21" s="821"/>
      <c r="J21" s="4">
        <v>122.61</v>
      </c>
      <c r="K21" s="14">
        <v>5.54658050619279E-2</v>
      </c>
      <c r="L21" s="4">
        <v>2.0600000000000023</v>
      </c>
      <c r="M21" s="411">
        <v>252.57660000000027</v>
      </c>
      <c r="N21" s="173"/>
      <c r="O21" s="826" t="s">
        <v>640</v>
      </c>
      <c r="P21" s="827"/>
    </row>
    <row r="22" spans="1:16" ht="15.75" customHeight="1" thickTop="1" thickBot="1">
      <c r="A22" s="749"/>
      <c r="B22" s="819"/>
      <c r="C22" s="822"/>
      <c r="D22" s="823"/>
      <c r="E22" s="823"/>
      <c r="F22" s="823"/>
      <c r="G22" s="823"/>
      <c r="H22" s="823"/>
      <c r="I22" s="824"/>
      <c r="J22" s="322" t="s">
        <v>655</v>
      </c>
      <c r="K22" s="244">
        <v>5.5866336923977092E-3</v>
      </c>
      <c r="L22" s="322" t="s">
        <v>656</v>
      </c>
      <c r="M22" s="412">
        <v>1333.5842700000001</v>
      </c>
      <c r="N22" s="814"/>
      <c r="O22" s="815"/>
      <c r="P22" s="816"/>
    </row>
    <row r="23" spans="1:16" ht="15.75" customHeight="1" thickTop="1">
      <c r="A23" s="119"/>
      <c r="B23" s="174"/>
      <c r="C23" s="160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</row>
    <row r="24" spans="1:16" ht="15.75" customHeight="1">
      <c r="A24" s="830" t="s">
        <v>649</v>
      </c>
      <c r="B24" s="831"/>
      <c r="C24" s="553" t="s">
        <v>540</v>
      </c>
      <c r="D24" s="832" t="s">
        <v>12</v>
      </c>
      <c r="E24" s="833"/>
      <c r="F24" s="834"/>
      <c r="G24" s="551" t="s">
        <v>650</v>
      </c>
      <c r="H24" s="552"/>
      <c r="I24" s="553"/>
      <c r="J24" s="169" t="s">
        <v>651</v>
      </c>
      <c r="K24" s="323" t="s">
        <v>658</v>
      </c>
      <c r="L24" s="169" t="s">
        <v>653</v>
      </c>
      <c r="M24" s="169" t="s">
        <v>11</v>
      </c>
      <c r="N24" s="323" t="s">
        <v>13</v>
      </c>
      <c r="O24" s="835" t="s">
        <v>50</v>
      </c>
      <c r="P24" s="836"/>
    </row>
    <row r="25" spans="1:16" ht="15.75" customHeight="1">
      <c r="A25" s="748">
        <v>3</v>
      </c>
      <c r="B25" s="817" t="s">
        <v>367</v>
      </c>
      <c r="C25" s="170">
        <v>1</v>
      </c>
      <c r="D25" s="561" t="s">
        <v>642</v>
      </c>
      <c r="E25" s="820"/>
      <c r="F25" s="821"/>
      <c r="G25" s="561" t="s">
        <v>645</v>
      </c>
      <c r="H25" s="820"/>
      <c r="I25" s="821"/>
      <c r="J25" s="4">
        <v>304.76</v>
      </c>
      <c r="K25" s="14">
        <v>5.4725168756027079E-2</v>
      </c>
      <c r="L25" s="4">
        <v>0.90800000000000125</v>
      </c>
      <c r="M25" s="411">
        <v>276.72208000000035</v>
      </c>
      <c r="N25" s="171"/>
      <c r="O25" s="826" t="s">
        <v>517</v>
      </c>
      <c r="P25" s="827"/>
    </row>
    <row r="26" spans="1:16" ht="15.75" customHeight="1">
      <c r="A26" s="753"/>
      <c r="B26" s="818"/>
      <c r="C26" s="170">
        <v>2</v>
      </c>
      <c r="D26" s="561" t="s">
        <v>351</v>
      </c>
      <c r="E26" s="820"/>
      <c r="F26" s="821"/>
      <c r="G26" s="561" t="s">
        <v>724</v>
      </c>
      <c r="H26" s="820"/>
      <c r="I26" s="821"/>
      <c r="J26" s="4">
        <v>151.29</v>
      </c>
      <c r="K26" s="14">
        <v>4.4538706256627779E-2</v>
      </c>
      <c r="L26" s="4">
        <v>1.6799999999999997</v>
      </c>
      <c r="M26" s="411">
        <v>254.16719999999995</v>
      </c>
      <c r="N26" s="171"/>
      <c r="O26" s="826" t="s">
        <v>517</v>
      </c>
      <c r="P26" s="827"/>
    </row>
    <row r="27" spans="1:16" ht="15.75" customHeight="1">
      <c r="A27" s="753"/>
      <c r="B27" s="818"/>
      <c r="C27" s="170">
        <v>3</v>
      </c>
      <c r="D27" s="561" t="s">
        <v>344</v>
      </c>
      <c r="E27" s="820"/>
      <c r="F27" s="821"/>
      <c r="G27" s="561" t="s">
        <v>752</v>
      </c>
      <c r="H27" s="820"/>
      <c r="I27" s="821"/>
      <c r="J27" s="4">
        <v>354.37</v>
      </c>
      <c r="K27" s="14">
        <v>4.5518296570189888E-2</v>
      </c>
      <c r="L27" s="4">
        <v>0.71399999999999864</v>
      </c>
      <c r="M27" s="411">
        <v>253.02017999999953</v>
      </c>
      <c r="N27" s="171"/>
      <c r="O27" s="826" t="s">
        <v>517</v>
      </c>
      <c r="P27" s="827"/>
    </row>
    <row r="28" spans="1:16" ht="15.75" customHeight="1">
      <c r="A28" s="753"/>
      <c r="B28" s="818"/>
      <c r="C28" s="170">
        <v>4</v>
      </c>
      <c r="D28" s="561" t="s">
        <v>331</v>
      </c>
      <c r="E28" s="820"/>
      <c r="F28" s="821"/>
      <c r="G28" s="561" t="s">
        <v>758</v>
      </c>
      <c r="H28" s="820"/>
      <c r="I28" s="821"/>
      <c r="J28" s="4">
        <v>75.14</v>
      </c>
      <c r="K28" s="14">
        <v>3.1013861202540436E-2</v>
      </c>
      <c r="L28" s="4">
        <v>3.3449999999999989</v>
      </c>
      <c r="M28" s="411">
        <v>251.34329999999991</v>
      </c>
      <c r="N28" s="171"/>
      <c r="O28" s="826" t="s">
        <v>517</v>
      </c>
      <c r="P28" s="827"/>
    </row>
    <row r="29" spans="1:16" ht="15.75" customHeight="1" thickBot="1">
      <c r="A29" s="753"/>
      <c r="B29" s="818"/>
      <c r="C29" s="172">
        <v>5</v>
      </c>
      <c r="D29" s="561" t="s">
        <v>346</v>
      </c>
      <c r="E29" s="820"/>
      <c r="F29" s="821"/>
      <c r="G29" s="561" t="s">
        <v>751</v>
      </c>
      <c r="H29" s="820"/>
      <c r="I29" s="821"/>
      <c r="J29" s="4">
        <v>95.43</v>
      </c>
      <c r="K29" s="14">
        <v>4.770813844714681E-2</v>
      </c>
      <c r="L29" s="4">
        <v>2.5499999999999972</v>
      </c>
      <c r="M29" s="411">
        <v>243.34649999999974</v>
      </c>
      <c r="N29" s="173"/>
      <c r="O29" s="828" t="s">
        <v>517</v>
      </c>
      <c r="P29" s="829"/>
    </row>
    <row r="30" spans="1:16" ht="15.75" customHeight="1" thickTop="1" thickBot="1">
      <c r="A30" s="749"/>
      <c r="B30" s="819"/>
      <c r="C30" s="811"/>
      <c r="D30" s="812"/>
      <c r="E30" s="812"/>
      <c r="F30" s="812"/>
      <c r="G30" s="812"/>
      <c r="H30" s="812"/>
      <c r="I30" s="813"/>
      <c r="J30" s="322" t="s">
        <v>655</v>
      </c>
      <c r="K30" s="244">
        <v>5.3562912113463779E-3</v>
      </c>
      <c r="L30" s="322" t="s">
        <v>656</v>
      </c>
      <c r="M30" s="412">
        <v>1278.5992599999995</v>
      </c>
      <c r="N30" s="814"/>
      <c r="O30" s="815"/>
      <c r="P30" s="816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D29:F29"/>
    <mergeCell ref="G29:I29"/>
    <mergeCell ref="O29:P29"/>
    <mergeCell ref="D28:F28"/>
    <mergeCell ref="G28:I28"/>
    <mergeCell ref="O28:P28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7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28" customWidth="1"/>
    <col min="2" max="2" width="11.42578125" style="329" customWidth="1"/>
    <col min="3" max="3" width="4" style="330" customWidth="1"/>
    <col min="4" max="17" width="9.5703125" style="328" customWidth="1"/>
    <col min="18" max="16384" width="12.5703125" style="328"/>
  </cols>
  <sheetData>
    <row r="1" spans="1:23" s="182" customFormat="1" ht="15.75" customHeight="1">
      <c r="A1" s="781" t="s">
        <v>498</v>
      </c>
      <c r="B1" s="781"/>
      <c r="C1" s="781"/>
      <c r="D1" s="781"/>
      <c r="E1" s="781"/>
      <c r="F1" s="781"/>
      <c r="G1" s="781"/>
      <c r="H1" s="781"/>
      <c r="I1" s="781"/>
      <c r="J1" s="781"/>
      <c r="K1" s="781"/>
      <c r="L1" s="781"/>
      <c r="M1" s="781"/>
      <c r="N1" s="781"/>
      <c r="O1" s="781"/>
      <c r="P1" s="781"/>
      <c r="Q1" s="781"/>
    </row>
    <row r="2" spans="1:23" s="183" customFormat="1" ht="15.75" customHeight="1">
      <c r="A2" s="781"/>
      <c r="B2" s="781"/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  <c r="O2" s="781"/>
      <c r="P2" s="781"/>
      <c r="Q2" s="781"/>
    </row>
    <row r="3" spans="1:23" s="182" customFormat="1" ht="15.75" customHeight="1">
      <c r="A3" s="782" t="s">
        <v>499</v>
      </c>
      <c r="B3" s="782"/>
      <c r="C3" s="782"/>
      <c r="D3" s="782"/>
      <c r="E3" s="782"/>
      <c r="F3" s="782"/>
      <c r="G3" s="782"/>
      <c r="H3" s="782"/>
      <c r="I3" s="782"/>
      <c r="J3" s="782"/>
      <c r="K3" s="782"/>
      <c r="L3" s="782"/>
      <c r="M3" s="782"/>
      <c r="N3" s="184"/>
    </row>
    <row r="4" spans="1:23" s="183" customFormat="1" ht="15.75" customHeight="1">
      <c r="A4" s="782"/>
      <c r="B4" s="782"/>
      <c r="C4" s="782"/>
      <c r="D4" s="782"/>
      <c r="E4" s="782"/>
      <c r="F4" s="782"/>
      <c r="G4" s="782"/>
      <c r="H4" s="782"/>
      <c r="I4" s="782"/>
      <c r="J4" s="782"/>
      <c r="K4" s="782"/>
      <c r="L4" s="782"/>
      <c r="M4" s="782"/>
      <c r="N4" s="185"/>
    </row>
    <row r="5" spans="1:23" s="182" customFormat="1" ht="15.75" customHeight="1">
      <c r="A5" s="784" t="s">
        <v>497</v>
      </c>
      <c r="B5" s="787">
        <v>1</v>
      </c>
      <c r="C5" s="787"/>
      <c r="D5" s="787">
        <v>2</v>
      </c>
      <c r="E5" s="787"/>
      <c r="F5" s="787">
        <v>3</v>
      </c>
      <c r="G5" s="787"/>
      <c r="H5" s="867">
        <v>4</v>
      </c>
      <c r="I5" s="867"/>
      <c r="J5" s="867">
        <v>5</v>
      </c>
      <c r="K5" s="867"/>
      <c r="L5" s="867">
        <v>6</v>
      </c>
      <c r="M5" s="867"/>
      <c r="N5" s="867">
        <v>7</v>
      </c>
      <c r="O5" s="867"/>
      <c r="P5" s="787">
        <v>8</v>
      </c>
      <c r="Q5" s="787"/>
    </row>
    <row r="6" spans="1:23" s="182" customFormat="1" ht="15.75" customHeight="1">
      <c r="A6" s="784"/>
      <c r="B6" s="784" t="s">
        <v>500</v>
      </c>
      <c r="C6" s="784"/>
      <c r="D6" s="784" t="s">
        <v>501</v>
      </c>
      <c r="E6" s="784"/>
      <c r="F6" s="784" t="s">
        <v>502</v>
      </c>
      <c r="G6" s="784"/>
      <c r="H6" s="869" t="s">
        <v>503</v>
      </c>
      <c r="I6" s="868"/>
      <c r="J6" s="868" t="s">
        <v>504</v>
      </c>
      <c r="K6" s="868"/>
      <c r="L6" s="868" t="s">
        <v>505</v>
      </c>
      <c r="M6" s="868"/>
      <c r="N6" s="868" t="s">
        <v>506</v>
      </c>
      <c r="O6" s="868"/>
      <c r="P6" s="866" t="s">
        <v>507</v>
      </c>
      <c r="Q6" s="784"/>
    </row>
    <row r="7" spans="1:23" s="182" customFormat="1" ht="15.75" customHeight="1">
      <c r="B7" s="325"/>
      <c r="C7" s="326"/>
    </row>
    <row r="8" spans="1:23" s="327" customFormat="1" ht="15.75" customHeight="1">
      <c r="A8" s="849" t="s">
        <v>649</v>
      </c>
      <c r="B8" s="850"/>
      <c r="C8" s="116" t="s">
        <v>540</v>
      </c>
      <c r="D8" s="851" t="s">
        <v>12</v>
      </c>
      <c r="E8" s="852"/>
      <c r="F8" s="853"/>
      <c r="G8" s="114" t="s">
        <v>650</v>
      </c>
      <c r="H8" s="115"/>
      <c r="I8" s="116"/>
      <c r="J8" s="113" t="s">
        <v>651</v>
      </c>
      <c r="K8" s="113" t="s">
        <v>658</v>
      </c>
      <c r="L8" s="113" t="s">
        <v>653</v>
      </c>
      <c r="M8" s="117" t="s">
        <v>11</v>
      </c>
      <c r="N8" s="323" t="s">
        <v>13</v>
      </c>
      <c r="O8" s="854" t="s">
        <v>50</v>
      </c>
      <c r="P8" s="855"/>
      <c r="R8" s="182"/>
      <c r="S8" s="182"/>
      <c r="T8" s="182"/>
      <c r="U8" s="182"/>
      <c r="V8" s="182"/>
      <c r="W8" s="182"/>
    </row>
    <row r="9" spans="1:23" ht="15.75" customHeight="1">
      <c r="A9" s="850">
        <v>4</v>
      </c>
      <c r="B9" s="857" t="s">
        <v>495</v>
      </c>
      <c r="C9" s="111">
        <v>1</v>
      </c>
      <c r="D9" s="561" t="s">
        <v>331</v>
      </c>
      <c r="E9" s="820"/>
      <c r="F9" s="821"/>
      <c r="G9" s="561" t="s">
        <v>728</v>
      </c>
      <c r="H9" s="820"/>
      <c r="I9" s="821"/>
      <c r="J9" s="4">
        <v>160.9</v>
      </c>
      <c r="K9" s="14">
        <v>2.7365129007036745E-2</v>
      </c>
      <c r="L9" s="4">
        <v>1.75</v>
      </c>
      <c r="M9" s="411">
        <v>281.57499999999999</v>
      </c>
      <c r="N9" s="4"/>
      <c r="O9" s="826" t="s">
        <v>446</v>
      </c>
      <c r="P9" s="863"/>
      <c r="R9" s="182"/>
      <c r="S9" s="182"/>
      <c r="T9" s="182"/>
      <c r="U9" s="182"/>
      <c r="V9" s="182"/>
      <c r="W9" s="182"/>
    </row>
    <row r="10" spans="1:23" ht="15.75" customHeight="1">
      <c r="A10" s="850"/>
      <c r="B10" s="857"/>
      <c r="C10" s="111">
        <v>2</v>
      </c>
      <c r="D10" s="561" t="s">
        <v>331</v>
      </c>
      <c r="E10" s="820"/>
      <c r="F10" s="821"/>
      <c r="G10" s="561" t="s">
        <v>734</v>
      </c>
      <c r="H10" s="820"/>
      <c r="I10" s="821"/>
      <c r="J10" s="4">
        <v>382.3</v>
      </c>
      <c r="K10" s="14">
        <v>1.5865896731513215E-2</v>
      </c>
      <c r="L10" s="4">
        <v>0.70750000000000313</v>
      </c>
      <c r="M10" s="411">
        <v>270.47725000000122</v>
      </c>
      <c r="N10" s="4"/>
      <c r="O10" s="826" t="s">
        <v>446</v>
      </c>
      <c r="P10" s="863"/>
      <c r="R10" s="182"/>
      <c r="S10" s="182"/>
      <c r="T10" s="182"/>
      <c r="U10" s="182"/>
      <c r="V10" s="182"/>
      <c r="W10" s="182"/>
    </row>
    <row r="11" spans="1:23" ht="15.75" customHeight="1">
      <c r="A11" s="850"/>
      <c r="B11" s="857"/>
      <c r="C11" s="111">
        <v>3</v>
      </c>
      <c r="D11" s="561" t="s">
        <v>619</v>
      </c>
      <c r="E11" s="820"/>
      <c r="F11" s="821"/>
      <c r="G11" s="561" t="s">
        <v>721</v>
      </c>
      <c r="H11" s="820"/>
      <c r="I11" s="821"/>
      <c r="J11" s="4">
        <v>118.03</v>
      </c>
      <c r="K11" s="14">
        <v>7.1729402474335572E-3</v>
      </c>
      <c r="L11" s="4">
        <v>2.1800000000000068</v>
      </c>
      <c r="M11" s="411">
        <v>257.30540000000082</v>
      </c>
      <c r="N11" s="4"/>
      <c r="O11" s="826" t="s">
        <v>446</v>
      </c>
      <c r="P11" s="863"/>
      <c r="R11" s="182"/>
      <c r="S11" s="182"/>
      <c r="T11" s="182"/>
      <c r="U11" s="182"/>
      <c r="V11" s="182"/>
      <c r="W11" s="182"/>
    </row>
    <row r="12" spans="1:23" ht="15.75" customHeight="1">
      <c r="A12" s="850"/>
      <c r="B12" s="857"/>
      <c r="C12" s="111">
        <v>4</v>
      </c>
      <c r="D12" s="561" t="s">
        <v>619</v>
      </c>
      <c r="E12" s="820"/>
      <c r="F12" s="821"/>
      <c r="G12" s="561" t="s">
        <v>739</v>
      </c>
      <c r="H12" s="820"/>
      <c r="I12" s="821"/>
      <c r="J12" s="4">
        <v>234.48</v>
      </c>
      <c r="K12" s="14">
        <v>1.6593727206418652E-2</v>
      </c>
      <c r="L12" s="4">
        <v>1.0919999999999987</v>
      </c>
      <c r="M12" s="411">
        <v>256.05215999999967</v>
      </c>
      <c r="N12" s="4"/>
      <c r="O12" s="826" t="s">
        <v>446</v>
      </c>
      <c r="P12" s="863"/>
      <c r="R12" s="182"/>
      <c r="S12" s="182"/>
      <c r="T12" s="182"/>
      <c r="U12" s="182"/>
      <c r="V12" s="182"/>
      <c r="W12" s="182"/>
    </row>
    <row r="13" spans="1:23" ht="15.75" customHeight="1" thickBot="1">
      <c r="A13" s="850"/>
      <c r="B13" s="857"/>
      <c r="C13" s="112">
        <v>5</v>
      </c>
      <c r="D13" s="561" t="s">
        <v>515</v>
      </c>
      <c r="E13" s="820"/>
      <c r="F13" s="821"/>
      <c r="G13" s="561" t="s">
        <v>735</v>
      </c>
      <c r="H13" s="820"/>
      <c r="I13" s="821"/>
      <c r="J13" s="4">
        <v>71.38</v>
      </c>
      <c r="K13" s="14">
        <v>1.2595876433748448E-2</v>
      </c>
      <c r="L13" s="4">
        <v>3.5799999999999841</v>
      </c>
      <c r="M13" s="411">
        <v>255.54039999999884</v>
      </c>
      <c r="N13" s="4"/>
      <c r="O13" s="826" t="s">
        <v>446</v>
      </c>
      <c r="P13" s="863"/>
      <c r="R13" s="182"/>
      <c r="S13" s="182"/>
      <c r="T13" s="182"/>
      <c r="U13" s="182"/>
      <c r="V13" s="182"/>
      <c r="W13" s="182"/>
    </row>
    <row r="14" spans="1:23" ht="15.75" customHeight="1" thickTop="1" thickBot="1">
      <c r="A14" s="850"/>
      <c r="B14" s="857"/>
      <c r="C14" s="865"/>
      <c r="D14" s="865"/>
      <c r="E14" s="865"/>
      <c r="F14" s="865"/>
      <c r="G14" s="865"/>
      <c r="H14" s="865"/>
      <c r="I14" s="865"/>
      <c r="J14" s="245" t="s">
        <v>655</v>
      </c>
      <c r="K14" s="244">
        <v>5.5337072543348393E-3</v>
      </c>
      <c r="L14" s="245" t="s">
        <v>656</v>
      </c>
      <c r="M14" s="412">
        <v>1320.9502100000004</v>
      </c>
      <c r="N14" s="864"/>
      <c r="O14" s="864"/>
      <c r="P14" s="864"/>
      <c r="R14" s="182"/>
      <c r="S14" s="182"/>
      <c r="T14" s="182"/>
      <c r="U14" s="182"/>
      <c r="V14" s="182"/>
      <c r="W14" s="182"/>
    </row>
    <row r="15" spans="1:23" ht="15.75" customHeight="1" thickTop="1">
      <c r="A15" s="548"/>
      <c r="B15" s="110"/>
      <c r="C15" s="108"/>
      <c r="D15" s="548"/>
      <c r="E15" s="548"/>
      <c r="F15" s="548"/>
      <c r="G15" s="548"/>
      <c r="H15" s="548"/>
      <c r="I15" s="548"/>
      <c r="J15" s="548"/>
      <c r="K15" s="548"/>
      <c r="L15" s="548"/>
      <c r="M15" s="548"/>
      <c r="N15" s="548"/>
      <c r="O15" s="548"/>
      <c r="P15" s="548"/>
      <c r="R15" s="182"/>
      <c r="S15" s="182"/>
      <c r="T15" s="182"/>
      <c r="U15" s="182"/>
      <c r="V15" s="182"/>
      <c r="W15" s="182"/>
    </row>
    <row r="16" spans="1:23" ht="15.75" customHeight="1">
      <c r="A16" s="849" t="s">
        <v>649</v>
      </c>
      <c r="B16" s="850"/>
      <c r="C16" s="116" t="s">
        <v>540</v>
      </c>
      <c r="D16" s="851" t="s">
        <v>12</v>
      </c>
      <c r="E16" s="852"/>
      <c r="F16" s="853"/>
      <c r="G16" s="114" t="s">
        <v>650</v>
      </c>
      <c r="H16" s="115"/>
      <c r="I16" s="116"/>
      <c r="J16" s="113" t="s">
        <v>651</v>
      </c>
      <c r="K16" s="113" t="s">
        <v>658</v>
      </c>
      <c r="L16" s="113" t="s">
        <v>653</v>
      </c>
      <c r="M16" s="117" t="s">
        <v>11</v>
      </c>
      <c r="N16" s="323" t="s">
        <v>13</v>
      </c>
      <c r="O16" s="854" t="s">
        <v>50</v>
      </c>
      <c r="P16" s="855"/>
      <c r="R16" s="182"/>
      <c r="S16" s="182"/>
      <c r="T16" s="182"/>
      <c r="U16" s="182"/>
      <c r="V16" s="182"/>
      <c r="W16" s="182"/>
    </row>
    <row r="17" spans="1:23" ht="15.75" customHeight="1">
      <c r="A17" s="850">
        <v>5</v>
      </c>
      <c r="B17" s="856" t="s">
        <v>193</v>
      </c>
      <c r="C17" s="111">
        <v>1</v>
      </c>
      <c r="D17" s="561" t="s">
        <v>333</v>
      </c>
      <c r="E17" s="820"/>
      <c r="F17" s="821"/>
      <c r="G17" s="561" t="s">
        <v>556</v>
      </c>
      <c r="H17" s="820"/>
      <c r="I17" s="821"/>
      <c r="J17" s="4">
        <v>581.91999999999996</v>
      </c>
      <c r="K17" s="14">
        <v>2.6364432337776127E-2</v>
      </c>
      <c r="L17" s="4">
        <v>0.54200000000000159</v>
      </c>
      <c r="M17" s="411">
        <v>315.40064000000092</v>
      </c>
      <c r="N17" s="4"/>
      <c r="O17" s="826" t="s">
        <v>508</v>
      </c>
      <c r="P17" s="827"/>
      <c r="R17" s="182"/>
      <c r="S17" s="182"/>
      <c r="T17" s="182"/>
      <c r="U17" s="182"/>
      <c r="V17" s="182"/>
      <c r="W17" s="182"/>
    </row>
    <row r="18" spans="1:23" ht="15.75" customHeight="1">
      <c r="A18" s="850"/>
      <c r="B18" s="857"/>
      <c r="C18" s="111">
        <v>2</v>
      </c>
      <c r="D18" s="561" t="s">
        <v>630</v>
      </c>
      <c r="E18" s="820"/>
      <c r="F18" s="821"/>
      <c r="G18" s="561" t="s">
        <v>631</v>
      </c>
      <c r="H18" s="820"/>
      <c r="I18" s="821"/>
      <c r="J18" s="4">
        <v>395.29</v>
      </c>
      <c r="K18" s="14">
        <v>2.0114942528735715E-2</v>
      </c>
      <c r="L18" s="4">
        <v>0.70000000000000284</v>
      </c>
      <c r="M18" s="411">
        <v>276.70300000000111</v>
      </c>
      <c r="N18" s="4"/>
      <c r="O18" s="826" t="s">
        <v>508</v>
      </c>
      <c r="P18" s="827"/>
      <c r="R18" s="182"/>
      <c r="S18" s="182"/>
      <c r="T18" s="182"/>
      <c r="U18" s="182"/>
      <c r="V18" s="182"/>
      <c r="W18" s="182"/>
    </row>
    <row r="19" spans="1:23" ht="15.75" customHeight="1">
      <c r="A19" s="850"/>
      <c r="B19" s="857"/>
      <c r="C19" s="111">
        <v>3</v>
      </c>
      <c r="D19" s="561" t="s">
        <v>612</v>
      </c>
      <c r="E19" s="820"/>
      <c r="F19" s="821"/>
      <c r="G19" s="561" t="s">
        <v>729</v>
      </c>
      <c r="H19" s="820"/>
      <c r="I19" s="821"/>
      <c r="J19" s="4">
        <v>221.28</v>
      </c>
      <c r="K19" s="14">
        <v>2.8385295486272659E-2</v>
      </c>
      <c r="L19" s="4">
        <v>1.2199999999999989</v>
      </c>
      <c r="M19" s="411">
        <v>269.96159999999975</v>
      </c>
      <c r="N19" s="4"/>
      <c r="O19" s="826" t="s">
        <v>508</v>
      </c>
      <c r="P19" s="827"/>
      <c r="R19" s="182"/>
      <c r="S19" s="182"/>
      <c r="T19" s="182"/>
      <c r="U19" s="182"/>
      <c r="V19" s="182"/>
      <c r="W19" s="182"/>
    </row>
    <row r="20" spans="1:23" ht="15.75" customHeight="1">
      <c r="A20" s="850"/>
      <c r="B20" s="857"/>
      <c r="C20" s="111">
        <v>4</v>
      </c>
      <c r="D20" s="561" t="s">
        <v>595</v>
      </c>
      <c r="E20" s="820"/>
      <c r="F20" s="821"/>
      <c r="G20" s="561" t="s">
        <v>662</v>
      </c>
      <c r="H20" s="820"/>
      <c r="I20" s="821"/>
      <c r="J20" s="4">
        <v>272.57</v>
      </c>
      <c r="K20" s="14">
        <v>1.5580850892064201E-2</v>
      </c>
      <c r="L20" s="4">
        <v>0.96499999999999631</v>
      </c>
      <c r="M20" s="411">
        <v>263.03004999999899</v>
      </c>
      <c r="N20" s="4"/>
      <c r="O20" s="826" t="s">
        <v>508</v>
      </c>
      <c r="P20" s="827"/>
      <c r="R20" s="182"/>
      <c r="S20" s="182"/>
      <c r="T20" s="182"/>
      <c r="U20" s="182"/>
      <c r="V20" s="182"/>
      <c r="W20" s="182"/>
    </row>
    <row r="21" spans="1:23" ht="15.75" customHeight="1" thickBot="1">
      <c r="A21" s="850"/>
      <c r="B21" s="857"/>
      <c r="C21" s="112">
        <v>5</v>
      </c>
      <c r="D21" s="561" t="s">
        <v>512</v>
      </c>
      <c r="E21" s="820"/>
      <c r="F21" s="821"/>
      <c r="G21" s="561" t="s">
        <v>730</v>
      </c>
      <c r="H21" s="820"/>
      <c r="I21" s="821"/>
      <c r="J21" s="4">
        <v>278.12</v>
      </c>
      <c r="K21" s="14">
        <v>2.904040404040387E-2</v>
      </c>
      <c r="L21" s="4">
        <v>0.9199999999999946</v>
      </c>
      <c r="M21" s="411">
        <v>255.87039999999851</v>
      </c>
      <c r="N21" s="4"/>
      <c r="O21" s="826" t="s">
        <v>508</v>
      </c>
      <c r="P21" s="827"/>
      <c r="R21" s="182"/>
      <c r="S21" s="182"/>
      <c r="T21" s="182"/>
      <c r="U21" s="182"/>
      <c r="V21" s="182"/>
      <c r="W21" s="182"/>
    </row>
    <row r="22" spans="1:23" ht="15.75" customHeight="1" thickTop="1" thickBot="1">
      <c r="A22" s="850"/>
      <c r="B22" s="857"/>
      <c r="C22" s="858"/>
      <c r="D22" s="858"/>
      <c r="E22" s="858"/>
      <c r="F22" s="858"/>
      <c r="G22" s="858"/>
      <c r="H22" s="858"/>
      <c r="I22" s="859"/>
      <c r="J22" s="118" t="s">
        <v>655</v>
      </c>
      <c r="K22" s="244">
        <v>5.785123314178897E-3</v>
      </c>
      <c r="L22" s="118" t="s">
        <v>656</v>
      </c>
      <c r="M22" s="412">
        <v>1380.9656899999993</v>
      </c>
      <c r="N22" s="860"/>
      <c r="O22" s="861"/>
      <c r="P22" s="862"/>
      <c r="R22" s="182"/>
      <c r="S22" s="182"/>
      <c r="T22" s="182"/>
      <c r="U22" s="182"/>
      <c r="V22" s="182"/>
      <c r="W22" s="182"/>
    </row>
    <row r="23" spans="1:23" ht="15.75" customHeight="1" thickTop="1">
      <c r="A23" s="548"/>
      <c r="B23" s="110"/>
      <c r="C23" s="108"/>
      <c r="D23" s="548"/>
      <c r="E23" s="548"/>
      <c r="F23" s="548"/>
      <c r="G23" s="548"/>
      <c r="H23" s="548"/>
      <c r="I23" s="548"/>
      <c r="J23" s="548"/>
      <c r="K23" s="548"/>
      <c r="L23" s="548"/>
      <c r="M23" s="548"/>
      <c r="N23" s="548"/>
      <c r="O23" s="548"/>
      <c r="P23" s="548"/>
      <c r="R23" s="182"/>
      <c r="S23" s="182"/>
      <c r="T23" s="182"/>
      <c r="U23" s="182"/>
      <c r="V23" s="182"/>
      <c r="W23" s="182"/>
    </row>
    <row r="24" spans="1:23" ht="15.75" customHeight="1">
      <c r="A24" s="849" t="s">
        <v>649</v>
      </c>
      <c r="B24" s="850"/>
      <c r="C24" s="116" t="s">
        <v>540</v>
      </c>
      <c r="D24" s="851" t="s">
        <v>12</v>
      </c>
      <c r="E24" s="852"/>
      <c r="F24" s="853"/>
      <c r="G24" s="114" t="s">
        <v>650</v>
      </c>
      <c r="H24" s="115"/>
      <c r="I24" s="116"/>
      <c r="J24" s="113" t="s">
        <v>651</v>
      </c>
      <c r="K24" s="113" t="s">
        <v>658</v>
      </c>
      <c r="L24" s="113" t="s">
        <v>653</v>
      </c>
      <c r="M24" s="117" t="s">
        <v>11</v>
      </c>
      <c r="N24" s="323" t="s">
        <v>13</v>
      </c>
      <c r="O24" s="854" t="s">
        <v>50</v>
      </c>
      <c r="P24" s="855"/>
      <c r="R24" s="182"/>
      <c r="S24" s="182"/>
      <c r="T24" s="182"/>
      <c r="U24" s="182"/>
      <c r="V24" s="182"/>
      <c r="W24" s="182"/>
    </row>
    <row r="25" spans="1:23" ht="15.75" customHeight="1">
      <c r="A25" s="850">
        <v>6</v>
      </c>
      <c r="B25" s="856" t="s">
        <v>194</v>
      </c>
      <c r="C25" s="111">
        <v>1</v>
      </c>
      <c r="D25" s="561" t="s">
        <v>639</v>
      </c>
      <c r="E25" s="820"/>
      <c r="F25" s="821"/>
      <c r="G25" s="561" t="s">
        <v>332</v>
      </c>
      <c r="H25" s="820"/>
      <c r="I25" s="821"/>
      <c r="J25" s="4">
        <v>487.66</v>
      </c>
      <c r="K25" s="14">
        <v>1.3732746373888386E-2</v>
      </c>
      <c r="L25" s="4">
        <v>0.78299999999999415</v>
      </c>
      <c r="M25" s="411">
        <v>381.83777999999717</v>
      </c>
      <c r="N25" s="4"/>
      <c r="O25" s="847" t="s">
        <v>660</v>
      </c>
      <c r="P25" s="863"/>
      <c r="R25" s="182"/>
      <c r="S25" s="182"/>
      <c r="T25" s="182"/>
      <c r="U25" s="182"/>
      <c r="V25" s="182"/>
      <c r="W25" s="182"/>
    </row>
    <row r="26" spans="1:23" ht="15.75" customHeight="1">
      <c r="A26" s="850"/>
      <c r="B26" s="857"/>
      <c r="C26" s="111">
        <v>2</v>
      </c>
      <c r="D26" s="561" t="s">
        <v>716</v>
      </c>
      <c r="E26" s="820"/>
      <c r="F26" s="821"/>
      <c r="G26" s="561" t="s">
        <v>717</v>
      </c>
      <c r="H26" s="820"/>
      <c r="I26" s="821"/>
      <c r="J26" s="4">
        <v>535.87</v>
      </c>
      <c r="K26" s="14">
        <v>1.6649848637739571E-2</v>
      </c>
      <c r="L26" s="4">
        <v>0.65999999999999659</v>
      </c>
      <c r="M26" s="411">
        <v>353.67419999999817</v>
      </c>
      <c r="N26" s="4"/>
      <c r="O26" s="826" t="s">
        <v>660</v>
      </c>
      <c r="P26" s="863"/>
      <c r="R26" s="182"/>
      <c r="S26" s="182"/>
      <c r="T26" s="182"/>
      <c r="U26" s="182"/>
      <c r="V26" s="182"/>
      <c r="W26" s="182"/>
    </row>
    <row r="27" spans="1:23" ht="15.75" customHeight="1">
      <c r="A27" s="850"/>
      <c r="B27" s="857"/>
      <c r="C27" s="111">
        <v>3</v>
      </c>
      <c r="D27" s="561">
        <v>0</v>
      </c>
      <c r="E27" s="820"/>
      <c r="F27" s="821"/>
      <c r="G27" s="561">
        <v>0</v>
      </c>
      <c r="H27" s="820"/>
      <c r="I27" s="821"/>
      <c r="J27" s="4">
        <v>0</v>
      </c>
      <c r="K27" s="14">
        <v>0</v>
      </c>
      <c r="L27" s="4">
        <v>0</v>
      </c>
      <c r="M27" s="411">
        <v>0</v>
      </c>
      <c r="N27" s="4"/>
      <c r="O27" s="826"/>
      <c r="P27" s="863"/>
      <c r="R27" s="182"/>
      <c r="S27" s="182"/>
      <c r="T27" s="182"/>
      <c r="U27" s="182"/>
      <c r="V27" s="182"/>
      <c r="W27" s="182"/>
    </row>
    <row r="28" spans="1:23" ht="15.75" customHeight="1">
      <c r="A28" s="850"/>
      <c r="B28" s="857"/>
      <c r="C28" s="111">
        <v>4</v>
      </c>
      <c r="D28" s="561">
        <v>0</v>
      </c>
      <c r="E28" s="820"/>
      <c r="F28" s="821"/>
      <c r="G28" s="561">
        <v>0</v>
      </c>
      <c r="H28" s="820"/>
      <c r="I28" s="821"/>
      <c r="J28" s="4">
        <v>0</v>
      </c>
      <c r="K28" s="14">
        <v>0</v>
      </c>
      <c r="L28" s="4">
        <v>0</v>
      </c>
      <c r="M28" s="411">
        <v>0</v>
      </c>
      <c r="N28" s="4"/>
      <c r="O28" s="826"/>
      <c r="P28" s="863"/>
      <c r="R28" s="182"/>
      <c r="S28" s="182"/>
      <c r="T28" s="182"/>
      <c r="U28" s="182"/>
      <c r="V28" s="182"/>
      <c r="W28" s="182"/>
    </row>
    <row r="29" spans="1:23" ht="15.75" customHeight="1" thickBot="1">
      <c r="A29" s="850"/>
      <c r="B29" s="857"/>
      <c r="C29" s="112">
        <v>5</v>
      </c>
      <c r="D29" s="561">
        <v>0</v>
      </c>
      <c r="E29" s="820"/>
      <c r="F29" s="821"/>
      <c r="G29" s="561">
        <v>0</v>
      </c>
      <c r="H29" s="820"/>
      <c r="I29" s="821"/>
      <c r="J29" s="4">
        <v>0</v>
      </c>
      <c r="K29" s="14">
        <v>0</v>
      </c>
      <c r="L29" s="4">
        <v>0</v>
      </c>
      <c r="M29" s="411">
        <v>0</v>
      </c>
      <c r="N29" s="4"/>
      <c r="O29" s="826"/>
      <c r="P29" s="863"/>
      <c r="R29" s="182"/>
      <c r="S29" s="182"/>
      <c r="T29" s="182"/>
      <c r="U29" s="182"/>
      <c r="V29" s="182"/>
      <c r="W29" s="182"/>
    </row>
    <row r="30" spans="1:23" ht="15.75" customHeight="1" thickTop="1" thickBot="1">
      <c r="A30" s="850"/>
      <c r="B30" s="857"/>
      <c r="C30" s="858"/>
      <c r="D30" s="858"/>
      <c r="E30" s="858"/>
      <c r="F30" s="858"/>
      <c r="G30" s="858"/>
      <c r="H30" s="858"/>
      <c r="I30" s="859"/>
      <c r="J30" s="118" t="s">
        <v>655</v>
      </c>
      <c r="K30" s="244">
        <v>3.0811971174720914E-3</v>
      </c>
      <c r="L30" s="118" t="s">
        <v>656</v>
      </c>
      <c r="M30" s="412">
        <v>735.51197999999533</v>
      </c>
      <c r="N30" s="860"/>
      <c r="O30" s="861"/>
      <c r="P30" s="862"/>
      <c r="R30" s="182"/>
      <c r="S30" s="182"/>
      <c r="T30" s="182"/>
      <c r="U30" s="182"/>
      <c r="V30" s="182"/>
      <c r="W30" s="182"/>
    </row>
    <row r="31" spans="1:23" ht="15.75" customHeight="1" thickTop="1">
      <c r="A31" s="548"/>
      <c r="B31" s="110"/>
      <c r="C31" s="108"/>
      <c r="D31" s="548"/>
      <c r="E31" s="548"/>
      <c r="F31" s="548"/>
      <c r="G31" s="548"/>
      <c r="H31" s="548"/>
      <c r="I31" s="548"/>
      <c r="J31" s="548"/>
      <c r="K31" s="548"/>
      <c r="L31" s="548"/>
      <c r="M31" s="548"/>
      <c r="N31" s="548"/>
      <c r="O31" s="548"/>
      <c r="P31" s="548"/>
      <c r="R31" s="182"/>
      <c r="S31" s="182"/>
      <c r="T31" s="182"/>
      <c r="U31" s="182"/>
      <c r="V31" s="182"/>
      <c r="W31" s="182"/>
    </row>
    <row r="32" spans="1:23" ht="15.75" customHeight="1">
      <c r="A32" s="849" t="s">
        <v>649</v>
      </c>
      <c r="B32" s="850"/>
      <c r="C32" s="116" t="s">
        <v>540</v>
      </c>
      <c r="D32" s="851" t="s">
        <v>12</v>
      </c>
      <c r="E32" s="852"/>
      <c r="F32" s="853"/>
      <c r="G32" s="114" t="s">
        <v>650</v>
      </c>
      <c r="H32" s="115"/>
      <c r="I32" s="116"/>
      <c r="J32" s="113" t="s">
        <v>651</v>
      </c>
      <c r="K32" s="113" t="s">
        <v>658</v>
      </c>
      <c r="L32" s="113" t="s">
        <v>653</v>
      </c>
      <c r="M32" s="117" t="s">
        <v>11</v>
      </c>
      <c r="N32" s="117" t="s">
        <v>13</v>
      </c>
      <c r="O32" s="854" t="s">
        <v>50</v>
      </c>
      <c r="P32" s="855"/>
      <c r="R32" s="182"/>
      <c r="S32" s="182"/>
      <c r="T32" s="182"/>
      <c r="U32" s="182"/>
      <c r="V32" s="182"/>
      <c r="W32" s="182"/>
    </row>
    <row r="33" spans="1:23" ht="15.75" customHeight="1">
      <c r="A33" s="850">
        <v>7</v>
      </c>
      <c r="B33" s="856" t="s">
        <v>509</v>
      </c>
      <c r="C33" s="111">
        <v>1</v>
      </c>
      <c r="D33" s="561" t="s">
        <v>719</v>
      </c>
      <c r="E33" s="820"/>
      <c r="F33" s="821"/>
      <c r="G33" s="561" t="s">
        <v>720</v>
      </c>
      <c r="H33" s="820"/>
      <c r="I33" s="821"/>
      <c r="J33" s="4">
        <v>1010.1</v>
      </c>
      <c r="K33" s="14">
        <v>3.512278697886928E-2</v>
      </c>
      <c r="L33" s="4">
        <v>0.49200000000000088</v>
      </c>
      <c r="M33" s="411">
        <v>496.96920000000091</v>
      </c>
      <c r="N33" s="4"/>
      <c r="O33" s="826" t="s">
        <v>597</v>
      </c>
      <c r="P33" s="863"/>
      <c r="R33" s="182"/>
      <c r="S33" s="182"/>
      <c r="T33" s="182"/>
      <c r="U33" s="182"/>
      <c r="V33" s="182"/>
      <c r="W33" s="182"/>
    </row>
    <row r="34" spans="1:23" ht="15.75" customHeight="1">
      <c r="A34" s="850"/>
      <c r="B34" s="857"/>
      <c r="C34" s="111">
        <v>2</v>
      </c>
      <c r="D34" s="561" t="s">
        <v>635</v>
      </c>
      <c r="E34" s="820"/>
      <c r="F34" s="821"/>
      <c r="G34" s="561" t="s">
        <v>755</v>
      </c>
      <c r="H34" s="820"/>
      <c r="I34" s="821"/>
      <c r="J34" s="4">
        <v>935.2</v>
      </c>
      <c r="K34" s="14">
        <v>2.633215840763006E-2</v>
      </c>
      <c r="L34" s="4">
        <v>0.50799999999999912</v>
      </c>
      <c r="M34" s="411">
        <v>475.08159999999918</v>
      </c>
      <c r="N34" s="4"/>
      <c r="O34" s="826" t="s">
        <v>597</v>
      </c>
      <c r="P34" s="863"/>
      <c r="R34" s="182"/>
      <c r="S34" s="182"/>
      <c r="T34" s="182"/>
      <c r="U34" s="182"/>
      <c r="V34" s="182"/>
      <c r="W34" s="182"/>
    </row>
    <row r="35" spans="1:23" ht="15.75" customHeight="1">
      <c r="A35" s="850"/>
      <c r="B35" s="857"/>
      <c r="C35" s="111">
        <v>3</v>
      </c>
      <c r="D35" s="561" t="s">
        <v>719</v>
      </c>
      <c r="E35" s="820"/>
      <c r="F35" s="821"/>
      <c r="G35" s="561" t="s">
        <v>733</v>
      </c>
      <c r="H35" s="820"/>
      <c r="I35" s="821"/>
      <c r="J35" s="4">
        <v>622.54999999999995</v>
      </c>
      <c r="K35" s="14">
        <v>0.14220445459737299</v>
      </c>
      <c r="L35" s="4">
        <v>0.49800000000000022</v>
      </c>
      <c r="M35" s="411">
        <v>310.02990000000011</v>
      </c>
      <c r="N35" s="4"/>
      <c r="O35" s="826" t="s">
        <v>597</v>
      </c>
      <c r="P35" s="863"/>
      <c r="R35" s="182"/>
      <c r="S35" s="182"/>
      <c r="T35" s="182"/>
      <c r="U35" s="182"/>
      <c r="V35" s="182"/>
      <c r="W35" s="182"/>
    </row>
    <row r="36" spans="1:23" ht="15.75" customHeight="1">
      <c r="A36" s="850"/>
      <c r="B36" s="857"/>
      <c r="C36" s="111">
        <v>4</v>
      </c>
      <c r="D36" s="561">
        <v>0</v>
      </c>
      <c r="E36" s="820"/>
      <c r="F36" s="821"/>
      <c r="G36" s="561">
        <v>0</v>
      </c>
      <c r="H36" s="820"/>
      <c r="I36" s="821"/>
      <c r="J36" s="4">
        <v>0</v>
      </c>
      <c r="K36" s="14">
        <v>0</v>
      </c>
      <c r="L36" s="4">
        <v>0</v>
      </c>
      <c r="M36" s="411">
        <v>0</v>
      </c>
      <c r="N36" s="4"/>
      <c r="O36" s="826"/>
      <c r="P36" s="863"/>
      <c r="R36" s="182"/>
      <c r="S36" s="182"/>
      <c r="T36" s="182"/>
      <c r="U36" s="182"/>
      <c r="V36" s="182"/>
      <c r="W36" s="182"/>
    </row>
    <row r="37" spans="1:23" ht="15.75" customHeight="1" thickBot="1">
      <c r="A37" s="850"/>
      <c r="B37" s="857"/>
      <c r="C37" s="112">
        <v>5</v>
      </c>
      <c r="D37" s="561">
        <v>0</v>
      </c>
      <c r="E37" s="820"/>
      <c r="F37" s="821"/>
      <c r="G37" s="561">
        <v>0</v>
      </c>
      <c r="H37" s="820"/>
      <c r="I37" s="821"/>
      <c r="J37" s="4">
        <v>0</v>
      </c>
      <c r="K37" s="14">
        <v>0</v>
      </c>
      <c r="L37" s="4">
        <v>0</v>
      </c>
      <c r="M37" s="411">
        <v>0</v>
      </c>
      <c r="N37" s="4"/>
      <c r="O37" s="826"/>
      <c r="P37" s="863"/>
      <c r="R37" s="182"/>
      <c r="S37" s="182"/>
      <c r="T37" s="182"/>
      <c r="U37" s="182"/>
      <c r="V37" s="182"/>
      <c r="W37" s="182"/>
    </row>
    <row r="38" spans="1:23" ht="15.75" customHeight="1" thickTop="1" thickBot="1">
      <c r="A38" s="850"/>
      <c r="B38" s="857"/>
      <c r="C38" s="858"/>
      <c r="D38" s="858"/>
      <c r="E38" s="858"/>
      <c r="F38" s="858"/>
      <c r="G38" s="858"/>
      <c r="H38" s="858"/>
      <c r="I38" s="859"/>
      <c r="J38" s="118" t="s">
        <v>655</v>
      </c>
      <c r="K38" s="244">
        <v>5.3708756140268812E-3</v>
      </c>
      <c r="L38" s="118" t="s">
        <v>656</v>
      </c>
      <c r="M38" s="412">
        <v>1282.0807000000002</v>
      </c>
      <c r="N38" s="860"/>
      <c r="O38" s="861"/>
      <c r="P38" s="862"/>
      <c r="R38" s="182"/>
      <c r="S38" s="182"/>
      <c r="T38" s="182"/>
      <c r="U38" s="182"/>
      <c r="V38" s="182"/>
      <c r="W38" s="182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2" sqref="S22"/>
    </sheetView>
  </sheetViews>
  <sheetFormatPr defaultColWidth="12.5703125" defaultRowHeight="15.75" customHeight="1"/>
  <cols>
    <col min="1" max="1" width="5.42578125" style="119" customWidth="1"/>
    <col min="2" max="2" width="7.85546875" style="175" customWidth="1"/>
    <col min="3" max="3" width="4" style="160" customWidth="1"/>
    <col min="4" max="17" width="8.5703125" style="119" customWidth="1"/>
    <col min="18" max="16384" width="12.5703125" style="119"/>
  </cols>
  <sheetData>
    <row r="1" spans="1:17" ht="15.75" customHeight="1">
      <c r="A1" s="588" t="s">
        <v>185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</row>
    <row r="2" spans="1:17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</row>
    <row r="3" spans="1:17" ht="15.75" customHeight="1">
      <c r="A3" s="718" t="s">
        <v>196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718"/>
      <c r="N3" s="718"/>
      <c r="O3" s="718"/>
      <c r="P3" s="718"/>
      <c r="Q3" s="718"/>
    </row>
    <row r="4" spans="1:17" s="120" customFormat="1" ht="15.75" customHeight="1">
      <c r="A4" s="876"/>
      <c r="B4" s="876"/>
      <c r="C4" s="876"/>
      <c r="D4" s="876"/>
      <c r="E4" s="876"/>
      <c r="F4" s="876"/>
      <c r="G4" s="876"/>
      <c r="H4" s="876"/>
      <c r="I4" s="876"/>
      <c r="J4" s="876"/>
      <c r="K4" s="876"/>
      <c r="L4" s="876"/>
      <c r="M4" s="876"/>
      <c r="N4" s="876"/>
      <c r="O4" s="876"/>
      <c r="P4" s="876"/>
      <c r="Q4" s="876"/>
    </row>
    <row r="5" spans="1:17" ht="15.75" customHeight="1">
      <c r="A5" s="607" t="s">
        <v>171</v>
      </c>
      <c r="B5" s="840">
        <v>1</v>
      </c>
      <c r="C5" s="840"/>
      <c r="D5" s="840">
        <v>2</v>
      </c>
      <c r="E5" s="840"/>
      <c r="F5" s="840">
        <v>3</v>
      </c>
      <c r="G5" s="840"/>
      <c r="H5" s="840">
        <v>4</v>
      </c>
      <c r="I5" s="840"/>
      <c r="J5" s="840">
        <v>5</v>
      </c>
      <c r="K5" s="840"/>
      <c r="L5" s="840">
        <v>6</v>
      </c>
      <c r="M5" s="840"/>
      <c r="N5" s="840">
        <v>7</v>
      </c>
      <c r="O5" s="840"/>
      <c r="P5" s="845">
        <v>8</v>
      </c>
      <c r="Q5" s="845"/>
    </row>
    <row r="6" spans="1:17" ht="15.75" customHeight="1">
      <c r="A6" s="607"/>
      <c r="B6" s="607" t="s">
        <v>304</v>
      </c>
      <c r="C6" s="607"/>
      <c r="D6" s="607" t="s">
        <v>197</v>
      </c>
      <c r="E6" s="607"/>
      <c r="F6" s="607" t="s">
        <v>163</v>
      </c>
      <c r="G6" s="607"/>
      <c r="H6" s="607" t="s">
        <v>495</v>
      </c>
      <c r="I6" s="607"/>
      <c r="J6" s="607" t="s">
        <v>169</v>
      </c>
      <c r="K6" s="607"/>
      <c r="L6" s="607" t="s">
        <v>164</v>
      </c>
      <c r="M6" s="607"/>
      <c r="N6" s="607" t="s">
        <v>170</v>
      </c>
      <c r="O6" s="607"/>
      <c r="P6" s="846" t="s">
        <v>198</v>
      </c>
      <c r="Q6" s="846"/>
    </row>
    <row r="8" spans="1:17" s="153" customFormat="1" ht="15.75" customHeight="1">
      <c r="A8" s="162" t="s">
        <v>173</v>
      </c>
      <c r="B8" s="179" t="s">
        <v>18</v>
      </c>
      <c r="C8" s="874" t="s">
        <v>12</v>
      </c>
      <c r="D8" s="874"/>
      <c r="E8" s="874"/>
      <c r="F8" s="874" t="s">
        <v>53</v>
      </c>
      <c r="G8" s="874"/>
      <c r="H8" s="874"/>
      <c r="I8" s="179" t="s">
        <v>54</v>
      </c>
      <c r="J8" s="180" t="s">
        <v>19</v>
      </c>
      <c r="K8" s="179" t="s">
        <v>57</v>
      </c>
      <c r="L8" s="179" t="s">
        <v>2</v>
      </c>
      <c r="M8" s="877" t="s">
        <v>50</v>
      </c>
      <c r="N8" s="878"/>
      <c r="O8" s="878"/>
      <c r="P8" s="878"/>
      <c r="Q8" s="878"/>
    </row>
    <row r="9" spans="1:17" ht="15.75" customHeight="1">
      <c r="A9" s="874" t="s">
        <v>172</v>
      </c>
      <c r="B9" s="155">
        <v>1</v>
      </c>
      <c r="C9" s="870"/>
      <c r="D9" s="703"/>
      <c r="E9" s="703"/>
      <c r="F9" s="870"/>
      <c r="G9" s="703"/>
      <c r="H9" s="703"/>
      <c r="I9" s="163"/>
      <c r="J9" s="177"/>
      <c r="K9" s="177"/>
      <c r="L9" s="178">
        <f>K9-J9</f>
        <v>0</v>
      </c>
      <c r="M9" s="870"/>
      <c r="N9" s="870"/>
      <c r="O9" s="870"/>
      <c r="P9" s="870"/>
      <c r="Q9" s="870"/>
    </row>
    <row r="10" spans="1:17" ht="15.75" customHeight="1">
      <c r="A10" s="875"/>
      <c r="B10" s="155">
        <v>2</v>
      </c>
      <c r="C10" s="870"/>
      <c r="D10" s="703"/>
      <c r="E10" s="703"/>
      <c r="F10" s="870"/>
      <c r="G10" s="703"/>
      <c r="H10" s="703"/>
      <c r="I10" s="163"/>
      <c r="J10" s="177"/>
      <c r="K10" s="177"/>
      <c r="L10" s="178">
        <f>K10-J10</f>
        <v>0</v>
      </c>
      <c r="M10" s="870"/>
      <c r="N10" s="870"/>
      <c r="O10" s="870"/>
      <c r="P10" s="870"/>
      <c r="Q10" s="870"/>
    </row>
    <row r="11" spans="1:17" ht="15.75" customHeight="1">
      <c r="A11" s="875"/>
      <c r="B11" s="155">
        <v>3</v>
      </c>
      <c r="C11" s="870"/>
      <c r="D11" s="703"/>
      <c r="E11" s="703"/>
      <c r="F11" s="870"/>
      <c r="G11" s="703"/>
      <c r="H11" s="703"/>
      <c r="I11" s="163"/>
      <c r="J11" s="177"/>
      <c r="K11" s="177"/>
      <c r="L11" s="178">
        <f>K11-J11</f>
        <v>0</v>
      </c>
      <c r="M11" s="870"/>
      <c r="N11" s="870"/>
      <c r="O11" s="870"/>
      <c r="P11" s="870"/>
      <c r="Q11" s="870"/>
    </row>
    <row r="12" spans="1:17" ht="15.75" customHeight="1">
      <c r="A12" s="875"/>
      <c r="B12" s="155">
        <v>4</v>
      </c>
      <c r="C12" s="870"/>
      <c r="D12" s="703"/>
      <c r="E12" s="703"/>
      <c r="F12" s="870"/>
      <c r="G12" s="703"/>
      <c r="H12" s="703"/>
      <c r="I12" s="163"/>
      <c r="J12" s="177"/>
      <c r="K12" s="177"/>
      <c r="L12" s="178">
        <f>K12-J12</f>
        <v>0</v>
      </c>
      <c r="M12" s="870"/>
      <c r="N12" s="870"/>
      <c r="O12" s="870"/>
      <c r="P12" s="870"/>
      <c r="Q12" s="870"/>
    </row>
    <row r="13" spans="1:17" ht="15.75" customHeight="1">
      <c r="A13" s="875"/>
      <c r="B13" s="155">
        <v>5</v>
      </c>
      <c r="C13" s="870"/>
      <c r="D13" s="703"/>
      <c r="E13" s="703"/>
      <c r="F13" s="870"/>
      <c r="G13" s="703"/>
      <c r="H13" s="703"/>
      <c r="I13" s="163"/>
      <c r="J13" s="177"/>
      <c r="K13" s="177"/>
      <c r="L13" s="178">
        <f>K13-J13</f>
        <v>0</v>
      </c>
      <c r="M13" s="870"/>
      <c r="N13" s="870"/>
      <c r="O13" s="870"/>
      <c r="P13" s="870"/>
      <c r="Q13" s="870"/>
    </row>
    <row r="14" spans="1:17" ht="15.75" customHeight="1">
      <c r="A14" s="872"/>
      <c r="B14" s="872"/>
      <c r="C14" s="872"/>
      <c r="D14" s="872"/>
      <c r="E14" s="872"/>
      <c r="F14" s="872"/>
      <c r="G14" s="872"/>
      <c r="H14" s="872"/>
      <c r="I14" s="872"/>
      <c r="J14" s="872"/>
      <c r="K14" s="872"/>
      <c r="L14" s="872"/>
      <c r="M14" s="872"/>
      <c r="N14" s="872"/>
      <c r="O14" s="873"/>
    </row>
    <row r="15" spans="1:17" s="153" customFormat="1" ht="15.75" customHeight="1">
      <c r="A15" s="162" t="s">
        <v>173</v>
      </c>
      <c r="B15" s="162" t="s">
        <v>18</v>
      </c>
      <c r="C15" s="871" t="s">
        <v>12</v>
      </c>
      <c r="D15" s="871"/>
      <c r="E15" s="871"/>
      <c r="F15" s="871" t="s">
        <v>53</v>
      </c>
      <c r="G15" s="871"/>
      <c r="H15" s="871"/>
      <c r="I15" s="162" t="s">
        <v>54</v>
      </c>
      <c r="J15" s="176" t="s">
        <v>19</v>
      </c>
      <c r="K15" s="162" t="s">
        <v>57</v>
      </c>
      <c r="L15" s="162" t="s">
        <v>2</v>
      </c>
      <c r="M15" s="871" t="s">
        <v>50</v>
      </c>
      <c r="N15" s="871"/>
      <c r="O15" s="871"/>
      <c r="P15" s="871"/>
      <c r="Q15" s="871"/>
    </row>
    <row r="16" spans="1:17" ht="15.75" customHeight="1">
      <c r="A16" s="871" t="s">
        <v>174</v>
      </c>
      <c r="B16" s="155">
        <v>1</v>
      </c>
      <c r="C16" s="870"/>
      <c r="D16" s="703"/>
      <c r="E16" s="703"/>
      <c r="F16" s="870"/>
      <c r="G16" s="703"/>
      <c r="H16" s="703"/>
      <c r="I16" s="163"/>
      <c r="J16" s="177"/>
      <c r="K16" s="177"/>
      <c r="L16" s="178">
        <f>K16-J16</f>
        <v>0</v>
      </c>
      <c r="M16" s="870"/>
      <c r="N16" s="870"/>
      <c r="O16" s="870"/>
      <c r="P16" s="870"/>
      <c r="Q16" s="870"/>
    </row>
    <row r="17" spans="1:17" ht="15.75" customHeight="1">
      <c r="A17" s="871"/>
      <c r="B17" s="155">
        <v>2</v>
      </c>
      <c r="C17" s="870"/>
      <c r="D17" s="703"/>
      <c r="E17" s="703"/>
      <c r="F17" s="870"/>
      <c r="G17" s="703"/>
      <c r="H17" s="703"/>
      <c r="I17" s="163"/>
      <c r="J17" s="177"/>
      <c r="K17" s="177"/>
      <c r="L17" s="178">
        <f>K17-J17</f>
        <v>0</v>
      </c>
      <c r="M17" s="870"/>
      <c r="N17" s="870"/>
      <c r="O17" s="870"/>
      <c r="P17" s="870"/>
      <c r="Q17" s="870"/>
    </row>
    <row r="18" spans="1:17" ht="15.75" customHeight="1">
      <c r="A18" s="871"/>
      <c r="B18" s="155">
        <v>3</v>
      </c>
      <c r="C18" s="870"/>
      <c r="D18" s="703"/>
      <c r="E18" s="703"/>
      <c r="F18" s="870"/>
      <c r="G18" s="703"/>
      <c r="H18" s="703"/>
      <c r="I18" s="163"/>
      <c r="J18" s="177"/>
      <c r="K18" s="177"/>
      <c r="L18" s="178">
        <f>K18-J18</f>
        <v>0</v>
      </c>
      <c r="M18" s="870"/>
      <c r="N18" s="870"/>
      <c r="O18" s="870"/>
      <c r="P18" s="870"/>
      <c r="Q18" s="870"/>
    </row>
    <row r="19" spans="1:17" ht="15.75" customHeight="1">
      <c r="A19" s="871"/>
      <c r="B19" s="155">
        <v>4</v>
      </c>
      <c r="C19" s="870"/>
      <c r="D19" s="703"/>
      <c r="E19" s="703"/>
      <c r="F19" s="870"/>
      <c r="G19" s="703"/>
      <c r="H19" s="703"/>
      <c r="I19" s="163"/>
      <c r="J19" s="177"/>
      <c r="K19" s="177"/>
      <c r="L19" s="178">
        <f>K19-J19</f>
        <v>0</v>
      </c>
      <c r="M19" s="870"/>
      <c r="N19" s="870"/>
      <c r="O19" s="870"/>
      <c r="P19" s="870"/>
      <c r="Q19" s="870"/>
    </row>
    <row r="20" spans="1:17" ht="15.75" customHeight="1">
      <c r="A20" s="871"/>
      <c r="B20" s="155">
        <v>5</v>
      </c>
      <c r="C20" s="870"/>
      <c r="D20" s="703"/>
      <c r="E20" s="703"/>
      <c r="F20" s="870"/>
      <c r="G20" s="703"/>
      <c r="H20" s="703"/>
      <c r="I20" s="163"/>
      <c r="J20" s="177"/>
      <c r="K20" s="177"/>
      <c r="L20" s="178">
        <f>K20-J20</f>
        <v>0</v>
      </c>
      <c r="M20" s="870"/>
      <c r="N20" s="870"/>
      <c r="O20" s="870"/>
      <c r="P20" s="870"/>
      <c r="Q20" s="870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Q78"/>
  <sheetViews>
    <sheetView zoomScale="55" zoomScaleNormal="55" workbookViewId="0">
      <pane xSplit="4" ySplit="1" topLeftCell="AA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AF29" sqref="AF29"/>
    </sheetView>
  </sheetViews>
  <sheetFormatPr defaultColWidth="8.85546875" defaultRowHeight="16.5"/>
  <cols>
    <col min="1" max="1" width="8.85546875" style="331"/>
    <col min="2" max="2" width="12.42578125" style="331" customWidth="1"/>
    <col min="3" max="3" width="8.85546875" style="331"/>
    <col min="4" max="4" width="11.5703125" style="331" customWidth="1"/>
    <col min="5" max="5" width="39.28515625" style="331" bestFit="1" customWidth="1"/>
    <col min="6" max="6" width="11.42578125" style="331" bestFit="1" customWidth="1"/>
    <col min="7" max="8" width="17.28515625" style="331" bestFit="1" customWidth="1"/>
    <col min="9" max="9" width="16.85546875" style="331" customWidth="1"/>
    <col min="10" max="10" width="14" style="331" customWidth="1"/>
    <col min="11" max="11" width="16.85546875" style="331" customWidth="1"/>
    <col min="12" max="12" width="14" style="331" customWidth="1"/>
    <col min="13" max="13" width="13.85546875" style="331" bestFit="1" customWidth="1"/>
    <col min="14" max="14" width="10.85546875" style="331" bestFit="1" customWidth="1"/>
    <col min="15" max="15" width="19.140625" style="331" bestFit="1" customWidth="1"/>
    <col min="16" max="16" width="15.28515625" style="331" bestFit="1" customWidth="1"/>
    <col min="17" max="17" width="12.5703125" style="331" bestFit="1" customWidth="1"/>
    <col min="18" max="18" width="12.85546875" style="331" bestFit="1" customWidth="1"/>
    <col min="19" max="19" width="13.42578125" style="331" bestFit="1" customWidth="1"/>
    <col min="20" max="20" width="12.85546875" style="331" bestFit="1" customWidth="1"/>
    <col min="21" max="21" width="10.85546875" style="331" bestFit="1" customWidth="1"/>
    <col min="22" max="22" width="12.5703125" style="331" bestFit="1" customWidth="1"/>
    <col min="23" max="24" width="10.85546875" style="331" customWidth="1"/>
    <col min="25" max="25" width="12.42578125" style="331" bestFit="1" customWidth="1"/>
    <col min="26" max="26" width="25.28515625" style="331" bestFit="1" customWidth="1"/>
    <col min="27" max="27" width="88.28515625" style="331" customWidth="1"/>
    <col min="28" max="28" width="117.7109375" style="331" bestFit="1" customWidth="1"/>
    <col min="29" max="29" width="11.5703125" style="331" bestFit="1" customWidth="1"/>
    <col min="30" max="30" width="69.5703125" style="331" bestFit="1" customWidth="1"/>
    <col min="31" max="31" width="11.42578125" style="331" bestFit="1" customWidth="1"/>
    <col min="32" max="32" width="21.5703125" style="331" customWidth="1"/>
    <col min="33" max="33" width="19.42578125" style="331" bestFit="1" customWidth="1"/>
    <col min="34" max="39" width="14.42578125" style="331" customWidth="1"/>
    <col min="40" max="16384" width="8.85546875" style="331"/>
  </cols>
  <sheetData>
    <row r="1" spans="2:43" ht="21">
      <c r="B1" s="496" t="s">
        <v>686</v>
      </c>
    </row>
    <row r="2" spans="2:43" ht="41.1" customHeight="1">
      <c r="B2" s="911" t="s">
        <v>663</v>
      </c>
      <c r="C2" s="912"/>
      <c r="D2" s="912"/>
      <c r="E2" s="912"/>
      <c r="F2" s="912"/>
      <c r="G2" s="912"/>
      <c r="H2" s="912"/>
      <c r="I2" s="912"/>
      <c r="J2" s="912"/>
      <c r="K2" s="912"/>
      <c r="L2" s="912"/>
      <c r="M2" s="912"/>
      <c r="N2" s="912"/>
      <c r="O2" s="912"/>
      <c r="P2" s="912"/>
      <c r="Q2" s="912"/>
      <c r="R2" s="912"/>
      <c r="S2" s="912"/>
      <c r="T2" s="912"/>
      <c r="U2" s="912"/>
      <c r="V2" s="912"/>
      <c r="W2" s="912"/>
      <c r="X2" s="912"/>
      <c r="Y2" s="912"/>
      <c r="Z2" s="912"/>
      <c r="AA2" s="912"/>
      <c r="AB2" s="912"/>
      <c r="AC2" s="912"/>
      <c r="AD2" s="912"/>
      <c r="AF2" s="332"/>
      <c r="AG2" s="332"/>
    </row>
    <row r="3" spans="2:43" ht="17.100000000000001" customHeight="1">
      <c r="B3" s="905" t="s">
        <v>664</v>
      </c>
      <c r="C3" s="906"/>
      <c r="D3" s="909" t="s">
        <v>665</v>
      </c>
      <c r="E3" s="910" t="s">
        <v>666</v>
      </c>
      <c r="F3" s="901" t="s">
        <v>667</v>
      </c>
      <c r="G3" s="902" t="s">
        <v>668</v>
      </c>
      <c r="H3" s="904" t="s">
        <v>669</v>
      </c>
      <c r="I3" s="896" t="s">
        <v>670</v>
      </c>
      <c r="J3" s="897"/>
      <c r="K3" s="896" t="s">
        <v>671</v>
      </c>
      <c r="L3" s="897"/>
      <c r="M3" s="896" t="s">
        <v>672</v>
      </c>
      <c r="N3" s="897"/>
      <c r="O3" s="896" t="s">
        <v>673</v>
      </c>
      <c r="P3" s="897"/>
      <c r="Q3" s="896" t="s">
        <v>674</v>
      </c>
      <c r="R3" s="897"/>
      <c r="S3" s="898" t="s">
        <v>675</v>
      </c>
      <c r="T3" s="899"/>
      <c r="U3" s="900"/>
      <c r="V3" s="913" t="s">
        <v>676</v>
      </c>
      <c r="W3" s="914"/>
      <c r="X3" s="915"/>
      <c r="Y3" s="894" t="s">
        <v>165</v>
      </c>
      <c r="Z3" s="894" t="s">
        <v>677</v>
      </c>
      <c r="AA3" s="894" t="s">
        <v>678</v>
      </c>
      <c r="AB3" s="894" t="s">
        <v>679</v>
      </c>
      <c r="AC3" s="894" t="s">
        <v>680</v>
      </c>
      <c r="AD3" s="902" t="s">
        <v>166</v>
      </c>
      <c r="AF3" s="879" t="s">
        <v>681</v>
      </c>
      <c r="AG3" s="880"/>
      <c r="AH3" s="880"/>
      <c r="AI3" s="880"/>
      <c r="AJ3" s="880"/>
      <c r="AK3" s="880"/>
      <c r="AL3" s="880"/>
      <c r="AM3" s="881"/>
    </row>
    <row r="4" spans="2:43">
      <c r="B4" s="907"/>
      <c r="C4" s="908"/>
      <c r="D4" s="909"/>
      <c r="E4" s="909"/>
      <c r="F4" s="901"/>
      <c r="G4" s="903"/>
      <c r="H4" s="903"/>
      <c r="I4" s="545" t="s">
        <v>682</v>
      </c>
      <c r="J4" s="544" t="s">
        <v>607</v>
      </c>
      <c r="K4" s="545" t="s">
        <v>682</v>
      </c>
      <c r="L4" s="544" t="s">
        <v>607</v>
      </c>
      <c r="M4" s="545" t="s">
        <v>682</v>
      </c>
      <c r="N4" s="544" t="s">
        <v>607</v>
      </c>
      <c r="O4" s="545" t="s">
        <v>682</v>
      </c>
      <c r="P4" s="544" t="s">
        <v>607</v>
      </c>
      <c r="Q4" s="545" t="s">
        <v>682</v>
      </c>
      <c r="R4" s="544" t="s">
        <v>607</v>
      </c>
      <c r="S4" s="545" t="s">
        <v>682</v>
      </c>
      <c r="T4" s="544" t="s">
        <v>607</v>
      </c>
      <c r="U4" s="544" t="s">
        <v>608</v>
      </c>
      <c r="V4" s="545" t="s">
        <v>682</v>
      </c>
      <c r="W4" s="544" t="s">
        <v>607</v>
      </c>
      <c r="X4" s="544" t="s">
        <v>608</v>
      </c>
      <c r="Y4" s="895"/>
      <c r="Z4" s="895"/>
      <c r="AA4" s="895"/>
      <c r="AB4" s="895"/>
      <c r="AC4" s="895"/>
      <c r="AD4" s="903"/>
      <c r="AF4" s="882"/>
      <c r="AG4" s="883"/>
      <c r="AH4" s="883"/>
      <c r="AI4" s="883"/>
      <c r="AJ4" s="883"/>
      <c r="AK4" s="883"/>
      <c r="AL4" s="883"/>
      <c r="AM4" s="884"/>
    </row>
    <row r="5" spans="2:43" s="393" customFormat="1" ht="27" customHeight="1">
      <c r="B5" s="888" t="s">
        <v>745</v>
      </c>
      <c r="C5" s="889"/>
      <c r="D5" s="333">
        <v>1</v>
      </c>
      <c r="E5" s="413" t="s">
        <v>631</v>
      </c>
      <c r="F5" s="414">
        <v>1106.8120000000001</v>
      </c>
      <c r="G5" s="334">
        <v>395.29</v>
      </c>
      <c r="H5" s="415">
        <v>197.35</v>
      </c>
      <c r="I5" s="415">
        <v>198.77807809529151</v>
      </c>
      <c r="J5" s="417">
        <v>1.0071272142415046</v>
      </c>
      <c r="K5" s="416">
        <v>201.4</v>
      </c>
      <c r="L5" s="417">
        <v>1.0205219153787688</v>
      </c>
      <c r="M5" s="416">
        <v>0</v>
      </c>
      <c r="N5" s="417">
        <v>0</v>
      </c>
      <c r="O5" s="491">
        <v>201.4</v>
      </c>
      <c r="P5" s="417">
        <v>1.0205219153787688</v>
      </c>
      <c r="Q5" s="415">
        <v>2.8</v>
      </c>
      <c r="R5" s="417">
        <v>1.418799087914872E-2</v>
      </c>
      <c r="S5" s="491">
        <v>4.0500000000000007</v>
      </c>
      <c r="T5" s="417">
        <v>2.0521915378768688E-2</v>
      </c>
      <c r="U5" s="425">
        <v>1600.9245000000005</v>
      </c>
      <c r="V5" s="492">
        <v>1.2500000000000009</v>
      </c>
      <c r="W5" s="493">
        <v>6.333924499619969E-3</v>
      </c>
      <c r="X5" s="494">
        <v>494.11250000000035</v>
      </c>
      <c r="Y5" s="335" t="s">
        <v>326</v>
      </c>
      <c r="Z5" s="335" t="s">
        <v>193</v>
      </c>
      <c r="AA5" s="495" t="s">
        <v>643</v>
      </c>
      <c r="AB5" s="495" t="s">
        <v>518</v>
      </c>
      <c r="AC5" s="335">
        <v>1</v>
      </c>
      <c r="AD5" s="418" t="s">
        <v>630</v>
      </c>
      <c r="AF5" s="885"/>
      <c r="AG5" s="886"/>
      <c r="AH5" s="886"/>
      <c r="AI5" s="886"/>
      <c r="AJ5" s="886"/>
      <c r="AK5" s="886"/>
      <c r="AL5" s="886"/>
      <c r="AM5" s="887"/>
      <c r="AP5" s="419"/>
      <c r="AQ5" s="419"/>
    </row>
    <row r="6" spans="2:43" s="393" customFormat="1" ht="27" customHeight="1">
      <c r="B6" s="890"/>
      <c r="C6" s="891"/>
      <c r="D6" s="333">
        <v>2</v>
      </c>
      <c r="E6" s="413" t="s">
        <v>332</v>
      </c>
      <c r="F6" s="414">
        <v>1072.8520000000001</v>
      </c>
      <c r="G6" s="334">
        <v>487.66</v>
      </c>
      <c r="H6" s="415">
        <v>352.05500000000001</v>
      </c>
      <c r="I6" s="415">
        <v>353.62760559950107</v>
      </c>
      <c r="J6" s="417">
        <v>1.0044029264076622</v>
      </c>
      <c r="K6" s="416">
        <v>356.00000000000006</v>
      </c>
      <c r="L6" s="417">
        <v>1.0112056354830923</v>
      </c>
      <c r="M6" s="416">
        <v>0</v>
      </c>
      <c r="N6" s="417">
        <v>0</v>
      </c>
      <c r="O6" s="491">
        <v>356.00000000000006</v>
      </c>
      <c r="P6" s="417">
        <v>1.0112056354830923</v>
      </c>
      <c r="Q6" s="415">
        <v>2.2000000000000002</v>
      </c>
      <c r="R6" s="417">
        <v>6.2490235900640526E-3</v>
      </c>
      <c r="S6" s="491">
        <v>3.9449999999999932</v>
      </c>
      <c r="T6" s="417">
        <v>1.1205635483092112E-2</v>
      </c>
      <c r="U6" s="425">
        <v>1923.8186999999966</v>
      </c>
      <c r="V6" s="492">
        <v>1.744999999999993</v>
      </c>
      <c r="W6" s="493">
        <v>4.9566118930280583E-3</v>
      </c>
      <c r="X6" s="494">
        <v>850.96669999999665</v>
      </c>
      <c r="Y6" s="335" t="s">
        <v>326</v>
      </c>
      <c r="Z6" s="335" t="s">
        <v>194</v>
      </c>
      <c r="AA6" s="495" t="s">
        <v>586</v>
      </c>
      <c r="AB6" s="495" t="s">
        <v>518</v>
      </c>
      <c r="AC6" s="335">
        <v>1</v>
      </c>
      <c r="AD6" s="418" t="s">
        <v>639</v>
      </c>
      <c r="AF6" s="222" t="s">
        <v>684</v>
      </c>
      <c r="AG6" s="222" t="s">
        <v>609</v>
      </c>
      <c r="AH6" s="490" t="s">
        <v>659</v>
      </c>
      <c r="AI6" s="490" t="s">
        <v>367</v>
      </c>
      <c r="AJ6" s="490" t="s">
        <v>495</v>
      </c>
      <c r="AK6" s="490" t="s">
        <v>193</v>
      </c>
      <c r="AL6" s="490" t="s">
        <v>194</v>
      </c>
      <c r="AM6" s="490" t="s">
        <v>509</v>
      </c>
      <c r="AP6" s="421"/>
      <c r="AQ6" s="208"/>
    </row>
    <row r="7" spans="2:43" s="393" customFormat="1" ht="27" customHeight="1">
      <c r="B7" s="890"/>
      <c r="C7" s="891"/>
      <c r="D7" s="333">
        <v>3</v>
      </c>
      <c r="E7" s="413" t="s">
        <v>759</v>
      </c>
      <c r="F7" s="414">
        <v>1067.232</v>
      </c>
      <c r="G7" s="334">
        <v>111.17</v>
      </c>
      <c r="H7" s="415">
        <v>1688.546</v>
      </c>
      <c r="I7" s="415">
        <v>1691.6206128335111</v>
      </c>
      <c r="J7" s="417">
        <v>1.0018058740042532</v>
      </c>
      <c r="K7" s="416">
        <v>1701</v>
      </c>
      <c r="L7" s="417">
        <v>1.0073755763834684</v>
      </c>
      <c r="M7" s="416">
        <v>0</v>
      </c>
      <c r="N7" s="417">
        <v>0</v>
      </c>
      <c r="O7" s="491">
        <v>1701</v>
      </c>
      <c r="P7" s="417">
        <v>1.0073755763834684</v>
      </c>
      <c r="Q7" s="415">
        <v>9.6000000000000014</v>
      </c>
      <c r="R7" s="417">
        <v>5.6853648049860657E-3</v>
      </c>
      <c r="S7" s="491">
        <v>12.454000000000065</v>
      </c>
      <c r="T7" s="417">
        <v>7.3755763834684185E-3</v>
      </c>
      <c r="U7" s="425">
        <v>1384.5111800000075</v>
      </c>
      <c r="V7" s="492">
        <v>2.8540000000000632</v>
      </c>
      <c r="W7" s="493">
        <v>1.690211578482353E-3</v>
      </c>
      <c r="X7" s="494">
        <v>317.27918000000705</v>
      </c>
      <c r="Y7" s="335" t="s">
        <v>325</v>
      </c>
      <c r="Z7" s="335" t="s">
        <v>495</v>
      </c>
      <c r="AA7" s="495" t="s">
        <v>633</v>
      </c>
      <c r="AB7" s="495" t="s">
        <v>519</v>
      </c>
      <c r="AC7" s="335">
        <v>1</v>
      </c>
      <c r="AD7" s="418" t="s">
        <v>331</v>
      </c>
      <c r="AF7" s="420">
        <v>20</v>
      </c>
      <c r="AG7" s="336">
        <v>0</v>
      </c>
      <c r="AH7" s="336">
        <v>0</v>
      </c>
      <c r="AI7" s="336">
        <v>3</v>
      </c>
      <c r="AJ7" s="336">
        <v>7</v>
      </c>
      <c r="AK7" s="336">
        <v>7</v>
      </c>
      <c r="AL7" s="336">
        <v>2</v>
      </c>
      <c r="AM7" s="336">
        <v>1</v>
      </c>
      <c r="AP7" s="208"/>
      <c r="AQ7" s="208"/>
    </row>
    <row r="8" spans="2:43" s="393" customFormat="1" ht="27" customHeight="1">
      <c r="B8" s="890"/>
      <c r="C8" s="891"/>
      <c r="D8" s="333">
        <v>4</v>
      </c>
      <c r="E8" s="413" t="s">
        <v>733</v>
      </c>
      <c r="F8" s="414">
        <v>1058.335</v>
      </c>
      <c r="G8" s="334">
        <v>622.54999999999995</v>
      </c>
      <c r="H8" s="415">
        <v>24.544</v>
      </c>
      <c r="I8" s="415">
        <v>25.643660186362105</v>
      </c>
      <c r="J8" s="417">
        <v>1.0457048441270393</v>
      </c>
      <c r="K8" s="416">
        <v>27.3</v>
      </c>
      <c r="L8" s="417">
        <v>1.1122881355932204</v>
      </c>
      <c r="M8" s="416">
        <v>0</v>
      </c>
      <c r="N8" s="417">
        <v>0</v>
      </c>
      <c r="O8" s="491">
        <v>27.3</v>
      </c>
      <c r="P8" s="417">
        <v>1.1122881355932204</v>
      </c>
      <c r="Q8" s="415">
        <v>1.7</v>
      </c>
      <c r="R8" s="417">
        <v>6.9263363754889173E-2</v>
      </c>
      <c r="S8" s="491">
        <v>2.7559999999999993</v>
      </c>
      <c r="T8" s="417">
        <v>0.1122881355932203</v>
      </c>
      <c r="U8" s="425">
        <v>1715.7477999999994</v>
      </c>
      <c r="V8" s="492">
        <v>1.0559999999999994</v>
      </c>
      <c r="W8" s="493">
        <v>4.3024771838331137E-2</v>
      </c>
      <c r="X8" s="494">
        <v>657.41279999999961</v>
      </c>
      <c r="Y8" s="335" t="s">
        <v>326</v>
      </c>
      <c r="Z8" s="335" t="s">
        <v>509</v>
      </c>
      <c r="AA8" s="495" t="s">
        <v>597</v>
      </c>
      <c r="AB8" s="495" t="s">
        <v>661</v>
      </c>
      <c r="AC8" s="335">
        <v>1</v>
      </c>
      <c r="AD8" s="418" t="s">
        <v>719</v>
      </c>
      <c r="AF8" s="422" t="s">
        <v>11</v>
      </c>
      <c r="AG8" s="423">
        <v>0</v>
      </c>
      <c r="AH8" s="423">
        <v>0</v>
      </c>
      <c r="AI8" s="423">
        <v>2551.335</v>
      </c>
      <c r="AJ8" s="423">
        <v>6319.7969999999996</v>
      </c>
      <c r="AK8" s="423">
        <v>6352.2249999999995</v>
      </c>
      <c r="AL8" s="423">
        <v>2051.5880000000002</v>
      </c>
      <c r="AM8" s="423">
        <v>1028.72</v>
      </c>
      <c r="AP8" s="208"/>
      <c r="AQ8" s="208"/>
    </row>
    <row r="9" spans="2:43" s="393" customFormat="1" ht="27" customHeight="1">
      <c r="B9" s="890"/>
      <c r="C9" s="891"/>
      <c r="D9" s="333">
        <v>5</v>
      </c>
      <c r="E9" s="413" t="s">
        <v>645</v>
      </c>
      <c r="F9" s="414">
        <v>1036.184</v>
      </c>
      <c r="G9" s="334">
        <v>304.76</v>
      </c>
      <c r="H9" s="415">
        <v>137.584</v>
      </c>
      <c r="I9" s="415">
        <v>139.19065880554524</v>
      </c>
      <c r="J9" s="417">
        <v>1.0118037045234569</v>
      </c>
      <c r="K9" s="416">
        <v>142.4</v>
      </c>
      <c r="L9" s="417">
        <v>1.0350040702407257</v>
      </c>
      <c r="M9" s="416">
        <v>0</v>
      </c>
      <c r="N9" s="417">
        <v>0</v>
      </c>
      <c r="O9" s="491">
        <v>142.4</v>
      </c>
      <c r="P9" s="417">
        <v>1.0350040702407257</v>
      </c>
      <c r="Q9" s="415">
        <v>3.3999999999999995</v>
      </c>
      <c r="R9" s="417">
        <v>2.4712175834399344E-2</v>
      </c>
      <c r="S9" s="491">
        <v>4.8160000000000007</v>
      </c>
      <c r="T9" s="417">
        <v>3.5004070240725667E-2</v>
      </c>
      <c r="U9" s="425">
        <v>1467.72416</v>
      </c>
      <c r="V9" s="492">
        <v>1.4160000000000013</v>
      </c>
      <c r="W9" s="493">
        <v>1.0291894406326326E-2</v>
      </c>
      <c r="X9" s="494">
        <v>431.54016000000036</v>
      </c>
      <c r="Y9" s="335" t="s">
        <v>330</v>
      </c>
      <c r="Z9" s="335" t="s">
        <v>367</v>
      </c>
      <c r="AA9" s="495" t="s">
        <v>760</v>
      </c>
      <c r="AB9" s="495" t="s">
        <v>761</v>
      </c>
      <c r="AC9" s="335">
        <v>1</v>
      </c>
      <c r="AD9" s="418" t="s">
        <v>642</v>
      </c>
      <c r="AF9" s="333" t="s">
        <v>610</v>
      </c>
      <c r="AG9" s="424">
        <v>0</v>
      </c>
      <c r="AH9" s="424">
        <v>0</v>
      </c>
      <c r="AI9" s="424">
        <v>0.15</v>
      </c>
      <c r="AJ9" s="424">
        <v>0.35</v>
      </c>
      <c r="AK9" s="424">
        <v>0.35</v>
      </c>
      <c r="AL9" s="424">
        <v>0.1</v>
      </c>
      <c r="AM9" s="424">
        <v>0.05</v>
      </c>
      <c r="AP9" s="208"/>
      <c r="AQ9" s="208"/>
    </row>
    <row r="10" spans="2:43" s="393" customFormat="1" ht="27" customHeight="1">
      <c r="B10" s="890"/>
      <c r="C10" s="891"/>
      <c r="D10" s="333">
        <v>6</v>
      </c>
      <c r="E10" s="413" t="s">
        <v>646</v>
      </c>
      <c r="F10" s="414">
        <v>984.29099999999994</v>
      </c>
      <c r="G10" s="334">
        <v>298.27</v>
      </c>
      <c r="H10" s="415">
        <v>214.97499999999999</v>
      </c>
      <c r="I10" s="415">
        <v>216.28066394698021</v>
      </c>
      <c r="J10" s="417">
        <v>1.0060355717406719</v>
      </c>
      <c r="K10" s="416">
        <v>219.6</v>
      </c>
      <c r="L10" s="417">
        <v>1.0215141295499477</v>
      </c>
      <c r="M10" s="416">
        <v>0</v>
      </c>
      <c r="N10" s="417">
        <v>0</v>
      </c>
      <c r="O10" s="491">
        <v>219.6</v>
      </c>
      <c r="P10" s="417">
        <v>1.0215141295499477</v>
      </c>
      <c r="Q10" s="415">
        <v>3.3</v>
      </c>
      <c r="R10" s="417">
        <v>1.5350622165368066E-2</v>
      </c>
      <c r="S10" s="491">
        <v>4.6249999999999929</v>
      </c>
      <c r="T10" s="417">
        <v>2.1514129549947636E-2</v>
      </c>
      <c r="U10" s="425">
        <v>1379.4987499999977</v>
      </c>
      <c r="V10" s="492">
        <v>1.3249999999999931</v>
      </c>
      <c r="W10" s="493">
        <v>6.1635073845795699E-3</v>
      </c>
      <c r="X10" s="494">
        <v>395.20774999999793</v>
      </c>
      <c r="Y10" s="335" t="s">
        <v>326</v>
      </c>
      <c r="Z10" s="335" t="s">
        <v>193</v>
      </c>
      <c r="AA10" s="495" t="s">
        <v>643</v>
      </c>
      <c r="AB10" s="495" t="s">
        <v>518</v>
      </c>
      <c r="AC10" s="335">
        <v>1</v>
      </c>
      <c r="AD10" s="418" t="s">
        <v>642</v>
      </c>
      <c r="AP10" s="208"/>
      <c r="AQ10" s="208"/>
    </row>
    <row r="11" spans="2:43" s="393" customFormat="1" ht="27" customHeight="1">
      <c r="B11" s="890"/>
      <c r="C11" s="891"/>
      <c r="D11" s="333">
        <v>7</v>
      </c>
      <c r="E11" s="413" t="s">
        <v>731</v>
      </c>
      <c r="F11" s="414">
        <v>971.91899999999987</v>
      </c>
      <c r="G11" s="334">
        <v>136.88999999999999</v>
      </c>
      <c r="H11" s="415">
        <v>1563.2900000000002</v>
      </c>
      <c r="I11" s="415">
        <v>1566.7183316064927</v>
      </c>
      <c r="J11" s="417">
        <v>1.0021844726014935</v>
      </c>
      <c r="K11" s="416">
        <v>1573.2</v>
      </c>
      <c r="L11" s="417">
        <v>1.0063391949030569</v>
      </c>
      <c r="M11" s="416">
        <v>0</v>
      </c>
      <c r="N11" s="417">
        <v>0</v>
      </c>
      <c r="O11" s="491">
        <v>1573.2</v>
      </c>
      <c r="P11" s="417">
        <v>1.0063391949030569</v>
      </c>
      <c r="Q11" s="415">
        <v>7.1</v>
      </c>
      <c r="R11" s="417">
        <v>4.5417037146018961E-3</v>
      </c>
      <c r="S11" s="491">
        <v>9.9099999999999966</v>
      </c>
      <c r="T11" s="417">
        <v>6.3391949030570114E-3</v>
      </c>
      <c r="U11" s="425">
        <v>1356.5798999999995</v>
      </c>
      <c r="V11" s="492">
        <v>2.8099999999999969</v>
      </c>
      <c r="W11" s="493">
        <v>1.7974911884551148E-3</v>
      </c>
      <c r="X11" s="494">
        <v>384.66089999999957</v>
      </c>
      <c r="Y11" s="335" t="s">
        <v>326</v>
      </c>
      <c r="Z11" s="335" t="s">
        <v>193</v>
      </c>
      <c r="AA11" s="495" t="s">
        <v>643</v>
      </c>
      <c r="AB11" s="495" t="s">
        <v>518</v>
      </c>
      <c r="AC11" s="335">
        <v>1</v>
      </c>
      <c r="AD11" s="418" t="s">
        <v>331</v>
      </c>
      <c r="AP11" s="208"/>
      <c r="AQ11" s="208"/>
    </row>
    <row r="12" spans="2:43" s="393" customFormat="1" ht="27" customHeight="1">
      <c r="B12" s="890"/>
      <c r="C12" s="891"/>
      <c r="D12" s="333">
        <v>8</v>
      </c>
      <c r="E12" s="413" t="s">
        <v>624</v>
      </c>
      <c r="F12" s="414">
        <v>964.93799999999987</v>
      </c>
      <c r="G12" s="334">
        <v>371.13</v>
      </c>
      <c r="H12" s="415">
        <v>1179.798</v>
      </c>
      <c r="I12" s="415">
        <v>1181.2432512564028</v>
      </c>
      <c r="J12" s="417">
        <v>1.0012158552833987</v>
      </c>
      <c r="K12" s="416">
        <v>1182.4000000000001</v>
      </c>
      <c r="L12" s="417">
        <v>1.0022054622910024</v>
      </c>
      <c r="M12" s="416">
        <v>1.6</v>
      </c>
      <c r="N12" s="417">
        <v>1.3561643603396515E-3</v>
      </c>
      <c r="O12" s="491">
        <v>1184</v>
      </c>
      <c r="P12" s="417">
        <v>1.0035616266513421</v>
      </c>
      <c r="Q12" s="415">
        <v>2.6</v>
      </c>
      <c r="R12" s="417">
        <v>2.2037670855519337E-3</v>
      </c>
      <c r="S12" s="491">
        <v>4.2019999999999698</v>
      </c>
      <c r="T12" s="417">
        <v>3.5616266513419838E-3</v>
      </c>
      <c r="U12" s="425">
        <v>1559.4882599999887</v>
      </c>
      <c r="V12" s="492">
        <v>1.6019999999999697</v>
      </c>
      <c r="W12" s="493">
        <v>1.3578595657900501E-3</v>
      </c>
      <c r="X12" s="494">
        <v>594.55025999998873</v>
      </c>
      <c r="Y12" s="335" t="s">
        <v>325</v>
      </c>
      <c r="Z12" s="335" t="s">
        <v>495</v>
      </c>
      <c r="AA12" s="495" t="s">
        <v>637</v>
      </c>
      <c r="AB12" s="495" t="s">
        <v>623</v>
      </c>
      <c r="AC12" s="335">
        <v>1</v>
      </c>
      <c r="AD12" s="418" t="s">
        <v>331</v>
      </c>
      <c r="AP12" s="208"/>
      <c r="AQ12" s="208"/>
    </row>
    <row r="13" spans="2:43" s="393" customFormat="1" ht="27" customHeight="1">
      <c r="B13" s="890"/>
      <c r="C13" s="891"/>
      <c r="D13" s="333">
        <v>9</v>
      </c>
      <c r="E13" s="413" t="s">
        <v>621</v>
      </c>
      <c r="F13" s="414">
        <v>939.92600000000004</v>
      </c>
      <c r="G13" s="334">
        <v>361.51</v>
      </c>
      <c r="H13" s="415">
        <v>273.87700000000001</v>
      </c>
      <c r="I13" s="415">
        <v>275.18988283099799</v>
      </c>
      <c r="J13" s="417">
        <v>1.0048032360785606</v>
      </c>
      <c r="K13" s="416">
        <v>277.8</v>
      </c>
      <c r="L13" s="417">
        <v>1.0143239483417739</v>
      </c>
      <c r="M13" s="416">
        <v>0</v>
      </c>
      <c r="N13" s="417">
        <v>0</v>
      </c>
      <c r="O13" s="491">
        <v>277.8</v>
      </c>
      <c r="P13" s="417">
        <v>1.0143239483417739</v>
      </c>
      <c r="Q13" s="415">
        <v>2.5999999999999996</v>
      </c>
      <c r="R13" s="417">
        <v>9.4933126914636852E-3</v>
      </c>
      <c r="S13" s="491">
        <v>3.9230000000000018</v>
      </c>
      <c r="T13" s="417">
        <v>1.4323948341773867E-2</v>
      </c>
      <c r="U13" s="425">
        <v>1418.2037300000006</v>
      </c>
      <c r="V13" s="492">
        <v>1.3230000000000022</v>
      </c>
      <c r="W13" s="493">
        <v>4.8306356503101831E-3</v>
      </c>
      <c r="X13" s="494">
        <v>478.27773000000076</v>
      </c>
      <c r="Y13" s="335" t="s">
        <v>325</v>
      </c>
      <c r="Z13" s="335" t="s">
        <v>495</v>
      </c>
      <c r="AA13" s="495" t="s">
        <v>637</v>
      </c>
      <c r="AB13" s="495" t="s">
        <v>623</v>
      </c>
      <c r="AC13" s="335">
        <v>1</v>
      </c>
      <c r="AD13" s="418" t="s">
        <v>331</v>
      </c>
    </row>
    <row r="14" spans="2:43" s="393" customFormat="1" ht="27" customHeight="1">
      <c r="B14" s="890"/>
      <c r="C14" s="891"/>
      <c r="D14" s="333">
        <v>10</v>
      </c>
      <c r="E14" s="413" t="s">
        <v>751</v>
      </c>
      <c r="F14" s="414">
        <v>925.67100000000005</v>
      </c>
      <c r="G14" s="334">
        <v>95.43</v>
      </c>
      <c r="H14" s="415">
        <v>391.85</v>
      </c>
      <c r="I14" s="415">
        <v>394.79908948129292</v>
      </c>
      <c r="J14" s="417">
        <v>1.0075254409162162</v>
      </c>
      <c r="K14" s="416">
        <v>404.70000000000005</v>
      </c>
      <c r="L14" s="417">
        <v>1.0327931606482073</v>
      </c>
      <c r="M14" s="416">
        <v>0</v>
      </c>
      <c r="N14" s="417">
        <v>0</v>
      </c>
      <c r="O14" s="491">
        <v>404.70000000000005</v>
      </c>
      <c r="P14" s="417">
        <v>1.0327931606482073</v>
      </c>
      <c r="Q14" s="415">
        <v>9.7000000000000011</v>
      </c>
      <c r="R14" s="417">
        <v>2.4754370294755648E-2</v>
      </c>
      <c r="S14" s="491">
        <v>12.849999999999994</v>
      </c>
      <c r="T14" s="417">
        <v>3.2793160648207205E-2</v>
      </c>
      <c r="U14" s="425">
        <v>1226.2754999999995</v>
      </c>
      <c r="V14" s="492">
        <v>3.1499999999999932</v>
      </c>
      <c r="W14" s="493">
        <v>8.0387903534515585E-3</v>
      </c>
      <c r="X14" s="494">
        <v>300.6044999999994</v>
      </c>
      <c r="Y14" s="335" t="s">
        <v>330</v>
      </c>
      <c r="Z14" s="335" t="s">
        <v>367</v>
      </c>
      <c r="AA14" s="495" t="s">
        <v>736</v>
      </c>
      <c r="AB14" s="495" t="s">
        <v>737</v>
      </c>
      <c r="AC14" s="335">
        <v>1</v>
      </c>
      <c r="AD14" s="418" t="s">
        <v>346</v>
      </c>
    </row>
    <row r="15" spans="2:43" s="393" customFormat="1" ht="27" customHeight="1">
      <c r="B15" s="890"/>
      <c r="C15" s="891"/>
      <c r="D15" s="333">
        <v>11</v>
      </c>
      <c r="E15" s="413" t="s">
        <v>762</v>
      </c>
      <c r="F15" s="414">
        <v>904.24800000000005</v>
      </c>
      <c r="G15" s="334">
        <v>125.59</v>
      </c>
      <c r="H15" s="415">
        <v>665.80799999999999</v>
      </c>
      <c r="I15" s="415">
        <v>668.80386688091744</v>
      </c>
      <c r="J15" s="417">
        <v>1.0045897073228245</v>
      </c>
      <c r="K15" s="416">
        <v>675.8</v>
      </c>
      <c r="L15" s="417">
        <v>1.015007329440319</v>
      </c>
      <c r="M15" s="416">
        <v>0</v>
      </c>
      <c r="N15" s="417">
        <v>0</v>
      </c>
      <c r="O15" s="491">
        <v>675.8</v>
      </c>
      <c r="P15" s="417">
        <v>1.015007329440319</v>
      </c>
      <c r="Q15" s="415">
        <v>7.2000000000000011</v>
      </c>
      <c r="R15" s="417">
        <v>1.0813928339701538E-2</v>
      </c>
      <c r="S15" s="491">
        <v>9.9919999999999902</v>
      </c>
      <c r="T15" s="417">
        <v>1.5007329440319116E-2</v>
      </c>
      <c r="U15" s="425">
        <v>1254.8952799999986</v>
      </c>
      <c r="V15" s="492">
        <v>2.7919999999999892</v>
      </c>
      <c r="W15" s="493">
        <v>4.1934011006175796E-3</v>
      </c>
      <c r="X15" s="494">
        <v>350.64727999999866</v>
      </c>
      <c r="Y15" s="335" t="s">
        <v>325</v>
      </c>
      <c r="Z15" s="335" t="s">
        <v>495</v>
      </c>
      <c r="AA15" s="495" t="s">
        <v>590</v>
      </c>
      <c r="AB15" s="495" t="s">
        <v>591</v>
      </c>
      <c r="AC15" s="335">
        <v>1</v>
      </c>
      <c r="AD15" s="418" t="s">
        <v>627</v>
      </c>
      <c r="AH15" s="337"/>
    </row>
    <row r="16" spans="2:43" s="393" customFormat="1" ht="27" customHeight="1">
      <c r="B16" s="890"/>
      <c r="C16" s="891"/>
      <c r="D16" s="333">
        <v>12</v>
      </c>
      <c r="E16" s="413" t="s">
        <v>747</v>
      </c>
      <c r="F16" s="414">
        <v>901.3180000000001</v>
      </c>
      <c r="G16" s="334">
        <v>85.03</v>
      </c>
      <c r="H16" s="415">
        <v>436.87999999999994</v>
      </c>
      <c r="I16" s="415">
        <v>440.77543504323728</v>
      </c>
      <c r="J16" s="417">
        <v>1.0089950108383228</v>
      </c>
      <c r="K16" s="416">
        <v>451.20000000000005</v>
      </c>
      <c r="L16" s="417">
        <v>1.0327778795092477</v>
      </c>
      <c r="M16" s="416">
        <v>0</v>
      </c>
      <c r="N16" s="417">
        <v>0</v>
      </c>
      <c r="O16" s="491">
        <v>451.20000000000005</v>
      </c>
      <c r="P16" s="417">
        <v>1.0327778795092477</v>
      </c>
      <c r="Q16" s="415">
        <v>10.6</v>
      </c>
      <c r="R16" s="417">
        <v>2.4262955502655194E-2</v>
      </c>
      <c r="S16" s="491">
        <v>14.32</v>
      </c>
      <c r="T16" s="417">
        <v>3.2777879509247397E-2</v>
      </c>
      <c r="U16" s="425">
        <v>1217.6296000000002</v>
      </c>
      <c r="V16" s="492">
        <v>3.7200000000000006</v>
      </c>
      <c r="W16" s="493">
        <v>8.5149240065922026E-3</v>
      </c>
      <c r="X16" s="494">
        <v>316.31160000000006</v>
      </c>
      <c r="Y16" s="335" t="s">
        <v>330</v>
      </c>
      <c r="Z16" s="335" t="s">
        <v>659</v>
      </c>
      <c r="AA16" s="495" t="s">
        <v>763</v>
      </c>
      <c r="AB16" s="495" t="s">
        <v>764</v>
      </c>
      <c r="AC16" s="335">
        <v>1</v>
      </c>
      <c r="AD16" s="418" t="s">
        <v>654</v>
      </c>
    </row>
    <row r="17" spans="2:30" s="393" customFormat="1" ht="27" customHeight="1">
      <c r="B17" s="890"/>
      <c r="C17" s="891"/>
      <c r="D17" s="333">
        <v>13</v>
      </c>
      <c r="E17" s="413" t="s">
        <v>765</v>
      </c>
      <c r="F17" s="414">
        <v>897.75299999999993</v>
      </c>
      <c r="G17" s="334">
        <v>103.19</v>
      </c>
      <c r="H17" s="415">
        <v>1866.88</v>
      </c>
      <c r="I17" s="415">
        <v>1871.9924891335515</v>
      </c>
      <c r="J17" s="417">
        <v>1.002746428655545</v>
      </c>
      <c r="K17" s="416">
        <v>1880.1</v>
      </c>
      <c r="L17" s="417">
        <v>1.0070813335618785</v>
      </c>
      <c r="M17" s="416">
        <v>0</v>
      </c>
      <c r="N17" s="417">
        <v>0</v>
      </c>
      <c r="O17" s="491">
        <v>1880.1</v>
      </c>
      <c r="P17" s="417">
        <v>1.0070813335618785</v>
      </c>
      <c r="Q17" s="415">
        <v>8.6999999999999993</v>
      </c>
      <c r="R17" s="417">
        <v>4.6601816935207402E-3</v>
      </c>
      <c r="S17" s="491">
        <v>13.220000000000027</v>
      </c>
      <c r="T17" s="417">
        <v>7.0813335618786569E-3</v>
      </c>
      <c r="U17" s="425">
        <v>1364.1718000000028</v>
      </c>
      <c r="V17" s="492">
        <v>4.520000000000028</v>
      </c>
      <c r="W17" s="493">
        <v>2.4211518683579167E-3</v>
      </c>
      <c r="X17" s="494">
        <v>466.41880000000288</v>
      </c>
      <c r="Y17" s="335" t="s">
        <v>325</v>
      </c>
      <c r="Z17" s="335" t="s">
        <v>495</v>
      </c>
      <c r="AA17" s="495" t="s">
        <v>590</v>
      </c>
      <c r="AB17" s="495" t="s">
        <v>591</v>
      </c>
      <c r="AC17" s="335">
        <v>1</v>
      </c>
      <c r="AD17" s="418" t="s">
        <v>622</v>
      </c>
    </row>
    <row r="18" spans="2:30" s="393" customFormat="1" ht="27" customHeight="1">
      <c r="B18" s="890"/>
      <c r="C18" s="891"/>
      <c r="D18" s="333">
        <v>14</v>
      </c>
      <c r="E18" s="413" t="s">
        <v>739</v>
      </c>
      <c r="F18" s="414">
        <v>891.024</v>
      </c>
      <c r="G18" s="334">
        <v>234.48</v>
      </c>
      <c r="H18" s="415">
        <v>421.74</v>
      </c>
      <c r="I18" s="415">
        <v>423.66374955164343</v>
      </c>
      <c r="J18" s="417">
        <v>1.0047107707743761</v>
      </c>
      <c r="K18" s="416">
        <v>427.4</v>
      </c>
      <c r="L18" s="417">
        <v>1.0134205908853795</v>
      </c>
      <c r="M18" s="416">
        <v>0</v>
      </c>
      <c r="N18" s="417">
        <v>0</v>
      </c>
      <c r="O18" s="491">
        <v>427.4</v>
      </c>
      <c r="P18" s="417">
        <v>1.0134205908853795</v>
      </c>
      <c r="Q18" s="415">
        <v>3.7999999999999994</v>
      </c>
      <c r="R18" s="417">
        <v>9.0102907004315433E-3</v>
      </c>
      <c r="S18" s="491">
        <v>5.6600000000000179</v>
      </c>
      <c r="T18" s="417">
        <v>1.342059088537966E-2</v>
      </c>
      <c r="U18" s="425">
        <v>1327.1568000000043</v>
      </c>
      <c r="V18" s="492">
        <v>1.8600000000000185</v>
      </c>
      <c r="W18" s="493">
        <v>4.4103001849481165E-3</v>
      </c>
      <c r="X18" s="494">
        <v>436.13280000000435</v>
      </c>
      <c r="Y18" s="335" t="s">
        <v>325</v>
      </c>
      <c r="Z18" s="335" t="s">
        <v>495</v>
      </c>
      <c r="AA18" s="495" t="s">
        <v>766</v>
      </c>
      <c r="AB18" s="495" t="s">
        <v>767</v>
      </c>
      <c r="AC18" s="335">
        <v>1</v>
      </c>
      <c r="AD18" s="418" t="s">
        <v>619</v>
      </c>
    </row>
    <row r="19" spans="2:30" s="393" customFormat="1" ht="27" customHeight="1">
      <c r="B19" s="890"/>
      <c r="C19" s="891"/>
      <c r="D19" s="333">
        <v>15</v>
      </c>
      <c r="E19" s="413" t="s">
        <v>728</v>
      </c>
      <c r="F19" s="414">
        <v>884.95000000000016</v>
      </c>
      <c r="G19" s="334">
        <v>160.9</v>
      </c>
      <c r="H19" s="415">
        <v>448.68200000000002</v>
      </c>
      <c r="I19" s="415">
        <v>451.29468638165247</v>
      </c>
      <c r="J19" s="417">
        <v>1.0057810532178579</v>
      </c>
      <c r="K19" s="416">
        <v>456</v>
      </c>
      <c r="L19" s="417">
        <v>1.0163099923776751</v>
      </c>
      <c r="M19" s="416">
        <v>0.6</v>
      </c>
      <c r="N19" s="417">
        <v>1.337249989970625E-3</v>
      </c>
      <c r="O19" s="491">
        <v>456.6</v>
      </c>
      <c r="P19" s="417">
        <v>1.0176472423676457</v>
      </c>
      <c r="Q19" s="415">
        <v>5.4999999999999991</v>
      </c>
      <c r="R19" s="417">
        <v>1.225812490806406E-2</v>
      </c>
      <c r="S19" s="491">
        <v>7.9179999999999993</v>
      </c>
      <c r="T19" s="417">
        <v>1.7647242367645678E-2</v>
      </c>
      <c r="U19" s="425">
        <v>1274.0062</v>
      </c>
      <c r="V19" s="492">
        <v>2.4180000000000001</v>
      </c>
      <c r="W19" s="493">
        <v>5.389117459581619E-3</v>
      </c>
      <c r="X19" s="494">
        <v>389.05620000000005</v>
      </c>
      <c r="Y19" s="335" t="s">
        <v>325</v>
      </c>
      <c r="Z19" s="335" t="s">
        <v>495</v>
      </c>
      <c r="AA19" s="495" t="s">
        <v>740</v>
      </c>
      <c r="AB19" s="495" t="s">
        <v>741</v>
      </c>
      <c r="AC19" s="335">
        <v>1</v>
      </c>
      <c r="AD19" s="418" t="s">
        <v>331</v>
      </c>
    </row>
    <row r="20" spans="2:30" s="393" customFormat="1" ht="27" customHeight="1">
      <c r="B20" s="890"/>
      <c r="C20" s="891"/>
      <c r="D20" s="333">
        <v>16</v>
      </c>
      <c r="E20" s="413" t="s">
        <v>768</v>
      </c>
      <c r="F20" s="414">
        <v>882.98099999999999</v>
      </c>
      <c r="G20" s="334">
        <v>109.01</v>
      </c>
      <c r="H20" s="415">
        <v>618.96</v>
      </c>
      <c r="I20" s="415">
        <v>621.66728077720802</v>
      </c>
      <c r="J20" s="417">
        <v>1.0043459722478532</v>
      </c>
      <c r="K20" s="416">
        <v>629.9</v>
      </c>
      <c r="L20" s="417">
        <v>1.017674809357632</v>
      </c>
      <c r="M20" s="416">
        <v>0</v>
      </c>
      <c r="N20" s="417">
        <v>0</v>
      </c>
      <c r="O20" s="491">
        <v>629.9</v>
      </c>
      <c r="P20" s="417">
        <v>1.017674809357632</v>
      </c>
      <c r="Q20" s="415">
        <v>8.1</v>
      </c>
      <c r="R20" s="417">
        <v>1.3086467623109731E-2</v>
      </c>
      <c r="S20" s="491">
        <v>10.940000000000005</v>
      </c>
      <c r="T20" s="417">
        <v>1.7674809357632163E-2</v>
      </c>
      <c r="U20" s="425">
        <v>1192.5694000000005</v>
      </c>
      <c r="V20" s="492">
        <v>2.8400000000000052</v>
      </c>
      <c r="W20" s="493">
        <v>4.5883417345224326E-3</v>
      </c>
      <c r="X20" s="494">
        <v>309.5884000000006</v>
      </c>
      <c r="Y20" s="335" t="s">
        <v>325</v>
      </c>
      <c r="Z20" s="335" t="s">
        <v>495</v>
      </c>
      <c r="AA20" s="495" t="s">
        <v>633</v>
      </c>
      <c r="AB20" s="495" t="s">
        <v>519</v>
      </c>
      <c r="AC20" s="335">
        <v>1</v>
      </c>
      <c r="AD20" s="418" t="s">
        <v>596</v>
      </c>
    </row>
    <row r="21" spans="2:30" s="393" customFormat="1" ht="27" customHeight="1">
      <c r="B21" s="890"/>
      <c r="C21" s="891"/>
      <c r="D21" s="333">
        <v>17</v>
      </c>
      <c r="E21" s="413" t="s">
        <v>368</v>
      </c>
      <c r="F21" s="414">
        <v>882.69299999999998</v>
      </c>
      <c r="G21" s="334">
        <v>420.33</v>
      </c>
      <c r="H21" s="415">
        <v>478.55500000000001</v>
      </c>
      <c r="I21" s="415">
        <v>479.89767015355636</v>
      </c>
      <c r="J21" s="417">
        <v>1.002792671676054</v>
      </c>
      <c r="K21" s="416">
        <v>481.90000000000003</v>
      </c>
      <c r="L21" s="417">
        <v>1.006989792186896</v>
      </c>
      <c r="M21" s="416">
        <v>0</v>
      </c>
      <c r="N21" s="417">
        <v>0</v>
      </c>
      <c r="O21" s="491">
        <v>481.90000000000003</v>
      </c>
      <c r="P21" s="417">
        <v>1.006989792186896</v>
      </c>
      <c r="Q21" s="415">
        <v>2.1</v>
      </c>
      <c r="R21" s="417">
        <v>4.3882103415490382E-3</v>
      </c>
      <c r="S21" s="491">
        <v>3.3450000000000131</v>
      </c>
      <c r="T21" s="417">
        <v>6.9897921868959951E-3</v>
      </c>
      <c r="U21" s="425">
        <v>1406.0038500000055</v>
      </c>
      <c r="V21" s="492">
        <v>1.245000000000013</v>
      </c>
      <c r="W21" s="493">
        <v>2.6015818453469569E-3</v>
      </c>
      <c r="X21" s="494">
        <v>523.31085000000542</v>
      </c>
      <c r="Y21" s="335" t="s">
        <v>326</v>
      </c>
      <c r="Z21" s="335" t="s">
        <v>193</v>
      </c>
      <c r="AA21" s="495" t="s">
        <v>643</v>
      </c>
      <c r="AB21" s="495" t="s">
        <v>661</v>
      </c>
      <c r="AC21" s="335">
        <v>1</v>
      </c>
      <c r="AD21" s="418" t="s">
        <v>350</v>
      </c>
    </row>
    <row r="22" spans="2:30" s="393" customFormat="1" ht="27" customHeight="1">
      <c r="B22" s="890"/>
      <c r="C22" s="891"/>
      <c r="D22" s="333">
        <v>18</v>
      </c>
      <c r="E22" s="413" t="s">
        <v>769</v>
      </c>
      <c r="F22" s="414">
        <v>880.23</v>
      </c>
      <c r="G22" s="334">
        <v>112.85</v>
      </c>
      <c r="H22" s="415">
        <v>170.72</v>
      </c>
      <c r="I22" s="415">
        <v>170.72</v>
      </c>
      <c r="J22" s="417">
        <v>1</v>
      </c>
      <c r="K22" s="416">
        <v>180.70000000000002</v>
      </c>
      <c r="L22" s="417">
        <v>1.0584582942830367</v>
      </c>
      <c r="M22" s="416">
        <v>0</v>
      </c>
      <c r="N22" s="417">
        <v>0</v>
      </c>
      <c r="O22" s="491">
        <v>180.70000000000002</v>
      </c>
      <c r="P22" s="417">
        <v>1.0584582942830367</v>
      </c>
      <c r="Q22" s="415">
        <v>7.8000000000000007</v>
      </c>
      <c r="R22" s="417">
        <v>4.5688847235238993E-2</v>
      </c>
      <c r="S22" s="491">
        <v>9.9800000000000075</v>
      </c>
      <c r="T22" s="417">
        <v>5.8458294283036595E-2</v>
      </c>
      <c r="U22" s="425">
        <v>1126.2430000000008</v>
      </c>
      <c r="V22" s="492">
        <v>2.1800000000000068</v>
      </c>
      <c r="W22" s="493">
        <v>1.2769447047797604E-2</v>
      </c>
      <c r="X22" s="494">
        <v>246.01300000000074</v>
      </c>
      <c r="Y22" s="335" t="s">
        <v>330</v>
      </c>
      <c r="Z22" s="335" t="s">
        <v>367</v>
      </c>
      <c r="AA22" s="495" t="s">
        <v>736</v>
      </c>
      <c r="AB22" s="495" t="s">
        <v>737</v>
      </c>
      <c r="AC22" s="335">
        <v>1</v>
      </c>
      <c r="AD22" s="418" t="s">
        <v>613</v>
      </c>
    </row>
    <row r="23" spans="2:30" s="393" customFormat="1" ht="27" customHeight="1">
      <c r="B23" s="890"/>
      <c r="C23" s="891"/>
      <c r="D23" s="333">
        <v>19</v>
      </c>
      <c r="E23" s="413" t="s">
        <v>715</v>
      </c>
      <c r="F23" s="414">
        <v>880.08000000000015</v>
      </c>
      <c r="G23" s="334">
        <v>154.4</v>
      </c>
      <c r="H23" s="415">
        <v>511.78399999999999</v>
      </c>
      <c r="I23" s="415">
        <v>513.81500474342261</v>
      </c>
      <c r="J23" s="417">
        <v>1.0039921794702698</v>
      </c>
      <c r="K23" s="416">
        <v>519.5</v>
      </c>
      <c r="L23" s="417">
        <v>1.0150766729714098</v>
      </c>
      <c r="M23" s="416">
        <v>0</v>
      </c>
      <c r="N23" s="417">
        <v>0</v>
      </c>
      <c r="O23" s="491">
        <v>519.5</v>
      </c>
      <c r="P23" s="417">
        <v>1.0150766729714098</v>
      </c>
      <c r="Q23" s="415">
        <v>5.7</v>
      </c>
      <c r="R23" s="417">
        <v>1.1137511137511139E-2</v>
      </c>
      <c r="S23" s="491">
        <v>7.7160000000000295</v>
      </c>
      <c r="T23" s="417">
        <v>1.5076672971409872E-2</v>
      </c>
      <c r="U23" s="425">
        <v>1191.3504000000046</v>
      </c>
      <c r="V23" s="492">
        <v>2.0160000000000293</v>
      </c>
      <c r="W23" s="493">
        <v>3.9391618338987331E-3</v>
      </c>
      <c r="X23" s="494">
        <v>311.27040000000454</v>
      </c>
      <c r="Y23" s="335" t="s">
        <v>325</v>
      </c>
      <c r="Z23" s="335" t="s">
        <v>495</v>
      </c>
      <c r="AA23" s="495" t="s">
        <v>590</v>
      </c>
      <c r="AB23" s="495" t="s">
        <v>591</v>
      </c>
      <c r="AC23" s="335">
        <v>1</v>
      </c>
      <c r="AD23" s="418" t="s">
        <v>714</v>
      </c>
    </row>
    <row r="24" spans="2:30" s="393" customFormat="1" ht="27" customHeight="1">
      <c r="B24" s="892"/>
      <c r="C24" s="893"/>
      <c r="D24" s="333">
        <v>20</v>
      </c>
      <c r="E24" s="413" t="s">
        <v>770</v>
      </c>
      <c r="F24" s="414">
        <v>859.02</v>
      </c>
      <c r="G24" s="334">
        <v>83.4</v>
      </c>
      <c r="H24" s="415">
        <v>921.93500000000006</v>
      </c>
      <c r="I24" s="415">
        <v>925.09105211893416</v>
      </c>
      <c r="J24" s="417">
        <v>1.0035258976856265</v>
      </c>
      <c r="K24" s="416">
        <v>935.7</v>
      </c>
      <c r="L24" s="417">
        <v>1.0149305536724389</v>
      </c>
      <c r="M24" s="416">
        <v>0</v>
      </c>
      <c r="N24" s="417">
        <v>0</v>
      </c>
      <c r="O24" s="491">
        <v>935.7</v>
      </c>
      <c r="P24" s="417">
        <v>1.0149305536724389</v>
      </c>
      <c r="Q24" s="415">
        <v>10.299999999999999</v>
      </c>
      <c r="R24" s="417">
        <v>1.1172154219115228E-2</v>
      </c>
      <c r="S24" s="491">
        <v>13.765000000000001</v>
      </c>
      <c r="T24" s="417">
        <v>1.4930553672438946E-2</v>
      </c>
      <c r="U24" s="425">
        <v>1148.0010000000002</v>
      </c>
      <c r="V24" s="492">
        <v>3.4650000000000016</v>
      </c>
      <c r="W24" s="493">
        <v>3.7583994533237175E-3</v>
      </c>
      <c r="X24" s="494">
        <v>288.98100000000017</v>
      </c>
      <c r="Y24" s="335" t="s">
        <v>325</v>
      </c>
      <c r="Z24" s="335" t="s">
        <v>495</v>
      </c>
      <c r="AA24" s="495" t="s">
        <v>633</v>
      </c>
      <c r="AB24" s="495" t="s">
        <v>519</v>
      </c>
      <c r="AC24" s="335">
        <v>1</v>
      </c>
      <c r="AD24" s="418" t="s">
        <v>595</v>
      </c>
    </row>
    <row r="28" spans="2:30" ht="14.1" customHeight="1"/>
    <row r="38" ht="14.1" customHeight="1"/>
    <row r="48" ht="14.1" customHeight="1"/>
    <row r="58" ht="14.1" customHeight="1"/>
    <row r="68" ht="14.1" customHeight="1"/>
    <row r="78" ht="14.1" customHeight="1"/>
  </sheetData>
  <mergeCells count="22">
    <mergeCell ref="E3:E4"/>
    <mergeCell ref="B2:AD2"/>
    <mergeCell ref="V3:X3"/>
    <mergeCell ref="AB3:AB4"/>
    <mergeCell ref="AC3:AC4"/>
    <mergeCell ref="AD3:AD4"/>
    <mergeCell ref="AF3:AM5"/>
    <mergeCell ref="B5:C24"/>
    <mergeCell ref="Y3:Y4"/>
    <mergeCell ref="Z3:Z4"/>
    <mergeCell ref="AA3:AA4"/>
    <mergeCell ref="M3:N3"/>
    <mergeCell ref="O3:P3"/>
    <mergeCell ref="Q3:R3"/>
    <mergeCell ref="S3:U3"/>
    <mergeCell ref="F3:F4"/>
    <mergeCell ref="G3:G4"/>
    <mergeCell ref="H3:H4"/>
    <mergeCell ref="I3:J3"/>
    <mergeCell ref="K3:L3"/>
    <mergeCell ref="B3:C4"/>
    <mergeCell ref="D3:D4"/>
  </mergeCells>
  <phoneticPr fontId="13" type="noConversion"/>
  <dataValidations disablePrompts="1" count="3">
    <dataValidation type="list" allowBlank="1" showInputMessage="1" showErrorMessage="1" sqref="Y5:Y24">
      <formula1>$AQ$6:$AQ$12</formula1>
    </dataValidation>
    <dataValidation type="list" allowBlank="1" showInputMessage="1" showErrorMessage="1" sqref="Z5:Z24">
      <formula1>$AP$6:$AP$12</formula1>
    </dataValidation>
    <dataValidation type="list" allowBlank="1" showInputMessage="1" showErrorMessage="1" sqref="Y1:Z3 Y25:Z1048576">
      <formula1>#REF!</formula1>
    </dataValidation>
  </dataValidations>
  <pageMargins left="0" right="0" top="0" bottom="0" header="0" footer="0"/>
  <pageSetup paperSize="9" scale="18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P24"/>
  <sheetViews>
    <sheetView zoomScale="55" zoomScaleNormal="55" workbookViewId="0">
      <pane xSplit="4" ySplit="1" topLeftCell="X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AD35" sqref="AD35"/>
    </sheetView>
  </sheetViews>
  <sheetFormatPr defaultColWidth="8.85546875" defaultRowHeight="16.5"/>
  <cols>
    <col min="1" max="1" width="8.85546875" style="331"/>
    <col min="2" max="2" width="12.42578125" style="331" customWidth="1"/>
    <col min="3" max="3" width="8.85546875" style="331"/>
    <col min="4" max="4" width="11.5703125" style="331" customWidth="1"/>
    <col min="5" max="5" width="39.28515625" style="331" bestFit="1" customWidth="1"/>
    <col min="6" max="6" width="11.42578125" style="331" bestFit="1" customWidth="1"/>
    <col min="7" max="8" width="15.85546875" style="331" bestFit="1" customWidth="1"/>
    <col min="9" max="9" width="16.85546875" style="331" customWidth="1"/>
    <col min="10" max="10" width="14" style="331" customWidth="1"/>
    <col min="11" max="11" width="15.42578125" style="331" bestFit="1" customWidth="1"/>
    <col min="12" max="12" width="12.28515625" style="331" bestFit="1" customWidth="1"/>
    <col min="13" max="13" width="19.140625" style="331" bestFit="1" customWidth="1"/>
    <col min="14" max="14" width="15.28515625" style="331" bestFit="1" customWidth="1"/>
    <col min="15" max="15" width="19.140625" style="331" bestFit="1" customWidth="1"/>
    <col min="16" max="16" width="12.5703125" style="331" bestFit="1" customWidth="1"/>
    <col min="17" max="17" width="9.140625" style="331" bestFit="1" customWidth="1"/>
    <col min="18" max="18" width="12.28515625" style="331" bestFit="1" customWidth="1"/>
    <col min="19" max="19" width="12.5703125" style="331" bestFit="1" customWidth="1"/>
    <col min="20" max="20" width="12.42578125" style="331" bestFit="1" customWidth="1"/>
    <col min="21" max="21" width="11.42578125" style="331" bestFit="1" customWidth="1"/>
    <col min="22" max="24" width="11.42578125" style="331" customWidth="1"/>
    <col min="25" max="25" width="12.42578125" style="331" bestFit="1" customWidth="1"/>
    <col min="26" max="26" width="15.28515625" style="331" bestFit="1" customWidth="1"/>
    <col min="27" max="27" width="66.85546875" style="331" bestFit="1" customWidth="1"/>
    <col min="28" max="28" width="113.42578125" style="331" bestFit="1" customWidth="1"/>
    <col min="29" max="29" width="11.42578125" style="331" bestFit="1" customWidth="1"/>
    <col min="30" max="30" width="37.7109375" style="331" bestFit="1" customWidth="1"/>
    <col min="31" max="31" width="19.42578125" style="331" bestFit="1" customWidth="1"/>
    <col min="32" max="32" width="21.5703125" style="331" customWidth="1"/>
    <col min="33" max="33" width="19.42578125" style="331" bestFit="1" customWidth="1"/>
    <col min="34" max="39" width="14.42578125" style="331" customWidth="1"/>
    <col min="40" max="16384" width="8.85546875" style="331"/>
  </cols>
  <sheetData>
    <row r="1" spans="2:42" ht="21">
      <c r="B1" s="496" t="s">
        <v>689</v>
      </c>
    </row>
    <row r="2" spans="2:42" ht="41.1" customHeight="1">
      <c r="B2" s="911" t="s">
        <v>687</v>
      </c>
      <c r="C2" s="912"/>
      <c r="D2" s="912"/>
      <c r="E2" s="912"/>
      <c r="F2" s="912"/>
      <c r="G2" s="912"/>
      <c r="H2" s="912"/>
      <c r="I2" s="912"/>
      <c r="J2" s="912"/>
      <c r="K2" s="912"/>
      <c r="L2" s="912"/>
      <c r="M2" s="912"/>
      <c r="N2" s="912"/>
      <c r="O2" s="912"/>
      <c r="P2" s="912"/>
      <c r="Q2" s="912"/>
      <c r="R2" s="912"/>
      <c r="S2" s="912"/>
      <c r="T2" s="912"/>
      <c r="U2" s="912"/>
      <c r="V2" s="912"/>
      <c r="W2" s="912"/>
      <c r="X2" s="912"/>
      <c r="Y2" s="912"/>
      <c r="Z2" s="912"/>
      <c r="AA2" s="912"/>
      <c r="AB2" s="912"/>
      <c r="AD2" s="332"/>
      <c r="AE2" s="332"/>
      <c r="AF2" s="332"/>
      <c r="AG2" s="332"/>
    </row>
    <row r="3" spans="2:42" ht="17.100000000000001" customHeight="1">
      <c r="B3" s="905" t="s">
        <v>664</v>
      </c>
      <c r="C3" s="906"/>
      <c r="D3" s="909" t="s">
        <v>665</v>
      </c>
      <c r="E3" s="910" t="s">
        <v>666</v>
      </c>
      <c r="F3" s="917" t="s">
        <v>688</v>
      </c>
      <c r="G3" s="902" t="s">
        <v>668</v>
      </c>
      <c r="H3" s="904" t="s">
        <v>669</v>
      </c>
      <c r="I3" s="896" t="s">
        <v>670</v>
      </c>
      <c r="J3" s="897"/>
      <c r="K3" s="896" t="s">
        <v>671</v>
      </c>
      <c r="L3" s="897"/>
      <c r="M3" s="896" t="s">
        <v>672</v>
      </c>
      <c r="N3" s="897"/>
      <c r="O3" s="896" t="s">
        <v>673</v>
      </c>
      <c r="P3" s="897"/>
      <c r="Q3" s="896" t="s">
        <v>674</v>
      </c>
      <c r="R3" s="916"/>
      <c r="S3" s="897"/>
      <c r="T3" s="898" t="s">
        <v>675</v>
      </c>
      <c r="U3" s="899"/>
      <c r="V3" s="913" t="s">
        <v>676</v>
      </c>
      <c r="W3" s="914"/>
      <c r="X3" s="915"/>
      <c r="Y3" s="894" t="s">
        <v>165</v>
      </c>
      <c r="Z3" s="894" t="s">
        <v>677</v>
      </c>
      <c r="AA3" s="894" t="s">
        <v>678</v>
      </c>
      <c r="AB3" s="894" t="s">
        <v>679</v>
      </c>
      <c r="AC3" s="894" t="s">
        <v>680</v>
      </c>
      <c r="AD3" s="902" t="s">
        <v>166</v>
      </c>
      <c r="AF3" s="879" t="s">
        <v>681</v>
      </c>
      <c r="AG3" s="880"/>
      <c r="AH3" s="880"/>
      <c r="AI3" s="880"/>
      <c r="AJ3" s="880"/>
      <c r="AK3" s="880"/>
      <c r="AL3" s="880"/>
      <c r="AM3" s="881"/>
    </row>
    <row r="4" spans="2:42" ht="16.5" customHeight="1">
      <c r="B4" s="907"/>
      <c r="C4" s="908"/>
      <c r="D4" s="909"/>
      <c r="E4" s="909"/>
      <c r="F4" s="901"/>
      <c r="G4" s="903"/>
      <c r="H4" s="903"/>
      <c r="I4" s="545" t="s">
        <v>682</v>
      </c>
      <c r="J4" s="544" t="s">
        <v>607</v>
      </c>
      <c r="K4" s="545" t="s">
        <v>682</v>
      </c>
      <c r="L4" s="544" t="s">
        <v>607</v>
      </c>
      <c r="M4" s="545" t="s">
        <v>682</v>
      </c>
      <c r="N4" s="544" t="s">
        <v>607</v>
      </c>
      <c r="O4" s="545" t="s">
        <v>682</v>
      </c>
      <c r="P4" s="544" t="s">
        <v>607</v>
      </c>
      <c r="Q4" s="545" t="s">
        <v>682</v>
      </c>
      <c r="R4" s="544" t="s">
        <v>607</v>
      </c>
      <c r="S4" s="544" t="s">
        <v>608</v>
      </c>
      <c r="T4" s="545" t="s">
        <v>682</v>
      </c>
      <c r="U4" s="544" t="s">
        <v>607</v>
      </c>
      <c r="V4" s="545" t="s">
        <v>682</v>
      </c>
      <c r="W4" s="544" t="s">
        <v>607</v>
      </c>
      <c r="X4" s="544" t="s">
        <v>608</v>
      </c>
      <c r="Y4" s="895"/>
      <c r="Z4" s="895"/>
      <c r="AA4" s="895"/>
      <c r="AB4" s="895"/>
      <c r="AC4" s="895"/>
      <c r="AD4" s="903"/>
      <c r="AF4" s="882"/>
      <c r="AG4" s="883"/>
      <c r="AH4" s="883"/>
      <c r="AI4" s="883"/>
      <c r="AJ4" s="883"/>
      <c r="AK4" s="883"/>
      <c r="AL4" s="883"/>
      <c r="AM4" s="884"/>
    </row>
    <row r="5" spans="2:42" s="393" customFormat="1" ht="27" customHeight="1">
      <c r="B5" s="888" t="s">
        <v>745</v>
      </c>
      <c r="C5" s="889"/>
      <c r="D5" s="333">
        <v>1</v>
      </c>
      <c r="E5" s="413" t="s">
        <v>720</v>
      </c>
      <c r="F5" s="425">
        <v>2145.4523999999988</v>
      </c>
      <c r="G5" s="334">
        <v>1010.1</v>
      </c>
      <c r="H5" s="415">
        <v>98.176000000000002</v>
      </c>
      <c r="I5" s="415">
        <v>99.724234938263137</v>
      </c>
      <c r="J5" s="417">
        <v>1.0158873753486035</v>
      </c>
      <c r="K5" s="416">
        <v>100.19999999999999</v>
      </c>
      <c r="L5" s="417">
        <v>1.020616036505867</v>
      </c>
      <c r="M5" s="416">
        <v>0.1</v>
      </c>
      <c r="N5" s="417">
        <v>1.0185788787483703E-3</v>
      </c>
      <c r="O5" s="491">
        <v>100.29999999999998</v>
      </c>
      <c r="P5" s="417">
        <v>1.0216346153846152</v>
      </c>
      <c r="Q5" s="415">
        <v>0.7</v>
      </c>
      <c r="R5" s="417">
        <v>7.1300521512385915E-3</v>
      </c>
      <c r="S5" s="426">
        <v>707.07</v>
      </c>
      <c r="T5" s="491">
        <v>2.1239999999999988</v>
      </c>
      <c r="U5" s="417">
        <v>2.1298734468255542E-2</v>
      </c>
      <c r="V5" s="492">
        <v>1.4239999999999988</v>
      </c>
      <c r="W5" s="493">
        <v>1.4504563233376781E-2</v>
      </c>
      <c r="X5" s="494">
        <v>1438.3823999999988</v>
      </c>
      <c r="Y5" s="441" t="s">
        <v>326</v>
      </c>
      <c r="Z5" s="441" t="s">
        <v>509</v>
      </c>
      <c r="AA5" s="335" t="s">
        <v>597</v>
      </c>
      <c r="AB5" s="335" t="s">
        <v>661</v>
      </c>
      <c r="AC5" s="335">
        <v>1</v>
      </c>
      <c r="AD5" s="418" t="s">
        <v>719</v>
      </c>
      <c r="AF5" s="885"/>
      <c r="AG5" s="886"/>
      <c r="AH5" s="886"/>
      <c r="AI5" s="886"/>
      <c r="AJ5" s="886"/>
      <c r="AK5" s="886"/>
      <c r="AL5" s="886"/>
      <c r="AM5" s="887"/>
      <c r="AO5" s="419" t="s">
        <v>683</v>
      </c>
      <c r="AP5" s="419" t="s">
        <v>165</v>
      </c>
    </row>
    <row r="6" spans="2:42" s="393" customFormat="1" ht="27" customHeight="1">
      <c r="B6" s="890"/>
      <c r="C6" s="891"/>
      <c r="D6" s="333">
        <v>2</v>
      </c>
      <c r="E6" s="413" t="s">
        <v>332</v>
      </c>
      <c r="F6" s="425">
        <v>1923.8186999999966</v>
      </c>
      <c r="G6" s="334">
        <v>487.66</v>
      </c>
      <c r="H6" s="415">
        <v>352.05500000000001</v>
      </c>
      <c r="I6" s="415">
        <v>353.62760559950107</v>
      </c>
      <c r="J6" s="417">
        <v>1.0044029264076622</v>
      </c>
      <c r="K6" s="416">
        <v>356.00000000000006</v>
      </c>
      <c r="L6" s="417">
        <v>1.0112056354830923</v>
      </c>
      <c r="M6" s="416">
        <v>0</v>
      </c>
      <c r="N6" s="417">
        <v>0</v>
      </c>
      <c r="O6" s="491">
        <v>356.00000000000006</v>
      </c>
      <c r="P6" s="417">
        <v>1.0112056354830923</v>
      </c>
      <c r="Q6" s="415">
        <v>2.2000000000000002</v>
      </c>
      <c r="R6" s="417">
        <v>6.2490235900640526E-3</v>
      </c>
      <c r="S6" s="426">
        <v>1072.8520000000001</v>
      </c>
      <c r="T6" s="491">
        <v>3.9449999999999932</v>
      </c>
      <c r="U6" s="417">
        <v>1.1155803273084627E-2</v>
      </c>
      <c r="V6" s="492">
        <v>1.744999999999993</v>
      </c>
      <c r="W6" s="493">
        <v>4.9566118930280583E-3</v>
      </c>
      <c r="X6" s="494">
        <v>850.96669999999665</v>
      </c>
      <c r="Y6" s="441" t="s">
        <v>326</v>
      </c>
      <c r="Z6" s="441" t="s">
        <v>194</v>
      </c>
      <c r="AA6" s="335" t="s">
        <v>586</v>
      </c>
      <c r="AB6" s="335" t="s">
        <v>518</v>
      </c>
      <c r="AC6" s="335">
        <v>1</v>
      </c>
      <c r="AD6" s="418" t="s">
        <v>639</v>
      </c>
      <c r="AF6" s="222" t="s">
        <v>684</v>
      </c>
      <c r="AG6" s="222" t="s">
        <v>609</v>
      </c>
      <c r="AH6" s="490" t="s">
        <v>659</v>
      </c>
      <c r="AI6" s="490" t="s">
        <v>367</v>
      </c>
      <c r="AJ6" s="490" t="s">
        <v>495</v>
      </c>
      <c r="AK6" s="490" t="s">
        <v>193</v>
      </c>
      <c r="AL6" s="490" t="s">
        <v>194</v>
      </c>
      <c r="AM6" s="490" t="s">
        <v>509</v>
      </c>
      <c r="AO6" s="421" t="s">
        <v>609</v>
      </c>
      <c r="AP6" s="208" t="s">
        <v>685</v>
      </c>
    </row>
    <row r="7" spans="2:42" s="393" customFormat="1" ht="27" customHeight="1">
      <c r="B7" s="890"/>
      <c r="C7" s="891"/>
      <c r="D7" s="333">
        <v>3</v>
      </c>
      <c r="E7" s="413" t="s">
        <v>717</v>
      </c>
      <c r="F7" s="425">
        <v>1843.3927999999967</v>
      </c>
      <c r="G7" s="334">
        <v>535.87</v>
      </c>
      <c r="H7" s="415">
        <v>275.16000000000003</v>
      </c>
      <c r="I7" s="415">
        <v>276.85188880806834</v>
      </c>
      <c r="J7" s="417">
        <v>1.0061913171789783</v>
      </c>
      <c r="K7" s="416">
        <v>277.5</v>
      </c>
      <c r="L7" s="417">
        <v>1.0085041430440471</v>
      </c>
      <c r="M7" s="416">
        <v>1.1000000000000001</v>
      </c>
      <c r="N7" s="417">
        <v>3.9976740805349612E-3</v>
      </c>
      <c r="O7" s="491">
        <v>278.60000000000002</v>
      </c>
      <c r="P7" s="417">
        <v>1.0125018171245821</v>
      </c>
      <c r="Q7" s="415">
        <v>1.6</v>
      </c>
      <c r="R7" s="417">
        <v>5.8147986625963072E-3</v>
      </c>
      <c r="S7" s="426">
        <v>857.39199999999994</v>
      </c>
      <c r="T7" s="491">
        <v>3.4399999999999942</v>
      </c>
      <c r="U7" s="417">
        <v>1.2425416401564899E-2</v>
      </c>
      <c r="V7" s="492">
        <v>1.8399999999999941</v>
      </c>
      <c r="W7" s="493">
        <v>6.6870184619857312E-3</v>
      </c>
      <c r="X7" s="494">
        <v>986.00079999999684</v>
      </c>
      <c r="Y7" s="441" t="s">
        <v>326</v>
      </c>
      <c r="Z7" s="441" t="s">
        <v>194</v>
      </c>
      <c r="AA7" s="335" t="s">
        <v>586</v>
      </c>
      <c r="AB7" s="335" t="s">
        <v>518</v>
      </c>
      <c r="AC7" s="335">
        <v>1</v>
      </c>
      <c r="AD7" s="418" t="s">
        <v>716</v>
      </c>
      <c r="AF7" s="420">
        <v>20</v>
      </c>
      <c r="AG7" s="336">
        <v>0</v>
      </c>
      <c r="AH7" s="336">
        <v>0</v>
      </c>
      <c r="AI7" s="336">
        <v>1</v>
      </c>
      <c r="AJ7" s="336">
        <v>10</v>
      </c>
      <c r="AK7" s="336">
        <v>6</v>
      </c>
      <c r="AL7" s="336">
        <v>2</v>
      </c>
      <c r="AM7" s="336">
        <v>1</v>
      </c>
      <c r="AO7" s="208" t="s">
        <v>659</v>
      </c>
      <c r="AP7" s="208" t="s">
        <v>330</v>
      </c>
    </row>
    <row r="8" spans="2:42" s="393" customFormat="1" ht="27" customHeight="1">
      <c r="B8" s="890"/>
      <c r="C8" s="891"/>
      <c r="D8" s="333">
        <v>4</v>
      </c>
      <c r="E8" s="413" t="s">
        <v>733</v>
      </c>
      <c r="F8" s="425">
        <v>1715.7477999999994</v>
      </c>
      <c r="G8" s="334">
        <v>622.54999999999995</v>
      </c>
      <c r="H8" s="415">
        <v>24.544</v>
      </c>
      <c r="I8" s="415">
        <v>25.643660186362105</v>
      </c>
      <c r="J8" s="417">
        <v>1.0457048441270393</v>
      </c>
      <c r="K8" s="416">
        <v>27.3</v>
      </c>
      <c r="L8" s="417">
        <v>1.1122881355932204</v>
      </c>
      <c r="M8" s="416">
        <v>0</v>
      </c>
      <c r="N8" s="417">
        <v>0</v>
      </c>
      <c r="O8" s="491">
        <v>27.3</v>
      </c>
      <c r="P8" s="417">
        <v>1.1122881355932204</v>
      </c>
      <c r="Q8" s="415">
        <v>1.7</v>
      </c>
      <c r="R8" s="417">
        <v>6.9263363754889173E-2</v>
      </c>
      <c r="S8" s="426">
        <v>1058.335</v>
      </c>
      <c r="T8" s="491">
        <v>2.7559999999999993</v>
      </c>
      <c r="U8" s="417">
        <v>0.10747295744722526</v>
      </c>
      <c r="V8" s="492">
        <v>1.0559999999999994</v>
      </c>
      <c r="W8" s="493">
        <v>4.3024771838331137E-2</v>
      </c>
      <c r="X8" s="494">
        <v>657.41279999999961</v>
      </c>
      <c r="Y8" s="441" t="s">
        <v>326</v>
      </c>
      <c r="Z8" s="441" t="s">
        <v>509</v>
      </c>
      <c r="AA8" s="335" t="s">
        <v>597</v>
      </c>
      <c r="AB8" s="335" t="s">
        <v>661</v>
      </c>
      <c r="AC8" s="335">
        <v>1</v>
      </c>
      <c r="AD8" s="418" t="s">
        <v>719</v>
      </c>
      <c r="AF8" s="422"/>
      <c r="AG8" s="423">
        <v>0</v>
      </c>
      <c r="AH8" s="423">
        <v>0</v>
      </c>
      <c r="AI8" s="423">
        <v>1342.1630400000001</v>
      </c>
      <c r="AJ8" s="423">
        <v>14000.804869999998</v>
      </c>
      <c r="AK8" s="423">
        <v>9300.5849499999968</v>
      </c>
      <c r="AL8" s="423">
        <v>3721.092560000006</v>
      </c>
      <c r="AM8" s="423">
        <v>1862.9183999999943</v>
      </c>
      <c r="AO8" s="208" t="s">
        <v>367</v>
      </c>
      <c r="AP8" s="208" t="s">
        <v>330</v>
      </c>
    </row>
    <row r="9" spans="2:42" s="393" customFormat="1" ht="27" customHeight="1">
      <c r="B9" s="890"/>
      <c r="C9" s="891"/>
      <c r="D9" s="333">
        <v>5</v>
      </c>
      <c r="E9" s="413" t="s">
        <v>631</v>
      </c>
      <c r="F9" s="425">
        <v>1600.9245000000005</v>
      </c>
      <c r="G9" s="334">
        <v>395.29</v>
      </c>
      <c r="H9" s="415">
        <v>197.35</v>
      </c>
      <c r="I9" s="415">
        <v>198.77807809529151</v>
      </c>
      <c r="J9" s="417">
        <v>1.0071272142415046</v>
      </c>
      <c r="K9" s="416">
        <v>201.4</v>
      </c>
      <c r="L9" s="417">
        <v>1.0205219153787688</v>
      </c>
      <c r="M9" s="416">
        <v>0</v>
      </c>
      <c r="N9" s="417">
        <v>0</v>
      </c>
      <c r="O9" s="491">
        <v>201.4</v>
      </c>
      <c r="P9" s="417">
        <v>1.0205219153787688</v>
      </c>
      <c r="Q9" s="415">
        <v>2.8</v>
      </c>
      <c r="R9" s="417">
        <v>1.418799087914872E-2</v>
      </c>
      <c r="S9" s="426">
        <v>1106.8120000000001</v>
      </c>
      <c r="T9" s="491">
        <v>4.0500000000000007</v>
      </c>
      <c r="U9" s="417">
        <v>2.0374480117764725E-2</v>
      </c>
      <c r="V9" s="492">
        <v>1.2500000000000009</v>
      </c>
      <c r="W9" s="493">
        <v>6.333924499619969E-3</v>
      </c>
      <c r="X9" s="494">
        <v>494.11250000000035</v>
      </c>
      <c r="Y9" s="441" t="s">
        <v>326</v>
      </c>
      <c r="Z9" s="441" t="s">
        <v>193</v>
      </c>
      <c r="AA9" s="335" t="s">
        <v>643</v>
      </c>
      <c r="AB9" s="335" t="s">
        <v>518</v>
      </c>
      <c r="AC9" s="335">
        <v>1</v>
      </c>
      <c r="AD9" s="418" t="s">
        <v>630</v>
      </c>
      <c r="AF9" s="333"/>
      <c r="AG9" s="497">
        <v>0</v>
      </c>
      <c r="AH9" s="497">
        <v>0</v>
      </c>
      <c r="AI9" s="497">
        <v>0.05</v>
      </c>
      <c r="AJ9" s="497">
        <v>0.5</v>
      </c>
      <c r="AK9" s="497">
        <v>0.3</v>
      </c>
      <c r="AL9" s="497">
        <v>0.1</v>
      </c>
      <c r="AM9" s="497">
        <v>0.05</v>
      </c>
      <c r="AO9" s="208" t="s">
        <v>495</v>
      </c>
      <c r="AP9" s="208" t="s">
        <v>325</v>
      </c>
    </row>
    <row r="10" spans="2:42" s="393" customFormat="1" ht="27" customHeight="1">
      <c r="B10" s="890"/>
      <c r="C10" s="891"/>
      <c r="D10" s="333">
        <v>6</v>
      </c>
      <c r="E10" s="413" t="s">
        <v>556</v>
      </c>
      <c r="F10" s="425">
        <v>1572.3478400000008</v>
      </c>
      <c r="G10" s="334">
        <v>581.91999999999996</v>
      </c>
      <c r="H10" s="415">
        <v>135.69800000000001</v>
      </c>
      <c r="I10" s="415">
        <v>137.0216830012329</v>
      </c>
      <c r="J10" s="417">
        <v>1.0097450014341305</v>
      </c>
      <c r="K10" s="416">
        <v>135.9</v>
      </c>
      <c r="L10" s="417">
        <v>1.0014885996845937</v>
      </c>
      <c r="M10" s="416">
        <v>2.5</v>
      </c>
      <c r="N10" s="417">
        <v>1.8423263423189729E-2</v>
      </c>
      <c r="O10" s="491">
        <v>138.4</v>
      </c>
      <c r="P10" s="417">
        <v>1.0199118631077835</v>
      </c>
      <c r="Q10" s="415">
        <v>1.2999999999999998</v>
      </c>
      <c r="R10" s="417">
        <v>9.5800969800586572E-3</v>
      </c>
      <c r="S10" s="426">
        <v>756.49599999999998</v>
      </c>
      <c r="T10" s="491">
        <v>2.7020000000000017</v>
      </c>
      <c r="U10" s="417">
        <v>1.9719506729279405E-2</v>
      </c>
      <c r="V10" s="492">
        <v>1.4020000000000019</v>
      </c>
      <c r="W10" s="493">
        <v>1.0331766127724814E-2</v>
      </c>
      <c r="X10" s="494">
        <v>815.85184000000106</v>
      </c>
      <c r="Y10" s="441" t="s">
        <v>326</v>
      </c>
      <c r="Z10" s="441" t="s">
        <v>193</v>
      </c>
      <c r="AA10" s="335" t="s">
        <v>643</v>
      </c>
      <c r="AB10" s="335" t="s">
        <v>518</v>
      </c>
      <c r="AC10" s="335">
        <v>1</v>
      </c>
      <c r="AD10" s="418" t="s">
        <v>333</v>
      </c>
      <c r="AO10" s="208" t="s">
        <v>193</v>
      </c>
      <c r="AP10" s="208" t="s">
        <v>326</v>
      </c>
    </row>
    <row r="11" spans="2:42" s="393" customFormat="1" ht="27" customHeight="1">
      <c r="B11" s="890"/>
      <c r="C11" s="891"/>
      <c r="D11" s="333">
        <v>7</v>
      </c>
      <c r="E11" s="413" t="s">
        <v>624</v>
      </c>
      <c r="F11" s="425">
        <v>1559.4882599999887</v>
      </c>
      <c r="G11" s="334">
        <v>371.13</v>
      </c>
      <c r="H11" s="415">
        <v>1179.798</v>
      </c>
      <c r="I11" s="415">
        <v>1181.2432512564028</v>
      </c>
      <c r="J11" s="417">
        <v>1.0012158552833987</v>
      </c>
      <c r="K11" s="416">
        <v>1182.4000000000001</v>
      </c>
      <c r="L11" s="417">
        <v>1.0022054622910024</v>
      </c>
      <c r="M11" s="416">
        <v>1.6</v>
      </c>
      <c r="N11" s="417">
        <v>1.3561643603396515E-3</v>
      </c>
      <c r="O11" s="491">
        <v>1184</v>
      </c>
      <c r="P11" s="417">
        <v>1.0035616266513421</v>
      </c>
      <c r="Q11" s="415">
        <v>2.6</v>
      </c>
      <c r="R11" s="417">
        <v>2.2037670855519337E-3</v>
      </c>
      <c r="S11" s="426">
        <v>964.93799999999987</v>
      </c>
      <c r="T11" s="491">
        <v>4.2019999999999698</v>
      </c>
      <c r="U11" s="417">
        <v>3.5572690007164968E-3</v>
      </c>
      <c r="V11" s="492">
        <v>1.6019999999999697</v>
      </c>
      <c r="W11" s="493">
        <v>1.3578595657900501E-3</v>
      </c>
      <c r="X11" s="494">
        <v>594.55025999998873</v>
      </c>
      <c r="Y11" s="441" t="s">
        <v>325</v>
      </c>
      <c r="Z11" s="441" t="s">
        <v>495</v>
      </c>
      <c r="AA11" s="335" t="s">
        <v>637</v>
      </c>
      <c r="AB11" s="335" t="s">
        <v>623</v>
      </c>
      <c r="AC11" s="335">
        <v>1</v>
      </c>
      <c r="AD11" s="418" t="s">
        <v>331</v>
      </c>
      <c r="AO11" s="208" t="s">
        <v>194</v>
      </c>
      <c r="AP11" s="208" t="s">
        <v>326</v>
      </c>
    </row>
    <row r="12" spans="2:42" s="393" customFormat="1" ht="27" customHeight="1">
      <c r="B12" s="890"/>
      <c r="C12" s="891"/>
      <c r="D12" s="333">
        <v>8</v>
      </c>
      <c r="E12" s="413" t="s">
        <v>645</v>
      </c>
      <c r="F12" s="425">
        <v>1467.72416</v>
      </c>
      <c r="G12" s="334">
        <v>304.76</v>
      </c>
      <c r="H12" s="415">
        <v>137.584</v>
      </c>
      <c r="I12" s="415">
        <v>139.19065880554524</v>
      </c>
      <c r="J12" s="417">
        <v>1.0118037045234569</v>
      </c>
      <c r="K12" s="416">
        <v>142.4</v>
      </c>
      <c r="L12" s="417">
        <v>1.0350040702407257</v>
      </c>
      <c r="M12" s="416">
        <v>0</v>
      </c>
      <c r="N12" s="417">
        <v>0</v>
      </c>
      <c r="O12" s="491">
        <v>142.4</v>
      </c>
      <c r="P12" s="417">
        <v>1.0350040702407257</v>
      </c>
      <c r="Q12" s="415">
        <v>3.3999999999999995</v>
      </c>
      <c r="R12" s="417">
        <v>2.4712175834399344E-2</v>
      </c>
      <c r="S12" s="426">
        <v>1036.184</v>
      </c>
      <c r="T12" s="491">
        <v>4.8160000000000007</v>
      </c>
      <c r="U12" s="417">
        <v>3.4600023028327931E-2</v>
      </c>
      <c r="V12" s="492">
        <v>1.4160000000000013</v>
      </c>
      <c r="W12" s="493">
        <v>1.0291894406326326E-2</v>
      </c>
      <c r="X12" s="494">
        <v>431.54016000000036</v>
      </c>
      <c r="Y12" s="441" t="s">
        <v>330</v>
      </c>
      <c r="Z12" s="441" t="s">
        <v>367</v>
      </c>
      <c r="AA12" s="335" t="s">
        <v>760</v>
      </c>
      <c r="AB12" s="335" t="s">
        <v>761</v>
      </c>
      <c r="AC12" s="335">
        <v>1</v>
      </c>
      <c r="AD12" s="418" t="s">
        <v>642</v>
      </c>
      <c r="AO12" s="208" t="s">
        <v>509</v>
      </c>
      <c r="AP12" s="208" t="s">
        <v>326</v>
      </c>
    </row>
    <row r="13" spans="2:42" s="393" customFormat="1" ht="27" customHeight="1">
      <c r="B13" s="890"/>
      <c r="C13" s="891"/>
      <c r="D13" s="333">
        <v>9</v>
      </c>
      <c r="E13" s="413" t="s">
        <v>771</v>
      </c>
      <c r="F13" s="425">
        <v>1445.9047999999966</v>
      </c>
      <c r="G13" s="334">
        <v>310.27999999999997</v>
      </c>
      <c r="H13" s="415">
        <v>380.44</v>
      </c>
      <c r="I13" s="415">
        <v>382.78411982401417</v>
      </c>
      <c r="J13" s="417">
        <v>1.0060848089331522</v>
      </c>
      <c r="K13" s="416">
        <v>383.09999999999997</v>
      </c>
      <c r="L13" s="417">
        <v>1.0069919041110293</v>
      </c>
      <c r="M13" s="416">
        <v>2</v>
      </c>
      <c r="N13" s="417">
        <v>5.2570707601724319E-3</v>
      </c>
      <c r="O13" s="491">
        <v>385.09999999999997</v>
      </c>
      <c r="P13" s="417">
        <v>1.0122489748712016</v>
      </c>
      <c r="Q13" s="415">
        <v>2.6</v>
      </c>
      <c r="R13" s="417">
        <v>6.8341919882241621E-3</v>
      </c>
      <c r="S13" s="426">
        <v>806.72799999999995</v>
      </c>
      <c r="T13" s="491">
        <v>4.6599999999999895</v>
      </c>
      <c r="U13" s="417">
        <v>1.2173963753100403E-2</v>
      </c>
      <c r="V13" s="492">
        <v>2.0599999999999894</v>
      </c>
      <c r="W13" s="493">
        <v>5.4147828829775773E-3</v>
      </c>
      <c r="X13" s="494">
        <v>639.17679999999666</v>
      </c>
      <c r="Y13" s="441" t="s">
        <v>326</v>
      </c>
      <c r="Z13" s="441" t="s">
        <v>193</v>
      </c>
      <c r="AA13" s="335" t="s">
        <v>643</v>
      </c>
      <c r="AB13" s="335" t="s">
        <v>518</v>
      </c>
      <c r="AC13" s="335">
        <v>1</v>
      </c>
      <c r="AD13" s="418" t="s">
        <v>587</v>
      </c>
    </row>
    <row r="14" spans="2:42" s="393" customFormat="1" ht="27" customHeight="1">
      <c r="B14" s="890"/>
      <c r="C14" s="891"/>
      <c r="D14" s="333">
        <v>10</v>
      </c>
      <c r="E14" s="413" t="s">
        <v>585</v>
      </c>
      <c r="F14" s="425">
        <v>1440.3059999999998</v>
      </c>
      <c r="G14" s="334">
        <v>447.3</v>
      </c>
      <c r="H14" s="415">
        <v>753.28</v>
      </c>
      <c r="I14" s="415">
        <v>755.10001947832075</v>
      </c>
      <c r="J14" s="417">
        <v>1.0026520382660689</v>
      </c>
      <c r="K14" s="416">
        <v>756.5</v>
      </c>
      <c r="L14" s="417">
        <v>1.0042746389124895</v>
      </c>
      <c r="M14" s="416">
        <v>0</v>
      </c>
      <c r="N14" s="417">
        <v>0</v>
      </c>
      <c r="O14" s="491">
        <v>756.5</v>
      </c>
      <c r="P14" s="417">
        <v>1.0042746389124895</v>
      </c>
      <c r="Q14" s="415">
        <v>1.4000000000000001</v>
      </c>
      <c r="R14" s="417">
        <v>1.8585386576040785E-3</v>
      </c>
      <c r="S14" s="426">
        <v>626.22</v>
      </c>
      <c r="T14" s="491">
        <v>3.2199999999999989</v>
      </c>
      <c r="U14" s="417">
        <v>4.2643357395548932E-3</v>
      </c>
      <c r="V14" s="492">
        <v>1.8199999999999987</v>
      </c>
      <c r="W14" s="493">
        <v>2.4161002548853E-3</v>
      </c>
      <c r="X14" s="494">
        <v>814.08599999999944</v>
      </c>
      <c r="Y14" s="441" t="s">
        <v>326</v>
      </c>
      <c r="Z14" s="441" t="s">
        <v>193</v>
      </c>
      <c r="AA14" s="335" t="s">
        <v>643</v>
      </c>
      <c r="AB14" s="335" t="s">
        <v>518</v>
      </c>
      <c r="AC14" s="335">
        <v>1</v>
      </c>
      <c r="AD14" s="418" t="s">
        <v>584</v>
      </c>
    </row>
    <row r="15" spans="2:42" s="393" customFormat="1" ht="27" customHeight="1">
      <c r="B15" s="890"/>
      <c r="C15" s="891"/>
      <c r="D15" s="333">
        <v>11</v>
      </c>
      <c r="E15" s="413" t="s">
        <v>621</v>
      </c>
      <c r="F15" s="425">
        <v>1418.2037300000006</v>
      </c>
      <c r="G15" s="334">
        <v>361.51</v>
      </c>
      <c r="H15" s="415">
        <v>273.87700000000001</v>
      </c>
      <c r="I15" s="415">
        <v>275.18988283099799</v>
      </c>
      <c r="J15" s="417">
        <v>1.0048032360785606</v>
      </c>
      <c r="K15" s="416">
        <v>277.8</v>
      </c>
      <c r="L15" s="417">
        <v>1.0143239483417739</v>
      </c>
      <c r="M15" s="416">
        <v>0</v>
      </c>
      <c r="N15" s="417">
        <v>0</v>
      </c>
      <c r="O15" s="491">
        <v>277.8</v>
      </c>
      <c r="P15" s="417">
        <v>1.0143239483417739</v>
      </c>
      <c r="Q15" s="415">
        <v>2.5999999999999996</v>
      </c>
      <c r="R15" s="417">
        <v>9.4933126914636852E-3</v>
      </c>
      <c r="S15" s="426">
        <v>939.92600000000004</v>
      </c>
      <c r="T15" s="491">
        <v>3.9230000000000018</v>
      </c>
      <c r="U15" s="417">
        <v>1.4255611287894725E-2</v>
      </c>
      <c r="V15" s="492">
        <v>1.3230000000000022</v>
      </c>
      <c r="W15" s="493">
        <v>4.8306356503101831E-3</v>
      </c>
      <c r="X15" s="494">
        <v>478.27773000000076</v>
      </c>
      <c r="Y15" s="441" t="s">
        <v>325</v>
      </c>
      <c r="Z15" s="441" t="s">
        <v>495</v>
      </c>
      <c r="AA15" s="335" t="s">
        <v>643</v>
      </c>
      <c r="AB15" s="335" t="s">
        <v>518</v>
      </c>
      <c r="AC15" s="335">
        <v>1</v>
      </c>
      <c r="AD15" s="418" t="s">
        <v>331</v>
      </c>
      <c r="AH15" s="337"/>
    </row>
    <row r="16" spans="2:42" s="393" customFormat="1" ht="27" customHeight="1">
      <c r="B16" s="890"/>
      <c r="C16" s="891"/>
      <c r="D16" s="333">
        <v>12</v>
      </c>
      <c r="E16" s="413" t="s">
        <v>368</v>
      </c>
      <c r="F16" s="425">
        <v>1406.0038500000055</v>
      </c>
      <c r="G16" s="334">
        <v>420.33</v>
      </c>
      <c r="H16" s="415">
        <v>478.55500000000001</v>
      </c>
      <c r="I16" s="415">
        <v>479.89767015355636</v>
      </c>
      <c r="J16" s="417">
        <v>1.002792671676054</v>
      </c>
      <c r="K16" s="416">
        <v>481.90000000000003</v>
      </c>
      <c r="L16" s="417">
        <v>1.006989792186896</v>
      </c>
      <c r="M16" s="416">
        <v>0</v>
      </c>
      <c r="N16" s="417">
        <v>0</v>
      </c>
      <c r="O16" s="491">
        <v>481.90000000000003</v>
      </c>
      <c r="P16" s="417">
        <v>1.006989792186896</v>
      </c>
      <c r="Q16" s="415">
        <v>2.1</v>
      </c>
      <c r="R16" s="417">
        <v>4.3882103415490382E-3</v>
      </c>
      <c r="S16" s="426">
        <v>882.69299999999998</v>
      </c>
      <c r="T16" s="491">
        <v>3.3450000000000131</v>
      </c>
      <c r="U16" s="417">
        <v>6.9702359649499628E-3</v>
      </c>
      <c r="V16" s="492">
        <v>1.245000000000013</v>
      </c>
      <c r="W16" s="493">
        <v>2.6015818453469569E-3</v>
      </c>
      <c r="X16" s="494">
        <v>523.31085000000542</v>
      </c>
      <c r="Y16" s="441" t="s">
        <v>326</v>
      </c>
      <c r="Z16" s="441" t="s">
        <v>193</v>
      </c>
      <c r="AA16" s="335" t="s">
        <v>643</v>
      </c>
      <c r="AB16" s="335" t="s">
        <v>518</v>
      </c>
      <c r="AC16" s="335">
        <v>1</v>
      </c>
      <c r="AD16" s="418" t="s">
        <v>350</v>
      </c>
    </row>
    <row r="17" spans="2:30" s="393" customFormat="1" ht="27" customHeight="1">
      <c r="B17" s="890"/>
      <c r="C17" s="891"/>
      <c r="D17" s="333">
        <v>13</v>
      </c>
      <c r="E17" s="413" t="s">
        <v>759</v>
      </c>
      <c r="F17" s="425">
        <v>1384.5111800000075</v>
      </c>
      <c r="G17" s="334">
        <v>111.17</v>
      </c>
      <c r="H17" s="415">
        <v>1688.546</v>
      </c>
      <c r="I17" s="415">
        <v>1691.6206128335111</v>
      </c>
      <c r="J17" s="417">
        <v>1.0018058740042532</v>
      </c>
      <c r="K17" s="416">
        <v>1701</v>
      </c>
      <c r="L17" s="417">
        <v>1.0073755763834684</v>
      </c>
      <c r="M17" s="416">
        <v>0</v>
      </c>
      <c r="N17" s="417">
        <v>0</v>
      </c>
      <c r="O17" s="491">
        <v>1701</v>
      </c>
      <c r="P17" s="417">
        <v>1.0073755763834684</v>
      </c>
      <c r="Q17" s="415">
        <v>9.6000000000000014</v>
      </c>
      <c r="R17" s="417">
        <v>5.6853648049860657E-3</v>
      </c>
      <c r="S17" s="426">
        <v>1067.232</v>
      </c>
      <c r="T17" s="491">
        <v>12.454000000000065</v>
      </c>
      <c r="U17" s="417">
        <v>7.3621708706535982E-3</v>
      </c>
      <c r="V17" s="492">
        <v>2.8540000000000632</v>
      </c>
      <c r="W17" s="493">
        <v>1.690211578482353E-3</v>
      </c>
      <c r="X17" s="494">
        <v>317.27918000000705</v>
      </c>
      <c r="Y17" s="441" t="s">
        <v>325</v>
      </c>
      <c r="Z17" s="441" t="s">
        <v>495</v>
      </c>
      <c r="AA17" s="335" t="s">
        <v>633</v>
      </c>
      <c r="AB17" s="335" t="s">
        <v>519</v>
      </c>
      <c r="AC17" s="335">
        <v>1</v>
      </c>
      <c r="AD17" s="418" t="s">
        <v>331</v>
      </c>
    </row>
    <row r="18" spans="2:30" s="393" customFormat="1" ht="27" customHeight="1">
      <c r="B18" s="890"/>
      <c r="C18" s="891"/>
      <c r="D18" s="333">
        <v>14</v>
      </c>
      <c r="E18" s="413" t="s">
        <v>646</v>
      </c>
      <c r="F18" s="425">
        <v>1379.4987499999977</v>
      </c>
      <c r="G18" s="334">
        <v>298.27</v>
      </c>
      <c r="H18" s="415">
        <v>214.97499999999999</v>
      </c>
      <c r="I18" s="415">
        <v>216.28066394698021</v>
      </c>
      <c r="J18" s="417">
        <v>1.0060355717406719</v>
      </c>
      <c r="K18" s="416">
        <v>219.6</v>
      </c>
      <c r="L18" s="417">
        <v>1.0215141295499477</v>
      </c>
      <c r="M18" s="416">
        <v>0</v>
      </c>
      <c r="N18" s="417">
        <v>0</v>
      </c>
      <c r="O18" s="491">
        <v>219.6</v>
      </c>
      <c r="P18" s="417">
        <v>1.0215141295499477</v>
      </c>
      <c r="Q18" s="415">
        <v>3.3</v>
      </c>
      <c r="R18" s="417">
        <v>1.5350622165368066E-2</v>
      </c>
      <c r="S18" s="426">
        <v>984.29099999999994</v>
      </c>
      <c r="T18" s="491">
        <v>4.6249999999999929</v>
      </c>
      <c r="U18" s="417">
        <v>2.1384250980169828E-2</v>
      </c>
      <c r="V18" s="492">
        <v>1.3249999999999931</v>
      </c>
      <c r="W18" s="493">
        <v>6.1635073845795699E-3</v>
      </c>
      <c r="X18" s="494">
        <v>395.20774999999793</v>
      </c>
      <c r="Y18" s="441" t="s">
        <v>326</v>
      </c>
      <c r="Z18" s="441" t="s">
        <v>193</v>
      </c>
      <c r="AA18" s="335" t="s">
        <v>643</v>
      </c>
      <c r="AB18" s="335" t="s">
        <v>518</v>
      </c>
      <c r="AC18" s="335">
        <v>1</v>
      </c>
      <c r="AD18" s="418" t="s">
        <v>642</v>
      </c>
    </row>
    <row r="19" spans="2:30" s="393" customFormat="1" ht="27" customHeight="1">
      <c r="B19" s="890"/>
      <c r="C19" s="891"/>
      <c r="D19" s="333">
        <v>15</v>
      </c>
      <c r="E19" s="413" t="s">
        <v>772</v>
      </c>
      <c r="F19" s="425">
        <v>1374.3100799999997</v>
      </c>
      <c r="G19" s="334">
        <v>304.58999999999997</v>
      </c>
      <c r="H19" s="415">
        <v>103.188</v>
      </c>
      <c r="I19" s="415">
        <v>104.52851323032633</v>
      </c>
      <c r="J19" s="417">
        <v>1.012974999917245</v>
      </c>
      <c r="K19" s="416">
        <v>107.70000000000002</v>
      </c>
      <c r="L19" s="417">
        <v>1.0437260146528669</v>
      </c>
      <c r="M19" s="416">
        <v>0</v>
      </c>
      <c r="N19" s="417">
        <v>0</v>
      </c>
      <c r="O19" s="491">
        <v>107.70000000000002</v>
      </c>
      <c r="P19" s="417">
        <v>1.0437260146528669</v>
      </c>
      <c r="Q19" s="415">
        <v>2.6999999999999997</v>
      </c>
      <c r="R19" s="417">
        <v>2.6165833236422836E-2</v>
      </c>
      <c r="S19" s="426">
        <v>822.39299999999992</v>
      </c>
      <c r="T19" s="491">
        <v>4.5119999999999987</v>
      </c>
      <c r="U19" s="417">
        <v>4.3165255685383222E-2</v>
      </c>
      <c r="V19" s="492">
        <v>1.8119999999999989</v>
      </c>
      <c r="W19" s="493">
        <v>1.7560181416443763E-2</v>
      </c>
      <c r="X19" s="494">
        <v>551.9170799999996</v>
      </c>
      <c r="Y19" s="441" t="s">
        <v>330</v>
      </c>
      <c r="Z19" s="441" t="s">
        <v>367</v>
      </c>
      <c r="AA19" s="335" t="s">
        <v>760</v>
      </c>
      <c r="AB19" s="335" t="s">
        <v>761</v>
      </c>
      <c r="AC19" s="335">
        <v>1</v>
      </c>
      <c r="AD19" s="418" t="s">
        <v>642</v>
      </c>
    </row>
    <row r="20" spans="2:30" s="393" customFormat="1" ht="27" customHeight="1">
      <c r="B20" s="890"/>
      <c r="C20" s="891"/>
      <c r="D20" s="333">
        <v>16</v>
      </c>
      <c r="E20" s="413" t="s">
        <v>765</v>
      </c>
      <c r="F20" s="425">
        <v>1364.1718000000028</v>
      </c>
      <c r="G20" s="334">
        <v>103.19</v>
      </c>
      <c r="H20" s="415">
        <v>1866.88</v>
      </c>
      <c r="I20" s="415">
        <v>1871.9924891335515</v>
      </c>
      <c r="J20" s="417">
        <v>1.002746428655545</v>
      </c>
      <c r="K20" s="416">
        <v>1880.1</v>
      </c>
      <c r="L20" s="417">
        <v>1.0070813335618785</v>
      </c>
      <c r="M20" s="416">
        <v>0</v>
      </c>
      <c r="N20" s="417">
        <v>0</v>
      </c>
      <c r="O20" s="491">
        <v>1880.1</v>
      </c>
      <c r="P20" s="417">
        <v>1.0070813335618785</v>
      </c>
      <c r="Q20" s="415">
        <v>8.6999999999999993</v>
      </c>
      <c r="R20" s="417">
        <v>4.6601816935207402E-3</v>
      </c>
      <c r="S20" s="426">
        <v>897.75299999999993</v>
      </c>
      <c r="T20" s="491">
        <v>13.220000000000027</v>
      </c>
      <c r="U20" s="417">
        <v>7.0619941462045505E-3</v>
      </c>
      <c r="V20" s="492">
        <v>4.520000000000028</v>
      </c>
      <c r="W20" s="493">
        <v>2.4211518683579167E-3</v>
      </c>
      <c r="X20" s="494">
        <v>466.41880000000288</v>
      </c>
      <c r="Y20" s="441" t="s">
        <v>325</v>
      </c>
      <c r="Z20" s="335" t="s">
        <v>495</v>
      </c>
      <c r="AA20" s="335" t="s">
        <v>590</v>
      </c>
      <c r="AB20" s="335" t="s">
        <v>591</v>
      </c>
      <c r="AC20" s="335">
        <v>1</v>
      </c>
      <c r="AD20" s="418" t="s">
        <v>622</v>
      </c>
    </row>
    <row r="21" spans="2:30" s="393" customFormat="1" ht="27" customHeight="1">
      <c r="B21" s="890"/>
      <c r="C21" s="891"/>
      <c r="D21" s="333">
        <v>17</v>
      </c>
      <c r="E21" s="413" t="s">
        <v>731</v>
      </c>
      <c r="F21" s="425">
        <v>1356.5798999999995</v>
      </c>
      <c r="G21" s="334">
        <v>136.88999999999999</v>
      </c>
      <c r="H21" s="415">
        <v>1563.2900000000002</v>
      </c>
      <c r="I21" s="415">
        <v>1566.7183316064927</v>
      </c>
      <c r="J21" s="417">
        <v>1.0021844726014935</v>
      </c>
      <c r="K21" s="416">
        <v>1573.2</v>
      </c>
      <c r="L21" s="417">
        <v>1.0063391949030569</v>
      </c>
      <c r="M21" s="416">
        <v>0</v>
      </c>
      <c r="N21" s="417">
        <v>0</v>
      </c>
      <c r="O21" s="491">
        <v>1573.2</v>
      </c>
      <c r="P21" s="417">
        <v>1.0063391949030569</v>
      </c>
      <c r="Q21" s="415">
        <v>7.1</v>
      </c>
      <c r="R21" s="417">
        <v>4.5417037146018961E-3</v>
      </c>
      <c r="S21" s="426">
        <v>971.91899999999987</v>
      </c>
      <c r="T21" s="491">
        <v>9.9099999999999966</v>
      </c>
      <c r="U21" s="417">
        <v>6.3253233207773924E-3</v>
      </c>
      <c r="V21" s="492">
        <v>2.8099999999999969</v>
      </c>
      <c r="W21" s="493">
        <v>1.7974911884551148E-3</v>
      </c>
      <c r="X21" s="494">
        <v>384.66089999999957</v>
      </c>
      <c r="Y21" s="441" t="s">
        <v>326</v>
      </c>
      <c r="Z21" s="335" t="s">
        <v>193</v>
      </c>
      <c r="AA21" s="335" t="s">
        <v>643</v>
      </c>
      <c r="AB21" s="335" t="s">
        <v>518</v>
      </c>
      <c r="AC21" s="335">
        <v>1</v>
      </c>
      <c r="AD21" s="418" t="s">
        <v>331</v>
      </c>
    </row>
    <row r="22" spans="2:30" s="393" customFormat="1" ht="27" customHeight="1">
      <c r="B22" s="890"/>
      <c r="C22" s="891"/>
      <c r="D22" s="333">
        <v>18</v>
      </c>
      <c r="E22" s="413" t="s">
        <v>734</v>
      </c>
      <c r="F22" s="425">
        <v>1336.1385000000046</v>
      </c>
      <c r="G22" s="334">
        <v>382.3</v>
      </c>
      <c r="H22" s="415">
        <v>266.80500000000001</v>
      </c>
      <c r="I22" s="415">
        <v>268.75565394033492</v>
      </c>
      <c r="J22" s="417">
        <v>1.0071756084892483</v>
      </c>
      <c r="K22" s="416">
        <v>268.60000000000002</v>
      </c>
      <c r="L22" s="417">
        <v>1.0067277599745132</v>
      </c>
      <c r="M22" s="416">
        <v>1.7000000000000002</v>
      </c>
      <c r="N22" s="417">
        <v>6.3716946833829958E-3</v>
      </c>
      <c r="O22" s="491">
        <v>270.3</v>
      </c>
      <c r="P22" s="417">
        <v>1.0130994546578962</v>
      </c>
      <c r="Q22" s="415">
        <v>1.9</v>
      </c>
      <c r="R22" s="417">
        <v>7.1213058226045232E-3</v>
      </c>
      <c r="S22" s="426">
        <v>726.37000000000012</v>
      </c>
      <c r="T22" s="491">
        <v>3.4950000000000117</v>
      </c>
      <c r="U22" s="417">
        <v>1.3004377577767793E-2</v>
      </c>
      <c r="V22" s="492">
        <v>1.5950000000000117</v>
      </c>
      <c r="W22" s="493">
        <v>5.9781488352917359E-3</v>
      </c>
      <c r="X22" s="494">
        <v>609.76850000000445</v>
      </c>
      <c r="Y22" s="441" t="s">
        <v>325</v>
      </c>
      <c r="Z22" s="441" t="s">
        <v>495</v>
      </c>
      <c r="AA22" s="335" t="s">
        <v>637</v>
      </c>
      <c r="AB22" s="335" t="s">
        <v>623</v>
      </c>
      <c r="AC22" s="335">
        <v>1</v>
      </c>
      <c r="AD22" s="418" t="s">
        <v>331</v>
      </c>
    </row>
    <row r="23" spans="2:30" s="393" customFormat="1" ht="27" customHeight="1">
      <c r="B23" s="890"/>
      <c r="C23" s="891"/>
      <c r="D23" s="333">
        <v>19</v>
      </c>
      <c r="E23" s="413" t="s">
        <v>739</v>
      </c>
      <c r="F23" s="425">
        <v>1327.1568000000043</v>
      </c>
      <c r="G23" s="334">
        <v>234.48</v>
      </c>
      <c r="H23" s="415">
        <v>421.74</v>
      </c>
      <c r="I23" s="415">
        <v>423.66374955164343</v>
      </c>
      <c r="J23" s="417">
        <v>1.0047107707743761</v>
      </c>
      <c r="K23" s="416">
        <v>427.4</v>
      </c>
      <c r="L23" s="417">
        <v>1.0134205908853795</v>
      </c>
      <c r="M23" s="416">
        <v>0</v>
      </c>
      <c r="N23" s="417">
        <v>0</v>
      </c>
      <c r="O23" s="491">
        <v>427.4</v>
      </c>
      <c r="P23" s="417">
        <v>1.0134205908853795</v>
      </c>
      <c r="Q23" s="415">
        <v>3.7999999999999994</v>
      </c>
      <c r="R23" s="417">
        <v>9.0102907004315433E-3</v>
      </c>
      <c r="S23" s="426">
        <v>891.024</v>
      </c>
      <c r="T23" s="491">
        <v>5.6600000000000179</v>
      </c>
      <c r="U23" s="417">
        <v>1.3359651388606897E-2</v>
      </c>
      <c r="V23" s="492">
        <v>1.8600000000000185</v>
      </c>
      <c r="W23" s="493">
        <v>4.4103001849481165E-3</v>
      </c>
      <c r="X23" s="494">
        <v>436.13280000000435</v>
      </c>
      <c r="Y23" s="441" t="s">
        <v>325</v>
      </c>
      <c r="Z23" s="441" t="s">
        <v>495</v>
      </c>
      <c r="AA23" s="335" t="s">
        <v>766</v>
      </c>
      <c r="AB23" s="335" t="s">
        <v>767</v>
      </c>
      <c r="AC23" s="335">
        <v>1</v>
      </c>
      <c r="AD23" s="418" t="s">
        <v>619</v>
      </c>
    </row>
    <row r="24" spans="2:30" s="393" customFormat="1" ht="27" customHeight="1">
      <c r="B24" s="892"/>
      <c r="C24" s="893"/>
      <c r="D24" s="333">
        <v>20</v>
      </c>
      <c r="E24" s="413" t="s">
        <v>721</v>
      </c>
      <c r="F24" s="425">
        <v>1310.1330000000028</v>
      </c>
      <c r="G24" s="334">
        <v>118.03</v>
      </c>
      <c r="H24" s="415">
        <v>1874.3999999999999</v>
      </c>
      <c r="I24" s="415">
        <v>1878.1780827034038</v>
      </c>
      <c r="J24" s="417">
        <v>1.0021129922615561</v>
      </c>
      <c r="K24" s="416">
        <v>1885.5</v>
      </c>
      <c r="L24" s="417">
        <v>1.0059218950064022</v>
      </c>
      <c r="M24" s="416">
        <v>0</v>
      </c>
      <c r="N24" s="417">
        <v>0</v>
      </c>
      <c r="O24" s="491">
        <v>1885.5</v>
      </c>
      <c r="P24" s="417">
        <v>1.0059218950064022</v>
      </c>
      <c r="Q24" s="415">
        <v>6.3</v>
      </c>
      <c r="R24" s="417">
        <v>3.3610755441741357E-3</v>
      </c>
      <c r="S24" s="426">
        <v>743.58899999999994</v>
      </c>
      <c r="T24" s="491">
        <v>11.100000000000023</v>
      </c>
      <c r="U24" s="417">
        <v>5.9099827126206017E-3</v>
      </c>
      <c r="V24" s="492">
        <v>4.8000000000000229</v>
      </c>
      <c r="W24" s="493">
        <v>2.5608194622279254E-3</v>
      </c>
      <c r="X24" s="494">
        <v>566.54400000000271</v>
      </c>
      <c r="Y24" s="441" t="s">
        <v>325</v>
      </c>
      <c r="Z24" s="441" t="s">
        <v>495</v>
      </c>
      <c r="AA24" s="335" t="s">
        <v>590</v>
      </c>
      <c r="AB24" s="335" t="s">
        <v>591</v>
      </c>
      <c r="AC24" s="335">
        <v>1</v>
      </c>
      <c r="AD24" s="418" t="s">
        <v>619</v>
      </c>
    </row>
  </sheetData>
  <mergeCells count="22">
    <mergeCell ref="AF3:AM5"/>
    <mergeCell ref="B5:C24"/>
    <mergeCell ref="B3:C4"/>
    <mergeCell ref="D3:D4"/>
    <mergeCell ref="E3:E4"/>
    <mergeCell ref="F3:F4"/>
    <mergeCell ref="B2:AB2"/>
    <mergeCell ref="V3:X3"/>
    <mergeCell ref="AB3:AB4"/>
    <mergeCell ref="AC3:AC4"/>
    <mergeCell ref="AD3:AD4"/>
    <mergeCell ref="G3:G4"/>
    <mergeCell ref="H3:H4"/>
    <mergeCell ref="I3:J3"/>
    <mergeCell ref="K3:L3"/>
    <mergeCell ref="M3:N3"/>
    <mergeCell ref="O3:P3"/>
    <mergeCell ref="Q3:S3"/>
    <mergeCell ref="T3:U3"/>
    <mergeCell ref="Y3:Y4"/>
    <mergeCell ref="Z3:Z4"/>
    <mergeCell ref="AA3:AA4"/>
  </mergeCells>
  <phoneticPr fontId="81" type="noConversion"/>
  <dataValidations count="3">
    <dataValidation type="list" allowBlank="1" showInputMessage="1" showErrorMessage="1" sqref="Y5:Y24">
      <formula1>$AP$6:$AP$12</formula1>
    </dataValidation>
    <dataValidation type="list" allowBlank="1" showInputMessage="1" showErrorMessage="1" sqref="Z5:Z24">
      <formula1>$AO$6:$AO$12</formula1>
    </dataValidation>
    <dataValidation type="list" allowBlank="1" showInputMessage="1" showErrorMessage="1" sqref="T1:X2 T25:X1048576 Y3:Z3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G49"/>
  <sheetViews>
    <sheetView zoomScale="70" zoomScaleNormal="70" workbookViewId="0">
      <selection activeCell="K25" sqref="K25"/>
    </sheetView>
  </sheetViews>
  <sheetFormatPr defaultColWidth="10.140625" defaultRowHeight="15.75"/>
  <cols>
    <col min="1" max="4" width="25.7109375" style="499" customWidth="1"/>
    <col min="5" max="5" width="33.7109375" style="499" customWidth="1"/>
    <col min="6" max="6" width="25.7109375" style="499" customWidth="1"/>
    <col min="7" max="7" width="33.7109375" style="499" customWidth="1"/>
    <col min="8" max="11" width="25.7109375" style="499" customWidth="1"/>
    <col min="12" max="12" width="26.42578125" style="499" bestFit="1" customWidth="1"/>
    <col min="13" max="14" width="26.42578125" style="499" customWidth="1"/>
    <col min="15" max="15" width="26.140625" style="499" bestFit="1" customWidth="1"/>
    <col min="16" max="16" width="10.140625" style="499"/>
    <col min="17" max="18" width="13.7109375" style="499" bestFit="1" customWidth="1"/>
    <col min="19" max="20" width="10.140625" style="499"/>
    <col min="21" max="21" width="15.140625" style="499" bestFit="1" customWidth="1"/>
    <col min="22" max="23" width="10.140625" style="499"/>
    <col min="24" max="24" width="13.7109375" style="499" bestFit="1" customWidth="1"/>
    <col min="25" max="26" width="10.140625" style="499"/>
    <col min="27" max="27" width="15.140625" style="499" bestFit="1" customWidth="1"/>
    <col min="28" max="29" width="10.140625" style="499"/>
    <col min="30" max="30" width="13.7109375" style="499" bestFit="1" customWidth="1"/>
    <col min="31" max="32" width="10.140625" style="499"/>
    <col min="33" max="33" width="15.140625" style="499" bestFit="1" customWidth="1"/>
    <col min="34" max="16384" width="10.140625" style="499"/>
  </cols>
  <sheetData>
    <row r="1" spans="1:33" ht="27">
      <c r="A1" s="920" t="s">
        <v>611</v>
      </c>
      <c r="B1" s="920"/>
      <c r="C1" s="920"/>
      <c r="D1" s="920"/>
      <c r="E1" s="920"/>
      <c r="F1" s="920"/>
      <c r="G1" s="920"/>
      <c r="H1" s="920"/>
      <c r="I1" s="920"/>
      <c r="J1" s="920"/>
      <c r="K1" s="498"/>
      <c r="L1" s="498"/>
      <c r="M1" s="498"/>
      <c r="N1" s="498"/>
      <c r="O1" s="498"/>
      <c r="P1" s="498"/>
      <c r="Q1" s="498"/>
      <c r="R1" s="498"/>
      <c r="S1" s="498"/>
      <c r="T1" s="498"/>
      <c r="U1" s="498"/>
      <c r="V1" s="498"/>
    </row>
    <row r="2" spans="1:33" ht="48">
      <c r="A2" s="921" t="s">
        <v>690</v>
      </c>
      <c r="B2" s="923">
        <v>145112.05000000002</v>
      </c>
      <c r="C2" s="921" t="s">
        <v>691</v>
      </c>
      <c r="D2" s="925">
        <v>2.400875527091945E-3</v>
      </c>
      <c r="E2" s="500" t="s">
        <v>692</v>
      </c>
      <c r="F2" s="501" t="s">
        <v>693</v>
      </c>
      <c r="G2" s="502" t="s">
        <v>694</v>
      </c>
      <c r="H2" s="503" t="s">
        <v>695</v>
      </c>
      <c r="I2" s="927" t="s">
        <v>696</v>
      </c>
      <c r="J2" s="927" t="s">
        <v>697</v>
      </c>
      <c r="K2" s="498"/>
      <c r="L2" s="504"/>
      <c r="M2" s="498"/>
      <c r="N2" s="498"/>
      <c r="O2" s="498"/>
      <c r="P2" s="498"/>
      <c r="Q2" s="498"/>
      <c r="R2" s="498"/>
      <c r="S2" s="498"/>
      <c r="T2" s="498"/>
      <c r="U2" s="498"/>
      <c r="V2" s="498"/>
    </row>
    <row r="3" spans="1:33" ht="24">
      <c r="A3" s="922"/>
      <c r="B3" s="924"/>
      <c r="C3" s="922"/>
      <c r="D3" s="926"/>
      <c r="E3" s="505">
        <v>242534.62661448139</v>
      </c>
      <c r="F3" s="506">
        <v>4.0127298147265584E-3</v>
      </c>
      <c r="G3" s="507">
        <v>97422.576614481382</v>
      </c>
      <c r="H3" s="508">
        <v>1.6118542876346132E-3</v>
      </c>
      <c r="I3" s="928"/>
      <c r="J3" s="928"/>
      <c r="K3" s="509"/>
      <c r="L3" s="510"/>
      <c r="M3" s="498"/>
      <c r="N3" s="498"/>
      <c r="O3" s="498"/>
      <c r="P3" s="498"/>
      <c r="Q3" s="498"/>
      <c r="R3" s="498"/>
      <c r="S3" s="498"/>
      <c r="T3" s="498"/>
      <c r="U3" s="498"/>
      <c r="V3" s="498"/>
    </row>
    <row r="4" spans="1:33" ht="40.5">
      <c r="A4" s="511" t="s">
        <v>698</v>
      </c>
      <c r="B4" s="511" t="s">
        <v>335</v>
      </c>
      <c r="C4" s="511" t="s">
        <v>699</v>
      </c>
      <c r="D4" s="511" t="s">
        <v>700</v>
      </c>
      <c r="E4" s="511" t="s">
        <v>701</v>
      </c>
      <c r="F4" s="511" t="s">
        <v>702</v>
      </c>
      <c r="G4" s="512" t="s">
        <v>703</v>
      </c>
      <c r="H4" s="512" t="s">
        <v>704</v>
      </c>
      <c r="I4" s="929"/>
      <c r="J4" s="929"/>
      <c r="K4" s="498"/>
      <c r="L4" s="504"/>
      <c r="M4" s="513"/>
      <c r="N4" s="504"/>
      <c r="O4" s="514"/>
      <c r="P4" s="504"/>
      <c r="Q4" s="513"/>
      <c r="R4" s="515"/>
      <c r="S4" s="498"/>
      <c r="T4" s="498"/>
      <c r="U4" s="515"/>
      <c r="V4" s="498"/>
      <c r="X4" s="516"/>
      <c r="AA4" s="516"/>
      <c r="AD4" s="516"/>
      <c r="AG4" s="516"/>
    </row>
    <row r="5" spans="1:33" ht="18.75">
      <c r="A5" s="517">
        <v>46203</v>
      </c>
      <c r="B5" s="518">
        <v>9354163</v>
      </c>
      <c r="C5" s="519">
        <v>21345.173000000003</v>
      </c>
      <c r="D5" s="520">
        <v>2.2818902129458298E-3</v>
      </c>
      <c r="E5" s="519">
        <v>36734.074955441465</v>
      </c>
      <c r="F5" s="521">
        <v>3.9270295969229384E-3</v>
      </c>
      <c r="G5" s="522">
        <v>15388.901955441463</v>
      </c>
      <c r="H5" s="523">
        <v>1.6451393839771087E-3</v>
      </c>
      <c r="I5" s="918">
        <v>145112.05000000002</v>
      </c>
      <c r="J5" s="918">
        <v>242534.62661448139</v>
      </c>
      <c r="K5" s="498"/>
      <c r="L5" s="498"/>
      <c r="M5" s="498"/>
      <c r="N5" s="498"/>
      <c r="O5" s="498"/>
      <c r="P5" s="498"/>
      <c r="Q5" s="498"/>
      <c r="R5" s="498"/>
      <c r="S5" s="498"/>
      <c r="T5" s="498"/>
      <c r="U5" s="498"/>
      <c r="V5" s="498"/>
    </row>
    <row r="6" spans="1:33" ht="18.75">
      <c r="A6" s="517">
        <v>46204</v>
      </c>
      <c r="B6" s="518">
        <v>8773103</v>
      </c>
      <c r="C6" s="519">
        <v>21345.173000000003</v>
      </c>
      <c r="D6" s="520">
        <v>2.4330243244607983E-3</v>
      </c>
      <c r="E6" s="519">
        <v>36734.074955441465</v>
      </c>
      <c r="F6" s="521">
        <v>4.1871245505086929E-3</v>
      </c>
      <c r="G6" s="522">
        <v>15388.901955441463</v>
      </c>
      <c r="H6" s="523">
        <v>1.7541002260478946E-3</v>
      </c>
      <c r="I6" s="918"/>
      <c r="J6" s="918"/>
      <c r="K6" s="498"/>
      <c r="L6" s="498"/>
      <c r="M6" s="498"/>
      <c r="N6" s="498"/>
      <c r="O6" s="498"/>
      <c r="P6" s="498"/>
      <c r="Q6" s="498"/>
      <c r="R6" s="498"/>
      <c r="S6" s="498"/>
      <c r="T6" s="498"/>
      <c r="U6" s="498"/>
      <c r="V6" s="498"/>
    </row>
    <row r="7" spans="1:33" ht="18.75">
      <c r="A7" s="517">
        <v>46205</v>
      </c>
      <c r="B7" s="518">
        <v>8177093</v>
      </c>
      <c r="C7" s="519">
        <v>19644.059000000001</v>
      </c>
      <c r="D7" s="520">
        <v>2.4023279422161399E-3</v>
      </c>
      <c r="E7" s="519">
        <v>31953.240728001674</v>
      </c>
      <c r="F7" s="521">
        <v>3.9076528453328924E-3</v>
      </c>
      <c r="G7" s="522">
        <v>12309.181728001673</v>
      </c>
      <c r="H7" s="523">
        <v>1.5053249031167523E-3</v>
      </c>
      <c r="I7" s="918"/>
      <c r="J7" s="91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</row>
    <row r="8" spans="1:33" ht="18.75">
      <c r="A8" s="517">
        <v>46206</v>
      </c>
      <c r="B8" s="518">
        <v>7340175</v>
      </c>
      <c r="C8" s="519">
        <v>17779.859000000011</v>
      </c>
      <c r="D8" s="520">
        <v>2.4222663628591977E-3</v>
      </c>
      <c r="E8" s="519">
        <v>30262.577285357078</v>
      </c>
      <c r="F8" s="521">
        <v>4.1228686353332279E-3</v>
      </c>
      <c r="G8" s="522">
        <v>12482.718285357067</v>
      </c>
      <c r="H8" s="523">
        <v>1.7006022724740304E-3</v>
      </c>
      <c r="I8" s="918"/>
      <c r="J8" s="918"/>
      <c r="K8" s="498"/>
      <c r="L8" s="498"/>
      <c r="M8" s="498"/>
      <c r="N8" s="498"/>
      <c r="O8" s="498"/>
      <c r="P8" s="498"/>
      <c r="Q8" s="498"/>
      <c r="R8" s="498"/>
      <c r="S8" s="498"/>
      <c r="T8" s="498"/>
      <c r="U8" s="498"/>
      <c r="V8" s="498"/>
    </row>
    <row r="9" spans="1:33" ht="18.75">
      <c r="A9" s="517">
        <v>46207</v>
      </c>
      <c r="B9" s="518">
        <v>8235605</v>
      </c>
      <c r="C9" s="519">
        <v>20006.722999999998</v>
      </c>
      <c r="D9" s="520">
        <v>2.4292960869298609E-3</v>
      </c>
      <c r="E9" s="519">
        <v>32949.152905466486</v>
      </c>
      <c r="F9" s="521">
        <v>4.0008175362303659E-3</v>
      </c>
      <c r="G9" s="522">
        <v>12942.429905466488</v>
      </c>
      <c r="H9" s="523">
        <v>1.5715214493005052E-3</v>
      </c>
      <c r="I9" s="918"/>
      <c r="J9" s="918"/>
      <c r="K9" s="498"/>
      <c r="L9" s="498"/>
      <c r="M9" s="498"/>
      <c r="N9" s="498"/>
      <c r="O9" s="498"/>
      <c r="P9" s="498"/>
      <c r="Q9" s="498"/>
      <c r="R9" s="498"/>
      <c r="S9" s="498"/>
      <c r="T9" s="498"/>
      <c r="U9" s="498"/>
      <c r="V9" s="498"/>
    </row>
    <row r="10" spans="1:33" ht="18.75">
      <c r="A10" s="517">
        <v>46208</v>
      </c>
      <c r="B10" s="518">
        <v>9197911</v>
      </c>
      <c r="C10" s="519">
        <v>22227.285999999996</v>
      </c>
      <c r="D10" s="520">
        <v>2.4165580641082522E-3</v>
      </c>
      <c r="E10" s="519">
        <v>37866.802366513148</v>
      </c>
      <c r="F10" s="521">
        <v>4.1168915818508298E-3</v>
      </c>
      <c r="G10" s="522">
        <v>15639.516366513151</v>
      </c>
      <c r="H10" s="523">
        <v>1.7003335177425778E-3</v>
      </c>
      <c r="I10" s="918"/>
      <c r="J10" s="918"/>
      <c r="K10" s="498"/>
      <c r="L10" s="498"/>
      <c r="M10" s="498"/>
      <c r="N10" s="498"/>
      <c r="O10" s="498"/>
      <c r="P10" s="498"/>
      <c r="Q10" s="498"/>
      <c r="R10" s="498"/>
      <c r="S10" s="498"/>
      <c r="T10" s="498"/>
      <c r="U10" s="498"/>
      <c r="V10" s="498"/>
    </row>
    <row r="11" spans="1:33" ht="18.75">
      <c r="A11" s="517">
        <v>46209</v>
      </c>
      <c r="B11" s="518">
        <v>9363255</v>
      </c>
      <c r="C11" s="519">
        <v>22763.776999999998</v>
      </c>
      <c r="D11" s="520">
        <v>2.4311819981406037E-3</v>
      </c>
      <c r="E11" s="519">
        <v>36034.703418260069</v>
      </c>
      <c r="F11" s="521">
        <v>3.848523127722151E-3</v>
      </c>
      <c r="G11" s="522">
        <v>13270.926418260071</v>
      </c>
      <c r="H11" s="523">
        <v>1.4173411295815472E-3</v>
      </c>
      <c r="I11" s="918"/>
      <c r="J11" s="918"/>
      <c r="K11" s="498"/>
      <c r="L11" s="498"/>
      <c r="M11" s="498"/>
      <c r="N11" s="498"/>
      <c r="O11" s="498"/>
      <c r="P11" s="498"/>
      <c r="Q11" s="498"/>
      <c r="R11" s="498"/>
      <c r="S11" s="498"/>
      <c r="T11" s="498"/>
      <c r="U11" s="498"/>
      <c r="V11" s="498"/>
    </row>
    <row r="12" spans="1:33" ht="18.75">
      <c r="A12" s="524">
        <v>46210</v>
      </c>
      <c r="B12" s="518">
        <v>10402844</v>
      </c>
      <c r="C12" s="519">
        <v>25008.609460000003</v>
      </c>
      <c r="D12" s="520">
        <v>2.4040165804658808E-3</v>
      </c>
      <c r="E12" s="519">
        <v>40109.601837948117</v>
      </c>
      <c r="F12" s="521">
        <v>3.8556381156872213E-3</v>
      </c>
      <c r="G12" s="522">
        <v>15100.992377948114</v>
      </c>
      <c r="H12" s="523">
        <v>1.4516215352213409E-3</v>
      </c>
      <c r="I12" s="919">
        <v>153791.8891997186</v>
      </c>
      <c r="J12" s="919">
        <v>247153.06518796179</v>
      </c>
      <c r="K12" s="498"/>
      <c r="L12" s="498"/>
      <c r="M12" s="498"/>
      <c r="N12" s="498"/>
      <c r="O12" s="498"/>
      <c r="P12" s="498"/>
      <c r="Q12" s="498"/>
      <c r="R12" s="498"/>
      <c r="S12" s="498"/>
      <c r="T12" s="498"/>
      <c r="U12" s="498"/>
      <c r="V12" s="498"/>
    </row>
    <row r="13" spans="1:33" ht="18.75">
      <c r="A13" s="524">
        <v>46211</v>
      </c>
      <c r="B13" s="518">
        <v>9579033</v>
      </c>
      <c r="C13" s="519">
        <v>23049.60400000001</v>
      </c>
      <c r="D13" s="520">
        <v>2.4062558297899181E-3</v>
      </c>
      <c r="E13" s="519">
        <v>35981.807852058962</v>
      </c>
      <c r="F13" s="521">
        <v>3.7563089982108801E-3</v>
      </c>
      <c r="G13" s="522">
        <v>12932.203852058952</v>
      </c>
      <c r="H13" s="523">
        <v>1.350053168420962E-3</v>
      </c>
      <c r="I13" s="919"/>
      <c r="J13" s="919"/>
      <c r="K13" s="498"/>
      <c r="L13" s="498"/>
      <c r="M13" s="498"/>
      <c r="N13" s="498"/>
      <c r="O13" s="498"/>
      <c r="P13" s="498"/>
      <c r="Q13" s="498"/>
      <c r="R13" s="498"/>
      <c r="S13" s="498"/>
      <c r="T13" s="498"/>
      <c r="U13" s="498"/>
      <c r="V13" s="498"/>
    </row>
    <row r="14" spans="1:33" ht="18.75">
      <c r="A14" s="524">
        <v>46212</v>
      </c>
      <c r="B14" s="518">
        <v>9159433</v>
      </c>
      <c r="C14" s="519">
        <v>22058.34299999999</v>
      </c>
      <c r="D14" s="520">
        <v>2.4082651185941303E-3</v>
      </c>
      <c r="E14" s="519">
        <v>35481.95782748692</v>
      </c>
      <c r="F14" s="521">
        <v>3.8738159695569496E-3</v>
      </c>
      <c r="G14" s="522">
        <v>13423.61482748693</v>
      </c>
      <c r="H14" s="523">
        <v>1.4655508509628194E-3</v>
      </c>
      <c r="I14" s="919"/>
      <c r="J14" s="919"/>
      <c r="K14" s="498"/>
      <c r="L14" s="498"/>
      <c r="M14" s="498"/>
      <c r="N14" s="498"/>
      <c r="O14" s="498"/>
      <c r="P14" s="498"/>
      <c r="Q14" s="498"/>
      <c r="R14" s="498"/>
      <c r="S14" s="498"/>
      <c r="T14" s="498"/>
      <c r="U14" s="498"/>
      <c r="V14" s="498"/>
    </row>
    <row r="15" spans="1:33" ht="18.75">
      <c r="A15" s="524">
        <v>46213</v>
      </c>
      <c r="B15" s="518">
        <v>7382110</v>
      </c>
      <c r="C15" s="519">
        <v>18033.464599999985</v>
      </c>
      <c r="D15" s="520">
        <v>2.4428604558859169E-3</v>
      </c>
      <c r="E15" s="519">
        <v>29856.947307783128</v>
      </c>
      <c r="F15" s="521">
        <v>4.0445004623045613E-3</v>
      </c>
      <c r="G15" s="522">
        <v>11823.482707783143</v>
      </c>
      <c r="H15" s="523">
        <v>1.601640006418645E-3</v>
      </c>
      <c r="I15" s="919"/>
      <c r="J15" s="919"/>
      <c r="K15" s="498"/>
      <c r="L15" s="498"/>
      <c r="M15" s="498"/>
      <c r="N15" s="498"/>
      <c r="O15" s="498"/>
      <c r="P15" s="498"/>
      <c r="Q15" s="498"/>
      <c r="R15" s="498"/>
      <c r="S15" s="498"/>
      <c r="T15" s="498"/>
      <c r="U15" s="498"/>
      <c r="V15" s="498"/>
    </row>
    <row r="16" spans="1:33" ht="18.75">
      <c r="A16" s="524">
        <v>46214</v>
      </c>
      <c r="B16" s="518">
        <v>7919116</v>
      </c>
      <c r="C16" s="519">
        <v>19272.464999999993</v>
      </c>
      <c r="D16" s="520">
        <v>2.4336636816533553E-3</v>
      </c>
      <c r="E16" s="519">
        <v>32146.272950905881</v>
      </c>
      <c r="F16" s="521">
        <v>4.0593259337160714E-3</v>
      </c>
      <c r="G16" s="522">
        <v>12873.807950905888</v>
      </c>
      <c r="H16" s="523">
        <v>1.6256622520627161E-3</v>
      </c>
      <c r="I16" s="919"/>
      <c r="J16" s="919"/>
      <c r="K16" s="498"/>
      <c r="L16" s="498"/>
      <c r="M16" s="498"/>
      <c r="N16" s="498"/>
      <c r="O16" s="498"/>
      <c r="P16" s="498"/>
      <c r="Q16" s="498"/>
      <c r="R16" s="498"/>
      <c r="S16" s="498"/>
      <c r="T16" s="498"/>
      <c r="U16" s="498"/>
      <c r="V16" s="498"/>
    </row>
    <row r="17" spans="1:22" ht="18.75">
      <c r="A17" s="524">
        <v>46215</v>
      </c>
      <c r="B17" s="518">
        <v>9570480</v>
      </c>
      <c r="C17" s="519">
        <v>23152.59813971863</v>
      </c>
      <c r="D17" s="520">
        <v>2.4191679142235947E-3</v>
      </c>
      <c r="E17" s="519">
        <v>36397.89110387447</v>
      </c>
      <c r="F17" s="521">
        <v>3.8031416505624033E-3</v>
      </c>
      <c r="G17" s="522">
        <v>13245.29296415584</v>
      </c>
      <c r="H17" s="523">
        <v>1.3839737363388084E-3</v>
      </c>
      <c r="I17" s="919"/>
      <c r="J17" s="919"/>
      <c r="K17" s="498"/>
      <c r="L17" s="498"/>
      <c r="M17" s="498"/>
      <c r="N17" s="498"/>
      <c r="O17" s="498"/>
      <c r="P17" s="498"/>
      <c r="Q17" s="498"/>
      <c r="R17" s="498"/>
      <c r="S17" s="498"/>
      <c r="T17" s="498"/>
      <c r="U17" s="498"/>
      <c r="V17" s="498"/>
    </row>
    <row r="18" spans="1:22" ht="18.75">
      <c r="A18" s="524">
        <v>46216</v>
      </c>
      <c r="B18" s="518">
        <v>9554533</v>
      </c>
      <c r="C18" s="519">
        <v>23216.804999999989</v>
      </c>
      <c r="D18" s="520">
        <v>2.4299256698365047E-3</v>
      </c>
      <c r="E18" s="519">
        <v>37178.586307904319</v>
      </c>
      <c r="F18" s="521">
        <v>3.8911986915429902E-3</v>
      </c>
      <c r="G18" s="522">
        <v>13961.78130790433</v>
      </c>
      <c r="H18" s="523">
        <v>1.4612730217064853E-3</v>
      </c>
      <c r="I18" s="919"/>
      <c r="J18" s="919"/>
      <c r="K18" s="498"/>
      <c r="L18" s="498"/>
      <c r="M18" s="498"/>
      <c r="N18" s="498"/>
      <c r="O18" s="498"/>
      <c r="P18" s="498"/>
      <c r="Q18" s="498"/>
      <c r="R18" s="498"/>
      <c r="S18" s="498"/>
      <c r="T18" s="498"/>
      <c r="U18" s="498"/>
      <c r="V18" s="498"/>
    </row>
    <row r="19" spans="1:22" ht="18.75">
      <c r="A19" s="517">
        <v>46217</v>
      </c>
      <c r="B19" s="518">
        <v>9083724</v>
      </c>
      <c r="C19" s="519">
        <v>21897.433000000015</v>
      </c>
      <c r="D19" s="520">
        <v>2.4106228899072688E-3</v>
      </c>
      <c r="E19" s="519">
        <v>36952.839876484482</v>
      </c>
      <c r="F19" s="521">
        <v>4.0680275927014609E-3</v>
      </c>
      <c r="G19" s="522">
        <v>15055.406876484467</v>
      </c>
      <c r="H19" s="523">
        <v>1.6574047027941917E-3</v>
      </c>
      <c r="I19" s="918">
        <v>138729.4192</v>
      </c>
      <c r="J19" s="918">
        <v>235857.77159576118</v>
      </c>
      <c r="K19" s="498"/>
      <c r="L19" s="498"/>
      <c r="M19" s="498"/>
      <c r="N19" s="498"/>
      <c r="O19" s="498"/>
      <c r="P19" s="498"/>
      <c r="Q19" s="498"/>
      <c r="R19" s="498"/>
      <c r="S19" s="498"/>
      <c r="T19" s="498"/>
      <c r="U19" s="498"/>
      <c r="V19" s="498"/>
    </row>
    <row r="20" spans="1:22" ht="18.75">
      <c r="A20" s="517">
        <v>46218</v>
      </c>
      <c r="B20" s="518">
        <v>8161181</v>
      </c>
      <c r="C20" s="519">
        <v>19825.978000000003</v>
      </c>
      <c r="D20" s="520">
        <v>2.4293025727526447E-3</v>
      </c>
      <c r="E20" s="519">
        <v>33445.294708200629</v>
      </c>
      <c r="F20" s="521">
        <v>4.0980949580949897E-3</v>
      </c>
      <c r="G20" s="522">
        <v>13619.316708200626</v>
      </c>
      <c r="H20" s="523">
        <v>1.6687923853423452E-3</v>
      </c>
      <c r="I20" s="918"/>
      <c r="J20" s="918"/>
      <c r="K20" s="498"/>
      <c r="L20" s="498"/>
      <c r="M20" s="498"/>
      <c r="N20" s="498"/>
      <c r="O20" s="498"/>
      <c r="P20" s="498"/>
      <c r="Q20" s="498"/>
      <c r="R20" s="498"/>
      <c r="S20" s="498"/>
      <c r="T20" s="498"/>
      <c r="U20" s="498"/>
      <c r="V20" s="498"/>
    </row>
    <row r="21" spans="1:22" ht="18.75">
      <c r="A21" s="517">
        <v>46219</v>
      </c>
      <c r="B21" s="518">
        <v>7874647</v>
      </c>
      <c r="C21" s="519">
        <v>19127.542999999994</v>
      </c>
      <c r="D21" s="520">
        <v>2.429003230240034E-3</v>
      </c>
      <c r="E21" s="519">
        <v>34425.977107143022</v>
      </c>
      <c r="F21" s="521">
        <v>4.3717486138925366E-3</v>
      </c>
      <c r="G21" s="522">
        <v>15298.434107143028</v>
      </c>
      <c r="H21" s="523">
        <v>1.9427453836525026E-3</v>
      </c>
      <c r="I21" s="918"/>
      <c r="J21" s="918"/>
      <c r="K21" s="498"/>
      <c r="L21" s="498"/>
      <c r="M21" s="498"/>
      <c r="N21" s="498"/>
      <c r="O21" s="498"/>
      <c r="P21" s="498"/>
      <c r="Q21" s="498"/>
      <c r="R21" s="498"/>
      <c r="S21" s="498"/>
      <c r="T21" s="498"/>
      <c r="U21" s="498"/>
      <c r="V21" s="498"/>
    </row>
    <row r="22" spans="1:22" ht="18.75">
      <c r="A22" s="517">
        <v>46220</v>
      </c>
      <c r="B22" s="518">
        <v>7204022</v>
      </c>
      <c r="C22" s="519">
        <v>17298.835899999991</v>
      </c>
      <c r="D22" s="520">
        <v>2.401274718483646E-3</v>
      </c>
      <c r="E22" s="519">
        <v>31333.301721242173</v>
      </c>
      <c r="F22" s="521">
        <v>4.349417828157961E-3</v>
      </c>
      <c r="G22" s="522">
        <v>14034.465821242182</v>
      </c>
      <c r="H22" s="523">
        <v>1.9481431096743155E-3</v>
      </c>
      <c r="I22" s="918"/>
      <c r="J22" s="918"/>
      <c r="K22" s="498"/>
      <c r="L22" s="498"/>
      <c r="M22" s="498"/>
      <c r="N22" s="498"/>
      <c r="O22" s="498"/>
      <c r="P22" s="498"/>
      <c r="Q22" s="498"/>
      <c r="R22" s="498"/>
      <c r="S22" s="498"/>
      <c r="T22" s="498"/>
      <c r="U22" s="498"/>
      <c r="V22" s="498"/>
    </row>
    <row r="23" spans="1:22" ht="18.75">
      <c r="A23" s="517">
        <v>46221</v>
      </c>
      <c r="B23" s="518">
        <v>7376905</v>
      </c>
      <c r="C23" s="519">
        <v>17831.030999999988</v>
      </c>
      <c r="D23" s="520">
        <v>2.4171425550417128E-3</v>
      </c>
      <c r="E23" s="519">
        <v>28836.893953943192</v>
      </c>
      <c r="F23" s="521">
        <v>3.909077581173025E-3</v>
      </c>
      <c r="G23" s="522">
        <v>11005.862953943204</v>
      </c>
      <c r="H23" s="523">
        <v>1.4919350261313117E-3</v>
      </c>
      <c r="I23" s="918"/>
      <c r="J23" s="918"/>
      <c r="K23" s="498"/>
      <c r="L23" s="498"/>
      <c r="M23" s="498"/>
      <c r="N23" s="498"/>
      <c r="O23" s="498"/>
      <c r="P23" s="498"/>
      <c r="Q23" s="498"/>
      <c r="R23" s="498"/>
      <c r="S23" s="498"/>
      <c r="T23" s="498"/>
      <c r="U23" s="498"/>
      <c r="V23" s="498"/>
    </row>
    <row r="24" spans="1:22" ht="18.75">
      <c r="A24" s="517">
        <v>46222</v>
      </c>
      <c r="B24" s="518">
        <v>8957562</v>
      </c>
      <c r="C24" s="519">
        <v>21510.625400000004</v>
      </c>
      <c r="D24" s="520">
        <v>2.4013928566723854E-3</v>
      </c>
      <c r="E24" s="519">
        <v>35528.760224381993</v>
      </c>
      <c r="F24" s="521">
        <v>3.966342652652808E-3</v>
      </c>
      <c r="G24" s="522">
        <v>14018.134824381988</v>
      </c>
      <c r="H24" s="523">
        <v>1.5649497959804228E-3</v>
      </c>
      <c r="I24" s="918"/>
      <c r="J24" s="918"/>
      <c r="K24" s="498"/>
      <c r="L24" s="498"/>
      <c r="M24" s="498"/>
      <c r="N24" s="498"/>
      <c r="O24" s="498"/>
      <c r="P24" s="498"/>
      <c r="Q24" s="498"/>
      <c r="R24" s="498"/>
      <c r="S24" s="498"/>
      <c r="T24" s="498"/>
      <c r="U24" s="498"/>
      <c r="V24" s="498"/>
    </row>
    <row r="25" spans="1:22" ht="18.75">
      <c r="A25" s="517">
        <v>46223</v>
      </c>
      <c r="B25" s="518">
        <v>8839399</v>
      </c>
      <c r="C25" s="519">
        <v>21237.972900000022</v>
      </c>
      <c r="D25" s="520">
        <v>2.4026489696867426E-3</v>
      </c>
      <c r="E25" s="519">
        <v>35334.704004365689</v>
      </c>
      <c r="F25" s="521">
        <v>3.9974102316645832E-3</v>
      </c>
      <c r="G25" s="522">
        <v>14096.731104365666</v>
      </c>
      <c r="H25" s="523">
        <v>1.594761261977841E-3</v>
      </c>
      <c r="I25" s="918"/>
      <c r="J25" s="918"/>
      <c r="K25" s="498"/>
      <c r="L25" s="498"/>
      <c r="M25" s="498"/>
      <c r="N25" s="498"/>
      <c r="O25" s="498"/>
      <c r="P25" s="498"/>
      <c r="Q25" s="498"/>
      <c r="R25" s="498"/>
      <c r="S25" s="498"/>
      <c r="T25" s="498"/>
      <c r="U25" s="498"/>
      <c r="V25" s="498"/>
    </row>
    <row r="26" spans="1:22" ht="18.75">
      <c r="A26" s="524">
        <v>46224</v>
      </c>
      <c r="B26" s="518">
        <v>9279114</v>
      </c>
      <c r="C26" s="519">
        <v>22541.353999999985</v>
      </c>
      <c r="D26" s="520">
        <v>2.4292571467491382E-3</v>
      </c>
      <c r="E26" s="519">
        <v>37408.961131275864</v>
      </c>
      <c r="F26" s="521">
        <v>4.0315229591182805E-3</v>
      </c>
      <c r="G26" s="522">
        <v>14867.60713127588</v>
      </c>
      <c r="H26" s="523">
        <v>1.6022658123691421E-3</v>
      </c>
      <c r="I26" s="919">
        <v>144339.37099999998</v>
      </c>
      <c r="J26" s="919">
        <v>238709.81049191422</v>
      </c>
      <c r="K26" s="498"/>
      <c r="L26" s="498"/>
      <c r="M26" s="498"/>
      <c r="N26" s="498"/>
      <c r="O26" s="498"/>
      <c r="P26" s="498"/>
      <c r="Q26" s="498"/>
      <c r="R26" s="498"/>
      <c r="S26" s="498"/>
      <c r="T26" s="498"/>
      <c r="U26" s="498"/>
      <c r="V26" s="498"/>
    </row>
    <row r="27" spans="1:22" ht="18.75">
      <c r="A27" s="524">
        <v>46225</v>
      </c>
      <c r="B27" s="518">
        <v>8679383</v>
      </c>
      <c r="C27" s="519">
        <v>21181.802999999996</v>
      </c>
      <c r="D27" s="520">
        <v>2.4404733608368238E-3</v>
      </c>
      <c r="E27" s="519">
        <v>34855.111812191819</v>
      </c>
      <c r="F27" s="521">
        <v>4.0158513355375396E-3</v>
      </c>
      <c r="G27" s="522">
        <v>13673.308812191823</v>
      </c>
      <c r="H27" s="523">
        <v>1.5753779747007157E-3</v>
      </c>
      <c r="I27" s="919"/>
      <c r="J27" s="919"/>
      <c r="K27" s="498"/>
      <c r="L27" s="498"/>
      <c r="M27" s="498"/>
      <c r="N27" s="498"/>
      <c r="O27" s="498"/>
      <c r="P27" s="498"/>
      <c r="Q27" s="498"/>
      <c r="R27" s="498"/>
      <c r="S27" s="498"/>
      <c r="T27" s="498"/>
      <c r="U27" s="498"/>
      <c r="V27" s="498"/>
    </row>
    <row r="28" spans="1:22" ht="18.75">
      <c r="A28" s="524">
        <v>46226</v>
      </c>
      <c r="B28" s="518">
        <v>8118844</v>
      </c>
      <c r="C28" s="519">
        <v>19729.421999999991</v>
      </c>
      <c r="D28" s="520">
        <v>2.4300777302778561E-3</v>
      </c>
      <c r="E28" s="519">
        <v>32222.97231380091</v>
      </c>
      <c r="F28" s="521">
        <v>3.9689113762748623E-3</v>
      </c>
      <c r="G28" s="522">
        <v>12493.550313800919</v>
      </c>
      <c r="H28" s="523">
        <v>1.5388336459970064E-3</v>
      </c>
      <c r="I28" s="919"/>
      <c r="J28" s="919"/>
      <c r="K28" s="498"/>
      <c r="L28" s="498"/>
      <c r="M28" s="498"/>
      <c r="N28" s="498"/>
      <c r="O28" s="498"/>
      <c r="P28" s="498"/>
      <c r="Q28" s="498"/>
      <c r="R28" s="498"/>
      <c r="S28" s="498"/>
      <c r="T28" s="498"/>
      <c r="U28" s="498"/>
      <c r="V28" s="498"/>
    </row>
    <row r="29" spans="1:22" ht="18.75">
      <c r="A29" s="524">
        <v>46227</v>
      </c>
      <c r="B29" s="518">
        <v>7260099</v>
      </c>
      <c r="C29" s="519">
        <v>17491.051999999996</v>
      </c>
      <c r="D29" s="520">
        <v>2.4092029599045409E-3</v>
      </c>
      <c r="E29" s="519">
        <v>29500.189728938185</v>
      </c>
      <c r="F29" s="521">
        <v>4.0633316059379056E-3</v>
      </c>
      <c r="G29" s="522">
        <v>12009.137728938189</v>
      </c>
      <c r="H29" s="523">
        <v>1.6541286460333652E-3</v>
      </c>
      <c r="I29" s="919"/>
      <c r="J29" s="919"/>
      <c r="K29" s="498"/>
      <c r="L29" s="498"/>
      <c r="M29" s="498"/>
      <c r="N29" s="498"/>
      <c r="O29" s="498"/>
      <c r="P29" s="498"/>
      <c r="Q29" s="498"/>
      <c r="R29" s="498"/>
      <c r="S29" s="498"/>
      <c r="T29" s="498"/>
      <c r="U29" s="498"/>
      <c r="V29" s="498"/>
    </row>
    <row r="30" spans="1:22" ht="18.75">
      <c r="A30" s="524">
        <v>46228</v>
      </c>
      <c r="B30" s="518">
        <v>7568928</v>
      </c>
      <c r="C30" s="519">
        <v>18187.046000000006</v>
      </c>
      <c r="D30" s="520">
        <v>2.4028562565266845E-3</v>
      </c>
      <c r="E30" s="519">
        <v>30565.222501129279</v>
      </c>
      <c r="F30" s="521">
        <v>4.0382498685585695E-3</v>
      </c>
      <c r="G30" s="522">
        <v>12378.176501129274</v>
      </c>
      <c r="H30" s="523">
        <v>1.6353936120318854E-3</v>
      </c>
      <c r="I30" s="919"/>
      <c r="J30" s="919"/>
      <c r="K30" s="498"/>
      <c r="L30" s="498"/>
      <c r="M30" s="498"/>
      <c r="N30" s="498"/>
      <c r="O30" s="498"/>
      <c r="P30" s="498"/>
      <c r="Q30" s="498"/>
      <c r="R30" s="498"/>
      <c r="S30" s="498"/>
      <c r="T30" s="498"/>
      <c r="U30" s="498"/>
      <c r="V30" s="498"/>
    </row>
    <row r="31" spans="1:22" ht="18.75">
      <c r="A31" s="524">
        <v>46229</v>
      </c>
      <c r="B31" s="518">
        <v>9434578</v>
      </c>
      <c r="C31" s="519">
        <v>22908.374</v>
      </c>
      <c r="D31" s="520">
        <v>2.4281291648656673E-3</v>
      </c>
      <c r="E31" s="519">
        <v>37157.380001680925</v>
      </c>
      <c r="F31" s="521">
        <v>3.93842522704046E-3</v>
      </c>
      <c r="G31" s="522">
        <v>14249.006001680926</v>
      </c>
      <c r="H31" s="523">
        <v>1.5102960621747922E-3</v>
      </c>
      <c r="I31" s="919"/>
      <c r="J31" s="919"/>
      <c r="K31" s="498"/>
      <c r="L31" s="498"/>
      <c r="M31" s="498"/>
      <c r="N31" s="498"/>
      <c r="O31" s="498"/>
      <c r="P31" s="498"/>
      <c r="Q31" s="498"/>
      <c r="R31" s="498"/>
      <c r="S31" s="498"/>
      <c r="T31" s="498"/>
      <c r="U31" s="498"/>
      <c r="V31" s="498"/>
    </row>
    <row r="32" spans="1:22" ht="18.75">
      <c r="A32" s="524">
        <v>46230</v>
      </c>
      <c r="B32" s="518">
        <v>9238485</v>
      </c>
      <c r="C32" s="519">
        <v>22300.320000000007</v>
      </c>
      <c r="D32" s="520">
        <v>2.4138503228613791E-3</v>
      </c>
      <c r="E32" s="519">
        <v>36999.973002897226</v>
      </c>
      <c r="F32" s="521">
        <v>4.0049827436963127E-3</v>
      </c>
      <c r="G32" s="522">
        <v>14699.653002897219</v>
      </c>
      <c r="H32" s="523">
        <v>1.5911324208349334E-3</v>
      </c>
      <c r="I32" s="919"/>
      <c r="J32" s="919"/>
      <c r="K32" s="498"/>
      <c r="L32" s="498"/>
      <c r="M32" s="498"/>
      <c r="N32" s="498"/>
      <c r="O32" s="498"/>
      <c r="P32" s="498"/>
      <c r="Q32" s="498"/>
      <c r="R32" s="498"/>
      <c r="S32" s="498"/>
      <c r="T32" s="498"/>
      <c r="U32" s="498"/>
      <c r="V32" s="498"/>
    </row>
    <row r="33" spans="1:22" ht="18.75">
      <c r="A33" s="517">
        <v>46231</v>
      </c>
      <c r="B33" s="518"/>
      <c r="C33" s="519"/>
      <c r="D33" s="520" t="e">
        <v>#DIV/0!</v>
      </c>
      <c r="E33" s="519"/>
      <c r="F33" s="521" t="e">
        <v>#DIV/0!</v>
      </c>
      <c r="G33" s="522">
        <v>0</v>
      </c>
      <c r="H33" s="523" t="e">
        <v>#DIV/0!</v>
      </c>
      <c r="I33" s="918">
        <v>0</v>
      </c>
      <c r="J33" s="918">
        <v>0</v>
      </c>
      <c r="K33" s="498"/>
      <c r="L33" s="498"/>
      <c r="M33" s="498"/>
      <c r="N33" s="498"/>
      <c r="O33" s="498"/>
      <c r="P33" s="498"/>
      <c r="Q33" s="498"/>
      <c r="R33" s="498"/>
      <c r="S33" s="498"/>
      <c r="T33" s="498"/>
      <c r="U33" s="498"/>
      <c r="V33" s="498"/>
    </row>
    <row r="34" spans="1:22" ht="18.75">
      <c r="A34" s="517">
        <v>46232</v>
      </c>
      <c r="B34" s="518"/>
      <c r="C34" s="519"/>
      <c r="D34" s="520" t="e">
        <v>#DIV/0!</v>
      </c>
      <c r="E34" s="519"/>
      <c r="F34" s="521" t="e">
        <v>#DIV/0!</v>
      </c>
      <c r="G34" s="522">
        <v>0</v>
      </c>
      <c r="H34" s="523" t="e">
        <v>#DIV/0!</v>
      </c>
      <c r="I34" s="918"/>
      <c r="J34" s="918"/>
      <c r="K34" s="498"/>
      <c r="L34" s="498"/>
      <c r="M34" s="498"/>
      <c r="N34" s="498"/>
      <c r="O34" s="498"/>
      <c r="P34" s="498"/>
      <c r="Q34" s="498"/>
      <c r="R34" s="498"/>
      <c r="S34" s="498"/>
      <c r="T34" s="498"/>
      <c r="U34" s="498"/>
      <c r="V34" s="498"/>
    </row>
    <row r="35" spans="1:22" ht="18.75">
      <c r="A35" s="517">
        <v>46233</v>
      </c>
      <c r="B35" s="518"/>
      <c r="C35" s="519"/>
      <c r="D35" s="520" t="e">
        <v>#DIV/0!</v>
      </c>
      <c r="E35" s="519"/>
      <c r="F35" s="521" t="e">
        <v>#DIV/0!</v>
      </c>
      <c r="G35" s="522">
        <v>0</v>
      </c>
      <c r="H35" s="523" t="e">
        <v>#DIV/0!</v>
      </c>
      <c r="I35" s="918"/>
      <c r="J35" s="918"/>
      <c r="K35" s="498"/>
      <c r="L35" s="498"/>
      <c r="M35" s="498"/>
      <c r="N35" s="498"/>
      <c r="O35" s="498"/>
      <c r="P35" s="498"/>
      <c r="Q35" s="498"/>
      <c r="R35" s="498"/>
      <c r="S35" s="498"/>
      <c r="T35" s="498"/>
      <c r="U35" s="498"/>
      <c r="V35" s="498"/>
    </row>
    <row r="36" spans="1:22" ht="18.75">
      <c r="A36" s="517">
        <v>46234</v>
      </c>
      <c r="B36" s="518"/>
      <c r="C36" s="519"/>
      <c r="D36" s="520" t="e">
        <v>#DIV/0!</v>
      </c>
      <c r="E36" s="519"/>
      <c r="F36" s="521" t="e">
        <v>#DIV/0!</v>
      </c>
      <c r="G36" s="522">
        <v>0</v>
      </c>
      <c r="H36" s="523" t="e">
        <v>#DIV/0!</v>
      </c>
      <c r="I36" s="918"/>
      <c r="J36" s="918"/>
      <c r="K36" s="498"/>
      <c r="L36" s="498"/>
      <c r="M36" s="498"/>
      <c r="N36" s="498"/>
      <c r="O36" s="498"/>
      <c r="P36" s="498"/>
      <c r="Q36" s="498"/>
      <c r="R36" s="498"/>
      <c r="S36" s="498"/>
      <c r="T36" s="498"/>
      <c r="U36" s="498"/>
      <c r="V36" s="498"/>
    </row>
    <row r="37" spans="1:22" ht="18.75">
      <c r="A37" s="517">
        <v>46235</v>
      </c>
      <c r="B37" s="518"/>
      <c r="C37" s="519"/>
      <c r="D37" s="520" t="e">
        <v>#DIV/0!</v>
      </c>
      <c r="E37" s="519"/>
      <c r="F37" s="521" t="e">
        <v>#DIV/0!</v>
      </c>
      <c r="G37" s="522">
        <v>0</v>
      </c>
      <c r="H37" s="523" t="e">
        <v>#DIV/0!</v>
      </c>
      <c r="I37" s="918"/>
      <c r="J37" s="918"/>
      <c r="K37" s="498"/>
      <c r="L37" s="498"/>
      <c r="M37" s="498"/>
      <c r="N37" s="498"/>
      <c r="O37" s="498"/>
      <c r="P37" s="498"/>
      <c r="Q37" s="498"/>
      <c r="R37" s="498"/>
      <c r="S37" s="498"/>
      <c r="T37" s="498"/>
      <c r="U37" s="498"/>
      <c r="V37" s="498"/>
    </row>
    <row r="38" spans="1:22" ht="18.75">
      <c r="A38" s="517">
        <v>46236</v>
      </c>
      <c r="B38" s="518"/>
      <c r="C38" s="519"/>
      <c r="D38" s="520" t="e">
        <v>#DIV/0!</v>
      </c>
      <c r="E38" s="519"/>
      <c r="F38" s="521" t="e">
        <v>#DIV/0!</v>
      </c>
      <c r="G38" s="522">
        <v>0</v>
      </c>
      <c r="H38" s="523" t="e">
        <v>#DIV/0!</v>
      </c>
      <c r="I38" s="918"/>
      <c r="J38" s="918"/>
      <c r="K38" s="498"/>
      <c r="L38" s="498"/>
      <c r="M38" s="498"/>
      <c r="N38" s="498"/>
      <c r="O38" s="498"/>
      <c r="P38" s="498"/>
      <c r="Q38" s="498"/>
      <c r="R38" s="498"/>
      <c r="S38" s="498"/>
      <c r="T38" s="498"/>
      <c r="U38" s="498"/>
      <c r="V38" s="498"/>
    </row>
    <row r="39" spans="1:22" ht="18.75">
      <c r="A39" s="517">
        <v>46237</v>
      </c>
      <c r="B39" s="518"/>
      <c r="C39" s="519"/>
      <c r="D39" s="520" t="e">
        <v>#DIV/0!</v>
      </c>
      <c r="E39" s="519"/>
      <c r="F39" s="521" t="e">
        <v>#DIV/0!</v>
      </c>
      <c r="G39" s="522">
        <v>0</v>
      </c>
      <c r="H39" s="523" t="e">
        <v>#DIV/0!</v>
      </c>
      <c r="I39" s="918"/>
      <c r="J39" s="918"/>
      <c r="K39" s="498"/>
      <c r="L39" s="498"/>
      <c r="M39" s="498"/>
      <c r="N39" s="498"/>
      <c r="O39" s="498"/>
      <c r="P39" s="498"/>
      <c r="Q39" s="498"/>
      <c r="R39" s="498"/>
      <c r="S39" s="498"/>
      <c r="T39" s="498"/>
      <c r="U39" s="498"/>
      <c r="V39" s="498"/>
    </row>
    <row r="40" spans="1:22" ht="18.75">
      <c r="A40" s="524"/>
      <c r="B40" s="518"/>
      <c r="C40" s="519"/>
      <c r="D40" s="520" t="e">
        <v>#DIV/0!</v>
      </c>
      <c r="E40" s="519"/>
      <c r="F40" s="521" t="e">
        <v>#DIV/0!</v>
      </c>
      <c r="G40" s="522">
        <v>0</v>
      </c>
      <c r="H40" s="523" t="e">
        <v>#DIV/0!</v>
      </c>
      <c r="I40" s="919">
        <v>0</v>
      </c>
      <c r="J40" s="919">
        <v>0</v>
      </c>
      <c r="K40" s="498"/>
      <c r="L40" s="498"/>
      <c r="M40" s="498"/>
      <c r="N40" s="498"/>
      <c r="O40" s="498"/>
      <c r="P40" s="498"/>
      <c r="Q40" s="498"/>
      <c r="R40" s="498"/>
      <c r="S40" s="498"/>
      <c r="T40" s="498"/>
      <c r="U40" s="498"/>
      <c r="V40" s="498"/>
    </row>
    <row r="41" spans="1:22" ht="18.75">
      <c r="A41" s="524"/>
      <c r="B41" s="518"/>
      <c r="C41" s="519"/>
      <c r="D41" s="520" t="e">
        <v>#DIV/0!</v>
      </c>
      <c r="E41" s="519"/>
      <c r="F41" s="521" t="e">
        <v>#DIV/0!</v>
      </c>
      <c r="G41" s="522">
        <v>0</v>
      </c>
      <c r="H41" s="523" t="e">
        <v>#DIV/0!</v>
      </c>
      <c r="I41" s="919"/>
      <c r="J41" s="919"/>
      <c r="K41" s="498"/>
      <c r="L41" s="498"/>
      <c r="M41" s="498"/>
      <c r="N41" s="498"/>
      <c r="O41" s="498"/>
      <c r="P41" s="498"/>
      <c r="Q41" s="498"/>
      <c r="R41" s="498"/>
      <c r="S41" s="498"/>
      <c r="T41" s="498"/>
      <c r="U41" s="498"/>
      <c r="V41" s="498"/>
    </row>
    <row r="42" spans="1:22" ht="18.75">
      <c r="A42" s="524"/>
      <c r="B42" s="518"/>
      <c r="C42" s="519"/>
      <c r="D42" s="520" t="e">
        <v>#DIV/0!</v>
      </c>
      <c r="E42" s="519"/>
      <c r="F42" s="521" t="e">
        <v>#DIV/0!</v>
      </c>
      <c r="G42" s="522">
        <v>0</v>
      </c>
      <c r="H42" s="523" t="e">
        <v>#DIV/0!</v>
      </c>
      <c r="I42" s="919"/>
      <c r="J42" s="919"/>
      <c r="K42" s="498"/>
      <c r="L42" s="498"/>
      <c r="M42" s="498"/>
      <c r="N42" s="498"/>
      <c r="O42" s="498"/>
      <c r="P42" s="498"/>
      <c r="Q42" s="498"/>
      <c r="R42" s="498"/>
      <c r="S42" s="498"/>
      <c r="T42" s="498"/>
      <c r="U42" s="498"/>
      <c r="V42" s="498"/>
    </row>
    <row r="43" spans="1:22" ht="18.75">
      <c r="A43" s="524"/>
      <c r="B43" s="518"/>
      <c r="C43" s="519"/>
      <c r="D43" s="520" t="e">
        <v>#DIV/0!</v>
      </c>
      <c r="E43" s="519"/>
      <c r="F43" s="521" t="e">
        <v>#DIV/0!</v>
      </c>
      <c r="G43" s="522">
        <v>0</v>
      </c>
      <c r="H43" s="523" t="e">
        <v>#DIV/0!</v>
      </c>
      <c r="I43" s="919"/>
      <c r="J43" s="919"/>
      <c r="K43" s="498"/>
      <c r="L43" s="498"/>
      <c r="M43" s="498"/>
      <c r="N43" s="498"/>
      <c r="O43" s="498"/>
      <c r="P43" s="498"/>
      <c r="Q43" s="498"/>
      <c r="R43" s="498"/>
      <c r="S43" s="498"/>
      <c r="T43" s="498"/>
      <c r="U43" s="498"/>
      <c r="V43" s="498"/>
    </row>
    <row r="44" spans="1:22" ht="18.75">
      <c r="A44" s="524"/>
      <c r="B44" s="518"/>
      <c r="C44" s="519"/>
      <c r="D44" s="520" t="e">
        <v>#DIV/0!</v>
      </c>
      <c r="E44" s="519"/>
      <c r="F44" s="521" t="e">
        <v>#DIV/0!</v>
      </c>
      <c r="G44" s="522">
        <v>0</v>
      </c>
      <c r="H44" s="523" t="e">
        <v>#DIV/0!</v>
      </c>
      <c r="I44" s="919"/>
      <c r="J44" s="919"/>
      <c r="K44" s="498"/>
      <c r="L44" s="498"/>
      <c r="M44" s="498"/>
      <c r="N44" s="498"/>
      <c r="O44" s="498"/>
      <c r="P44" s="498"/>
      <c r="Q44" s="498"/>
      <c r="R44" s="498"/>
      <c r="S44" s="498"/>
      <c r="T44" s="498"/>
      <c r="U44" s="498"/>
      <c r="V44" s="498"/>
    </row>
    <row r="45" spans="1:22" ht="18.75">
      <c r="A45" s="524"/>
      <c r="B45" s="518"/>
      <c r="C45" s="519"/>
      <c r="D45" s="520" t="e">
        <v>#DIV/0!</v>
      </c>
      <c r="E45" s="519"/>
      <c r="F45" s="521" t="e">
        <v>#DIV/0!</v>
      </c>
      <c r="G45" s="522">
        <v>0</v>
      </c>
      <c r="H45" s="523" t="e">
        <v>#DIV/0!</v>
      </c>
      <c r="I45" s="919"/>
      <c r="J45" s="919"/>
      <c r="K45" s="498"/>
      <c r="L45" s="498"/>
      <c r="M45" s="498"/>
      <c r="N45" s="498"/>
      <c r="O45" s="498"/>
      <c r="P45" s="498"/>
      <c r="Q45" s="498"/>
      <c r="R45" s="498"/>
      <c r="S45" s="498"/>
      <c r="T45" s="498"/>
      <c r="U45" s="498"/>
      <c r="V45" s="498"/>
    </row>
    <row r="46" spans="1:22" ht="18.75">
      <c r="A46" s="524"/>
      <c r="B46" s="518"/>
      <c r="C46" s="519"/>
      <c r="D46" s="520" t="e">
        <v>#DIV/0!</v>
      </c>
      <c r="E46" s="519"/>
      <c r="F46" s="521" t="e">
        <v>#DIV/0!</v>
      </c>
      <c r="G46" s="522">
        <v>0</v>
      </c>
      <c r="H46" s="523" t="e">
        <v>#DIV/0!</v>
      </c>
      <c r="I46" s="919"/>
      <c r="J46" s="919"/>
      <c r="K46" s="498"/>
      <c r="L46" s="498"/>
      <c r="M46" s="498"/>
      <c r="N46" s="498"/>
      <c r="O46" s="498"/>
      <c r="P46" s="498"/>
      <c r="Q46" s="498"/>
      <c r="R46" s="498"/>
      <c r="S46" s="498"/>
      <c r="T46" s="498"/>
      <c r="U46" s="498"/>
      <c r="V46" s="498"/>
    </row>
    <row r="47" spans="1:22" ht="18.75">
      <c r="A47" s="498"/>
      <c r="B47" s="498"/>
      <c r="C47" s="498"/>
      <c r="D47" s="498"/>
      <c r="E47" s="498"/>
      <c r="F47" s="498"/>
      <c r="G47" s="498"/>
      <c r="H47" s="498"/>
      <c r="I47" s="498"/>
      <c r="J47" s="498"/>
      <c r="K47" s="498"/>
      <c r="L47" s="498"/>
      <c r="M47" s="498"/>
      <c r="N47" s="498"/>
      <c r="O47" s="498"/>
      <c r="P47" s="498"/>
      <c r="Q47" s="498"/>
      <c r="R47" s="498"/>
      <c r="S47" s="498"/>
      <c r="T47" s="498"/>
      <c r="U47" s="498"/>
      <c r="V47" s="498"/>
    </row>
    <row r="48" spans="1:22" ht="18.75">
      <c r="A48" s="525" t="s">
        <v>705</v>
      </c>
      <c r="B48" s="526">
        <v>60441305</v>
      </c>
      <c r="C48" s="498"/>
      <c r="D48" s="498"/>
      <c r="E48" s="498"/>
      <c r="F48" s="498"/>
      <c r="G48" s="498"/>
      <c r="H48" s="498"/>
      <c r="I48" s="498"/>
      <c r="J48" s="498"/>
      <c r="K48" s="498"/>
      <c r="L48" s="498"/>
      <c r="M48" s="498"/>
      <c r="N48" s="498"/>
      <c r="O48" s="498"/>
      <c r="P48" s="498"/>
      <c r="Q48" s="498"/>
      <c r="R48" s="498"/>
      <c r="S48" s="498"/>
      <c r="T48" s="498"/>
      <c r="U48" s="498"/>
      <c r="V48" s="498"/>
    </row>
    <row r="49" spans="1:22" ht="18.75">
      <c r="A49" s="498"/>
      <c r="B49" s="498"/>
      <c r="C49" s="498"/>
      <c r="D49" s="498"/>
      <c r="E49" s="498"/>
      <c r="F49" s="498"/>
      <c r="G49" s="498"/>
      <c r="H49" s="498"/>
      <c r="I49" s="498"/>
      <c r="J49" s="498"/>
      <c r="K49" s="498"/>
      <c r="L49" s="498"/>
      <c r="M49" s="498"/>
      <c r="N49" s="498"/>
      <c r="O49" s="498"/>
      <c r="P49" s="498"/>
      <c r="Q49" s="498"/>
      <c r="R49" s="498"/>
      <c r="S49" s="498"/>
      <c r="T49" s="498"/>
      <c r="U49" s="498"/>
      <c r="V49" s="498"/>
    </row>
  </sheetData>
  <mergeCells count="19">
    <mergeCell ref="I5:I11"/>
    <mergeCell ref="I12:I18"/>
    <mergeCell ref="A1:J1"/>
    <mergeCell ref="A2:A3"/>
    <mergeCell ref="B2:B3"/>
    <mergeCell ref="C2:C3"/>
    <mergeCell ref="D2:D3"/>
    <mergeCell ref="I2:I4"/>
    <mergeCell ref="J2:J4"/>
    <mergeCell ref="J5:J11"/>
    <mergeCell ref="J33:J39"/>
    <mergeCell ref="I40:I46"/>
    <mergeCell ref="J40:J46"/>
    <mergeCell ref="J12:J18"/>
    <mergeCell ref="I19:I25"/>
    <mergeCell ref="J19:J25"/>
    <mergeCell ref="I26:I32"/>
    <mergeCell ref="J26:J32"/>
    <mergeCell ref="I33:I39"/>
  </mergeCells>
  <phoneticPr fontId="13" type="noConversion"/>
  <conditionalFormatting sqref="A5:A46">
    <cfRule type="timePeriod" dxfId="2" priority="2" timePeriod="yesterday">
      <formula>FLOOR(A5,1)=TODAY()-1</formula>
    </cfRule>
  </conditionalFormatting>
  <conditionalFormatting sqref="D5:D46">
    <cfRule type="cellIs" dxfId="1" priority="1" operator="greaterThan">
      <formula>0.0025</formula>
    </cfRule>
  </conditionalFormatting>
  <conditionalFormatting sqref="D48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8"/>
    <col min="3" max="3" width="14" style="208" bestFit="1" customWidth="1"/>
    <col min="4" max="4" width="0.28515625" style="208" customWidth="1"/>
    <col min="5" max="5" width="8.7109375" style="208"/>
    <col min="6" max="6" width="16.28515625" style="208" bestFit="1" customWidth="1"/>
    <col min="7" max="16384" width="8.7109375" style="208"/>
  </cols>
  <sheetData>
    <row r="2" spans="2:7" ht="15.75">
      <c r="B2" s="930" t="s">
        <v>233</v>
      </c>
      <c r="C2" s="930"/>
      <c r="D2" s="930"/>
      <c r="E2" s="930"/>
      <c r="F2" s="930"/>
    </row>
    <row r="3" spans="2:7" ht="15">
      <c r="B3" s="209" t="s">
        <v>234</v>
      </c>
      <c r="C3" s="209" t="s">
        <v>235</v>
      </c>
      <c r="D3" s="210"/>
      <c r="E3" s="209" t="s">
        <v>236</v>
      </c>
      <c r="F3" s="209" t="s">
        <v>237</v>
      </c>
      <c r="G3" s="210"/>
    </row>
    <row r="4" spans="2:7" ht="15">
      <c r="B4" s="211" t="s">
        <v>238</v>
      </c>
      <c r="C4" s="211" t="s">
        <v>239</v>
      </c>
      <c r="D4" s="210"/>
      <c r="E4" s="211" t="s">
        <v>240</v>
      </c>
      <c r="F4" s="211" t="s">
        <v>241</v>
      </c>
      <c r="G4" s="210"/>
    </row>
    <row r="5" spans="2:7" ht="15">
      <c r="B5" s="211" t="s">
        <v>242</v>
      </c>
      <c r="C5" s="211" t="s">
        <v>243</v>
      </c>
      <c r="D5" s="210"/>
      <c r="E5" s="211" t="s">
        <v>244</v>
      </c>
      <c r="F5" s="211" t="s">
        <v>245</v>
      </c>
      <c r="G5" s="210"/>
    </row>
    <row r="6" spans="2:7" ht="15">
      <c r="B6" s="211" t="s">
        <v>246</v>
      </c>
      <c r="C6" s="211" t="s">
        <v>247</v>
      </c>
      <c r="D6" s="210"/>
      <c r="E6" s="212" t="s">
        <v>248</v>
      </c>
      <c r="F6" s="212" t="s">
        <v>136</v>
      </c>
      <c r="G6" s="210"/>
    </row>
    <row r="7" spans="2:7" ht="15">
      <c r="B7" s="212" t="s">
        <v>249</v>
      </c>
      <c r="C7" s="212" t="s">
        <v>250</v>
      </c>
      <c r="D7" s="210"/>
      <c r="E7" s="211" t="s">
        <v>251</v>
      </c>
      <c r="F7" s="211" t="s">
        <v>252</v>
      </c>
      <c r="G7" s="210"/>
    </row>
    <row r="8" spans="2:7" ht="15">
      <c r="B8" s="211" t="s">
        <v>253</v>
      </c>
      <c r="C8" s="211" t="s">
        <v>254</v>
      </c>
      <c r="D8" s="210"/>
      <c r="E8" s="211" t="s">
        <v>255</v>
      </c>
      <c r="F8" s="211" t="s">
        <v>256</v>
      </c>
      <c r="G8" s="210"/>
    </row>
    <row r="9" spans="2:7" ht="15">
      <c r="B9" s="211" t="s">
        <v>257</v>
      </c>
      <c r="C9" s="211" t="s">
        <v>258</v>
      </c>
      <c r="D9" s="210"/>
      <c r="E9" s="212" t="s">
        <v>259</v>
      </c>
      <c r="F9" s="212" t="s">
        <v>135</v>
      </c>
      <c r="G9" s="210"/>
    </row>
    <row r="10" spans="2:7" ht="15">
      <c r="B10" s="211" t="s">
        <v>260</v>
      </c>
      <c r="C10" s="211" t="s">
        <v>261</v>
      </c>
      <c r="D10" s="210"/>
      <c r="E10" s="211" t="s">
        <v>262</v>
      </c>
      <c r="F10" s="211" t="s">
        <v>263</v>
      </c>
      <c r="G10" s="210"/>
    </row>
    <row r="11" spans="2:7" ht="15">
      <c r="B11" s="211" t="s">
        <v>264</v>
      </c>
      <c r="C11" s="211" t="s">
        <v>265</v>
      </c>
      <c r="D11" s="210"/>
      <c r="E11" s="211" t="s">
        <v>266</v>
      </c>
      <c r="F11" s="211" t="s">
        <v>256</v>
      </c>
      <c r="G11" s="210"/>
    </row>
    <row r="12" spans="2:7" ht="15">
      <c r="B12" s="211" t="s">
        <v>267</v>
      </c>
      <c r="C12" s="211" t="s">
        <v>268</v>
      </c>
      <c r="D12" s="210"/>
      <c r="E12" s="211" t="s">
        <v>269</v>
      </c>
      <c r="F12" s="211" t="s">
        <v>270</v>
      </c>
      <c r="G12" s="210"/>
    </row>
    <row r="13" spans="2:7" ht="15">
      <c r="B13" s="212" t="s">
        <v>271</v>
      </c>
      <c r="C13" s="212" t="s">
        <v>131</v>
      </c>
      <c r="D13" s="210"/>
      <c r="E13" s="211" t="s">
        <v>272</v>
      </c>
      <c r="F13" s="211" t="s">
        <v>273</v>
      </c>
      <c r="G13" s="210"/>
    </row>
    <row r="14" spans="2:7" ht="15">
      <c r="B14" s="211" t="s">
        <v>274</v>
      </c>
      <c r="C14" s="211" t="s">
        <v>275</v>
      </c>
      <c r="D14" s="210"/>
      <c r="E14" s="212" t="s">
        <v>276</v>
      </c>
      <c r="F14" s="212" t="s">
        <v>277</v>
      </c>
      <c r="G14" s="210"/>
    </row>
    <row r="15" spans="2:7" ht="15">
      <c r="B15" s="212" t="s">
        <v>278</v>
      </c>
      <c r="C15" s="212" t="s">
        <v>279</v>
      </c>
      <c r="D15" s="210"/>
      <c r="E15" s="211" t="s">
        <v>280</v>
      </c>
      <c r="F15" s="211" t="s">
        <v>277</v>
      </c>
      <c r="G15" s="210"/>
    </row>
    <row r="16" spans="2:7" ht="15">
      <c r="B16" s="211" t="s">
        <v>281</v>
      </c>
      <c r="C16" s="211" t="s">
        <v>282</v>
      </c>
      <c r="D16" s="210"/>
      <c r="E16" s="212" t="s">
        <v>283</v>
      </c>
      <c r="F16" s="212" t="s">
        <v>284</v>
      </c>
      <c r="G16" s="210"/>
    </row>
    <row r="17" spans="2:7" ht="15">
      <c r="B17" s="211" t="s">
        <v>285</v>
      </c>
      <c r="C17" s="211" t="s">
        <v>286</v>
      </c>
      <c r="D17" s="210"/>
      <c r="E17" s="211" t="s">
        <v>287</v>
      </c>
      <c r="F17" s="211" t="s">
        <v>288</v>
      </c>
      <c r="G17" s="210"/>
    </row>
    <row r="18" spans="2:7" ht="15">
      <c r="B18" s="211" t="s">
        <v>289</v>
      </c>
      <c r="C18" s="211" t="s">
        <v>290</v>
      </c>
      <c r="D18" s="210"/>
      <c r="E18" s="211" t="s">
        <v>291</v>
      </c>
      <c r="F18" s="211" t="s">
        <v>292</v>
      </c>
      <c r="G18" s="210"/>
    </row>
    <row r="19" spans="2:7" ht="15">
      <c r="B19" s="211" t="s">
        <v>293</v>
      </c>
      <c r="C19" s="211" t="s">
        <v>294</v>
      </c>
      <c r="D19" s="210"/>
      <c r="E19" s="211" t="s">
        <v>295</v>
      </c>
      <c r="F19" s="211" t="s">
        <v>296</v>
      </c>
      <c r="G19" s="210"/>
    </row>
    <row r="20" spans="2:7" ht="15">
      <c r="B20" s="211" t="s">
        <v>297</v>
      </c>
      <c r="C20" s="211" t="s">
        <v>298</v>
      </c>
      <c r="D20" s="210"/>
      <c r="G20" s="210"/>
    </row>
    <row r="21" spans="2:7" ht="15">
      <c r="D21" s="210"/>
      <c r="G21" s="210"/>
    </row>
    <row r="22" spans="2:7" ht="15">
      <c r="D22" s="210"/>
      <c r="G22" s="210"/>
    </row>
    <row r="23" spans="2:7" ht="15">
      <c r="D23" s="210"/>
      <c r="G23" s="21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98A6F0-4517-448E-A239-219F8DE193D2}"/>
</file>

<file path=customXml/itemProps2.xml><?xml version="1.0" encoding="utf-8"?>
<ds:datastoreItem xmlns:ds="http://schemas.openxmlformats.org/officeDocument/2006/customXml" ds:itemID="{8EE9E2B2-6826-4230-9520-40EAE89F22AE}"/>
</file>

<file path=customXml/itemProps3.xml><?xml version="1.0" encoding="utf-8"?>
<ds:datastoreItem xmlns:ds="http://schemas.openxmlformats.org/officeDocument/2006/customXml" ds:itemID="{FEE760D4-98D5-4211-BA76-D3CEF92E7F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2026-07-29T11:00:09Z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