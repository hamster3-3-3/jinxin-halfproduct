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tabRatio="877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V61" i="32" l="1"/>
  <c r="AU61" i="32"/>
  <c r="AT61" i="32"/>
  <c r="AV60" i="32"/>
  <c r="AU60" i="32"/>
  <c r="AT60" i="32"/>
  <c r="AV59" i="32"/>
  <c r="AU59" i="32"/>
  <c r="AT59" i="32"/>
  <c r="AV58" i="32"/>
  <c r="AU58" i="32"/>
  <c r="AT58" i="32"/>
  <c r="AV57" i="32"/>
  <c r="AU57" i="32"/>
  <c r="AT57" i="32"/>
  <c r="AV55" i="32"/>
  <c r="AU55" i="32"/>
  <c r="AT55" i="32"/>
  <c r="AV54" i="32"/>
  <c r="AU54" i="32"/>
  <c r="AT54" i="32"/>
  <c r="AV53" i="32"/>
  <c r="AU53" i="32"/>
  <c r="AT53" i="32"/>
  <c r="AV52" i="32"/>
  <c r="AU52" i="32"/>
  <c r="AT52" i="32"/>
  <c r="AV51" i="32"/>
  <c r="AU51" i="32"/>
  <c r="AT51" i="32"/>
  <c r="AV50" i="32"/>
  <c r="AU50" i="32"/>
  <c r="AT50" i="32"/>
  <c r="AV49" i="32"/>
  <c r="AU49" i="32"/>
  <c r="AT49" i="32"/>
  <c r="AV48" i="32"/>
  <c r="AU48" i="32"/>
  <c r="AT48" i="32"/>
  <c r="AV47" i="32"/>
  <c r="AU47" i="32"/>
  <c r="AT47" i="32"/>
  <c r="B8" i="25" l="1"/>
  <c r="S61" i="37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W61" i="37"/>
  <c r="AW60" i="37"/>
  <c r="AW59" i="37"/>
  <c r="AW58" i="37"/>
  <c r="AW57" i="37"/>
  <c r="AW56" i="37"/>
  <c r="AW55" i="37"/>
  <c r="AW54" i="37"/>
  <c r="AW53" i="37"/>
  <c r="AW52" i="37"/>
  <c r="AW51" i="37"/>
  <c r="AW50" i="37"/>
  <c r="AW49" i="37"/>
  <c r="AW48" i="37"/>
  <c r="AX47" i="37"/>
  <c r="AW47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P107" i="33"/>
  <c r="U107" i="33"/>
  <c r="Z107" i="33"/>
  <c r="AE107" i="33"/>
  <c r="AJ107" i="33" s="1"/>
  <c r="AO107" i="33" s="1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53" i="30"/>
  <c r="S52" i="30"/>
  <c r="S51" i="30"/>
  <c r="S50" i="30"/>
  <c r="S49" i="30"/>
  <c r="S48" i="30"/>
  <c r="T47" i="30"/>
  <c r="S47" i="30"/>
  <c r="X53" i="30"/>
  <c r="X52" i="30"/>
  <c r="X51" i="30"/>
  <c r="X50" i="30"/>
  <c r="X49" i="30"/>
  <c r="X48" i="30"/>
  <c r="Y47" i="30"/>
  <c r="X47" i="30"/>
  <c r="AC53" i="30"/>
  <c r="AC52" i="30"/>
  <c r="AC51" i="30"/>
  <c r="AC50" i="30"/>
  <c r="AC49" i="30"/>
  <c r="AC48" i="30"/>
  <c r="AD47" i="30"/>
  <c r="AC47" i="30"/>
  <c r="AH53" i="30"/>
  <c r="AH52" i="30"/>
  <c r="AH51" i="30"/>
  <c r="AH50" i="30"/>
  <c r="AH49" i="30"/>
  <c r="AH48" i="30"/>
  <c r="AI47" i="30"/>
  <c r="AH47" i="30"/>
  <c r="AM53" i="30"/>
  <c r="AM52" i="30"/>
  <c r="AM51" i="30"/>
  <c r="AM50" i="30"/>
  <c r="AM49" i="30"/>
  <c r="AM48" i="30"/>
  <c r="AN47" i="30"/>
  <c r="AM47" i="30"/>
  <c r="AR53" i="30"/>
  <c r="AR52" i="30"/>
  <c r="AR51" i="30"/>
  <c r="AR50" i="30"/>
  <c r="AR49" i="30"/>
  <c r="AR48" i="30"/>
  <c r="AS47" i="30"/>
  <c r="AR47" i="30"/>
  <c r="AW53" i="30"/>
  <c r="AW52" i="30"/>
  <c r="AW51" i="30"/>
  <c r="AW50" i="30"/>
  <c r="AW49" i="30"/>
  <c r="AW48" i="30"/>
  <c r="AX47" i="30"/>
  <c r="AW47" i="30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C8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71" i="33" l="1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S41" i="37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Y27" i="30" s="1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S21" i="35" l="1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AC48" i="7"/>
  <c r="S48" i="7"/>
  <c r="M48" i="7"/>
  <c r="F48" i="7" s="1"/>
  <c r="AJ48" i="7" s="1"/>
  <c r="AC47" i="7"/>
  <c r="S47" i="7"/>
  <c r="M47" i="7"/>
  <c r="AC46" i="7"/>
  <c r="X46" i="7"/>
  <c r="S46" i="7"/>
  <c r="M46" i="7"/>
  <c r="L46" i="7"/>
  <c r="F46" i="7"/>
  <c r="AF46" i="7" s="1"/>
  <c r="AC45" i="7"/>
  <c r="S45" i="7"/>
  <c r="M45" i="7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AC48" i="6"/>
  <c r="S48" i="6"/>
  <c r="M48" i="6"/>
  <c r="F48" i="6"/>
  <c r="AJ48" i="6" s="1"/>
  <c r="AC47" i="6"/>
  <c r="S47" i="6"/>
  <c r="M47" i="6"/>
  <c r="AC46" i="6"/>
  <c r="AD46" i="6" s="1"/>
  <c r="S46" i="6"/>
  <c r="M46" i="6"/>
  <c r="F46" i="6"/>
  <c r="AF46" i="6" s="1"/>
  <c r="AC45" i="6"/>
  <c r="S45" i="6"/>
  <c r="M45" i="6"/>
  <c r="S12" i="5"/>
  <c r="S19" i="5"/>
  <c r="S26" i="5"/>
  <c r="S33" i="5"/>
  <c r="S6" i="5"/>
  <c r="P6" i="5"/>
  <c r="M6" i="5"/>
  <c r="W10" i="5"/>
  <c r="T10" i="5"/>
  <c r="Q10" i="5"/>
  <c r="N10" i="5"/>
  <c r="H10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I46" i="5"/>
  <c r="I45" i="5"/>
  <c r="I44" i="5"/>
  <c r="I43" i="5"/>
  <c r="I42" i="5"/>
  <c r="I41" i="5"/>
  <c r="T10" i="3"/>
  <c r="N10" i="3"/>
  <c r="K10" i="3"/>
  <c r="H10" i="3"/>
  <c r="U46" i="3"/>
  <c r="O46" i="3"/>
  <c r="U45" i="3"/>
  <c r="O45" i="3"/>
  <c r="U44" i="3"/>
  <c r="O44" i="3"/>
  <c r="U43" i="3"/>
  <c r="O43" i="3"/>
  <c r="U42" i="3"/>
  <c r="O42" i="3"/>
  <c r="U41" i="3"/>
  <c r="O41" i="3"/>
  <c r="D6" i="3"/>
  <c r="D7" i="3" s="1"/>
  <c r="D8" i="3" s="1"/>
  <c r="D9" i="3" s="1"/>
  <c r="D10" i="3" s="1"/>
  <c r="D11" i="3" s="1"/>
  <c r="AL46" i="6" l="1"/>
  <c r="X46" i="6"/>
  <c r="L46" i="6"/>
  <c r="R46" i="6"/>
  <c r="R46" i="7"/>
  <c r="AD46" i="7"/>
  <c r="AL46" i="7"/>
  <c r="AD45" i="7"/>
  <c r="N46" i="7"/>
  <c r="T46" i="7"/>
  <c r="AB46" i="7"/>
  <c r="AH46" i="7"/>
  <c r="L48" i="7"/>
  <c r="R48" i="7"/>
  <c r="X48" i="7"/>
  <c r="AD48" i="7"/>
  <c r="AL48" i="7"/>
  <c r="F45" i="7"/>
  <c r="T45" i="7" s="1"/>
  <c r="J46" i="7"/>
  <c r="P46" i="7"/>
  <c r="V46" i="7"/>
  <c r="AJ46" i="7"/>
  <c r="Z48" i="7"/>
  <c r="AF48" i="7"/>
  <c r="N48" i="7"/>
  <c r="T48" i="7"/>
  <c r="AB48" i="7"/>
  <c r="AH48" i="7"/>
  <c r="Z46" i="7"/>
  <c r="F47" i="7"/>
  <c r="AD47" i="7" s="1"/>
  <c r="J48" i="7"/>
  <c r="P48" i="7"/>
  <c r="V48" i="7"/>
  <c r="N46" i="6"/>
  <c r="T46" i="6"/>
  <c r="AB46" i="6"/>
  <c r="AH46" i="6"/>
  <c r="L48" i="6"/>
  <c r="R48" i="6"/>
  <c r="X48" i="6"/>
  <c r="AD48" i="6"/>
  <c r="AL48" i="6"/>
  <c r="F45" i="6"/>
  <c r="N45" i="6" s="1"/>
  <c r="J46" i="6"/>
  <c r="P46" i="6"/>
  <c r="V46" i="6"/>
  <c r="AJ46" i="6"/>
  <c r="Z48" i="6"/>
  <c r="AF48" i="6"/>
  <c r="N48" i="6"/>
  <c r="T48" i="6"/>
  <c r="AB48" i="6"/>
  <c r="AH48" i="6"/>
  <c r="Z46" i="6"/>
  <c r="F47" i="6"/>
  <c r="T47" i="6" s="1"/>
  <c r="J48" i="6"/>
  <c r="P48" i="6"/>
  <c r="V48" i="6"/>
  <c r="K155" i="8"/>
  <c r="K156" i="8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AD45" i="6" l="1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H47" i="6"/>
  <c r="AB47" i="6"/>
  <c r="AF47" i="6"/>
  <c r="Z47" i="6"/>
  <c r="AL47" i="6"/>
  <c r="X47" i="6"/>
  <c r="R47" i="6"/>
  <c r="L47" i="6"/>
  <c r="AJ47" i="6"/>
  <c r="V47" i="6"/>
  <c r="P47" i="6"/>
  <c r="J47" i="6"/>
  <c r="AL45" i="6"/>
  <c r="X45" i="6"/>
  <c r="R45" i="6"/>
  <c r="L45" i="6"/>
  <c r="AJ45" i="6"/>
  <c r="V45" i="6"/>
  <c r="P45" i="6"/>
  <c r="J45" i="6"/>
  <c r="AH45" i="6"/>
  <c r="AB45" i="6"/>
  <c r="AF45" i="6"/>
  <c r="Z45" i="6"/>
  <c r="N47" i="6"/>
  <c r="AD47" i="6"/>
  <c r="T45" i="6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G33" i="5"/>
  <c r="I33" i="5"/>
  <c r="M33" i="5"/>
  <c r="P33" i="5"/>
  <c r="V33" i="5"/>
  <c r="I34" i="5"/>
  <c r="I35" i="5"/>
  <c r="I36" i="5"/>
  <c r="I37" i="5"/>
  <c r="I38" i="5"/>
  <c r="I39" i="5"/>
  <c r="J33" i="5" l="1"/>
  <c r="M32" i="6"/>
  <c r="S32" i="6"/>
  <c r="AC32" i="6"/>
  <c r="M33" i="6"/>
  <c r="S33" i="6"/>
  <c r="AC33" i="6"/>
  <c r="M34" i="6"/>
  <c r="S34" i="6"/>
  <c r="AC34" i="6"/>
  <c r="AC37" i="6" l="1"/>
  <c r="S37" i="6"/>
  <c r="M37" i="6"/>
  <c r="AC36" i="6"/>
  <c r="S36" i="6"/>
  <c r="M36" i="6"/>
  <c r="AC35" i="6"/>
  <c r="S35" i="6"/>
  <c r="M35" i="6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K81" i="36" l="1"/>
  <c r="J81" i="36"/>
  <c r="I81" i="36"/>
  <c r="K61" i="34"/>
  <c r="J61" i="34"/>
  <c r="I61" i="34"/>
  <c r="K101" i="34"/>
  <c r="J101" i="34"/>
  <c r="I101" i="34"/>
  <c r="K81" i="34"/>
  <c r="M81" i="34" s="1"/>
  <c r="J81" i="34"/>
  <c r="I81" i="34"/>
  <c r="K80" i="34"/>
  <c r="M80" i="34" s="1"/>
  <c r="J80" i="34"/>
  <c r="I80" i="34"/>
  <c r="I81" i="31" l="1"/>
  <c r="J81" i="31"/>
  <c r="K81" i="31"/>
  <c r="M81" i="31" s="1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B54" i="48" l="1"/>
  <c r="F52" i="48"/>
  <c r="D52" i="48"/>
  <c r="F51" i="48"/>
  <c r="D51" i="48"/>
  <c r="F50" i="48"/>
  <c r="D50" i="48"/>
  <c r="F49" i="48"/>
  <c r="D49" i="48"/>
  <c r="F48" i="48"/>
  <c r="D48" i="48"/>
  <c r="F47" i="48"/>
  <c r="D47" i="48"/>
  <c r="I46" i="48"/>
  <c r="H46" i="48"/>
  <c r="G46" i="48"/>
  <c r="F46" i="48"/>
  <c r="D46" i="48"/>
  <c r="F45" i="48"/>
  <c r="D45" i="48"/>
  <c r="F44" i="48"/>
  <c r="D44" i="48"/>
  <c r="F43" i="48"/>
  <c r="D43" i="48"/>
  <c r="F42" i="48"/>
  <c r="D42" i="48"/>
  <c r="F41" i="48"/>
  <c r="D41" i="48"/>
  <c r="F40" i="48"/>
  <c r="D40" i="48"/>
  <c r="I39" i="48"/>
  <c r="H39" i="48"/>
  <c r="G39" i="48"/>
  <c r="F39" i="48"/>
  <c r="D39" i="48"/>
  <c r="F38" i="48"/>
  <c r="D38" i="48"/>
  <c r="F37" i="48"/>
  <c r="D37" i="48"/>
  <c r="F36" i="48"/>
  <c r="D36" i="48"/>
  <c r="F35" i="48"/>
  <c r="D35" i="48"/>
  <c r="F34" i="48"/>
  <c r="D34" i="48"/>
  <c r="F33" i="48"/>
  <c r="D33" i="48"/>
  <c r="I32" i="48"/>
  <c r="H32" i="48"/>
  <c r="G32" i="48"/>
  <c r="F32" i="48"/>
  <c r="D32" i="48"/>
  <c r="F31" i="48"/>
  <c r="D31" i="48"/>
  <c r="F30" i="48"/>
  <c r="D30" i="48"/>
  <c r="F29" i="48"/>
  <c r="D29" i="48"/>
  <c r="F28" i="48"/>
  <c r="D28" i="48"/>
  <c r="F27" i="48"/>
  <c r="D27" i="48"/>
  <c r="F26" i="48"/>
  <c r="D26" i="48"/>
  <c r="I25" i="48"/>
  <c r="H25" i="48"/>
  <c r="G25" i="48"/>
  <c r="F25" i="48"/>
  <c r="D25" i="48"/>
  <c r="F24" i="48"/>
  <c r="D24" i="48"/>
  <c r="F23" i="48"/>
  <c r="D23" i="48"/>
  <c r="F22" i="48"/>
  <c r="D22" i="48"/>
  <c r="F21" i="48"/>
  <c r="D21" i="48"/>
  <c r="F20" i="48"/>
  <c r="D20" i="48"/>
  <c r="F19" i="48"/>
  <c r="D19" i="48"/>
  <c r="I18" i="48"/>
  <c r="H18" i="48"/>
  <c r="G18" i="48"/>
  <c r="F18" i="48"/>
  <c r="D18" i="48"/>
  <c r="F17" i="48"/>
  <c r="D17" i="48"/>
  <c r="F16" i="48"/>
  <c r="D16" i="48"/>
  <c r="F15" i="48"/>
  <c r="D15" i="48"/>
  <c r="F14" i="48"/>
  <c r="D14" i="48"/>
  <c r="F13" i="48"/>
  <c r="D13" i="48"/>
  <c r="F12" i="48"/>
  <c r="D12" i="48"/>
  <c r="G11" i="48"/>
  <c r="F11" i="48"/>
  <c r="H11" i="48"/>
  <c r="F10" i="48"/>
  <c r="D10" i="48"/>
  <c r="F9" i="48"/>
  <c r="D9" i="48"/>
  <c r="F8" i="48"/>
  <c r="D8" i="48"/>
  <c r="F7" i="48"/>
  <c r="H4" i="48"/>
  <c r="F6" i="48"/>
  <c r="D6" i="48"/>
  <c r="F5" i="48"/>
  <c r="D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I4" i="48"/>
  <c r="G4" i="48"/>
  <c r="F4" i="48"/>
  <c r="D4" i="48"/>
  <c r="AJ8" i="47"/>
  <c r="AI8" i="47"/>
  <c r="AH8" i="47"/>
  <c r="AG8" i="47"/>
  <c r="AF8" i="47"/>
  <c r="AE8" i="47"/>
  <c r="AD8" i="47"/>
  <c r="AJ7" i="47"/>
  <c r="AI7" i="47"/>
  <c r="AH7" i="47"/>
  <c r="AG7" i="47"/>
  <c r="AF7" i="47"/>
  <c r="AE7" i="47"/>
  <c r="AD7" i="47"/>
  <c r="AD9" i="47" s="1"/>
  <c r="AC7" i="47"/>
  <c r="AJ8" i="46"/>
  <c r="AI8" i="46"/>
  <c r="AH8" i="46"/>
  <c r="AG8" i="46"/>
  <c r="AF8" i="46"/>
  <c r="AE8" i="46"/>
  <c r="AD8" i="46"/>
  <c r="AJ7" i="46"/>
  <c r="AI7" i="46"/>
  <c r="AH7" i="46"/>
  <c r="AG7" i="46"/>
  <c r="AF7" i="46"/>
  <c r="AE7" i="46"/>
  <c r="AD7" i="46"/>
  <c r="AC7" i="46"/>
  <c r="AE9" i="47" l="1"/>
  <c r="AD9" i="46"/>
  <c r="AI9" i="47"/>
  <c r="AE9" i="46"/>
  <c r="AF9" i="47"/>
  <c r="AJ9" i="47"/>
  <c r="AG9" i="47"/>
  <c r="AH9" i="47"/>
  <c r="B2" i="48"/>
  <c r="D2" i="48" s="1"/>
  <c r="D7" i="48"/>
  <c r="D11" i="48"/>
  <c r="F2" i="48"/>
  <c r="I2" i="48" s="1"/>
  <c r="I11" i="48"/>
  <c r="AF9" i="46"/>
  <c r="AJ9" i="46"/>
  <c r="AG9" i="46"/>
  <c r="AH9" i="46"/>
  <c r="AI9" i="4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M38" i="36" s="1"/>
  <c r="J38" i="36"/>
  <c r="I38" i="36"/>
  <c r="K37" i="36"/>
  <c r="M37" i="36" s="1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M58" i="36" s="1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M73" i="35" s="1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M77" i="36" s="1"/>
  <c r="J77" i="36"/>
  <c r="I77" i="36"/>
  <c r="K76" i="36"/>
  <c r="M76" i="36" s="1"/>
  <c r="J76" i="36"/>
  <c r="I76" i="36"/>
  <c r="K75" i="36"/>
  <c r="M75" i="36" s="1"/>
  <c r="J75" i="36"/>
  <c r="I75" i="36"/>
  <c r="K74" i="36"/>
  <c r="M74" i="36" s="1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M77" i="37" s="1"/>
  <c r="J77" i="37"/>
  <c r="I77" i="37"/>
  <c r="K76" i="37"/>
  <c r="M76" i="37" s="1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M68" i="34" s="1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M98" i="36" s="1"/>
  <c r="J98" i="36"/>
  <c r="I98" i="36"/>
  <c r="K97" i="36"/>
  <c r="M97" i="36" s="1"/>
  <c r="J97" i="36"/>
  <c r="I97" i="36"/>
  <c r="K96" i="36"/>
  <c r="M96" i="36" s="1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M88" i="36" s="1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M97" i="37" s="1"/>
  <c r="J97" i="37"/>
  <c r="I97" i="37"/>
  <c r="K96" i="37"/>
  <c r="M96" i="37" s="1"/>
  <c r="J96" i="37"/>
  <c r="I96" i="37"/>
  <c r="K95" i="37"/>
  <c r="M95" i="37" s="1"/>
  <c r="J95" i="37"/>
  <c r="I95" i="37"/>
  <c r="K94" i="37"/>
  <c r="M94" i="37" s="1"/>
  <c r="J94" i="37"/>
  <c r="I94" i="37"/>
  <c r="K93" i="37"/>
  <c r="M93" i="37" s="1"/>
  <c r="J93" i="37"/>
  <c r="I93" i="37"/>
  <c r="K92" i="37"/>
  <c r="M92" i="37" s="1"/>
  <c r="J92" i="37"/>
  <c r="I92" i="37"/>
  <c r="K91" i="37"/>
  <c r="M91" i="37" s="1"/>
  <c r="J91" i="37"/>
  <c r="I91" i="37"/>
  <c r="K90" i="37"/>
  <c r="M90" i="37" s="1"/>
  <c r="J90" i="37"/>
  <c r="I90" i="37"/>
  <c r="K89" i="37"/>
  <c r="M89" i="37" s="1"/>
  <c r="J89" i="37"/>
  <c r="I89" i="37"/>
  <c r="K88" i="37"/>
  <c r="M88" i="37" s="1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M17" i="36" s="1"/>
  <c r="J17" i="36"/>
  <c r="I17" i="36"/>
  <c r="K16" i="36"/>
  <c r="M16" i="36" s="1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M13" i="36" s="1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M60" i="32" s="1"/>
  <c r="J60" i="32"/>
  <c r="I60" i="32"/>
  <c r="K59" i="32"/>
  <c r="M59" i="32" s="1"/>
  <c r="J59" i="32"/>
  <c r="I59" i="32"/>
  <c r="K58" i="32"/>
  <c r="M58" i="32" s="1"/>
  <c r="J58" i="32"/>
  <c r="I58" i="32"/>
  <c r="K57" i="32"/>
  <c r="M57" i="32" s="1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M75" i="32" s="1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K67" i="31"/>
  <c r="J67" i="31"/>
  <c r="I67" i="31"/>
  <c r="H67" i="31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M70" i="30" s="1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M95" i="32" s="1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M90" i="30" s="1"/>
  <c r="J90" i="30"/>
  <c r="I90" i="30"/>
  <c r="K89" i="30"/>
  <c r="J89" i="30"/>
  <c r="I89" i="30"/>
  <c r="K88" i="30"/>
  <c r="J88" i="30"/>
  <c r="I88" i="30"/>
  <c r="K87" i="30"/>
  <c r="J87" i="30"/>
  <c r="I87" i="30"/>
  <c r="H8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K36" i="33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S13" i="7"/>
  <c r="M13" i="7"/>
  <c r="S12" i="7"/>
  <c r="M12" i="7"/>
  <c r="S11" i="7"/>
  <c r="M11" i="7"/>
  <c r="S10" i="7"/>
  <c r="M10" i="7"/>
  <c r="AC9" i="7"/>
  <c r="S9" i="7"/>
  <c r="M9" i="7"/>
  <c r="AC8" i="7"/>
  <c r="S8" i="7"/>
  <c r="M8" i="7"/>
  <c r="AC7" i="7"/>
  <c r="S7" i="7"/>
  <c r="M7" i="7"/>
  <c r="V12" i="5"/>
  <c r="V19" i="5"/>
  <c r="I11" i="39" s="1"/>
  <c r="V26" i="5"/>
  <c r="V6" i="5"/>
  <c r="P26" i="5"/>
  <c r="P19" i="5"/>
  <c r="I9" i="39" s="1"/>
  <c r="P12" i="5"/>
  <c r="M12" i="5"/>
  <c r="M19" i="5"/>
  <c r="I8" i="39" s="1"/>
  <c r="M26" i="5"/>
  <c r="G12" i="5"/>
  <c r="G19" i="5"/>
  <c r="I6" i="39" s="1"/>
  <c r="G26" i="5"/>
  <c r="G6" i="5"/>
  <c r="S33" i="3"/>
  <c r="S26" i="3"/>
  <c r="S19" i="3"/>
  <c r="B10" i="39" s="1"/>
  <c r="S12" i="3"/>
  <c r="S6" i="3"/>
  <c r="M33" i="3"/>
  <c r="M26" i="3"/>
  <c r="M19" i="3"/>
  <c r="B8" i="39" s="1"/>
  <c r="M12" i="3"/>
  <c r="M6" i="3"/>
  <c r="J12" i="3"/>
  <c r="J19" i="3"/>
  <c r="B7" i="39" s="1"/>
  <c r="J26" i="3"/>
  <c r="J33" i="3"/>
  <c r="J6" i="3"/>
  <c r="G19" i="3"/>
  <c r="B6" i="39" s="1"/>
  <c r="G26" i="3"/>
  <c r="G33" i="3"/>
  <c r="G12" i="3"/>
  <c r="G6" i="3"/>
  <c r="L47" i="32" l="1"/>
  <c r="M57" i="37"/>
  <c r="M50" i="37"/>
  <c r="M56" i="37"/>
  <c r="M56" i="36"/>
  <c r="M55" i="36"/>
  <c r="M54" i="36"/>
  <c r="M57" i="36"/>
  <c r="M53" i="35"/>
  <c r="M56" i="32"/>
  <c r="M55" i="32"/>
  <c r="L7" i="37"/>
  <c r="M36" i="37"/>
  <c r="M37" i="37"/>
  <c r="M35" i="37"/>
  <c r="M34" i="37"/>
  <c r="M36" i="36"/>
  <c r="M35" i="36"/>
  <c r="M34" i="36"/>
  <c r="M33" i="35"/>
  <c r="M39" i="34"/>
  <c r="M14" i="37"/>
  <c r="M16" i="37"/>
  <c r="M15" i="36"/>
  <c r="M7" i="34"/>
  <c r="M19" i="34"/>
  <c r="M15" i="37"/>
  <c r="M14" i="36"/>
  <c r="M13" i="35"/>
  <c r="M68" i="30"/>
  <c r="M31" i="8"/>
  <c r="M30" i="8"/>
  <c r="M88" i="32"/>
  <c r="M92" i="32"/>
  <c r="M67" i="30"/>
  <c r="M49" i="32"/>
  <c r="M89" i="36"/>
  <c r="M93" i="36"/>
  <c r="M88" i="35"/>
  <c r="M92" i="35"/>
  <c r="M71" i="34"/>
  <c r="M75" i="34"/>
  <c r="M79" i="34"/>
  <c r="M67" i="37"/>
  <c r="L7" i="33"/>
  <c r="I7" i="32"/>
  <c r="M101" i="32"/>
  <c r="M87" i="32"/>
  <c r="M91" i="32"/>
  <c r="M11" i="35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M9" i="33"/>
  <c r="M17" i="33"/>
  <c r="M25" i="33"/>
  <c r="M7" i="8"/>
  <c r="M11" i="8"/>
  <c r="M15" i="8"/>
  <c r="M19" i="8"/>
  <c r="M23" i="8"/>
  <c r="M27" i="8"/>
  <c r="M21" i="31"/>
  <c r="M9" i="32"/>
  <c r="M13" i="32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11" i="33"/>
  <c r="M19" i="33"/>
  <c r="M23" i="33"/>
  <c r="M67" i="31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M15" i="33"/>
  <c r="M27" i="33"/>
  <c r="M31" i="33"/>
  <c r="P12" i="3"/>
  <c r="V26" i="3"/>
  <c r="M10" i="33"/>
  <c r="M9" i="8"/>
  <c r="M13" i="8"/>
  <c r="M17" i="8"/>
  <c r="M21" i="8"/>
  <c r="M25" i="8"/>
  <c r="M29" i="8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33" i="33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V19" i="3"/>
  <c r="B11" i="39" s="1"/>
  <c r="P19" i="3"/>
  <c r="B9" i="39" s="1"/>
  <c r="V12" i="3"/>
  <c r="M14" i="33"/>
  <c r="M30" i="30"/>
  <c r="M33" i="32"/>
  <c r="M21" i="33"/>
  <c r="M9" i="30"/>
  <c r="M21" i="32"/>
  <c r="M11" i="34"/>
  <c r="M15" i="34"/>
  <c r="L87" i="36"/>
  <c r="L67" i="34"/>
  <c r="L47" i="35"/>
  <c r="B34" i="39" s="1"/>
  <c r="M7" i="37"/>
  <c r="M21" i="34"/>
  <c r="M9" i="36"/>
  <c r="M22" i="33"/>
  <c r="M30" i="33"/>
  <c r="M13" i="33"/>
  <c r="M29" i="33"/>
  <c r="M8" i="8"/>
  <c r="M12" i="8"/>
  <c r="M16" i="8"/>
  <c r="M20" i="8"/>
  <c r="M24" i="8"/>
  <c r="M28" i="8"/>
  <c r="M8" i="31"/>
  <c r="M8" i="32"/>
  <c r="M12" i="32"/>
  <c r="L87" i="32"/>
  <c r="L47" i="30"/>
  <c r="B29" i="39" s="1"/>
  <c r="M7" i="33"/>
  <c r="M10" i="34"/>
  <c r="M14" i="34"/>
  <c r="M18" i="34"/>
  <c r="M10" i="37"/>
  <c r="M12" i="35"/>
  <c r="L87" i="34"/>
  <c r="L67" i="37"/>
  <c r="M81" i="36"/>
  <c r="M32" i="34"/>
  <c r="M36" i="34"/>
  <c r="M27" i="37"/>
  <c r="M41" i="37"/>
  <c r="M30" i="37"/>
  <c r="M32" i="36"/>
  <c r="M27" i="35"/>
  <c r="M41" i="35"/>
  <c r="M30" i="35"/>
  <c r="M18" i="33"/>
  <c r="M8" i="33"/>
  <c r="M16" i="33"/>
  <c r="M24" i="33"/>
  <c r="M28" i="33"/>
  <c r="M32" i="33"/>
  <c r="M10" i="30"/>
  <c r="M7" i="31"/>
  <c r="L7" i="32"/>
  <c r="I7" i="31"/>
  <c r="L67" i="30"/>
  <c r="B30" i="39"/>
  <c r="M28" i="30"/>
  <c r="M29" i="31"/>
  <c r="M31" i="32"/>
  <c r="M35" i="32"/>
  <c r="M9" i="37"/>
  <c r="M13" i="37"/>
  <c r="M8" i="36"/>
  <c r="M12" i="36"/>
  <c r="M21" i="35"/>
  <c r="M7" i="35"/>
  <c r="L7" i="35"/>
  <c r="M26" i="33"/>
  <c r="M12" i="33"/>
  <c r="M20" i="33"/>
  <c r="M36" i="33"/>
  <c r="M10" i="8"/>
  <c r="M14" i="8"/>
  <c r="M18" i="8"/>
  <c r="M22" i="8"/>
  <c r="M26" i="8"/>
  <c r="M10" i="32"/>
  <c r="M14" i="32"/>
  <c r="M101" i="31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B33" i="39" s="1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B36" i="39" s="1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M101" i="37"/>
  <c r="L47" i="36"/>
  <c r="B35" i="39" s="1"/>
  <c r="M81" i="35"/>
  <c r="M69" i="37"/>
  <c r="L67" i="35"/>
  <c r="M87" i="37"/>
  <c r="L87" i="35"/>
  <c r="L7" i="34"/>
  <c r="L7" i="36"/>
  <c r="L27" i="31"/>
  <c r="L47" i="31"/>
  <c r="B31" i="39" s="1"/>
  <c r="M81" i="32"/>
  <c r="L67" i="31"/>
  <c r="L87" i="30"/>
  <c r="L7" i="30"/>
  <c r="L7" i="31"/>
  <c r="L7" i="8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L107" i="36"/>
  <c r="L107" i="35"/>
  <c r="L107" i="32"/>
  <c r="U35" i="3"/>
  <c r="O35" i="3"/>
  <c r="M88" i="30" l="1"/>
  <c r="M87" i="30"/>
  <c r="M89" i="30"/>
  <c r="M91" i="34"/>
  <c r="M98" i="34"/>
  <c r="M92" i="34"/>
  <c r="M94" i="34"/>
  <c r="M97" i="34"/>
  <c r="M95" i="34"/>
  <c r="M89" i="34"/>
  <c r="M96" i="34"/>
  <c r="M87" i="34"/>
  <c r="M88" i="34"/>
  <c r="M99" i="34"/>
  <c r="M90" i="34"/>
  <c r="M93" i="34"/>
  <c r="M101" i="34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Z2" i="32"/>
  <c r="AE2" i="32" s="1"/>
  <c r="AJ2" i="32" s="1"/>
  <c r="AO2" i="32" s="1"/>
  <c r="AT2" i="32" s="1"/>
  <c r="Z2" i="3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Z2" i="30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U5" i="3" l="1"/>
  <c r="P6" i="3" l="1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C43" i="6" l="1"/>
  <c r="S43" i="6"/>
  <c r="M43" i="6"/>
  <c r="AK50" i="6"/>
  <c r="AI50" i="6"/>
  <c r="AG50" i="6"/>
  <c r="AE50" i="6"/>
  <c r="AA50" i="6"/>
  <c r="Y50" i="6"/>
  <c r="W50" i="6"/>
  <c r="U50" i="6"/>
  <c r="Q50" i="6"/>
  <c r="O50" i="6"/>
  <c r="K50" i="6"/>
  <c r="I50" i="6"/>
  <c r="F43" i="6" l="1"/>
  <c r="AJ43" i="6" s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L7" i="7" s="1"/>
  <c r="F7" i="6"/>
  <c r="V7" i="7" l="1"/>
  <c r="P7" i="7"/>
  <c r="AH7" i="6"/>
  <c r="AF7" i="6"/>
  <c r="X7" i="6"/>
  <c r="R7" i="6"/>
  <c r="L7" i="6"/>
  <c r="AB7" i="6"/>
  <c r="AJ7" i="6"/>
  <c r="P7" i="6"/>
  <c r="Z7" i="6"/>
  <c r="V7" i="6"/>
  <c r="J7" i="6"/>
  <c r="N7" i="6"/>
  <c r="T7" i="6"/>
  <c r="AD7" i="6"/>
  <c r="AL7" i="6"/>
  <c r="AJ7" i="7"/>
  <c r="J7" i="7"/>
  <c r="AH7" i="7"/>
  <c r="AB7" i="7"/>
  <c r="T7" i="7"/>
  <c r="N7" i="7"/>
  <c r="AF7" i="7"/>
  <c r="Z7" i="7"/>
  <c r="AL7" i="7"/>
  <c r="AD7" i="7"/>
  <c r="X7" i="7"/>
  <c r="R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8" i="7"/>
  <c r="M38" i="7"/>
  <c r="S37" i="7"/>
  <c r="M37" i="7"/>
  <c r="S36" i="7"/>
  <c r="M36" i="7"/>
  <c r="S35" i="7"/>
  <c r="M35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L11" i="7" s="1"/>
  <c r="F9" i="7"/>
  <c r="L9" i="7" s="1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19" i="5" l="1"/>
  <c r="I7" i="39" s="1"/>
  <c r="K10" i="5"/>
  <c r="G8" i="6"/>
  <c r="L13" i="7"/>
  <c r="V9" i="7"/>
  <c r="P9" i="7"/>
  <c r="V11" i="7"/>
  <c r="P11" i="7"/>
  <c r="V13" i="7"/>
  <c r="P13" i="7"/>
  <c r="J12" i="5"/>
  <c r="J6" i="5"/>
  <c r="J26" i="5"/>
  <c r="AH11" i="6"/>
  <c r="AB11" i="6"/>
  <c r="X11" i="6"/>
  <c r="R11" i="6"/>
  <c r="L11" i="6"/>
  <c r="AF11" i="6"/>
  <c r="Z11" i="6"/>
  <c r="AJ11" i="6"/>
  <c r="P11" i="6"/>
  <c r="V11" i="6"/>
  <c r="J11" i="6"/>
  <c r="AD11" i="6"/>
  <c r="N11" i="6"/>
  <c r="T11" i="6"/>
  <c r="AF8" i="6"/>
  <c r="Z8" i="6"/>
  <c r="AJ8" i="6"/>
  <c r="V8" i="6"/>
  <c r="P8" i="6"/>
  <c r="J8" i="6"/>
  <c r="AH8" i="6"/>
  <c r="X8" i="6"/>
  <c r="N8" i="6"/>
  <c r="L8" i="6"/>
  <c r="T8" i="6"/>
  <c r="AD8" i="6"/>
  <c r="R8" i="6"/>
  <c r="AB8" i="6"/>
  <c r="AF12" i="6"/>
  <c r="Z12" i="6"/>
  <c r="AJ12" i="6"/>
  <c r="V12" i="6"/>
  <c r="P12" i="6"/>
  <c r="J12" i="6"/>
  <c r="AH12" i="6"/>
  <c r="X12" i="6"/>
  <c r="N12" i="6"/>
  <c r="L12" i="6"/>
  <c r="T12" i="6"/>
  <c r="AD12" i="6"/>
  <c r="R12" i="6"/>
  <c r="AB12" i="6"/>
  <c r="X9" i="6"/>
  <c r="R9" i="6"/>
  <c r="L9" i="6"/>
  <c r="AH9" i="6"/>
  <c r="AB9" i="6"/>
  <c r="AF9" i="6"/>
  <c r="Z9" i="6"/>
  <c r="V9" i="6"/>
  <c r="J9" i="6"/>
  <c r="AJ9" i="6"/>
  <c r="P9" i="6"/>
  <c r="N9" i="6"/>
  <c r="T9" i="6"/>
  <c r="AD9" i="6"/>
  <c r="X13" i="6"/>
  <c r="R13" i="6"/>
  <c r="L13" i="6"/>
  <c r="AH13" i="6"/>
  <c r="AB13" i="6"/>
  <c r="AF13" i="6"/>
  <c r="Z13" i="6"/>
  <c r="AJ13" i="6"/>
  <c r="V13" i="6"/>
  <c r="J13" i="6"/>
  <c r="P13" i="6"/>
  <c r="AD13" i="6"/>
  <c r="T13" i="6"/>
  <c r="N13" i="6"/>
  <c r="AJ10" i="6"/>
  <c r="V10" i="6"/>
  <c r="P10" i="6"/>
  <c r="J10" i="6"/>
  <c r="AF10" i="6"/>
  <c r="Z10" i="6"/>
  <c r="AH10" i="6"/>
  <c r="X10" i="6"/>
  <c r="N10" i="6"/>
  <c r="L10" i="6"/>
  <c r="R10" i="6"/>
  <c r="AB10" i="6"/>
  <c r="T10" i="6"/>
  <c r="AD10" i="6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AJ11" i="7"/>
  <c r="AH11" i="7"/>
  <c r="AB11" i="7"/>
  <c r="Z11" i="7"/>
  <c r="AF11" i="7"/>
  <c r="AD11" i="7"/>
  <c r="AH13" i="7"/>
  <c r="AB13" i="7"/>
  <c r="AF13" i="7"/>
  <c r="Z13" i="7"/>
  <c r="AJ13" i="7"/>
  <c r="AD13" i="7"/>
  <c r="E9" i="1"/>
  <c r="U72" i="33"/>
  <c r="Z72" i="33" s="1"/>
  <c r="AE72" i="33" s="1"/>
  <c r="AJ72" i="33" s="1"/>
  <c r="AO72" i="33" s="1"/>
  <c r="AT72" i="33" s="1"/>
  <c r="AT107" i="33"/>
  <c r="E11" i="1"/>
  <c r="AL8" i="6"/>
  <c r="AL12" i="6"/>
  <c r="AL9" i="6"/>
  <c r="AL13" i="6"/>
  <c r="AL10" i="6"/>
  <c r="AL11" i="6"/>
  <c r="J11" i="7"/>
  <c r="T11" i="7"/>
  <c r="N11" i="7"/>
  <c r="AL11" i="7"/>
  <c r="X11" i="7"/>
  <c r="R11" i="7"/>
  <c r="J13" i="7"/>
  <c r="T13" i="7"/>
  <c r="N13" i="7"/>
  <c r="AL13" i="7"/>
  <c r="X13" i="7"/>
  <c r="R13" i="7"/>
  <c r="AJ9" i="7"/>
  <c r="J9" i="7"/>
  <c r="AH9" i="7"/>
  <c r="AB9" i="7"/>
  <c r="T9" i="7"/>
  <c r="N9" i="7"/>
  <c r="AF9" i="7"/>
  <c r="Z9" i="7"/>
  <c r="AL9" i="7"/>
  <c r="AD9" i="7"/>
  <c r="X9" i="7"/>
  <c r="R9" i="7"/>
  <c r="K7" i="39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L10" i="7" s="1"/>
  <c r="F14" i="7"/>
  <c r="L14" i="7" s="1"/>
  <c r="F8" i="7"/>
  <c r="L8" i="7" s="1"/>
  <c r="F12" i="7"/>
  <c r="L12" i="7" s="1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G21" i="6" s="1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B37" i="6" l="1"/>
  <c r="R37" i="6"/>
  <c r="G28" i="6"/>
  <c r="G35" i="6"/>
  <c r="G14" i="6"/>
  <c r="H12" i="6"/>
  <c r="AF50" i="6" s="1"/>
  <c r="H12" i="7"/>
  <c r="V34" i="7"/>
  <c r="P34" i="7"/>
  <c r="V18" i="7"/>
  <c r="P18" i="7"/>
  <c r="V24" i="7"/>
  <c r="P24" i="7"/>
  <c r="V8" i="7"/>
  <c r="P8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10" i="7"/>
  <c r="P10" i="7"/>
  <c r="V29" i="7"/>
  <c r="P29" i="7"/>
  <c r="V22" i="7"/>
  <c r="P22" i="7"/>
  <c r="V28" i="7"/>
  <c r="P28" i="7"/>
  <c r="V12" i="7"/>
  <c r="P12" i="7"/>
  <c r="V15" i="7"/>
  <c r="P15" i="7"/>
  <c r="V27" i="7"/>
  <c r="P27" i="7"/>
  <c r="V25" i="7"/>
  <c r="P25" i="7"/>
  <c r="V31" i="7"/>
  <c r="P31" i="7"/>
  <c r="AJ30" i="6"/>
  <c r="V30" i="6"/>
  <c r="P30" i="6"/>
  <c r="J30" i="6"/>
  <c r="AF30" i="6"/>
  <c r="Z30" i="6"/>
  <c r="AH30" i="6"/>
  <c r="X30" i="6"/>
  <c r="N30" i="6"/>
  <c r="AD30" i="6"/>
  <c r="T30" i="6"/>
  <c r="L30" i="6"/>
  <c r="AB30" i="6"/>
  <c r="R30" i="6"/>
  <c r="AH23" i="6"/>
  <c r="AB23" i="6"/>
  <c r="X23" i="6"/>
  <c r="R23" i="6"/>
  <c r="L23" i="6"/>
  <c r="AF23" i="6"/>
  <c r="P23" i="6"/>
  <c r="Z23" i="6"/>
  <c r="AJ23" i="6"/>
  <c r="V23" i="6"/>
  <c r="J23" i="6"/>
  <c r="AD23" i="6"/>
  <c r="T23" i="6"/>
  <c r="N23" i="6"/>
  <c r="AH15" i="6"/>
  <c r="AB15" i="6"/>
  <c r="X15" i="6"/>
  <c r="R15" i="6"/>
  <c r="L15" i="6"/>
  <c r="AF15" i="6"/>
  <c r="Z15" i="6"/>
  <c r="AJ15" i="6"/>
  <c r="V15" i="6"/>
  <c r="J15" i="6"/>
  <c r="P15" i="6"/>
  <c r="T15" i="6"/>
  <c r="AD15" i="6"/>
  <c r="N15" i="6"/>
  <c r="AJ22" i="6"/>
  <c r="V22" i="6"/>
  <c r="P22" i="6"/>
  <c r="J22" i="6"/>
  <c r="AF22" i="6"/>
  <c r="Z22" i="6"/>
  <c r="AH22" i="6"/>
  <c r="X22" i="6"/>
  <c r="N22" i="6"/>
  <c r="AD22" i="6"/>
  <c r="T22" i="6"/>
  <c r="L22" i="6"/>
  <c r="AB22" i="6"/>
  <c r="R22" i="6"/>
  <c r="AH27" i="6"/>
  <c r="AB27" i="6"/>
  <c r="X27" i="6"/>
  <c r="R27" i="6"/>
  <c r="L27" i="6"/>
  <c r="AF27" i="6"/>
  <c r="P27" i="6"/>
  <c r="Z27" i="6"/>
  <c r="AJ27" i="6"/>
  <c r="V27" i="6"/>
  <c r="J27" i="6"/>
  <c r="N27" i="6"/>
  <c r="AD27" i="6"/>
  <c r="T27" i="6"/>
  <c r="AJ26" i="6"/>
  <c r="V26" i="6"/>
  <c r="P26" i="6"/>
  <c r="J26" i="6"/>
  <c r="AF26" i="6"/>
  <c r="Z26" i="6"/>
  <c r="AH26" i="6"/>
  <c r="X26" i="6"/>
  <c r="N26" i="6"/>
  <c r="AD26" i="6"/>
  <c r="T26" i="6"/>
  <c r="L26" i="6"/>
  <c r="AB26" i="6"/>
  <c r="R26" i="6"/>
  <c r="X25" i="6"/>
  <c r="R25" i="6"/>
  <c r="L25" i="6"/>
  <c r="AH25" i="6"/>
  <c r="AB25" i="6"/>
  <c r="AF25" i="6"/>
  <c r="P25" i="6"/>
  <c r="Z25" i="6"/>
  <c r="AJ25" i="6"/>
  <c r="V25" i="6"/>
  <c r="J25" i="6"/>
  <c r="N25" i="6"/>
  <c r="AD25" i="6"/>
  <c r="T25" i="6"/>
  <c r="X29" i="6"/>
  <c r="R29" i="6"/>
  <c r="L29" i="6"/>
  <c r="AH29" i="6"/>
  <c r="AB29" i="6"/>
  <c r="AF29" i="6"/>
  <c r="P29" i="6"/>
  <c r="Z29" i="6"/>
  <c r="AJ29" i="6"/>
  <c r="V29" i="6"/>
  <c r="J29" i="6"/>
  <c r="AD29" i="6"/>
  <c r="T29" i="6"/>
  <c r="N29" i="6"/>
  <c r="AH19" i="6"/>
  <c r="AB19" i="6"/>
  <c r="X19" i="6"/>
  <c r="R19" i="6"/>
  <c r="L19" i="6"/>
  <c r="AF19" i="6"/>
  <c r="Z19" i="6"/>
  <c r="AJ19" i="6"/>
  <c r="V19" i="6"/>
  <c r="J19" i="6"/>
  <c r="P19" i="6"/>
  <c r="N19" i="6"/>
  <c r="AD19" i="6"/>
  <c r="T19" i="6"/>
  <c r="AF24" i="6"/>
  <c r="Z24" i="6"/>
  <c r="AJ24" i="6"/>
  <c r="V24" i="6"/>
  <c r="P24" i="6"/>
  <c r="J24" i="6"/>
  <c r="AH24" i="6"/>
  <c r="X24" i="6"/>
  <c r="N24" i="6"/>
  <c r="AD24" i="6"/>
  <c r="T24" i="6"/>
  <c r="L24" i="6"/>
  <c r="AB24" i="6"/>
  <c r="R24" i="6"/>
  <c r="AH31" i="6"/>
  <c r="AB31" i="6"/>
  <c r="X31" i="6"/>
  <c r="R31" i="6"/>
  <c r="L31" i="6"/>
  <c r="AF31" i="6"/>
  <c r="P31" i="6"/>
  <c r="Z31" i="6"/>
  <c r="AJ31" i="6"/>
  <c r="V31" i="6"/>
  <c r="J31" i="6"/>
  <c r="AD31" i="6"/>
  <c r="T31" i="6"/>
  <c r="N31" i="6"/>
  <c r="X17" i="6"/>
  <c r="R17" i="6"/>
  <c r="L17" i="6"/>
  <c r="AH17" i="6"/>
  <c r="AB17" i="6"/>
  <c r="AF17" i="6"/>
  <c r="Z17" i="6"/>
  <c r="AJ17" i="6"/>
  <c r="V17" i="6"/>
  <c r="J17" i="6"/>
  <c r="P17" i="6"/>
  <c r="N17" i="6"/>
  <c r="AD17" i="6"/>
  <c r="T17" i="6"/>
  <c r="X21" i="6"/>
  <c r="R21" i="6"/>
  <c r="L21" i="6"/>
  <c r="AH21" i="6"/>
  <c r="AB21" i="6"/>
  <c r="AF21" i="6"/>
  <c r="P21" i="6"/>
  <c r="Z21" i="6"/>
  <c r="AJ21" i="6"/>
  <c r="V21" i="6"/>
  <c r="J21" i="6"/>
  <c r="AD21" i="6"/>
  <c r="T21" i="6"/>
  <c r="N21" i="6"/>
  <c r="AF16" i="6"/>
  <c r="Z16" i="6"/>
  <c r="AJ16" i="6"/>
  <c r="V16" i="6"/>
  <c r="P16" i="6"/>
  <c r="J16" i="6"/>
  <c r="AH16" i="6"/>
  <c r="X16" i="6"/>
  <c r="N16" i="6"/>
  <c r="L16" i="6"/>
  <c r="AB16" i="6"/>
  <c r="R16" i="6"/>
  <c r="AD16" i="6"/>
  <c r="T16" i="6"/>
  <c r="AJ18" i="6"/>
  <c r="V18" i="6"/>
  <c r="P18" i="6"/>
  <c r="J18" i="6"/>
  <c r="AF18" i="6"/>
  <c r="Z18" i="6"/>
  <c r="AH18" i="6"/>
  <c r="X18" i="6"/>
  <c r="N18" i="6"/>
  <c r="L18" i="6"/>
  <c r="AB18" i="6"/>
  <c r="R18" i="6"/>
  <c r="AD18" i="6"/>
  <c r="T18" i="6"/>
  <c r="AF28" i="6"/>
  <c r="Z28" i="6"/>
  <c r="AJ28" i="6"/>
  <c r="V28" i="6"/>
  <c r="P28" i="6"/>
  <c r="J28" i="6"/>
  <c r="AH28" i="6"/>
  <c r="X28" i="6"/>
  <c r="N28" i="6"/>
  <c r="AD28" i="6"/>
  <c r="T28" i="6"/>
  <c r="L28" i="6"/>
  <c r="AB28" i="6"/>
  <c r="R28" i="6"/>
  <c r="AF20" i="6"/>
  <c r="Z20" i="6"/>
  <c r="AJ20" i="6"/>
  <c r="V20" i="6"/>
  <c r="P20" i="6"/>
  <c r="J20" i="6"/>
  <c r="AH20" i="6"/>
  <c r="X20" i="6"/>
  <c r="N20" i="6"/>
  <c r="AD20" i="6"/>
  <c r="L20" i="6"/>
  <c r="AB20" i="6"/>
  <c r="R20" i="6"/>
  <c r="T20" i="6"/>
  <c r="Z33" i="6"/>
  <c r="AF33" i="6"/>
  <c r="J33" i="6"/>
  <c r="P33" i="6"/>
  <c r="V33" i="6"/>
  <c r="AJ33" i="6"/>
  <c r="L33" i="6"/>
  <c r="N33" i="6"/>
  <c r="X33" i="6"/>
  <c r="AH33" i="6"/>
  <c r="T33" i="6"/>
  <c r="AB33" i="6"/>
  <c r="R33" i="6"/>
  <c r="AD33" i="6"/>
  <c r="L34" i="6"/>
  <c r="AB34" i="6"/>
  <c r="AH34" i="6"/>
  <c r="R34" i="6"/>
  <c r="X34" i="6"/>
  <c r="J34" i="6"/>
  <c r="V34" i="6"/>
  <c r="AJ34" i="6"/>
  <c r="Z34" i="6"/>
  <c r="AF34" i="6"/>
  <c r="P34" i="6"/>
  <c r="N34" i="6"/>
  <c r="AD34" i="6"/>
  <c r="T34" i="6"/>
  <c r="AB32" i="6"/>
  <c r="AH32" i="6"/>
  <c r="L32" i="6"/>
  <c r="R32" i="6"/>
  <c r="X32" i="6"/>
  <c r="Z32" i="6"/>
  <c r="AF32" i="6"/>
  <c r="P32" i="6"/>
  <c r="AJ32" i="6"/>
  <c r="J32" i="6"/>
  <c r="V32" i="6"/>
  <c r="T32" i="6"/>
  <c r="N32" i="6"/>
  <c r="AD32" i="6"/>
  <c r="AH36" i="6"/>
  <c r="AB36" i="6"/>
  <c r="T36" i="6"/>
  <c r="N36" i="6"/>
  <c r="AF36" i="6"/>
  <c r="Z36" i="6"/>
  <c r="L36" i="6"/>
  <c r="R36" i="6"/>
  <c r="J36" i="6"/>
  <c r="X36" i="6"/>
  <c r="P36" i="6"/>
  <c r="AJ36" i="6"/>
  <c r="V36" i="6"/>
  <c r="AD36" i="6"/>
  <c r="AF37" i="6"/>
  <c r="Z37" i="6"/>
  <c r="X37" i="6"/>
  <c r="L37" i="6"/>
  <c r="AH37" i="6"/>
  <c r="T37" i="6"/>
  <c r="N37" i="6"/>
  <c r="J37" i="6"/>
  <c r="AJ37" i="6"/>
  <c r="V37" i="6"/>
  <c r="P37" i="6"/>
  <c r="AD37" i="6"/>
  <c r="AJ35" i="6"/>
  <c r="V35" i="6"/>
  <c r="P35" i="6"/>
  <c r="J35" i="6"/>
  <c r="AH35" i="6"/>
  <c r="AB35" i="6"/>
  <c r="R35" i="6"/>
  <c r="Z35" i="6"/>
  <c r="AF35" i="6"/>
  <c r="X35" i="6"/>
  <c r="L35" i="6"/>
  <c r="AD35" i="6"/>
  <c r="T35" i="6"/>
  <c r="N35" i="6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H35" i="7"/>
  <c r="Z35" i="7"/>
  <c r="AJ35" i="7"/>
  <c r="AB35" i="7"/>
  <c r="AF35" i="7"/>
  <c r="AD35" i="7"/>
  <c r="AJ30" i="7"/>
  <c r="Z30" i="7"/>
  <c r="AD30" i="7"/>
  <c r="AH30" i="7"/>
  <c r="AB30" i="7"/>
  <c r="AF30" i="7"/>
  <c r="AF36" i="7"/>
  <c r="Z36" i="7"/>
  <c r="AJ36" i="7"/>
  <c r="AB36" i="7"/>
  <c r="AH36" i="7"/>
  <c r="AD36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J10" i="7"/>
  <c r="AF10" i="7"/>
  <c r="AH10" i="7"/>
  <c r="AB10" i="7"/>
  <c r="Z10" i="7"/>
  <c r="AD10" i="7"/>
  <c r="AH29" i="7"/>
  <c r="AB29" i="7"/>
  <c r="AF29" i="7"/>
  <c r="Z29" i="7"/>
  <c r="AJ29" i="7"/>
  <c r="AD29" i="7"/>
  <c r="AH37" i="7"/>
  <c r="AB37" i="7"/>
  <c r="AF37" i="7"/>
  <c r="Z37" i="7"/>
  <c r="AJ37" i="7"/>
  <c r="AD37" i="7"/>
  <c r="N38" i="7"/>
  <c r="AJ38" i="7"/>
  <c r="Z38" i="7"/>
  <c r="AD38" i="7"/>
  <c r="AH38" i="7"/>
  <c r="AB38" i="7"/>
  <c r="AF38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F12" i="7"/>
  <c r="Z12" i="7"/>
  <c r="AJ12" i="7"/>
  <c r="AH12" i="7"/>
  <c r="AB12" i="7"/>
  <c r="AD12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AL23" i="6"/>
  <c r="N39" i="7"/>
  <c r="T36" i="7"/>
  <c r="N36" i="7"/>
  <c r="N35" i="7"/>
  <c r="N32" i="7"/>
  <c r="AL37" i="7"/>
  <c r="N37" i="7"/>
  <c r="AF8" i="7"/>
  <c r="Z8" i="7"/>
  <c r="AL8" i="7"/>
  <c r="AD8" i="7"/>
  <c r="X8" i="7"/>
  <c r="R8" i="7"/>
  <c r="AJ8" i="7"/>
  <c r="J8" i="7"/>
  <c r="AH8" i="7"/>
  <c r="AB8" i="7"/>
  <c r="T8" i="7"/>
  <c r="N8" i="7"/>
  <c r="AL10" i="7"/>
  <c r="X10" i="7"/>
  <c r="R10" i="7"/>
  <c r="J10" i="7"/>
  <c r="T10" i="7"/>
  <c r="N10" i="7"/>
  <c r="AL12" i="7"/>
  <c r="X12" i="7"/>
  <c r="R12" i="7"/>
  <c r="J12" i="7"/>
  <c r="T12" i="7"/>
  <c r="N12" i="7"/>
  <c r="N20" i="7"/>
  <c r="N40" i="6"/>
  <c r="AB40" i="6"/>
  <c r="R40" i="6"/>
  <c r="R42" i="6"/>
  <c r="AB42" i="6"/>
  <c r="AB44" i="6"/>
  <c r="R44" i="6"/>
  <c r="AJ41" i="6"/>
  <c r="AB41" i="6"/>
  <c r="R41" i="6"/>
  <c r="AF49" i="6"/>
  <c r="AB49" i="6"/>
  <c r="R49" i="6"/>
  <c r="C1" i="30"/>
  <c r="AH39" i="6"/>
  <c r="R39" i="6"/>
  <c r="AB39" i="6"/>
  <c r="N38" i="6"/>
  <c r="R38" i="6"/>
  <c r="AB38" i="6"/>
  <c r="AL37" i="6"/>
  <c r="D11" i="39"/>
  <c r="AL20" i="6"/>
  <c r="AL28" i="6"/>
  <c r="T49" i="6"/>
  <c r="AL26" i="6"/>
  <c r="AL18" i="6"/>
  <c r="AL41" i="6"/>
  <c r="J23" i="7"/>
  <c r="N23" i="7"/>
  <c r="AL23" i="7"/>
  <c r="R23" i="7"/>
  <c r="X23" i="7"/>
  <c r="AL19" i="7"/>
  <c r="AL31" i="6"/>
  <c r="T19" i="7"/>
  <c r="R35" i="7"/>
  <c r="J19" i="7"/>
  <c r="T23" i="7"/>
  <c r="N19" i="7"/>
  <c r="R19" i="7"/>
  <c r="N31" i="7"/>
  <c r="X19" i="7"/>
  <c r="J35" i="7"/>
  <c r="AL14" i="7"/>
  <c r="X14" i="7"/>
  <c r="R14" i="7"/>
  <c r="T14" i="7"/>
  <c r="AL35" i="7"/>
  <c r="J31" i="7"/>
  <c r="X31" i="7"/>
  <c r="V35" i="7"/>
  <c r="AL31" i="7"/>
  <c r="X29" i="7"/>
  <c r="R31" i="7"/>
  <c r="L35" i="7"/>
  <c r="P35" i="7"/>
  <c r="X35" i="7"/>
  <c r="N29" i="7"/>
  <c r="T35" i="7"/>
  <c r="T29" i="7"/>
  <c r="R33" i="7"/>
  <c r="T31" i="7"/>
  <c r="AL29" i="7"/>
  <c r="R29" i="7"/>
  <c r="T33" i="7"/>
  <c r="J29" i="7"/>
  <c r="J33" i="7"/>
  <c r="X33" i="7"/>
  <c r="AD43" i="7"/>
  <c r="AH41" i="6"/>
  <c r="R49" i="7"/>
  <c r="AF41" i="6"/>
  <c r="L49" i="7"/>
  <c r="Z49" i="7"/>
  <c r="Z41" i="6"/>
  <c r="V49" i="7"/>
  <c r="T32" i="7"/>
  <c r="AL27" i="6"/>
  <c r="P41" i="6"/>
  <c r="L41" i="6"/>
  <c r="V41" i="6"/>
  <c r="X41" i="6"/>
  <c r="J41" i="6"/>
  <c r="AD41" i="6"/>
  <c r="T41" i="6"/>
  <c r="N41" i="6"/>
  <c r="AL36" i="6"/>
  <c r="AB49" i="7"/>
  <c r="AL35" i="6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AL24" i="6"/>
  <c r="J49" i="7"/>
  <c r="AD49" i="7"/>
  <c r="C1" i="34"/>
  <c r="P49" i="7"/>
  <c r="T49" i="7"/>
  <c r="K15" i="39"/>
  <c r="I24" i="39"/>
  <c r="AL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AL19" i="6"/>
  <c r="AL16" i="6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AL36" i="7"/>
  <c r="X36" i="7"/>
  <c r="R36" i="7"/>
  <c r="L36" i="7"/>
  <c r="V36" i="7"/>
  <c r="J36" i="7"/>
  <c r="P36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AL32" i="6"/>
  <c r="AL17" i="6"/>
  <c r="AL29" i="6"/>
  <c r="AL15" i="6"/>
  <c r="A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N44" i="6"/>
  <c r="AL25" i="6"/>
  <c r="AL34" i="6"/>
  <c r="AL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L38" i="7"/>
  <c r="X38" i="7"/>
  <c r="R38" i="7"/>
  <c r="L38" i="7"/>
  <c r="V38" i="7"/>
  <c r="P38" i="7"/>
  <c r="J38" i="7"/>
  <c r="T38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J37" i="7"/>
  <c r="R37" i="7"/>
  <c r="V37" i="7"/>
  <c r="L37" i="7"/>
  <c r="P37" i="7"/>
  <c r="T37" i="7"/>
  <c r="X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P142" i="33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<sst xmlns="http://schemas.openxmlformats.org/spreadsheetml/2006/main" count="9180" uniqueCount="835">
  <si>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</si>
  <si>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</si>
  <si>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</si>
  <si>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</si>
  <si>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</si>
  <si>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</si>
  <si>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</si>
  <si>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</si>
  <si>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</si>
  <si>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</si>
  <si>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</si>
  <si>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</si>
  <si>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</si>
  <si>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</si>
  <si>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</si>
  <si>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</si>
  <si>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</si>
  <si>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</si>
  <si>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</si>
  <si>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</si>
  <si>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</si>
  <si>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</si>
  <si>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</si>
  <si>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</si>
  <si>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</si>
  <si>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</si>
  <si>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</si>
  <si>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</si>
  <si>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</si>
  <si>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</si>
  <si>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</si>
  <si>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</si>
  <si>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</si>
  <si>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</si>
  <si>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</si>
  <si>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</si>
  <si>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</si>
  <si>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</si>
  <si>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</si>
  <si>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</si>
  <si>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</si>
  <si>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</si>
  <si>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</si>
  <si>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</si>
  <si>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</si>
  <si>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</si>
  <si>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</si>
  <si>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</si>
  <si>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</si>
  <si>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</si>
  <si>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</si>
  <si>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</si>
  <si>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</si>
  <si>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</si>
  <si>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</si>
  <si>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</si>
  <si>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</si>
  <si>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</si>
  <si>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</si>
  <si>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</si>
  <si>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</si>
  <si>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</si>
  <si>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</si>
  <si>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</si>
  <si>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</si>
  <si>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</si>
  <si>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</si>
  <si>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</si>
  <si>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</si>
  <si>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</si>
  <si>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</si>
  <si>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</si>
  <si>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</si>
  <si>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</si>
  <si>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</si>
  <si>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</si>
  <si>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</si>
  <si>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</si>
  <si>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</si>
  <si>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</si>
  <si>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</si>
  <si>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</si>
  <si>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</si>
  <si>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</si>
  <si>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</si>
  <si>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</si>
  <si>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</si>
  <si>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</si>
  <si>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</si>
  <si>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</si>
  <si>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</si>
  <si>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</si>
  <si>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</si>
  <si>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</si>
  <si>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</si>
  <si>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</si>
  <si>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</si>
  <si>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</si>
  <si>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</si>
  <si>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</si>
  <si>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</si>
  <si>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</si>
  <si>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</si>
  <si>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</si>
  <si>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</si>
  <si>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</si>
  <si>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</si>
  <si>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</si>
  <si>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</si>
  <si>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</si>
  <si>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</si>
  <si>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2" type="noConversion"/>
  </si>
  <si>
    <t>業績(元)</t>
    <phoneticPr fontId="12" type="noConversion"/>
  </si>
  <si>
    <t>比例(%)</t>
    <phoneticPr fontId="12" type="noConversion"/>
  </si>
  <si>
    <t>三</t>
    <phoneticPr fontId="12" type="noConversion"/>
  </si>
  <si>
    <t>日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</si>
  <si>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</si>
  <si>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</si>
  <si>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</si>
  <si>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</si>
  <si>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</si>
  <si>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</si>
  <si>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</si>
  <si>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</si>
  <si>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</si>
  <si>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</si>
  <si>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（２）ＫＰＩ達成進度</t>
    <phoneticPr fontId="12" type="noConversion"/>
  </si>
  <si>
    <t>週平均</t>
    <phoneticPr fontId="12" type="noConversion"/>
  </si>
  <si>
    <t>月平均</t>
    <phoneticPr fontId="12" type="noConversion"/>
  </si>
  <si>
    <t>一配</t>
    <phoneticPr fontId="12" type="noConversion"/>
  </si>
  <si>
    <t>二配</t>
    <phoneticPr fontId="12" type="noConversion"/>
  </si>
  <si>
    <t>便當</t>
  </si>
  <si>
    <t>便當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</si>
  <si>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</si>
  <si>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</si>
  <si>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</si>
  <si>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</si>
  <si>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</si>
  <si>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</si>
  <si>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</si>
  <si>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</si>
  <si>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</si>
  <si>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</si>
  <si>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</si>
  <si>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</si>
  <si>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</si>
  <si>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合計</t>
    <phoneticPr fontId="12" type="noConversion"/>
  </si>
  <si>
    <t>（４）訂單數量構成比</t>
    <phoneticPr fontId="9"/>
  </si>
  <si>
    <t>訂單量</t>
    <phoneticPr fontId="12" type="noConversion"/>
  </si>
  <si>
    <t>訂單數</t>
    <phoneticPr fontId="12" type="noConversion"/>
  </si>
  <si>
    <t>18℃-飯糰</t>
  </si>
  <si>
    <t>18℃-壽司手卷</t>
  </si>
  <si>
    <t>4℃-飯糰</t>
  </si>
  <si>
    <t>4℃-壽司手卷</t>
  </si>
  <si>
    <t>品群</t>
    <phoneticPr fontId="12" type="noConversion"/>
  </si>
  <si>
    <t>日期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</si>
  <si>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</si>
  <si>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</si>
  <si>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</si>
  <si>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</si>
  <si>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</si>
  <si>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</si>
  <si>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</si>
  <si>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</si>
  <si>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製程不穩</t>
    <phoneticPr fontId="9"/>
  </si>
  <si>
    <t>研發設定</t>
    <phoneticPr fontId="9"/>
  </si>
  <si>
    <t>類別</t>
  </si>
  <si>
    <t>備註-商品名稱</t>
  </si>
  <si>
    <t>品群</t>
    <phoneticPr fontId="9"/>
  </si>
  <si>
    <t>品群</t>
    <phoneticPr fontId="9"/>
  </si>
  <si>
    <t>原物料規格</t>
    <phoneticPr fontId="9"/>
  </si>
  <si>
    <t>其他原因</t>
    <phoneticPr fontId="9"/>
  </si>
  <si>
    <t>類型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</si>
  <si>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</si>
  <si>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</si>
  <si>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</si>
  <si>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</si>
  <si>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</si>
  <si>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</si>
  <si>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</si>
  <si>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</si>
  <si>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</si>
  <si>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半成品-報廢(%)</t>
    <phoneticPr fontId="9"/>
  </si>
  <si>
    <t>半成品-超用(%)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</si>
  <si>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</si>
  <si>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</si>
  <si>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</si>
  <si>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</si>
  <si>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</si>
  <si>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</si>
  <si>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</si>
  <si>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</si>
  <si>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</si>
  <si>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</si>
  <si>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</si>
  <si>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</si>
  <si>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</si>
  <si>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</si>
  <si>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</si>
  <si>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</si>
  <si>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</si>
  <si>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4℃-壽司手卷(077)</t>
  </si>
  <si>
    <t>4℃-壽司手卷(077)</t>
    <phoneticPr fontId="12" type="noConversion"/>
  </si>
  <si>
    <t>18℃-壽司手卷(071,072,075,076)</t>
  </si>
  <si>
    <t>18℃-壽司手卷(071,072,075,076)</t>
    <phoneticPr fontId="12" type="noConversion"/>
  </si>
  <si>
    <t>主食(091,092,093,094,095)</t>
  </si>
  <si>
    <t>主食(091,092,093,094,095)</t>
    <phoneticPr fontId="12" type="noConversion"/>
  </si>
  <si>
    <t>便當(083)</t>
  </si>
  <si>
    <t>便當(083)</t>
    <phoneticPr fontId="12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</si>
  <si>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</si>
  <si>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</si>
  <si>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</si>
  <si>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</si>
  <si>
    <t>微波小吃(153,154,155)</t>
    <phoneticPr fontId="12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</si>
  <si>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</si>
  <si>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</si>
  <si>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</si>
  <si>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</si>
  <si>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</si>
  <si>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</si>
  <si>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</si>
  <si>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</si>
  <si>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</si>
  <si>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</si>
  <si>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</si>
  <si>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</si>
  <si>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</si>
  <si>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</si>
  <si>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</si>
  <si>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</si>
  <si>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</si>
  <si>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</si>
  <si>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展開量高於１０5％</t>
    <phoneticPr fontId="9"/>
  </si>
  <si>
    <t>18℃-壽司手卷(071,072,075,076)</t>
    <phoneticPr fontId="12" type="noConversion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</si>
  <si>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</si>
  <si>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</si>
  <si>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</si>
  <si>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</si>
  <si>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</si>
  <si>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</si>
  <si>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</si>
  <si>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</si>
  <si>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</si>
  <si>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</si>
  <si>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</si>
  <si>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</si>
  <si>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</si>
  <si>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</si>
  <si>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</si>
  <si>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</si>
  <si>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</si>
  <si>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</si>
  <si>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</si>
  <si>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</si>
  <si>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</si>
  <si>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</si>
  <si>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</si>
  <si>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</si>
  <si>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</si>
  <si>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</si>
  <si>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</si>
  <si>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</si>
  <si>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</si>
  <si>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</si>
  <si>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</si>
  <si>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</si>
  <si>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</si>
  <si>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</si>
  <si>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</si>
  <si>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</si>
  <si>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</si>
  <si>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</si>
  <si>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</si>
  <si>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</si>
  <si>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</si>
  <si>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</si>
  <si>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</si>
  <si>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</si>
  <si>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</si>
  <si>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</si>
  <si>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</si>
  <si>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</si>
  <si>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</si>
  <si>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</si>
  <si>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</si>
  <si>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</si>
  <si>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</si>
  <si>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</si>
  <si>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</si>
  <si>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</si>
  <si>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</si>
  <si>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</si>
  <si>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</si>
  <si>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</si>
  <si>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</si>
  <si>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</si>
  <si>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</si>
  <si>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</si>
  <si>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</si>
  <si>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</si>
  <si>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2" type="noConversion"/>
  </si>
  <si>
    <t>（3）業績構成比</t>
    <phoneticPr fontId="12" type="noConversion"/>
  </si>
  <si>
    <t>（4）訂單數量構成比</t>
    <phoneticPr fontId="12" type="noConversion"/>
  </si>
  <si>
    <t>展開量高於１０5％</t>
    <phoneticPr fontId="9"/>
  </si>
  <si>
    <t>展開量高於１０5％</t>
    <phoneticPr fontId="9"/>
  </si>
  <si>
    <t>展開量高於１０5％</t>
    <phoneticPr fontId="9"/>
  </si>
  <si>
    <t xml:space="preserve">半成品報廢(%) </t>
    <phoneticPr fontId="12" type="noConversion"/>
  </si>
  <si>
    <t>月別</t>
    <phoneticPr fontId="9"/>
  </si>
  <si>
    <t>週別</t>
    <phoneticPr fontId="12" type="noConversion"/>
  </si>
  <si>
    <t>當週</t>
  </si>
  <si>
    <t>當週</t>
    <phoneticPr fontId="9"/>
  </si>
  <si>
    <t>前週</t>
  </si>
  <si>
    <t>前週</t>
    <phoneticPr fontId="12" type="noConversion"/>
  </si>
  <si>
    <t>前週</t>
    <phoneticPr fontId="9"/>
  </si>
  <si>
    <t>月平均人時性</t>
  </si>
  <si>
    <t>月平均人時性</t>
    <phoneticPr fontId="12" type="noConversion"/>
  </si>
  <si>
    <t>KPI</t>
    <phoneticPr fontId="12" type="noConversion"/>
  </si>
  <si>
    <t>18℃-飯糰(061,063)</t>
  </si>
  <si>
    <t>二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</si>
  <si>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</si>
  <si>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</si>
  <si>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</si>
  <si>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</si>
  <si>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</si>
  <si>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</si>
  <si>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</si>
  <si>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t>生產課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</si>
  <si>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</si>
  <si>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</si>
  <si>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</si>
  <si>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</si>
  <si>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</si>
  <si>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</si>
  <si>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切-炙燒炭火燒肉片</t>
  </si>
  <si>
    <t>二配港式香滑嫩蛋牛肉燴飯</t>
  </si>
  <si>
    <t>營業額(元)</t>
    <phoneticPr fontId="12" type="noConversion"/>
  </si>
  <si>
    <t>營業額</t>
    <phoneticPr fontId="12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</si>
  <si>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</si>
  <si>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</si>
  <si>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</si>
  <si>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</si>
  <si>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</si>
  <si>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</si>
  <si>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</si>
  <si>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</si>
  <si>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</si>
  <si>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</si>
  <si>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</si>
  <si>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</si>
  <si>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</si>
  <si>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</si>
  <si>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</si>
  <si>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</si>
  <si>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</si>
  <si>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</si>
  <si>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</si>
  <si>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</si>
  <si>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</si>
  <si>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</si>
  <si>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</si>
  <si>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</si>
  <si>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</si>
  <si>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</si>
  <si>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</si>
  <si>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</si>
  <si>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</si>
  <si>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2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</si>
  <si>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</si>
  <si>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累計</t>
    <phoneticPr fontId="12" type="noConversion"/>
  </si>
  <si>
    <t>製程不穩</t>
  </si>
  <si>
    <t>切烤雞胸肉</t>
  </si>
  <si>
    <t>平均人時性</t>
    <phoneticPr fontId="12" type="noConversion"/>
  </si>
  <si>
    <t>排名</t>
    <phoneticPr fontId="12" type="noConversion"/>
  </si>
  <si>
    <t>實際</t>
    <phoneticPr fontId="12" type="noConversion"/>
  </si>
  <si>
    <t>品群</t>
    <phoneticPr fontId="12" type="noConversion"/>
  </si>
  <si>
    <t>計畫</t>
    <phoneticPr fontId="12" type="noConversion"/>
  </si>
  <si>
    <t>實績</t>
    <phoneticPr fontId="12" type="noConversion"/>
  </si>
  <si>
    <t>日報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</si>
  <si>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</si>
  <si>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</si>
  <si>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</si>
  <si>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</si>
  <si>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</si>
  <si>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</si>
  <si>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商品名稱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</si>
  <si>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</si>
  <si>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熱食義麵</t>
    <phoneticPr fontId="12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</si>
  <si>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</si>
  <si>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</si>
  <si>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</si>
  <si>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排名</t>
    <phoneticPr fontId="9"/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</si>
  <si>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</si>
  <si>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</si>
  <si>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</si>
  <si>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</si>
  <si>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</si>
  <si>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</si>
  <si>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</si>
  <si>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燻之味-糖燻雞胗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</si>
  <si>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</si>
  <si>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</si>
  <si>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</si>
  <si>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</si>
  <si>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</si>
  <si>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</si>
  <si>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</si>
  <si>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</si>
  <si>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</si>
  <si>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</si>
  <si>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</si>
  <si>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</si>
  <si>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</si>
  <si>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</si>
  <si>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</si>
  <si>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</si>
  <si>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</si>
  <si>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熱食義麵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</si>
  <si>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</si>
  <si>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</si>
  <si>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</si>
  <si>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</si>
  <si>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</si>
  <si>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</si>
  <si>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</si>
  <si>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</si>
  <si>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</si>
  <si>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</si>
  <si>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</si>
  <si>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</si>
  <si>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</si>
  <si>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t>主食</t>
    <phoneticPr fontId="12" type="noConversion"/>
  </si>
  <si>
    <t>微波小吃</t>
    <phoneticPr fontId="12" type="noConversion"/>
  </si>
  <si>
    <t>季節調理麵</t>
    <phoneticPr fontId="12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</si>
  <si>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</si>
  <si>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</si>
  <si>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</si>
  <si>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</si>
  <si>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</si>
  <si>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</si>
  <si>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</si>
  <si>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</si>
  <si>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</si>
  <si>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日報</t>
    <phoneticPr fontId="12" type="noConversion"/>
  </si>
  <si>
    <t>實際</t>
    <phoneticPr fontId="12" type="noConversion"/>
  </si>
  <si>
    <t>平均人時性</t>
    <phoneticPr fontId="12" type="noConversion"/>
  </si>
  <si>
    <t>生產實績</t>
    <phoneticPr fontId="12" type="noConversion"/>
  </si>
  <si>
    <t>人時性</t>
    <phoneticPr fontId="12" type="noConversion"/>
  </si>
  <si>
    <t>產能／時</t>
    <phoneticPr fontId="12" type="noConversion"/>
  </si>
  <si>
    <t>排名</t>
    <phoneticPr fontId="12" type="noConversion"/>
  </si>
  <si>
    <t>人數</t>
    <phoneticPr fontId="12" type="noConversion"/>
  </si>
  <si>
    <t>季節調理麵</t>
    <phoneticPr fontId="12" type="noConversion"/>
  </si>
  <si>
    <t>品群</t>
    <phoneticPr fontId="12" type="noConversion"/>
  </si>
  <si>
    <t>微波小吃</t>
    <phoneticPr fontId="12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</si>
  <si>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</si>
  <si>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</si>
  <si>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</si>
  <si>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</si>
  <si>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</si>
  <si>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</si>
  <si>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</si>
  <si>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</si>
  <si>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</si>
  <si>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</si>
  <si>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</si>
  <si>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</si>
  <si>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</si>
  <si>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</si>
  <si>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</si>
  <si>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</si>
  <si>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</si>
  <si>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</si>
  <si>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</si>
  <si>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</si>
  <si>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</si>
  <si>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</si>
  <si>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</si>
  <si>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</si>
  <si>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</si>
  <si>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季節調理麵</t>
    <phoneticPr fontId="12" type="noConversion"/>
  </si>
  <si>
    <t>微波小吃</t>
    <phoneticPr fontId="12" type="noConversion"/>
  </si>
  <si>
    <t>品群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</si>
  <si>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</si>
  <si>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產線配置圖－月表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</si>
  <si>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</si>
  <si>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</si>
  <si>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</si>
  <si>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</si>
  <si>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</si>
  <si>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</si>
  <si>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產線配置圖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</si>
  <si>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</si>
  <si>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</si>
  <si>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</si>
  <si>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</si>
  <si>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</si>
  <si>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產線配置圖－月表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</si>
  <si>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</si>
  <si>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主食</t>
    <phoneticPr fontId="12" type="noConversion"/>
  </si>
  <si>
    <t>便當</t>
    <phoneticPr fontId="12" type="noConversion"/>
  </si>
  <si>
    <t>季節調理麵</t>
    <phoneticPr fontId="12" type="noConversion"/>
  </si>
  <si>
    <t>微波小吃</t>
    <phoneticPr fontId="12" type="noConversion"/>
  </si>
  <si>
    <t>海陸雙拼肉肉餐盒</t>
  </si>
  <si>
    <t>取樣不穩</t>
  </si>
  <si>
    <t>蔬活腿排補力餐盒</t>
  </si>
  <si>
    <t>類型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</si>
  <si>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</si>
  <si>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（８）超用原因別前幾名品項</t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</si>
  <si>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</si>
  <si>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</si>
  <si>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</si>
  <si>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</si>
  <si>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</si>
  <si>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</si>
  <si>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</si>
  <si>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</si>
  <si>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原物料大小、厚薄差異</t>
  </si>
  <si>
    <t>其他原因</t>
  </si>
  <si>
    <t>占比</t>
    <phoneticPr fontId="12" type="noConversion"/>
  </si>
  <si>
    <t>金額</t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</si>
  <si>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</si>
  <si>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t>蕃茄起司手工千層麵(區2)</t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</si>
  <si>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</si>
  <si>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</si>
  <si>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</si>
  <si>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</si>
  <si>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</si>
  <si>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二配起司控培根白醬焗烤飯</t>
  </si>
  <si>
    <t>確認備料量是否正確，調整出料率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</si>
  <si>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</si>
  <si>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</si>
  <si>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</si>
  <si>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</si>
  <si>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</si>
  <si>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</si>
  <si>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</si>
  <si>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</si>
  <si>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</si>
  <si>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</si>
  <si>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</si>
  <si>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</si>
  <si>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</si>
  <si>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</si>
  <si>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</si>
  <si>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</si>
  <si>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</si>
  <si>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</si>
  <si>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</si>
  <si>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</si>
  <si>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</si>
  <si>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</si>
  <si>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</si>
  <si>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</si>
  <si>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</si>
  <si>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</si>
  <si>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</si>
  <si>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</si>
  <si>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</si>
  <si>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</si>
  <si>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</si>
  <si>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9"/>
  </si>
  <si>
    <t>排名</t>
    <phoneticPr fontId="9"/>
  </si>
  <si>
    <t>品群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</si>
  <si>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</si>
  <si>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品群</t>
    <phoneticPr fontId="12" type="noConversion"/>
  </si>
  <si>
    <t>平均人時性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</si>
  <si>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</si>
  <si>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壹號醬雞豚雙拼</t>
  </si>
  <si>
    <t>好多蒜燒豚飯</t>
  </si>
  <si>
    <t>烤飯糰1</t>
    <phoneticPr fontId="12" type="noConversion"/>
  </si>
  <si>
    <t>烤飯糰2</t>
    <phoneticPr fontId="12" type="noConversion"/>
  </si>
  <si>
    <t>二配川燙醃嫩化淨零碳排牛肉片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</si>
  <si>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</si>
  <si>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</si>
  <si>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</si>
  <si>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</si>
  <si>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</si>
  <si>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</si>
  <si>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</si>
  <si>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</si>
  <si>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排名</t>
    <phoneticPr fontId="12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</si>
  <si>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</si>
  <si>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</si>
  <si>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</si>
  <si>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</si>
  <si>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</si>
  <si>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</si>
  <si>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</si>
  <si>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</si>
  <si>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</si>
  <si>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</si>
  <si>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</si>
  <si>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</si>
  <si>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</si>
  <si>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</si>
  <si>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</si>
  <si>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二配鮭魚蛋炒飯</t>
  </si>
  <si>
    <t>二配鐵板豆腐燴蛋蓋飯</t>
  </si>
  <si>
    <t>賣相要求</t>
  </si>
  <si>
    <t>媽媽煮藝-香滷牛肚絲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</si>
  <si>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</si>
  <si>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</si>
  <si>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壹號醬壽喜燒牛丼</t>
  </si>
  <si>
    <t>炒壽喜燒牛五花</t>
  </si>
  <si>
    <t>原物料的大小、長短差異導致取樣易有不穩定的狀況</t>
  </si>
  <si>
    <t>原物料的大小長短、油花分布不同導致相同賣相的需求下用量不一樣。</t>
  </si>
  <si>
    <t>韓式泡菜豬肉豆腐丼飯</t>
  </si>
  <si>
    <t>二配溏心蛋五目飯糰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</si>
  <si>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</si>
  <si>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</si>
  <si>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</si>
  <si>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</si>
  <si>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</si>
  <si>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</si>
  <si>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</si>
  <si>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</si>
  <si>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</si>
  <si>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</si>
  <si>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二配鹽水G絲飯糰</t>
  </si>
  <si>
    <t>炸醬炒泡麵</t>
  </si>
  <si>
    <t>鐵道滷排便當</t>
  </si>
  <si>
    <t>單價高</t>
  </si>
  <si>
    <t>柚檸海灣貝飯糰</t>
  </si>
  <si>
    <t>鹽蔥生鮭飯糰</t>
  </si>
  <si>
    <t>鮭鮪海饌雙手卷</t>
  </si>
  <si>
    <t>經典人氣雙手卷</t>
  </si>
  <si>
    <t>和風涓絲冷麵</t>
  </si>
  <si>
    <t>二配蔥爆牛肉燴飯</t>
  </si>
  <si>
    <t>二配炒蔥爆牛肉</t>
  </si>
  <si>
    <t>蔥蔥玉子拌麵</t>
  </si>
  <si>
    <t>山葵章魚飯糰</t>
  </si>
  <si>
    <t>拌芥末章魚</t>
  </si>
  <si>
    <t>滿滿高麗菜豆芽鐵板麵</t>
  </si>
  <si>
    <t>鐵板牛套餐包手卷</t>
  </si>
  <si>
    <t>18切烤千層麵</t>
  </si>
  <si>
    <t>炒大埔高麗菜</t>
  </si>
  <si>
    <t>韓式燒肉拌飯</t>
  </si>
  <si>
    <t>二配兩粒飯糰(鮪魚.焦糖鮭魚)</t>
  </si>
  <si>
    <t>鰹魚烏龍冷麵</t>
  </si>
  <si>
    <t>蕃茄起司手工千層麵(區)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</si>
  <si>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</si>
  <si>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切-究極燒肉片</t>
  </si>
  <si>
    <t>二配蒸果香甘口咖哩腿丁</t>
  </si>
  <si>
    <t>%</t>
  </si>
  <si>
    <t>元</t>
  </si>
  <si>
    <t>展開量高於需求量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</si>
  <si>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</si>
  <si>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</si>
  <si>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</si>
  <si>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月別</t>
    <phoneticPr fontId="12" type="noConversion"/>
  </si>
  <si>
    <t>排序</t>
    <phoneticPr fontId="12" type="noConversion"/>
  </si>
  <si>
    <t>半成品名稱</t>
    <phoneticPr fontId="12" type="noConversion"/>
  </si>
  <si>
    <t>報廢金額
(元)</t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</si>
  <si>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</si>
  <si>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</si>
  <si>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</si>
  <si>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</si>
  <si>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</si>
  <si>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</si>
  <si>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</si>
  <si>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</si>
  <si>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</si>
  <si>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</si>
  <si>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</si>
  <si>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</si>
  <si>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分析原因（件）</t>
    <phoneticPr fontId="12" type="noConversion"/>
  </si>
  <si>
    <r>
      <t>kg/</t>
    </r>
    <r>
      <rPr>
        <sz val="12"/>
        <color theme="1"/>
        <rFont val="Meiryo UI"/>
        <family val="2"/>
      </rPr>
      <t>個</t>
    </r>
    <phoneticPr fontId="12" type="noConversion"/>
  </si>
  <si>
    <t>總件數</t>
    <phoneticPr fontId="12" type="noConversion"/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</si>
  <si>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</si>
  <si>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排序</t>
    <phoneticPr fontId="12" type="noConversion"/>
  </si>
  <si>
    <t>半成品名稱</t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</si>
  <si>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</si>
  <si>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</si>
  <si>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</si>
  <si>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</si>
  <si>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</si>
  <si>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</si>
  <si>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</si>
  <si>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</si>
  <si>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</si>
  <si>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</si>
  <si>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</si>
  <si>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</si>
  <si>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</si>
  <si>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分析原因（件）</t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</si>
  <si>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</si>
  <si>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晉欣廠半成品管理日別總表</t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</si>
  <si>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月總超用合計</t>
    </r>
    <phoneticPr fontId="12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</si>
  <si>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3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</si>
  <si>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2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</si>
  <si>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</si>
  <si>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2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</si>
  <si>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</si>
  <si>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2" type="noConversion"/>
  </si>
  <si>
    <t>營業額合計</t>
    <phoneticPr fontId="12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</si>
  <si>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2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</si>
  <si>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2" type="noConversion"/>
  </si>
  <si>
    <r>
      <rPr>
        <sz val="14"/>
        <rFont val="微軟正黑體"/>
        <family val="2"/>
        <charset val="136"/>
      </rPr>
      <t>營業額合計</t>
    </r>
    <phoneticPr fontId="83" type="noConversion"/>
  </si>
  <si>
    <t>賣相設定</t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</si>
  <si>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</si>
  <si>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</si>
  <si>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</si>
  <si>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</si>
  <si>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</si>
  <si>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</si>
  <si>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</si>
  <si>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</si>
  <si>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煮愛恨芝麻醬</t>
  </si>
  <si>
    <t>煮皮蛋拌麵醬</t>
  </si>
  <si>
    <t>日式胡麻雞絲冷麵</t>
  </si>
  <si>
    <t>蒸手撕雞</t>
  </si>
  <si>
    <t>二配打拋風味豬肉飯</t>
  </si>
  <si>
    <t>二配炒打拋肉醬</t>
  </si>
  <si>
    <t>0519-0525</t>
    <phoneticPr fontId="12" type="noConversion"/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</si>
  <si>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</si>
  <si>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</si>
  <si>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</si>
  <si>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</si>
  <si>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</si>
  <si>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</si>
  <si>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</si>
  <si>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二配炒培根片</t>
  </si>
  <si>
    <t>二配鼎泰豐-煮麻婆豆腐(113年)</t>
  </si>
  <si>
    <t>煮慢燉滷肉</t>
  </si>
  <si>
    <t>明太子鮭魚丁-和NAGOMI</t>
  </si>
  <si>
    <t>粉絲煲湯凍</t>
  </si>
  <si>
    <t>半成品結凍強度影響擠醬機出料量</t>
  </si>
  <si>
    <t>生產前及生產中確認設定及實際出料狀況</t>
  </si>
  <si>
    <t>二配藤椒雞丁炒飯</t>
  </si>
  <si>
    <t>二配烤藤椒雞丁</t>
  </si>
  <si>
    <t>炒炸醬炒泡麵</t>
  </si>
  <si>
    <t>製程報廢</t>
    <phoneticPr fontId="12" type="noConversion"/>
  </si>
  <si>
    <t>炙燒韓式牛五花</t>
  </si>
  <si>
    <t>解凍海灣貝</t>
  </si>
  <si>
    <r>
      <t>半成品</t>
    </r>
    <r>
      <rPr>
        <sz val="12"/>
        <color theme="1"/>
        <rFont val="Microsoft JhengHei"/>
        <family val="2"/>
      </rPr>
      <t>有結塊的狀況</t>
    </r>
    <r>
      <rPr>
        <sz val="12"/>
        <color theme="1"/>
        <rFont val="Meiryo UI"/>
        <family val="2"/>
        <charset val="136"/>
      </rPr>
      <t>，</t>
    </r>
    <r>
      <rPr>
        <sz val="12"/>
        <color theme="1"/>
        <rFont val="Meiryo UI"/>
        <family val="2"/>
      </rPr>
      <t>影響人員放料手感</t>
    </r>
    <phoneticPr fontId="12" type="noConversion"/>
  </si>
  <si>
    <r>
      <t>菜梗、葉差異及</t>
    </r>
    <r>
      <rPr>
        <sz val="12"/>
        <color theme="1"/>
        <rFont val="Microsoft JhengHei"/>
        <family val="2"/>
      </rPr>
      <t>分布不</t>
    </r>
    <r>
      <rPr>
        <sz val="12"/>
        <color theme="1"/>
        <rFont val="Meiryo UI"/>
        <family val="2"/>
      </rPr>
      <t>均，影響人員放料手感</t>
    </r>
    <phoneticPr fontId="12" type="noConversion"/>
  </si>
  <si>
    <t>炒醬香豆瓣肉燥</t>
  </si>
  <si>
    <t>招牌雞絲胡麻涼麵</t>
  </si>
  <si>
    <t>112年拌鹽烤豬肉片</t>
  </si>
  <si>
    <t>二配鼎泰豐-麻婆豆腐燴汁(113年)</t>
  </si>
  <si>
    <t>二配泰式椰香綠咖哩醬</t>
  </si>
  <si>
    <t>川燙青花菜</t>
  </si>
  <si>
    <t>菜梗、葉差異及分布不均，影響人員放料手感</t>
  </si>
  <si>
    <t>二配油亮蒜味香腸片</t>
  </si>
  <si>
    <t>回饋研發，後續開發列入考量。</t>
    <phoneticPr fontId="12" type="noConversion"/>
  </si>
  <si>
    <t>115年拌椒鹽鯖魚</t>
  </si>
  <si>
    <r>
      <t>半成品</t>
    </r>
    <r>
      <rPr>
        <sz val="12"/>
        <color theme="1"/>
        <rFont val="Microsoft JhengHei"/>
        <family val="2"/>
      </rPr>
      <t>沾袋</t>
    </r>
    <phoneticPr fontId="12" type="noConversion"/>
  </si>
  <si>
    <t>設定器具刮除，減少沾袋狀況</t>
    <phoneticPr fontId="12" type="noConversion"/>
  </si>
  <si>
    <t>燻之味-糖燻雞腿</t>
  </si>
  <si>
    <t>▲</t>
    <phoneticPr fontId="12" type="noConversion"/>
  </si>
  <si>
    <t>▼</t>
    <phoneticPr fontId="12" type="noConversion"/>
  </si>
  <si>
    <t>－</t>
    <phoneticPr fontId="12" type="noConversion"/>
  </si>
  <si>
    <t>對比上週差異小</t>
    <phoneticPr fontId="12" type="noConversion"/>
  </si>
  <si>
    <r>
      <rPr>
        <sz val="11"/>
        <color theme="1"/>
        <rFont val="細明體"/>
        <family val="3"/>
        <charset val="136"/>
      </rPr>
      <t>烤飯糰都為同性質商品，直接入機台包裝，產能及人時生產性差異小，</t>
    </r>
    <r>
      <rPr>
        <sz val="11"/>
        <color theme="1"/>
        <rFont val="Meiryo UI"/>
        <family val="2"/>
      </rPr>
      <t>對比上週差異小</t>
    </r>
    <phoneticPr fontId="12" type="noConversion"/>
  </si>
  <si>
    <t>半成品數相同，產能及人時生產性接近，對比上週差異小。</t>
    <phoneticPr fontId="12" type="noConversion"/>
  </si>
  <si>
    <t>W2</t>
    <phoneticPr fontId="12" type="noConversion"/>
  </si>
  <si>
    <t>類型</t>
    <phoneticPr fontId="12" type="noConversion"/>
  </si>
  <si>
    <t>排名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</si>
  <si>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</si>
  <si>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</si>
  <si>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</si>
  <si>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</si>
  <si>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前月比</t>
    <phoneticPr fontId="12" type="noConversion"/>
  </si>
  <si>
    <t>主要原因&amp;對策</t>
    <phoneticPr fontId="9"/>
  </si>
  <si>
    <t>展開量高於需求量</t>
    <phoneticPr fontId="12" type="noConversion"/>
  </si>
  <si>
    <t>前幾名合計比例</t>
    <phoneticPr fontId="9"/>
  </si>
  <si>
    <t>前幾名合計金額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</si>
  <si>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</si>
  <si>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炒辣椒圓片</t>
  </si>
  <si>
    <t>確認備料量</t>
    <phoneticPr fontId="12" type="noConversion"/>
  </si>
  <si>
    <t>製程不穩</t>
    <phoneticPr fontId="12" type="noConversion"/>
  </si>
  <si>
    <t>確認備料量是否正確，調整出料率</t>
    <phoneticPr fontId="12" type="noConversion"/>
  </si>
  <si>
    <t>韓式辣醬</t>
  </si>
  <si>
    <t>炒泡麵炒蛋</t>
  </si>
  <si>
    <t>業績金額</t>
    <phoneticPr fontId="12" type="noConversion"/>
  </si>
  <si>
    <r>
      <t>6/</t>
    </r>
    <r>
      <rPr>
        <sz val="10"/>
        <color rgb="FF000000"/>
        <rFont val="微軟正黑體"/>
        <family val="2"/>
        <charset val="136"/>
      </rPr>
      <t>9</t>
    </r>
    <r>
      <rPr>
        <sz val="10"/>
        <color rgb="FF000000"/>
        <rFont val="Meiryo UI"/>
        <family val="2"/>
      </rPr>
      <t>-6/</t>
    </r>
    <r>
      <rPr>
        <sz val="10"/>
        <color rgb="FF000000"/>
        <rFont val="微軟正黑體"/>
        <family val="2"/>
        <charset val="136"/>
      </rPr>
      <t>15</t>
    </r>
    <phoneticPr fontId="12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</si>
  <si>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2" type="noConversion"/>
  </si>
  <si>
    <t>項目</t>
    <phoneticPr fontId="12" type="noConversion"/>
  </si>
  <si>
    <t>展開量高於需求量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</si>
  <si>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</si>
  <si>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</si>
  <si>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</si>
  <si>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原物料規格</t>
    <phoneticPr fontId="9"/>
  </si>
  <si>
    <t>研發設定</t>
    <phoneticPr fontId="9"/>
  </si>
  <si>
    <t>其他原因</t>
    <phoneticPr fontId="9"/>
  </si>
  <si>
    <t>比例</t>
    <phoneticPr fontId="9"/>
  </si>
  <si>
    <t>報廢</t>
    <phoneticPr fontId="9"/>
  </si>
  <si>
    <t>超用</t>
    <phoneticPr fontId="9"/>
  </si>
  <si>
    <t>小黃瓜絲</t>
  </si>
  <si>
    <t>增加放料抽秤頻率</t>
    <phoneticPr fontId="12" type="noConversion"/>
  </si>
  <si>
    <t>炒蒜香高麗菜</t>
  </si>
  <si>
    <t>二配炒綠咖哩腿肉片</t>
  </si>
  <si>
    <t>二配川燙青花菜</t>
  </si>
  <si>
    <t>其他原因</t>
    <phoneticPr fontId="12" type="noConversion"/>
  </si>
  <si>
    <t>製程報廢</t>
    <phoneticPr fontId="12" type="noConversion"/>
  </si>
  <si>
    <t>香辣醬雞肉炒飯飯糰</t>
  </si>
  <si>
    <t>炒鼎泰豐香辣醬</t>
  </si>
  <si>
    <t>二配蒸鼎泰豐香辣醬</t>
  </si>
  <si>
    <t>超用率</t>
    <phoneticPr fontId="9"/>
  </si>
  <si>
    <t>二配壹號醬炙烤牛飯糰</t>
  </si>
  <si>
    <t>二配炙燒韓式牛五花</t>
  </si>
  <si>
    <t>備料異常</t>
    <phoneticPr fontId="12" type="noConversion"/>
  </si>
  <si>
    <t>二配蒸蛤蜊-肉</t>
  </si>
  <si>
    <t>韓式黑嚕嚕炸醬麵</t>
  </si>
  <si>
    <t>煮黑嚕嚕炸醬</t>
  </si>
  <si>
    <t>烤墨西哥雞丁</t>
  </si>
  <si>
    <t>賣相設定</t>
    <phoneticPr fontId="12" type="noConversion"/>
  </si>
  <si>
    <t>單價高</t>
    <phoneticPr fontId="12" type="noConversion"/>
  </si>
  <si>
    <t>二配北海道秋鮭親子飯糰</t>
  </si>
  <si>
    <t>二配解凍-醬油漬鮭魚卵</t>
  </si>
  <si>
    <t>單位用量少，因單價高導致些微差異就會產生較大的差異金額</t>
  </si>
  <si>
    <t>回饋研發，後續開發列入考量。</t>
  </si>
  <si>
    <t>半成品有結塊的狀況，影響人員放料手感</t>
  </si>
  <si>
    <t>切-炙燒台式牛五花</t>
  </si>
  <si>
    <t>連續式生產放料量易有差異</t>
  </si>
  <si>
    <t>調整放樣方式，與生產的方向相同</t>
  </si>
  <si>
    <t>二配香料優格咖哩(115年)</t>
  </si>
  <si>
    <t>二配歐姆蛋(111年版)</t>
  </si>
  <si>
    <t>調理多產</t>
  </si>
  <si>
    <t>備料異常</t>
  </si>
  <si>
    <t>回饋調理課級，連續確認備料量</t>
  </si>
  <si>
    <t>月總報廢率</t>
    <phoneticPr fontId="12" type="noConversion"/>
  </si>
  <si>
    <t>月總報廢合計</t>
    <phoneticPr fontId="12" type="noConversion"/>
  </si>
  <si>
    <t>月總超用率</t>
    <phoneticPr fontId="12" type="noConversion"/>
  </si>
  <si>
    <t>川味花椒口水雞涼麵</t>
  </si>
  <si>
    <t>飯糰排名前段品項，皆是使用GKK生產的單餡飯糰，產能及人時生產性相近，主要差異在半成品放料難易度與人員順手度，對比上週差異小。</t>
    <phoneticPr fontId="12" type="noConversion"/>
  </si>
  <si>
    <t>兩支品項都是使用3300飯糰機生產的雙餡飯糰，產能及人時生產性對比其他機台生產飯糰品項較低，對比上週差異小。</t>
    <phoneticPr fontId="12" type="noConversion"/>
  </si>
  <si>
    <t>兩支大口品項，半成品數相同，性質相近，對比上週差異小。</t>
    <phoneticPr fontId="12" type="noConversion"/>
  </si>
  <si>
    <t>兩支品項為只有單一半成品，使用八爪機包裝，產能及人時生產性接近。</t>
    <phoneticPr fontId="12" type="noConversion"/>
  </si>
  <si>
    <t>執行技能教育訓練，使用人數度對比上週少一人，人時生產性對比上週提升</t>
    <phoneticPr fontId="12" type="noConversion"/>
  </si>
  <si>
    <t>6/9重新開檔商品，人員熟悉度高，使用人數少，人時生產性較高</t>
    <phoneticPr fontId="12" type="noConversion"/>
  </si>
  <si>
    <t>6/9更換組別生產，人員熟悉度不足，產能較低。</t>
    <phoneticPr fontId="12" type="noConversion"/>
  </si>
  <si>
    <t>日式胡麻雞絲冷麵</t>
    <phoneticPr fontId="12" type="noConversion"/>
  </si>
  <si>
    <t>訂單量對比上週下降</t>
    <phoneticPr fontId="12" type="noConversion"/>
  </si>
  <si>
    <t>皆為單一半成品，且皆為八爪機包裝，產能平均，產能及人時生產性差異小。</t>
    <phoneticPr fontId="12" type="noConversion"/>
  </si>
  <si>
    <t>6/9上市手工飯糰，與麻油雞飯糰相同需手工包裝，產能及人時生產性低。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</si>
</sst>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8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10"/>
      <color rgb="FFFF0000"/>
      <name val="Meiryo UI"/>
      <family val="2"/>
      <charset val="128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微軟正黑體"/>
      <family val="2"/>
      <charset val="136"/>
    </font>
    <font>
      <b/>
      <sz val="16"/>
      <color rgb="FF000000"/>
      <name val="Noto Sans CJK SC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color theme="1"/>
      <name val="Arial"/>
      <family val="2"/>
      <charset val="136"/>
      <scheme val="minor"/>
    </font>
    <font>
      <sz val="14"/>
      <name val="Noto Sans CJK SC"/>
    </font>
    <font>
      <sz val="11"/>
      <color theme="1"/>
      <name val="Microsoft JhengHei"/>
      <family val="3"/>
    </font>
    <font>
      <sz val="12"/>
      <color theme="1"/>
      <name val="Microsoft JhengHei"/>
      <family val="2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2"/>
      <color theme="1"/>
      <name val="Meiryo UI"/>
      <family val="2"/>
      <charset val="136"/>
    </font>
    <font>
      <sz val="11"/>
      <color theme="1"/>
      <name val="Microsoft JhengHei"/>
      <family val="2"/>
    </font>
    <font>
      <sz val="10"/>
      <color rgb="FF000000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0"/>
      <color rgb="FF000000"/>
      <name val="Arial"/>
      <family val="2"/>
      <charset val="136"/>
      <scheme val="minor"/>
    </font>
    <font>
      <sz val="6"/>
      <color theme="1"/>
      <name val="細明體"/>
      <family val="3"/>
      <charset val="136"/>
    </font>
    <font>
      <sz val="8"/>
      <color theme="1"/>
      <name val="細明體"/>
      <family val="3"/>
      <charset val="136"/>
    </font>
    <font>
      <sz val="10"/>
      <color theme="1"/>
      <name val="Microsoft JhengHei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80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5" fillId="0" borderId="0"/>
    <xf numFmtId="9" fontId="85" fillId="0" borderId="0" applyFont="0" applyFill="0" applyBorder="0" applyAlignment="0" applyProtection="0"/>
    <xf numFmtId="0" fontId="86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96" fontId="87" fillId="0" borderId="0"/>
    <xf numFmtId="0" fontId="8" fillId="0" borderId="0"/>
    <xf numFmtId="0" fontId="85" fillId="0" borderId="0">
      <alignment vertical="center"/>
    </xf>
    <xf numFmtId="0" fontId="88" fillId="0" borderId="0"/>
    <xf numFmtId="42" fontId="86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>
      <alignment vertical="top"/>
    </xf>
    <xf numFmtId="0" fontId="8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91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" fillId="0" borderId="0">
      <alignment vertical="center"/>
    </xf>
    <xf numFmtId="0" fontId="85" fillId="0" borderId="0"/>
    <xf numFmtId="0" fontId="85" fillId="0" borderId="0"/>
    <xf numFmtId="0" fontId="91" fillId="0" borderId="0"/>
    <xf numFmtId="0" fontId="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/>
    <xf numFmtId="0" fontId="85" fillId="0" borderId="0"/>
    <xf numFmtId="0" fontId="2" fillId="0" borderId="0">
      <alignment vertical="center"/>
    </xf>
    <xf numFmtId="0" fontId="88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8" fillId="0" borderId="0" applyFon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44" fontId="91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33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 applyAlignment="1"/>
    <xf numFmtId="0" fontId="13" fillId="0" borderId="0" xfId="0" applyFont="1" applyAlignment="1"/>
    <xf numFmtId="0" fontId="17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7" borderId="0" xfId="0" applyNumberFormat="1" applyFont="1" applyFill="1" applyAlignment="1">
      <alignment horizontal="center" vertical="center"/>
    </xf>
    <xf numFmtId="180" fontId="25" fillId="0" borderId="0" xfId="0" applyNumberFormat="1" applyFont="1" applyFill="1" applyAlignment="1"/>
    <xf numFmtId="180" fontId="13" fillId="0" borderId="0" xfId="0" applyNumberFormat="1" applyFont="1" applyAlignment="1"/>
    <xf numFmtId="176" fontId="16" fillId="0" borderId="0" xfId="0" applyNumberFormat="1" applyFont="1" applyFill="1" applyAlignment="1">
      <alignment horizontal="center" vertical="center"/>
    </xf>
    <xf numFmtId="180" fontId="16" fillId="0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28" fillId="0" borderId="0" xfId="0" applyFont="1" applyFill="1" applyAlignment="1"/>
    <xf numFmtId="177" fontId="25" fillId="0" borderId="0" xfId="0" applyNumberFormat="1" applyFont="1" applyFill="1" applyAlignment="1">
      <alignment horizontal="center"/>
    </xf>
    <xf numFmtId="177" fontId="16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6" fillId="0" borderId="3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10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5" fillId="4" borderId="22" xfId="0" applyFont="1" applyFill="1" applyBorder="1" applyAlignment="1">
      <alignment horizontal="center" shrinkToFit="1"/>
    </xf>
    <xf numFmtId="0" fontId="27" fillId="4" borderId="22" xfId="0" applyFont="1" applyFill="1" applyBorder="1" applyAlignment="1">
      <alignment horizont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7" fillId="5" borderId="22" xfId="0" applyFont="1" applyFill="1" applyBorder="1" applyAlignment="1">
      <alignment horizontal="center" vertical="center" shrinkToFit="1"/>
    </xf>
    <xf numFmtId="0" fontId="27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5" fillId="5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5" fillId="0" borderId="6" xfId="11" applyNumberFormat="1" applyFont="1" applyFill="1" applyBorder="1" applyAlignment="1">
      <alignment shrinkToFit="1"/>
    </xf>
    <xf numFmtId="10" fontId="35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5" fillId="0" borderId="1" xfId="11" applyNumberFormat="1" applyFont="1" applyFill="1" applyBorder="1" applyAlignment="1">
      <alignment shrinkToFit="1"/>
    </xf>
    <xf numFmtId="0" fontId="34" fillId="0" borderId="34" xfId="0" applyFont="1" applyBorder="1" applyAlignment="1">
      <alignment horizontal="left" vertical="center"/>
    </xf>
    <xf numFmtId="0" fontId="34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 vertical="center"/>
    </xf>
    <xf numFmtId="0" fontId="34" fillId="0" borderId="34" xfId="0" applyFont="1" applyFill="1" applyBorder="1" applyAlignment="1">
      <alignment horizontal="left" vertical="center"/>
    </xf>
    <xf numFmtId="0" fontId="34" fillId="0" borderId="26" xfId="0" applyFont="1" applyFill="1" applyBorder="1" applyAlignment="1">
      <alignment horizontal="left" vertical="center"/>
    </xf>
    <xf numFmtId="0" fontId="34" fillId="0" borderId="36" xfId="0" applyFont="1" applyFill="1" applyBorder="1" applyAlignment="1">
      <alignment horizontal="left" vertical="center"/>
    </xf>
    <xf numFmtId="0" fontId="34" fillId="0" borderId="32" xfId="0" applyFont="1" applyFill="1" applyBorder="1" applyAlignment="1">
      <alignment horizontal="left" vertical="center"/>
    </xf>
    <xf numFmtId="0" fontId="34" fillId="0" borderId="37" xfId="0" applyFont="1" applyFill="1" applyBorder="1" applyAlignment="1">
      <alignment horizontal="left" vertical="center"/>
    </xf>
    <xf numFmtId="0" fontId="6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5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8" fillId="5" borderId="23" xfId="11" applyFont="1" applyFill="1" applyBorder="1" applyAlignment="1">
      <alignment horizontal="center" vertical="center"/>
    </xf>
    <xf numFmtId="3" fontId="27" fillId="5" borderId="22" xfId="0" applyNumberFormat="1" applyFont="1" applyFill="1" applyBorder="1" applyAlignment="1">
      <alignment shrinkToFit="1"/>
    </xf>
    <xf numFmtId="10" fontId="27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2" fillId="0" borderId="22" xfId="0" applyNumberFormat="1" applyFont="1" applyFill="1" applyBorder="1" applyAlignment="1"/>
    <xf numFmtId="186" fontId="25" fillId="0" borderId="0" xfId="0" applyNumberFormat="1" applyFont="1" applyFill="1" applyAlignment="1"/>
    <xf numFmtId="180" fontId="25" fillId="9" borderId="0" xfId="0" applyNumberFormat="1" applyFont="1" applyFill="1" applyAlignment="1"/>
    <xf numFmtId="187" fontId="25" fillId="9" borderId="0" xfId="0" applyNumberFormat="1" applyFont="1" applyFill="1" applyAlignment="1"/>
    <xf numFmtId="177" fontId="25" fillId="9" borderId="0" xfId="0" applyNumberFormat="1" applyFont="1" applyFill="1" applyAlignment="1"/>
    <xf numFmtId="186" fontId="25" fillId="9" borderId="0" xfId="0" applyNumberFormat="1" applyFont="1" applyFill="1" applyAlignment="1"/>
    <xf numFmtId="185" fontId="25" fillId="9" borderId="0" xfId="0" applyNumberFormat="1" applyFont="1" applyFill="1" applyAlignment="1"/>
    <xf numFmtId="186" fontId="72" fillId="9" borderId="22" xfId="0" applyNumberFormat="1" applyFont="1" applyFill="1" applyBorder="1" applyAlignment="1"/>
    <xf numFmtId="177" fontId="25" fillId="9" borderId="22" xfId="0" applyNumberFormat="1" applyFont="1" applyFill="1" applyBorder="1" applyAlignment="1"/>
    <xf numFmtId="188" fontId="27" fillId="0" borderId="22" xfId="14" applyNumberFormat="1" applyFont="1" applyFill="1" applyBorder="1" applyAlignment="1">
      <alignment shrinkToFit="1"/>
    </xf>
    <xf numFmtId="189" fontId="27" fillId="5" borderId="22" xfId="0" applyNumberFormat="1" applyFont="1" applyFill="1" applyBorder="1" applyAlignment="1">
      <alignment shrinkToFit="1"/>
    </xf>
    <xf numFmtId="3" fontId="27" fillId="5" borderId="22" xfId="0" applyNumberFormat="1" applyFont="1" applyFill="1" applyBorder="1" applyAlignment="1">
      <alignment horizontal="right" shrinkToFit="1"/>
    </xf>
    <xf numFmtId="188" fontId="27" fillId="5" borderId="22" xfId="14" applyNumberFormat="1" applyFont="1" applyFill="1" applyBorder="1" applyAlignment="1">
      <alignment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190" fontId="27" fillId="5" borderId="22" xfId="14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0" fontId="27" fillId="3" borderId="22" xfId="0" applyNumberFormat="1" applyFont="1" applyFill="1" applyBorder="1" applyAlignment="1">
      <alignment horizontal="center" shrinkToFit="1"/>
    </xf>
    <xf numFmtId="0" fontId="10" fillId="2" borderId="22" xfId="0" applyFont="1" applyFill="1" applyBorder="1" applyAlignment="1">
      <alignment horizontal="center" shrinkToFit="1"/>
    </xf>
    <xf numFmtId="189" fontId="25" fillId="9" borderId="0" xfId="0" applyNumberFormat="1" applyFont="1" applyFill="1" applyAlignment="1"/>
    <xf numFmtId="189" fontId="27" fillId="0" borderId="22" xfId="0" applyNumberFormat="1" applyFont="1" applyFill="1" applyBorder="1" applyAlignment="1">
      <alignment shrinkToFit="1"/>
    </xf>
    <xf numFmtId="185" fontId="27" fillId="5" borderId="22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3" fontId="25" fillId="0" borderId="0" xfId="0" applyNumberFormat="1" applyFont="1" applyAlignment="1">
      <alignment shrinkToFit="1"/>
    </xf>
    <xf numFmtId="9" fontId="27" fillId="5" borderId="22" xfId="0" applyNumberFormat="1" applyFont="1" applyFill="1" applyBorder="1" applyAlignment="1">
      <alignment shrinkToFit="1"/>
    </xf>
    <xf numFmtId="9" fontId="27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7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5" fillId="7" borderId="6" xfId="11" applyNumberFormat="1" applyFont="1" applyFill="1" applyBorder="1" applyAlignment="1">
      <alignment shrinkToFit="1"/>
    </xf>
    <xf numFmtId="3" fontId="27" fillId="7" borderId="22" xfId="11" applyNumberFormat="1" applyFont="1" applyFill="1" applyBorder="1" applyAlignment="1">
      <alignment shrinkToFit="1"/>
    </xf>
    <xf numFmtId="10" fontId="27" fillId="0" borderId="43" xfId="11" applyNumberFormat="1" applyFont="1" applyFill="1" applyBorder="1" applyAlignment="1">
      <alignment shrinkToFit="1"/>
    </xf>
    <xf numFmtId="10" fontId="27" fillId="0" borderId="46" xfId="11" applyNumberFormat="1" applyFont="1" applyFill="1" applyBorder="1" applyAlignment="1">
      <alignment shrinkToFit="1"/>
    </xf>
    <xf numFmtId="10" fontId="27" fillId="0" borderId="47" xfId="11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5" fillId="10" borderId="22" xfId="0" applyNumberFormat="1" applyFont="1" applyFill="1" applyBorder="1" applyAlignment="1"/>
    <xf numFmtId="177" fontId="73" fillId="10" borderId="0" xfId="0" applyNumberFormat="1" applyFont="1" applyFill="1" applyAlignment="1"/>
    <xf numFmtId="177" fontId="73" fillId="0" borderId="0" xfId="0" applyNumberFormat="1" applyFont="1" applyFill="1" applyAlignment="1"/>
    <xf numFmtId="10" fontId="78" fillId="10" borderId="22" xfId="0" applyNumberFormat="1" applyFont="1" applyFill="1" applyBorder="1" applyAlignment="1"/>
    <xf numFmtId="177" fontId="78" fillId="0" borderId="0" xfId="0" applyNumberFormat="1" applyFont="1" applyFill="1" applyAlignment="1"/>
    <xf numFmtId="10" fontId="78" fillId="0" borderId="0" xfId="0" applyNumberFormat="1" applyFont="1" applyFill="1" applyAlignment="1"/>
    <xf numFmtId="3" fontId="78" fillId="0" borderId="0" xfId="0" applyNumberFormat="1" applyFont="1" applyFill="1" applyAlignment="1"/>
    <xf numFmtId="186" fontId="72" fillId="10" borderId="22" xfId="0" applyNumberFormat="1" applyFont="1" applyFill="1" applyBorder="1" applyAlignment="1"/>
    <xf numFmtId="3" fontId="27" fillId="11" borderId="22" xfId="0" applyNumberFormat="1" applyFont="1" applyFill="1" applyBorder="1" applyAlignment="1">
      <alignment shrinkToFit="1"/>
    </xf>
    <xf numFmtId="10" fontId="27" fillId="11" borderId="22" xfId="0" applyNumberFormat="1" applyFont="1" applyFill="1" applyBorder="1" applyAlignment="1">
      <alignment shrinkToFit="1"/>
    </xf>
    <xf numFmtId="183" fontId="27" fillId="0" borderId="22" xfId="0" applyNumberFormat="1" applyFont="1" applyFill="1" applyBorder="1" applyAlignment="1">
      <alignment shrinkToFit="1"/>
    </xf>
    <xf numFmtId="3" fontId="27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4" fontId="27" fillId="11" borderId="22" xfId="0" applyNumberFormat="1" applyFont="1" applyFill="1" applyBorder="1" applyAlignment="1">
      <alignment horizontal="right" shrinkToFit="1"/>
    </xf>
    <xf numFmtId="189" fontId="27" fillId="11" borderId="22" xfId="0" applyNumberFormat="1" applyFont="1" applyFill="1" applyBorder="1" applyAlignment="1">
      <alignment shrinkToFit="1"/>
    </xf>
    <xf numFmtId="185" fontId="27" fillId="11" borderId="22" xfId="0" applyNumberFormat="1" applyFont="1" applyFill="1" applyBorder="1" applyAlignment="1">
      <alignment shrinkToFit="1"/>
    </xf>
    <xf numFmtId="183" fontId="6" fillId="0" borderId="0" xfId="0" applyNumberFormat="1" applyFont="1" applyBorder="1" applyAlignment="1">
      <alignment horizontal="right" vertical="center" shrinkToFit="1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5" fillId="0" borderId="0" xfId="0" applyNumberFormat="1" applyFont="1" applyFill="1" applyAlignment="1">
      <alignment shrinkToFit="1"/>
    </xf>
    <xf numFmtId="187" fontId="25" fillId="0" borderId="0" xfId="0" applyNumberFormat="1" applyFont="1" applyFill="1" applyAlignment="1"/>
    <xf numFmtId="189" fontId="25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5" fillId="0" borderId="0" xfId="0" applyNumberFormat="1" applyFont="1" applyFill="1" applyAlignment="1">
      <alignment horizontal="right"/>
    </xf>
    <xf numFmtId="183" fontId="27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12" borderId="37" xfId="0" applyFont="1" applyFill="1" applyBorder="1" applyAlignment="1">
      <alignment horizontal="left" vertical="center"/>
    </xf>
    <xf numFmtId="0" fontId="34" fillId="12" borderId="32" xfId="0" applyFont="1" applyFill="1" applyBorder="1" applyAlignment="1">
      <alignment horizontal="left" vertical="center"/>
    </xf>
    <xf numFmtId="0" fontId="34" fillId="12" borderId="26" xfId="0" applyFont="1" applyFill="1" applyBorder="1" applyAlignment="1">
      <alignment horizontal="left" vertical="center"/>
    </xf>
    <xf numFmtId="0" fontId="34" fillId="12" borderId="36" xfId="0" applyFont="1" applyFill="1" applyBorder="1" applyAlignment="1">
      <alignment horizontal="left" vertical="center"/>
    </xf>
    <xf numFmtId="1" fontId="32" fillId="0" borderId="22" xfId="0" applyNumberFormat="1" applyFont="1" applyFill="1" applyBorder="1" applyAlignment="1">
      <alignment horizontal="center" vertical="center"/>
    </xf>
    <xf numFmtId="0" fontId="32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5" fillId="0" borderId="0" xfId="0" applyNumberFormat="1" applyFont="1" applyFill="1" applyBorder="1" applyAlignment="1"/>
    <xf numFmtId="10" fontId="25" fillId="0" borderId="0" xfId="0" applyNumberFormat="1" applyFont="1" applyFill="1" applyAlignment="1">
      <alignment vertical="center"/>
    </xf>
    <xf numFmtId="187" fontId="25" fillId="0" borderId="0" xfId="0" applyNumberFormat="1" applyFont="1" applyFill="1" applyAlignment="1">
      <alignment vertical="center"/>
    </xf>
    <xf numFmtId="177" fontId="25" fillId="0" borderId="0" xfId="0" applyNumberFormat="1" applyFont="1" applyFill="1" applyAlignment="1">
      <alignment vertical="center"/>
    </xf>
    <xf numFmtId="0" fontId="27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3" fillId="0" borderId="0" xfId="11" applyFont="1" applyAlignment="1">
      <alignment horizontal="center" vertical="center" shrinkToFit="1"/>
    </xf>
    <xf numFmtId="0" fontId="23" fillId="0" borderId="0" xfId="11" applyFont="1" applyAlignment="1">
      <alignment shrinkToFit="1"/>
    </xf>
    <xf numFmtId="0" fontId="23" fillId="0" borderId="0" xfId="11" applyFont="1" applyAlignment="1">
      <alignment wrapText="1" shrinkToFit="1"/>
    </xf>
    <xf numFmtId="0" fontId="23" fillId="0" borderId="0" xfId="11" applyFont="1" applyAlignment="1">
      <alignment vertical="center" shrinkToFit="1"/>
    </xf>
    <xf numFmtId="0" fontId="28" fillId="0" borderId="0" xfId="11" applyFont="1"/>
    <xf numFmtId="0" fontId="28" fillId="0" borderId="0" xfId="11" applyFont="1" applyAlignment="1">
      <alignment vertical="center"/>
    </xf>
    <xf numFmtId="0" fontId="28" fillId="0" borderId="22" xfId="11" applyFont="1" applyBorder="1" applyAlignment="1">
      <alignment horizontal="center" vertical="center"/>
    </xf>
    <xf numFmtId="192" fontId="35" fillId="8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28" fillId="0" borderId="41" xfId="11" applyFont="1" applyBorder="1" applyAlignment="1">
      <alignment horizontal="center" vertical="center"/>
    </xf>
    <xf numFmtId="0" fontId="28" fillId="0" borderId="0" xfId="11" applyFont="1" applyAlignment="1">
      <alignment horizontal="left" vertical="center"/>
    </xf>
    <xf numFmtId="0" fontId="3" fillId="0" borderId="0" xfId="15">
      <alignment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5" fillId="0" borderId="37" xfId="0" applyFont="1" applyFill="1" applyBorder="1" applyAlignment="1">
      <alignment vertical="center"/>
    </xf>
    <xf numFmtId="177" fontId="25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7" fillId="0" borderId="22" xfId="0" applyNumberFormat="1" applyFont="1" applyBorder="1" applyAlignment="1">
      <alignment shrinkToFit="1"/>
    </xf>
    <xf numFmtId="0" fontId="32" fillId="0" borderId="27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2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27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9" fillId="0" borderId="22" xfId="0" applyFont="1" applyBorder="1" applyAlignment="1">
      <alignment horizontal="center" vertical="center" shrinkToFit="1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8" fillId="0" borderId="0" xfId="11" applyFont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3" borderId="52" xfId="11" applyNumberFormat="1" applyFont="1" applyFill="1" applyBorder="1" applyAlignment="1">
      <alignment shrinkToFit="1"/>
    </xf>
    <xf numFmtId="0" fontId="25" fillId="0" borderId="53" xfId="11" applyFont="1" applyBorder="1" applyAlignment="1">
      <alignment shrinkToFit="1"/>
    </xf>
    <xf numFmtId="0" fontId="27" fillId="0" borderId="42" xfId="11" applyFont="1" applyFill="1" applyBorder="1" applyAlignment="1">
      <alignment horizontal="center" vertical="center" shrinkToFit="1"/>
    </xf>
    <xf numFmtId="0" fontId="27" fillId="0" borderId="25" xfId="11" applyFont="1" applyFill="1" applyBorder="1" applyAlignment="1">
      <alignment horizontal="center" vertical="center" shrinkToFit="1"/>
    </xf>
    <xf numFmtId="0" fontId="27" fillId="0" borderId="27" xfId="11" applyFont="1" applyFill="1" applyBorder="1" applyAlignment="1">
      <alignment horizontal="center" vertical="center" shrinkToFit="1"/>
    </xf>
    <xf numFmtId="10" fontId="35" fillId="0" borderId="60" xfId="11" applyNumberFormat="1" applyFont="1" applyFill="1" applyBorder="1" applyAlignment="1">
      <alignment shrinkToFit="1"/>
    </xf>
    <xf numFmtId="0" fontId="44" fillId="0" borderId="61" xfId="11" applyFont="1" applyFill="1" applyBorder="1" applyAlignment="1">
      <alignment horizontal="center" shrinkToFit="1"/>
    </xf>
    <xf numFmtId="3" fontId="27" fillId="7" borderId="42" xfId="11" applyNumberFormat="1" applyFont="1" applyFill="1" applyBorder="1" applyAlignment="1">
      <alignment shrinkToFit="1"/>
    </xf>
    <xf numFmtId="3" fontId="27" fillId="7" borderId="25" xfId="11" applyNumberFormat="1" applyFont="1" applyFill="1" applyBorder="1" applyAlignment="1">
      <alignment shrinkToFit="1"/>
    </xf>
    <xf numFmtId="10" fontId="27" fillId="0" borderId="27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5" fillId="7" borderId="45" xfId="11" applyNumberFormat="1" applyFont="1" applyFill="1" applyBorder="1" applyAlignment="1">
      <alignment shrinkToFit="1"/>
    </xf>
    <xf numFmtId="10" fontId="35" fillId="0" borderId="63" xfId="11" applyNumberFormat="1" applyFont="1" applyFill="1" applyBorder="1" applyAlignment="1">
      <alignment shrinkToFit="1"/>
    </xf>
    <xf numFmtId="0" fontId="44" fillId="0" borderId="64" xfId="11" applyFont="1" applyFill="1" applyBorder="1" applyAlignment="1">
      <alignment horizontal="center" shrinkToFit="1"/>
    </xf>
    <xf numFmtId="3" fontId="27" fillId="7" borderId="65" xfId="11" applyNumberFormat="1" applyFont="1" applyFill="1" applyBorder="1" applyAlignment="1">
      <alignment shrinkToFit="1"/>
    </xf>
    <xf numFmtId="10" fontId="27" fillId="0" borderId="66" xfId="11" applyNumberFormat="1" applyFont="1" applyFill="1" applyBorder="1" applyAlignment="1">
      <alignment shrinkToFit="1"/>
    </xf>
    <xf numFmtId="1" fontId="6" fillId="3" borderId="1" xfId="0" applyNumberFormat="1" applyFont="1" applyFill="1" applyBorder="1" applyAlignment="1">
      <alignment shrinkToFit="1"/>
    </xf>
    <xf numFmtId="1" fontId="27" fillId="3" borderId="18" xfId="0" applyNumberFormat="1" applyFont="1" applyFill="1" applyBorder="1" applyAlignment="1">
      <alignment shrinkToFit="1"/>
    </xf>
    <xf numFmtId="0" fontId="82" fillId="5" borderId="22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28" fillId="8" borderId="22" xfId="11" applyFont="1" applyFill="1" applyBorder="1" applyAlignment="1">
      <alignment horizontal="left" vertical="center"/>
    </xf>
    <xf numFmtId="197" fontId="35" fillId="4" borderId="22" xfId="11" applyNumberFormat="1" applyFont="1" applyFill="1" applyBorder="1" applyAlignment="1">
      <alignment horizontal="center" vertical="center"/>
    </xf>
    <xf numFmtId="198" fontId="35" fillId="8" borderId="22" xfId="11" applyNumberFormat="1" applyFont="1" applyFill="1" applyBorder="1" applyAlignment="1">
      <alignment horizontal="center" vertical="center"/>
    </xf>
    <xf numFmtId="198" fontId="35" fillId="8" borderId="22" xfId="13" applyNumberFormat="1" applyFont="1" applyFill="1" applyBorder="1" applyAlignment="1">
      <alignment horizontal="center" vertical="center"/>
    </xf>
    <xf numFmtId="185" fontId="35" fillId="0" borderId="22" xfId="13" applyNumberFormat="1" applyFont="1" applyFill="1" applyBorder="1" applyAlignment="1">
      <alignment horizontal="center" vertical="center"/>
    </xf>
    <xf numFmtId="198" fontId="35" fillId="0" borderId="22" xfId="11" applyNumberFormat="1" applyFont="1" applyFill="1" applyBorder="1" applyAlignment="1">
      <alignment horizontal="center" vertical="center"/>
    </xf>
    <xf numFmtId="197" fontId="35" fillId="0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left" vertical="center"/>
    </xf>
    <xf numFmtId="0" fontId="0" fillId="0" borderId="0" xfId="0"/>
    <xf numFmtId="1" fontId="28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8" fillId="0" borderId="22" xfId="11" applyNumberFormat="1" applyFont="1" applyBorder="1" applyAlignment="1">
      <alignment horizontal="center" vertical="center"/>
    </xf>
    <xf numFmtId="1" fontId="66" fillId="0" borderId="68" xfId="11" applyNumberFormat="1" applyFont="1" applyBorder="1" applyAlignment="1">
      <alignment horizontal="center" vertical="center"/>
    </xf>
    <xf numFmtId="9" fontId="28" fillId="0" borderId="68" xfId="13" applyFont="1" applyBorder="1" applyAlignment="1">
      <alignment horizontal="center" vertical="center"/>
    </xf>
    <xf numFmtId="197" fontId="35" fillId="0" borderId="22" xfId="11" applyNumberFormat="1" applyFont="1" applyBorder="1" applyAlignment="1">
      <alignment horizontal="center" vertical="center"/>
    </xf>
    <xf numFmtId="197" fontId="35" fillId="0" borderId="22" xfId="13" applyNumberFormat="1" applyFont="1" applyFill="1" applyBorder="1" applyAlignment="1">
      <alignment horizontal="center" vertical="center"/>
    </xf>
    <xf numFmtId="0" fontId="104" fillId="0" borderId="23" xfId="578" applyFont="1" applyFill="1" applyBorder="1" applyAlignment="1">
      <alignment horizontal="center" vertical="center"/>
    </xf>
    <xf numFmtId="194" fontId="104" fillId="0" borderId="23" xfId="578" applyNumberFormat="1" applyFont="1" applyFill="1" applyBorder="1" applyAlignment="1">
      <alignment horizontal="center" vertical="center"/>
    </xf>
    <xf numFmtId="189" fontId="104" fillId="0" borderId="23" xfId="578" applyNumberFormat="1" applyFont="1" applyFill="1" applyBorder="1" applyAlignment="1">
      <alignment horizontal="center" vertical="center"/>
    </xf>
    <xf numFmtId="10" fontId="104" fillId="0" borderId="23" xfId="3" applyNumberFormat="1" applyFont="1" applyFill="1" applyBorder="1" applyAlignment="1">
      <alignment horizontal="center" vertical="center"/>
    </xf>
    <xf numFmtId="0" fontId="106" fillId="0" borderId="23" xfId="578" applyFont="1" applyFill="1" applyBorder="1" applyAlignment="1">
      <alignment horizontal="center" vertical="center" wrapText="1"/>
    </xf>
    <xf numFmtId="0" fontId="109" fillId="0" borderId="23" xfId="11" applyFont="1" applyFill="1" applyBorder="1" applyAlignment="1">
      <alignment horizontal="center" vertical="center"/>
    </xf>
    <xf numFmtId="0" fontId="110" fillId="0" borderId="23" xfId="11" applyFont="1" applyFill="1" applyBorder="1" applyAlignment="1">
      <alignment horizontal="center" vertical="center"/>
    </xf>
    <xf numFmtId="193" fontId="111" fillId="5" borderId="22" xfId="5" applyNumberFormat="1" applyFont="1" applyFill="1" applyBorder="1" applyAlignment="1">
      <alignment horizontal="center" vertical="center"/>
    </xf>
    <xf numFmtId="194" fontId="112" fillId="8" borderId="22" xfId="577" applyNumberFormat="1" applyFont="1" applyFill="1" applyBorder="1" applyAlignment="1">
      <alignment horizontal="center" vertical="center"/>
    </xf>
    <xf numFmtId="194" fontId="112" fillId="8" borderId="22" xfId="579" applyNumberFormat="1" applyFont="1" applyFill="1" applyBorder="1" applyAlignment="1">
      <alignment horizontal="center" vertical="center"/>
    </xf>
    <xf numFmtId="189" fontId="112" fillId="0" borderId="22" xfId="577" applyNumberFormat="1" applyFont="1" applyBorder="1" applyAlignment="1">
      <alignment horizontal="center" vertical="center"/>
    </xf>
    <xf numFmtId="10" fontId="112" fillId="0" borderId="22" xfId="3" applyNumberFormat="1" applyFont="1" applyBorder="1" applyAlignment="1">
      <alignment horizontal="center" vertical="center"/>
    </xf>
    <xf numFmtId="193" fontId="111" fillId="14" borderId="22" xfId="5" applyNumberFormat="1" applyFont="1" applyFill="1" applyBorder="1" applyAlignment="1">
      <alignment horizontal="center" vertical="center"/>
    </xf>
    <xf numFmtId="0" fontId="113" fillId="0" borderId="0" xfId="578" applyFont="1">
      <alignment vertical="center"/>
    </xf>
    <xf numFmtId="193" fontId="114" fillId="0" borderId="22" xfId="5" applyNumberFormat="1" applyFont="1" applyBorder="1" applyAlignment="1">
      <alignment horizontal="center" vertical="center"/>
    </xf>
    <xf numFmtId="0" fontId="1" fillId="0" borderId="0" xfId="578">
      <alignment vertical="center"/>
    </xf>
    <xf numFmtId="0" fontId="25" fillId="0" borderId="69" xfId="11" applyFont="1" applyBorder="1" applyAlignment="1">
      <alignment shrinkToFit="1"/>
    </xf>
    <xf numFmtId="0" fontId="25" fillId="0" borderId="69" xfId="11" applyFont="1" applyFill="1" applyBorder="1" applyAlignment="1">
      <alignment shrinkToFit="1"/>
    </xf>
    <xf numFmtId="0" fontId="25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6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16" fillId="0" borderId="22" xfId="11" applyFont="1" applyBorder="1" applyAlignment="1">
      <alignment horizontal="center" vertical="center"/>
    </xf>
    <xf numFmtId="0" fontId="117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8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18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19" fillId="9" borderId="22" xfId="0" applyNumberFormat="1" applyFont="1" applyFill="1" applyBorder="1" applyAlignment="1"/>
    <xf numFmtId="186" fontId="119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0" fontId="27" fillId="0" borderId="43" xfId="11" applyFont="1" applyFill="1" applyBorder="1" applyAlignment="1">
      <alignment horizontal="center" vertical="center" shrinkToFit="1"/>
    </xf>
    <xf numFmtId="194" fontId="112" fillId="8" borderId="22" xfId="4" applyNumberFormat="1" applyFont="1" applyFill="1" applyBorder="1" applyAlignment="1">
      <alignment horizontal="center" vertical="center"/>
    </xf>
    <xf numFmtId="194" fontId="112" fillId="8" borderId="22" xfId="6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25" fillId="0" borderId="0" xfId="0" applyNumberFormat="1" applyFont="1" applyAlignment="1">
      <alignment horizontal="center" vertical="center" shrinkToFit="1"/>
    </xf>
    <xf numFmtId="1" fontId="25" fillId="0" borderId="0" xfId="0" applyNumberFormat="1" applyFont="1" applyAlignment="1">
      <alignment horizontal="center" vertical="center" shrinkToFit="1"/>
    </xf>
    <xf numFmtId="1" fontId="25" fillId="0" borderId="0" xfId="0" applyNumberFormat="1" applyFont="1" applyAlignment="1">
      <alignment shrinkToFit="1"/>
    </xf>
    <xf numFmtId="0" fontId="0" fillId="0" borderId="0" xfId="0" applyFont="1" applyAlignment="1">
      <alignment shrinkToFit="1"/>
    </xf>
    <xf numFmtId="0" fontId="27" fillId="0" borderId="22" xfId="11" applyFont="1" applyFill="1" applyBorder="1" applyAlignment="1">
      <alignment horizontal="center" vertical="center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7" fillId="0" borderId="22" xfId="0" applyFont="1" applyBorder="1" applyAlignment="1">
      <alignment shrinkToFit="1"/>
    </xf>
    <xf numFmtId="0" fontId="123" fillId="0" borderId="22" xfId="11" applyFont="1" applyBorder="1" applyAlignment="1">
      <alignment horizontal="center" vertical="center"/>
    </xf>
    <xf numFmtId="0" fontId="105" fillId="0" borderId="23" xfId="578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24" fillId="0" borderId="27" xfId="0" applyFont="1" applyBorder="1" applyAlignment="1">
      <alignment horizontal="left" vertical="center"/>
    </xf>
    <xf numFmtId="0" fontId="122" fillId="0" borderId="27" xfId="0" applyFont="1" applyBorder="1" applyAlignment="1">
      <alignment vertical="center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6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77" fontId="26" fillId="7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81" fontId="14" fillId="0" borderId="0" xfId="0" applyNumberFormat="1" applyFont="1" applyFill="1" applyAlignment="1">
      <alignment horizontal="center" vertical="center"/>
    </xf>
    <xf numFmtId="10" fontId="14" fillId="5" borderId="0" xfId="0" applyNumberFormat="1" applyFont="1" applyFill="1" applyAlignment="1">
      <alignment horizontal="center" vertical="center"/>
    </xf>
    <xf numFmtId="10" fontId="14" fillId="0" borderId="0" xfId="0" applyNumberFormat="1" applyFont="1" applyFill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Fill="1" applyBorder="1" applyAlignment="1">
      <alignment horizontal="center" vertical="center"/>
    </xf>
    <xf numFmtId="177" fontId="29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>
      <alignment horizontal="center" vertical="center"/>
    </xf>
    <xf numFmtId="177" fontId="17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 shrinkToFit="1"/>
    </xf>
    <xf numFmtId="177" fontId="27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32" fillId="0" borderId="33" xfId="0" applyFont="1" applyFill="1" applyBorder="1" applyAlignment="1">
      <alignment horizontal="center" vertical="center"/>
    </xf>
    <xf numFmtId="0" fontId="32" fillId="0" borderId="35" xfId="0" applyFont="1" applyFill="1" applyBorder="1" applyAlignment="1">
      <alignment horizontal="center" vertical="center"/>
    </xf>
    <xf numFmtId="0" fontId="32" fillId="0" borderId="27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32" fillId="0" borderId="25" xfId="0" applyFont="1" applyFill="1" applyBorder="1" applyAlignment="1">
      <alignment horizontal="center" vertical="center"/>
    </xf>
    <xf numFmtId="0" fontId="32" fillId="0" borderId="23" xfId="0" applyFont="1" applyFill="1" applyBorder="1" applyAlignment="1">
      <alignment horizontal="center" vertical="center"/>
    </xf>
    <xf numFmtId="0" fontId="32" fillId="0" borderId="29" xfId="0" applyFont="1" applyFill="1" applyBorder="1" applyAlignment="1">
      <alignment horizontal="center" vertical="center"/>
    </xf>
    <xf numFmtId="0" fontId="32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179" fontId="32" fillId="0" borderId="27" xfId="0" applyNumberFormat="1" applyFont="1" applyBorder="1" applyAlignment="1">
      <alignment horizontal="center" vertical="center"/>
    </xf>
    <xf numFmtId="179" fontId="32" fillId="0" borderId="28" xfId="0" applyNumberFormat="1" applyFont="1" applyBorder="1" applyAlignment="1">
      <alignment horizontal="center" vertical="center"/>
    </xf>
    <xf numFmtId="179" fontId="32" fillId="0" borderId="25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179" fontId="71" fillId="5" borderId="27" xfId="0" applyNumberFormat="1" applyFont="1" applyFill="1" applyBorder="1" applyAlignment="1">
      <alignment horizontal="center" vertical="center"/>
    </xf>
    <xf numFmtId="179" fontId="71" fillId="5" borderId="28" xfId="0" applyNumberFormat="1" applyFont="1" applyFill="1" applyBorder="1" applyAlignment="1">
      <alignment horizontal="center" vertical="center"/>
    </xf>
    <xf numFmtId="179" fontId="71" fillId="5" borderId="25" xfId="0" applyNumberFormat="1" applyFont="1" applyFill="1" applyBorder="1" applyAlignment="1">
      <alignment horizontal="center" vertical="center"/>
    </xf>
    <xf numFmtId="0" fontId="33" fillId="0" borderId="26" xfId="0" applyFont="1" applyBorder="1" applyAlignment="1">
      <alignment horizontal="left" vertical="center"/>
    </xf>
    <xf numFmtId="0" fontId="23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2" fillId="4" borderId="27" xfId="0" applyFont="1" applyFill="1" applyBorder="1" applyAlignment="1">
      <alignment horizontal="center" vertical="center"/>
    </xf>
    <xf numFmtId="0" fontId="32" fillId="4" borderId="28" xfId="0" applyFont="1" applyFill="1" applyBorder="1" applyAlignment="1">
      <alignment horizontal="center" vertical="center"/>
    </xf>
    <xf numFmtId="0" fontId="32" fillId="4" borderId="25" xfId="0" applyFont="1" applyFill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3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horizontal="left" vertical="center"/>
    </xf>
    <xf numFmtId="0" fontId="34" fillId="12" borderId="0" xfId="0" applyFont="1" applyFill="1" applyBorder="1" applyAlignment="1">
      <alignment horizontal="left" vertical="center"/>
    </xf>
    <xf numFmtId="0" fontId="34" fillId="12" borderId="26" xfId="0" applyFont="1" applyFill="1" applyBorder="1" applyAlignment="1">
      <alignment horizontal="left" vertical="center"/>
    </xf>
    <xf numFmtId="1" fontId="32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2" fillId="0" borderId="31" xfId="0" applyNumberFormat="1" applyFont="1" applyFill="1" applyBorder="1" applyAlignment="1">
      <alignment horizontal="center" vertical="center"/>
    </xf>
    <xf numFmtId="1" fontId="32" fillId="0" borderId="33" xfId="0" applyNumberFormat="1" applyFont="1" applyFill="1" applyBorder="1" applyAlignment="1">
      <alignment horizontal="center" vertical="center"/>
    </xf>
    <xf numFmtId="1" fontId="32" fillId="0" borderId="35" xfId="0" applyNumberFormat="1" applyFont="1" applyFill="1" applyBorder="1" applyAlignment="1">
      <alignment horizontal="center" vertical="center"/>
    </xf>
    <xf numFmtId="1" fontId="32" fillId="0" borderId="23" xfId="0" applyNumberFormat="1" applyFont="1" applyFill="1" applyBorder="1" applyAlignment="1">
      <alignment horizontal="center" vertical="center"/>
    </xf>
    <xf numFmtId="1" fontId="32" fillId="0" borderId="29" xfId="0" applyNumberFormat="1" applyFont="1" applyFill="1" applyBorder="1" applyAlignment="1">
      <alignment horizontal="center" vertical="center"/>
    </xf>
    <xf numFmtId="1" fontId="32" fillId="0" borderId="30" xfId="0" applyNumberFormat="1" applyFont="1" applyFill="1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1" fontId="0" fillId="0" borderId="23" xfId="0" applyNumberFormat="1" applyFont="1" applyBorder="1" applyAlignment="1">
      <alignment horizontal="center" vertical="center"/>
    </xf>
    <xf numFmtId="1" fontId="0" fillId="0" borderId="29" xfId="0" applyNumberFormat="1" applyFont="1" applyBorder="1" applyAlignment="1">
      <alignment horizontal="center" vertical="center"/>
    </xf>
    <xf numFmtId="1" fontId="0" fillId="0" borderId="30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21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125" fillId="0" borderId="31" xfId="0" applyFont="1" applyBorder="1" applyAlignment="1">
      <alignment horizontal="center" vertical="center" wrapText="1" shrinkToFit="1"/>
    </xf>
    <xf numFmtId="0" fontId="125" fillId="0" borderId="32" xfId="0" applyFont="1" applyBorder="1" applyAlignment="1">
      <alignment horizontal="center" vertical="center" wrapText="1" shrinkToFit="1"/>
    </xf>
    <xf numFmtId="0" fontId="125" fillId="0" borderId="35" xfId="0" applyFont="1" applyBorder="1" applyAlignment="1">
      <alignment horizontal="center" vertical="center" wrapText="1" shrinkToFit="1"/>
    </xf>
    <xf numFmtId="0" fontId="125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68" fillId="0" borderId="27" xfId="0" applyFont="1" applyBorder="1" applyAlignment="1">
      <alignment horizontal="center" shrinkToFit="1"/>
    </xf>
    <xf numFmtId="0" fontId="27" fillId="0" borderId="25" xfId="0" applyFont="1" applyBorder="1" applyAlignment="1">
      <alignment horizont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27" fillId="0" borderId="27" xfId="0" applyFont="1" applyBorder="1" applyAlignment="1">
      <alignment horizont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121" fillId="0" borderId="31" xfId="0" applyFont="1" applyBorder="1" applyAlignment="1">
      <alignment horizontal="center" vertical="center" shrinkToFit="1"/>
    </xf>
    <xf numFmtId="0" fontId="121" fillId="0" borderId="32" xfId="0" applyFont="1" applyBorder="1" applyAlignment="1">
      <alignment horizontal="center" vertical="center" shrinkToFit="1"/>
    </xf>
    <xf numFmtId="0" fontId="121" fillId="0" borderId="35" xfId="0" applyFont="1" applyBorder="1" applyAlignment="1">
      <alignment horizontal="center" vertical="center" shrinkToFit="1"/>
    </xf>
    <xf numFmtId="0" fontId="121" fillId="0" borderId="36" xfId="0" applyFont="1" applyBorder="1" applyAlignment="1">
      <alignment horizontal="center" vertical="center" shrinkToFit="1"/>
    </xf>
    <xf numFmtId="0" fontId="126" fillId="0" borderId="31" xfId="0" applyFont="1" applyBorder="1" applyAlignment="1">
      <alignment horizontal="center" vertical="center" wrapText="1" shrinkToFit="1"/>
    </xf>
    <xf numFmtId="0" fontId="126" fillId="0" borderId="32" xfId="0" applyFont="1" applyBorder="1" applyAlignment="1">
      <alignment horizontal="center" vertical="center" wrapText="1" shrinkToFit="1"/>
    </xf>
    <xf numFmtId="0" fontId="126" fillId="0" borderId="35" xfId="0" applyFont="1" applyBorder="1" applyAlignment="1">
      <alignment horizontal="center" vertical="center" wrapText="1" shrinkToFit="1"/>
    </xf>
    <xf numFmtId="0" fontId="126" fillId="0" borderId="36" xfId="0" applyFont="1" applyBorder="1" applyAlignment="1">
      <alignment horizontal="center" vertical="center" wrapText="1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27" fillId="0" borderId="31" xfId="0" applyFont="1" applyBorder="1" applyAlignment="1">
      <alignment horizontal="center" vertical="center" shrinkToFit="1"/>
    </xf>
    <xf numFmtId="0" fontId="27" fillId="0" borderId="32" xfId="0" applyFont="1" applyBorder="1" applyAlignment="1">
      <alignment horizontal="center" vertical="center" shrinkToFit="1"/>
    </xf>
    <xf numFmtId="0" fontId="27" fillId="0" borderId="35" xfId="0" applyFont="1" applyBorder="1" applyAlignment="1">
      <alignment horizontal="center" vertical="center" shrinkToFit="1"/>
    </xf>
    <xf numFmtId="0" fontId="27" fillId="0" borderId="36" xfId="0" applyFont="1" applyBorder="1" applyAlignment="1">
      <alignment horizontal="center" vertical="center" shrinkToFit="1"/>
    </xf>
    <xf numFmtId="0" fontId="21" fillId="0" borderId="27" xfId="0" applyFont="1" applyBorder="1" applyAlignment="1">
      <alignment horizontal="center" shrinkToFit="1"/>
    </xf>
    <xf numFmtId="0" fontId="21" fillId="0" borderId="25" xfId="0" applyFont="1" applyBorder="1" applyAlignment="1">
      <alignment horizont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69" fillId="0" borderId="27" xfId="0" applyFont="1" applyBorder="1" applyAlignment="1">
      <alignment horizontal="center" vertical="center" shrinkToFit="1"/>
    </xf>
    <xf numFmtId="0" fontId="51" fillId="0" borderId="25" xfId="0" applyFont="1" applyBorder="1" applyAlignment="1">
      <alignment horizontal="center" vertical="center" shrinkToFit="1"/>
    </xf>
    <xf numFmtId="0" fontId="127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1" fillId="0" borderId="27" xfId="0" applyFont="1" applyBorder="1" applyAlignment="1">
      <alignment vertical="center" shrinkToFit="1"/>
    </xf>
    <xf numFmtId="0" fontId="27" fillId="0" borderId="25" xfId="0" applyFont="1" applyBorder="1" applyAlignment="1">
      <alignment vertical="center" shrinkToFit="1"/>
    </xf>
    <xf numFmtId="0" fontId="21" fillId="0" borderId="27" xfId="0" applyFont="1" applyBorder="1" applyAlignment="1">
      <alignment horizontal="center" vertical="center" wrapText="1" shrinkToFit="1"/>
    </xf>
    <xf numFmtId="0" fontId="21" fillId="0" borderId="25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wrapText="1" shrinkToFit="1"/>
    </xf>
    <xf numFmtId="0" fontId="21" fillId="0" borderId="25" xfId="0" applyFont="1" applyBorder="1" applyAlignment="1">
      <alignment horizontal="center" vertical="center" wrapText="1" shrinkToFit="1"/>
    </xf>
    <xf numFmtId="0" fontId="21" fillId="0" borderId="31" xfId="0" applyFont="1" applyBorder="1" applyAlignment="1">
      <alignment horizontal="center" vertical="center" wrapText="1" shrinkToFit="1"/>
    </xf>
    <xf numFmtId="0" fontId="21" fillId="0" borderId="32" xfId="0" applyFont="1" applyBorder="1" applyAlignment="1">
      <alignment horizontal="center" vertical="center" wrapText="1" shrinkToFit="1"/>
    </xf>
    <xf numFmtId="0" fontId="21" fillId="0" borderId="33" xfId="0" applyFont="1" applyBorder="1" applyAlignment="1">
      <alignment horizontal="center" vertical="center" wrapText="1" shrinkToFit="1"/>
    </xf>
    <xf numFmtId="0" fontId="21" fillId="0" borderId="34" xfId="0" applyFont="1" applyBorder="1" applyAlignment="1">
      <alignment horizontal="center" vertical="center" wrapText="1" shrinkToFit="1"/>
    </xf>
    <xf numFmtId="0" fontId="21" fillId="0" borderId="35" xfId="0" applyFont="1" applyBorder="1" applyAlignment="1">
      <alignment horizontal="center" vertical="center" wrapText="1" shrinkToFit="1"/>
    </xf>
    <xf numFmtId="0" fontId="21" fillId="0" borderId="36" xfId="0" applyFont="1" applyBorder="1" applyAlignment="1">
      <alignment horizontal="center" vertical="center" wrapText="1" shrinkToFit="1"/>
    </xf>
    <xf numFmtId="0" fontId="44" fillId="0" borderId="28" xfId="0" applyFont="1" applyBorder="1" applyAlignment="1">
      <alignment shrinkToFit="1"/>
    </xf>
    <xf numFmtId="0" fontId="27" fillId="0" borderId="28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0" fontId="27" fillId="0" borderId="37" xfId="11" applyFont="1" applyFill="1" applyBorder="1" applyAlignment="1">
      <alignment horizontal="center" vertical="center" shrinkToFit="1"/>
    </xf>
    <xf numFmtId="0" fontId="27" fillId="0" borderId="0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13" fillId="17" borderId="54" xfId="11" applyFont="1" applyFill="1" applyBorder="1" applyAlignment="1">
      <alignment horizontal="center" vertical="center" shrinkToFit="1"/>
    </xf>
    <xf numFmtId="0" fontId="13" fillId="17" borderId="55" xfId="11" applyFont="1" applyFill="1" applyBorder="1" applyAlignment="1">
      <alignment horizontal="center" vertical="center" shrinkToFit="1"/>
    </xf>
    <xf numFmtId="0" fontId="13" fillId="17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7" fillId="0" borderId="43" xfId="11" applyFont="1" applyFill="1" applyBorder="1" applyAlignment="1">
      <alignment horizontal="center" vertical="center" shrinkToFit="1"/>
    </xf>
    <xf numFmtId="0" fontId="45" fillId="0" borderId="70" xfId="11" applyFont="1" applyFill="1" applyBorder="1" applyAlignment="1">
      <alignment horizontal="center" vertical="center"/>
    </xf>
    <xf numFmtId="0" fontId="45" fillId="0" borderId="59" xfId="11" applyFont="1" applyFill="1" applyBorder="1" applyAlignment="1">
      <alignment horizontal="center" vertical="center"/>
    </xf>
    <xf numFmtId="0" fontId="25" fillId="0" borderId="57" xfId="11" applyFont="1" applyFill="1" applyBorder="1" applyAlignment="1">
      <alignment horizontal="center" vertical="center" shrinkToFit="1"/>
    </xf>
    <xf numFmtId="0" fontId="25" fillId="0" borderId="71" xfId="11" applyFont="1" applyFill="1" applyBorder="1" applyAlignment="1">
      <alignment horizontal="center" vertical="center" shrinkToFit="1"/>
    </xf>
    <xf numFmtId="0" fontId="25" fillId="0" borderId="36" xfId="11" applyFont="1" applyFill="1" applyBorder="1" applyAlignment="1">
      <alignment horizontal="center" vertical="center" shrinkToFit="1"/>
    </xf>
    <xf numFmtId="0" fontId="25" fillId="0" borderId="30" xfId="11" applyFont="1" applyFill="1" applyBorder="1" applyAlignment="1">
      <alignment horizontal="center" vertical="center" shrinkToFit="1"/>
    </xf>
    <xf numFmtId="0" fontId="25" fillId="0" borderId="35" xfId="11" applyFont="1" applyFill="1" applyBorder="1" applyAlignment="1">
      <alignment horizontal="center" vertical="center" shrinkToFit="1"/>
    </xf>
    <xf numFmtId="0" fontId="25" fillId="0" borderId="70" xfId="11" applyFont="1" applyFill="1" applyBorder="1" applyAlignment="1">
      <alignment horizontal="center" vertical="center" shrinkToFit="1"/>
    </xf>
    <xf numFmtId="0" fontId="25" fillId="0" borderId="58" xfId="11" applyFont="1" applyFill="1" applyBorder="1" applyAlignment="1">
      <alignment horizontal="center" vertical="center" shrinkToFit="1"/>
    </xf>
    <xf numFmtId="0" fontId="25" fillId="0" borderId="26" xfId="11" applyFont="1" applyFill="1" applyBorder="1" applyAlignment="1">
      <alignment horizontal="center" vertical="center" shrinkToFit="1"/>
    </xf>
    <xf numFmtId="0" fontId="60" fillId="0" borderId="42" xfId="11" applyFont="1" applyFill="1" applyBorder="1" applyAlignment="1">
      <alignment horizontal="center" vertical="center" shrinkToFit="1"/>
    </xf>
    <xf numFmtId="0" fontId="60" fillId="0" borderId="43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60" fillId="0" borderId="59" xfId="11" applyFont="1" applyFill="1" applyBorder="1" applyAlignment="1">
      <alignment horizontal="center" vertical="center" shrinkToFit="1"/>
    </xf>
    <xf numFmtId="0" fontId="60" fillId="0" borderId="28" xfId="11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vertical="center" shrinkToFit="1"/>
    </xf>
    <xf numFmtId="0" fontId="27" fillId="2" borderId="28" xfId="0" applyFont="1" applyFill="1" applyBorder="1" applyAlignment="1">
      <alignment horizontal="center" vertical="center" shrinkToFit="1"/>
    </xf>
    <xf numFmtId="0" fontId="27" fillId="2" borderId="25" xfId="0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shrinkToFit="1"/>
    </xf>
    <xf numFmtId="0" fontId="27" fillId="2" borderId="28" xfId="0" applyFont="1" applyFill="1" applyBorder="1" applyAlignment="1">
      <alignment horizontal="center" shrinkToFit="1"/>
    </xf>
    <xf numFmtId="0" fontId="27" fillId="2" borderId="25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wrapText="1" shrinkToFit="1"/>
    </xf>
    <xf numFmtId="0" fontId="25" fillId="0" borderId="29" xfId="0" applyFont="1" applyBorder="1" applyAlignment="1">
      <alignment horizontal="center" vertical="center" wrapText="1" shrinkToFit="1"/>
    </xf>
    <xf numFmtId="0" fontId="25" fillId="0" borderId="30" xfId="0" applyFont="1" applyBorder="1" applyAlignment="1">
      <alignment horizontal="center" vertical="center" wrapText="1"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27" fillId="2" borderId="35" xfId="0" applyFont="1" applyFill="1" applyBorder="1" applyAlignment="1">
      <alignment horizontal="center" vertical="center" shrinkToFit="1"/>
    </xf>
    <xf numFmtId="0" fontId="27" fillId="2" borderId="26" xfId="0" applyFont="1" applyFill="1" applyBorder="1" applyAlignment="1">
      <alignment horizontal="center" vertical="center" shrinkToFit="1"/>
    </xf>
    <xf numFmtId="0" fontId="27" fillId="2" borderId="36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shrinkToFit="1"/>
    </xf>
    <xf numFmtId="0" fontId="10" fillId="0" borderId="3" xfId="0" applyFont="1" applyBorder="1" applyAlignment="1">
      <alignment horizontal="center" shrinkToFit="1"/>
    </xf>
    <xf numFmtId="0" fontId="10" fillId="0" borderId="48" xfId="0" applyFont="1" applyBorder="1" applyAlignment="1">
      <alignment horizontal="center" shrinkToFit="1"/>
    </xf>
    <xf numFmtId="0" fontId="10" fillId="0" borderId="49" xfId="0" applyFont="1" applyBorder="1" applyAlignment="1">
      <alignment horizontal="center" shrinkToFit="1"/>
    </xf>
    <xf numFmtId="0" fontId="25" fillId="0" borderId="27" xfId="0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5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5" fillId="8" borderId="22" xfId="0" applyFont="1" applyFill="1" applyBorder="1" applyAlignment="1">
      <alignment horizontal="center" vertical="center" shrinkToFit="1"/>
    </xf>
    <xf numFmtId="0" fontId="27" fillId="8" borderId="22" xfId="0" applyFont="1" applyFill="1" applyBorder="1" applyAlignment="1">
      <alignment horizontal="center" vertical="center" shrinkToFit="1"/>
    </xf>
    <xf numFmtId="0" fontId="115" fillId="0" borderId="4" xfId="0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6" fillId="2" borderId="0" xfId="0" applyFont="1" applyFill="1" applyBorder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6" fillId="2" borderId="39" xfId="0" applyFont="1" applyFill="1" applyBorder="1" applyAlignment="1">
      <alignment horizontal="center" shrinkToFit="1"/>
    </xf>
    <xf numFmtId="0" fontId="6" fillId="2" borderId="2" xfId="0" applyFont="1" applyFill="1" applyBorder="1" applyAlignment="1">
      <alignment horizontal="center" shrinkToFit="1"/>
    </xf>
    <xf numFmtId="0" fontId="6" fillId="2" borderId="3" xfId="0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shrinkToFit="1"/>
    </xf>
    <xf numFmtId="0" fontId="6" fillId="2" borderId="22" xfId="0" applyFont="1" applyFill="1" applyBorder="1" applyAlignment="1">
      <alignment horizontal="center" shrinkToFit="1"/>
    </xf>
    <xf numFmtId="0" fontId="6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5" fillId="8" borderId="22" xfId="11" applyFont="1" applyFill="1" applyBorder="1" applyAlignment="1">
      <alignment horizontal="center" vertical="center" shrinkToFit="1"/>
    </xf>
    <xf numFmtId="0" fontId="27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0" xfId="0" applyFont="1" applyFill="1" applyBorder="1" applyAlignment="1">
      <alignment horizontal="center" shrinkToFit="1"/>
    </xf>
    <xf numFmtId="0" fontId="27" fillId="0" borderId="38" xfId="0" applyFont="1" applyFill="1" applyBorder="1" applyAlignment="1">
      <alignment horizont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Border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/>
    </xf>
    <xf numFmtId="0" fontId="28" fillId="0" borderId="32" xfId="11" applyFont="1" applyBorder="1" applyAlignment="1">
      <alignment horizontal="center" vertical="center"/>
    </xf>
    <xf numFmtId="0" fontId="28" fillId="0" borderId="33" xfId="11" applyFont="1" applyBorder="1" applyAlignment="1">
      <alignment horizontal="center" vertical="center"/>
    </xf>
    <xf numFmtId="0" fontId="28" fillId="0" borderId="34" xfId="11" applyFont="1" applyBorder="1" applyAlignment="1">
      <alignment horizontal="center" vertical="center"/>
    </xf>
    <xf numFmtId="0" fontId="28" fillId="0" borderId="35" xfId="11" applyFont="1" applyBorder="1" applyAlignment="1">
      <alignment horizontal="center" vertical="center"/>
    </xf>
    <xf numFmtId="0" fontId="28" fillId="0" borderId="36" xfId="11" applyFont="1" applyBorder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35" fillId="5" borderId="30" xfId="5" applyFont="1" applyFill="1" applyBorder="1" applyAlignment="1">
      <alignment horizontal="center" vertical="center"/>
    </xf>
    <xf numFmtId="0" fontId="35" fillId="5" borderId="23" xfId="577" applyFont="1" applyFill="1" applyBorder="1" applyAlignment="1">
      <alignment horizontal="center" vertical="center" wrapText="1"/>
    </xf>
    <xf numFmtId="0" fontId="35" fillId="5" borderId="30" xfId="577" applyFont="1" applyFill="1" applyBorder="1" applyAlignment="1">
      <alignment horizontal="center" vertical="center" wrapText="1"/>
    </xf>
    <xf numFmtId="0" fontId="37" fillId="5" borderId="27" xfId="577" applyFont="1" applyFill="1" applyBorder="1" applyAlignment="1">
      <alignment horizontal="center" vertical="center"/>
    </xf>
    <xf numFmtId="0" fontId="37" fillId="5" borderId="25" xfId="577" applyFont="1" applyFill="1" applyBorder="1" applyAlignment="1">
      <alignment horizontal="center" vertical="center"/>
    </xf>
    <xf numFmtId="0" fontId="37" fillId="5" borderId="27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 wrapText="1"/>
    </xf>
    <xf numFmtId="0" fontId="37" fillId="5" borderId="25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82" fillId="5" borderId="23" xfId="577" applyFont="1" applyFill="1" applyBorder="1" applyAlignment="1">
      <alignment horizontal="center" vertical="center" wrapText="1"/>
    </xf>
    <xf numFmtId="0" fontId="38" fillId="0" borderId="26" xfId="11" applyFont="1" applyBorder="1" applyAlignment="1">
      <alignment horizontal="center" vertical="center"/>
    </xf>
    <xf numFmtId="0" fontId="31" fillId="0" borderId="26" xfId="11" applyFont="1" applyBorder="1" applyAlignment="1">
      <alignment horizontal="center" vertical="center"/>
    </xf>
    <xf numFmtId="0" fontId="28" fillId="5" borderId="33" xfId="11" applyFont="1" applyFill="1" applyBorder="1" applyAlignment="1">
      <alignment horizontal="center" vertical="center"/>
    </xf>
    <xf numFmtId="0" fontId="28" fillId="5" borderId="34" xfId="11" applyFont="1" applyFill="1" applyBorder="1" applyAlignment="1">
      <alignment horizontal="center" vertical="center"/>
    </xf>
    <xf numFmtId="0" fontId="28" fillId="5" borderId="35" xfId="11" applyFont="1" applyFill="1" applyBorder="1" applyAlignment="1">
      <alignment horizontal="center" vertical="center"/>
    </xf>
    <xf numFmtId="0" fontId="28" fillId="5" borderId="36" xfId="11" applyFont="1" applyFill="1" applyBorder="1" applyAlignment="1">
      <alignment horizontal="center" vertical="center"/>
    </xf>
    <xf numFmtId="0" fontId="35" fillId="5" borderId="22" xfId="577" applyFont="1" applyFill="1" applyBorder="1" applyAlignment="1">
      <alignment horizontal="center" vertical="center"/>
    </xf>
    <xf numFmtId="0" fontId="82" fillId="5" borderId="22" xfId="577" applyFont="1" applyFill="1" applyBorder="1" applyAlignment="1">
      <alignment horizontal="center" vertical="center"/>
    </xf>
    <xf numFmtId="0" fontId="82" fillId="5" borderId="22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/>
    </xf>
    <xf numFmtId="195" fontId="112" fillId="14" borderId="22" xfId="578" applyNumberFormat="1" applyFont="1" applyFill="1" applyBorder="1" applyAlignment="1">
      <alignment horizontal="center" vertical="center"/>
    </xf>
    <xf numFmtId="195" fontId="112" fillId="5" borderId="22" xfId="578" applyNumberFormat="1" applyFont="1" applyFill="1" applyBorder="1" applyAlignment="1">
      <alignment horizontal="center" vertical="center"/>
    </xf>
    <xf numFmtId="0" fontId="105" fillId="0" borderId="27" xfId="578" applyFont="1" applyFill="1" applyBorder="1" applyAlignment="1">
      <alignment horizontal="center" vertical="center"/>
    </xf>
    <xf numFmtId="0" fontId="104" fillId="0" borderId="25" xfId="578" applyFont="1" applyFill="1" applyBorder="1" applyAlignment="1">
      <alignment horizontal="center" vertical="center"/>
    </xf>
    <xf numFmtId="0" fontId="102" fillId="18" borderId="22" xfId="578" applyFont="1" applyFill="1" applyBorder="1" applyAlignment="1">
      <alignment horizontal="center" vertical="center"/>
    </xf>
    <xf numFmtId="0" fontId="103" fillId="18" borderId="22" xfId="578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/>
    </xf>
  </cellXfs>
  <cellStyles count="580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3" xfId="16"/>
    <cellStyle name="一般 2 2 30 2 2 30 2 2 4" xfId="17"/>
    <cellStyle name="一般 2 2 30 2 2 30 2 3 2" xfId="578"/>
    <cellStyle name="一般 2 2 30 2 3 2" xfId="6"/>
    <cellStyle name="一般 2 2 30 2 3 2 2 2" xfId="18"/>
    <cellStyle name="一般 2 2 30 2 3 2 3" xfId="579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6&#26376;/4&#24230;/&#26185;&#27427;&#22235;&#24230;&#24037;&#20316;&#26085;&#22577;&#34920;115%2006&#26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6&#26376;/18&#24230;/&#26185;&#27427;18&#24230;&#24037;&#20316;&#26085;&#22577;&#34920;115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ST總表"/>
      <sheetName val="商品廠價總表"/>
      <sheetName val="全家類別表"/>
      <sheetName val="晉欣4度C0601"/>
      <sheetName val="晉欣4度C0602"/>
      <sheetName val="晉欣4度C0603"/>
      <sheetName val="晉欣4度C0604"/>
      <sheetName val="晉欣4度C0605"/>
      <sheetName val="晉欣4度C0606"/>
      <sheetName val="晉欣4度C0607"/>
      <sheetName val="晉欣4度C0608"/>
      <sheetName val="晉欣4度C0609"/>
      <sheetName val="晉欣4度C0610"/>
      <sheetName val="晉欣4度C0611"/>
      <sheetName val="晉欣4度C0612"/>
      <sheetName val="晉欣4度C0613"/>
      <sheetName val="晉欣4度C0614"/>
      <sheetName val="晉欣4度C0615"/>
      <sheetName val="晉欣4度C0616"/>
      <sheetName val="晉欣4度C0617"/>
      <sheetName val="工作表4"/>
    </sheetNames>
    <sheetDataSet>
      <sheetData sheetId="0"/>
      <sheetData sheetId="1">
        <row r="3">
          <cell r="B3" t="str">
            <v>椒麻香蔥雞涼拌麵</v>
          </cell>
        </row>
      </sheetData>
      <sheetData sheetId="2"/>
      <sheetData sheetId="3"/>
      <sheetData sheetId="4"/>
      <sheetData sheetId="5">
        <row r="1">
          <cell r="E1">
            <v>204950.75000000003</v>
          </cell>
        </row>
      </sheetData>
      <sheetData sheetId="6">
        <row r="1">
          <cell r="E1">
            <v>187599.35</v>
          </cell>
        </row>
      </sheetData>
      <sheetData sheetId="7">
        <row r="1">
          <cell r="E1">
            <v>180423.80000000005</v>
          </cell>
        </row>
      </sheetData>
      <sheetData sheetId="8">
        <row r="1">
          <cell r="E1">
            <v>161559.04999999999</v>
          </cell>
        </row>
      </sheetData>
      <sheetData sheetId="9">
        <row r="1">
          <cell r="E1">
            <v>174494.74999999997</v>
          </cell>
        </row>
      </sheetData>
      <sheetData sheetId="10">
        <row r="1">
          <cell r="E1">
            <v>205376.39999999994</v>
          </cell>
        </row>
      </sheetData>
      <sheetData sheetId="11">
        <row r="1">
          <cell r="E1">
            <v>203166.6</v>
          </cell>
        </row>
      </sheetData>
      <sheetData sheetId="12">
        <row r="1">
          <cell r="E1">
            <v>212995.64999999997</v>
          </cell>
        </row>
      </sheetData>
      <sheetData sheetId="13">
        <row r="1">
          <cell r="E1">
            <v>199837.34999999998</v>
          </cell>
        </row>
      </sheetData>
      <sheetData sheetId="14">
        <row r="1">
          <cell r="E1">
            <v>189274.55</v>
          </cell>
        </row>
      </sheetData>
      <sheetData sheetId="15">
        <row r="1">
          <cell r="E1">
            <v>166034.95000000004</v>
          </cell>
        </row>
      </sheetData>
      <sheetData sheetId="16">
        <row r="1">
          <cell r="E1">
            <v>173918.9</v>
          </cell>
        </row>
      </sheetData>
      <sheetData sheetId="17">
        <row r="1">
          <cell r="E1">
            <v>207510</v>
          </cell>
        </row>
      </sheetData>
      <sheetData sheetId="18">
        <row r="1">
          <cell r="E1">
            <v>200832.05000000002</v>
          </cell>
        </row>
        <row r="5">
          <cell r="D5" t="str">
            <v>椒麻香蔥雞涼拌麵</v>
          </cell>
          <cell r="E5">
            <v>0</v>
          </cell>
          <cell r="F5">
            <v>37.83</v>
          </cell>
          <cell r="G5">
            <v>5942.7999999999993</v>
          </cell>
          <cell r="H5">
            <v>224816.12399999995</v>
          </cell>
          <cell r="I5">
            <v>0</v>
          </cell>
          <cell r="J5">
            <v>20</v>
          </cell>
          <cell r="K5">
            <v>2400</v>
          </cell>
          <cell r="L5">
            <v>120</v>
          </cell>
          <cell r="M5">
            <v>20</v>
          </cell>
          <cell r="N5">
            <v>2285.6923076923076</v>
          </cell>
          <cell r="O5">
            <v>114.28461538461538</v>
          </cell>
        </row>
        <row r="6">
          <cell r="D6" t="str">
            <v>川味花椒口水雞涼麵</v>
          </cell>
          <cell r="E6">
            <v>0</v>
          </cell>
          <cell r="F6">
            <v>46.93</v>
          </cell>
          <cell r="G6">
            <v>3741</v>
          </cell>
          <cell r="H6">
            <v>175565.13</v>
          </cell>
          <cell r="I6">
            <v>0</v>
          </cell>
          <cell r="J6">
            <v>21</v>
          </cell>
          <cell r="K6">
            <v>2400</v>
          </cell>
          <cell r="L6">
            <v>114.28571428571429</v>
          </cell>
          <cell r="M6">
            <v>20</v>
          </cell>
          <cell r="N6">
            <v>2200.5882352941185</v>
          </cell>
          <cell r="O6">
            <v>110.02941176470593</v>
          </cell>
        </row>
        <row r="7">
          <cell r="D7" t="str">
            <v>鰹魚烏龍冷麵</v>
          </cell>
          <cell r="E7">
            <v>0</v>
          </cell>
          <cell r="F7">
            <v>38.99</v>
          </cell>
          <cell r="G7">
            <v>1211</v>
          </cell>
          <cell r="H7">
            <v>47216.89</v>
          </cell>
          <cell r="I7">
            <v>0</v>
          </cell>
          <cell r="J7">
            <v>18</v>
          </cell>
          <cell r="K7">
            <v>2571</v>
          </cell>
          <cell r="L7">
            <v>142.83333333333334</v>
          </cell>
          <cell r="M7">
            <v>18</v>
          </cell>
          <cell r="N7">
            <v>2270.6249999999968</v>
          </cell>
          <cell r="O7">
            <v>126.14583333333316</v>
          </cell>
        </row>
        <row r="8">
          <cell r="D8" t="str">
            <v>和風涓絲冷麵</v>
          </cell>
          <cell r="E8">
            <v>0</v>
          </cell>
          <cell r="F8">
            <v>28.86</v>
          </cell>
          <cell r="G8">
            <v>1621</v>
          </cell>
          <cell r="H8">
            <v>46782.06</v>
          </cell>
          <cell r="I8">
            <v>0</v>
          </cell>
          <cell r="J8">
            <v>17</v>
          </cell>
          <cell r="K8">
            <v>2571</v>
          </cell>
          <cell r="L8">
            <v>151.23529411764707</v>
          </cell>
          <cell r="M8">
            <v>17</v>
          </cell>
          <cell r="N8">
            <v>2261.8604651162786</v>
          </cell>
          <cell r="O8">
            <v>133.05061559507521</v>
          </cell>
        </row>
        <row r="9">
          <cell r="D9" t="str">
            <v>台式麻醬涼麵</v>
          </cell>
          <cell r="E9">
            <v>0</v>
          </cell>
          <cell r="F9">
            <v>31.11</v>
          </cell>
          <cell r="G9">
            <v>2494</v>
          </cell>
          <cell r="H9">
            <v>77588.34</v>
          </cell>
          <cell r="I9">
            <v>0</v>
          </cell>
          <cell r="J9">
            <v>18</v>
          </cell>
          <cell r="K9">
            <v>2769</v>
          </cell>
          <cell r="L9">
            <v>153.83333333333334</v>
          </cell>
          <cell r="M9">
            <v>18</v>
          </cell>
          <cell r="N9">
            <v>2453.1147540983629</v>
          </cell>
          <cell r="O9">
            <v>136.28415300546462</v>
          </cell>
        </row>
        <row r="10">
          <cell r="D10" t="str">
            <v>嘉義崇文白醋涼麵</v>
          </cell>
          <cell r="E10">
            <v>0</v>
          </cell>
          <cell r="F10">
            <v>35.89</v>
          </cell>
          <cell r="G10">
            <v>3204</v>
          </cell>
          <cell r="H10">
            <v>114991.56</v>
          </cell>
          <cell r="I10">
            <v>0</v>
          </cell>
          <cell r="J10">
            <v>18</v>
          </cell>
          <cell r="K10">
            <v>2571</v>
          </cell>
          <cell r="L10">
            <v>142.83333333333334</v>
          </cell>
          <cell r="M10">
            <v>18</v>
          </cell>
          <cell r="N10">
            <v>2261.6470588235288</v>
          </cell>
          <cell r="O10">
            <v>125.64705882352938</v>
          </cell>
        </row>
        <row r="11">
          <cell r="D11" t="str">
            <v>招牌雞絲胡麻涼麵</v>
          </cell>
          <cell r="E11">
            <v>0</v>
          </cell>
          <cell r="F11">
            <v>43.96</v>
          </cell>
          <cell r="G11">
            <v>1665</v>
          </cell>
          <cell r="H11">
            <v>73193.399999999994</v>
          </cell>
          <cell r="I11">
            <v>0</v>
          </cell>
          <cell r="J11">
            <v>19</v>
          </cell>
          <cell r="K11">
            <v>2400</v>
          </cell>
          <cell r="L11">
            <v>126.31578947368421</v>
          </cell>
          <cell r="M11">
            <v>19</v>
          </cell>
          <cell r="N11">
            <v>2125.5319148936173</v>
          </cell>
          <cell r="O11">
            <v>111.87010078387459</v>
          </cell>
        </row>
        <row r="12">
          <cell r="D12" t="str">
            <v>椒麻香蔥雞涼拌麵</v>
          </cell>
          <cell r="E12">
            <v>0</v>
          </cell>
          <cell r="F12">
            <v>37.83</v>
          </cell>
          <cell r="G12">
            <v>1217.2</v>
          </cell>
          <cell r="H12">
            <v>46046.675999999999</v>
          </cell>
          <cell r="I12">
            <v>0</v>
          </cell>
          <cell r="J12">
            <v>20</v>
          </cell>
          <cell r="K12">
            <v>2400</v>
          </cell>
          <cell r="L12">
            <v>120</v>
          </cell>
          <cell r="M12">
            <v>20</v>
          </cell>
          <cell r="N12">
            <v>2282.2499999999973</v>
          </cell>
          <cell r="O12">
            <v>114.11249999999987</v>
          </cell>
        </row>
        <row r="13">
          <cell r="D13">
            <v>0</v>
          </cell>
          <cell r="E13">
            <v>0</v>
          </cell>
          <cell r="F13" t="str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0</v>
          </cell>
          <cell r="E14">
            <v>0</v>
          </cell>
          <cell r="F14" t="str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0</v>
          </cell>
          <cell r="F15" t="str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0</v>
          </cell>
          <cell r="E16">
            <v>0</v>
          </cell>
          <cell r="F16" t="str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平均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18.875</v>
          </cell>
          <cell r="K17">
            <v>2510.25</v>
          </cell>
          <cell r="L17">
            <v>133.91709973463071</v>
          </cell>
          <cell r="M17">
            <v>18.75</v>
          </cell>
          <cell r="N17">
            <v>2267.6637169897758</v>
          </cell>
          <cell r="O17">
            <v>121.42803608632477</v>
          </cell>
        </row>
        <row r="18">
          <cell r="D18" t="str">
            <v>毛豆三兄弟</v>
          </cell>
          <cell r="E18">
            <v>0</v>
          </cell>
          <cell r="F18">
            <v>27.5</v>
          </cell>
          <cell r="G18">
            <v>1133</v>
          </cell>
          <cell r="H18">
            <v>31157.5</v>
          </cell>
          <cell r="I18">
            <v>0</v>
          </cell>
          <cell r="J18">
            <v>12</v>
          </cell>
          <cell r="K18">
            <v>2000</v>
          </cell>
          <cell r="L18">
            <v>166.66666666666666</v>
          </cell>
          <cell r="M18">
            <v>12</v>
          </cell>
          <cell r="N18">
            <v>1510.6666666666665</v>
          </cell>
          <cell r="O18">
            <v>125.88888888888887</v>
          </cell>
        </row>
        <row r="19">
          <cell r="D19" t="str">
            <v>日式蕎麥沾麵</v>
          </cell>
          <cell r="E19">
            <v>0</v>
          </cell>
          <cell r="F19">
            <v>36.86</v>
          </cell>
          <cell r="G19">
            <v>3582.8</v>
          </cell>
          <cell r="H19">
            <v>132062.008</v>
          </cell>
          <cell r="I19">
            <v>0</v>
          </cell>
          <cell r="J19">
            <v>18</v>
          </cell>
          <cell r="K19">
            <v>2400</v>
          </cell>
          <cell r="L19">
            <v>133.33333333333334</v>
          </cell>
          <cell r="M19">
            <v>18</v>
          </cell>
          <cell r="N19">
            <v>2128.3960396039606</v>
          </cell>
          <cell r="O19">
            <v>118.24422442244226</v>
          </cell>
        </row>
        <row r="20">
          <cell r="D20" t="str">
            <v>愛恨椒芝麵</v>
          </cell>
          <cell r="E20">
            <v>0</v>
          </cell>
          <cell r="F20">
            <v>38.39</v>
          </cell>
          <cell r="G20">
            <v>1662.05</v>
          </cell>
          <cell r="H20">
            <v>63806.099499999997</v>
          </cell>
          <cell r="I20">
            <v>0</v>
          </cell>
          <cell r="J20">
            <v>17</v>
          </cell>
          <cell r="K20">
            <v>1565</v>
          </cell>
          <cell r="L20">
            <v>92.058823529411768</v>
          </cell>
          <cell r="M20">
            <v>17</v>
          </cell>
          <cell r="N20">
            <v>1404.549295774648</v>
          </cell>
          <cell r="O20">
            <v>82.62054681027341</v>
          </cell>
        </row>
        <row r="21">
          <cell r="D21" t="str">
            <v>韓式黑嚕嚕炸醬麵</v>
          </cell>
          <cell r="E21">
            <v>0</v>
          </cell>
          <cell r="F21">
            <v>49.91</v>
          </cell>
          <cell r="G21">
            <v>2496.64</v>
          </cell>
          <cell r="H21">
            <v>124607.30239999999</v>
          </cell>
          <cell r="I21">
            <v>0</v>
          </cell>
          <cell r="J21">
            <v>17</v>
          </cell>
          <cell r="K21">
            <v>1565</v>
          </cell>
          <cell r="L21">
            <v>92.058823529411768</v>
          </cell>
          <cell r="M21">
            <v>17</v>
          </cell>
          <cell r="N21">
            <v>1426.6514285714281</v>
          </cell>
          <cell r="O21">
            <v>83.920672268907538</v>
          </cell>
        </row>
        <row r="22">
          <cell r="D22" t="str">
            <v>慢燉滷肉油蔥粄條</v>
          </cell>
          <cell r="E22">
            <v>0</v>
          </cell>
          <cell r="F22">
            <v>44.3</v>
          </cell>
          <cell r="G22">
            <v>3918</v>
          </cell>
          <cell r="H22">
            <v>173567.4</v>
          </cell>
          <cell r="I22">
            <v>0</v>
          </cell>
          <cell r="J22">
            <v>18</v>
          </cell>
          <cell r="K22">
            <v>1565</v>
          </cell>
          <cell r="L22">
            <v>86.944444444444443</v>
          </cell>
          <cell r="M22">
            <v>18</v>
          </cell>
          <cell r="N22">
            <v>1433.4146341463418</v>
          </cell>
          <cell r="O22">
            <v>79.634146341463435</v>
          </cell>
        </row>
        <row r="23">
          <cell r="D23" t="str">
            <v>大滿足香辣涼麵</v>
          </cell>
          <cell r="E23">
            <v>0</v>
          </cell>
          <cell r="F23">
            <v>38.479999999999997</v>
          </cell>
          <cell r="G23">
            <v>3367</v>
          </cell>
          <cell r="H23">
            <v>129562.15999999999</v>
          </cell>
          <cell r="I23">
            <v>0</v>
          </cell>
          <cell r="J23">
            <v>19</v>
          </cell>
          <cell r="K23">
            <v>2769</v>
          </cell>
          <cell r="L23">
            <v>145.73684210526315</v>
          </cell>
          <cell r="M23">
            <v>19</v>
          </cell>
          <cell r="N23">
            <v>2623.6363636363621</v>
          </cell>
          <cell r="O23">
            <v>138.08612440191379</v>
          </cell>
        </row>
        <row r="24">
          <cell r="D24" t="str">
            <v>日式蕎麥沾麵</v>
          </cell>
          <cell r="E24">
            <v>0</v>
          </cell>
          <cell r="F24">
            <v>36.86</v>
          </cell>
          <cell r="G24">
            <v>1929.1999999999998</v>
          </cell>
          <cell r="H24">
            <v>71110.311999999991</v>
          </cell>
          <cell r="I24">
            <v>0</v>
          </cell>
          <cell r="J24">
            <v>18</v>
          </cell>
          <cell r="K24">
            <v>2400</v>
          </cell>
          <cell r="L24">
            <v>133.33333333333334</v>
          </cell>
          <cell r="M24">
            <v>18</v>
          </cell>
          <cell r="N24">
            <v>2143.5555555555502</v>
          </cell>
          <cell r="O24">
            <v>119.08641975308612</v>
          </cell>
        </row>
        <row r="25">
          <cell r="D25">
            <v>0</v>
          </cell>
          <cell r="E25">
            <v>0</v>
          </cell>
          <cell r="F25" t="str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 t="str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 t="str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0</v>
          </cell>
          <cell r="E28">
            <v>0</v>
          </cell>
          <cell r="F28" t="str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0</v>
          </cell>
          <cell r="E29">
            <v>0</v>
          </cell>
          <cell r="F29" t="str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平均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17</v>
          </cell>
          <cell r="K30">
            <v>2037.7142857142858</v>
          </cell>
          <cell r="L30">
            <v>121.44746670598064</v>
          </cell>
          <cell r="M30">
            <v>17</v>
          </cell>
          <cell r="N30">
            <v>1810.1242834221371</v>
          </cell>
          <cell r="O30">
            <v>106.78300326956791</v>
          </cell>
        </row>
        <row r="31">
          <cell r="D31" t="str">
            <v>黑胡椒毛豆</v>
          </cell>
          <cell r="E31">
            <v>0</v>
          </cell>
          <cell r="F31">
            <v>26.5</v>
          </cell>
          <cell r="G31">
            <v>1860.3</v>
          </cell>
          <cell r="H31">
            <v>49297.95</v>
          </cell>
          <cell r="I31">
            <v>0</v>
          </cell>
          <cell r="J31">
            <v>12</v>
          </cell>
          <cell r="K31">
            <v>2000</v>
          </cell>
          <cell r="L31">
            <v>166.66666666666666</v>
          </cell>
          <cell r="M31">
            <v>12</v>
          </cell>
          <cell r="N31">
            <v>1412.8860759493671</v>
          </cell>
          <cell r="O31">
            <v>117.74050632911393</v>
          </cell>
        </row>
        <row r="32">
          <cell r="D32" t="str">
            <v>大口日式塔塔醬蝦排飯糰</v>
          </cell>
          <cell r="E32">
            <v>0</v>
          </cell>
          <cell r="F32">
            <v>35.33</v>
          </cell>
          <cell r="G32">
            <v>2359</v>
          </cell>
          <cell r="H32">
            <v>83343.47</v>
          </cell>
          <cell r="I32">
            <v>0</v>
          </cell>
          <cell r="J32">
            <v>12</v>
          </cell>
          <cell r="K32">
            <v>2118</v>
          </cell>
          <cell r="L32">
            <v>176.5</v>
          </cell>
          <cell r="M32">
            <v>12</v>
          </cell>
          <cell r="N32">
            <v>1887.1999999999996</v>
          </cell>
          <cell r="O32">
            <v>157.26666666666662</v>
          </cell>
        </row>
        <row r="33">
          <cell r="D33" t="str">
            <v>大口起司熔岩白醬炸魚飯糰</v>
          </cell>
          <cell r="E33">
            <v>0</v>
          </cell>
          <cell r="F33">
            <v>34.229999999999997</v>
          </cell>
          <cell r="G33">
            <v>1851</v>
          </cell>
          <cell r="H33">
            <v>63359.729999999996</v>
          </cell>
          <cell r="I33">
            <v>0</v>
          </cell>
          <cell r="J33">
            <v>12</v>
          </cell>
          <cell r="K33">
            <v>2118</v>
          </cell>
          <cell r="L33">
            <v>176.5</v>
          </cell>
          <cell r="M33">
            <v>12</v>
          </cell>
          <cell r="N33">
            <v>1882.3728813559314</v>
          </cell>
          <cell r="O33">
            <v>156.86440677966095</v>
          </cell>
        </row>
        <row r="34">
          <cell r="D34" t="str">
            <v>壹號醬壽喜燒牛丼</v>
          </cell>
          <cell r="E34">
            <v>0</v>
          </cell>
          <cell r="F34">
            <v>54.09</v>
          </cell>
          <cell r="G34">
            <v>628.40000000000009</v>
          </cell>
          <cell r="H34">
            <v>33990.15600000001</v>
          </cell>
          <cell r="I34">
            <v>0</v>
          </cell>
          <cell r="J34">
            <v>16</v>
          </cell>
          <cell r="K34">
            <v>1500</v>
          </cell>
          <cell r="L34">
            <v>93.75</v>
          </cell>
          <cell r="M34">
            <v>16</v>
          </cell>
          <cell r="N34">
            <v>1256.8000000000013</v>
          </cell>
          <cell r="O34">
            <v>78.550000000000082</v>
          </cell>
        </row>
        <row r="35">
          <cell r="D35" t="str">
            <v>滿滿高麗菜豆芽鐵板麵</v>
          </cell>
          <cell r="E35">
            <v>0</v>
          </cell>
          <cell r="F35">
            <v>56.43</v>
          </cell>
          <cell r="G35">
            <v>1380.8000000000002</v>
          </cell>
          <cell r="H35">
            <v>77918.544000000009</v>
          </cell>
          <cell r="I35">
            <v>0</v>
          </cell>
          <cell r="J35">
            <v>18</v>
          </cell>
          <cell r="K35">
            <v>1565</v>
          </cell>
          <cell r="L35">
            <v>86.944444444444443</v>
          </cell>
          <cell r="M35">
            <v>18</v>
          </cell>
          <cell r="N35">
            <v>1294.5</v>
          </cell>
          <cell r="O35">
            <v>71.916666666666671</v>
          </cell>
        </row>
        <row r="36">
          <cell r="D36" t="str">
            <v>炸醬炒泡麵</v>
          </cell>
          <cell r="E36">
            <v>0</v>
          </cell>
          <cell r="F36">
            <v>49.91</v>
          </cell>
          <cell r="G36">
            <v>3220.75</v>
          </cell>
          <cell r="H36">
            <v>160747.63249999998</v>
          </cell>
          <cell r="I36">
            <v>0</v>
          </cell>
          <cell r="J36">
            <v>17</v>
          </cell>
          <cell r="K36">
            <v>1565</v>
          </cell>
          <cell r="L36">
            <v>92.058823529411768</v>
          </cell>
          <cell r="M36">
            <v>17</v>
          </cell>
          <cell r="N36">
            <v>1305.70945945946</v>
          </cell>
          <cell r="O36">
            <v>76.806438791732944</v>
          </cell>
        </row>
        <row r="37">
          <cell r="D37" t="str">
            <v>日式胡麻雞絲冷麵</v>
          </cell>
          <cell r="E37">
            <v>0</v>
          </cell>
          <cell r="F37">
            <v>46.93</v>
          </cell>
          <cell r="G37">
            <v>1313</v>
          </cell>
          <cell r="H37">
            <v>61619.09</v>
          </cell>
          <cell r="I37">
            <v>0</v>
          </cell>
          <cell r="J37">
            <v>19</v>
          </cell>
          <cell r="K37">
            <v>2400</v>
          </cell>
          <cell r="L37">
            <v>126.31578947368421</v>
          </cell>
          <cell r="M37">
            <v>19</v>
          </cell>
          <cell r="N37">
            <v>2019.9999999999991</v>
          </cell>
          <cell r="O37">
            <v>106.31578947368416</v>
          </cell>
        </row>
        <row r="38">
          <cell r="D38" t="str">
            <v>大滿足麻醬涼麵</v>
          </cell>
          <cell r="E38">
            <v>0</v>
          </cell>
          <cell r="F38">
            <v>37.799999999999997</v>
          </cell>
          <cell r="G38">
            <v>4560</v>
          </cell>
          <cell r="H38">
            <v>172368</v>
          </cell>
          <cell r="I38">
            <v>0</v>
          </cell>
          <cell r="J38">
            <v>20</v>
          </cell>
          <cell r="K38">
            <v>2769</v>
          </cell>
          <cell r="L38">
            <v>138.44999999999999</v>
          </cell>
          <cell r="M38">
            <v>20</v>
          </cell>
          <cell r="N38">
            <v>2379.1304347826103</v>
          </cell>
          <cell r="O38">
            <v>118.95652173913052</v>
          </cell>
        </row>
        <row r="39">
          <cell r="D39">
            <v>0</v>
          </cell>
          <cell r="E39">
            <v>0</v>
          </cell>
          <cell r="F39" t="str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0</v>
          </cell>
          <cell r="E40">
            <v>0</v>
          </cell>
          <cell r="F40" t="str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0</v>
          </cell>
          <cell r="E41">
            <v>0</v>
          </cell>
          <cell r="F41" t="str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0</v>
          </cell>
          <cell r="E42">
            <v>0</v>
          </cell>
          <cell r="F42" t="str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 t="str">
            <v>平均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15.75</v>
          </cell>
          <cell r="K43">
            <v>2004.375</v>
          </cell>
          <cell r="L43">
            <v>132.14821551427588</v>
          </cell>
          <cell r="M43">
            <v>15.75</v>
          </cell>
          <cell r="N43">
            <v>1679.8248564434209</v>
          </cell>
          <cell r="O43">
            <v>110.55212455583198</v>
          </cell>
        </row>
        <row r="44">
          <cell r="D44" t="str">
            <v>淡麗清酒蒸蛤蜊烤飯糰</v>
          </cell>
          <cell r="E44">
            <v>0</v>
          </cell>
          <cell r="F44">
            <v>24.73</v>
          </cell>
          <cell r="G44">
            <v>2260</v>
          </cell>
          <cell r="H44">
            <v>55889.8</v>
          </cell>
          <cell r="I44">
            <v>0</v>
          </cell>
          <cell r="J44">
            <v>4</v>
          </cell>
          <cell r="K44">
            <v>2000</v>
          </cell>
          <cell r="L44">
            <v>500</v>
          </cell>
          <cell r="M44">
            <v>5</v>
          </cell>
          <cell r="N44">
            <v>2187.0967741935474</v>
          </cell>
          <cell r="O44">
            <v>437.41935483870947</v>
          </cell>
        </row>
        <row r="45">
          <cell r="D45" t="str">
            <v>糖燻野郎起司炙燒牛烤飯糰</v>
          </cell>
          <cell r="E45">
            <v>0</v>
          </cell>
          <cell r="F45">
            <v>24.73</v>
          </cell>
          <cell r="G45">
            <v>2103</v>
          </cell>
          <cell r="H45">
            <v>52007.19</v>
          </cell>
          <cell r="I45">
            <v>0</v>
          </cell>
          <cell r="J45">
            <v>4</v>
          </cell>
          <cell r="K45">
            <v>2000</v>
          </cell>
          <cell r="L45">
            <v>500</v>
          </cell>
          <cell r="M45">
            <v>5</v>
          </cell>
          <cell r="N45">
            <v>2175.5172413793107</v>
          </cell>
          <cell r="O45">
            <v>435.10344827586215</v>
          </cell>
        </row>
        <row r="46">
          <cell r="D46" t="str">
            <v>媽媽煮藝-鹹酥雞</v>
          </cell>
          <cell r="E46">
            <v>0</v>
          </cell>
          <cell r="F46">
            <v>31.43</v>
          </cell>
          <cell r="G46">
            <v>1909</v>
          </cell>
          <cell r="H46">
            <v>59999.87</v>
          </cell>
          <cell r="I46">
            <v>0</v>
          </cell>
          <cell r="J46">
            <v>7</v>
          </cell>
          <cell r="K46">
            <v>1500</v>
          </cell>
          <cell r="L46">
            <v>214.28571428571428</v>
          </cell>
          <cell r="M46">
            <v>7</v>
          </cell>
          <cell r="N46">
            <v>1487.5324675324675</v>
          </cell>
          <cell r="O46">
            <v>212.50463821892393</v>
          </cell>
        </row>
        <row r="47">
          <cell r="D47" t="str">
            <v>燻之味-糖燻雞腿</v>
          </cell>
          <cell r="E47">
            <v>0</v>
          </cell>
          <cell r="F47">
            <v>28.47</v>
          </cell>
          <cell r="G47">
            <v>3217</v>
          </cell>
          <cell r="H47">
            <v>91587.989999999991</v>
          </cell>
          <cell r="I47">
            <v>0</v>
          </cell>
          <cell r="J47">
            <v>7</v>
          </cell>
          <cell r="K47">
            <v>1500</v>
          </cell>
          <cell r="L47">
            <v>214.28571428571428</v>
          </cell>
          <cell r="M47">
            <v>7</v>
          </cell>
          <cell r="N47">
            <v>1473.4351145038167</v>
          </cell>
          <cell r="O47">
            <v>210.4907306434024</v>
          </cell>
        </row>
        <row r="48">
          <cell r="D48" t="str">
            <v>Q彈燕麥飯</v>
          </cell>
          <cell r="E48">
            <v>0</v>
          </cell>
          <cell r="F48">
            <v>11.86</v>
          </cell>
          <cell r="G48">
            <v>1740</v>
          </cell>
          <cell r="H48">
            <v>20636.399999999998</v>
          </cell>
          <cell r="I48">
            <v>0</v>
          </cell>
          <cell r="J48">
            <v>6</v>
          </cell>
          <cell r="K48">
            <v>1636</v>
          </cell>
          <cell r="L48">
            <v>272.66666666666669</v>
          </cell>
          <cell r="M48">
            <v>6</v>
          </cell>
          <cell r="N48">
            <v>1450.0000000000002</v>
          </cell>
          <cell r="O48">
            <v>241.66666666666671</v>
          </cell>
        </row>
        <row r="49">
          <cell r="D49" t="str">
            <v>優質池上飯</v>
          </cell>
          <cell r="E49">
            <v>0</v>
          </cell>
          <cell r="F49">
            <v>10.09</v>
          </cell>
          <cell r="G49">
            <v>3691.75</v>
          </cell>
          <cell r="H49">
            <v>37249.7575</v>
          </cell>
          <cell r="I49">
            <v>0</v>
          </cell>
          <cell r="J49">
            <v>6</v>
          </cell>
          <cell r="K49">
            <v>1500</v>
          </cell>
          <cell r="L49">
            <v>250</v>
          </cell>
          <cell r="M49">
            <v>6</v>
          </cell>
          <cell r="N49">
            <v>1466.9205298013242</v>
          </cell>
          <cell r="O49">
            <v>244.48675496688736</v>
          </cell>
        </row>
        <row r="50">
          <cell r="D50" t="str">
            <v>優質池上飯</v>
          </cell>
          <cell r="E50">
            <v>0</v>
          </cell>
          <cell r="F50">
            <v>10.09</v>
          </cell>
          <cell r="G50">
            <v>3101.0699999999997</v>
          </cell>
          <cell r="H50">
            <v>31289.796299999998</v>
          </cell>
          <cell r="I50">
            <v>0</v>
          </cell>
          <cell r="J50">
            <v>6</v>
          </cell>
          <cell r="K50">
            <v>1500</v>
          </cell>
          <cell r="L50">
            <v>250</v>
          </cell>
          <cell r="M50">
            <v>6</v>
          </cell>
          <cell r="N50">
            <v>1465.0724409448815</v>
          </cell>
          <cell r="O50">
            <v>244.17874015748023</v>
          </cell>
        </row>
        <row r="51">
          <cell r="D51">
            <v>0</v>
          </cell>
          <cell r="E51">
            <v>0</v>
          </cell>
          <cell r="F51" t="str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0</v>
          </cell>
          <cell r="E52">
            <v>0</v>
          </cell>
          <cell r="F52" t="str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0</v>
          </cell>
          <cell r="F53" t="str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0</v>
          </cell>
          <cell r="E54">
            <v>0</v>
          </cell>
          <cell r="F54" t="str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0</v>
          </cell>
          <cell r="E55">
            <v>0</v>
          </cell>
          <cell r="F55" t="str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 t="str">
            <v>平均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5.7142857142857144</v>
          </cell>
          <cell r="K56">
            <v>1662.2857142857142</v>
          </cell>
          <cell r="L56">
            <v>314.46258503401361</v>
          </cell>
          <cell r="M56">
            <v>6</v>
          </cell>
          <cell r="N56">
            <v>1672.2249383364781</v>
          </cell>
          <cell r="O56">
            <v>289.40719053827604</v>
          </cell>
        </row>
        <row r="57">
          <cell r="D57" t="str">
            <v>糖燻豬耳絲</v>
          </cell>
          <cell r="E57">
            <v>0</v>
          </cell>
          <cell r="F57">
            <v>28.26</v>
          </cell>
          <cell r="G57">
            <v>1336</v>
          </cell>
          <cell r="H57">
            <v>37755.360000000001</v>
          </cell>
          <cell r="I57">
            <v>0</v>
          </cell>
          <cell r="J57">
            <v>7</v>
          </cell>
          <cell r="K57">
            <v>1500</v>
          </cell>
          <cell r="L57">
            <v>214.28571428571428</v>
          </cell>
          <cell r="M57">
            <v>7</v>
          </cell>
          <cell r="N57">
            <v>1457.4545454545453</v>
          </cell>
          <cell r="O57">
            <v>208.20779220779218</v>
          </cell>
        </row>
        <row r="58">
          <cell r="D58" t="str">
            <v>燻之味-糖燻雞胗</v>
          </cell>
          <cell r="E58">
            <v>0</v>
          </cell>
          <cell r="F58">
            <v>27.88</v>
          </cell>
          <cell r="G58">
            <v>3846</v>
          </cell>
          <cell r="H58">
            <v>107226.48</v>
          </cell>
          <cell r="I58">
            <v>0</v>
          </cell>
          <cell r="J58">
            <v>7</v>
          </cell>
          <cell r="K58">
            <v>1500</v>
          </cell>
          <cell r="L58">
            <v>214.28571428571428</v>
          </cell>
          <cell r="M58">
            <v>7</v>
          </cell>
          <cell r="N58">
            <v>1498.4415584415585</v>
          </cell>
          <cell r="O58">
            <v>214.06307977736552</v>
          </cell>
        </row>
        <row r="59">
          <cell r="D59" t="str">
            <v>韓式蒜味炸雞</v>
          </cell>
          <cell r="E59">
            <v>0</v>
          </cell>
          <cell r="F59">
            <v>28</v>
          </cell>
          <cell r="G59">
            <v>3657</v>
          </cell>
          <cell r="H59">
            <v>102396</v>
          </cell>
          <cell r="I59">
            <v>0</v>
          </cell>
          <cell r="J59">
            <v>7</v>
          </cell>
          <cell r="K59">
            <v>1500</v>
          </cell>
          <cell r="L59">
            <v>214.28571428571428</v>
          </cell>
          <cell r="M59">
            <v>7</v>
          </cell>
          <cell r="N59">
            <v>1453.1125827814574</v>
          </cell>
          <cell r="O59">
            <v>207.58751182592249</v>
          </cell>
        </row>
        <row r="60">
          <cell r="D60" t="str">
            <v>優質池上飯</v>
          </cell>
          <cell r="E60">
            <v>0</v>
          </cell>
          <cell r="F60">
            <v>10.09</v>
          </cell>
          <cell r="G60">
            <v>4577.7699999999995</v>
          </cell>
          <cell r="H60">
            <v>46189.699299999993</v>
          </cell>
          <cell r="I60">
            <v>0</v>
          </cell>
          <cell r="J60">
            <v>6</v>
          </cell>
          <cell r="K60">
            <v>1500</v>
          </cell>
          <cell r="L60">
            <v>250</v>
          </cell>
          <cell r="M60">
            <v>6</v>
          </cell>
          <cell r="N60">
            <v>1492.7510869565212</v>
          </cell>
          <cell r="O60">
            <v>248.79184782608687</v>
          </cell>
        </row>
        <row r="61">
          <cell r="D61" t="str">
            <v>優質池上飯</v>
          </cell>
          <cell r="E61">
            <v>0</v>
          </cell>
          <cell r="F61">
            <v>10.09</v>
          </cell>
          <cell r="G61">
            <v>3396.4100000000003</v>
          </cell>
          <cell r="H61">
            <v>34269.776900000004</v>
          </cell>
          <cell r="I61">
            <v>0</v>
          </cell>
          <cell r="J61">
            <v>6</v>
          </cell>
          <cell r="K61">
            <v>1500</v>
          </cell>
          <cell r="L61">
            <v>250</v>
          </cell>
          <cell r="M61">
            <v>6</v>
          </cell>
          <cell r="N61">
            <v>1487.4788321167885</v>
          </cell>
          <cell r="O61">
            <v>247.91313868613142</v>
          </cell>
        </row>
        <row r="62">
          <cell r="D62">
            <v>0</v>
          </cell>
          <cell r="E62">
            <v>0</v>
          </cell>
          <cell r="F62" t="str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0</v>
          </cell>
          <cell r="E63">
            <v>0</v>
          </cell>
          <cell r="F63" t="str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/>
          </cell>
          <cell r="N63">
            <v>0</v>
          </cell>
          <cell r="O63">
            <v>0</v>
          </cell>
        </row>
        <row r="64">
          <cell r="D64">
            <v>0</v>
          </cell>
          <cell r="E64">
            <v>0</v>
          </cell>
          <cell r="F64" t="str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D65">
            <v>0</v>
          </cell>
          <cell r="E65">
            <v>0</v>
          </cell>
          <cell r="F65" t="str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D66">
            <v>0</v>
          </cell>
          <cell r="E66">
            <v>0</v>
          </cell>
          <cell r="F66" t="str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D67">
            <v>0</v>
          </cell>
          <cell r="E67">
            <v>0</v>
          </cell>
          <cell r="F67" t="str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>
            <v>0</v>
          </cell>
          <cell r="E68">
            <v>0</v>
          </cell>
          <cell r="F68" t="str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 t="str">
            <v>平均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6.6</v>
          </cell>
          <cell r="K69">
            <v>1500</v>
          </cell>
          <cell r="L69">
            <v>228.57142857142858</v>
          </cell>
          <cell r="M69">
            <v>6.6</v>
          </cell>
          <cell r="N69">
            <v>1477.847721150174</v>
          </cell>
          <cell r="O69">
            <v>225.31267406465969</v>
          </cell>
        </row>
        <row r="70">
          <cell r="D70" t="str">
            <v>古早味炒炊粉</v>
          </cell>
          <cell r="E70">
            <v>0</v>
          </cell>
          <cell r="F70">
            <v>43.14</v>
          </cell>
          <cell r="G70">
            <v>2089</v>
          </cell>
          <cell r="H70">
            <v>90119.46</v>
          </cell>
          <cell r="I70">
            <v>0</v>
          </cell>
          <cell r="J70">
            <v>17</v>
          </cell>
          <cell r="K70">
            <v>1500</v>
          </cell>
          <cell r="L70">
            <v>88.235294117647058</v>
          </cell>
          <cell r="M70">
            <v>17</v>
          </cell>
          <cell r="N70">
            <v>1392.6666666666667</v>
          </cell>
          <cell r="O70">
            <v>81.921568627450981</v>
          </cell>
        </row>
        <row r="71">
          <cell r="D71" t="str">
            <v>蕃茄起司手工千層麵(區)</v>
          </cell>
          <cell r="E71">
            <v>0</v>
          </cell>
          <cell r="F71">
            <v>62.13</v>
          </cell>
          <cell r="G71">
            <v>1980</v>
          </cell>
          <cell r="H71">
            <v>123017.40000000001</v>
          </cell>
          <cell r="I71">
            <v>0</v>
          </cell>
          <cell r="J71">
            <v>14</v>
          </cell>
          <cell r="K71">
            <v>1500</v>
          </cell>
          <cell r="L71">
            <v>107.14285714285714</v>
          </cell>
          <cell r="M71">
            <v>14</v>
          </cell>
          <cell r="N71">
            <v>1466.6666666666661</v>
          </cell>
          <cell r="O71">
            <v>104.76190476190472</v>
          </cell>
        </row>
        <row r="72">
          <cell r="D72" t="str">
            <v>好吃雞肉便當</v>
          </cell>
          <cell r="E72">
            <v>0</v>
          </cell>
          <cell r="F72">
            <v>53.36</v>
          </cell>
          <cell r="G72">
            <v>3443.01</v>
          </cell>
          <cell r="H72">
            <v>183719.01360000001</v>
          </cell>
          <cell r="I72">
            <v>0</v>
          </cell>
          <cell r="J72">
            <v>19</v>
          </cell>
          <cell r="K72">
            <v>1636</v>
          </cell>
          <cell r="L72">
            <v>86.10526315789474</v>
          </cell>
          <cell r="M72">
            <v>19</v>
          </cell>
          <cell r="N72">
            <v>1359.0828947368418</v>
          </cell>
          <cell r="O72">
            <v>71.530678670360089</v>
          </cell>
        </row>
        <row r="73">
          <cell r="D73" t="str">
            <v>香腸腿排雙拼便當</v>
          </cell>
          <cell r="E73">
            <v>0</v>
          </cell>
          <cell r="F73">
            <v>53.76</v>
          </cell>
          <cell r="G73">
            <v>2158.4</v>
          </cell>
          <cell r="H73">
            <v>116035.584</v>
          </cell>
          <cell r="I73">
            <v>0</v>
          </cell>
          <cell r="J73">
            <v>16</v>
          </cell>
          <cell r="K73">
            <v>1440</v>
          </cell>
          <cell r="L73">
            <v>90</v>
          </cell>
          <cell r="M73">
            <v>16</v>
          </cell>
          <cell r="N73">
            <v>1349.0000000000005</v>
          </cell>
          <cell r="O73">
            <v>84.312500000000028</v>
          </cell>
        </row>
        <row r="74">
          <cell r="D74" t="str">
            <v>新招牌腿排便當</v>
          </cell>
          <cell r="E74">
            <v>0</v>
          </cell>
          <cell r="F74">
            <v>47.51</v>
          </cell>
          <cell r="G74">
            <v>2354</v>
          </cell>
          <cell r="H74">
            <v>111838.54</v>
          </cell>
          <cell r="I74">
            <v>0</v>
          </cell>
          <cell r="J74">
            <v>17</v>
          </cell>
          <cell r="K74">
            <v>1440</v>
          </cell>
          <cell r="L74">
            <v>84.705882352941174</v>
          </cell>
          <cell r="M74">
            <v>17</v>
          </cell>
          <cell r="N74">
            <v>1345.1428571428578</v>
          </cell>
          <cell r="O74">
            <v>79.126050420168099</v>
          </cell>
        </row>
        <row r="75">
          <cell r="D75" t="str">
            <v>好吃雞肉便當</v>
          </cell>
          <cell r="E75">
            <v>0</v>
          </cell>
          <cell r="F75">
            <v>53.36</v>
          </cell>
          <cell r="G75">
            <v>1620.24</v>
          </cell>
          <cell r="H75">
            <v>86456.006399999998</v>
          </cell>
          <cell r="I75">
            <v>1</v>
          </cell>
          <cell r="J75">
            <v>19</v>
          </cell>
          <cell r="K75">
            <v>1636</v>
          </cell>
          <cell r="L75">
            <v>86.10526315789474</v>
          </cell>
          <cell r="M75">
            <v>19</v>
          </cell>
          <cell r="N75">
            <v>1350.1999999999989</v>
          </cell>
          <cell r="O75">
            <v>71.06315789473679</v>
          </cell>
        </row>
        <row r="76">
          <cell r="D76">
            <v>0</v>
          </cell>
          <cell r="E76">
            <v>0</v>
          </cell>
          <cell r="F76" t="str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 t="str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 t="str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 t="str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 t="str">
            <v>平均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17</v>
          </cell>
          <cell r="K82">
            <v>1525.3333333333333</v>
          </cell>
          <cell r="L82">
            <v>90.382426654872461</v>
          </cell>
          <cell r="M82">
            <v>17</v>
          </cell>
          <cell r="N82">
            <v>1377.1265142021718</v>
          </cell>
          <cell r="O82">
            <v>82.119310062436782</v>
          </cell>
        </row>
        <row r="83">
          <cell r="D83" t="str">
            <v>皮蛋辣拌麵</v>
          </cell>
          <cell r="E83">
            <v>0</v>
          </cell>
          <cell r="F83">
            <v>50.67</v>
          </cell>
          <cell r="G83">
            <v>2359.1</v>
          </cell>
          <cell r="H83">
            <v>119535.59699999999</v>
          </cell>
          <cell r="I83">
            <v>0</v>
          </cell>
          <cell r="J83">
            <v>19</v>
          </cell>
          <cell r="K83">
            <v>1500</v>
          </cell>
          <cell r="L83">
            <v>78.94736842105263</v>
          </cell>
          <cell r="M83">
            <v>19</v>
          </cell>
          <cell r="N83">
            <v>1335.3396226415091</v>
          </cell>
          <cell r="O83">
            <v>70.281032770605748</v>
          </cell>
        </row>
        <row r="84">
          <cell r="D84" t="str">
            <v>鐵道滷排便當</v>
          </cell>
          <cell r="E84">
            <v>0</v>
          </cell>
          <cell r="F84">
            <v>61.02</v>
          </cell>
          <cell r="G84">
            <v>2510</v>
          </cell>
          <cell r="H84">
            <v>153160.20000000001</v>
          </cell>
          <cell r="I84">
            <v>0</v>
          </cell>
          <cell r="J84">
            <v>17</v>
          </cell>
          <cell r="K84">
            <v>1440</v>
          </cell>
          <cell r="L84">
            <v>84.705882352941174</v>
          </cell>
          <cell r="M84">
            <v>17</v>
          </cell>
          <cell r="N84">
            <v>1332.7433628318583</v>
          </cell>
          <cell r="O84">
            <v>78.396668401874024</v>
          </cell>
        </row>
        <row r="85">
          <cell r="D85" t="str">
            <v>韓式燒肉拌飯</v>
          </cell>
          <cell r="E85">
            <v>0</v>
          </cell>
          <cell r="F85">
            <v>54.09</v>
          </cell>
          <cell r="G85">
            <v>1043</v>
          </cell>
          <cell r="H85">
            <v>56415.87</v>
          </cell>
          <cell r="I85">
            <v>0</v>
          </cell>
          <cell r="J85">
            <v>20</v>
          </cell>
          <cell r="K85">
            <v>1350</v>
          </cell>
          <cell r="L85">
            <v>67.5</v>
          </cell>
          <cell r="M85">
            <v>20</v>
          </cell>
          <cell r="N85">
            <v>1117.5000000000041</v>
          </cell>
          <cell r="O85">
            <v>55.875000000000206</v>
          </cell>
        </row>
        <row r="86">
          <cell r="D86" t="str">
            <v>懷舊滷雙拼便當</v>
          </cell>
          <cell r="E86">
            <v>0</v>
          </cell>
          <cell r="F86">
            <v>61.09</v>
          </cell>
          <cell r="G86">
            <v>2391</v>
          </cell>
          <cell r="H86">
            <v>146066.19</v>
          </cell>
          <cell r="I86">
            <v>0</v>
          </cell>
          <cell r="J86">
            <v>17</v>
          </cell>
          <cell r="K86">
            <v>1440</v>
          </cell>
          <cell r="L86">
            <v>84.705882352941174</v>
          </cell>
          <cell r="M86">
            <v>17</v>
          </cell>
          <cell r="N86">
            <v>1247.4782608695643</v>
          </cell>
          <cell r="O86">
            <v>73.381074168797909</v>
          </cell>
        </row>
        <row r="87">
          <cell r="D87" t="str">
            <v>韓式黑嚕嚕炸醬麵</v>
          </cell>
          <cell r="E87">
            <v>0</v>
          </cell>
          <cell r="F87">
            <v>49.91</v>
          </cell>
          <cell r="G87">
            <v>1404.36</v>
          </cell>
          <cell r="H87">
            <v>70091.607599999988</v>
          </cell>
          <cell r="I87">
            <v>1</v>
          </cell>
          <cell r="J87">
            <v>17</v>
          </cell>
          <cell r="K87">
            <v>1565</v>
          </cell>
          <cell r="L87">
            <v>92.058823529411768</v>
          </cell>
          <cell r="M87">
            <v>17</v>
          </cell>
          <cell r="N87">
            <v>1337.4857142857156</v>
          </cell>
          <cell r="O87">
            <v>78.675630252100916</v>
          </cell>
        </row>
        <row r="88">
          <cell r="D88" t="str">
            <v>愛恨椒芝麵</v>
          </cell>
          <cell r="E88">
            <v>0</v>
          </cell>
          <cell r="F88">
            <v>38.39</v>
          </cell>
          <cell r="G88">
            <v>894.94999999999993</v>
          </cell>
          <cell r="H88">
            <v>34357.130499999999</v>
          </cell>
          <cell r="I88">
            <v>1</v>
          </cell>
          <cell r="J88">
            <v>17</v>
          </cell>
          <cell r="K88">
            <v>1565</v>
          </cell>
          <cell r="L88">
            <v>92.058823529411768</v>
          </cell>
          <cell r="M88">
            <v>17</v>
          </cell>
          <cell r="N88">
            <v>1342.4249999999995</v>
          </cell>
          <cell r="O88">
            <v>78.966176470588209</v>
          </cell>
        </row>
        <row r="89">
          <cell r="D89" t="str">
            <v>皮蛋辣拌麵</v>
          </cell>
          <cell r="E89">
            <v>0</v>
          </cell>
          <cell r="F89">
            <v>50.67</v>
          </cell>
          <cell r="G89">
            <v>1445.9</v>
          </cell>
          <cell r="H89">
            <v>73263.753000000012</v>
          </cell>
          <cell r="I89">
            <v>1</v>
          </cell>
          <cell r="J89">
            <v>19</v>
          </cell>
          <cell r="K89">
            <v>1500</v>
          </cell>
          <cell r="L89">
            <v>78.94736842105263</v>
          </cell>
          <cell r="M89">
            <v>19</v>
          </cell>
          <cell r="N89">
            <v>1334.6769230769246</v>
          </cell>
          <cell r="O89">
            <v>70.246153846153931</v>
          </cell>
        </row>
        <row r="90">
          <cell r="D90" t="str">
            <v>滿滿高麗菜豆芽鐵板麵</v>
          </cell>
          <cell r="E90">
            <v>0</v>
          </cell>
          <cell r="F90">
            <v>56.43</v>
          </cell>
          <cell r="G90">
            <v>345.20000000000005</v>
          </cell>
          <cell r="H90">
            <v>19479.636000000002</v>
          </cell>
          <cell r="I90">
            <v>1</v>
          </cell>
          <cell r="J90">
            <v>18</v>
          </cell>
          <cell r="K90">
            <v>1565</v>
          </cell>
          <cell r="L90">
            <v>86.944444444444443</v>
          </cell>
          <cell r="M90">
            <v>18</v>
          </cell>
          <cell r="N90">
            <v>1294.5000000000048</v>
          </cell>
          <cell r="O90">
            <v>71.916666666666927</v>
          </cell>
        </row>
        <row r="91">
          <cell r="D91">
            <v>0</v>
          </cell>
          <cell r="E91">
            <v>0</v>
          </cell>
          <cell r="F91" t="str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 t="str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 t="str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 t="str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 t="str">
            <v>平均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18</v>
          </cell>
          <cell r="K95">
            <v>1490.625</v>
          </cell>
          <cell r="L95">
            <v>83.233574131406954</v>
          </cell>
          <cell r="M95">
            <v>18</v>
          </cell>
          <cell r="N95">
            <v>1292.7686104631975</v>
          </cell>
          <cell r="O95">
            <v>72.217300322098481</v>
          </cell>
        </row>
        <row r="96">
          <cell r="D96" t="str">
            <v>雞汁油蔥手工麵線</v>
          </cell>
          <cell r="E96">
            <v>0</v>
          </cell>
          <cell r="F96">
            <v>29.46</v>
          </cell>
          <cell r="G96">
            <v>1993</v>
          </cell>
          <cell r="H96">
            <v>58713.78</v>
          </cell>
          <cell r="I96">
            <v>0</v>
          </cell>
          <cell r="J96">
            <v>16</v>
          </cell>
          <cell r="K96">
            <v>1385</v>
          </cell>
          <cell r="L96">
            <v>86.5625</v>
          </cell>
          <cell r="M96">
            <v>16</v>
          </cell>
          <cell r="N96">
            <v>1128.1132075471696</v>
          </cell>
          <cell r="O96">
            <v>70.507075471698101</v>
          </cell>
        </row>
        <row r="97">
          <cell r="D97" t="str">
            <v>香辣醬粉絲煲</v>
          </cell>
          <cell r="E97">
            <v>0</v>
          </cell>
          <cell r="F97">
            <v>29.113149847094796</v>
          </cell>
          <cell r="G97">
            <v>2560.35</v>
          </cell>
          <cell r="H97">
            <v>74539.853211009162</v>
          </cell>
          <cell r="I97">
            <v>0</v>
          </cell>
          <cell r="J97">
            <v>20</v>
          </cell>
          <cell r="K97">
            <v>1385</v>
          </cell>
          <cell r="L97">
            <v>69.25</v>
          </cell>
          <cell r="M97">
            <v>19</v>
          </cell>
          <cell r="N97">
            <v>1301.8728813559321</v>
          </cell>
          <cell r="O97">
            <v>68.519625334522743</v>
          </cell>
        </row>
        <row r="98">
          <cell r="D98" t="str">
            <v>香檸奶油魚排蔬滿盒</v>
          </cell>
          <cell r="E98">
            <v>0</v>
          </cell>
          <cell r="F98">
            <v>77.349999999999994</v>
          </cell>
          <cell r="G98">
            <v>379</v>
          </cell>
          <cell r="H98">
            <v>29315.649999999998</v>
          </cell>
          <cell r="I98">
            <v>0</v>
          </cell>
          <cell r="J98">
            <v>19</v>
          </cell>
          <cell r="K98">
            <v>1440</v>
          </cell>
          <cell r="L98">
            <v>75.78947368421052</v>
          </cell>
          <cell r="M98">
            <v>18</v>
          </cell>
          <cell r="N98">
            <v>1196.8421052631722</v>
          </cell>
          <cell r="O98">
            <v>66.491228070176234</v>
          </cell>
        </row>
        <row r="99">
          <cell r="D99" t="str">
            <v>嫩烤香料雞胸排蔬滿盒</v>
          </cell>
          <cell r="E99">
            <v>0</v>
          </cell>
          <cell r="F99">
            <v>77.34</v>
          </cell>
          <cell r="G99">
            <v>994</v>
          </cell>
          <cell r="H99">
            <v>76875.960000000006</v>
          </cell>
          <cell r="I99">
            <v>0</v>
          </cell>
          <cell r="J99">
            <v>18</v>
          </cell>
          <cell r="K99">
            <v>1440</v>
          </cell>
          <cell r="L99">
            <v>80</v>
          </cell>
          <cell r="M99">
            <v>18</v>
          </cell>
          <cell r="N99">
            <v>1296.5217391304348</v>
          </cell>
          <cell r="O99">
            <v>72.028985507246375</v>
          </cell>
        </row>
        <row r="100">
          <cell r="D100" t="str">
            <v>蔬活腿排補力餐盒</v>
          </cell>
          <cell r="E100">
            <v>0</v>
          </cell>
          <cell r="F100">
            <v>71.55</v>
          </cell>
          <cell r="G100">
            <v>1029</v>
          </cell>
          <cell r="H100">
            <v>73624.95</v>
          </cell>
          <cell r="I100">
            <v>0</v>
          </cell>
          <cell r="J100">
            <v>18</v>
          </cell>
          <cell r="K100">
            <v>1385</v>
          </cell>
          <cell r="L100">
            <v>76.944444444444443</v>
          </cell>
          <cell r="M100">
            <v>18</v>
          </cell>
          <cell r="N100">
            <v>1234.8000000000004</v>
          </cell>
          <cell r="O100">
            <v>68.600000000000023</v>
          </cell>
        </row>
        <row r="101">
          <cell r="D101" t="str">
            <v>美式雞丁餐盒</v>
          </cell>
          <cell r="E101">
            <v>0</v>
          </cell>
          <cell r="F101">
            <v>59.34</v>
          </cell>
          <cell r="G101">
            <v>867</v>
          </cell>
          <cell r="H101">
            <v>51447.780000000006</v>
          </cell>
          <cell r="I101">
            <v>0</v>
          </cell>
          <cell r="J101">
            <v>17</v>
          </cell>
          <cell r="K101">
            <v>1440</v>
          </cell>
          <cell r="L101">
            <v>84.705882352941174</v>
          </cell>
          <cell r="M101">
            <v>17</v>
          </cell>
          <cell r="N101">
            <v>1300.4999999999995</v>
          </cell>
          <cell r="O101">
            <v>76.499999999999972</v>
          </cell>
        </row>
        <row r="102">
          <cell r="D102" t="str">
            <v>炸醬炒泡麵</v>
          </cell>
          <cell r="E102">
            <v>0</v>
          </cell>
          <cell r="F102">
            <v>49.91</v>
          </cell>
          <cell r="G102">
            <v>1734.25</v>
          </cell>
          <cell r="H102">
            <v>86556.417499999996</v>
          </cell>
          <cell r="I102">
            <v>1</v>
          </cell>
          <cell r="J102">
            <v>17</v>
          </cell>
          <cell r="K102">
            <v>1565</v>
          </cell>
          <cell r="L102">
            <v>92.058823529411768</v>
          </cell>
          <cell r="M102">
            <v>15</v>
          </cell>
          <cell r="N102">
            <v>1284.6296296296291</v>
          </cell>
          <cell r="O102">
            <v>85.641975308641946</v>
          </cell>
        </row>
        <row r="103">
          <cell r="D103" t="str">
            <v>香辣醬粉絲煲</v>
          </cell>
          <cell r="E103">
            <v>0</v>
          </cell>
          <cell r="F103">
            <v>29.113149847094796</v>
          </cell>
          <cell r="G103">
            <v>1378.6499999999999</v>
          </cell>
          <cell r="H103">
            <v>40136.844036697235</v>
          </cell>
          <cell r="I103">
            <v>1</v>
          </cell>
          <cell r="J103">
            <v>20</v>
          </cell>
          <cell r="K103">
            <v>1385</v>
          </cell>
          <cell r="L103">
            <v>69.25</v>
          </cell>
          <cell r="M103">
            <v>19</v>
          </cell>
          <cell r="N103">
            <v>1313.0000000000014</v>
          </cell>
          <cell r="O103">
            <v>69.105263157894811</v>
          </cell>
        </row>
        <row r="104">
          <cell r="D104" t="str">
            <v>香腸腿排雙拼便當</v>
          </cell>
          <cell r="E104">
            <v>0</v>
          </cell>
          <cell r="F104">
            <v>53.76</v>
          </cell>
          <cell r="G104">
            <v>539.6</v>
          </cell>
          <cell r="H104">
            <v>29008.896000000001</v>
          </cell>
          <cell r="I104">
            <v>1</v>
          </cell>
          <cell r="J104">
            <v>16</v>
          </cell>
          <cell r="K104">
            <v>1440</v>
          </cell>
          <cell r="L104">
            <v>90</v>
          </cell>
          <cell r="M104">
            <v>16</v>
          </cell>
          <cell r="N104">
            <v>1295.0399999999963</v>
          </cell>
          <cell r="O104">
            <v>80.93999999999977</v>
          </cell>
        </row>
        <row r="105">
          <cell r="D105">
            <v>0</v>
          </cell>
          <cell r="E105">
            <v>0</v>
          </cell>
          <cell r="F105" t="str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0</v>
          </cell>
          <cell r="E106">
            <v>0</v>
          </cell>
          <cell r="F106" t="str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>
            <v>0</v>
          </cell>
          <cell r="E107">
            <v>0</v>
          </cell>
          <cell r="F107" t="str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  <row r="108">
          <cell r="D108" t="str">
            <v>平均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17.888888888888889</v>
          </cell>
          <cell r="K108">
            <v>1429.4444444444443</v>
          </cell>
          <cell r="L108">
            <v>80.506791556778651</v>
          </cell>
          <cell r="M108">
            <v>17.333333333333332</v>
          </cell>
          <cell r="N108">
            <v>1261.2577292140372</v>
          </cell>
          <cell r="O108">
            <v>73.148239205575535</v>
          </cell>
        </row>
        <row r="109">
          <cell r="D109" t="str">
            <v>麻油雞飯糰</v>
          </cell>
          <cell r="E109">
            <v>0</v>
          </cell>
          <cell r="F109">
            <v>29.965493443754308</v>
          </cell>
          <cell r="G109">
            <v>1963</v>
          </cell>
          <cell r="H109">
            <v>58822.263630089707</v>
          </cell>
          <cell r="I109">
            <v>0</v>
          </cell>
          <cell r="J109">
            <v>18</v>
          </cell>
          <cell r="K109">
            <v>1200</v>
          </cell>
          <cell r="L109">
            <v>66.666666666666671</v>
          </cell>
          <cell r="M109">
            <v>18</v>
          </cell>
          <cell r="N109">
            <v>1132.5000000000007</v>
          </cell>
          <cell r="O109">
            <v>62.916666666666707</v>
          </cell>
        </row>
        <row r="110">
          <cell r="D110" t="str">
            <v>壹號醬雞豚雙拼</v>
          </cell>
          <cell r="E110">
            <v>0</v>
          </cell>
          <cell r="F110">
            <v>56.43</v>
          </cell>
          <cell r="G110">
            <v>1067</v>
          </cell>
          <cell r="H110">
            <v>60210.81</v>
          </cell>
          <cell r="I110">
            <v>0</v>
          </cell>
          <cell r="J110">
            <v>18</v>
          </cell>
          <cell r="K110">
            <v>1500</v>
          </cell>
          <cell r="L110">
            <v>83.333333333333329</v>
          </cell>
          <cell r="M110">
            <v>18</v>
          </cell>
          <cell r="N110">
            <v>1231.1538461538469</v>
          </cell>
          <cell r="O110">
            <v>68.39743589743594</v>
          </cell>
        </row>
        <row r="111">
          <cell r="D111" t="str">
            <v>海陸雙拼肉肉餐盒</v>
          </cell>
          <cell r="E111">
            <v>0</v>
          </cell>
          <cell r="F111">
            <v>59.54</v>
          </cell>
          <cell r="G111">
            <v>1649</v>
          </cell>
          <cell r="H111">
            <v>98181.459999999992</v>
          </cell>
          <cell r="I111">
            <v>0</v>
          </cell>
          <cell r="J111">
            <v>18</v>
          </cell>
          <cell r="K111">
            <v>1385</v>
          </cell>
          <cell r="L111">
            <v>76.944444444444443</v>
          </cell>
          <cell r="M111">
            <v>18</v>
          </cell>
          <cell r="N111">
            <v>1268.4615384615377</v>
          </cell>
          <cell r="O111">
            <v>70.470085470085422</v>
          </cell>
        </row>
        <row r="112">
          <cell r="D112" t="str">
            <v>二配兩粒飯糰(鮪魚.焦糖鮭魚)</v>
          </cell>
          <cell r="E112">
            <v>0</v>
          </cell>
          <cell r="F112">
            <v>28.57</v>
          </cell>
          <cell r="G112">
            <v>1583</v>
          </cell>
          <cell r="H112">
            <v>45226.31</v>
          </cell>
          <cell r="I112">
            <v>0</v>
          </cell>
          <cell r="J112">
            <v>12</v>
          </cell>
          <cell r="K112">
            <v>1500</v>
          </cell>
          <cell r="L112">
            <v>125</v>
          </cell>
          <cell r="M112">
            <v>12</v>
          </cell>
          <cell r="N112">
            <v>1396.7647058823547</v>
          </cell>
          <cell r="O112">
            <v>116.39705882352956</v>
          </cell>
        </row>
        <row r="113">
          <cell r="D113" t="str">
            <v>二配溏心蛋五目飯糰</v>
          </cell>
          <cell r="E113">
            <v>0</v>
          </cell>
          <cell r="F113">
            <v>20.420000000000002</v>
          </cell>
          <cell r="G113">
            <v>427</v>
          </cell>
          <cell r="H113">
            <v>8719.34</v>
          </cell>
          <cell r="I113">
            <v>0</v>
          </cell>
          <cell r="J113">
            <v>12</v>
          </cell>
          <cell r="K113">
            <v>1500</v>
          </cell>
          <cell r="L113">
            <v>125</v>
          </cell>
          <cell r="M113">
            <v>12</v>
          </cell>
          <cell r="N113">
            <v>1220.0000000000043</v>
          </cell>
          <cell r="O113">
            <v>101.66666666666703</v>
          </cell>
        </row>
        <row r="114">
          <cell r="D114" t="str">
            <v>二配鐵板豆腐燴蛋蓋飯</v>
          </cell>
          <cell r="E114">
            <v>0</v>
          </cell>
          <cell r="F114">
            <v>44.98</v>
          </cell>
          <cell r="G114">
            <v>976</v>
          </cell>
          <cell r="H114">
            <v>43900.479999999996</v>
          </cell>
          <cell r="I114">
            <v>0</v>
          </cell>
          <cell r="J114">
            <v>19</v>
          </cell>
          <cell r="K114">
            <v>1500</v>
          </cell>
          <cell r="L114">
            <v>78.94736842105263</v>
          </cell>
          <cell r="M114">
            <v>19</v>
          </cell>
          <cell r="N114">
            <v>1195.1020408163267</v>
          </cell>
          <cell r="O114">
            <v>62.900107411385619</v>
          </cell>
        </row>
        <row r="115">
          <cell r="D115" t="str">
            <v>二配起司控培根白醬焗烤飯</v>
          </cell>
          <cell r="E115">
            <v>0</v>
          </cell>
          <cell r="F115">
            <v>53.68</v>
          </cell>
          <cell r="G115">
            <v>897</v>
          </cell>
          <cell r="H115">
            <v>48150.96</v>
          </cell>
          <cell r="I115">
            <v>0</v>
          </cell>
          <cell r="J115">
            <v>20</v>
          </cell>
          <cell r="K115">
            <v>1500</v>
          </cell>
          <cell r="L115">
            <v>75</v>
          </cell>
          <cell r="M115">
            <v>20</v>
          </cell>
          <cell r="N115">
            <v>1196</v>
          </cell>
          <cell r="O115">
            <v>59.8</v>
          </cell>
        </row>
        <row r="116">
          <cell r="D116" t="str">
            <v>二配香辣醬蒜味香腸蛋炒飯</v>
          </cell>
          <cell r="E116">
            <v>0</v>
          </cell>
          <cell r="F116">
            <v>55.56</v>
          </cell>
          <cell r="G116">
            <v>1023</v>
          </cell>
          <cell r="H116">
            <v>56837.880000000005</v>
          </cell>
          <cell r="I116">
            <v>0</v>
          </cell>
          <cell r="J116">
            <v>16</v>
          </cell>
          <cell r="K116">
            <v>1440</v>
          </cell>
          <cell r="L116">
            <v>90</v>
          </cell>
          <cell r="M116">
            <v>16</v>
          </cell>
          <cell r="N116">
            <v>1305.9574468085109</v>
          </cell>
          <cell r="O116">
            <v>81.622340425531931</v>
          </cell>
        </row>
        <row r="117">
          <cell r="D117" t="str">
            <v>二配酸酸辣辣椒麻雞飯</v>
          </cell>
          <cell r="E117">
            <v>0</v>
          </cell>
          <cell r="F117">
            <v>52.21</v>
          </cell>
          <cell r="G117">
            <v>2344.7999999999997</v>
          </cell>
          <cell r="H117">
            <v>122422.00799999999</v>
          </cell>
          <cell r="I117">
            <v>0</v>
          </cell>
          <cell r="J117">
            <v>17</v>
          </cell>
          <cell r="K117">
            <v>1440</v>
          </cell>
          <cell r="L117">
            <v>84.705882352941174</v>
          </cell>
          <cell r="M117">
            <v>17</v>
          </cell>
          <cell r="N117">
            <v>1339.8857142857148</v>
          </cell>
          <cell r="O117">
            <v>78.816806722689108</v>
          </cell>
        </row>
        <row r="118">
          <cell r="D118">
            <v>0</v>
          </cell>
          <cell r="E118">
            <v>0</v>
          </cell>
          <cell r="F118" t="str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>
            <v>0</v>
          </cell>
          <cell r="E119">
            <v>0</v>
          </cell>
          <cell r="F119" t="str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D120">
            <v>0</v>
          </cell>
          <cell r="E120">
            <v>0</v>
          </cell>
          <cell r="F120" t="str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D121" t="str">
            <v>平均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16.666666666666668</v>
          </cell>
          <cell r="K121">
            <v>1440.5555555555557</v>
          </cell>
          <cell r="L121">
            <v>89.510855024270924</v>
          </cell>
          <cell r="M121">
            <v>16.666666666666668</v>
          </cell>
          <cell r="N121">
            <v>1253.9805880453662</v>
          </cell>
          <cell r="O121">
            <v>78.109685342665685</v>
          </cell>
        </row>
        <row r="122">
          <cell r="D122" t="str">
            <v>好吃雞肉便當</v>
          </cell>
          <cell r="E122">
            <v>0</v>
          </cell>
          <cell r="F122">
            <v>53.36</v>
          </cell>
          <cell r="G122">
            <v>1687.75</v>
          </cell>
          <cell r="H122">
            <v>90058.34</v>
          </cell>
          <cell r="I122">
            <v>1</v>
          </cell>
          <cell r="J122">
            <v>19</v>
          </cell>
          <cell r="K122">
            <v>1636</v>
          </cell>
          <cell r="L122">
            <v>86.10526315789474</v>
          </cell>
          <cell r="M122">
            <v>19</v>
          </cell>
          <cell r="N122">
            <v>1281.8354430379741</v>
          </cell>
          <cell r="O122">
            <v>67.465023317788109</v>
          </cell>
        </row>
        <row r="123">
          <cell r="D123" t="str">
            <v>烤蛋白餐盒</v>
          </cell>
          <cell r="E123">
            <v>0</v>
          </cell>
          <cell r="F123">
            <v>58.67</v>
          </cell>
          <cell r="G123">
            <v>1740</v>
          </cell>
          <cell r="H123">
            <v>102085.8</v>
          </cell>
          <cell r="I123">
            <v>0</v>
          </cell>
          <cell r="J123">
            <v>19</v>
          </cell>
          <cell r="K123">
            <v>1440</v>
          </cell>
          <cell r="L123">
            <v>75.78947368421052</v>
          </cell>
          <cell r="M123">
            <v>19</v>
          </cell>
          <cell r="N123">
            <v>1304.9999999999995</v>
          </cell>
          <cell r="O123">
            <v>68.684210526315766</v>
          </cell>
        </row>
        <row r="124">
          <cell r="D124" t="str">
            <v>健身G肉餐盒</v>
          </cell>
          <cell r="E124">
            <v>0</v>
          </cell>
          <cell r="F124">
            <v>59.52</v>
          </cell>
          <cell r="G124">
            <v>2338</v>
          </cell>
          <cell r="H124">
            <v>139157.76000000001</v>
          </cell>
          <cell r="I124">
            <v>0</v>
          </cell>
          <cell r="J124">
            <v>21</v>
          </cell>
          <cell r="K124">
            <v>1385</v>
          </cell>
          <cell r="L124">
            <v>65.952380952380949</v>
          </cell>
          <cell r="M124">
            <v>21</v>
          </cell>
          <cell r="N124">
            <v>1252.5000000000009</v>
          </cell>
          <cell r="O124">
            <v>59.642857142857189</v>
          </cell>
        </row>
        <row r="125">
          <cell r="D125" t="str">
            <v>二配里肌豬排可可咖哩歐姆蛋飯</v>
          </cell>
          <cell r="E125">
            <v>0</v>
          </cell>
          <cell r="F125">
            <v>56.79</v>
          </cell>
          <cell r="G125">
            <v>1487</v>
          </cell>
          <cell r="H125">
            <v>84446.73</v>
          </cell>
          <cell r="I125">
            <v>0</v>
          </cell>
          <cell r="J125">
            <v>18</v>
          </cell>
          <cell r="K125">
            <v>1636</v>
          </cell>
          <cell r="L125">
            <v>90.888888888888886</v>
          </cell>
          <cell r="M125">
            <v>18</v>
          </cell>
          <cell r="N125">
            <v>1394.0625000000016</v>
          </cell>
          <cell r="O125">
            <v>77.447916666666757</v>
          </cell>
        </row>
        <row r="126">
          <cell r="D126" t="str">
            <v>二配黃金雞排蘑菇白醬歐姆蛋飯</v>
          </cell>
          <cell r="E126">
            <v>0</v>
          </cell>
          <cell r="F126">
            <v>56.87</v>
          </cell>
          <cell r="G126">
            <v>1144</v>
          </cell>
          <cell r="H126">
            <v>65059.28</v>
          </cell>
          <cell r="I126">
            <v>0</v>
          </cell>
          <cell r="J126">
            <v>18</v>
          </cell>
          <cell r="K126">
            <v>1636</v>
          </cell>
          <cell r="L126">
            <v>90.888888888888886</v>
          </cell>
          <cell r="M126">
            <v>18</v>
          </cell>
          <cell r="N126">
            <v>1372.8000000000004</v>
          </cell>
          <cell r="O126">
            <v>76.266666666666694</v>
          </cell>
        </row>
        <row r="127">
          <cell r="D127" t="str">
            <v>二配哞哞培根奶香海陸焗飯</v>
          </cell>
          <cell r="E127">
            <v>0</v>
          </cell>
          <cell r="F127">
            <v>47.6</v>
          </cell>
          <cell r="G127">
            <v>1513</v>
          </cell>
          <cell r="H127">
            <v>72018.8</v>
          </cell>
          <cell r="I127">
            <v>0</v>
          </cell>
          <cell r="J127">
            <v>19</v>
          </cell>
          <cell r="K127">
            <v>1440</v>
          </cell>
          <cell r="L127">
            <v>75.78947368421052</v>
          </cell>
          <cell r="M127">
            <v>19</v>
          </cell>
          <cell r="N127">
            <v>1296.8571428571415</v>
          </cell>
          <cell r="O127">
            <v>68.255639097744293</v>
          </cell>
        </row>
        <row r="128">
          <cell r="D128" t="str">
            <v>二配濃起司燻腸紅醬焗烤飯</v>
          </cell>
          <cell r="E128">
            <v>0</v>
          </cell>
          <cell r="F128">
            <v>50.67</v>
          </cell>
          <cell r="G128">
            <v>1371</v>
          </cell>
          <cell r="H128">
            <v>69468.570000000007</v>
          </cell>
          <cell r="I128">
            <v>0</v>
          </cell>
          <cell r="J128">
            <v>18</v>
          </cell>
          <cell r="K128">
            <v>1500</v>
          </cell>
          <cell r="L128">
            <v>83.333333333333329</v>
          </cell>
          <cell r="M128">
            <v>18</v>
          </cell>
          <cell r="N128">
            <v>1371.0000000000014</v>
          </cell>
          <cell r="O128">
            <v>76.166666666666742</v>
          </cell>
        </row>
        <row r="129">
          <cell r="D129" t="str">
            <v>二配香烤魚排青醬燉飯</v>
          </cell>
          <cell r="E129">
            <v>0</v>
          </cell>
          <cell r="F129">
            <v>58.17</v>
          </cell>
          <cell r="G129">
            <v>1352</v>
          </cell>
          <cell r="H129">
            <v>78645.84</v>
          </cell>
          <cell r="I129">
            <v>0</v>
          </cell>
          <cell r="J129">
            <v>16</v>
          </cell>
          <cell r="K129">
            <v>1636</v>
          </cell>
          <cell r="L129">
            <v>102.25</v>
          </cell>
          <cell r="M129">
            <v>16</v>
          </cell>
          <cell r="N129">
            <v>1374.9152542372894</v>
          </cell>
          <cell r="O129">
            <v>85.93220338983059</v>
          </cell>
        </row>
        <row r="130">
          <cell r="D130" t="str">
            <v>二配藤椒雞丁炒飯</v>
          </cell>
          <cell r="E130">
            <v>0</v>
          </cell>
          <cell r="F130">
            <v>54.09</v>
          </cell>
          <cell r="G130">
            <v>1180</v>
          </cell>
          <cell r="H130">
            <v>63826.200000000004</v>
          </cell>
          <cell r="I130">
            <v>0</v>
          </cell>
          <cell r="J130">
            <v>16</v>
          </cell>
          <cell r="K130">
            <v>1440</v>
          </cell>
          <cell r="L130">
            <v>90</v>
          </cell>
          <cell r="M130">
            <v>15</v>
          </cell>
          <cell r="N130">
            <v>1311.1111111111118</v>
          </cell>
          <cell r="O130">
            <v>87.407407407407447</v>
          </cell>
        </row>
        <row r="131">
          <cell r="D131">
            <v>0</v>
          </cell>
          <cell r="E131">
            <v>0</v>
          </cell>
          <cell r="F131" t="str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D132">
            <v>0</v>
          </cell>
          <cell r="E132">
            <v>0</v>
          </cell>
          <cell r="F132" t="str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>
            <v>0</v>
          </cell>
          <cell r="E133">
            <v>0</v>
          </cell>
          <cell r="F133" t="str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 t="str">
            <v>平均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18.222222222222221</v>
          </cell>
          <cell r="K134">
            <v>1527.6666666666667</v>
          </cell>
          <cell r="L134">
            <v>84.555300287756438</v>
          </cell>
          <cell r="M134">
            <v>18.111111111111111</v>
          </cell>
          <cell r="N134">
            <v>1328.8979390270576</v>
          </cell>
          <cell r="O134">
            <v>74.140954542438166</v>
          </cell>
        </row>
        <row r="135">
          <cell r="D135" t="str">
            <v>壹號醬壽喜燒牛丼</v>
          </cell>
          <cell r="E135">
            <v>0</v>
          </cell>
          <cell r="F135">
            <v>54.09</v>
          </cell>
          <cell r="G135">
            <v>2513.6000000000004</v>
          </cell>
          <cell r="H135">
            <v>135960.62400000004</v>
          </cell>
          <cell r="I135">
            <v>0</v>
          </cell>
          <cell r="J135">
            <v>16</v>
          </cell>
          <cell r="K135">
            <v>1500</v>
          </cell>
          <cell r="L135">
            <v>93.75</v>
          </cell>
          <cell r="M135">
            <v>16</v>
          </cell>
          <cell r="N135">
            <v>1383.6330275229357</v>
          </cell>
          <cell r="O135">
            <v>86.477064220183479</v>
          </cell>
        </row>
        <row r="136">
          <cell r="D136" t="str">
            <v>鐵板滑蛋炸豬排丼</v>
          </cell>
          <cell r="E136">
            <v>0</v>
          </cell>
          <cell r="F136">
            <v>57.734999999999999</v>
          </cell>
          <cell r="G136">
            <v>1745.05</v>
          </cell>
          <cell r="H136">
            <v>100750.46175</v>
          </cell>
          <cell r="I136">
            <v>0</v>
          </cell>
          <cell r="J136">
            <v>16</v>
          </cell>
          <cell r="K136">
            <v>1565</v>
          </cell>
          <cell r="L136">
            <v>97.8125</v>
          </cell>
          <cell r="M136">
            <v>16</v>
          </cell>
          <cell r="N136">
            <v>1377.6710526315778</v>
          </cell>
          <cell r="O136">
            <v>86.104440789473614</v>
          </cell>
        </row>
        <row r="137">
          <cell r="D137" t="str">
            <v>日式炙烤親子丼</v>
          </cell>
          <cell r="E137">
            <v>0</v>
          </cell>
          <cell r="F137">
            <v>53.27</v>
          </cell>
          <cell r="G137">
            <v>1681</v>
          </cell>
          <cell r="H137">
            <v>89546.87000000001</v>
          </cell>
          <cell r="I137">
            <v>0</v>
          </cell>
          <cell r="J137">
            <v>16</v>
          </cell>
          <cell r="K137">
            <v>1500</v>
          </cell>
          <cell r="L137">
            <v>93.75</v>
          </cell>
          <cell r="M137">
            <v>16</v>
          </cell>
          <cell r="N137">
            <v>1327.1052631578937</v>
          </cell>
          <cell r="O137">
            <v>82.944078947368354</v>
          </cell>
        </row>
        <row r="138">
          <cell r="D138" t="str">
            <v>二配金咖哩濃厚辛口咖哩飯</v>
          </cell>
          <cell r="E138">
            <v>0</v>
          </cell>
          <cell r="F138">
            <v>50.98</v>
          </cell>
          <cell r="G138">
            <v>1598</v>
          </cell>
          <cell r="H138">
            <v>81466.039999999994</v>
          </cell>
          <cell r="I138">
            <v>0</v>
          </cell>
          <cell r="J138">
            <v>20</v>
          </cell>
          <cell r="K138">
            <v>1440</v>
          </cell>
          <cell r="L138">
            <v>72</v>
          </cell>
          <cell r="M138">
            <v>20</v>
          </cell>
          <cell r="N138">
            <v>1295.6756756756747</v>
          </cell>
          <cell r="O138">
            <v>64.783783783783733</v>
          </cell>
        </row>
        <row r="139">
          <cell r="D139" t="str">
            <v>二配港式香滑嫩蛋牛肉燴飯</v>
          </cell>
          <cell r="E139">
            <v>0</v>
          </cell>
          <cell r="F139">
            <v>50.67</v>
          </cell>
          <cell r="G139">
            <v>950</v>
          </cell>
          <cell r="H139">
            <v>48136.5</v>
          </cell>
          <cell r="I139">
            <v>0</v>
          </cell>
          <cell r="J139">
            <v>17</v>
          </cell>
          <cell r="K139">
            <v>1500</v>
          </cell>
          <cell r="L139">
            <v>88.235294117647058</v>
          </cell>
          <cell r="M139">
            <v>17</v>
          </cell>
          <cell r="N139">
            <v>1357.1428571428567</v>
          </cell>
          <cell r="O139">
            <v>79.831932773109216</v>
          </cell>
        </row>
        <row r="140">
          <cell r="D140" t="str">
            <v>二配金咖哩果香甘口咖哩飯</v>
          </cell>
          <cell r="E140">
            <v>0</v>
          </cell>
          <cell r="F140">
            <v>50.92</v>
          </cell>
          <cell r="G140">
            <v>1936</v>
          </cell>
          <cell r="H140">
            <v>98581.12000000001</v>
          </cell>
          <cell r="I140">
            <v>0</v>
          </cell>
          <cell r="J140">
            <v>19</v>
          </cell>
          <cell r="K140">
            <v>1440</v>
          </cell>
          <cell r="L140">
            <v>75.78947368421052</v>
          </cell>
          <cell r="M140">
            <v>19</v>
          </cell>
          <cell r="N140">
            <v>1335.1724137931033</v>
          </cell>
          <cell r="O140">
            <v>70.272232304900172</v>
          </cell>
        </row>
        <row r="141">
          <cell r="D141" t="str">
            <v>二配蔥爆牛肉燴飯</v>
          </cell>
          <cell r="E141">
            <v>0</v>
          </cell>
          <cell r="F141">
            <v>52.86</v>
          </cell>
          <cell r="G141">
            <v>896</v>
          </cell>
          <cell r="H141">
            <v>47362.559999999998</v>
          </cell>
          <cell r="I141">
            <v>0</v>
          </cell>
          <cell r="J141">
            <v>18</v>
          </cell>
          <cell r="K141">
            <v>1500</v>
          </cell>
          <cell r="L141">
            <v>83.333333333333329</v>
          </cell>
          <cell r="M141">
            <v>18</v>
          </cell>
          <cell r="N141">
            <v>1311.2195121951213</v>
          </cell>
          <cell r="O141">
            <v>72.845528455284523</v>
          </cell>
        </row>
        <row r="142">
          <cell r="D142" t="str">
            <v>二配泰式綠咖哩雞</v>
          </cell>
          <cell r="E142">
            <v>0</v>
          </cell>
          <cell r="F142">
            <v>50.67</v>
          </cell>
          <cell r="G142">
            <v>913</v>
          </cell>
          <cell r="H142">
            <v>46261.71</v>
          </cell>
          <cell r="I142">
            <v>0</v>
          </cell>
          <cell r="J142">
            <v>17</v>
          </cell>
          <cell r="K142">
            <v>1440</v>
          </cell>
          <cell r="L142">
            <v>84.705882352941174</v>
          </cell>
          <cell r="M142">
            <v>17</v>
          </cell>
          <cell r="N142">
            <v>1304.2857142857138</v>
          </cell>
          <cell r="O142">
            <v>76.722689075630228</v>
          </cell>
        </row>
        <row r="143">
          <cell r="D143" t="str">
            <v>二配川味麻婆燒豆腐燴飯</v>
          </cell>
          <cell r="E143">
            <v>0</v>
          </cell>
          <cell r="F143">
            <v>50.49</v>
          </cell>
          <cell r="G143">
            <v>1217</v>
          </cell>
          <cell r="H143">
            <v>61446.33</v>
          </cell>
          <cell r="I143">
            <v>0</v>
          </cell>
          <cell r="J143">
            <v>14</v>
          </cell>
          <cell r="K143">
            <v>1440</v>
          </cell>
          <cell r="L143">
            <v>102.85714285714286</v>
          </cell>
          <cell r="M143">
            <v>15</v>
          </cell>
          <cell r="N143">
            <v>1327.6363636363646</v>
          </cell>
          <cell r="O143">
            <v>88.509090909090972</v>
          </cell>
        </row>
        <row r="144">
          <cell r="D144">
            <v>0</v>
          </cell>
          <cell r="E144">
            <v>0</v>
          </cell>
          <cell r="F144" t="str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 t="str">
            <v/>
          </cell>
          <cell r="N144">
            <v>0</v>
          </cell>
          <cell r="O144">
            <v>0</v>
          </cell>
        </row>
        <row r="145">
          <cell r="D145">
            <v>0</v>
          </cell>
          <cell r="E145">
            <v>0</v>
          </cell>
          <cell r="F145" t="str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D146">
            <v>0</v>
          </cell>
          <cell r="E146">
            <v>0</v>
          </cell>
          <cell r="F146" t="str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D147" t="str">
            <v>平均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17</v>
          </cell>
          <cell r="K147">
            <v>1480.5555555555557</v>
          </cell>
          <cell r="L147">
            <v>88.025958482808335</v>
          </cell>
          <cell r="M147">
            <v>17.111111111111111</v>
          </cell>
          <cell r="N147">
            <v>1335.5046533379157</v>
          </cell>
          <cell r="O147">
            <v>78.72120458431381</v>
          </cell>
        </row>
        <row r="148">
          <cell r="D148" t="str">
            <v>媽媽煮藝-香滷牛肚絲</v>
          </cell>
          <cell r="E148">
            <v>0</v>
          </cell>
          <cell r="F148">
            <v>36.92</v>
          </cell>
          <cell r="G148">
            <v>3203</v>
          </cell>
          <cell r="H148">
            <v>118254.76000000001</v>
          </cell>
          <cell r="I148">
            <v>1</v>
          </cell>
          <cell r="J148">
            <v>12</v>
          </cell>
          <cell r="K148">
            <v>2000</v>
          </cell>
          <cell r="L148">
            <v>166.66666666666666</v>
          </cell>
          <cell r="M148">
            <v>12</v>
          </cell>
          <cell r="N148">
            <v>1537.4400000000005</v>
          </cell>
          <cell r="O148">
            <v>128.12000000000003</v>
          </cell>
        </row>
        <row r="149">
          <cell r="D149" t="str">
            <v>黑胡椒毛豆</v>
          </cell>
          <cell r="E149">
            <v>0</v>
          </cell>
          <cell r="F149">
            <v>26.5</v>
          </cell>
          <cell r="G149">
            <v>1001.6999999999999</v>
          </cell>
          <cell r="H149">
            <v>26545.05</v>
          </cell>
          <cell r="I149">
            <v>1</v>
          </cell>
          <cell r="J149">
            <v>12</v>
          </cell>
          <cell r="K149">
            <v>2000</v>
          </cell>
          <cell r="L149">
            <v>166.66666666666666</v>
          </cell>
          <cell r="M149">
            <v>12</v>
          </cell>
          <cell r="N149">
            <v>1502.5499999999993</v>
          </cell>
          <cell r="O149">
            <v>125.21249999999993</v>
          </cell>
        </row>
        <row r="150">
          <cell r="D150" t="str">
            <v>韓式泡菜豬肉豆腐丼飯</v>
          </cell>
          <cell r="E150">
            <v>0</v>
          </cell>
          <cell r="F150">
            <v>50.67</v>
          </cell>
          <cell r="G150">
            <v>1838</v>
          </cell>
          <cell r="H150">
            <v>93131.46</v>
          </cell>
          <cell r="I150">
            <v>0</v>
          </cell>
          <cell r="J150">
            <v>18</v>
          </cell>
          <cell r="K150">
            <v>1500</v>
          </cell>
          <cell r="L150">
            <v>83.333333333333329</v>
          </cell>
          <cell r="M150">
            <v>18</v>
          </cell>
          <cell r="N150">
            <v>1361.4814814814811</v>
          </cell>
          <cell r="O150">
            <v>75.637860082304499</v>
          </cell>
        </row>
        <row r="151">
          <cell r="D151" t="str">
            <v>二配打拋風味豬肉飯</v>
          </cell>
          <cell r="E151">
            <v>0</v>
          </cell>
          <cell r="F151">
            <v>51.06</v>
          </cell>
          <cell r="G151">
            <v>2050</v>
          </cell>
          <cell r="H151">
            <v>104673</v>
          </cell>
          <cell r="I151">
            <v>0</v>
          </cell>
          <cell r="J151">
            <v>16</v>
          </cell>
          <cell r="K151">
            <v>1500</v>
          </cell>
          <cell r="L151">
            <v>93.75</v>
          </cell>
          <cell r="M151">
            <v>16</v>
          </cell>
          <cell r="N151">
            <v>1308.5106382978724</v>
          </cell>
          <cell r="O151">
            <v>81.781914893617028</v>
          </cell>
        </row>
        <row r="152">
          <cell r="D152" t="str">
            <v>二配厚香料優格咖哩雞排飯</v>
          </cell>
          <cell r="E152">
            <v>0</v>
          </cell>
          <cell r="F152">
            <v>56.43</v>
          </cell>
          <cell r="G152">
            <v>1419</v>
          </cell>
          <cell r="H152">
            <v>80074.17</v>
          </cell>
          <cell r="I152">
            <v>0</v>
          </cell>
          <cell r="J152">
            <v>16</v>
          </cell>
          <cell r="K152">
            <v>1500</v>
          </cell>
          <cell r="L152">
            <v>93.75</v>
          </cell>
          <cell r="M152">
            <v>16</v>
          </cell>
          <cell r="N152">
            <v>1351.4285714285729</v>
          </cell>
          <cell r="O152">
            <v>84.464285714285808</v>
          </cell>
        </row>
        <row r="153">
          <cell r="D153" t="str">
            <v>二配酸酸辣辣椒麻雞飯</v>
          </cell>
          <cell r="E153">
            <v>0</v>
          </cell>
          <cell r="F153">
            <v>52.21</v>
          </cell>
          <cell r="G153">
            <v>1563.2</v>
          </cell>
          <cell r="H153">
            <v>81614.672000000006</v>
          </cell>
          <cell r="I153">
            <v>1</v>
          </cell>
          <cell r="J153">
            <v>17</v>
          </cell>
          <cell r="K153">
            <v>1440</v>
          </cell>
          <cell r="L153">
            <v>84.705882352941174</v>
          </cell>
          <cell r="M153">
            <v>17</v>
          </cell>
          <cell r="N153">
            <v>1302.6666666666656</v>
          </cell>
          <cell r="O153">
            <v>76.627450980392098</v>
          </cell>
        </row>
        <row r="154">
          <cell r="D154">
            <v>0</v>
          </cell>
          <cell r="E154">
            <v>0</v>
          </cell>
          <cell r="F154" t="str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</row>
        <row r="155">
          <cell r="D155">
            <v>0</v>
          </cell>
          <cell r="E155">
            <v>0</v>
          </cell>
          <cell r="F155" t="str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D156">
            <v>0</v>
          </cell>
          <cell r="E156">
            <v>0</v>
          </cell>
          <cell r="F156" t="str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>
            <v>0</v>
          </cell>
          <cell r="E157">
            <v>0</v>
          </cell>
          <cell r="F157" t="str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D158">
            <v>0</v>
          </cell>
          <cell r="E158">
            <v>0</v>
          </cell>
          <cell r="F158" t="str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>
            <v>0</v>
          </cell>
          <cell r="E159">
            <v>0</v>
          </cell>
          <cell r="F159" t="str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 t="str">
            <v>平均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15.166666666666666</v>
          </cell>
          <cell r="K160">
            <v>1656.6666666666667</v>
          </cell>
          <cell r="L160">
            <v>114.81209150326798</v>
          </cell>
          <cell r="M160">
            <v>15.166666666666666</v>
          </cell>
          <cell r="N160">
            <v>1394.0128929790988</v>
          </cell>
          <cell r="O160">
            <v>95.307335278433243</v>
          </cell>
        </row>
        <row r="161">
          <cell r="D161" t="str">
            <v>大口歐風焙煎咖哩漢堡排飯糰</v>
          </cell>
          <cell r="E161">
            <v>0</v>
          </cell>
          <cell r="F161">
            <v>34.229999999999997</v>
          </cell>
          <cell r="G161">
            <v>3797</v>
          </cell>
          <cell r="H161">
            <v>129971.30999999998</v>
          </cell>
          <cell r="I161">
            <v>0</v>
          </cell>
          <cell r="J161">
            <v>13</v>
          </cell>
          <cell r="K161">
            <v>2250</v>
          </cell>
          <cell r="L161">
            <v>173.07692307692307</v>
          </cell>
          <cell r="M161">
            <v>13</v>
          </cell>
          <cell r="N161">
            <v>2169.7142857142858</v>
          </cell>
          <cell r="O161">
            <v>166.90109890109892</v>
          </cell>
        </row>
        <row r="162">
          <cell r="D162" t="str">
            <v>大口蒜味香腸燒肉雙拼飯糰</v>
          </cell>
          <cell r="E162">
            <v>0</v>
          </cell>
          <cell r="F162">
            <v>34.229999999999997</v>
          </cell>
          <cell r="G162">
            <v>3841</v>
          </cell>
          <cell r="H162">
            <v>131477.43</v>
          </cell>
          <cell r="I162">
            <v>0</v>
          </cell>
          <cell r="J162">
            <v>13</v>
          </cell>
          <cell r="K162">
            <v>2250</v>
          </cell>
          <cell r="L162">
            <v>173.07692307692307</v>
          </cell>
          <cell r="M162">
            <v>13</v>
          </cell>
          <cell r="N162">
            <v>2133.8888888888896</v>
          </cell>
          <cell r="O162">
            <v>164.14529914529919</v>
          </cell>
        </row>
        <row r="163">
          <cell r="D163" t="str">
            <v>大口法式蕈菇起司雞排飯糰</v>
          </cell>
          <cell r="E163">
            <v>0</v>
          </cell>
          <cell r="F163">
            <v>35.83</v>
          </cell>
          <cell r="G163">
            <v>3760.0400000000004</v>
          </cell>
          <cell r="H163">
            <v>134722.23320000002</v>
          </cell>
          <cell r="I163">
            <v>0</v>
          </cell>
          <cell r="J163">
            <v>11</v>
          </cell>
          <cell r="K163">
            <v>2250</v>
          </cell>
          <cell r="L163">
            <v>204.54545454545453</v>
          </cell>
          <cell r="M163">
            <v>11</v>
          </cell>
          <cell r="N163">
            <v>2169.2538461538461</v>
          </cell>
          <cell r="O163">
            <v>197.20489510489509</v>
          </cell>
        </row>
        <row r="164">
          <cell r="D164" t="str">
            <v>大口義式香草雞腿排飯糰</v>
          </cell>
          <cell r="E164">
            <v>0</v>
          </cell>
          <cell r="F164">
            <v>36.409999999999997</v>
          </cell>
          <cell r="G164">
            <v>2582.6999999999998</v>
          </cell>
          <cell r="H164">
            <v>94036.106999999989</v>
          </cell>
          <cell r="I164">
            <v>0</v>
          </cell>
          <cell r="J164">
            <v>10</v>
          </cell>
          <cell r="K164">
            <v>2769</v>
          </cell>
          <cell r="L164">
            <v>276.89999999999998</v>
          </cell>
          <cell r="M164">
            <v>10</v>
          </cell>
          <cell r="N164">
            <v>2384.0307692307688</v>
          </cell>
          <cell r="O164">
            <v>238.40307692307687</v>
          </cell>
        </row>
        <row r="165">
          <cell r="D165" t="str">
            <v>大口義式香草雞腿排飯糰</v>
          </cell>
          <cell r="E165">
            <v>0</v>
          </cell>
          <cell r="F165">
            <v>36.409999999999997</v>
          </cell>
          <cell r="G165">
            <v>6026.2999999999993</v>
          </cell>
          <cell r="H165">
            <v>219417.58299999996</v>
          </cell>
          <cell r="I165">
            <v>1</v>
          </cell>
          <cell r="J165">
            <v>10</v>
          </cell>
          <cell r="K165">
            <v>2769</v>
          </cell>
          <cell r="L165">
            <v>276.89999999999998</v>
          </cell>
          <cell r="M165">
            <v>10</v>
          </cell>
          <cell r="N165">
            <v>2378.8026315789466</v>
          </cell>
          <cell r="O165">
            <v>237.88026315789466</v>
          </cell>
        </row>
        <row r="166">
          <cell r="D166" t="str">
            <v>大口法式蕈菇起司雞排飯糰</v>
          </cell>
          <cell r="E166">
            <v>0</v>
          </cell>
          <cell r="F166">
            <v>35.83</v>
          </cell>
          <cell r="G166">
            <v>1851.96</v>
          </cell>
          <cell r="H166">
            <v>66355.726800000004</v>
          </cell>
          <cell r="I166">
            <v>1</v>
          </cell>
          <cell r="J166">
            <v>11</v>
          </cell>
          <cell r="K166">
            <v>2250</v>
          </cell>
          <cell r="L166">
            <v>204.54545454545453</v>
          </cell>
          <cell r="M166">
            <v>11</v>
          </cell>
          <cell r="N166">
            <v>2136.8769230769244</v>
          </cell>
          <cell r="O166">
            <v>194.26153846153858</v>
          </cell>
        </row>
        <row r="167">
          <cell r="D167">
            <v>0</v>
          </cell>
          <cell r="E167">
            <v>0</v>
          </cell>
          <cell r="F167" t="str">
            <v>0</v>
          </cell>
          <cell r="G167" t="str">
            <v/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>
            <v>0</v>
          </cell>
          <cell r="E168">
            <v>0</v>
          </cell>
          <cell r="F168" t="str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</row>
        <row r="169">
          <cell r="D169">
            <v>0</v>
          </cell>
          <cell r="E169">
            <v>0</v>
          </cell>
          <cell r="F169" t="str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</row>
        <row r="170">
          <cell r="D170">
            <v>0</v>
          </cell>
          <cell r="E170">
            <v>0</v>
          </cell>
          <cell r="F170" t="str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</row>
        <row r="171">
          <cell r="D171">
            <v>0</v>
          </cell>
          <cell r="E171">
            <v>0</v>
          </cell>
          <cell r="F171" t="str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</row>
        <row r="172">
          <cell r="D172">
            <v>0</v>
          </cell>
          <cell r="E172">
            <v>0</v>
          </cell>
          <cell r="F172" t="str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 t="str">
            <v>平均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11.333333333333334</v>
          </cell>
          <cell r="K173">
            <v>2423</v>
          </cell>
          <cell r="L173">
            <v>218.17412587412585</v>
          </cell>
          <cell r="M173">
            <v>11.333333333333334</v>
          </cell>
          <cell r="N173">
            <v>2228.761224107277</v>
          </cell>
          <cell r="O173">
            <v>199.7993619489672</v>
          </cell>
        </row>
      </sheetData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品廠價總表"/>
      <sheetName val="ST總表"/>
      <sheetName val="ST總表 (2)"/>
      <sheetName val="晉欣18度C0601"/>
      <sheetName val="晉欣18度C0602"/>
      <sheetName val="晉欣18度C0603"/>
      <sheetName val="晉欣18度C0604"/>
      <sheetName val="晉欣18度C0605"/>
      <sheetName val="晉欣18度C0606"/>
      <sheetName val="晉欣18度C0607"/>
      <sheetName val="晉欣18度C0608"/>
      <sheetName val="晉欣18度C0609"/>
      <sheetName val="晉欣18度C0610"/>
      <sheetName val="晉欣18度C0611"/>
      <sheetName val="晉欣18度C0612"/>
      <sheetName val="晉欣18度C0613"/>
      <sheetName val="晉欣18度C0614"/>
      <sheetName val="晉欣18度C0615"/>
      <sheetName val="晉欣18度C0616"/>
      <sheetName val="工作表1"/>
    </sheetNames>
    <sheetDataSet>
      <sheetData sheetId="0"/>
      <sheetData sheetId="1">
        <row r="1">
          <cell r="A1" t="str">
            <v>品項</v>
          </cell>
        </row>
      </sheetData>
      <sheetData sheetId="2"/>
      <sheetData sheetId="3"/>
      <sheetData sheetId="4">
        <row r="1">
          <cell r="E1">
            <v>96111</v>
          </cell>
        </row>
      </sheetData>
      <sheetData sheetId="5">
        <row r="1">
          <cell r="E1">
            <v>94441</v>
          </cell>
        </row>
      </sheetData>
      <sheetData sheetId="6">
        <row r="1">
          <cell r="E1">
            <v>89328</v>
          </cell>
        </row>
      </sheetData>
      <sheetData sheetId="7">
        <row r="1">
          <cell r="E1">
            <v>78532</v>
          </cell>
        </row>
      </sheetData>
      <sheetData sheetId="8">
        <row r="1">
          <cell r="E1">
            <v>82307</v>
          </cell>
        </row>
      </sheetData>
      <sheetData sheetId="9">
        <row r="1">
          <cell r="E1">
            <v>95585</v>
          </cell>
        </row>
      </sheetData>
      <sheetData sheetId="10">
        <row r="1">
          <cell r="E1">
            <v>93160</v>
          </cell>
        </row>
      </sheetData>
      <sheetData sheetId="11">
        <row r="1">
          <cell r="E1">
            <v>99728</v>
          </cell>
        </row>
      </sheetData>
      <sheetData sheetId="12">
        <row r="1">
          <cell r="E1">
            <v>96947</v>
          </cell>
        </row>
      </sheetData>
      <sheetData sheetId="13">
        <row r="1">
          <cell r="E1">
            <v>90398</v>
          </cell>
        </row>
      </sheetData>
      <sheetData sheetId="14">
        <row r="1">
          <cell r="E1">
            <v>79552</v>
          </cell>
        </row>
      </sheetData>
      <sheetData sheetId="15">
        <row r="1">
          <cell r="E1">
            <v>83611</v>
          </cell>
        </row>
      </sheetData>
      <sheetData sheetId="16">
        <row r="1">
          <cell r="E1">
            <v>96687</v>
          </cell>
        </row>
      </sheetData>
      <sheetData sheetId="17">
        <row r="1">
          <cell r="E1">
            <v>91864</v>
          </cell>
        </row>
        <row r="5">
          <cell r="D5" t="str">
            <v>長野稻荷壽司</v>
          </cell>
          <cell r="E5">
            <v>0</v>
          </cell>
          <cell r="F5">
            <v>25.64</v>
          </cell>
          <cell r="G5">
            <v>841</v>
          </cell>
          <cell r="H5">
            <v>21563.24</v>
          </cell>
          <cell r="I5">
            <v>0</v>
          </cell>
          <cell r="J5">
            <v>10</v>
          </cell>
          <cell r="K5">
            <v>1441.7142857142842</v>
          </cell>
          <cell r="L5">
            <v>144.17142857142841</v>
          </cell>
          <cell r="M5">
            <v>0.52777777777777779</v>
          </cell>
          <cell r="N5">
            <v>0.55208333333333337</v>
          </cell>
          <cell r="O5">
            <v>5</v>
          </cell>
          <cell r="P5">
            <v>35.000000000000036</v>
          </cell>
          <cell r="Q5">
            <v>0</v>
          </cell>
          <cell r="R5">
            <v>0</v>
          </cell>
        </row>
        <row r="6">
          <cell r="D6" t="str">
            <v>鮭鮪海饌雙手卷</v>
          </cell>
          <cell r="E6">
            <v>0</v>
          </cell>
          <cell r="F6">
            <v>29.85</v>
          </cell>
          <cell r="G6">
            <v>2303</v>
          </cell>
          <cell r="H6">
            <v>68744.55</v>
          </cell>
          <cell r="I6">
            <v>0</v>
          </cell>
          <cell r="J6">
            <v>12</v>
          </cell>
          <cell r="K6">
            <v>1842.3999999999985</v>
          </cell>
          <cell r="L6">
            <v>153.53333333333322</v>
          </cell>
          <cell r="M6">
            <v>0.55555555555555558</v>
          </cell>
          <cell r="N6">
            <v>0.60763888888888895</v>
          </cell>
          <cell r="O6">
            <v>5</v>
          </cell>
          <cell r="P6">
            <v>75.000000000000057</v>
          </cell>
          <cell r="Q6">
            <v>0</v>
          </cell>
          <cell r="R6">
            <v>0</v>
          </cell>
        </row>
        <row r="7">
          <cell r="D7" t="str">
            <v>經典人氣雙手卷</v>
          </cell>
          <cell r="E7">
            <v>0</v>
          </cell>
          <cell r="F7">
            <v>29.52</v>
          </cell>
          <cell r="G7">
            <v>2190</v>
          </cell>
          <cell r="H7">
            <v>64648.799999999996</v>
          </cell>
          <cell r="I7">
            <v>0</v>
          </cell>
          <cell r="J7">
            <v>12</v>
          </cell>
          <cell r="K7">
            <v>1877.1428571428551</v>
          </cell>
          <cell r="L7">
            <v>156.42857142857125</v>
          </cell>
          <cell r="M7">
            <v>0.61111111111111105</v>
          </cell>
          <cell r="N7">
            <v>0.65972222222222221</v>
          </cell>
          <cell r="O7">
            <v>5</v>
          </cell>
          <cell r="P7">
            <v>70.000000000000071</v>
          </cell>
          <cell r="Q7">
            <v>0</v>
          </cell>
          <cell r="R7">
            <v>0</v>
          </cell>
        </row>
        <row r="8">
          <cell r="D8">
            <v>0</v>
          </cell>
          <cell r="E8">
            <v>0</v>
          </cell>
          <cell r="F8" t="str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D9">
            <v>0</v>
          </cell>
          <cell r="E9">
            <v>0</v>
          </cell>
          <cell r="F9" t="str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D10">
            <v>0</v>
          </cell>
          <cell r="E10">
            <v>0</v>
          </cell>
          <cell r="F10" t="str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D11">
            <v>0</v>
          </cell>
          <cell r="E11">
            <v>0</v>
          </cell>
          <cell r="F11" t="str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D12">
            <v>0</v>
          </cell>
          <cell r="E12">
            <v>0</v>
          </cell>
          <cell r="F12" t="str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D13">
            <v>0</v>
          </cell>
          <cell r="E13">
            <v>0</v>
          </cell>
          <cell r="F13" t="str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D14">
            <v>0</v>
          </cell>
          <cell r="E14">
            <v>0</v>
          </cell>
          <cell r="F14" t="str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D15">
            <v>0</v>
          </cell>
          <cell r="E15">
            <v>0</v>
          </cell>
          <cell r="F15" t="str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平均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11.333333333333334</v>
          </cell>
          <cell r="K16">
            <v>1720.4190476190458</v>
          </cell>
          <cell r="L16">
            <v>151.37777777777762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D17" t="str">
            <v>鮭鮪海饌雙手卷(捲)</v>
          </cell>
          <cell r="E17">
            <v>0</v>
          </cell>
          <cell r="F17" t="str">
            <v>0</v>
          </cell>
          <cell r="G17">
            <v>2303</v>
          </cell>
          <cell r="H17">
            <v>0</v>
          </cell>
          <cell r="I17">
            <v>0</v>
          </cell>
          <cell r="J17">
            <v>10</v>
          </cell>
          <cell r="K17">
            <v>1625.6470588235304</v>
          </cell>
          <cell r="L17">
            <v>162.56470588235305</v>
          </cell>
          <cell r="M17">
            <v>0.17361111111111113</v>
          </cell>
          <cell r="N17">
            <v>0.23263888888888887</v>
          </cell>
          <cell r="O17">
            <v>5</v>
          </cell>
          <cell r="P17">
            <v>84.999999999999943</v>
          </cell>
          <cell r="Q17">
            <v>0</v>
          </cell>
          <cell r="R17">
            <v>0</v>
          </cell>
        </row>
        <row r="18">
          <cell r="D18" t="str">
            <v>經典人氣雙手卷(捲)</v>
          </cell>
          <cell r="E18">
            <v>0</v>
          </cell>
          <cell r="F18" t="str">
            <v>0</v>
          </cell>
          <cell r="G18">
            <v>2190</v>
          </cell>
          <cell r="H18">
            <v>0</v>
          </cell>
          <cell r="I18">
            <v>0</v>
          </cell>
          <cell r="J18">
            <v>10</v>
          </cell>
          <cell r="K18">
            <v>1642.5</v>
          </cell>
          <cell r="L18">
            <v>164.25</v>
          </cell>
          <cell r="M18">
            <v>0.23611111111111113</v>
          </cell>
          <cell r="N18">
            <v>0.29166666666666669</v>
          </cell>
          <cell r="O18">
            <v>5</v>
          </cell>
          <cell r="P18">
            <v>80</v>
          </cell>
          <cell r="Q18">
            <v>0</v>
          </cell>
          <cell r="R18">
            <v>0</v>
          </cell>
        </row>
        <row r="19">
          <cell r="D19" t="str">
            <v>鐵板牛套餐包手卷</v>
          </cell>
          <cell r="E19">
            <v>0</v>
          </cell>
          <cell r="F19">
            <v>36.450000000000003</v>
          </cell>
          <cell r="G19">
            <v>1774</v>
          </cell>
          <cell r="H19">
            <v>64662.3</v>
          </cell>
          <cell r="I19">
            <v>0</v>
          </cell>
          <cell r="J19">
            <v>13</v>
          </cell>
          <cell r="K19">
            <v>1520.5714285714289</v>
          </cell>
          <cell r="L19">
            <v>116.96703296703299</v>
          </cell>
          <cell r="M19">
            <v>0.4375</v>
          </cell>
          <cell r="N19">
            <v>0.4861111111111111</v>
          </cell>
          <cell r="O19">
            <v>5</v>
          </cell>
          <cell r="P19">
            <v>69.999999999999986</v>
          </cell>
          <cell r="Q19">
            <v>0</v>
          </cell>
          <cell r="R19">
            <v>0</v>
          </cell>
        </row>
        <row r="20">
          <cell r="D20" t="str">
            <v>香辣醬雞肉炒飯飯糰</v>
          </cell>
          <cell r="E20">
            <v>0</v>
          </cell>
          <cell r="F20">
            <v>30.13</v>
          </cell>
          <cell r="G20">
            <v>4140</v>
          </cell>
          <cell r="H20">
            <v>124738.2</v>
          </cell>
          <cell r="I20">
            <v>0</v>
          </cell>
          <cell r="J20">
            <v>18</v>
          </cell>
          <cell r="K20">
            <v>1242.0000000000005</v>
          </cell>
          <cell r="L20">
            <v>69.000000000000028</v>
          </cell>
          <cell r="M20">
            <v>0.2951388888888889</v>
          </cell>
          <cell r="N20">
            <v>0.43402777777777773</v>
          </cell>
          <cell r="O20">
            <v>5</v>
          </cell>
          <cell r="P20">
            <v>199.99999999999994</v>
          </cell>
          <cell r="Q20">
            <v>0.49305555555555558</v>
          </cell>
          <cell r="R20">
            <v>0.52430555555555558</v>
          </cell>
        </row>
        <row r="21">
          <cell r="D21">
            <v>0</v>
          </cell>
          <cell r="E21">
            <v>0</v>
          </cell>
          <cell r="F21" t="str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D22">
            <v>0</v>
          </cell>
          <cell r="E22">
            <v>0</v>
          </cell>
          <cell r="F22" t="str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D23">
            <v>0</v>
          </cell>
          <cell r="E23">
            <v>0</v>
          </cell>
          <cell r="F23" t="str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D24" t="str">
            <v>平均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12.75</v>
          </cell>
          <cell r="K24">
            <v>1507.6796218487398</v>
          </cell>
          <cell r="L24">
            <v>128.19543471234653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D25" t="str">
            <v>煙燻培根飯糰(區)</v>
          </cell>
          <cell r="E25">
            <v>0</v>
          </cell>
          <cell r="F25">
            <v>15.03</v>
          </cell>
          <cell r="G25">
            <v>1059</v>
          </cell>
          <cell r="H25">
            <v>15916.769999999999</v>
          </cell>
          <cell r="I25">
            <v>0</v>
          </cell>
          <cell r="J25">
            <v>4</v>
          </cell>
          <cell r="K25">
            <v>2762.608695652174</v>
          </cell>
          <cell r="L25">
            <v>690.6521739130435</v>
          </cell>
          <cell r="M25">
            <v>0.18055555555555555</v>
          </cell>
          <cell r="N25">
            <v>0.19652777777777777</v>
          </cell>
          <cell r="O25">
            <v>20</v>
          </cell>
          <cell r="P25">
            <v>23</v>
          </cell>
          <cell r="Q25">
            <v>0</v>
          </cell>
          <cell r="R25">
            <v>0</v>
          </cell>
        </row>
        <row r="26">
          <cell r="D26" t="str">
            <v>碳烤燒肉飯飯糰(區)</v>
          </cell>
          <cell r="E26">
            <v>0</v>
          </cell>
          <cell r="F26">
            <v>18.18</v>
          </cell>
          <cell r="G26">
            <v>3170</v>
          </cell>
          <cell r="H26">
            <v>57630.6</v>
          </cell>
          <cell r="I26">
            <v>0</v>
          </cell>
          <cell r="J26">
            <v>4</v>
          </cell>
          <cell r="K26">
            <v>2797.0588235294099</v>
          </cell>
          <cell r="L26">
            <v>699.26470588235247</v>
          </cell>
          <cell r="M26">
            <v>0.21041666666666667</v>
          </cell>
          <cell r="N26">
            <v>0.25763888888888892</v>
          </cell>
          <cell r="O26">
            <v>20</v>
          </cell>
          <cell r="P26">
            <v>68.000000000000043</v>
          </cell>
          <cell r="Q26">
            <v>0.25763888888888892</v>
          </cell>
          <cell r="R26">
            <v>0.29930555555555555</v>
          </cell>
        </row>
        <row r="27">
          <cell r="D27" t="str">
            <v>鮭魚奶油醬油飯糰</v>
          </cell>
          <cell r="E27">
            <v>0</v>
          </cell>
          <cell r="F27">
            <v>18.53</v>
          </cell>
          <cell r="G27">
            <v>1829</v>
          </cell>
          <cell r="H27">
            <v>33891.370000000003</v>
          </cell>
          <cell r="I27">
            <v>0</v>
          </cell>
          <cell r="J27">
            <v>3</v>
          </cell>
          <cell r="K27">
            <v>2743.4999999999932</v>
          </cell>
          <cell r="L27">
            <v>914.49999999999773</v>
          </cell>
          <cell r="M27">
            <v>0.31666666666666665</v>
          </cell>
          <cell r="N27">
            <v>0.3444444444444445</v>
          </cell>
          <cell r="O27">
            <v>25</v>
          </cell>
          <cell r="P27">
            <v>40.000000000000099</v>
          </cell>
          <cell r="Q27">
            <v>0</v>
          </cell>
          <cell r="R27">
            <v>0</v>
          </cell>
        </row>
        <row r="28">
          <cell r="D28" t="str">
            <v>明太子生鮭飯糰(區)</v>
          </cell>
          <cell r="E28">
            <v>0</v>
          </cell>
          <cell r="F28">
            <v>24.93</v>
          </cell>
          <cell r="G28">
            <v>2495</v>
          </cell>
          <cell r="H28">
            <v>62200.35</v>
          </cell>
          <cell r="I28">
            <v>0</v>
          </cell>
          <cell r="J28">
            <v>3</v>
          </cell>
          <cell r="K28">
            <v>2994.0000000000009</v>
          </cell>
          <cell r="L28">
            <v>998.00000000000034</v>
          </cell>
          <cell r="M28">
            <v>0.35833333333333334</v>
          </cell>
          <cell r="N28">
            <v>0.39305555555555555</v>
          </cell>
          <cell r="O28">
            <v>20</v>
          </cell>
          <cell r="P28">
            <v>49.999999999999986</v>
          </cell>
          <cell r="Q28">
            <v>0</v>
          </cell>
          <cell r="R28">
            <v>0</v>
          </cell>
        </row>
        <row r="29">
          <cell r="D29">
            <v>0</v>
          </cell>
          <cell r="E29">
            <v>0</v>
          </cell>
          <cell r="F29" t="str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>
            <v>0</v>
          </cell>
          <cell r="E30">
            <v>0</v>
          </cell>
          <cell r="F30" t="str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D31">
            <v>0</v>
          </cell>
          <cell r="E31">
            <v>0</v>
          </cell>
          <cell r="F31" t="str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D32">
            <v>0</v>
          </cell>
          <cell r="E32">
            <v>0</v>
          </cell>
          <cell r="F32" t="str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D33">
            <v>0</v>
          </cell>
          <cell r="E33">
            <v>0</v>
          </cell>
          <cell r="F33" t="str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D34">
            <v>0</v>
          </cell>
          <cell r="E34">
            <v>0</v>
          </cell>
          <cell r="F34" t="str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D35">
            <v>0</v>
          </cell>
          <cell r="E35">
            <v>0</v>
          </cell>
          <cell r="F35" t="str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D36">
            <v>0</v>
          </cell>
          <cell r="E36">
            <v>0</v>
          </cell>
          <cell r="F36" t="str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D37">
            <v>0</v>
          </cell>
          <cell r="E37">
            <v>0</v>
          </cell>
          <cell r="F37" t="str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D38" t="str">
            <v>平均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3.5</v>
          </cell>
          <cell r="K38">
            <v>2824.2918797953944</v>
          </cell>
          <cell r="L38">
            <v>825.60421994884848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D39">
            <v>0</v>
          </cell>
          <cell r="E39">
            <v>0</v>
          </cell>
          <cell r="F39" t="str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D40">
            <v>0</v>
          </cell>
          <cell r="E40">
            <v>0</v>
          </cell>
          <cell r="F40" t="str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>
            <v>0</v>
          </cell>
          <cell r="E41">
            <v>0</v>
          </cell>
          <cell r="F41" t="str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D42">
            <v>0</v>
          </cell>
          <cell r="E42">
            <v>0</v>
          </cell>
          <cell r="F42" t="str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D43">
            <v>0</v>
          </cell>
          <cell r="E43">
            <v>0</v>
          </cell>
          <cell r="F43" t="str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 t="str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D45">
            <v>0</v>
          </cell>
          <cell r="E45">
            <v>0</v>
          </cell>
          <cell r="F45" t="str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D46">
            <v>0</v>
          </cell>
          <cell r="E46">
            <v>0</v>
          </cell>
          <cell r="F46" t="str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>
            <v>0</v>
          </cell>
          <cell r="E47">
            <v>0</v>
          </cell>
          <cell r="F47" t="str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D48">
            <v>0</v>
          </cell>
          <cell r="E48">
            <v>0</v>
          </cell>
          <cell r="F48" t="str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D49">
            <v>0</v>
          </cell>
          <cell r="E49">
            <v>0</v>
          </cell>
          <cell r="F49" t="str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>
            <v>0</v>
          </cell>
          <cell r="E50">
            <v>0</v>
          </cell>
          <cell r="F50" t="str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平均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>蔬食鮪魚飯糰</v>
          </cell>
          <cell r="E52">
            <v>0</v>
          </cell>
          <cell r="F52">
            <v>18.18</v>
          </cell>
          <cell r="G52">
            <v>1074</v>
          </cell>
          <cell r="H52">
            <v>19525.32</v>
          </cell>
          <cell r="I52">
            <v>0</v>
          </cell>
          <cell r="J52">
            <v>3</v>
          </cell>
          <cell r="K52">
            <v>3068.5714285714162</v>
          </cell>
          <cell r="L52">
            <v>1022.8571428571387</v>
          </cell>
          <cell r="M52">
            <v>0.30555555555555552</v>
          </cell>
          <cell r="N52">
            <v>0.32013888888888892</v>
          </cell>
          <cell r="O52">
            <v>20</v>
          </cell>
          <cell r="P52">
            <v>21.000000000000085</v>
          </cell>
          <cell r="Q52">
            <v>0</v>
          </cell>
          <cell r="R52">
            <v>0</v>
          </cell>
        </row>
        <row r="53">
          <cell r="D53" t="str">
            <v>熟成紅鮭飯糰</v>
          </cell>
          <cell r="E53">
            <v>0</v>
          </cell>
          <cell r="F53">
            <v>25.03</v>
          </cell>
          <cell r="G53">
            <v>711</v>
          </cell>
          <cell r="H53">
            <v>17796.330000000002</v>
          </cell>
          <cell r="I53">
            <v>0</v>
          </cell>
          <cell r="J53">
            <v>4</v>
          </cell>
          <cell r="K53">
            <v>3047.1428571428683</v>
          </cell>
          <cell r="L53">
            <v>761.78571428571706</v>
          </cell>
          <cell r="M53">
            <v>0.33402777777777781</v>
          </cell>
          <cell r="N53">
            <v>0.34375</v>
          </cell>
          <cell r="O53">
            <v>20</v>
          </cell>
          <cell r="P53">
            <v>13.99999999999995</v>
          </cell>
          <cell r="Q53">
            <v>0</v>
          </cell>
          <cell r="R53">
            <v>0</v>
          </cell>
        </row>
        <row r="54">
          <cell r="D54" t="str">
            <v>北海道秋鮭親子飯糰</v>
          </cell>
          <cell r="E54">
            <v>0</v>
          </cell>
          <cell r="F54">
            <v>24.82</v>
          </cell>
          <cell r="G54">
            <v>929</v>
          </cell>
          <cell r="H54">
            <v>23057.78</v>
          </cell>
          <cell r="I54">
            <v>0</v>
          </cell>
          <cell r="J54">
            <v>4</v>
          </cell>
          <cell r="K54">
            <v>3096.6666666666774</v>
          </cell>
          <cell r="L54">
            <v>774.16666666666936</v>
          </cell>
          <cell r="M54">
            <v>0.3576388888888889</v>
          </cell>
          <cell r="N54">
            <v>0.37013888888888885</v>
          </cell>
          <cell r="O54">
            <v>20</v>
          </cell>
          <cell r="P54">
            <v>17.999999999999936</v>
          </cell>
          <cell r="Q54">
            <v>0</v>
          </cell>
          <cell r="R54">
            <v>0</v>
          </cell>
        </row>
        <row r="55">
          <cell r="D55" t="str">
            <v>贅沢鮭魚肚飯糰</v>
          </cell>
          <cell r="E55">
            <v>0</v>
          </cell>
          <cell r="F55">
            <v>30</v>
          </cell>
          <cell r="G55">
            <v>1315</v>
          </cell>
          <cell r="H55">
            <v>39450</v>
          </cell>
          <cell r="I55">
            <v>0</v>
          </cell>
          <cell r="J55">
            <v>4</v>
          </cell>
          <cell r="K55">
            <v>3156.0000000000114</v>
          </cell>
          <cell r="L55">
            <v>789.00000000000284</v>
          </cell>
          <cell r="M55">
            <v>0.3840277777777778</v>
          </cell>
          <cell r="N55">
            <v>0.40138888888888885</v>
          </cell>
          <cell r="O55">
            <v>20</v>
          </cell>
          <cell r="P55">
            <v>24.999999999999911</v>
          </cell>
          <cell r="Q55">
            <v>0.40138888888888885</v>
          </cell>
          <cell r="R55">
            <v>0.44305555555555554</v>
          </cell>
        </row>
        <row r="56">
          <cell r="D56" t="str">
            <v>柚檸海灣貝飯糰</v>
          </cell>
          <cell r="E56">
            <v>0</v>
          </cell>
          <cell r="F56">
            <v>23.72</v>
          </cell>
          <cell r="G56">
            <v>911</v>
          </cell>
          <cell r="H56">
            <v>21608.92</v>
          </cell>
          <cell r="I56">
            <v>0</v>
          </cell>
          <cell r="J56">
            <v>4</v>
          </cell>
          <cell r="K56">
            <v>2876.8421052631556</v>
          </cell>
          <cell r="L56">
            <v>719.21052631578891</v>
          </cell>
          <cell r="M56">
            <v>0.4604166666666667</v>
          </cell>
          <cell r="N56">
            <v>0.47361111111111115</v>
          </cell>
          <cell r="O56">
            <v>25</v>
          </cell>
          <cell r="P56">
            <v>19.000000000000014</v>
          </cell>
          <cell r="Q56">
            <v>0</v>
          </cell>
          <cell r="R56">
            <v>0</v>
          </cell>
        </row>
        <row r="57">
          <cell r="D57" t="str">
            <v>黑胡椒洋蔥豬飯糰</v>
          </cell>
          <cell r="E57">
            <v>0</v>
          </cell>
          <cell r="F57">
            <v>17.07</v>
          </cell>
          <cell r="G57">
            <v>2160</v>
          </cell>
          <cell r="H57">
            <v>36871.199999999997</v>
          </cell>
          <cell r="I57">
            <v>0</v>
          </cell>
          <cell r="J57">
            <v>3</v>
          </cell>
          <cell r="K57">
            <v>3160.9756097561026</v>
          </cell>
          <cell r="L57">
            <v>1053.6585365853675</v>
          </cell>
          <cell r="M57">
            <v>0.48749999999999999</v>
          </cell>
          <cell r="N57">
            <v>0.51597222222222217</v>
          </cell>
          <cell r="O57">
            <v>20</v>
          </cell>
          <cell r="P57">
            <v>40.999999999999936</v>
          </cell>
          <cell r="Q57">
            <v>0</v>
          </cell>
          <cell r="R57">
            <v>0</v>
          </cell>
        </row>
        <row r="58">
          <cell r="D58">
            <v>0</v>
          </cell>
          <cell r="E58">
            <v>0</v>
          </cell>
          <cell r="F58" t="str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D59">
            <v>0</v>
          </cell>
          <cell r="E59">
            <v>0</v>
          </cell>
          <cell r="F59" t="str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D60">
            <v>0</v>
          </cell>
          <cell r="E60">
            <v>0</v>
          </cell>
          <cell r="F60" t="str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D61">
            <v>0</v>
          </cell>
          <cell r="E61">
            <v>0</v>
          </cell>
          <cell r="F61" t="str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D62">
            <v>0</v>
          </cell>
          <cell r="E62">
            <v>0</v>
          </cell>
          <cell r="F62" t="str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D63">
            <v>0</v>
          </cell>
          <cell r="E63">
            <v>0</v>
          </cell>
          <cell r="F63" t="str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D64" t="str">
            <v>平均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3.6666666666666665</v>
          </cell>
          <cell r="K64">
            <v>3067.699777900039</v>
          </cell>
          <cell r="L64">
            <v>853.44643111844744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D65" t="str">
            <v>壹號醬炙烤牛飯糰</v>
          </cell>
          <cell r="E65">
            <v>0</v>
          </cell>
          <cell r="F65">
            <v>22.281818181818181</v>
          </cell>
          <cell r="G65">
            <v>734</v>
          </cell>
          <cell r="H65">
            <v>16354.854545454546</v>
          </cell>
          <cell r="I65">
            <v>0</v>
          </cell>
          <cell r="J65">
            <v>4</v>
          </cell>
          <cell r="K65">
            <v>3145.7142857142881</v>
          </cell>
          <cell r="L65">
            <v>786.42857142857201</v>
          </cell>
          <cell r="M65">
            <v>0.18055555555555555</v>
          </cell>
          <cell r="N65">
            <v>0.19027777777777777</v>
          </cell>
          <cell r="O65">
            <v>20</v>
          </cell>
          <cell r="P65">
            <v>13.999999999999989</v>
          </cell>
          <cell r="Q65">
            <v>0</v>
          </cell>
          <cell r="R65">
            <v>0</v>
          </cell>
        </row>
        <row r="66">
          <cell r="D66" t="str">
            <v>明太子龍蝦風味沙拉飯糰</v>
          </cell>
          <cell r="E66">
            <v>0</v>
          </cell>
          <cell r="F66">
            <v>18.18</v>
          </cell>
          <cell r="G66">
            <v>1594</v>
          </cell>
          <cell r="H66">
            <v>28978.92</v>
          </cell>
          <cell r="I66">
            <v>0</v>
          </cell>
          <cell r="J66">
            <v>3</v>
          </cell>
          <cell r="K66">
            <v>3188.0000000000027</v>
          </cell>
          <cell r="L66">
            <v>1062.6666666666677</v>
          </cell>
          <cell r="M66">
            <v>0.20416666666666669</v>
          </cell>
          <cell r="N66">
            <v>0.22500000000000001</v>
          </cell>
          <cell r="O66">
            <v>20</v>
          </cell>
          <cell r="P66">
            <v>29.999999999999972</v>
          </cell>
          <cell r="Q66">
            <v>0</v>
          </cell>
          <cell r="R66">
            <v>0</v>
          </cell>
        </row>
        <row r="67">
          <cell r="D67" t="str">
            <v>鹽蔥燒肉飯糰</v>
          </cell>
          <cell r="E67">
            <v>0</v>
          </cell>
          <cell r="F67">
            <v>17.890909090909091</v>
          </cell>
          <cell r="G67">
            <v>1694</v>
          </cell>
          <cell r="H67">
            <v>30307.200000000001</v>
          </cell>
          <cell r="I67">
            <v>0</v>
          </cell>
          <cell r="J67">
            <v>3</v>
          </cell>
          <cell r="K67">
            <v>3176.2499999999991</v>
          </cell>
          <cell r="L67">
            <v>1058.7499999999998</v>
          </cell>
          <cell r="M67">
            <v>0.2388888888888889</v>
          </cell>
          <cell r="N67">
            <v>0.26111111111111113</v>
          </cell>
          <cell r="O67">
            <v>20</v>
          </cell>
          <cell r="P67">
            <v>32.000000000000007</v>
          </cell>
          <cell r="Q67">
            <v>0.26111111111111113</v>
          </cell>
          <cell r="R67">
            <v>0.30277777777777776</v>
          </cell>
        </row>
        <row r="68">
          <cell r="D68" t="str">
            <v>鮪魚飯糰</v>
          </cell>
          <cell r="E68">
            <v>0</v>
          </cell>
          <cell r="F68">
            <v>14.285714285714283</v>
          </cell>
          <cell r="G68">
            <v>4718</v>
          </cell>
          <cell r="H68">
            <v>67399.999999999985</v>
          </cell>
          <cell r="I68">
            <v>0</v>
          </cell>
          <cell r="J68">
            <v>3</v>
          </cell>
          <cell r="K68">
            <v>3180.6741573033732</v>
          </cell>
          <cell r="L68">
            <v>1060.2247191011245</v>
          </cell>
          <cell r="M68">
            <v>0.32013888888888892</v>
          </cell>
          <cell r="N68">
            <v>0.38194444444444442</v>
          </cell>
          <cell r="O68">
            <v>25</v>
          </cell>
          <cell r="P68">
            <v>88.999999999999929</v>
          </cell>
          <cell r="Q68">
            <v>0</v>
          </cell>
          <cell r="R68">
            <v>0</v>
          </cell>
        </row>
        <row r="69">
          <cell r="D69" t="str">
            <v>雞肉飯飯糰</v>
          </cell>
          <cell r="E69">
            <v>0</v>
          </cell>
          <cell r="F69">
            <v>16.66</v>
          </cell>
          <cell r="G69">
            <v>3063</v>
          </cell>
          <cell r="H69">
            <v>51029.58</v>
          </cell>
          <cell r="I69">
            <v>0</v>
          </cell>
          <cell r="J69">
            <v>4</v>
          </cell>
          <cell r="K69">
            <v>3168.6206896551707</v>
          </cell>
          <cell r="L69">
            <v>792.15517241379268</v>
          </cell>
          <cell r="M69">
            <v>0.39583333333333331</v>
          </cell>
          <cell r="N69">
            <v>0.43611111111111112</v>
          </cell>
          <cell r="O69">
            <v>20</v>
          </cell>
          <cell r="P69">
            <v>58.000000000000036</v>
          </cell>
          <cell r="Q69">
            <v>0</v>
          </cell>
          <cell r="R69">
            <v>0</v>
          </cell>
        </row>
        <row r="70">
          <cell r="D70" t="str">
            <v>經典肉鬆飯糰</v>
          </cell>
          <cell r="E70">
            <v>0</v>
          </cell>
          <cell r="F70">
            <v>14.03</v>
          </cell>
          <cell r="G70">
            <v>2988</v>
          </cell>
          <cell r="H70">
            <v>41921.64</v>
          </cell>
          <cell r="I70">
            <v>0</v>
          </cell>
          <cell r="J70">
            <v>3</v>
          </cell>
          <cell r="K70">
            <v>3201.4285714285738</v>
          </cell>
          <cell r="L70">
            <v>1067.142857142858</v>
          </cell>
          <cell r="M70">
            <v>0.45</v>
          </cell>
          <cell r="N70">
            <v>0.48888888888888887</v>
          </cell>
          <cell r="O70">
            <v>20</v>
          </cell>
          <cell r="P70">
            <v>55.999999999999957</v>
          </cell>
          <cell r="Q70">
            <v>0</v>
          </cell>
          <cell r="R70">
            <v>0</v>
          </cell>
        </row>
        <row r="71">
          <cell r="D71" t="str">
            <v>山葵章魚飯糰</v>
          </cell>
          <cell r="E71">
            <v>0</v>
          </cell>
          <cell r="F71">
            <v>25.2</v>
          </cell>
          <cell r="G71">
            <v>927</v>
          </cell>
          <cell r="H71">
            <v>23360.399999999998</v>
          </cell>
          <cell r="I71">
            <v>0</v>
          </cell>
          <cell r="J71">
            <v>3</v>
          </cell>
          <cell r="K71">
            <v>3089.9999999999832</v>
          </cell>
          <cell r="L71">
            <v>1029.9999999999943</v>
          </cell>
          <cell r="M71">
            <v>0.50277777777777777</v>
          </cell>
          <cell r="N71">
            <v>0.51527777777777783</v>
          </cell>
          <cell r="O71">
            <v>20</v>
          </cell>
          <cell r="P71">
            <v>18.000000000000096</v>
          </cell>
          <cell r="Q71">
            <v>0</v>
          </cell>
          <cell r="R71">
            <v>0</v>
          </cell>
        </row>
        <row r="72">
          <cell r="D72" t="str">
            <v>椒鹽檸檬鯖魚飯糰</v>
          </cell>
          <cell r="E72">
            <v>0</v>
          </cell>
          <cell r="F72">
            <v>20.72</v>
          </cell>
          <cell r="G72">
            <v>2029</v>
          </cell>
          <cell r="H72">
            <v>42040.88</v>
          </cell>
          <cell r="I72">
            <v>0</v>
          </cell>
          <cell r="J72">
            <v>3</v>
          </cell>
          <cell r="K72">
            <v>3121.5384615384601</v>
          </cell>
          <cell r="L72">
            <v>1040.5128205128201</v>
          </cell>
          <cell r="M72">
            <v>0.52916666666666667</v>
          </cell>
          <cell r="N72">
            <v>0.55625000000000002</v>
          </cell>
          <cell r="O72">
            <v>20</v>
          </cell>
          <cell r="P72">
            <v>39.000000000000021</v>
          </cell>
          <cell r="Q72">
            <v>0</v>
          </cell>
          <cell r="R72">
            <v>0</v>
          </cell>
        </row>
        <row r="73">
          <cell r="D73">
            <v>0</v>
          </cell>
          <cell r="E73">
            <v>0</v>
          </cell>
          <cell r="F73" t="str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D74">
            <v>0</v>
          </cell>
          <cell r="E74">
            <v>0</v>
          </cell>
          <cell r="F74" t="str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D75" t="str">
            <v>平均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3.25</v>
          </cell>
          <cell r="K75">
            <v>3159.028270704981</v>
          </cell>
          <cell r="L75">
            <v>987.23510090822867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D76">
            <v>0</v>
          </cell>
          <cell r="E76">
            <v>0</v>
          </cell>
          <cell r="F76" t="str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>
            <v>0</v>
          </cell>
          <cell r="E77">
            <v>0</v>
          </cell>
          <cell r="F77" t="str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>
            <v>0</v>
          </cell>
          <cell r="E78">
            <v>0</v>
          </cell>
          <cell r="F78" t="str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>
            <v>0</v>
          </cell>
          <cell r="E79">
            <v>0</v>
          </cell>
          <cell r="F79" t="str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D80">
            <v>0</v>
          </cell>
          <cell r="E80">
            <v>0</v>
          </cell>
          <cell r="F80" t="str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D81" t="str">
            <v>平均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D82" t="str">
            <v>二配鹽水G絲飯糰</v>
          </cell>
          <cell r="E82">
            <v>0</v>
          </cell>
          <cell r="F82">
            <v>17.22</v>
          </cell>
          <cell r="G82">
            <v>879</v>
          </cell>
          <cell r="H82">
            <v>15136.38</v>
          </cell>
          <cell r="I82">
            <v>0</v>
          </cell>
          <cell r="J82">
            <v>3</v>
          </cell>
          <cell r="K82">
            <v>2636.9999999999882</v>
          </cell>
          <cell r="L82">
            <v>878.99999999999602</v>
          </cell>
          <cell r="M82">
            <v>0.72222222222222221</v>
          </cell>
          <cell r="N82">
            <v>0.73611111111111116</v>
          </cell>
          <cell r="O82">
            <v>20</v>
          </cell>
          <cell r="P82">
            <v>20.000000000000089</v>
          </cell>
          <cell r="Q82">
            <v>0</v>
          </cell>
          <cell r="R82">
            <v>0</v>
          </cell>
        </row>
        <row r="83">
          <cell r="D83">
            <v>0</v>
          </cell>
          <cell r="E83">
            <v>0</v>
          </cell>
          <cell r="F83" t="str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D84">
            <v>0</v>
          </cell>
          <cell r="E84">
            <v>0</v>
          </cell>
          <cell r="F84" t="str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>
            <v>0</v>
          </cell>
          <cell r="E85">
            <v>0</v>
          </cell>
          <cell r="F85" t="str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D86">
            <v>0</v>
          </cell>
          <cell r="E86">
            <v>0</v>
          </cell>
          <cell r="F86" t="str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>
            <v>0</v>
          </cell>
          <cell r="E87">
            <v>0</v>
          </cell>
          <cell r="F87" t="str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D88">
            <v>0</v>
          </cell>
          <cell r="E88">
            <v>0</v>
          </cell>
          <cell r="F88" t="str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>
            <v>0</v>
          </cell>
          <cell r="E89">
            <v>0</v>
          </cell>
          <cell r="F89" t="str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>
            <v>0</v>
          </cell>
          <cell r="E90">
            <v>0</v>
          </cell>
          <cell r="F90" t="str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D91" t="str">
            <v>平均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3</v>
          </cell>
          <cell r="K91">
            <v>2636.9999999999882</v>
          </cell>
          <cell r="L91">
            <v>878.99999999999602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D92" t="str">
            <v>二配大飯糰韓式蒜烤豬五花</v>
          </cell>
          <cell r="E92">
            <v>0</v>
          </cell>
          <cell r="F92">
            <v>24.54</v>
          </cell>
          <cell r="G92">
            <v>1565</v>
          </cell>
          <cell r="H92">
            <v>38405.1</v>
          </cell>
          <cell r="I92">
            <v>0</v>
          </cell>
          <cell r="J92">
            <v>3</v>
          </cell>
          <cell r="K92">
            <v>2086.6666666666665</v>
          </cell>
          <cell r="L92">
            <v>695.55555555555554</v>
          </cell>
          <cell r="M92">
            <v>0.72222222222222221</v>
          </cell>
          <cell r="N92">
            <v>0.75347222222222221</v>
          </cell>
          <cell r="O92">
            <v>20</v>
          </cell>
          <cell r="P92">
            <v>45</v>
          </cell>
          <cell r="Q92">
            <v>0</v>
          </cell>
          <cell r="R92">
            <v>0</v>
          </cell>
        </row>
        <row r="93">
          <cell r="D93" t="str">
            <v>二配大飯糰乾燒風味鮮蝦</v>
          </cell>
          <cell r="E93">
            <v>0</v>
          </cell>
          <cell r="F93">
            <v>23.27</v>
          </cell>
          <cell r="G93">
            <v>1091</v>
          </cell>
          <cell r="H93">
            <v>25387.57</v>
          </cell>
          <cell r="I93">
            <v>0</v>
          </cell>
          <cell r="J93">
            <v>4</v>
          </cell>
          <cell r="K93">
            <v>2181.9999999999964</v>
          </cell>
          <cell r="L93">
            <v>545.49999999999909</v>
          </cell>
          <cell r="M93">
            <v>0.76736111111111116</v>
          </cell>
          <cell r="N93">
            <v>0.78819444444444453</v>
          </cell>
          <cell r="O93">
            <v>20</v>
          </cell>
          <cell r="P93">
            <v>30.000000000000053</v>
          </cell>
          <cell r="Q93">
            <v>0</v>
          </cell>
          <cell r="R93">
            <v>0</v>
          </cell>
        </row>
        <row r="94">
          <cell r="D94">
            <v>0</v>
          </cell>
          <cell r="E94">
            <v>0</v>
          </cell>
          <cell r="F94" t="str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D95">
            <v>0</v>
          </cell>
          <cell r="E95">
            <v>0</v>
          </cell>
          <cell r="F95" t="str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D96">
            <v>0</v>
          </cell>
          <cell r="E96">
            <v>0</v>
          </cell>
          <cell r="F96" t="str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D97">
            <v>0</v>
          </cell>
          <cell r="E97">
            <v>0</v>
          </cell>
          <cell r="F97" t="str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D98">
            <v>0</v>
          </cell>
          <cell r="E98">
            <v>0</v>
          </cell>
          <cell r="F98" t="str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D99">
            <v>0</v>
          </cell>
          <cell r="E99">
            <v>0</v>
          </cell>
          <cell r="F99" t="str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D100" t="str">
            <v>平均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3.5</v>
          </cell>
          <cell r="K100">
            <v>2134.3333333333312</v>
          </cell>
          <cell r="L100">
            <v>620.52777777777737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D101" t="str">
            <v>二配熟成紅鮭飯糰</v>
          </cell>
          <cell r="E101">
            <v>0</v>
          </cell>
          <cell r="F101">
            <v>25.03</v>
          </cell>
          <cell r="G101">
            <v>1151</v>
          </cell>
          <cell r="H101">
            <v>28809.530000000002</v>
          </cell>
          <cell r="I101">
            <v>0</v>
          </cell>
          <cell r="J101">
            <v>4</v>
          </cell>
          <cell r="K101">
            <v>3452.9999999999845</v>
          </cell>
          <cell r="L101">
            <v>863.24999999999613</v>
          </cell>
          <cell r="M101">
            <v>0.72222222222222221</v>
          </cell>
          <cell r="N101">
            <v>0.73611111111111116</v>
          </cell>
          <cell r="O101">
            <v>20</v>
          </cell>
          <cell r="P101">
            <v>20.000000000000089</v>
          </cell>
          <cell r="Q101">
            <v>0</v>
          </cell>
          <cell r="R101">
            <v>0</v>
          </cell>
        </row>
        <row r="102">
          <cell r="D102" t="str">
            <v>二配北海道秋鮭親子飯糰</v>
          </cell>
          <cell r="E102">
            <v>0</v>
          </cell>
          <cell r="F102">
            <v>24.82</v>
          </cell>
          <cell r="G102">
            <v>1802</v>
          </cell>
          <cell r="H102">
            <v>44725.64</v>
          </cell>
          <cell r="I102">
            <v>0</v>
          </cell>
          <cell r="J102">
            <v>4</v>
          </cell>
          <cell r="K102">
            <v>3089.1428571428683</v>
          </cell>
          <cell r="L102">
            <v>772.28571428571706</v>
          </cell>
          <cell r="M102">
            <v>0.75</v>
          </cell>
          <cell r="N102">
            <v>0.77430555555555547</v>
          </cell>
          <cell r="O102">
            <v>20</v>
          </cell>
          <cell r="P102">
            <v>34.999999999999872</v>
          </cell>
          <cell r="Q102">
            <v>0</v>
          </cell>
          <cell r="R102">
            <v>0</v>
          </cell>
        </row>
        <row r="103">
          <cell r="D103" t="str">
            <v>二配贅沢鮭魚肚飯糰</v>
          </cell>
          <cell r="E103">
            <v>0</v>
          </cell>
          <cell r="F103">
            <v>30</v>
          </cell>
          <cell r="G103">
            <v>2009</v>
          </cell>
          <cell r="H103">
            <v>60270</v>
          </cell>
          <cell r="I103">
            <v>0</v>
          </cell>
          <cell r="J103">
            <v>3</v>
          </cell>
          <cell r="K103">
            <v>3013.5000000000109</v>
          </cell>
          <cell r="L103">
            <v>1004.5000000000036</v>
          </cell>
          <cell r="M103">
            <v>0.78819444444444453</v>
          </cell>
          <cell r="N103">
            <v>0.81597222222222221</v>
          </cell>
          <cell r="O103">
            <v>20</v>
          </cell>
          <cell r="P103">
            <v>39.999999999999858</v>
          </cell>
          <cell r="Q103">
            <v>0</v>
          </cell>
          <cell r="R103">
            <v>0</v>
          </cell>
        </row>
        <row r="104">
          <cell r="D104" t="str">
            <v>二配明太子龍蝦風味沙拉飯糰</v>
          </cell>
          <cell r="E104">
            <v>0</v>
          </cell>
          <cell r="F104">
            <v>28.57</v>
          </cell>
          <cell r="G104">
            <v>3239</v>
          </cell>
          <cell r="H104">
            <v>92538.23</v>
          </cell>
          <cell r="I104">
            <v>0</v>
          </cell>
          <cell r="J104">
            <v>3</v>
          </cell>
          <cell r="K104">
            <v>2989.846153846157</v>
          </cell>
          <cell r="L104">
            <v>996.61538461538566</v>
          </cell>
          <cell r="M104">
            <v>0.82986111111111116</v>
          </cell>
          <cell r="N104">
            <v>0.875</v>
          </cell>
          <cell r="O104">
            <v>20</v>
          </cell>
          <cell r="P104">
            <v>64.999999999999929</v>
          </cell>
          <cell r="Q104">
            <v>0.875</v>
          </cell>
          <cell r="R104">
            <v>0.91666666666666663</v>
          </cell>
        </row>
        <row r="105">
          <cell r="D105" t="str">
            <v>二配鮪魚飯糰</v>
          </cell>
          <cell r="E105">
            <v>0</v>
          </cell>
          <cell r="F105">
            <v>14.285714285714283</v>
          </cell>
          <cell r="G105">
            <v>9139</v>
          </cell>
          <cell r="H105">
            <v>130557.14285714283</v>
          </cell>
          <cell r="I105">
            <v>0</v>
          </cell>
          <cell r="J105">
            <v>3</v>
          </cell>
          <cell r="K105">
            <v>2963.9999999067422</v>
          </cell>
          <cell r="L105">
            <v>987.99999996891404</v>
          </cell>
          <cell r="M105">
            <v>46188.930555555555</v>
          </cell>
          <cell r="N105">
            <v>46189.059027777781</v>
          </cell>
          <cell r="O105">
            <v>20</v>
          </cell>
          <cell r="P105">
            <v>185.00000000582077</v>
          </cell>
          <cell r="Q105">
            <v>0</v>
          </cell>
          <cell r="R105">
            <v>0</v>
          </cell>
        </row>
        <row r="106">
          <cell r="D106">
            <v>0</v>
          </cell>
          <cell r="E106">
            <v>0</v>
          </cell>
          <cell r="F106" t="str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D107">
            <v>0</v>
          </cell>
          <cell r="E107">
            <v>0</v>
          </cell>
          <cell r="F107" t="str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D108">
            <v>0</v>
          </cell>
          <cell r="E108">
            <v>0</v>
          </cell>
          <cell r="F108" t="str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D109">
            <v>0</v>
          </cell>
          <cell r="E109">
            <v>0</v>
          </cell>
          <cell r="F109" t="str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D110">
            <v>0</v>
          </cell>
          <cell r="E110">
            <v>0</v>
          </cell>
          <cell r="F110" t="str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D111" t="str">
            <v>平均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3.4</v>
          </cell>
          <cell r="K111">
            <v>3101.8978021791527</v>
          </cell>
          <cell r="L111">
            <v>924.93021977400326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D112" t="str">
            <v>二配三杯醬爆菇菇飯糰</v>
          </cell>
          <cell r="E112">
            <v>0</v>
          </cell>
          <cell r="F112">
            <v>16.7</v>
          </cell>
          <cell r="G112">
            <v>1482</v>
          </cell>
          <cell r="H112">
            <v>24749.399999999998</v>
          </cell>
          <cell r="I112">
            <v>0</v>
          </cell>
          <cell r="J112">
            <v>3</v>
          </cell>
          <cell r="K112">
            <v>2964.0000000000105</v>
          </cell>
          <cell r="L112">
            <v>988.00000000000352</v>
          </cell>
          <cell r="M112">
            <v>0.72222222222222221</v>
          </cell>
          <cell r="N112">
            <v>0.74305555555555547</v>
          </cell>
          <cell r="O112">
            <v>20</v>
          </cell>
          <cell r="P112">
            <v>29.999999999999893</v>
          </cell>
          <cell r="Q112">
            <v>0</v>
          </cell>
          <cell r="R112">
            <v>0</v>
          </cell>
        </row>
        <row r="113">
          <cell r="D113" t="str">
            <v>二配芝麻香鬆飯糰</v>
          </cell>
          <cell r="E113">
            <v>0</v>
          </cell>
          <cell r="F113">
            <v>18.18</v>
          </cell>
          <cell r="G113">
            <v>1162</v>
          </cell>
          <cell r="H113">
            <v>21125.16</v>
          </cell>
          <cell r="I113">
            <v>0</v>
          </cell>
          <cell r="J113">
            <v>4</v>
          </cell>
          <cell r="K113">
            <v>2788.8000000000279</v>
          </cell>
          <cell r="L113">
            <v>697.20000000000698</v>
          </cell>
          <cell r="M113">
            <v>0.75694444444444453</v>
          </cell>
          <cell r="N113">
            <v>0.77430555555555547</v>
          </cell>
          <cell r="O113">
            <v>20</v>
          </cell>
          <cell r="P113">
            <v>24.999999999999751</v>
          </cell>
          <cell r="Q113">
            <v>0</v>
          </cell>
          <cell r="R113">
            <v>0</v>
          </cell>
        </row>
        <row r="114">
          <cell r="D114" t="str">
            <v>二配蔬食鮪魚飯糰</v>
          </cell>
          <cell r="E114">
            <v>0</v>
          </cell>
          <cell r="F114">
            <v>18.18</v>
          </cell>
          <cell r="G114">
            <v>1227</v>
          </cell>
          <cell r="H114">
            <v>22306.86</v>
          </cell>
          <cell r="I114">
            <v>0</v>
          </cell>
          <cell r="J114">
            <v>3</v>
          </cell>
          <cell r="K114">
            <v>2944.8000000000293</v>
          </cell>
          <cell r="L114">
            <v>981.6000000000098</v>
          </cell>
          <cell r="M114">
            <v>0.78819444444444453</v>
          </cell>
          <cell r="N114">
            <v>0.80555555555555547</v>
          </cell>
          <cell r="O114">
            <v>20</v>
          </cell>
          <cell r="P114">
            <v>24.999999999999751</v>
          </cell>
          <cell r="Q114">
            <v>0</v>
          </cell>
          <cell r="R114">
            <v>0</v>
          </cell>
        </row>
        <row r="115">
          <cell r="D115" t="str">
            <v>二配雞肉飯飯糰</v>
          </cell>
          <cell r="E115">
            <v>0</v>
          </cell>
          <cell r="F115">
            <v>16.66</v>
          </cell>
          <cell r="G115">
            <v>6203</v>
          </cell>
          <cell r="H115">
            <v>103341.98</v>
          </cell>
          <cell r="I115">
            <v>0</v>
          </cell>
          <cell r="J115">
            <v>4</v>
          </cell>
          <cell r="K115">
            <v>2977.4400000000032</v>
          </cell>
          <cell r="L115">
            <v>744.36000000000081</v>
          </cell>
          <cell r="M115">
            <v>0.81944444444444453</v>
          </cell>
          <cell r="N115">
            <v>0.90625</v>
          </cell>
          <cell r="O115">
            <v>20</v>
          </cell>
          <cell r="P115">
            <v>124.99999999999987</v>
          </cell>
          <cell r="Q115">
            <v>0</v>
          </cell>
          <cell r="R115">
            <v>0</v>
          </cell>
        </row>
        <row r="116">
          <cell r="D116" t="str">
            <v>二配壹號醬炙烤牛飯糰</v>
          </cell>
          <cell r="E116">
            <v>0</v>
          </cell>
          <cell r="F116">
            <v>22.281818181818181</v>
          </cell>
          <cell r="G116">
            <v>1171</v>
          </cell>
          <cell r="H116">
            <v>26092.00909090909</v>
          </cell>
          <cell r="I116">
            <v>0</v>
          </cell>
          <cell r="J116">
            <v>4</v>
          </cell>
          <cell r="K116">
            <v>2810.3999999999919</v>
          </cell>
          <cell r="L116">
            <v>702.59999999999798</v>
          </cell>
          <cell r="M116">
            <v>0.92013888888888884</v>
          </cell>
          <cell r="N116">
            <v>0.9375</v>
          </cell>
          <cell r="O116">
            <v>20</v>
          </cell>
          <cell r="P116">
            <v>25.000000000000071</v>
          </cell>
          <cell r="Q116">
            <v>0.9375</v>
          </cell>
          <cell r="R116">
            <v>0.97916666666666663</v>
          </cell>
        </row>
        <row r="117">
          <cell r="D117" t="str">
            <v>二配鹽蔥燒肉飯糰</v>
          </cell>
          <cell r="E117">
            <v>0</v>
          </cell>
          <cell r="F117">
            <v>17.890909090909091</v>
          </cell>
          <cell r="G117">
            <v>3949</v>
          </cell>
          <cell r="H117">
            <v>70651.199999999997</v>
          </cell>
          <cell r="I117">
            <v>0</v>
          </cell>
          <cell r="J117">
            <v>3</v>
          </cell>
          <cell r="K117">
            <v>2961.7500000430991</v>
          </cell>
          <cell r="L117">
            <v>987.25000001436638</v>
          </cell>
          <cell r="M117">
            <v>46187.993055555555</v>
          </cell>
          <cell r="N117">
            <v>46188.048611111109</v>
          </cell>
          <cell r="O117">
            <v>20</v>
          </cell>
          <cell r="P117">
            <v>79.999999998835847</v>
          </cell>
          <cell r="Q117">
            <v>0</v>
          </cell>
          <cell r="R117">
            <v>0</v>
          </cell>
        </row>
        <row r="118">
          <cell r="D118" t="str">
            <v>二配經典肉鬆飯糰</v>
          </cell>
          <cell r="E118">
            <v>0</v>
          </cell>
          <cell r="F118">
            <v>14.03</v>
          </cell>
          <cell r="G118">
            <v>6654</v>
          </cell>
          <cell r="H118">
            <v>93355.62</v>
          </cell>
          <cell r="I118">
            <v>0</v>
          </cell>
          <cell r="J118">
            <v>3</v>
          </cell>
          <cell r="K118">
            <v>2957.3333333333335</v>
          </cell>
          <cell r="L118">
            <v>985.77777777777783</v>
          </cell>
          <cell r="M118">
            <v>6.25E-2</v>
          </cell>
          <cell r="N118">
            <v>0.15625</v>
          </cell>
          <cell r="O118">
            <v>20</v>
          </cell>
          <cell r="P118">
            <v>135</v>
          </cell>
          <cell r="Q118">
            <v>0</v>
          </cell>
          <cell r="R118">
            <v>0</v>
          </cell>
        </row>
        <row r="119">
          <cell r="D119">
            <v>0</v>
          </cell>
          <cell r="E119">
            <v>0</v>
          </cell>
          <cell r="F119" t="str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>
            <v>0</v>
          </cell>
          <cell r="E120">
            <v>0</v>
          </cell>
          <cell r="F120" t="str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>
            <v>0</v>
          </cell>
          <cell r="E121">
            <v>0</v>
          </cell>
          <cell r="F121" t="str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>
            <v>0</v>
          </cell>
          <cell r="E122">
            <v>0</v>
          </cell>
          <cell r="F122" t="str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D123">
            <v>0</v>
          </cell>
          <cell r="E123">
            <v>0</v>
          </cell>
          <cell r="F123" t="str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D124" t="str">
            <v>平均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3.4285714285714284</v>
          </cell>
          <cell r="K124">
            <v>2914.9319047680706</v>
          </cell>
          <cell r="L124">
            <v>869.54111111316604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</sheetData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86" t="s">
        <v>12</v>
      </c>
      <c r="D21" s="569"/>
      <c r="E21" s="562"/>
      <c r="F21" s="50" t="s">
        <v>46</v>
      </c>
      <c r="G21" s="50" t="s">
        <v>48</v>
      </c>
      <c r="H21" s="50" t="s">
        <v>49</v>
      </c>
      <c r="I21" s="8" t="s">
        <v>13</v>
      </c>
      <c r="J21" s="578" t="s">
        <v>51</v>
      </c>
      <c r="K21" s="562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61" t="s">
        <v>14</v>
      </c>
      <c r="D22" s="569"/>
      <c r="E22" s="562"/>
      <c r="F22" s="4">
        <v>3</v>
      </c>
      <c r="G22" s="4">
        <v>3000</v>
      </c>
      <c r="H22" s="4">
        <v>1000</v>
      </c>
      <c r="I22" s="4">
        <v>10</v>
      </c>
      <c r="J22" s="568" t="s">
        <v>76</v>
      </c>
      <c r="K22" s="562"/>
      <c r="M22" s="53" t="s">
        <v>26</v>
      </c>
      <c r="N22" s="58" t="s">
        <v>47</v>
      </c>
      <c r="O22" s="574" t="s">
        <v>12</v>
      </c>
      <c r="P22" s="569"/>
      <c r="Q22" s="562"/>
      <c r="R22" s="580" t="s">
        <v>53</v>
      </c>
      <c r="S22" s="569"/>
      <c r="T22" s="562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78" t="s">
        <v>51</v>
      </c>
      <c r="AA22" s="562"/>
    </row>
    <row r="23" spans="1:27" ht="15.75" customHeight="1">
      <c r="A23" s="23"/>
      <c r="B23" s="6">
        <v>2</v>
      </c>
      <c r="C23" s="583"/>
      <c r="D23" s="569"/>
      <c r="E23" s="562"/>
      <c r="F23" s="4"/>
      <c r="G23" s="4"/>
      <c r="H23" s="4"/>
      <c r="I23" s="4"/>
      <c r="J23" s="583"/>
      <c r="K23" s="562"/>
      <c r="M23" s="57" t="s">
        <v>42</v>
      </c>
      <c r="N23" s="24">
        <v>1</v>
      </c>
      <c r="O23" s="568" t="s">
        <v>82</v>
      </c>
      <c r="P23" s="569"/>
      <c r="Q23" s="562"/>
      <c r="R23" s="568" t="s">
        <v>85</v>
      </c>
      <c r="S23" s="569"/>
      <c r="T23" s="56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68" t="s">
        <v>86</v>
      </c>
      <c r="AA23" s="562"/>
    </row>
    <row r="24" spans="1:27" ht="15.75" customHeight="1">
      <c r="A24" s="23"/>
      <c r="B24" s="6">
        <v>3</v>
      </c>
      <c r="C24" s="583"/>
      <c r="D24" s="569"/>
      <c r="E24" s="562"/>
      <c r="F24" s="4"/>
      <c r="G24" s="4"/>
      <c r="H24" s="4"/>
      <c r="I24" s="4"/>
      <c r="J24" s="583"/>
      <c r="K24" s="562"/>
      <c r="M24" s="25"/>
      <c r="N24" s="24">
        <v>2</v>
      </c>
      <c r="O24" s="561"/>
      <c r="P24" s="569"/>
      <c r="Q24" s="562"/>
      <c r="R24" s="561"/>
      <c r="S24" s="569"/>
      <c r="T24" s="562"/>
      <c r="U24" s="4"/>
      <c r="V24" s="14"/>
      <c r="W24" s="4"/>
      <c r="X24" s="16">
        <f>W24*U24</f>
        <v>0</v>
      </c>
      <c r="Y24" s="4"/>
      <c r="Z24" s="561"/>
      <c r="AA24" s="562"/>
    </row>
    <row r="25" spans="1:27" ht="15.75" customHeight="1">
      <c r="A25" s="23"/>
      <c r="B25" s="6">
        <v>4</v>
      </c>
      <c r="C25" s="583"/>
      <c r="D25" s="569"/>
      <c r="E25" s="562"/>
      <c r="F25" s="4"/>
      <c r="G25" s="4"/>
      <c r="H25" s="4"/>
      <c r="I25" s="4"/>
      <c r="J25" s="583"/>
      <c r="K25" s="562"/>
      <c r="M25" s="25"/>
      <c r="N25" s="24">
        <v>3</v>
      </c>
      <c r="O25" s="561"/>
      <c r="P25" s="569"/>
      <c r="Q25" s="562"/>
      <c r="R25" s="561"/>
      <c r="S25" s="569"/>
      <c r="T25" s="562"/>
      <c r="U25" s="4"/>
      <c r="V25" s="14"/>
      <c r="W25" s="4"/>
      <c r="X25" s="16">
        <f>W25*U25</f>
        <v>0</v>
      </c>
      <c r="Y25" s="4"/>
      <c r="Z25" s="561"/>
      <c r="AA25" s="562"/>
    </row>
    <row r="26" spans="1:27" ht="15.75" customHeight="1">
      <c r="A26" s="23"/>
      <c r="B26" s="26">
        <v>5</v>
      </c>
      <c r="C26" s="587"/>
      <c r="D26" s="570"/>
      <c r="E26" s="564"/>
      <c r="F26" s="27"/>
      <c r="G26" s="27"/>
      <c r="H26" s="27"/>
      <c r="I26" s="27"/>
      <c r="J26" s="587"/>
      <c r="K26" s="564"/>
      <c r="M26" s="25"/>
      <c r="N26" s="24">
        <v>4</v>
      </c>
      <c r="O26" s="561"/>
      <c r="P26" s="569"/>
      <c r="Q26" s="562"/>
      <c r="R26" s="561"/>
      <c r="S26" s="569"/>
      <c r="T26" s="562"/>
      <c r="U26" s="4"/>
      <c r="V26" s="14"/>
      <c r="W26" s="4"/>
      <c r="X26" s="16">
        <f>W26*U26</f>
        <v>0</v>
      </c>
      <c r="Y26" s="4"/>
      <c r="Z26" s="561"/>
      <c r="AA26" s="562"/>
    </row>
    <row r="27" spans="1:27" ht="15.75" customHeight="1">
      <c r="A27" s="23"/>
      <c r="B27" s="70" t="s">
        <v>101</v>
      </c>
      <c r="C27" s="571" t="s">
        <v>75</v>
      </c>
      <c r="D27" s="572"/>
      <c r="E27" s="573"/>
      <c r="F27" s="28">
        <v>4</v>
      </c>
      <c r="G27" s="28">
        <v>2800</v>
      </c>
      <c r="H27" s="28">
        <v>700</v>
      </c>
      <c r="I27" s="28" t="s">
        <v>15</v>
      </c>
      <c r="J27" s="571" t="s">
        <v>77</v>
      </c>
      <c r="K27" s="573"/>
      <c r="M27" s="25"/>
      <c r="N27" s="29">
        <v>5</v>
      </c>
      <c r="O27" s="563"/>
      <c r="P27" s="570"/>
      <c r="Q27" s="564"/>
      <c r="R27" s="563"/>
      <c r="S27" s="570"/>
      <c r="T27" s="564"/>
      <c r="U27" s="27"/>
      <c r="V27" s="30"/>
      <c r="W27" s="27"/>
      <c r="X27" s="31">
        <f>W27*U27</f>
        <v>0</v>
      </c>
      <c r="Y27" s="4"/>
      <c r="Z27" s="563"/>
      <c r="AA27" s="564"/>
    </row>
    <row r="28" spans="1:27" ht="15.75" customHeight="1">
      <c r="A28" s="23"/>
      <c r="B28" s="71" t="s">
        <v>102</v>
      </c>
      <c r="C28" s="583"/>
      <c r="D28" s="569"/>
      <c r="E28" s="562"/>
      <c r="F28" s="4"/>
      <c r="G28" s="4"/>
      <c r="H28" s="4"/>
      <c r="I28" s="4"/>
      <c r="J28" s="583"/>
      <c r="K28" s="562"/>
      <c r="M28" s="32"/>
      <c r="N28" s="56"/>
      <c r="O28" s="565"/>
      <c r="P28" s="569"/>
      <c r="Q28" s="569"/>
      <c r="R28" s="565"/>
      <c r="S28" s="569"/>
      <c r="T28" s="569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65"/>
      <c r="AA28" s="562"/>
    </row>
    <row r="29" spans="1:27" ht="15.75" customHeight="1">
      <c r="A29" s="23"/>
      <c r="B29" s="71" t="s">
        <v>100</v>
      </c>
      <c r="C29" s="583"/>
      <c r="D29" s="569"/>
      <c r="E29" s="562"/>
      <c r="F29" s="4"/>
      <c r="G29" s="4"/>
      <c r="H29" s="4"/>
      <c r="I29" s="4"/>
      <c r="J29" s="583"/>
      <c r="K29" s="562"/>
      <c r="M29" s="57" t="s">
        <v>43</v>
      </c>
      <c r="N29" s="24">
        <v>1</v>
      </c>
      <c r="O29" s="584" t="s">
        <v>16</v>
      </c>
      <c r="P29" s="585"/>
      <c r="Q29" s="567"/>
      <c r="R29" s="566" t="s">
        <v>87</v>
      </c>
      <c r="S29" s="585"/>
      <c r="T29" s="56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66" t="s">
        <v>88</v>
      </c>
      <c r="AA29" s="567"/>
    </row>
    <row r="30" spans="1:27" ht="15.75" customHeight="1">
      <c r="A30" s="23"/>
      <c r="B30" s="71" t="s">
        <v>99</v>
      </c>
      <c r="C30" s="583"/>
      <c r="D30" s="569"/>
      <c r="E30" s="562"/>
      <c r="F30" s="4"/>
      <c r="G30" s="4"/>
      <c r="H30" s="4"/>
      <c r="I30" s="4"/>
      <c r="J30" s="583"/>
      <c r="K30" s="562"/>
      <c r="M30" s="25"/>
      <c r="N30" s="24">
        <v>2</v>
      </c>
      <c r="O30" s="561"/>
      <c r="P30" s="569"/>
      <c r="Q30" s="562"/>
      <c r="R30" s="561"/>
      <c r="S30" s="569"/>
      <c r="T30" s="562"/>
      <c r="U30" s="4"/>
      <c r="V30" s="14"/>
      <c r="W30" s="4"/>
      <c r="X30" s="16">
        <f>W30*U30</f>
        <v>0</v>
      </c>
      <c r="Y30" s="4"/>
      <c r="Z30" s="561"/>
      <c r="AA30" s="562"/>
    </row>
    <row r="31" spans="1:27" ht="15.75" customHeight="1">
      <c r="A31" s="20"/>
      <c r="B31" s="71" t="s">
        <v>103</v>
      </c>
      <c r="C31" s="583"/>
      <c r="D31" s="569"/>
      <c r="E31" s="562"/>
      <c r="F31" s="4"/>
      <c r="G31" s="4"/>
      <c r="H31" s="4"/>
      <c r="I31" s="4"/>
      <c r="J31" s="583"/>
      <c r="K31" s="562"/>
      <c r="M31" s="25"/>
      <c r="N31" s="24">
        <v>3</v>
      </c>
      <c r="O31" s="561"/>
      <c r="P31" s="569"/>
      <c r="Q31" s="562"/>
      <c r="R31" s="561"/>
      <c r="S31" s="569"/>
      <c r="T31" s="562"/>
      <c r="U31" s="4"/>
      <c r="V31" s="14"/>
      <c r="W31" s="4"/>
      <c r="X31" s="16">
        <f>W31*U31</f>
        <v>0</v>
      </c>
      <c r="Y31" s="4"/>
      <c r="Z31" s="561"/>
      <c r="AA31" s="562"/>
    </row>
    <row r="32" spans="1:27" ht="15.75" customHeight="1">
      <c r="A32" s="68"/>
      <c r="M32" s="25"/>
      <c r="N32" s="24">
        <v>4</v>
      </c>
      <c r="O32" s="561"/>
      <c r="P32" s="569"/>
      <c r="Q32" s="562"/>
      <c r="R32" s="561"/>
      <c r="S32" s="569"/>
      <c r="T32" s="562"/>
      <c r="U32" s="4"/>
      <c r="V32" s="14"/>
      <c r="W32" s="4"/>
      <c r="X32" s="16">
        <f>W32*U32</f>
        <v>0</v>
      </c>
      <c r="Y32" s="4"/>
      <c r="Z32" s="561"/>
      <c r="AA32" s="562"/>
    </row>
    <row r="33" spans="1:27" ht="15.75" customHeight="1">
      <c r="A33" s="18"/>
      <c r="B33" s="50" t="s">
        <v>47</v>
      </c>
      <c r="C33" s="586" t="s">
        <v>12</v>
      </c>
      <c r="D33" s="569"/>
      <c r="E33" s="562"/>
      <c r="F33" s="50" t="s">
        <v>46</v>
      </c>
      <c r="G33" s="50" t="s">
        <v>48</v>
      </c>
      <c r="H33" s="50" t="s">
        <v>49</v>
      </c>
      <c r="I33" s="8" t="s">
        <v>13</v>
      </c>
      <c r="J33" s="578" t="s">
        <v>51</v>
      </c>
      <c r="K33" s="562"/>
      <c r="M33" s="25"/>
      <c r="N33" s="29">
        <v>5</v>
      </c>
      <c r="O33" s="561"/>
      <c r="P33" s="569"/>
      <c r="Q33" s="562"/>
      <c r="R33" s="561"/>
      <c r="S33" s="569"/>
      <c r="T33" s="562"/>
      <c r="U33" s="27"/>
      <c r="V33" s="30"/>
      <c r="W33" s="27"/>
      <c r="X33" s="31">
        <f>W33*U33</f>
        <v>0</v>
      </c>
      <c r="Y33" s="4"/>
      <c r="Z33" s="561"/>
      <c r="AA33" s="562"/>
    </row>
    <row r="34" spans="1:27" ht="15.75" customHeight="1">
      <c r="A34" s="53" t="s">
        <v>35</v>
      </c>
      <c r="B34" s="6">
        <v>1</v>
      </c>
      <c r="C34" s="568" t="s">
        <v>79</v>
      </c>
      <c r="D34" s="569"/>
      <c r="E34" s="562"/>
      <c r="F34" s="4">
        <v>3</v>
      </c>
      <c r="G34" s="4">
        <v>2500</v>
      </c>
      <c r="H34" s="4">
        <v>833.33</v>
      </c>
      <c r="I34" s="4">
        <v>20</v>
      </c>
      <c r="J34" s="568" t="s">
        <v>78</v>
      </c>
      <c r="K34" s="562"/>
      <c r="M34" s="69"/>
      <c r="N34" s="45"/>
      <c r="O34" s="565"/>
      <c r="P34" s="569"/>
      <c r="Q34" s="569"/>
      <c r="R34" s="565"/>
      <c r="S34" s="569"/>
      <c r="T34" s="569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65"/>
      <c r="AA34" s="562"/>
    </row>
    <row r="35" spans="1:27" ht="15.75" customHeight="1">
      <c r="A35" s="23"/>
      <c r="B35" s="6">
        <v>2</v>
      </c>
      <c r="C35" s="561"/>
      <c r="D35" s="569"/>
      <c r="E35" s="562"/>
      <c r="F35" s="4"/>
      <c r="G35" s="4"/>
      <c r="H35" s="4"/>
      <c r="I35" s="4"/>
      <c r="J35" s="561"/>
      <c r="K35" s="562"/>
      <c r="M35" s="1"/>
      <c r="N35" s="1"/>
      <c r="O35" s="576"/>
      <c r="P35" s="577"/>
      <c r="Q35" s="577"/>
      <c r="R35" s="576"/>
      <c r="S35" s="577"/>
      <c r="T35" s="577"/>
      <c r="U35" s="1"/>
      <c r="V35" s="38"/>
      <c r="W35" s="1"/>
      <c r="X35" s="1"/>
      <c r="Y35" s="576"/>
      <c r="Z35" s="577"/>
      <c r="AA35" s="577"/>
    </row>
    <row r="36" spans="1:27" ht="15.75" customHeight="1">
      <c r="A36" s="23"/>
      <c r="B36" s="6">
        <v>3</v>
      </c>
      <c r="C36" s="561"/>
      <c r="D36" s="569"/>
      <c r="E36" s="562"/>
      <c r="F36" s="4"/>
      <c r="G36" s="4"/>
      <c r="H36" s="4"/>
      <c r="I36" s="4"/>
      <c r="J36" s="561"/>
      <c r="K36" s="562"/>
      <c r="M36" s="53" t="s">
        <v>27</v>
      </c>
      <c r="N36" s="58" t="s">
        <v>47</v>
      </c>
      <c r="O36" s="574" t="s">
        <v>12</v>
      </c>
      <c r="P36" s="565"/>
      <c r="Q36" s="575"/>
      <c r="R36" s="580" t="s">
        <v>53</v>
      </c>
      <c r="S36" s="581"/>
      <c r="T36" s="582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78" t="s">
        <v>51</v>
      </c>
      <c r="AA36" s="579"/>
    </row>
    <row r="37" spans="1:27" ht="15.75" customHeight="1">
      <c r="A37" s="23"/>
      <c r="B37" s="6">
        <v>4</v>
      </c>
      <c r="C37" s="561"/>
      <c r="D37" s="569"/>
      <c r="E37" s="562"/>
      <c r="F37" s="4"/>
      <c r="G37" s="4"/>
      <c r="H37" s="4"/>
      <c r="I37" s="4"/>
      <c r="J37" s="561"/>
      <c r="K37" s="562"/>
      <c r="M37" s="57" t="s">
        <v>42</v>
      </c>
      <c r="N37" s="24">
        <v>1</v>
      </c>
      <c r="O37" s="568" t="s">
        <v>89</v>
      </c>
      <c r="P37" s="569"/>
      <c r="Q37" s="562"/>
      <c r="R37" s="568" t="s">
        <v>90</v>
      </c>
      <c r="S37" s="569"/>
      <c r="T37" s="56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68" t="s">
        <v>91</v>
      </c>
      <c r="AA37" s="562"/>
    </row>
    <row r="38" spans="1:27" ht="15.75" customHeight="1">
      <c r="A38" s="23"/>
      <c r="B38" s="26">
        <v>5</v>
      </c>
      <c r="C38" s="563"/>
      <c r="D38" s="570"/>
      <c r="E38" s="564"/>
      <c r="F38" s="27"/>
      <c r="G38" s="27"/>
      <c r="H38" s="27"/>
      <c r="I38" s="27"/>
      <c r="J38" s="563"/>
      <c r="K38" s="564"/>
      <c r="M38" s="25"/>
      <c r="N38" s="24">
        <v>2</v>
      </c>
      <c r="O38" s="561"/>
      <c r="P38" s="569"/>
      <c r="Q38" s="562"/>
      <c r="R38" s="561"/>
      <c r="S38" s="569"/>
      <c r="T38" s="562"/>
      <c r="U38" s="4"/>
      <c r="V38" s="14"/>
      <c r="W38" s="4"/>
      <c r="X38" s="16">
        <f>W38*U38</f>
        <v>0</v>
      </c>
      <c r="Y38" s="4"/>
      <c r="Z38" s="561"/>
      <c r="AA38" s="562"/>
    </row>
    <row r="39" spans="1:27" ht="14.25">
      <c r="A39" s="23"/>
      <c r="B39" s="70" t="s">
        <v>101</v>
      </c>
      <c r="C39" s="571" t="s">
        <v>80</v>
      </c>
      <c r="D39" s="572"/>
      <c r="E39" s="573"/>
      <c r="F39" s="28">
        <v>7</v>
      </c>
      <c r="G39" s="28">
        <v>2200</v>
      </c>
      <c r="H39" s="28">
        <v>314.29000000000002</v>
      </c>
      <c r="I39" s="28">
        <v>-15</v>
      </c>
      <c r="J39" s="571" t="s">
        <v>81</v>
      </c>
      <c r="K39" s="573"/>
      <c r="M39" s="25"/>
      <c r="N39" s="24">
        <v>3</v>
      </c>
      <c r="O39" s="561"/>
      <c r="P39" s="569"/>
      <c r="Q39" s="562"/>
      <c r="R39" s="561"/>
      <c r="S39" s="569"/>
      <c r="T39" s="562"/>
      <c r="U39" s="4"/>
      <c r="V39" s="14"/>
      <c r="W39" s="4"/>
      <c r="X39" s="16">
        <f>W39*U39</f>
        <v>0</v>
      </c>
      <c r="Y39" s="4"/>
      <c r="Z39" s="561"/>
      <c r="AA39" s="562"/>
    </row>
    <row r="40" spans="1:27" ht="14.25">
      <c r="A40" s="23"/>
      <c r="B40" s="71" t="s">
        <v>102</v>
      </c>
      <c r="C40" s="561"/>
      <c r="D40" s="569"/>
      <c r="E40" s="562"/>
      <c r="F40" s="4"/>
      <c r="G40" s="4"/>
      <c r="H40" s="4"/>
      <c r="I40" s="4"/>
      <c r="J40" s="561"/>
      <c r="K40" s="562"/>
      <c r="M40" s="25"/>
      <c r="N40" s="24">
        <v>4</v>
      </c>
      <c r="O40" s="561"/>
      <c r="P40" s="569"/>
      <c r="Q40" s="562"/>
      <c r="R40" s="561"/>
      <c r="S40" s="569"/>
      <c r="T40" s="562"/>
      <c r="U40" s="4"/>
      <c r="V40" s="14"/>
      <c r="W40" s="4"/>
      <c r="X40" s="16">
        <f>W40*U40</f>
        <v>0</v>
      </c>
      <c r="Y40" s="4"/>
      <c r="Z40" s="561"/>
      <c r="AA40" s="562"/>
    </row>
    <row r="41" spans="1:27" ht="14.25">
      <c r="A41" s="23"/>
      <c r="B41" s="71" t="s">
        <v>100</v>
      </c>
      <c r="C41" s="561"/>
      <c r="D41" s="569"/>
      <c r="E41" s="562"/>
      <c r="F41" s="4"/>
      <c r="G41" s="4"/>
      <c r="H41" s="4"/>
      <c r="I41" s="4"/>
      <c r="J41" s="561"/>
      <c r="K41" s="562"/>
      <c r="M41" s="25"/>
      <c r="N41" s="29">
        <v>5</v>
      </c>
      <c r="O41" s="563"/>
      <c r="P41" s="570"/>
      <c r="Q41" s="564"/>
      <c r="R41" s="563"/>
      <c r="S41" s="570"/>
      <c r="T41" s="564"/>
      <c r="U41" s="27"/>
      <c r="V41" s="30"/>
      <c r="W41" s="27"/>
      <c r="X41" s="31">
        <f>W41*U41</f>
        <v>0</v>
      </c>
      <c r="Y41" s="4"/>
      <c r="Z41" s="561"/>
      <c r="AA41" s="562"/>
    </row>
    <row r="42" spans="1:27" ht="14.25">
      <c r="A42" s="23"/>
      <c r="B42" s="71" t="s">
        <v>99</v>
      </c>
      <c r="C42" s="561"/>
      <c r="D42" s="569"/>
      <c r="E42" s="562"/>
      <c r="F42" s="4"/>
      <c r="G42" s="4"/>
      <c r="H42" s="4"/>
      <c r="I42" s="4"/>
      <c r="J42" s="561"/>
      <c r="K42" s="562"/>
      <c r="M42" s="32"/>
      <c r="N42" s="55"/>
      <c r="O42" s="565"/>
      <c r="P42" s="569"/>
      <c r="Q42" s="569"/>
      <c r="R42" s="565"/>
      <c r="S42" s="569"/>
      <c r="T42" s="569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65"/>
      <c r="AA42" s="562"/>
    </row>
    <row r="43" spans="1:27" ht="14.25">
      <c r="A43" s="20"/>
      <c r="B43" s="71" t="s">
        <v>103</v>
      </c>
      <c r="C43" s="561"/>
      <c r="D43" s="569"/>
      <c r="E43" s="562"/>
      <c r="F43" s="4"/>
      <c r="G43" s="4"/>
      <c r="H43" s="4"/>
      <c r="I43" s="4"/>
      <c r="J43" s="561"/>
      <c r="K43" s="562"/>
      <c r="M43" s="57" t="s">
        <v>43</v>
      </c>
      <c r="N43" s="24">
        <v>1</v>
      </c>
      <c r="O43" s="568" t="s">
        <v>89</v>
      </c>
      <c r="P43" s="569"/>
      <c r="Q43" s="562"/>
      <c r="R43" s="566" t="s">
        <v>93</v>
      </c>
      <c r="S43" s="585"/>
      <c r="T43" s="56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68" t="s">
        <v>92</v>
      </c>
      <c r="AA43" s="562"/>
    </row>
    <row r="44" spans="1:27" ht="14.25">
      <c r="A44" s="68"/>
      <c r="M44" s="25"/>
      <c r="N44" s="24">
        <v>2</v>
      </c>
      <c r="O44" s="561"/>
      <c r="P44" s="569"/>
      <c r="Q44" s="562"/>
      <c r="R44" s="561"/>
      <c r="S44" s="569"/>
      <c r="T44" s="562"/>
      <c r="U44" s="4"/>
      <c r="V44" s="14"/>
      <c r="W44" s="4"/>
      <c r="X44" s="37">
        <f>W44*U44</f>
        <v>0</v>
      </c>
      <c r="Y44" s="4"/>
      <c r="Z44" s="561"/>
      <c r="AA44" s="562"/>
    </row>
    <row r="45" spans="1:27" ht="14.25">
      <c r="A45" s="18"/>
      <c r="B45" s="50" t="s">
        <v>47</v>
      </c>
      <c r="C45" s="586" t="s">
        <v>12</v>
      </c>
      <c r="D45" s="569"/>
      <c r="E45" s="562"/>
      <c r="F45" s="50" t="s">
        <v>46</v>
      </c>
      <c r="G45" s="50" t="s">
        <v>48</v>
      </c>
      <c r="H45" s="50" t="s">
        <v>49</v>
      </c>
      <c r="I45" s="8" t="s">
        <v>13</v>
      </c>
      <c r="J45" s="578" t="s">
        <v>51</v>
      </c>
      <c r="K45" s="562"/>
      <c r="M45" s="25"/>
      <c r="N45" s="24">
        <v>3</v>
      </c>
      <c r="O45" s="561"/>
      <c r="P45" s="569"/>
      <c r="Q45" s="562"/>
      <c r="R45" s="561"/>
      <c r="S45" s="569"/>
      <c r="T45" s="562"/>
      <c r="U45" s="4"/>
      <c r="V45" s="14"/>
      <c r="W45" s="4"/>
      <c r="X45" s="37">
        <f>W45*U45</f>
        <v>0</v>
      </c>
      <c r="Y45" s="4"/>
      <c r="Z45" s="561"/>
      <c r="AA45" s="562"/>
    </row>
    <row r="46" spans="1:27" ht="14.25">
      <c r="A46" s="53" t="s">
        <v>36</v>
      </c>
      <c r="B46" s="6">
        <v>1</v>
      </c>
      <c r="C46" s="568" t="s">
        <v>82</v>
      </c>
      <c r="D46" s="569"/>
      <c r="E46" s="562"/>
      <c r="F46" s="4">
        <v>15</v>
      </c>
      <c r="G46" s="4">
        <v>1200</v>
      </c>
      <c r="H46" s="4">
        <v>80</v>
      </c>
      <c r="I46" s="4">
        <v>5</v>
      </c>
      <c r="J46" s="568" t="s">
        <v>83</v>
      </c>
      <c r="K46" s="562"/>
      <c r="M46" s="25"/>
      <c r="N46" s="24">
        <v>4</v>
      </c>
      <c r="O46" s="561"/>
      <c r="P46" s="569"/>
      <c r="Q46" s="562"/>
      <c r="R46" s="561"/>
      <c r="S46" s="569"/>
      <c r="T46" s="562"/>
      <c r="U46" s="4"/>
      <c r="V46" s="14"/>
      <c r="W46" s="4"/>
      <c r="X46" s="37">
        <f>W46*U46</f>
        <v>0</v>
      </c>
      <c r="Y46" s="4"/>
      <c r="Z46" s="561"/>
      <c r="AA46" s="562"/>
    </row>
    <row r="47" spans="1:27" ht="14.25">
      <c r="A47" s="23"/>
      <c r="B47" s="6">
        <v>2</v>
      </c>
      <c r="C47" s="561"/>
      <c r="D47" s="569"/>
      <c r="E47" s="562"/>
      <c r="F47" s="4"/>
      <c r="G47" s="4"/>
      <c r="H47" s="4"/>
      <c r="I47" s="4"/>
      <c r="J47" s="561"/>
      <c r="K47" s="562"/>
      <c r="M47" s="25"/>
      <c r="N47" s="29">
        <v>5</v>
      </c>
      <c r="O47" s="561"/>
      <c r="P47" s="569"/>
      <c r="Q47" s="562"/>
      <c r="R47" s="561"/>
      <c r="S47" s="569"/>
      <c r="T47" s="562"/>
      <c r="U47" s="27"/>
      <c r="V47" s="30"/>
      <c r="W47" s="27"/>
      <c r="X47" s="40">
        <f>W47*U47</f>
        <v>0</v>
      </c>
      <c r="Y47" s="4"/>
      <c r="Z47" s="561"/>
      <c r="AA47" s="562"/>
    </row>
    <row r="48" spans="1:27" ht="14.25">
      <c r="A48" s="23"/>
      <c r="B48" s="6">
        <v>3</v>
      </c>
      <c r="C48" s="561"/>
      <c r="D48" s="569"/>
      <c r="E48" s="562"/>
      <c r="F48" s="4"/>
      <c r="G48" s="4"/>
      <c r="H48" s="4"/>
      <c r="I48" s="4"/>
      <c r="J48" s="561"/>
      <c r="K48" s="562"/>
      <c r="M48" s="69"/>
      <c r="N48" s="45"/>
      <c r="O48" s="565"/>
      <c r="P48" s="569"/>
      <c r="Q48" s="569"/>
      <c r="R48" s="565"/>
      <c r="S48" s="569"/>
      <c r="T48" s="569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65"/>
      <c r="AA48" s="562"/>
    </row>
    <row r="49" spans="1:27" ht="14.25">
      <c r="A49" s="23"/>
      <c r="B49" s="6">
        <v>4</v>
      </c>
      <c r="C49" s="561"/>
      <c r="D49" s="569"/>
      <c r="E49" s="562"/>
      <c r="F49" s="4"/>
      <c r="G49" s="4"/>
      <c r="H49" s="4"/>
      <c r="I49" s="4"/>
      <c r="J49" s="561"/>
      <c r="K49" s="56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63"/>
      <c r="D50" s="570"/>
      <c r="E50" s="564"/>
      <c r="F50" s="27"/>
      <c r="G50" s="27"/>
      <c r="H50" s="27"/>
      <c r="I50" s="27"/>
      <c r="J50" s="563"/>
      <c r="K50" s="564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71" t="s">
        <v>89</v>
      </c>
      <c r="D51" s="572"/>
      <c r="E51" s="573"/>
      <c r="F51" s="28">
        <v>18</v>
      </c>
      <c r="G51" s="28">
        <v>800</v>
      </c>
      <c r="H51" s="28">
        <v>44.44</v>
      </c>
      <c r="I51" s="28">
        <v>-15</v>
      </c>
      <c r="J51" s="571" t="s">
        <v>84</v>
      </c>
      <c r="K51" s="573"/>
      <c r="M51" s="8"/>
      <c r="N51" s="8" t="s">
        <v>18</v>
      </c>
      <c r="O51" s="574" t="s">
        <v>12</v>
      </c>
      <c r="P51" s="565"/>
      <c r="Q51" s="575"/>
      <c r="R51" s="580" t="s">
        <v>53</v>
      </c>
      <c r="S51" s="581"/>
      <c r="T51" s="582"/>
      <c r="U51" s="58" t="s">
        <v>54</v>
      </c>
      <c r="V51" s="39" t="s">
        <v>19</v>
      </c>
      <c r="W51" s="58" t="s">
        <v>57</v>
      </c>
      <c r="X51" s="8" t="s">
        <v>2</v>
      </c>
      <c r="Y51" s="574" t="s">
        <v>50</v>
      </c>
      <c r="Z51" s="565"/>
      <c r="AA51" s="575"/>
    </row>
    <row r="52" spans="1:27" ht="14.25">
      <c r="A52" s="23"/>
      <c r="B52" s="71" t="s">
        <v>102</v>
      </c>
      <c r="C52" s="561"/>
      <c r="D52" s="569"/>
      <c r="E52" s="562"/>
      <c r="F52" s="4"/>
      <c r="G52" s="4"/>
      <c r="H52" s="4"/>
      <c r="I52" s="4"/>
      <c r="J52" s="561"/>
      <c r="K52" s="562"/>
      <c r="M52" s="57" t="s">
        <v>42</v>
      </c>
      <c r="N52" s="24">
        <v>1</v>
      </c>
      <c r="O52" s="568" t="s">
        <v>89</v>
      </c>
      <c r="P52" s="569"/>
      <c r="Q52" s="562"/>
      <c r="R52" s="566" t="s">
        <v>93</v>
      </c>
      <c r="S52" s="585"/>
      <c r="T52" s="56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68" t="s">
        <v>97</v>
      </c>
      <c r="Z52" s="569"/>
      <c r="AA52" s="562"/>
    </row>
    <row r="53" spans="1:27" ht="14.25">
      <c r="A53" s="23"/>
      <c r="B53" s="71" t="s">
        <v>100</v>
      </c>
      <c r="C53" s="561"/>
      <c r="D53" s="569"/>
      <c r="E53" s="562"/>
      <c r="F53" s="4"/>
      <c r="G53" s="4"/>
      <c r="H53" s="4"/>
      <c r="I53" s="4"/>
      <c r="J53" s="561"/>
      <c r="K53" s="562"/>
      <c r="M53" s="25"/>
      <c r="N53" s="29">
        <v>2</v>
      </c>
      <c r="O53" s="563"/>
      <c r="P53" s="570"/>
      <c r="Q53" s="564"/>
      <c r="R53" s="563"/>
      <c r="S53" s="570"/>
      <c r="T53" s="564"/>
      <c r="U53" s="27"/>
      <c r="V53" s="30"/>
      <c r="W53" s="30"/>
      <c r="X53" s="41">
        <f>W53-V53</f>
        <v>0</v>
      </c>
      <c r="Y53" s="563"/>
      <c r="Z53" s="570"/>
      <c r="AA53" s="564"/>
    </row>
    <row r="54" spans="1:27" ht="14.25">
      <c r="A54" s="23"/>
      <c r="B54" s="71" t="s">
        <v>99</v>
      </c>
      <c r="C54" s="561"/>
      <c r="D54" s="569"/>
      <c r="E54" s="562"/>
      <c r="F54" s="4"/>
      <c r="G54" s="4"/>
      <c r="H54" s="4"/>
      <c r="I54" s="4"/>
      <c r="J54" s="561"/>
      <c r="K54" s="562"/>
      <c r="M54" s="57" t="s">
        <v>43</v>
      </c>
      <c r="N54" s="42">
        <v>1</v>
      </c>
      <c r="O54" s="571" t="s">
        <v>94</v>
      </c>
      <c r="P54" s="572"/>
      <c r="Q54" s="573"/>
      <c r="R54" s="571" t="s">
        <v>95</v>
      </c>
      <c r="S54" s="572"/>
      <c r="T54" s="57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71" t="s">
        <v>96</v>
      </c>
      <c r="Z54" s="572"/>
      <c r="AA54" s="573"/>
    </row>
    <row r="55" spans="1:27" ht="14.25">
      <c r="A55" s="20"/>
      <c r="B55" s="71" t="s">
        <v>103</v>
      </c>
      <c r="C55" s="561"/>
      <c r="D55" s="569"/>
      <c r="E55" s="562"/>
      <c r="F55" s="4"/>
      <c r="G55" s="4"/>
      <c r="H55" s="4"/>
      <c r="I55" s="4"/>
      <c r="J55" s="561"/>
      <c r="K55" s="562"/>
      <c r="M55" s="22"/>
      <c r="N55" s="24">
        <v>2</v>
      </c>
      <c r="O55" s="561"/>
      <c r="P55" s="569"/>
      <c r="Q55" s="562"/>
      <c r="R55" s="561"/>
      <c r="S55" s="569"/>
      <c r="T55" s="562"/>
      <c r="U55" s="4"/>
      <c r="V55" s="14"/>
      <c r="W55" s="14"/>
      <c r="X55" s="13">
        <f>W55-V55</f>
        <v>0</v>
      </c>
      <c r="Y55" s="561"/>
      <c r="Z55" s="569"/>
      <c r="AA55" s="56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588" t="s">
        <v>367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119"/>
    </row>
    <row r="2" spans="1:12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</row>
    <row r="3" spans="1:12" ht="21.6" customHeight="1">
      <c r="A3" s="139" t="s">
        <v>307</v>
      </c>
      <c r="B3" s="140">
        <v>10</v>
      </c>
      <c r="C3" s="139" t="s">
        <v>20</v>
      </c>
      <c r="D3" s="589" t="s">
        <v>366</v>
      </c>
      <c r="E3" s="589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177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179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179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141939.03700000001</v>
      </c>
      <c r="C6" s="279">
        <v>224463.48699999999</v>
      </c>
      <c r="D6" s="142">
        <f t="shared" ref="D6:D11" si="0">B6-C6</f>
        <v>-82524.449999999983</v>
      </c>
      <c r="E6" s="142">
        <f t="shared" ref="E6:E11" si="1">B6</f>
        <v>141939.03700000001</v>
      </c>
      <c r="F6" s="133"/>
      <c r="G6" s="128" t="s">
        <v>180</v>
      </c>
      <c r="H6" s="282">
        <v>266</v>
      </c>
      <c r="I6" s="144">
        <f>'（２）ＫＰＩ達成進度'!H6</f>
        <v>0</v>
      </c>
      <c r="J6" s="294">
        <v>330.21457859125206</v>
      </c>
      <c r="K6" s="144">
        <f t="shared" ref="K6:K11" si="2">I6</f>
        <v>0</v>
      </c>
      <c r="L6" s="122" t="s">
        <v>176</v>
      </c>
    </row>
    <row r="7" spans="1:12" s="121" customFormat="1" ht="18" customHeight="1">
      <c r="A7" s="128" t="s">
        <v>25</v>
      </c>
      <c r="B7" s="142">
        <f>'（１）收支狀況'!K10</f>
        <v>4205423</v>
      </c>
      <c r="C7" s="279">
        <v>6964636</v>
      </c>
      <c r="D7" s="142">
        <f t="shared" si="0"/>
        <v>-2759213</v>
      </c>
      <c r="E7" s="142">
        <f t="shared" si="1"/>
        <v>4205423</v>
      </c>
      <c r="F7" s="133"/>
      <c r="G7" s="128" t="s">
        <v>181</v>
      </c>
      <c r="H7" s="252">
        <v>0.8</v>
      </c>
      <c r="I7" s="143">
        <f>'（２）ＫＰＩ達成進度'!K6</f>
        <v>0</v>
      </c>
      <c r="J7" s="280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94063.857000000004</v>
      </c>
      <c r="C8" s="279">
        <v>150244.29199999999</v>
      </c>
      <c r="D8" s="142">
        <f>B8-C8</f>
        <v>-56180.434999999983</v>
      </c>
      <c r="E8" s="142">
        <f t="shared" si="1"/>
        <v>94063.857000000004</v>
      </c>
      <c r="F8" s="133"/>
      <c r="G8" s="128" t="s">
        <v>182</v>
      </c>
      <c r="H8" s="247">
        <v>2.5000000000000001E-3</v>
      </c>
      <c r="I8" s="247">
        <f>'（２）ＫＰＩ達成進度'!N6</f>
        <v>0</v>
      </c>
      <c r="J8" s="295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0.66270603907225323</v>
      </c>
      <c r="C9" s="280">
        <v>0.66934847180735457</v>
      </c>
      <c r="D9" s="143">
        <f t="shared" si="0"/>
        <v>-6.6424327351013446E-3</v>
      </c>
      <c r="E9" s="143">
        <f t="shared" si="1"/>
        <v>0.66270603907225323</v>
      </c>
      <c r="F9" s="133"/>
      <c r="G9" s="128" t="s">
        <v>183</v>
      </c>
      <c r="H9" s="247">
        <v>2.5999999999999999E-3</v>
      </c>
      <c r="I9" s="247">
        <f>'（２）ＫＰＩ達成進度'!Q6</f>
        <v>0</v>
      </c>
      <c r="J9" s="295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15900.739648160876</v>
      </c>
      <c r="C10" s="279">
        <v>32105.786706827967</v>
      </c>
      <c r="D10" s="142">
        <f t="shared" si="0"/>
        <v>-16205.047058667091</v>
      </c>
      <c r="E10" s="142">
        <f t="shared" si="1"/>
        <v>15900.739648160876</v>
      </c>
      <c r="F10" s="133"/>
      <c r="G10" s="128" t="s">
        <v>184</v>
      </c>
      <c r="H10" s="249">
        <v>0.8</v>
      </c>
      <c r="I10" s="249">
        <f>'（２）ＫＰＩ達成進度'!T6</f>
        <v>0</v>
      </c>
      <c r="J10" s="296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0.11202513405921498</v>
      </c>
      <c r="C11" s="280">
        <v>0.14303344894053066</v>
      </c>
      <c r="D11" s="143">
        <f t="shared" si="0"/>
        <v>-3.1008314881315682E-2</v>
      </c>
      <c r="E11" s="143">
        <f t="shared" si="1"/>
        <v>0.11202513405921498</v>
      </c>
      <c r="F11" s="133"/>
      <c r="G11" s="128" t="s">
        <v>185</v>
      </c>
      <c r="H11" s="249">
        <v>1</v>
      </c>
      <c r="I11" s="143">
        <f>'（２）ＫＰＩ達成進度'!W6</f>
        <v>0</v>
      </c>
      <c r="J11" s="280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209</v>
      </c>
      <c r="B15" s="142">
        <f>'（３）業績構成比'!M50/1000</f>
        <v>30762.097195510185</v>
      </c>
      <c r="C15" s="143">
        <f>IFERROR(B15/$B$6,"")</f>
        <v>0.21672753208484979</v>
      </c>
      <c r="D15" s="280">
        <v>0.19061185820038584</v>
      </c>
      <c r="E15" s="143">
        <f>IFERROR(C15-D15,"")</f>
        <v>2.6115673884463952E-2</v>
      </c>
      <c r="F15" s="133"/>
      <c r="G15" s="128" t="s">
        <v>214</v>
      </c>
      <c r="H15" s="142">
        <f>'（４）訂單數量構成比'!M50</f>
        <v>1693416</v>
      </c>
      <c r="I15" s="143">
        <f t="shared" ref="I15:I23" si="3">IFERROR(H15/$B$7,"")</f>
        <v>0.40267435642026972</v>
      </c>
      <c r="J15" s="280">
        <v>0.33067557299476957</v>
      </c>
      <c r="K15" s="143">
        <f t="shared" ref="K15:K23" si="4">IFERROR(I15-J15,"")</f>
        <v>7.1998783425500146E-2</v>
      </c>
    </row>
    <row r="16" spans="1:12" s="121" customFormat="1" ht="18" customHeight="1">
      <c r="A16" s="128" t="s">
        <v>204</v>
      </c>
      <c r="B16" s="142">
        <f>'（３）業績構成比'!S50/1000</f>
        <v>2988.555821447263</v>
      </c>
      <c r="C16" s="143">
        <f t="shared" ref="C16:C23" si="5">IFERROR(B16/$B$6,"")</f>
        <v>2.1055207112947109E-2</v>
      </c>
      <c r="D16" s="280">
        <v>4.2789233591899609E-2</v>
      </c>
      <c r="E16" s="143">
        <f t="shared" ref="E16:E23" si="6">IFERROR(C16-D16,"")</f>
        <v>-2.1734026478952499E-2</v>
      </c>
      <c r="F16" s="133"/>
      <c r="G16" s="128" t="s">
        <v>233</v>
      </c>
      <c r="H16" s="142">
        <f>'（４）訂單數量構成比'!S51</f>
        <v>108663</v>
      </c>
      <c r="I16" s="143">
        <f t="shared" si="3"/>
        <v>2.5838780070399577E-2</v>
      </c>
      <c r="J16" s="280">
        <v>6.1681041191528174E-2</v>
      </c>
      <c r="K16" s="143">
        <f t="shared" si="4"/>
        <v>-3.5842261121128594E-2</v>
      </c>
    </row>
    <row r="17" spans="1:18" s="121" customFormat="1" ht="18" customHeight="1">
      <c r="A17" s="128" t="s">
        <v>200</v>
      </c>
      <c r="B17" s="142">
        <f>'（３）業績構成比'!U50/1000</f>
        <v>21763.540240804985</v>
      </c>
      <c r="C17" s="143">
        <f t="shared" si="5"/>
        <v>0.15333019513726151</v>
      </c>
      <c r="D17" s="280">
        <v>8.6938303169141445E-2</v>
      </c>
      <c r="E17" s="143">
        <f t="shared" si="6"/>
        <v>6.6391891968120065E-2</v>
      </c>
      <c r="F17" s="133"/>
      <c r="G17" s="128" t="s">
        <v>215</v>
      </c>
      <c r="H17" s="142">
        <f>'（４）訂單數量構成比'!U50</f>
        <v>656719</v>
      </c>
      <c r="I17" s="143">
        <f t="shared" si="3"/>
        <v>0.1561600343175942</v>
      </c>
      <c r="J17" s="280">
        <v>8.2530228428305513E-2</v>
      </c>
      <c r="K17" s="143">
        <f t="shared" si="4"/>
        <v>7.3629805889288691E-2</v>
      </c>
    </row>
    <row r="18" spans="1:18" s="121" customFormat="1" ht="18" customHeight="1">
      <c r="A18" s="128" t="s">
        <v>202</v>
      </c>
      <c r="B18" s="142">
        <f>'（３）業績構成比'!W50/1000</f>
        <v>1392.3217602532927</v>
      </c>
      <c r="C18" s="143">
        <f t="shared" si="5"/>
        <v>9.8092941144393743E-3</v>
      </c>
      <c r="D18" s="280">
        <v>1.4659145993880142E-2</v>
      </c>
      <c r="E18" s="143">
        <f t="shared" si="6"/>
        <v>-4.8498518794407672E-3</v>
      </c>
      <c r="F18" s="133"/>
      <c r="G18" s="128" t="s">
        <v>201</v>
      </c>
      <c r="H18" s="142">
        <f>'（４）訂單數量構成比'!W50</f>
        <v>38407</v>
      </c>
      <c r="I18" s="143">
        <f t="shared" si="3"/>
        <v>9.1327317133139754E-3</v>
      </c>
      <c r="J18" s="280">
        <v>1.6773740939224964E-2</v>
      </c>
      <c r="K18" s="143">
        <f t="shared" si="4"/>
        <v>-7.6410092259109885E-3</v>
      </c>
    </row>
    <row r="19" spans="1:18" s="121" customFormat="1" ht="18" customHeight="1">
      <c r="A19" s="128" t="s">
        <v>206</v>
      </c>
      <c r="B19" s="142">
        <f>'（３）業績構成比'!AC50/1000</f>
        <v>36336.603966604627</v>
      </c>
      <c r="C19" s="143">
        <f t="shared" si="5"/>
        <v>0.25600148299304459</v>
      </c>
      <c r="D19" s="280">
        <v>0.24409177848792188</v>
      </c>
      <c r="E19" s="143">
        <f t="shared" si="6"/>
        <v>1.1909704505122715E-2</v>
      </c>
      <c r="F19" s="133"/>
      <c r="G19" s="128" t="s">
        <v>205</v>
      </c>
      <c r="H19" s="142">
        <f>'（４）訂單數量構成比'!AC50</f>
        <v>972316</v>
      </c>
      <c r="I19" s="143">
        <f t="shared" si="3"/>
        <v>0.23120527946891431</v>
      </c>
      <c r="J19" s="280">
        <v>0.19673059726308739</v>
      </c>
      <c r="K19" s="143">
        <f t="shared" si="4"/>
        <v>3.4474682205826918E-2</v>
      </c>
    </row>
    <row r="20" spans="1:18" s="121" customFormat="1" ht="18" customHeight="1">
      <c r="A20" s="128" t="s">
        <v>208</v>
      </c>
      <c r="B20" s="142">
        <f>'（３）業績構成比'!AE50/1000</f>
        <v>29516.542014063445</v>
      </c>
      <c r="C20" s="143">
        <f t="shared" si="5"/>
        <v>0.20795224934535411</v>
      </c>
      <c r="D20" s="280">
        <v>0.1397972381723295</v>
      </c>
      <c r="E20" s="143">
        <f t="shared" si="6"/>
        <v>6.815501117302461E-2</v>
      </c>
      <c r="F20" s="133"/>
      <c r="G20" s="128" t="s">
        <v>207</v>
      </c>
      <c r="H20" s="142">
        <f>'（４）訂單數量構成比'!AE50</f>
        <v>516380</v>
      </c>
      <c r="I20" s="143">
        <f t="shared" si="3"/>
        <v>0.122789074963446</v>
      </c>
      <c r="J20" s="280">
        <v>7.9797709456746913E-2</v>
      </c>
      <c r="K20" s="143">
        <f t="shared" si="4"/>
        <v>4.2991365506699089E-2</v>
      </c>
    </row>
    <row r="21" spans="1:18" s="121" customFormat="1" ht="18" customHeight="1">
      <c r="A21" s="128" t="s">
        <v>210</v>
      </c>
      <c r="B21" s="142">
        <f>'（３）業績構成比'!AG50/1000</f>
        <v>21833.199891353062</v>
      </c>
      <c r="C21" s="143">
        <f>IFERROR(B21/$B$6,"")</f>
        <v>0.15382096675316362</v>
      </c>
      <c r="D21" s="280">
        <v>0.13619626613806221</v>
      </c>
      <c r="E21" s="143">
        <f>IFERROR(C21-D21,"")</f>
        <v>1.7624700615101407E-2</v>
      </c>
      <c r="F21" s="133"/>
      <c r="G21" s="128" t="s">
        <v>216</v>
      </c>
      <c r="H21" s="142">
        <f>'（４）訂單數量構成比'!AG50</f>
        <v>443539</v>
      </c>
      <c r="I21" s="143">
        <f>IFERROR(H21/$B$7,"")</f>
        <v>0.10546834408809767</v>
      </c>
      <c r="J21" s="280">
        <v>9.0009011239065476E-2</v>
      </c>
      <c r="K21" s="143">
        <f>IFERROR(I21-J21,"")</f>
        <v>1.5459332849032198E-2</v>
      </c>
    </row>
    <row r="22" spans="1:18" s="121" customFormat="1" ht="18" customHeight="1">
      <c r="A22" s="128" t="s">
        <v>211</v>
      </c>
      <c r="B22" s="142">
        <f>'（３）業績構成比'!AI50/1000</f>
        <v>32273.063832124775</v>
      </c>
      <c r="C22" s="143">
        <f t="shared" si="5"/>
        <v>0.22737271235766363</v>
      </c>
      <c r="D22" s="280">
        <v>6.8175373790099608E-2</v>
      </c>
      <c r="E22" s="143">
        <f t="shared" si="6"/>
        <v>0.15919733856756402</v>
      </c>
      <c r="F22" s="133"/>
      <c r="G22" s="128" t="s">
        <v>217</v>
      </c>
      <c r="H22" s="142">
        <f>'（４）訂單數量構成比'!AI50</f>
        <v>857175</v>
      </c>
      <c r="I22" s="143">
        <f t="shared" si="3"/>
        <v>0.20382610738563042</v>
      </c>
      <c r="J22" s="280">
        <v>5.972113976954431E-2</v>
      </c>
      <c r="K22" s="143">
        <f t="shared" si="4"/>
        <v>0.1441049676160861</v>
      </c>
    </row>
    <row r="23" spans="1:18" s="121" customFormat="1" ht="18" customHeight="1">
      <c r="A23" s="128" t="s">
        <v>213</v>
      </c>
      <c r="B23" s="142">
        <f>'（３）業績構成比'!AK50/1000</f>
        <v>17558.11802714616</v>
      </c>
      <c r="C23" s="143">
        <f t="shared" si="5"/>
        <v>0.12370182578557412</v>
      </c>
      <c r="D23" s="280">
        <v>7.674080245627983E-2</v>
      </c>
      <c r="E23" s="143">
        <f t="shared" si="6"/>
        <v>4.6961023329294291E-2</v>
      </c>
      <c r="F23" s="133"/>
      <c r="G23" s="128" t="s">
        <v>212</v>
      </c>
      <c r="H23" s="142">
        <f>'（４）訂單數量構成比'!AK50</f>
        <v>598238</v>
      </c>
      <c r="I23" s="143">
        <f t="shared" si="3"/>
        <v>0.142253942112363</v>
      </c>
      <c r="J23" s="280">
        <v>8.2080958717727678E-2</v>
      </c>
      <c r="K23" s="143">
        <f t="shared" si="4"/>
        <v>6.0172983394635324E-2</v>
      </c>
    </row>
    <row r="24" spans="1:18" s="121" customFormat="1" ht="15.75" customHeight="1">
      <c r="A24" s="133"/>
      <c r="B24" s="133"/>
      <c r="C24" s="137">
        <f>SUM(C15:C23)</f>
        <v>1.3697714656842979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1.399348650540029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178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168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433</v>
      </c>
      <c r="N27" s="135" t="s">
        <v>434</v>
      </c>
      <c r="O27" s="135" t="s">
        <v>435</v>
      </c>
      <c r="P27" s="135" t="s">
        <v>436</v>
      </c>
      <c r="Q27" s="135" t="s">
        <v>437</v>
      </c>
      <c r="R27" s="133"/>
    </row>
    <row r="28" spans="1:18" s="121" customFormat="1" ht="18" customHeight="1">
      <c r="A28" s="128" t="s">
        <v>214</v>
      </c>
      <c r="B28" s="281">
        <f>'（５-1）品群別人時生產性（18℃-飯糰）'!$C$1</f>
        <v>839.68041502140034</v>
      </c>
      <c r="C28" s="310">
        <v>756.20246993670457</v>
      </c>
      <c r="D28" s="243">
        <f t="shared" ref="D28:D36" si="7">B28-C28</f>
        <v>83.477945084695762</v>
      </c>
      <c r="E28" s="281">
        <f>R28</f>
        <v>778.60397497467989</v>
      </c>
      <c r="F28" s="133"/>
      <c r="G28" s="147"/>
      <c r="H28" s="147"/>
      <c r="I28" s="147"/>
      <c r="M28" s="281">
        <v>717.52753492795955</v>
      </c>
      <c r="N28" s="281">
        <f>B28</f>
        <v>839.68041502140034</v>
      </c>
      <c r="O28" s="281"/>
      <c r="P28" s="281"/>
      <c r="Q28" s="281"/>
      <c r="R28" s="297">
        <f>AVERAGE(M28:Q28)</f>
        <v>778.60397497467989</v>
      </c>
    </row>
    <row r="29" spans="1:18" s="121" customFormat="1" ht="18" customHeight="1">
      <c r="A29" s="128" t="s">
        <v>203</v>
      </c>
      <c r="B29" s="281">
        <f>'（５-2）品群別人時生產性（18-壽司手卷)'!$C$1</f>
        <v>145.48598220229383</v>
      </c>
      <c r="C29" s="310">
        <v>198.82982221081653</v>
      </c>
      <c r="D29" s="243">
        <f t="shared" si="7"/>
        <v>-53.343840008522704</v>
      </c>
      <c r="E29" s="281">
        <f t="shared" ref="E29:E36" si="8">R29</f>
        <v>171.55934954430097</v>
      </c>
      <c r="F29" s="133"/>
      <c r="G29" s="148"/>
      <c r="H29" s="148"/>
      <c r="I29" s="148"/>
      <c r="M29" s="281">
        <v>197.63271688630809</v>
      </c>
      <c r="N29" s="281">
        <f t="shared" ref="N29:N36" si="9">B29</f>
        <v>145.48598220229383</v>
      </c>
      <c r="O29" s="281"/>
      <c r="P29" s="281"/>
      <c r="Q29" s="281"/>
      <c r="R29" s="297">
        <f t="shared" ref="R29:R36" si="10">AVERAGE(M29:Q29)</f>
        <v>171.55934954430097</v>
      </c>
    </row>
    <row r="30" spans="1:18" s="121" customFormat="1" ht="18" customHeight="1">
      <c r="A30" s="128" t="s">
        <v>215</v>
      </c>
      <c r="B30" s="281">
        <f>'（５-3）品群別人時生產性（4℃-飯糰)'!$C$1</f>
        <v>222.80935034818219</v>
      </c>
      <c r="C30" s="310">
        <v>253.36933201602551</v>
      </c>
      <c r="D30" s="243">
        <f t="shared" si="7"/>
        <v>-30.559981667843317</v>
      </c>
      <c r="E30" s="281">
        <f t="shared" si="8"/>
        <v>231.63396086324272</v>
      </c>
      <c r="F30" s="133"/>
      <c r="G30" s="133"/>
      <c r="H30" s="133"/>
      <c r="I30" s="133"/>
      <c r="M30" s="281">
        <v>240.45857137830325</v>
      </c>
      <c r="N30" s="281">
        <f t="shared" si="9"/>
        <v>222.80935034818219</v>
      </c>
      <c r="O30" s="281"/>
      <c r="P30" s="281"/>
      <c r="Q30" s="281"/>
      <c r="R30" s="297">
        <f t="shared" si="10"/>
        <v>231.63396086324272</v>
      </c>
    </row>
    <row r="31" spans="1:18" s="121" customFormat="1" ht="18" customHeight="1">
      <c r="A31" s="128" t="s">
        <v>201</v>
      </c>
      <c r="B31" s="281">
        <f>'（５-4）品群別人時生產性（4℃-壽司手卷)'!$C$1</f>
        <v>115.68223933099752</v>
      </c>
      <c r="C31" s="310">
        <v>112.99131142028241</v>
      </c>
      <c r="D31" s="243">
        <f t="shared" si="7"/>
        <v>2.6909279107151036</v>
      </c>
      <c r="E31" s="281">
        <f t="shared" si="8"/>
        <v>111.27368111956756</v>
      </c>
      <c r="F31" s="133"/>
      <c r="G31" s="133"/>
      <c r="H31" s="133"/>
      <c r="I31" s="133"/>
      <c r="M31" s="281">
        <v>106.86512290813759</v>
      </c>
      <c r="N31" s="281">
        <f t="shared" si="9"/>
        <v>115.68223933099752</v>
      </c>
      <c r="O31" s="281"/>
      <c r="P31" s="281"/>
      <c r="Q31" s="281"/>
      <c r="R31" s="297">
        <f t="shared" si="10"/>
        <v>111.27368111956756</v>
      </c>
    </row>
    <row r="32" spans="1:18" s="121" customFormat="1" ht="18" customHeight="1">
      <c r="A32" s="128" t="s">
        <v>205</v>
      </c>
      <c r="B32" s="281">
        <f>'（５-5）品群別人時生產性(主食) '!$C$1</f>
        <v>89.013863633773994</v>
      </c>
      <c r="C32" s="310">
        <v>85.495684450909806</v>
      </c>
      <c r="D32" s="243">
        <f t="shared" si="7"/>
        <v>3.5181791828641877</v>
      </c>
      <c r="E32" s="281">
        <f t="shared" si="8"/>
        <v>89.16214601925364</v>
      </c>
      <c r="F32" s="133"/>
      <c r="G32" s="133"/>
      <c r="H32" s="133"/>
      <c r="I32" s="133"/>
      <c r="M32" s="281">
        <v>89.310428404733287</v>
      </c>
      <c r="N32" s="281">
        <f t="shared" si="9"/>
        <v>89.013863633773994</v>
      </c>
      <c r="O32" s="281"/>
      <c r="P32" s="281"/>
      <c r="Q32" s="281"/>
      <c r="R32" s="297">
        <f t="shared" si="10"/>
        <v>89.16214601925364</v>
      </c>
    </row>
    <row r="33" spans="1:18" s="121" customFormat="1" ht="18" customHeight="1">
      <c r="A33" s="128" t="s">
        <v>207</v>
      </c>
      <c r="B33" s="281">
        <f>'（５-6）品群別人時生產性(便當)'!$C$1</f>
        <v>71.849726101978334</v>
      </c>
      <c r="C33" s="310">
        <v>66.943613625537381</v>
      </c>
      <c r="D33" s="243">
        <f t="shared" si="7"/>
        <v>4.9061124764409527</v>
      </c>
      <c r="E33" s="281">
        <f t="shared" si="8"/>
        <v>68.761234280629054</v>
      </c>
      <c r="F33" s="133"/>
      <c r="G33" s="133"/>
      <c r="H33" s="133"/>
      <c r="I33" s="133"/>
      <c r="M33" s="281">
        <v>65.67274245927976</v>
      </c>
      <c r="N33" s="281">
        <f t="shared" si="9"/>
        <v>71.849726101978334</v>
      </c>
      <c r="O33" s="281"/>
      <c r="P33" s="281"/>
      <c r="Q33" s="281"/>
      <c r="R33" s="297">
        <f t="shared" si="10"/>
        <v>68.761234280629054</v>
      </c>
    </row>
    <row r="34" spans="1:18" s="121" customFormat="1" ht="18" customHeight="1">
      <c r="A34" s="128" t="s">
        <v>216</v>
      </c>
      <c r="B34" s="281">
        <f>'（５-7）品群別人時生產性(熱食義麵) '!$C$1</f>
        <v>84.276739165803988</v>
      </c>
      <c r="C34" s="310">
        <v>80.555861357885718</v>
      </c>
      <c r="D34" s="243">
        <f t="shared" si="7"/>
        <v>3.7208778079182707</v>
      </c>
      <c r="E34" s="281">
        <f t="shared" si="8"/>
        <v>79.877654093878391</v>
      </c>
      <c r="F34" s="133"/>
      <c r="G34" s="133"/>
      <c r="H34" s="133"/>
      <c r="I34" s="133"/>
      <c r="M34" s="281">
        <v>75.478569021952779</v>
      </c>
      <c r="N34" s="281">
        <f t="shared" si="9"/>
        <v>84.276739165803988</v>
      </c>
      <c r="O34" s="281"/>
      <c r="P34" s="281"/>
      <c r="Q34" s="281"/>
      <c r="R34" s="297">
        <f t="shared" si="10"/>
        <v>79.877654093878391</v>
      </c>
    </row>
    <row r="35" spans="1:18" s="121" customFormat="1" ht="18" customHeight="1">
      <c r="A35" s="128" t="s">
        <v>217</v>
      </c>
      <c r="B35" s="281">
        <f>'（５-8）品群別人時生產性(季節調理麵) '!$C$1</f>
        <v>128.82777921857053</v>
      </c>
      <c r="C35" s="310">
        <v>121.13262609451999</v>
      </c>
      <c r="D35" s="243">
        <f t="shared" si="7"/>
        <v>7.6951531240505346</v>
      </c>
      <c r="E35" s="281">
        <f t="shared" si="8"/>
        <v>121.66667562258678</v>
      </c>
      <c r="F35" s="133"/>
      <c r="G35" s="133"/>
      <c r="H35" s="133"/>
      <c r="I35" s="133"/>
      <c r="M35" s="281">
        <v>114.50557202660302</v>
      </c>
      <c r="N35" s="281">
        <f t="shared" si="9"/>
        <v>128.82777921857053</v>
      </c>
      <c r="O35" s="281"/>
      <c r="P35" s="281"/>
      <c r="Q35" s="281"/>
      <c r="R35" s="297">
        <f t="shared" si="10"/>
        <v>121.66667562258678</v>
      </c>
    </row>
    <row r="36" spans="1:18" s="121" customFormat="1" ht="18" customHeight="1">
      <c r="A36" s="124" t="s">
        <v>212</v>
      </c>
      <c r="B36" s="281">
        <f>'（５-9）品群別人時生產性(微波小吃)'!$C$1</f>
        <v>147.50806689740159</v>
      </c>
      <c r="C36" s="310">
        <v>115.3662253913358</v>
      </c>
      <c r="D36" s="243">
        <f t="shared" si="7"/>
        <v>32.141841506065788</v>
      </c>
      <c r="E36" s="281">
        <f t="shared" si="8"/>
        <v>123.57820446963366</v>
      </c>
      <c r="F36" s="133"/>
      <c r="G36" s="133"/>
      <c r="H36" s="133"/>
      <c r="I36" s="133"/>
      <c r="M36" s="281">
        <v>99.648342041865732</v>
      </c>
      <c r="N36" s="281">
        <f t="shared" si="9"/>
        <v>147.50806689740159</v>
      </c>
      <c r="O36" s="281"/>
      <c r="P36" s="281"/>
      <c r="Q36" s="281"/>
      <c r="R36" s="297">
        <f t="shared" si="10"/>
        <v>123.57820446963366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G35" sqref="G35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588" t="s">
        <v>367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119"/>
    </row>
    <row r="2" spans="1:18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</row>
    <row r="3" spans="1:18" ht="21.6" customHeight="1">
      <c r="A3" s="139" t="s">
        <v>307</v>
      </c>
      <c r="B3" s="214">
        <v>6</v>
      </c>
      <c r="C3" s="216" t="s">
        <v>308</v>
      </c>
      <c r="D3" s="214" t="s">
        <v>754</v>
      </c>
      <c r="E3" s="139" t="s">
        <v>20</v>
      </c>
      <c r="F3" s="589" t="s">
        <v>366</v>
      </c>
      <c r="G3" s="589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177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179</v>
      </c>
      <c r="B5" s="146" t="s">
        <v>310</v>
      </c>
      <c r="C5" s="146" t="s">
        <v>312</v>
      </c>
      <c r="D5" s="141" t="s">
        <v>2</v>
      </c>
      <c r="E5" s="141" t="s">
        <v>3</v>
      </c>
      <c r="F5" s="135"/>
      <c r="G5" s="146" t="s">
        <v>179</v>
      </c>
      <c r="H5" s="141" t="s">
        <v>69</v>
      </c>
      <c r="I5" s="141" t="s">
        <v>309</v>
      </c>
      <c r="J5" s="141" t="s">
        <v>311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'（１）收支狀況'!G19/1000</f>
        <v>67337.724000000002</v>
      </c>
      <c r="C6" s="253">
        <v>65024.923999999999</v>
      </c>
      <c r="D6" s="142">
        <f t="shared" ref="D6:D11" si="0">B6-C6</f>
        <v>2312.8000000000029</v>
      </c>
      <c r="E6" s="235">
        <f>'（１）收支狀況'!H10/1000</f>
        <v>141939.03700000001</v>
      </c>
      <c r="F6" s="133"/>
      <c r="G6" s="128" t="s">
        <v>180</v>
      </c>
      <c r="H6" s="237">
        <v>366</v>
      </c>
      <c r="I6" s="258">
        <f>'（２）ＫＰＩ達成進度'!G19</f>
        <v>363.48965097689035</v>
      </c>
      <c r="J6" s="259">
        <v>364.54238052447869</v>
      </c>
      <c r="K6" s="260">
        <f>'（２）ＫＰＩ達成進度'!H10</f>
        <v>364.52603618089546</v>
      </c>
      <c r="L6" s="122" t="s">
        <v>176</v>
      </c>
    </row>
    <row r="7" spans="1:18" s="121" customFormat="1" ht="18" customHeight="1">
      <c r="A7" s="128" t="s">
        <v>25</v>
      </c>
      <c r="B7" s="223">
        <f>'（１）收支狀況'!J19</f>
        <v>1972746</v>
      </c>
      <c r="C7" s="253">
        <v>1939291</v>
      </c>
      <c r="D7" s="142">
        <f t="shared" si="0"/>
        <v>33455</v>
      </c>
      <c r="E7" s="235">
        <f>'（１）收支狀況'!K10</f>
        <v>4205423</v>
      </c>
      <c r="F7" s="133"/>
      <c r="G7" s="128" t="s">
        <v>181</v>
      </c>
      <c r="H7" s="251">
        <v>0.8</v>
      </c>
      <c r="I7" s="249">
        <f>'（２）ＫＰＩ達成進度'!J19</f>
        <v>0.99314112288767853</v>
      </c>
      <c r="J7" s="256">
        <v>0.9960174331269912</v>
      </c>
      <c r="K7" s="252">
        <f>'（２）ＫＰＩ達成進度'!K10</f>
        <v>0.49798638822526697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'（１）收支狀況'!M19/1000</f>
        <v>44459.108</v>
      </c>
      <c r="C8" s="253">
        <f>43241268/1000</f>
        <v>43241.267999999996</v>
      </c>
      <c r="D8" s="142">
        <f>B8-C8</f>
        <v>1217.8400000000038</v>
      </c>
      <c r="E8" s="235">
        <f>'（１）收支狀況'!N10/1000</f>
        <v>94063.857000000004</v>
      </c>
      <c r="F8" s="133"/>
      <c r="G8" s="128" t="s">
        <v>182</v>
      </c>
      <c r="H8" s="236">
        <v>2.5000000000000001E-3</v>
      </c>
      <c r="I8" s="247">
        <f>'（２）ＫＰＩ達成進度'!M19</f>
        <v>2.4261463729668598E-3</v>
      </c>
      <c r="J8" s="255">
        <v>2.4182194076305835E-3</v>
      </c>
      <c r="K8" s="247">
        <f>'（２）ＫＰＩ達成進度'!N10</f>
        <v>2.4212211458343241E-3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'（１）收支狀況'!P19</f>
        <v>0.660240729253041</v>
      </c>
      <c r="C9" s="254">
        <v>0.66499528703793642</v>
      </c>
      <c r="D9" s="143">
        <f t="shared" si="0"/>
        <v>-4.754557784895419E-3</v>
      </c>
      <c r="E9" s="143">
        <f>'（１）收支狀況'!Q10</f>
        <v>0.66270603907225323</v>
      </c>
      <c r="F9" s="133"/>
      <c r="G9" s="128" t="s">
        <v>183</v>
      </c>
      <c r="H9" s="236">
        <v>2.5999999999999999E-3</v>
      </c>
      <c r="I9" s="247">
        <f>'（２）ＫＰＩ達成進度'!P19</f>
        <v>3.9141798061790049E-3</v>
      </c>
      <c r="J9" s="255">
        <v>4.0596366230115557E-3</v>
      </c>
      <c r="K9" s="247">
        <f>'（２）ＫＰＩ達成進度'!Q10</f>
        <v>3.9869991805034895E-3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'（１）收支狀況'!S19/1000</f>
        <v>7500.3509981815578</v>
      </c>
      <c r="C10" s="253">
        <v>7317.7016346329601</v>
      </c>
      <c r="D10" s="142">
        <f t="shared" si="0"/>
        <v>182.64936354859765</v>
      </c>
      <c r="E10" s="235">
        <f>'（１）收支狀況'!T10/1000</f>
        <v>15900.739648160876</v>
      </c>
      <c r="F10" s="133"/>
      <c r="G10" s="128" t="s">
        <v>184</v>
      </c>
      <c r="H10" s="248">
        <v>0.8</v>
      </c>
      <c r="I10" s="249">
        <v>0.91190000000000004</v>
      </c>
      <c r="J10" s="256">
        <v>0.91120000000000001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'（１）收支狀況'!V19</f>
        <v>0.11138408833333241</v>
      </c>
      <c r="C11" s="254">
        <v>0.11253687331696012</v>
      </c>
      <c r="D11" s="143">
        <f t="shared" si="0"/>
        <v>-1.152784983627711E-3</v>
      </c>
      <c r="E11" s="143">
        <f>'（１）收支狀況'!W10</f>
        <v>0.11202513405921498</v>
      </c>
      <c r="F11" s="133"/>
      <c r="G11" s="128" t="s">
        <v>185</v>
      </c>
      <c r="H11" s="248">
        <v>1</v>
      </c>
      <c r="I11" s="249">
        <f>'（２）ＫＰＩ達成進度'!V19</f>
        <v>0.42914285714285716</v>
      </c>
      <c r="J11" s="256">
        <v>0.41571428571428576</v>
      </c>
      <c r="K11" s="249">
        <f>'（２）ＫＰＩ達成進度'!W10</f>
        <v>0.42133333333333334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310</v>
      </c>
      <c r="C14" s="145" t="s">
        <v>66</v>
      </c>
      <c r="D14" s="217" t="s">
        <v>313</v>
      </c>
      <c r="E14" s="145" t="s">
        <v>68</v>
      </c>
      <c r="F14" s="136"/>
      <c r="G14" s="145"/>
      <c r="H14" s="217" t="s">
        <v>310</v>
      </c>
      <c r="I14" s="145" t="s">
        <v>66</v>
      </c>
      <c r="J14" s="217" t="s">
        <v>313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317</v>
      </c>
      <c r="B15" s="238">
        <f>SUM('（３）業績構成比'!I21:I48,'（３）業績構成比'!K21:K48)/1000</f>
        <v>10330.654477954433</v>
      </c>
      <c r="C15" s="143">
        <f>IFERROR(B15/$B$6,"")</f>
        <v>0.15341555764424755</v>
      </c>
      <c r="D15" s="254">
        <v>0.16621154023506263</v>
      </c>
      <c r="E15" s="143">
        <f>IFERROR(C15-D15,"")</f>
        <v>-1.2795982590815075E-2</v>
      </c>
      <c r="F15" s="133"/>
      <c r="G15" s="128" t="s">
        <v>317</v>
      </c>
      <c r="H15" s="238">
        <f>SUM(,'（４）訂單數量構成比'!I21:I48,'（４）訂單數量構成比'!K21:K48)</f>
        <v>540219</v>
      </c>
      <c r="I15" s="143">
        <f t="shared" ref="I15:I23" si="1">IFERROR(H15/$B$7,"")</f>
        <v>0.27384113312104041</v>
      </c>
      <c r="J15" s="254">
        <v>0.29034322337390317</v>
      </c>
      <c r="K15" s="143">
        <f t="shared" ref="K15:K23" si="2">IFERROR(I15-J15,"")</f>
        <v>-1.6502090252862756E-2</v>
      </c>
    </row>
    <row r="16" spans="1:18" s="121" customFormat="1" ht="18" customHeight="1">
      <c r="A16" s="128" t="s">
        <v>204</v>
      </c>
      <c r="B16" s="238">
        <f>SUM('（３）業績構成比'!O21:O48,'（３）業績構成比'!Q21:Q48)/1000</f>
        <v>1053.3088822470379</v>
      </c>
      <c r="C16" s="143">
        <f t="shared" ref="C16:C23" si="3">IFERROR(B16/$B$6,"")</f>
        <v>1.5642181227376172E-2</v>
      </c>
      <c r="D16" s="254">
        <v>1.610338878159662E-2</v>
      </c>
      <c r="E16" s="143">
        <f t="shared" ref="E16:E23" si="4">IFERROR(C16-D16,"")</f>
        <v>-4.6120755422044898E-4</v>
      </c>
      <c r="F16" s="133"/>
      <c r="G16" s="128" t="s">
        <v>233</v>
      </c>
      <c r="H16" s="238">
        <f>SUM('（４）訂單數量構成比'!O21:O48,'（４）訂單數量構成比'!Q21:Q48)</f>
        <v>36405</v>
      </c>
      <c r="I16" s="143">
        <f t="shared" si="1"/>
        <v>1.8453972280263145E-2</v>
      </c>
      <c r="J16" s="254">
        <v>1.8619691423308826E-2</v>
      </c>
      <c r="K16" s="143">
        <f t="shared" si="2"/>
        <v>-1.6571914304568114E-4</v>
      </c>
    </row>
    <row r="17" spans="1:11" s="121" customFormat="1" ht="18" customHeight="1">
      <c r="A17" s="128" t="s">
        <v>200</v>
      </c>
      <c r="B17" s="238">
        <f>SUM('（３）業績構成比'!U21:U48)/1000</f>
        <v>8189.4134478213355</v>
      </c>
      <c r="C17" s="143">
        <f t="shared" si="3"/>
        <v>0.12161702180224171</v>
      </c>
      <c r="D17" s="254">
        <v>0.10291391508972864</v>
      </c>
      <c r="E17" s="143">
        <f t="shared" si="4"/>
        <v>1.8703106712513073E-2</v>
      </c>
      <c r="F17" s="133"/>
      <c r="G17" s="128" t="s">
        <v>215</v>
      </c>
      <c r="H17" s="238">
        <f>SUM('（４）訂單數量構成比'!U21:U48)</f>
        <v>249379</v>
      </c>
      <c r="I17" s="143">
        <f t="shared" si="1"/>
        <v>0.12641211793104637</v>
      </c>
      <c r="J17" s="254">
        <v>0.10332074969666749</v>
      </c>
      <c r="K17" s="143">
        <f t="shared" si="2"/>
        <v>2.3091368234378878E-2</v>
      </c>
    </row>
    <row r="18" spans="1:11" s="121" customFormat="1" ht="18" customHeight="1">
      <c r="A18" s="128" t="s">
        <v>202</v>
      </c>
      <c r="B18" s="238">
        <f>SUM('（３）業績構成比'!W21:W48)/1000</f>
        <v>409.14086208456479</v>
      </c>
      <c r="C18" s="143">
        <f t="shared" si="3"/>
        <v>6.0759532366220868E-3</v>
      </c>
      <c r="D18" s="254">
        <v>6.7307360289202258E-3</v>
      </c>
      <c r="E18" s="143">
        <f t="shared" si="4"/>
        <v>-6.5478279229813901E-4</v>
      </c>
      <c r="F18" s="133"/>
      <c r="G18" s="128" t="s">
        <v>201</v>
      </c>
      <c r="H18" s="238">
        <f>SUM('（４）訂單數量構成比'!W21:W48)</f>
        <v>11263</v>
      </c>
      <c r="I18" s="143">
        <f t="shared" si="1"/>
        <v>5.7093006398188113E-3</v>
      </c>
      <c r="J18" s="254">
        <v>6.2141267091942367E-3</v>
      </c>
      <c r="K18" s="143">
        <f t="shared" si="2"/>
        <v>-5.0482606937542543E-4</v>
      </c>
    </row>
    <row r="19" spans="1:11" s="121" customFormat="1" ht="18" customHeight="1">
      <c r="A19" s="128" t="s">
        <v>206</v>
      </c>
      <c r="B19" s="238">
        <f>SUM('（３）業績構成比'!Y21:Y48,'（３）業績構成比'!AA21:AA48)/1000</f>
        <v>13489.057868215205</v>
      </c>
      <c r="C19" s="143">
        <f t="shared" si="3"/>
        <v>0.20031948018045878</v>
      </c>
      <c r="D19" s="254">
        <v>0.19090510560899343</v>
      </c>
      <c r="E19" s="143">
        <f t="shared" si="4"/>
        <v>9.4143745714653504E-3</v>
      </c>
      <c r="F19" s="133"/>
      <c r="G19" s="128" t="s">
        <v>205</v>
      </c>
      <c r="H19" s="238">
        <f>SUM('（４）訂單數量構成比'!Y21:Y48,'（４）訂單數量構成比'!AA21:AA48)</f>
        <v>339001</v>
      </c>
      <c r="I19" s="143">
        <f t="shared" si="1"/>
        <v>0.17184219357180297</v>
      </c>
      <c r="J19" s="254">
        <v>0.16207160245677416</v>
      </c>
      <c r="K19" s="143">
        <f t="shared" si="2"/>
        <v>9.7705911150288149E-3</v>
      </c>
    </row>
    <row r="20" spans="1:11" s="121" customFormat="1" ht="18" customHeight="1">
      <c r="A20" s="128" t="s">
        <v>208</v>
      </c>
      <c r="B20" s="238">
        <f>SUM('（３）業績構成比'!AE21:AE48)/1000</f>
        <v>9666.6292015537729</v>
      </c>
      <c r="C20" s="143">
        <f t="shared" si="3"/>
        <v>0.14355443913657925</v>
      </c>
      <c r="D20" s="254">
        <v>0.15122733633525665</v>
      </c>
      <c r="E20" s="143">
        <f t="shared" si="4"/>
        <v>-7.672897198677392E-3</v>
      </c>
      <c r="F20" s="133"/>
      <c r="G20" s="128" t="s">
        <v>207</v>
      </c>
      <c r="H20" s="238">
        <f>SUM('（４）訂單數量構成比'!AE21:AE48)</f>
        <v>167384</v>
      </c>
      <c r="I20" s="143">
        <f t="shared" si="1"/>
        <v>8.4848226786418526E-2</v>
      </c>
      <c r="J20" s="254">
        <v>8.9038726008628929E-2</v>
      </c>
      <c r="K20" s="143">
        <f t="shared" si="2"/>
        <v>-4.1904992222104032E-3</v>
      </c>
    </row>
    <row r="21" spans="1:11" s="121" customFormat="1" ht="18" customHeight="1">
      <c r="A21" s="128" t="s">
        <v>210</v>
      </c>
      <c r="B21" s="238">
        <f>SUM('（３）業績構成比'!AG21:AG48)/1000</f>
        <v>7849.471238888962</v>
      </c>
      <c r="C21" s="143">
        <f t="shared" si="3"/>
        <v>0.11656870432521542</v>
      </c>
      <c r="D21" s="254">
        <v>0.10052517440762598</v>
      </c>
      <c r="E21" s="143">
        <f t="shared" si="4"/>
        <v>1.6043529917589436E-2</v>
      </c>
      <c r="F21" s="133"/>
      <c r="G21" s="128" t="s">
        <v>216</v>
      </c>
      <c r="H21" s="238">
        <f>SUM('（４）訂單數量構成比'!AG21:AG48)</f>
        <v>159573</v>
      </c>
      <c r="I21" s="143">
        <f t="shared" si="1"/>
        <v>8.0888771286318661E-2</v>
      </c>
      <c r="J21" s="254">
        <v>6.8319813787616201E-2</v>
      </c>
      <c r="K21" s="143">
        <f t="shared" si="2"/>
        <v>1.256895749870246E-2</v>
      </c>
    </row>
    <row r="22" spans="1:11" s="121" customFormat="1" ht="18" customHeight="1">
      <c r="A22" s="128" t="s">
        <v>211</v>
      </c>
      <c r="B22" s="238">
        <f>SUM('（３）業績構成比'!AI21:AI48)/1000</f>
        <v>10375.067026656261</v>
      </c>
      <c r="C22" s="143">
        <f t="shared" si="3"/>
        <v>0.15407510694386198</v>
      </c>
      <c r="D22" s="254">
        <v>0.16811220315231332</v>
      </c>
      <c r="E22" s="143">
        <f t="shared" si="4"/>
        <v>-1.4037096208451338E-2</v>
      </c>
      <c r="F22" s="133"/>
      <c r="G22" s="128" t="s">
        <v>217</v>
      </c>
      <c r="H22" s="238">
        <f>SUM('（４）訂單數量構成比'!AI21:AI48)</f>
        <v>266668</v>
      </c>
      <c r="I22" s="143">
        <f t="shared" si="1"/>
        <v>0.13517604395091917</v>
      </c>
      <c r="J22" s="254">
        <v>0.15075561120017572</v>
      </c>
      <c r="K22" s="143">
        <f t="shared" si="2"/>
        <v>-1.5579567249256548E-2</v>
      </c>
    </row>
    <row r="23" spans="1:11" s="121" customFormat="1" ht="18" customHeight="1">
      <c r="A23" s="128" t="s">
        <v>213</v>
      </c>
      <c r="B23" s="238">
        <f>SUM('（３）業績構成比'!AK21:AK48)/1000</f>
        <v>5974.9809945784327</v>
      </c>
      <c r="C23" s="143">
        <f t="shared" si="3"/>
        <v>8.8731555503397064E-2</v>
      </c>
      <c r="D23" s="254">
        <v>9.7270600360502529E-2</v>
      </c>
      <c r="E23" s="143">
        <f t="shared" si="4"/>
        <v>-8.5390448571054656E-3</v>
      </c>
      <c r="F23" s="133"/>
      <c r="G23" s="128" t="s">
        <v>212</v>
      </c>
      <c r="H23" s="238">
        <f>SUM('（４）訂單數量構成比'!AK21:AK48)</f>
        <v>202854</v>
      </c>
      <c r="I23" s="143">
        <f t="shared" si="1"/>
        <v>0.10282824043237193</v>
      </c>
      <c r="J23" s="254">
        <v>0.11131645534373129</v>
      </c>
      <c r="K23" s="143">
        <f t="shared" si="2"/>
        <v>-8.4882149113593569E-3</v>
      </c>
    </row>
    <row r="24" spans="1:11" s="121" customFormat="1" ht="15.75" customHeight="1">
      <c r="A24" s="133"/>
      <c r="B24" s="133"/>
      <c r="C24" s="137">
        <f>SUM(C15:C23)</f>
        <v>1</v>
      </c>
      <c r="D24" s="137">
        <f>SUM(D15:D23)</f>
        <v>1</v>
      </c>
      <c r="E24" s="133"/>
      <c r="F24" s="133"/>
      <c r="G24" s="133"/>
      <c r="H24" s="133"/>
      <c r="I24" s="137">
        <f>SUM(I15:I23)</f>
        <v>1</v>
      </c>
      <c r="J24" s="137">
        <f>SUM(J15:J23)</f>
        <v>1.0000000000000002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454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168</v>
      </c>
      <c r="B27" s="218" t="s">
        <v>310</v>
      </c>
      <c r="C27" s="218" t="s">
        <v>312</v>
      </c>
      <c r="D27" s="128" t="s">
        <v>2</v>
      </c>
      <c r="E27" s="128" t="s">
        <v>368</v>
      </c>
      <c r="F27" s="133"/>
      <c r="G27" s="133"/>
      <c r="H27" s="133"/>
      <c r="I27" s="133"/>
      <c r="J27" s="133"/>
      <c r="K27" s="133"/>
    </row>
    <row r="28" spans="1:11" s="121" customFormat="1" ht="18" customHeight="1">
      <c r="A28" s="128" t="s">
        <v>317</v>
      </c>
      <c r="B28" s="242">
        <f>'（５-1）品群別人時生產性（18℃-飯糰）'!L77</f>
        <v>839.18137549688061</v>
      </c>
      <c r="C28" s="257">
        <v>840.02597703985577</v>
      </c>
      <c r="D28" s="243">
        <f t="shared" ref="D28:D36" si="5">B28-C28</f>
        <v>-0.84460154297516965</v>
      </c>
      <c r="E28" s="129">
        <f>'（５-1）品群別人時生產性（18℃-飯糰）'!C1</f>
        <v>839.68041502140034</v>
      </c>
      <c r="F28" s="133"/>
      <c r="G28" s="147"/>
      <c r="H28" s="147"/>
      <c r="I28" s="147"/>
      <c r="J28" s="147"/>
      <c r="K28" s="133"/>
    </row>
    <row r="29" spans="1:11" s="121" customFormat="1" ht="18" customHeight="1">
      <c r="A29" s="128" t="s">
        <v>203</v>
      </c>
      <c r="B29" s="242">
        <f>'（５-2）品群別人時生產性（18-壽司手卷)'!L47</f>
        <v>137.89980340088107</v>
      </c>
      <c r="C29" s="257">
        <v>147.47154413047278</v>
      </c>
      <c r="D29" s="243">
        <f t="shared" si="5"/>
        <v>-9.5717407295917099</v>
      </c>
      <c r="E29" s="129">
        <f>'（５-2）品群別人時生產性（18-壽司手卷)'!C1</f>
        <v>145.48598220229383</v>
      </c>
      <c r="F29" s="133"/>
      <c r="G29" s="148"/>
      <c r="H29" s="148"/>
      <c r="I29" s="149"/>
      <c r="J29" s="150"/>
      <c r="K29" s="133"/>
    </row>
    <row r="30" spans="1:11" s="121" customFormat="1" ht="18" customHeight="1">
      <c r="A30" s="128" t="s">
        <v>215</v>
      </c>
      <c r="B30" s="242">
        <f>'（５-3）品群別人時生產性（4℃-飯糰)'!L47</f>
        <v>207.11564546745879</v>
      </c>
      <c r="C30" s="257">
        <v>229.24447085258544</v>
      </c>
      <c r="D30" s="243">
        <f t="shared" si="5"/>
        <v>-22.128825385126646</v>
      </c>
      <c r="E30" s="129">
        <f>'（５-3）品群別人時生產性（4℃-飯糰)'!C1</f>
        <v>222.80935034818219</v>
      </c>
      <c r="F30" s="133"/>
      <c r="G30" s="133"/>
      <c r="H30" s="133"/>
      <c r="I30" s="133"/>
      <c r="J30" s="133"/>
      <c r="K30" s="133"/>
    </row>
    <row r="31" spans="1:11" s="121" customFormat="1" ht="18" customHeight="1">
      <c r="A31" s="128" t="s">
        <v>201</v>
      </c>
      <c r="B31" s="242">
        <f>'（５-4）品群別人時生產性（4℃-壽司手卷)'!L47</f>
        <v>111.55429794805157</v>
      </c>
      <c r="C31" s="257">
        <v>117.78207744636315</v>
      </c>
      <c r="D31" s="243">
        <f t="shared" si="5"/>
        <v>-6.2277794983115768</v>
      </c>
      <c r="E31" s="129">
        <f>'（５-4）品群別人時生產性（4℃-壽司手卷)'!C1</f>
        <v>115.68223933099752</v>
      </c>
      <c r="F31" s="133"/>
      <c r="G31" s="133"/>
      <c r="H31" s="133"/>
      <c r="I31" s="133"/>
      <c r="J31" s="133"/>
      <c r="K31" s="133"/>
    </row>
    <row r="32" spans="1:11" s="121" customFormat="1" ht="18" customHeight="1">
      <c r="A32" s="128" t="s">
        <v>205</v>
      </c>
      <c r="B32" s="242">
        <f>'（５-5）品群別人時生產性(主食) '!L77</f>
        <v>88.755236014875535</v>
      </c>
      <c r="C32" s="257">
        <v>89.04297848666188</v>
      </c>
      <c r="D32" s="243">
        <f t="shared" si="5"/>
        <v>-0.28774247178634482</v>
      </c>
      <c r="E32" s="129">
        <f>'（５-5）品群別人時生產性(主食) '!C1</f>
        <v>89.013863633773994</v>
      </c>
      <c r="F32" s="133"/>
      <c r="G32" s="133"/>
      <c r="H32" s="133"/>
      <c r="I32" s="133"/>
      <c r="J32" s="133"/>
      <c r="K32" s="133"/>
    </row>
    <row r="33" spans="1:11" s="121" customFormat="1" ht="18" customHeight="1">
      <c r="A33" s="128" t="s">
        <v>207</v>
      </c>
      <c r="B33" s="242">
        <f>'（５-6）品群別人時生產性(便當)'!L47</f>
        <v>71.085390314106604</v>
      </c>
      <c r="C33" s="257">
        <v>71.995438102013637</v>
      </c>
      <c r="D33" s="243">
        <f t="shared" si="5"/>
        <v>-0.91004778790703256</v>
      </c>
      <c r="E33" s="129">
        <f>'（５-6）品群別人時生產性(便當)'!C1</f>
        <v>71.849726101978334</v>
      </c>
      <c r="F33" s="133"/>
      <c r="G33" s="133"/>
      <c r="H33" s="133"/>
      <c r="I33" s="133"/>
      <c r="J33" s="133"/>
      <c r="K33" s="133"/>
    </row>
    <row r="34" spans="1:11" s="121" customFormat="1" ht="18" customHeight="1">
      <c r="A34" s="128" t="s">
        <v>216</v>
      </c>
      <c r="B34" s="242">
        <f>'（５-7）品群別人時生產性(熱食義麵) '!L47</f>
        <v>83.032083358954196</v>
      </c>
      <c r="C34" s="257">
        <v>84.277714828679365</v>
      </c>
      <c r="D34" s="243">
        <f t="shared" si="5"/>
        <v>-1.2456314697251685</v>
      </c>
      <c r="E34" s="129">
        <f>'（５-7）品群別人時生產性(熱食義麵) '!C1</f>
        <v>84.276739165803988</v>
      </c>
      <c r="F34" s="133"/>
      <c r="G34" s="133"/>
      <c r="H34" s="133"/>
      <c r="I34" s="133"/>
      <c r="J34" s="133"/>
      <c r="K34" s="133"/>
    </row>
    <row r="35" spans="1:11" s="121" customFormat="1" ht="18" customHeight="1">
      <c r="A35" s="128" t="s">
        <v>217</v>
      </c>
      <c r="B35" s="242">
        <f>'（５-8）品群別人時生產性(季節調理麵) '!L47</f>
        <v>127.10790946025114</v>
      </c>
      <c r="C35" s="257">
        <v>129.42800050234527</v>
      </c>
      <c r="D35" s="243">
        <f t="shared" si="5"/>
        <v>-2.3200910420941341</v>
      </c>
      <c r="E35" s="129">
        <f>'（５-8）品群別人時生產性(季節調理麵) '!C1</f>
        <v>128.82777921857053</v>
      </c>
      <c r="F35" s="133"/>
      <c r="G35" s="133"/>
      <c r="H35" s="133"/>
      <c r="I35" s="133"/>
      <c r="J35" s="133"/>
      <c r="K35" s="133"/>
    </row>
    <row r="36" spans="1:11" s="121" customFormat="1" ht="18" customHeight="1">
      <c r="A36" s="124" t="s">
        <v>212</v>
      </c>
      <c r="B36" s="242">
        <f>'（５-9）品群別人時生產性(微波小吃)'!L47</f>
        <v>150.29771022259089</v>
      </c>
      <c r="C36" s="257">
        <v>148.81056237666323</v>
      </c>
      <c r="D36" s="243">
        <f t="shared" si="5"/>
        <v>1.4871478459276659</v>
      </c>
      <c r="E36" s="129">
        <f>'（５-9）品群別人時生產性(微波小吃)'!C1</f>
        <v>147.50806689740159</v>
      </c>
      <c r="F36" s="133"/>
      <c r="G36" s="133"/>
      <c r="H36" s="133"/>
      <c r="I36" s="133"/>
      <c r="J36" s="133"/>
      <c r="K36" s="133"/>
    </row>
    <row r="37" spans="1:11" s="121" customFormat="1" ht="15.75" customHeight="1">
      <c r="D37" s="304"/>
    </row>
    <row r="38" spans="1:11" s="121" customFormat="1" ht="15.75" customHeight="1"/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R25" sqref="R25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591" t="s">
        <v>121</v>
      </c>
      <c r="C2" s="591"/>
      <c r="D2" s="591"/>
      <c r="E2" s="591"/>
      <c r="F2" s="591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</row>
    <row r="3" spans="1:23" s="84" customFormat="1" ht="23.45" customHeight="1">
      <c r="B3" s="97"/>
      <c r="C3" s="595" t="s">
        <v>116</v>
      </c>
      <c r="D3" s="596" t="s">
        <v>105</v>
      </c>
      <c r="E3" s="596"/>
      <c r="F3" s="594" t="s">
        <v>335</v>
      </c>
      <c r="G3" s="594"/>
      <c r="H3" s="594"/>
      <c r="I3" s="592" t="s">
        <v>119</v>
      </c>
      <c r="J3" s="592"/>
      <c r="K3" s="592"/>
      <c r="L3" s="593" t="s">
        <v>120</v>
      </c>
      <c r="M3" s="593"/>
      <c r="N3" s="593"/>
      <c r="O3" s="590" t="s">
        <v>122</v>
      </c>
      <c r="P3" s="590"/>
      <c r="Q3" s="590"/>
      <c r="R3" s="597" t="s">
        <v>123</v>
      </c>
      <c r="S3" s="597"/>
      <c r="T3" s="597"/>
      <c r="U3" s="590" t="s">
        <v>124</v>
      </c>
      <c r="V3" s="590"/>
      <c r="W3" s="590"/>
    </row>
    <row r="4" spans="1:23" s="84" customFormat="1" ht="23.45" customHeight="1">
      <c r="A4" s="97"/>
      <c r="B4" s="97"/>
      <c r="C4" s="595"/>
      <c r="D4" s="596"/>
      <c r="E4" s="596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8" t="s">
        <v>462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8" t="s">
        <v>462</v>
      </c>
    </row>
    <row r="5" spans="1:23">
      <c r="A5" s="97"/>
      <c r="B5" s="97"/>
      <c r="C5" s="97"/>
      <c r="D5" s="307">
        <v>46168</v>
      </c>
      <c r="E5" s="307" t="s">
        <v>456</v>
      </c>
      <c r="F5" s="503">
        <v>9911969</v>
      </c>
      <c r="H5" s="328"/>
      <c r="I5" s="506">
        <v>293602</v>
      </c>
      <c r="K5" s="329"/>
      <c r="L5" s="503">
        <v>6374930</v>
      </c>
      <c r="M5" s="305"/>
      <c r="N5" s="328"/>
      <c r="O5" s="89">
        <f t="shared" ref="O5:O39" si="0">L5/F5</f>
        <v>0.64315475562928015</v>
      </c>
      <c r="P5" s="306"/>
      <c r="Q5" s="327"/>
      <c r="R5" s="503">
        <v>1112117.709822048</v>
      </c>
      <c r="S5" s="305"/>
      <c r="T5" s="328"/>
      <c r="U5" s="89">
        <f t="shared" ref="U5:U40" si="1">R5/F5</f>
        <v>0.11219947417329977</v>
      </c>
      <c r="V5" s="306"/>
      <c r="W5" s="327"/>
    </row>
    <row r="6" spans="1:23">
      <c r="A6" s="97"/>
      <c r="B6" s="97"/>
      <c r="C6" s="97"/>
      <c r="D6" s="307">
        <f t="shared" ref="D6" si="2">D5+1</f>
        <v>46169</v>
      </c>
      <c r="E6" s="307" t="s">
        <v>457</v>
      </c>
      <c r="F6" s="503">
        <v>9723654</v>
      </c>
      <c r="G6" s="305">
        <f>SUM(F5:F11)</f>
        <v>65939025</v>
      </c>
      <c r="H6" s="328"/>
      <c r="I6" s="506">
        <v>289569</v>
      </c>
      <c r="J6" s="87">
        <f>SUM(I5:I11)</f>
        <v>1972816</v>
      </c>
      <c r="K6" s="329"/>
      <c r="L6" s="503">
        <v>6417155</v>
      </c>
      <c r="M6" s="305">
        <f>SUM(L5:L11)</f>
        <v>43902368</v>
      </c>
      <c r="N6" s="328"/>
      <c r="O6" s="89">
        <f t="shared" si="0"/>
        <v>0.6599530382302784</v>
      </c>
      <c r="P6" s="89">
        <f>M6/G6</f>
        <v>0.66580250466245139</v>
      </c>
      <c r="Q6" s="327"/>
      <c r="R6" s="503">
        <v>1109096.6216519091</v>
      </c>
      <c r="S6" s="305">
        <f>SUM(R5:R11)</f>
        <v>7722861.6238168366</v>
      </c>
      <c r="T6" s="328"/>
      <c r="U6" s="89">
        <f t="shared" si="1"/>
        <v>0.11406171195025132</v>
      </c>
      <c r="V6" s="89">
        <f>S6/G6</f>
        <v>0.1171212589785311</v>
      </c>
      <c r="W6" s="327"/>
    </row>
    <row r="7" spans="1:23" ht="16.5" customHeight="1">
      <c r="A7" s="97"/>
      <c r="B7" s="97"/>
      <c r="C7" s="97"/>
      <c r="D7" s="307">
        <f>D6+1</f>
        <v>46170</v>
      </c>
      <c r="E7" s="307" t="s">
        <v>458</v>
      </c>
      <c r="F7" s="503">
        <v>9072400</v>
      </c>
      <c r="I7" s="506">
        <v>272954</v>
      </c>
      <c r="L7" s="503">
        <v>6318977</v>
      </c>
      <c r="M7" s="86"/>
      <c r="N7" s="86"/>
      <c r="O7" s="89">
        <f t="shared" si="0"/>
        <v>0.69650555531061242</v>
      </c>
      <c r="R7" s="503">
        <v>1092100.0396727426</v>
      </c>
      <c r="S7" s="86"/>
      <c r="T7" s="86"/>
      <c r="U7" s="89">
        <f t="shared" si="1"/>
        <v>0.1203760900834115</v>
      </c>
      <c r="V7" s="89"/>
    </row>
    <row r="8" spans="1:23" ht="16.5" customHeight="1">
      <c r="A8" s="97"/>
      <c r="B8" s="97"/>
      <c r="C8" s="97"/>
      <c r="D8" s="307">
        <f t="shared" ref="D8:D11" si="3">D7+1</f>
        <v>46171</v>
      </c>
      <c r="E8" s="307" t="s">
        <v>459</v>
      </c>
      <c r="F8" s="503">
        <v>8447568.0000000019</v>
      </c>
      <c r="G8" s="305"/>
      <c r="H8" s="328"/>
      <c r="I8" s="506">
        <v>253473</v>
      </c>
      <c r="K8" s="329"/>
      <c r="L8" s="503">
        <v>5651856</v>
      </c>
      <c r="M8" s="305"/>
      <c r="N8" s="328"/>
      <c r="O8" s="89">
        <f t="shared" si="0"/>
        <v>0.66905125830298129</v>
      </c>
      <c r="P8" s="306"/>
      <c r="Q8" s="327"/>
      <c r="R8" s="503">
        <v>1098880.0247352428</v>
      </c>
      <c r="S8" s="305"/>
      <c r="T8" s="328"/>
      <c r="U8" s="89">
        <f t="shared" si="1"/>
        <v>0.13008241244524371</v>
      </c>
      <c r="V8" s="306"/>
      <c r="W8" s="327"/>
    </row>
    <row r="9" spans="1:23" ht="16.5" customHeight="1">
      <c r="A9" s="97"/>
      <c r="B9" s="97"/>
      <c r="C9" s="97"/>
      <c r="D9" s="307">
        <f t="shared" si="3"/>
        <v>46172</v>
      </c>
      <c r="E9" s="307" t="s">
        <v>460</v>
      </c>
      <c r="F9" s="503">
        <v>8820596</v>
      </c>
      <c r="G9" s="305"/>
      <c r="H9" s="328"/>
      <c r="I9" s="506">
        <v>262061</v>
      </c>
      <c r="K9" s="329"/>
      <c r="L9" s="503">
        <v>6178518</v>
      </c>
      <c r="M9" s="305"/>
      <c r="N9" s="328"/>
      <c r="O9" s="89">
        <f t="shared" si="0"/>
        <v>0.7004649118948425</v>
      </c>
      <c r="P9" s="306"/>
      <c r="Q9" s="327"/>
      <c r="R9" s="503">
        <v>1087933.1205581594</v>
      </c>
      <c r="S9" s="305"/>
      <c r="T9" s="328"/>
      <c r="U9" s="89">
        <f t="shared" si="1"/>
        <v>0.12334009182125101</v>
      </c>
      <c r="V9" s="306"/>
      <c r="W9" s="327"/>
    </row>
    <row r="10" spans="1:23" ht="16.5" customHeight="1">
      <c r="A10" s="97"/>
      <c r="B10" s="97"/>
      <c r="C10" s="97"/>
      <c r="D10" s="307">
        <f t="shared" si="3"/>
        <v>46173</v>
      </c>
      <c r="E10" s="307" t="s">
        <v>461</v>
      </c>
      <c r="F10" s="503">
        <v>10386449</v>
      </c>
      <c r="H10" s="328">
        <f>SUM(F11:F40)</f>
        <v>141939037</v>
      </c>
      <c r="I10" s="506">
        <v>307771</v>
      </c>
      <c r="K10" s="329">
        <f>SUM(I11:I40)</f>
        <v>4205423</v>
      </c>
      <c r="L10" s="503">
        <v>6597451</v>
      </c>
      <c r="M10" s="86"/>
      <c r="N10" s="328">
        <f>SUM(L11:L40)</f>
        <v>94063857</v>
      </c>
      <c r="O10" s="89">
        <f t="shared" si="0"/>
        <v>0.63519793916092016</v>
      </c>
      <c r="P10" s="306"/>
      <c r="Q10" s="327">
        <f>N10/H10</f>
        <v>0.66270603907225323</v>
      </c>
      <c r="R10" s="503">
        <v>1140047.0920303811</v>
      </c>
      <c r="S10" s="86"/>
      <c r="T10" s="328">
        <f>SUM(R11:R40)</f>
        <v>15900739.648160875</v>
      </c>
      <c r="U10" s="89">
        <f t="shared" si="1"/>
        <v>0.1097629316843881</v>
      </c>
      <c r="V10" s="306"/>
      <c r="W10" s="327">
        <f>T10/H10</f>
        <v>0.11202513405921498</v>
      </c>
    </row>
    <row r="11" spans="1:23" ht="16.5" customHeight="1">
      <c r="A11" s="97"/>
      <c r="B11" s="97"/>
      <c r="C11" s="97"/>
      <c r="D11" s="307">
        <f t="shared" si="3"/>
        <v>46174</v>
      </c>
      <c r="E11" s="307" t="s">
        <v>455</v>
      </c>
      <c r="F11" s="503">
        <v>9576389</v>
      </c>
      <c r="G11" s="305"/>
      <c r="H11" s="328"/>
      <c r="I11" s="506">
        <v>293386</v>
      </c>
      <c r="K11" s="329"/>
      <c r="L11" s="503">
        <v>6363481</v>
      </c>
      <c r="M11" s="305"/>
      <c r="N11" s="328"/>
      <c r="O11" s="89">
        <f t="shared" si="0"/>
        <v>0.66449692049894804</v>
      </c>
      <c r="Q11" s="327"/>
      <c r="R11" s="503">
        <v>1082687.0153463539</v>
      </c>
      <c r="S11" s="305"/>
      <c r="T11" s="328"/>
      <c r="U11" s="89">
        <f t="shared" si="1"/>
        <v>0.11305796113194168</v>
      </c>
      <c r="V11" s="89"/>
      <c r="W11" s="327"/>
    </row>
    <row r="12" spans="1:23" ht="16.5" customHeight="1">
      <c r="A12" s="97"/>
      <c r="B12" s="97"/>
      <c r="C12" s="97"/>
      <c r="D12" s="375">
        <f t="shared" ref="D12:D34" si="4">D11+1</f>
        <v>46175</v>
      </c>
      <c r="E12" s="375" t="s">
        <v>456</v>
      </c>
      <c r="F12" s="229">
        <v>10050370</v>
      </c>
      <c r="G12" s="305">
        <f>SUM(F12:F18)</f>
        <v>65024924</v>
      </c>
      <c r="H12" s="328"/>
      <c r="I12" s="230">
        <v>300488</v>
      </c>
      <c r="J12" s="87">
        <f>SUM(I12:I18)</f>
        <v>1939291</v>
      </c>
      <c r="K12" s="329"/>
      <c r="L12" s="229">
        <v>6856363</v>
      </c>
      <c r="M12" s="305">
        <f>SUM(L12:L18)</f>
        <v>43241268</v>
      </c>
      <c r="N12" s="328"/>
      <c r="O12" s="89">
        <f t="shared" si="0"/>
        <v>0.68220005830631114</v>
      </c>
      <c r="P12" s="89">
        <f>M12/G12</f>
        <v>0.66499528703793642</v>
      </c>
      <c r="Q12" s="327"/>
      <c r="R12" s="231">
        <v>1044240.7851132404</v>
      </c>
      <c r="S12" s="305">
        <f>SUM(R12:R18)</f>
        <v>7317701.63463296</v>
      </c>
      <c r="T12" s="328"/>
      <c r="U12" s="89">
        <f t="shared" si="1"/>
        <v>0.10390073053163619</v>
      </c>
      <c r="V12" s="89">
        <f>S12/G12</f>
        <v>0.11253687331696012</v>
      </c>
      <c r="W12" s="327"/>
    </row>
    <row r="13" spans="1:23" ht="16.5" customHeight="1">
      <c r="A13" s="97"/>
      <c r="B13" s="97"/>
      <c r="C13" s="97"/>
      <c r="D13" s="375">
        <f t="shared" si="4"/>
        <v>46176</v>
      </c>
      <c r="E13" s="375" t="s">
        <v>457</v>
      </c>
      <c r="F13" s="229">
        <v>9327317</v>
      </c>
      <c r="H13" s="328"/>
      <c r="I13" s="230">
        <v>281796</v>
      </c>
      <c r="K13" s="329"/>
      <c r="L13" s="229">
        <v>6164696</v>
      </c>
      <c r="M13" s="86"/>
      <c r="N13" s="328"/>
      <c r="O13" s="89">
        <f t="shared" si="0"/>
        <v>0.66092918252912392</v>
      </c>
      <c r="P13" s="306"/>
      <c r="Q13" s="327"/>
      <c r="R13" s="229">
        <v>1042886.6173215734</v>
      </c>
      <c r="S13" s="86"/>
      <c r="T13" s="328"/>
      <c r="U13" s="89">
        <f t="shared" si="1"/>
        <v>0.11180992533239445</v>
      </c>
      <c r="V13" s="306"/>
      <c r="W13" s="327"/>
    </row>
    <row r="14" spans="1:23" ht="16.5" customHeight="1">
      <c r="A14" s="97"/>
      <c r="B14" s="97"/>
      <c r="C14" s="97"/>
      <c r="D14" s="375">
        <f t="shared" si="4"/>
        <v>46177</v>
      </c>
      <c r="E14" s="375" t="s">
        <v>458</v>
      </c>
      <c r="F14" s="229">
        <v>8845232</v>
      </c>
      <c r="G14" s="305"/>
      <c r="H14" s="328"/>
      <c r="I14" s="230">
        <v>268178</v>
      </c>
      <c r="K14" s="329"/>
      <c r="L14" s="229">
        <v>6263259</v>
      </c>
      <c r="M14" s="305"/>
      <c r="N14" s="328"/>
      <c r="O14" s="89">
        <f t="shared" si="0"/>
        <v>0.70809437219962124</v>
      </c>
      <c r="P14" s="306"/>
      <c r="Q14" s="327"/>
      <c r="R14" s="229">
        <v>1038657.1720785184</v>
      </c>
      <c r="S14" s="305"/>
      <c r="T14" s="328"/>
      <c r="U14" s="89">
        <f t="shared" si="1"/>
        <v>0.11742565622682576</v>
      </c>
      <c r="V14" s="306"/>
      <c r="W14" s="327"/>
    </row>
    <row r="15" spans="1:23" ht="16.5" customHeight="1">
      <c r="A15" s="97"/>
      <c r="B15" s="97"/>
      <c r="C15" s="97"/>
      <c r="D15" s="375">
        <f t="shared" si="4"/>
        <v>46178</v>
      </c>
      <c r="E15" s="375" t="s">
        <v>459</v>
      </c>
      <c r="F15" s="229">
        <v>7987767</v>
      </c>
      <c r="G15" s="305"/>
      <c r="H15" s="328"/>
      <c r="I15" s="230">
        <v>238249</v>
      </c>
      <c r="K15" s="329"/>
      <c r="L15" s="229">
        <v>5445047</v>
      </c>
      <c r="M15" s="305"/>
      <c r="N15" s="328"/>
      <c r="O15" s="89">
        <f t="shared" si="0"/>
        <v>0.68167323859096041</v>
      </c>
      <c r="Q15" s="327"/>
      <c r="R15" s="229">
        <v>1029297.8272243517</v>
      </c>
      <c r="S15" s="305"/>
      <c r="T15" s="328"/>
      <c r="U15" s="89">
        <f t="shared" si="1"/>
        <v>0.12885927033479466</v>
      </c>
      <c r="V15" s="89"/>
      <c r="W15" s="327"/>
    </row>
    <row r="16" spans="1:23" ht="16.5" customHeight="1">
      <c r="A16" s="97"/>
      <c r="B16" s="97"/>
      <c r="C16" s="97"/>
      <c r="D16" s="375">
        <f t="shared" si="4"/>
        <v>46179</v>
      </c>
      <c r="E16" s="375" t="s">
        <v>460</v>
      </c>
      <c r="F16" s="229">
        <v>8617242</v>
      </c>
      <c r="G16" s="305"/>
      <c r="H16" s="328"/>
      <c r="I16" s="230">
        <v>254956</v>
      </c>
      <c r="K16" s="329"/>
      <c r="L16" s="229">
        <v>5396723</v>
      </c>
      <c r="M16" s="305"/>
      <c r="N16" s="328"/>
      <c r="O16" s="89">
        <f t="shared" si="0"/>
        <v>0.62627033104095253</v>
      </c>
      <c r="P16" s="306"/>
      <c r="Q16" s="327"/>
      <c r="R16" s="229">
        <v>1010558.9937590735</v>
      </c>
      <c r="S16" s="305"/>
      <c r="T16" s="328"/>
      <c r="U16" s="89">
        <f t="shared" si="1"/>
        <v>0.11727174352989896</v>
      </c>
      <c r="V16" s="306"/>
      <c r="W16" s="327"/>
    </row>
    <row r="17" spans="1:23" ht="16.5" customHeight="1">
      <c r="A17" s="97"/>
      <c r="B17" s="97"/>
      <c r="C17" s="97"/>
      <c r="D17" s="375">
        <f t="shared" si="4"/>
        <v>46180</v>
      </c>
      <c r="E17" s="375" t="s">
        <v>461</v>
      </c>
      <c r="F17" s="229">
        <v>10141059</v>
      </c>
      <c r="H17" s="328"/>
      <c r="I17" s="230">
        <v>300446</v>
      </c>
      <c r="K17" s="329"/>
      <c r="L17" s="229">
        <v>6588739</v>
      </c>
      <c r="M17" s="86"/>
      <c r="N17" s="328"/>
      <c r="O17" s="89">
        <f t="shared" si="0"/>
        <v>0.64970916745479934</v>
      </c>
      <c r="P17" s="306"/>
      <c r="Q17" s="327"/>
      <c r="R17" s="229">
        <v>1066733.015842407</v>
      </c>
      <c r="S17" s="86"/>
      <c r="T17" s="328"/>
      <c r="U17" s="89">
        <f t="shared" si="1"/>
        <v>0.10518950889077827</v>
      </c>
      <c r="V17" s="306"/>
      <c r="W17" s="327"/>
    </row>
    <row r="18" spans="1:23" ht="16.5" customHeight="1">
      <c r="A18" s="97"/>
      <c r="B18" s="97"/>
      <c r="C18" s="97"/>
      <c r="D18" s="375">
        <f t="shared" si="4"/>
        <v>46181</v>
      </c>
      <c r="E18" s="375" t="s">
        <v>455</v>
      </c>
      <c r="F18" s="229">
        <v>10055937</v>
      </c>
      <c r="G18" s="305"/>
      <c r="H18" s="328"/>
      <c r="I18" s="230">
        <v>295178</v>
      </c>
      <c r="K18" s="329"/>
      <c r="L18" s="229">
        <v>6526441</v>
      </c>
      <c r="M18" s="305"/>
      <c r="N18" s="328"/>
      <c r="O18" s="89">
        <f t="shared" si="0"/>
        <v>0.64901371199919011</v>
      </c>
      <c r="P18" s="306"/>
      <c r="Q18" s="327"/>
      <c r="R18" s="229">
        <v>1085327.2232937957</v>
      </c>
      <c r="S18" s="305"/>
      <c r="T18" s="328"/>
      <c r="U18" s="89">
        <f t="shared" si="1"/>
        <v>0.10792899988273551</v>
      </c>
      <c r="V18" s="306"/>
      <c r="W18" s="327"/>
    </row>
    <row r="19" spans="1:23" ht="16.5" customHeight="1">
      <c r="A19" s="97"/>
      <c r="B19" s="97"/>
      <c r="C19" s="97"/>
      <c r="D19" s="307">
        <f t="shared" si="4"/>
        <v>46182</v>
      </c>
      <c r="E19" s="307" t="s">
        <v>456</v>
      </c>
      <c r="F19" s="229">
        <v>10760813</v>
      </c>
      <c r="G19" s="305">
        <f>SUM(F19:F25)</f>
        <v>67337724</v>
      </c>
      <c r="H19" s="328"/>
      <c r="I19" s="230">
        <v>310985</v>
      </c>
      <c r="J19" s="87">
        <f>SUM(I19:I25)</f>
        <v>1972746</v>
      </c>
      <c r="K19" s="329"/>
      <c r="L19" s="229">
        <v>6868993</v>
      </c>
      <c r="M19" s="305">
        <f>SUM(L19:L25)</f>
        <v>44459108</v>
      </c>
      <c r="N19" s="328"/>
      <c r="O19" s="89">
        <f t="shared" si="0"/>
        <v>0.63833401807093948</v>
      </c>
      <c r="P19" s="89">
        <f>M19/G19</f>
        <v>0.660240729253041</v>
      </c>
      <c r="Q19" s="327"/>
      <c r="R19" s="229">
        <v>1093226.4940507386</v>
      </c>
      <c r="S19" s="305">
        <f>SUM(R19:R25)</f>
        <v>7500350.9981815582</v>
      </c>
      <c r="T19" s="328"/>
      <c r="U19" s="89">
        <f t="shared" si="1"/>
        <v>0.10159329913555218</v>
      </c>
      <c r="V19" s="89">
        <f>S19/G19</f>
        <v>0.11138408833333241</v>
      </c>
      <c r="W19" s="327"/>
    </row>
    <row r="20" spans="1:23" ht="16.5" customHeight="1">
      <c r="A20" s="97"/>
      <c r="B20" s="97"/>
      <c r="C20" s="97"/>
      <c r="D20" s="307">
        <f t="shared" si="4"/>
        <v>46183</v>
      </c>
      <c r="E20" s="307" t="s">
        <v>457</v>
      </c>
      <c r="F20" s="229">
        <v>10128071</v>
      </c>
      <c r="G20" s="305"/>
      <c r="H20" s="328"/>
      <c r="I20" s="230">
        <v>294581</v>
      </c>
      <c r="K20" s="329"/>
      <c r="L20" s="229">
        <v>6710507</v>
      </c>
      <c r="M20" s="305"/>
      <c r="N20" s="328"/>
      <c r="O20" s="89">
        <f t="shared" si="0"/>
        <v>0.66256516171736946</v>
      </c>
      <c r="P20" s="306"/>
      <c r="Q20" s="327"/>
      <c r="R20" s="229">
        <v>1099151.3582278222</v>
      </c>
      <c r="S20" s="305"/>
      <c r="T20" s="328"/>
      <c r="U20" s="89">
        <f t="shared" si="1"/>
        <v>0.10852524219348603</v>
      </c>
      <c r="V20" s="306"/>
      <c r="W20" s="327"/>
    </row>
    <row r="21" spans="1:23" ht="16.5" customHeight="1">
      <c r="A21" s="97"/>
      <c r="B21" s="97"/>
      <c r="C21" s="97"/>
      <c r="D21" s="307">
        <f t="shared" si="4"/>
        <v>46184</v>
      </c>
      <c r="E21" s="307" t="s">
        <v>458</v>
      </c>
      <c r="F21" s="229">
        <v>9476070</v>
      </c>
      <c r="H21" s="328"/>
      <c r="I21" s="230">
        <v>277313</v>
      </c>
      <c r="K21" s="329"/>
      <c r="L21" s="229">
        <v>6182007</v>
      </c>
      <c r="M21" s="86"/>
      <c r="N21" s="328"/>
      <c r="O21" s="89">
        <f t="shared" si="0"/>
        <v>0.65238089207867822</v>
      </c>
      <c r="P21" s="306"/>
      <c r="Q21" s="327"/>
      <c r="R21" s="229">
        <v>1066363.6752694882</v>
      </c>
      <c r="S21" s="86"/>
      <c r="T21" s="328"/>
      <c r="U21" s="89">
        <f t="shared" si="1"/>
        <v>0.11253227079047413</v>
      </c>
      <c r="V21" s="306"/>
      <c r="W21" s="327"/>
    </row>
    <row r="22" spans="1:23" ht="16.5" customHeight="1">
      <c r="A22" s="97"/>
      <c r="B22" s="97"/>
      <c r="C22" s="97"/>
      <c r="D22" s="307">
        <f t="shared" si="4"/>
        <v>46185</v>
      </c>
      <c r="E22" s="307" t="s">
        <v>459</v>
      </c>
      <c r="F22" s="229">
        <v>8134246</v>
      </c>
      <c r="G22" s="305"/>
      <c r="H22" s="328"/>
      <c r="I22" s="230">
        <v>242704</v>
      </c>
      <c r="K22" s="329"/>
      <c r="L22" s="229">
        <v>5946608</v>
      </c>
      <c r="M22" s="305"/>
      <c r="N22" s="328"/>
      <c r="O22" s="89">
        <f t="shared" si="0"/>
        <v>0.73105829354066743</v>
      </c>
      <c r="Q22" s="327"/>
      <c r="R22" s="229">
        <v>1054301.6919292104</v>
      </c>
      <c r="S22" s="305"/>
      <c r="T22" s="328"/>
      <c r="U22" s="89">
        <f t="shared" si="1"/>
        <v>0.12961271295817836</v>
      </c>
      <c r="V22" s="89"/>
      <c r="W22" s="327"/>
    </row>
    <row r="23" spans="1:23" ht="16.5" customHeight="1">
      <c r="A23" s="97"/>
      <c r="B23" s="97"/>
      <c r="C23" s="97"/>
      <c r="D23" s="307">
        <f t="shared" si="4"/>
        <v>46186</v>
      </c>
      <c r="E23" s="307" t="s">
        <v>460</v>
      </c>
      <c r="F23" s="229">
        <v>8644943</v>
      </c>
      <c r="G23" s="305"/>
      <c r="H23" s="328"/>
      <c r="I23" s="230">
        <v>255973</v>
      </c>
      <c r="K23" s="329"/>
      <c r="L23" s="229">
        <v>5579659</v>
      </c>
      <c r="M23" s="305"/>
      <c r="N23" s="328"/>
      <c r="O23" s="89">
        <f t="shared" si="0"/>
        <v>0.64542461413568608</v>
      </c>
      <c r="P23" s="306"/>
      <c r="Q23" s="327"/>
      <c r="R23" s="229">
        <v>1039399.8403458775</v>
      </c>
      <c r="S23" s="305"/>
      <c r="T23" s="328"/>
      <c r="U23" s="89">
        <f t="shared" si="1"/>
        <v>0.12023212187123472</v>
      </c>
      <c r="V23" s="306"/>
      <c r="W23" s="327"/>
    </row>
    <row r="24" spans="1:23" ht="16.5" customHeight="1">
      <c r="A24" s="97"/>
      <c r="B24" s="97"/>
      <c r="C24" s="97"/>
      <c r="D24" s="307">
        <f t="shared" si="4"/>
        <v>46187</v>
      </c>
      <c r="E24" s="307" t="s">
        <v>461</v>
      </c>
      <c r="F24" s="229">
        <v>10278251</v>
      </c>
      <c r="G24" s="305"/>
      <c r="H24" s="328"/>
      <c r="I24" s="230">
        <v>301170</v>
      </c>
      <c r="K24" s="329"/>
      <c r="L24" s="229">
        <v>6634444</v>
      </c>
      <c r="M24" s="305"/>
      <c r="N24" s="328"/>
      <c r="O24" s="89">
        <f t="shared" si="0"/>
        <v>0.64548375010495462</v>
      </c>
      <c r="P24" s="306"/>
      <c r="Q24" s="327"/>
      <c r="R24" s="229">
        <v>1072512.5693736551</v>
      </c>
      <c r="S24" s="305"/>
      <c r="T24" s="328"/>
      <c r="U24" s="89">
        <f t="shared" si="1"/>
        <v>0.10434776980768957</v>
      </c>
      <c r="V24" s="306"/>
      <c r="W24" s="327"/>
    </row>
    <row r="25" spans="1:23" ht="16.5" customHeight="1">
      <c r="A25" s="97"/>
      <c r="B25" s="97"/>
      <c r="C25" s="97"/>
      <c r="D25" s="307">
        <f t="shared" si="4"/>
        <v>46188</v>
      </c>
      <c r="E25" s="307" t="s">
        <v>455</v>
      </c>
      <c r="F25" s="229">
        <v>9915330</v>
      </c>
      <c r="H25" s="328"/>
      <c r="I25" s="230">
        <v>290020</v>
      </c>
      <c r="K25" s="329"/>
      <c r="L25" s="229">
        <v>6536890</v>
      </c>
      <c r="M25" s="86"/>
      <c r="N25" s="328"/>
      <c r="O25" s="89">
        <f t="shared" si="0"/>
        <v>0.65927104796310365</v>
      </c>
      <c r="P25" s="306"/>
      <c r="Q25" s="327"/>
      <c r="R25" s="229">
        <v>1075395.3689847661</v>
      </c>
      <c r="S25" s="86"/>
      <c r="T25" s="328"/>
      <c r="U25" s="89">
        <f t="shared" si="1"/>
        <v>0.10845784951028015</v>
      </c>
      <c r="V25" s="306"/>
      <c r="W25" s="327"/>
    </row>
    <row r="26" spans="1:23" ht="16.5" customHeight="1">
      <c r="A26" s="97"/>
      <c r="B26" s="97"/>
      <c r="C26" s="97"/>
      <c r="D26" s="375">
        <f t="shared" si="4"/>
        <v>46189</v>
      </c>
      <c r="E26" s="375" t="s">
        <v>456</v>
      </c>
      <c r="F26" s="229"/>
      <c r="G26" s="305">
        <f>SUM(F26:F32)</f>
        <v>0</v>
      </c>
      <c r="H26" s="328"/>
      <c r="I26" s="230"/>
      <c r="J26" s="87">
        <f>SUM(I26:I32)</f>
        <v>0</v>
      </c>
      <c r="K26" s="329"/>
      <c r="L26" s="229"/>
      <c r="M26" s="305">
        <f>SUM(L26:L32)</f>
        <v>0</v>
      </c>
      <c r="N26" s="328"/>
      <c r="O26" s="89" t="e">
        <f t="shared" si="0"/>
        <v>#DIV/0!</v>
      </c>
      <c r="P26" s="89" t="e">
        <f>M26/G26</f>
        <v>#DIV/0!</v>
      </c>
      <c r="Q26" s="327"/>
      <c r="R26" s="229"/>
      <c r="S26" s="305">
        <f>SUM(R26:R32)</f>
        <v>0</v>
      </c>
      <c r="T26" s="328"/>
      <c r="U26" s="89" t="e">
        <f t="shared" si="1"/>
        <v>#DIV/0!</v>
      </c>
      <c r="V26" s="89" t="e">
        <f>S26/G26</f>
        <v>#DIV/0!</v>
      </c>
      <c r="W26" s="327"/>
    </row>
    <row r="27" spans="1:23">
      <c r="A27" s="97"/>
      <c r="B27" s="97"/>
      <c r="C27" s="97"/>
      <c r="D27" s="375">
        <f t="shared" si="4"/>
        <v>46190</v>
      </c>
      <c r="E27" s="375" t="s">
        <v>457</v>
      </c>
      <c r="F27" s="229"/>
      <c r="G27" s="305"/>
      <c r="H27" s="328"/>
      <c r="I27" s="230"/>
      <c r="K27" s="329"/>
      <c r="L27" s="229"/>
      <c r="M27" s="305"/>
      <c r="N27" s="328"/>
      <c r="O27" s="89" t="e">
        <f t="shared" si="0"/>
        <v>#DIV/0!</v>
      </c>
      <c r="P27" s="306"/>
      <c r="Q27" s="327"/>
      <c r="R27" s="229"/>
      <c r="S27" s="305"/>
      <c r="T27" s="328"/>
      <c r="U27" s="89" t="e">
        <f t="shared" si="1"/>
        <v>#DIV/0!</v>
      </c>
      <c r="V27" s="306"/>
      <c r="W27" s="327"/>
    </row>
    <row r="28" spans="1:23">
      <c r="A28" s="97"/>
      <c r="B28" s="97"/>
      <c r="C28" s="97"/>
      <c r="D28" s="375">
        <f t="shared" si="4"/>
        <v>46191</v>
      </c>
      <c r="E28" s="375" t="s">
        <v>458</v>
      </c>
      <c r="F28" s="229"/>
      <c r="H28" s="328"/>
      <c r="I28" s="230"/>
      <c r="K28" s="329"/>
      <c r="L28" s="229"/>
      <c r="M28" s="86"/>
      <c r="N28" s="328"/>
      <c r="O28" s="89" t="e">
        <f t="shared" si="0"/>
        <v>#DIV/0!</v>
      </c>
      <c r="P28" s="306"/>
      <c r="Q28" s="327"/>
      <c r="R28" s="229"/>
      <c r="S28" s="86"/>
      <c r="T28" s="328"/>
      <c r="U28" s="89" t="e">
        <f t="shared" si="1"/>
        <v>#DIV/0!</v>
      </c>
      <c r="V28" s="306"/>
      <c r="W28" s="327"/>
    </row>
    <row r="29" spans="1:23">
      <c r="A29" s="97"/>
      <c r="B29" s="97"/>
      <c r="C29" s="97"/>
      <c r="D29" s="375">
        <f t="shared" si="4"/>
        <v>46192</v>
      </c>
      <c r="E29" s="375" t="s">
        <v>459</v>
      </c>
      <c r="F29" s="229"/>
      <c r="G29" s="305"/>
      <c r="H29" s="328"/>
      <c r="I29" s="230"/>
      <c r="K29" s="329"/>
      <c r="L29" s="229"/>
      <c r="M29" s="305"/>
      <c r="N29" s="328"/>
      <c r="O29" s="89" t="e">
        <f t="shared" si="0"/>
        <v>#DIV/0!</v>
      </c>
      <c r="Q29" s="327"/>
      <c r="R29" s="229"/>
      <c r="S29" s="305"/>
      <c r="T29" s="328"/>
      <c r="U29" s="89" t="e">
        <f t="shared" si="1"/>
        <v>#DIV/0!</v>
      </c>
      <c r="V29" s="89"/>
      <c r="W29" s="327"/>
    </row>
    <row r="30" spans="1:23">
      <c r="A30" s="97"/>
      <c r="B30" s="97"/>
      <c r="C30" s="97"/>
      <c r="D30" s="375">
        <f t="shared" si="4"/>
        <v>46193</v>
      </c>
      <c r="E30" s="375" t="s">
        <v>460</v>
      </c>
      <c r="F30" s="229"/>
      <c r="G30" s="305"/>
      <c r="H30" s="328"/>
      <c r="I30" s="230"/>
      <c r="K30" s="329"/>
      <c r="L30" s="229"/>
      <c r="M30" s="305"/>
      <c r="N30" s="328"/>
      <c r="O30" s="89" t="e">
        <f t="shared" si="0"/>
        <v>#DIV/0!</v>
      </c>
      <c r="P30" s="306"/>
      <c r="Q30" s="327"/>
      <c r="R30" s="229"/>
      <c r="S30" s="305"/>
      <c r="T30" s="328"/>
      <c r="U30" s="89" t="e">
        <f t="shared" si="1"/>
        <v>#DIV/0!</v>
      </c>
      <c r="V30" s="306"/>
      <c r="W30" s="327"/>
    </row>
    <row r="31" spans="1:23">
      <c r="A31" s="97"/>
      <c r="B31" s="97"/>
      <c r="C31" s="97"/>
      <c r="D31" s="375">
        <f t="shared" si="4"/>
        <v>46194</v>
      </c>
      <c r="E31" s="375" t="s">
        <v>461</v>
      </c>
      <c r="F31" s="229"/>
      <c r="G31" s="305"/>
      <c r="H31" s="328"/>
      <c r="I31" s="230"/>
      <c r="K31" s="329"/>
      <c r="L31" s="229"/>
      <c r="M31" s="305"/>
      <c r="N31" s="328"/>
      <c r="O31" s="89" t="e">
        <f t="shared" si="0"/>
        <v>#DIV/0!</v>
      </c>
      <c r="P31" s="306"/>
      <c r="Q31" s="327"/>
      <c r="R31" s="229"/>
      <c r="S31" s="305"/>
      <c r="T31" s="328"/>
      <c r="U31" s="89" t="e">
        <f t="shared" si="1"/>
        <v>#DIV/0!</v>
      </c>
      <c r="V31" s="306"/>
      <c r="W31" s="327"/>
    </row>
    <row r="32" spans="1:23">
      <c r="A32" s="97"/>
      <c r="B32" s="97"/>
      <c r="C32" s="97"/>
      <c r="D32" s="375">
        <f t="shared" si="4"/>
        <v>46195</v>
      </c>
      <c r="E32" s="375" t="s">
        <v>455</v>
      </c>
      <c r="F32" s="229"/>
      <c r="H32" s="328"/>
      <c r="I32" s="230"/>
      <c r="K32" s="329"/>
      <c r="L32" s="229"/>
      <c r="M32" s="86"/>
      <c r="N32" s="328"/>
      <c r="O32" s="89" t="e">
        <f t="shared" si="0"/>
        <v>#DIV/0!</v>
      </c>
      <c r="P32" s="306"/>
      <c r="Q32" s="327"/>
      <c r="R32" s="229"/>
      <c r="S32" s="86"/>
      <c r="T32" s="328"/>
      <c r="U32" s="89" t="e">
        <f t="shared" si="1"/>
        <v>#DIV/0!</v>
      </c>
      <c r="V32" s="306"/>
      <c r="W32" s="327"/>
    </row>
    <row r="33" spans="1:23" s="508" customFormat="1">
      <c r="A33" s="502"/>
      <c r="B33" s="502"/>
      <c r="C33" s="502"/>
      <c r="D33" s="307">
        <f t="shared" si="4"/>
        <v>46196</v>
      </c>
      <c r="E33" s="307" t="s">
        <v>456</v>
      </c>
      <c r="F33" s="510"/>
      <c r="G33" s="511">
        <f>SUM(F33:F39)</f>
        <v>0</v>
      </c>
      <c r="H33" s="512"/>
      <c r="I33" s="513"/>
      <c r="J33" s="349">
        <f>SUM(I33:I39)</f>
        <v>0</v>
      </c>
      <c r="K33" s="514"/>
      <c r="L33" s="510"/>
      <c r="M33" s="511">
        <f>SUM(L33:L39)</f>
        <v>0</v>
      </c>
      <c r="N33" s="512"/>
      <c r="O33" s="515" t="e">
        <f t="shared" si="0"/>
        <v>#DIV/0!</v>
      </c>
      <c r="P33" s="515" t="e">
        <f>M33/G33</f>
        <v>#DIV/0!</v>
      </c>
      <c r="Q33" s="516"/>
      <c r="R33" s="510"/>
      <c r="S33" s="511">
        <f>SUM(R33:R39)</f>
        <v>0</v>
      </c>
      <c r="T33" s="512"/>
      <c r="U33" s="515" t="e">
        <f t="shared" si="1"/>
        <v>#DIV/0!</v>
      </c>
      <c r="V33" s="515" t="e">
        <f>S33/G33</f>
        <v>#DIV/0!</v>
      </c>
      <c r="W33" s="507"/>
    </row>
    <row r="34" spans="1:23" s="508" customFormat="1">
      <c r="A34" s="502"/>
      <c r="B34" s="502"/>
      <c r="C34" s="502"/>
      <c r="D34" s="307">
        <f t="shared" si="4"/>
        <v>46197</v>
      </c>
      <c r="E34" s="307" t="s">
        <v>457</v>
      </c>
      <c r="F34" s="510"/>
      <c r="G34" s="517"/>
      <c r="H34" s="512"/>
      <c r="I34" s="513"/>
      <c r="J34" s="349"/>
      <c r="K34" s="514"/>
      <c r="L34" s="510"/>
      <c r="M34" s="511"/>
      <c r="N34" s="512"/>
      <c r="O34" s="515" t="e">
        <f t="shared" si="0"/>
        <v>#DIV/0!</v>
      </c>
      <c r="P34" s="515"/>
      <c r="Q34" s="516"/>
      <c r="R34" s="510"/>
      <c r="S34" s="511"/>
      <c r="T34" s="512"/>
      <c r="U34" s="515" t="e">
        <f t="shared" si="1"/>
        <v>#DIV/0!</v>
      </c>
      <c r="V34" s="515"/>
      <c r="W34" s="507"/>
    </row>
    <row r="35" spans="1:23" s="508" customFormat="1">
      <c r="A35" s="502"/>
      <c r="B35" s="502"/>
      <c r="D35" s="307">
        <f>D34+1</f>
        <v>46198</v>
      </c>
      <c r="E35" s="307" t="s">
        <v>458</v>
      </c>
      <c r="F35" s="510"/>
      <c r="G35" s="511"/>
      <c r="H35" s="517"/>
      <c r="I35" s="513"/>
      <c r="J35" s="349"/>
      <c r="K35" s="349"/>
      <c r="L35" s="510"/>
      <c r="M35" s="511"/>
      <c r="N35" s="517"/>
      <c r="O35" s="515" t="e">
        <f t="shared" si="0"/>
        <v>#DIV/0!</v>
      </c>
      <c r="P35" s="515"/>
      <c r="Q35" s="517"/>
      <c r="R35" s="510"/>
      <c r="S35" s="511"/>
      <c r="T35" s="517"/>
      <c r="U35" s="515" t="e">
        <f t="shared" si="1"/>
        <v>#DIV/0!</v>
      </c>
      <c r="V35" s="515"/>
      <c r="W35" s="509"/>
    </row>
    <row r="36" spans="1:23" s="508" customFormat="1">
      <c r="A36" s="502"/>
      <c r="B36" s="502"/>
      <c r="C36" s="502"/>
      <c r="D36" s="307">
        <f t="shared" ref="D36:D46" si="5">D35+1</f>
        <v>46199</v>
      </c>
      <c r="E36" s="307" t="s">
        <v>459</v>
      </c>
      <c r="F36" s="510"/>
      <c r="G36" s="511"/>
      <c r="H36" s="512"/>
      <c r="I36" s="513"/>
      <c r="J36" s="349"/>
      <c r="K36" s="514"/>
      <c r="L36" s="510"/>
      <c r="M36" s="511"/>
      <c r="N36" s="512"/>
      <c r="O36" s="515" t="e">
        <f t="shared" si="0"/>
        <v>#DIV/0!</v>
      </c>
      <c r="P36" s="515"/>
      <c r="Q36" s="516"/>
      <c r="R36" s="510"/>
      <c r="S36" s="511"/>
      <c r="T36" s="512"/>
      <c r="U36" s="515" t="e">
        <f t="shared" si="1"/>
        <v>#DIV/0!</v>
      </c>
      <c r="V36" s="515"/>
      <c r="W36" s="507"/>
    </row>
    <row r="37" spans="1:23" s="508" customFormat="1">
      <c r="A37" s="502"/>
      <c r="B37" s="502"/>
      <c r="D37" s="307">
        <f t="shared" si="5"/>
        <v>46200</v>
      </c>
      <c r="E37" s="307" t="s">
        <v>460</v>
      </c>
      <c r="F37" s="510"/>
      <c r="G37" s="511"/>
      <c r="H37" s="517"/>
      <c r="I37" s="513"/>
      <c r="J37" s="349"/>
      <c r="K37" s="349"/>
      <c r="L37" s="510"/>
      <c r="M37" s="511"/>
      <c r="N37" s="517"/>
      <c r="O37" s="515" t="e">
        <f t="shared" si="0"/>
        <v>#DIV/0!</v>
      </c>
      <c r="P37" s="515"/>
      <c r="Q37" s="517"/>
      <c r="R37" s="510"/>
      <c r="S37" s="511"/>
      <c r="T37" s="517"/>
      <c r="U37" s="515" t="e">
        <f t="shared" si="1"/>
        <v>#DIV/0!</v>
      </c>
      <c r="V37" s="515"/>
      <c r="W37" s="509"/>
    </row>
    <row r="38" spans="1:23" s="508" customFormat="1">
      <c r="A38" s="502"/>
      <c r="B38" s="502"/>
      <c r="D38" s="307">
        <f t="shared" si="5"/>
        <v>46201</v>
      </c>
      <c r="E38" s="307" t="s">
        <v>461</v>
      </c>
      <c r="F38" s="510"/>
      <c r="G38" s="511"/>
      <c r="H38" s="517"/>
      <c r="I38" s="513"/>
      <c r="J38" s="349"/>
      <c r="K38" s="349"/>
      <c r="L38" s="510"/>
      <c r="M38" s="511"/>
      <c r="N38" s="517"/>
      <c r="O38" s="515" t="e">
        <f t="shared" si="0"/>
        <v>#DIV/0!</v>
      </c>
      <c r="P38" s="515"/>
      <c r="Q38" s="517"/>
      <c r="R38" s="510"/>
      <c r="S38" s="511"/>
      <c r="T38" s="517"/>
      <c r="U38" s="515" t="e">
        <f t="shared" si="1"/>
        <v>#DIV/0!</v>
      </c>
      <c r="V38" s="515"/>
      <c r="W38" s="509"/>
    </row>
    <row r="39" spans="1:23" s="508" customFormat="1">
      <c r="A39" s="502"/>
      <c r="B39" s="502"/>
      <c r="D39" s="307">
        <f t="shared" si="5"/>
        <v>46202</v>
      </c>
      <c r="E39" s="307" t="s">
        <v>455</v>
      </c>
      <c r="F39" s="510"/>
      <c r="G39" s="511"/>
      <c r="H39" s="517"/>
      <c r="I39" s="513"/>
      <c r="J39" s="349"/>
      <c r="K39" s="349"/>
      <c r="L39" s="510"/>
      <c r="M39" s="511"/>
      <c r="N39" s="517"/>
      <c r="O39" s="515" t="e">
        <f t="shared" si="0"/>
        <v>#DIV/0!</v>
      </c>
      <c r="P39" s="515"/>
      <c r="Q39" s="517"/>
      <c r="R39" s="510"/>
      <c r="S39" s="511"/>
      <c r="T39" s="517"/>
      <c r="U39" s="515" t="e">
        <f t="shared" si="1"/>
        <v>#DIV/0!</v>
      </c>
      <c r="V39" s="515"/>
      <c r="W39" s="509"/>
    </row>
    <row r="40" spans="1:23">
      <c r="A40" s="97"/>
      <c r="B40" s="97"/>
      <c r="D40" s="375">
        <f t="shared" si="5"/>
        <v>46203</v>
      </c>
      <c r="E40" s="375" t="s">
        <v>456</v>
      </c>
      <c r="F40" s="229"/>
      <c r="G40" s="305"/>
      <c r="I40" s="230"/>
      <c r="L40" s="229"/>
      <c r="M40" s="305"/>
      <c r="N40" s="86"/>
      <c r="O40" s="89" t="e">
        <f>L40/F40</f>
        <v>#DIV/0!</v>
      </c>
      <c r="Q40" s="86"/>
      <c r="R40" s="229"/>
      <c r="S40" s="305"/>
      <c r="T40" s="86"/>
      <c r="U40" s="89" t="e">
        <f t="shared" si="1"/>
        <v>#DIV/0!</v>
      </c>
      <c r="V40" s="89"/>
      <c r="W40" s="86"/>
    </row>
    <row r="41" spans="1:23">
      <c r="A41" s="97"/>
      <c r="B41" s="97"/>
      <c r="D41" s="375">
        <f t="shared" si="5"/>
        <v>46204</v>
      </c>
      <c r="E41" s="375" t="s">
        <v>457</v>
      </c>
      <c r="F41" s="229"/>
      <c r="G41" s="305"/>
      <c r="I41" s="230"/>
      <c r="L41" s="229"/>
      <c r="M41" s="305"/>
      <c r="N41" s="86"/>
      <c r="O41" s="89" t="e">
        <f t="shared" ref="O41:O46" si="6">L41/F41</f>
        <v>#DIV/0!</v>
      </c>
      <c r="Q41" s="86"/>
      <c r="R41" s="229"/>
      <c r="S41" s="305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75">
        <f t="shared" si="5"/>
        <v>46205</v>
      </c>
      <c r="E42" s="375" t="s">
        <v>458</v>
      </c>
      <c r="F42" s="229"/>
      <c r="G42" s="305"/>
      <c r="I42" s="230"/>
      <c r="L42" s="229"/>
      <c r="M42" s="305"/>
      <c r="N42" s="86"/>
      <c r="O42" s="89" t="e">
        <f t="shared" si="6"/>
        <v>#DIV/0!</v>
      </c>
      <c r="Q42" s="86"/>
      <c r="R42" s="229"/>
      <c r="S42" s="305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75">
        <f t="shared" si="5"/>
        <v>46206</v>
      </c>
      <c r="E43" s="375" t="s">
        <v>459</v>
      </c>
      <c r="F43" s="229"/>
      <c r="G43" s="305"/>
      <c r="I43" s="230"/>
      <c r="L43" s="229"/>
      <c r="M43" s="305"/>
      <c r="N43" s="86"/>
      <c r="O43" s="89" t="e">
        <f t="shared" si="6"/>
        <v>#DIV/0!</v>
      </c>
      <c r="Q43" s="86"/>
      <c r="R43" s="229"/>
      <c r="S43" s="305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75">
        <f t="shared" si="5"/>
        <v>46207</v>
      </c>
      <c r="E44" s="375" t="s">
        <v>460</v>
      </c>
      <c r="F44" s="229"/>
      <c r="G44" s="305"/>
      <c r="I44" s="230"/>
      <c r="L44" s="229"/>
      <c r="M44" s="305"/>
      <c r="N44" s="86"/>
      <c r="O44" s="89" t="e">
        <f t="shared" si="6"/>
        <v>#DIV/0!</v>
      </c>
      <c r="Q44" s="86"/>
      <c r="R44" s="229"/>
      <c r="S44" s="305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75">
        <f t="shared" si="5"/>
        <v>46208</v>
      </c>
      <c r="E45" s="375" t="s">
        <v>461</v>
      </c>
      <c r="F45" s="229"/>
      <c r="G45" s="305"/>
      <c r="I45" s="230"/>
      <c r="L45" s="229"/>
      <c r="M45" s="305"/>
      <c r="N45" s="86"/>
      <c r="O45" s="89" t="e">
        <f t="shared" si="6"/>
        <v>#DIV/0!</v>
      </c>
      <c r="Q45" s="86"/>
      <c r="R45" s="229"/>
      <c r="S45" s="305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75">
        <f t="shared" si="5"/>
        <v>46209</v>
      </c>
      <c r="E46" s="375" t="s">
        <v>455</v>
      </c>
      <c r="F46" s="229"/>
      <c r="G46" s="305"/>
      <c r="I46" s="230"/>
      <c r="L46" s="229"/>
      <c r="M46" s="305"/>
      <c r="N46" s="86"/>
      <c r="O46" s="89" t="e">
        <f t="shared" si="6"/>
        <v>#DIV/0!</v>
      </c>
      <c r="Q46" s="86"/>
      <c r="R46" s="229"/>
      <c r="S46" s="305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X26" sqref="X26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316</v>
      </c>
      <c r="C1" s="83">
        <v>366</v>
      </c>
    </row>
    <row r="2" spans="2:23" ht="38.1" customHeight="1">
      <c r="B2" s="591" t="s">
        <v>126</v>
      </c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  <c r="R2" s="598"/>
      <c r="S2" s="598"/>
      <c r="T2" s="598"/>
      <c r="U2" s="598"/>
    </row>
    <row r="3" spans="2:23" s="72" customFormat="1" ht="23.45" customHeight="1">
      <c r="B3" s="97"/>
      <c r="C3" s="595" t="s">
        <v>116</v>
      </c>
      <c r="D3" s="596" t="s">
        <v>105</v>
      </c>
      <c r="E3" s="596"/>
      <c r="F3" s="599" t="s">
        <v>107</v>
      </c>
      <c r="G3" s="599"/>
      <c r="H3" s="599"/>
      <c r="I3" s="601" t="s">
        <v>108</v>
      </c>
      <c r="J3" s="601"/>
      <c r="K3" s="601"/>
      <c r="L3" s="600" t="s">
        <v>306</v>
      </c>
      <c r="M3" s="600"/>
      <c r="N3" s="600"/>
      <c r="O3" s="600" t="s">
        <v>106</v>
      </c>
      <c r="P3" s="600"/>
      <c r="Q3" s="600"/>
      <c r="R3" s="600" t="s">
        <v>109</v>
      </c>
      <c r="S3" s="600"/>
      <c r="T3" s="600"/>
      <c r="U3" s="600" t="s">
        <v>110</v>
      </c>
      <c r="V3" s="600"/>
      <c r="W3" s="600"/>
    </row>
    <row r="4" spans="2:23" ht="15.75">
      <c r="B4" s="97"/>
      <c r="C4" s="595"/>
      <c r="D4" s="596"/>
      <c r="E4" s="596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307">
        <v>46168</v>
      </c>
      <c r="E5" s="307" t="s">
        <v>456</v>
      </c>
      <c r="F5" s="228">
        <v>365.46905058336091</v>
      </c>
      <c r="G5" s="92"/>
      <c r="H5" s="92"/>
      <c r="I5" s="89">
        <f>F5/$C$1</f>
        <v>0.99854931853377293</v>
      </c>
      <c r="J5" s="213"/>
      <c r="K5" s="213"/>
      <c r="L5" s="246">
        <v>2.4291591307438539E-3</v>
      </c>
      <c r="M5" s="306"/>
      <c r="N5" s="306"/>
      <c r="O5" s="246">
        <v>4.1233462339200768E-3</v>
      </c>
      <c r="P5" s="306"/>
      <c r="Q5" s="306"/>
      <c r="R5" s="232">
        <v>0.91700000000000004</v>
      </c>
      <c r="S5" s="213"/>
      <c r="T5" s="306"/>
      <c r="U5" s="232">
        <v>0.39</v>
      </c>
      <c r="V5" s="213"/>
      <c r="W5" s="306"/>
    </row>
    <row r="6" spans="2:23" ht="14.45" customHeight="1">
      <c r="B6" s="97"/>
      <c r="C6" s="97"/>
      <c r="D6" s="307">
        <f t="shared" ref="D6" si="0">D5+1</f>
        <v>46169</v>
      </c>
      <c r="E6" s="307" t="s">
        <v>457</v>
      </c>
      <c r="F6" s="228">
        <v>366.33393632421536</v>
      </c>
      <c r="G6" s="93">
        <f>AVERAGE(F5:F11)</f>
        <v>367.41015788179351</v>
      </c>
      <c r="H6" s="92"/>
      <c r="I6" s="89">
        <f>F6/$C$1</f>
        <v>1.0009123943284572</v>
      </c>
      <c r="J6" s="213">
        <f>AVERAGE(I5:I11)</f>
        <v>1.003852890387414</v>
      </c>
      <c r="K6" s="213"/>
      <c r="L6" s="246">
        <v>2.4428816574509973E-3</v>
      </c>
      <c r="M6" s="306">
        <f>AVERAGE(L5:L11)</f>
        <v>2.423079576054621E-3</v>
      </c>
      <c r="N6" s="306"/>
      <c r="O6" s="246">
        <v>4.2721648534914764E-3</v>
      </c>
      <c r="P6" s="306">
        <f>AVERAGE(O5:O11)</f>
        <v>4.2109245020056866E-3</v>
      </c>
      <c r="Q6" s="306"/>
      <c r="R6" s="232">
        <v>0.91700000000000004</v>
      </c>
      <c r="S6" s="213">
        <f>AVERAGE(R5:R11)</f>
        <v>0.91699999999999993</v>
      </c>
      <c r="T6" s="306"/>
      <c r="U6" s="232">
        <v>0.39</v>
      </c>
      <c r="V6" s="213">
        <f>AVERAGE(U5:U11)</f>
        <v>0.39885714285714291</v>
      </c>
      <c r="W6" s="306"/>
    </row>
    <row r="7" spans="2:23" ht="14.45" customHeight="1">
      <c r="B7" s="97"/>
      <c r="C7" s="97"/>
      <c r="D7" s="307">
        <f>D6+1</f>
        <v>46170</v>
      </c>
      <c r="E7" s="307" t="s">
        <v>458</v>
      </c>
      <c r="F7" s="228">
        <v>364.47071363318878</v>
      </c>
      <c r="I7" s="89">
        <f t="shared" ref="I7:I40" si="1">F7/$C$1</f>
        <v>0.99582162194860324</v>
      </c>
      <c r="J7" s="213"/>
      <c r="L7" s="246">
        <v>2.4289742515762086E-3</v>
      </c>
      <c r="M7" s="306"/>
      <c r="O7" s="246">
        <v>4.2996410084721959E-3</v>
      </c>
      <c r="P7" s="306"/>
      <c r="R7" s="232">
        <v>0.91700000000000004</v>
      </c>
      <c r="S7" s="213"/>
      <c r="U7" s="232">
        <v>0.39400000000000002</v>
      </c>
      <c r="V7" s="213"/>
    </row>
    <row r="8" spans="2:23" ht="14.45" customHeight="1">
      <c r="B8" s="97"/>
      <c r="C8" s="97"/>
      <c r="D8" s="307">
        <f t="shared" ref="D8:D34" si="2">D7+1</f>
        <v>46171</v>
      </c>
      <c r="E8" s="307" t="s">
        <v>459</v>
      </c>
      <c r="F8" s="228">
        <v>368.63145321602957</v>
      </c>
      <c r="G8" s="92"/>
      <c r="H8" s="92"/>
      <c r="I8" s="89">
        <f t="shared" si="1"/>
        <v>1.0071897628853268</v>
      </c>
      <c r="J8" s="213"/>
      <c r="K8" s="213"/>
      <c r="L8" s="246">
        <v>2.4027455002433853E-3</v>
      </c>
      <c r="M8" s="306"/>
      <c r="N8" s="306"/>
      <c r="O8" s="246">
        <v>4.3797813812339898E-3</v>
      </c>
      <c r="P8" s="306"/>
      <c r="Q8" s="306"/>
      <c r="R8" s="232">
        <v>0.91700000000000004</v>
      </c>
      <c r="S8" s="213"/>
      <c r="T8" s="306"/>
      <c r="U8" s="232">
        <v>0.4</v>
      </c>
      <c r="V8" s="213"/>
      <c r="W8" s="306"/>
    </row>
    <row r="9" spans="2:23" ht="14.45" customHeight="1">
      <c r="B9" s="97"/>
      <c r="C9" s="97"/>
      <c r="D9" s="307">
        <f t="shared" si="2"/>
        <v>46172</v>
      </c>
      <c r="E9" s="307" t="s">
        <v>460</v>
      </c>
      <c r="F9" s="228">
        <v>368.64391449436005</v>
      </c>
      <c r="G9" s="92"/>
      <c r="H9" s="92"/>
      <c r="I9" s="89">
        <f t="shared" si="1"/>
        <v>1.00722381009388</v>
      </c>
      <c r="J9" s="213"/>
      <c r="K9" s="213"/>
      <c r="L9" s="246">
        <v>2.4216396488400587E-3</v>
      </c>
      <c r="M9" s="306"/>
      <c r="N9" s="306"/>
      <c r="O9" s="246">
        <v>4.3383675572087289E-3</v>
      </c>
      <c r="P9" s="306"/>
      <c r="Q9" s="306"/>
      <c r="R9" s="232">
        <v>0.91700000000000004</v>
      </c>
      <c r="S9" s="213"/>
      <c r="T9" s="306"/>
      <c r="U9" s="232">
        <v>0.40600000000000003</v>
      </c>
      <c r="V9" s="213"/>
      <c r="W9" s="306"/>
    </row>
    <row r="10" spans="2:23" ht="14.45" customHeight="1">
      <c r="B10" s="97"/>
      <c r="C10" s="97"/>
      <c r="D10" s="307">
        <f t="shared" si="2"/>
        <v>46173</v>
      </c>
      <c r="E10" s="307" t="s">
        <v>461</v>
      </c>
      <c r="F10" s="228">
        <v>366.65571471755152</v>
      </c>
      <c r="G10" s="92"/>
      <c r="H10" s="92">
        <f>AVERAGE(F11:F40)</f>
        <v>364.52603618089546</v>
      </c>
      <c r="I10" s="89">
        <f t="shared" si="1"/>
        <v>1.0017915702665341</v>
      </c>
      <c r="J10" s="213"/>
      <c r="K10" s="213">
        <f>AVERAGE(I11:I40)</f>
        <v>0.49798638822526697</v>
      </c>
      <c r="L10" s="246">
        <v>2.4284001201950716E-3</v>
      </c>
      <c r="M10" s="306"/>
      <c r="N10" s="306">
        <f>AVERAGE(L11:L40)</f>
        <v>2.4212211458343241E-3</v>
      </c>
      <c r="O10" s="246">
        <v>4.074897776494924E-3</v>
      </c>
      <c r="P10" s="306"/>
      <c r="Q10" s="306">
        <f>AVERAGE(O11:O40)</f>
        <v>3.9869991805034895E-3</v>
      </c>
      <c r="R10" s="232">
        <v>0.91700000000000004</v>
      </c>
      <c r="S10" s="213"/>
      <c r="T10" s="213">
        <f>AVERAGE(R11:R40)</f>
        <v>0.91699999999999993</v>
      </c>
      <c r="U10" s="232">
        <v>0.40600000000000003</v>
      </c>
      <c r="V10" s="213"/>
      <c r="W10" s="213">
        <f>AVERAGE(U11:U40)</f>
        <v>0.42133333333333334</v>
      </c>
    </row>
    <row r="11" spans="2:23" ht="14.45" customHeight="1">
      <c r="B11" s="97"/>
      <c r="C11" s="97"/>
      <c r="D11" s="307">
        <f t="shared" si="2"/>
        <v>46174</v>
      </c>
      <c r="E11" s="307" t="s">
        <v>455</v>
      </c>
      <c r="F11" s="228">
        <v>371.66632220384838</v>
      </c>
      <c r="G11" s="92"/>
      <c r="H11" s="92"/>
      <c r="I11" s="89">
        <f t="shared" si="1"/>
        <v>1.0154817546553234</v>
      </c>
      <c r="J11" s="213"/>
      <c r="K11" s="213"/>
      <c r="L11" s="246">
        <v>2.4077567233327713E-3</v>
      </c>
      <c r="M11" s="306"/>
      <c r="N11" s="306"/>
      <c r="O11" s="246">
        <v>3.9882727032184108E-3</v>
      </c>
      <c r="P11" s="306"/>
      <c r="Q11" s="306"/>
      <c r="R11" s="232">
        <v>0.91700000000000004</v>
      </c>
      <c r="S11" s="213"/>
      <c r="T11" s="306"/>
      <c r="U11" s="232">
        <v>0.40600000000000003</v>
      </c>
      <c r="V11" s="213"/>
      <c r="W11" s="213"/>
    </row>
    <row r="12" spans="2:23" ht="14.45" customHeight="1">
      <c r="B12" s="97"/>
      <c r="C12" s="97"/>
      <c r="D12" s="375">
        <f t="shared" si="2"/>
        <v>46175</v>
      </c>
      <c r="E12" s="375" t="s">
        <v>456</v>
      </c>
      <c r="F12" s="228">
        <v>370.6765819883754</v>
      </c>
      <c r="G12" s="92">
        <f>AVERAGE(F12:F18)</f>
        <v>364.54238052447869</v>
      </c>
      <c r="H12" s="92"/>
      <c r="I12" s="89">
        <f t="shared" si="1"/>
        <v>1.0127775464163262</v>
      </c>
      <c r="J12" s="213">
        <f>AVERAGE(I12:I18)</f>
        <v>0.9960174331269912</v>
      </c>
      <c r="K12" s="213"/>
      <c r="L12" s="246">
        <v>2.4227496102133548E-3</v>
      </c>
      <c r="M12" s="306">
        <f>AVERAGE(L12:L18)</f>
        <v>2.4182194076305835E-3</v>
      </c>
      <c r="N12" s="306"/>
      <c r="O12" s="246">
        <v>4.0124284104071537E-3</v>
      </c>
      <c r="P12" s="306">
        <f>AVERAGE(O12:O18)</f>
        <v>4.0596366230115557E-3</v>
      </c>
      <c r="Q12" s="306"/>
      <c r="R12" s="232">
        <v>0.91700000000000004</v>
      </c>
      <c r="S12" s="213">
        <f>AVERAGE(R12:R18)</f>
        <v>0.91699999999999993</v>
      </c>
      <c r="T12" s="306"/>
      <c r="U12" s="232">
        <v>0.41</v>
      </c>
      <c r="V12" s="213">
        <f>AVERAGE(U12:U18)</f>
        <v>0.41571428571428576</v>
      </c>
      <c r="W12" s="306"/>
    </row>
    <row r="13" spans="2:23" ht="14.45" customHeight="1">
      <c r="B13" s="97"/>
      <c r="C13" s="97"/>
      <c r="D13" s="375">
        <f t="shared" si="2"/>
        <v>46176</v>
      </c>
      <c r="E13" s="375" t="s">
        <v>457</v>
      </c>
      <c r="F13" s="228">
        <v>366.86756063717303</v>
      </c>
      <c r="G13" s="92"/>
      <c r="H13" s="92"/>
      <c r="I13" s="89">
        <f t="shared" si="1"/>
        <v>1.002370384254571</v>
      </c>
      <c r="J13" s="213"/>
      <c r="K13" s="213"/>
      <c r="L13" s="246">
        <v>2.410244124864631E-3</v>
      </c>
      <c r="M13" s="306"/>
      <c r="N13" s="306"/>
      <c r="O13" s="246">
        <v>3.9593730259965317E-3</v>
      </c>
      <c r="P13" s="306"/>
      <c r="Q13" s="306"/>
      <c r="R13" s="232">
        <v>0.91700000000000004</v>
      </c>
      <c r="S13" s="213"/>
      <c r="T13" s="306"/>
      <c r="U13" s="232">
        <v>0.41199999999999998</v>
      </c>
      <c r="V13" s="213"/>
      <c r="W13" s="306"/>
    </row>
    <row r="14" spans="2:23" ht="14.45" customHeight="1">
      <c r="B14" s="97"/>
      <c r="C14" s="97"/>
      <c r="D14" s="375">
        <f t="shared" si="2"/>
        <v>46177</v>
      </c>
      <c r="E14" s="375" t="s">
        <v>458</v>
      </c>
      <c r="F14" s="228">
        <v>359.41813959758542</v>
      </c>
      <c r="H14" s="92"/>
      <c r="I14" s="89">
        <f t="shared" si="1"/>
        <v>0.98201677485679073</v>
      </c>
      <c r="J14" s="213"/>
      <c r="K14" s="213"/>
      <c r="L14" s="246">
        <v>2.427612865326766E-3</v>
      </c>
      <c r="M14" s="306"/>
      <c r="N14" s="306"/>
      <c r="O14" s="246">
        <v>4.1764267791059954E-3</v>
      </c>
      <c r="P14" s="306"/>
      <c r="Q14" s="306"/>
      <c r="R14" s="232">
        <v>0.91700000000000004</v>
      </c>
      <c r="S14" s="213"/>
      <c r="T14" s="306"/>
      <c r="U14" s="232">
        <v>0.41399999999999998</v>
      </c>
      <c r="V14" s="213"/>
      <c r="W14" s="306"/>
    </row>
    <row r="15" spans="2:23" ht="14.45" customHeight="1">
      <c r="B15" s="97"/>
      <c r="C15" s="97"/>
      <c r="D15" s="375">
        <f t="shared" si="2"/>
        <v>46178</v>
      </c>
      <c r="E15" s="375" t="s">
        <v>459</v>
      </c>
      <c r="F15" s="228">
        <v>369.02787188026963</v>
      </c>
      <c r="G15" s="92"/>
      <c r="H15" s="92"/>
      <c r="I15" s="89">
        <f t="shared" si="1"/>
        <v>1.0082728739898077</v>
      </c>
      <c r="J15" s="213"/>
      <c r="K15" s="213"/>
      <c r="L15" s="246">
        <v>2.4222501732962414E-3</v>
      </c>
      <c r="M15" s="306"/>
      <c r="N15" s="306"/>
      <c r="O15" s="246">
        <v>4.092319219585307E-3</v>
      </c>
      <c r="P15" s="306"/>
      <c r="Q15" s="306"/>
      <c r="R15" s="232">
        <v>0.91700000000000004</v>
      </c>
      <c r="S15" s="213"/>
      <c r="T15" s="306"/>
      <c r="U15" s="232">
        <v>0.41399999999999998</v>
      </c>
      <c r="V15" s="213"/>
      <c r="W15" s="306"/>
    </row>
    <row r="16" spans="2:23" ht="14.45" customHeight="1">
      <c r="B16" s="97"/>
      <c r="C16" s="97"/>
      <c r="D16" s="375">
        <f t="shared" si="2"/>
        <v>46179</v>
      </c>
      <c r="E16" s="375" t="s">
        <v>460</v>
      </c>
      <c r="F16" s="228">
        <v>363.33291104427332</v>
      </c>
      <c r="G16" s="92"/>
      <c r="H16" s="92"/>
      <c r="I16" s="89">
        <f t="shared" si="1"/>
        <v>0.9927128717056648</v>
      </c>
      <c r="J16" s="213"/>
      <c r="K16" s="213"/>
      <c r="L16" s="246">
        <v>2.4053682140991275E-3</v>
      </c>
      <c r="M16" s="306"/>
      <c r="N16" s="306"/>
      <c r="O16" s="246">
        <v>4.1366707256723255E-3</v>
      </c>
      <c r="P16" s="306"/>
      <c r="Q16" s="306"/>
      <c r="R16" s="232">
        <v>0.91700000000000004</v>
      </c>
      <c r="S16" s="213"/>
      <c r="T16" s="306"/>
      <c r="U16" s="232">
        <v>0.41799999999999998</v>
      </c>
      <c r="V16" s="213"/>
      <c r="W16" s="306"/>
    </row>
    <row r="17" spans="2:23" ht="14.45" customHeight="1">
      <c r="B17" s="97"/>
      <c r="C17" s="97"/>
      <c r="D17" s="375">
        <f t="shared" si="2"/>
        <v>46180</v>
      </c>
      <c r="E17" s="375" t="s">
        <v>461</v>
      </c>
      <c r="F17" s="228">
        <v>365.40694922840197</v>
      </c>
      <c r="G17" s="92"/>
      <c r="H17" s="92"/>
      <c r="I17" s="89">
        <f t="shared" si="1"/>
        <v>0.99837964270055179</v>
      </c>
      <c r="J17" s="213"/>
      <c r="K17" s="213"/>
      <c r="L17" s="246">
        <v>2.42703193029446E-3</v>
      </c>
      <c r="M17" s="306"/>
      <c r="N17" s="306"/>
      <c r="O17" s="246">
        <v>3.9796121157519041E-3</v>
      </c>
      <c r="P17" s="306"/>
      <c r="Q17" s="306"/>
      <c r="R17" s="232">
        <v>0.91700000000000004</v>
      </c>
      <c r="S17" s="213"/>
      <c r="T17" s="306"/>
      <c r="U17" s="232">
        <v>0.42</v>
      </c>
      <c r="V17" s="213"/>
      <c r="W17" s="306"/>
    </row>
    <row r="18" spans="2:23" ht="14.45" customHeight="1">
      <c r="B18" s="97"/>
      <c r="C18" s="97"/>
      <c r="D18" s="375">
        <f t="shared" si="2"/>
        <v>46181</v>
      </c>
      <c r="E18" s="375" t="s">
        <v>455</v>
      </c>
      <c r="F18" s="228">
        <v>357.06664929527255</v>
      </c>
      <c r="G18" s="92"/>
      <c r="H18" s="92"/>
      <c r="I18" s="89">
        <f t="shared" si="1"/>
        <v>0.97559193796522559</v>
      </c>
      <c r="J18" s="213"/>
      <c r="K18" s="213"/>
      <c r="L18" s="246">
        <v>2.4122789353195032E-3</v>
      </c>
      <c r="M18" s="306"/>
      <c r="N18" s="306"/>
      <c r="O18" s="246">
        <v>4.060626084561667E-3</v>
      </c>
      <c r="P18" s="306"/>
      <c r="Q18" s="306"/>
      <c r="R18" s="232">
        <v>0.91700000000000004</v>
      </c>
      <c r="S18" s="213"/>
      <c r="T18" s="306"/>
      <c r="U18" s="232">
        <v>0.42199999999999999</v>
      </c>
      <c r="V18" s="213"/>
      <c r="W18" s="306"/>
    </row>
    <row r="19" spans="2:23" ht="14.45" customHeight="1">
      <c r="B19" s="97"/>
      <c r="C19" s="97"/>
      <c r="D19" s="307">
        <f t="shared" si="2"/>
        <v>46182</v>
      </c>
      <c r="E19" s="307" t="s">
        <v>456</v>
      </c>
      <c r="F19" s="228">
        <v>361.77346586396914</v>
      </c>
      <c r="G19" s="92">
        <f>AVERAGE(F19:F25)</f>
        <v>363.48965097689035</v>
      </c>
      <c r="H19" s="92"/>
      <c r="I19" s="89">
        <f t="shared" si="1"/>
        <v>0.98845209252450583</v>
      </c>
      <c r="J19" s="213">
        <f>AVERAGE(I19:I25)</f>
        <v>0.99314112288767853</v>
      </c>
      <c r="K19" s="213"/>
      <c r="L19" s="246">
        <v>2.4178961199307174E-3</v>
      </c>
      <c r="M19" s="306">
        <f>AVERAGE(L19:L25)</f>
        <v>2.4261463729668598E-3</v>
      </c>
      <c r="N19" s="306"/>
      <c r="O19" s="246">
        <v>3.8961240889662557E-3</v>
      </c>
      <c r="P19" s="306">
        <f>AVERAGE(O19:O25)</f>
        <v>3.9141798061790049E-3</v>
      </c>
      <c r="Q19" s="306"/>
      <c r="R19" s="232">
        <v>0.91700000000000004</v>
      </c>
      <c r="S19" s="213">
        <f>AVERAGE(R19:R25)</f>
        <v>0.91699999999999993</v>
      </c>
      <c r="T19" s="306"/>
      <c r="U19" s="232">
        <v>0.42399999999999999</v>
      </c>
      <c r="V19" s="213">
        <f>AVERAGE(U19:U25)</f>
        <v>0.42914285714285716</v>
      </c>
      <c r="W19" s="306"/>
    </row>
    <row r="20" spans="2:23" ht="14.45" customHeight="1">
      <c r="B20" s="97"/>
      <c r="C20" s="97"/>
      <c r="D20" s="307">
        <f t="shared" si="2"/>
        <v>46183</v>
      </c>
      <c r="E20" s="307" t="s">
        <v>457</v>
      </c>
      <c r="F20" s="228">
        <v>363.43750668852971</v>
      </c>
      <c r="G20" s="92"/>
      <c r="H20" s="92"/>
      <c r="I20" s="89">
        <f t="shared" si="1"/>
        <v>0.99299865215445271</v>
      </c>
      <c r="J20" s="213"/>
      <c r="K20" s="213"/>
      <c r="L20" s="246">
        <v>2.4195331964003814E-3</v>
      </c>
      <c r="M20" s="306"/>
      <c r="N20" s="306"/>
      <c r="O20" s="246">
        <v>3.9686323206753783E-3</v>
      </c>
      <c r="P20" s="306"/>
      <c r="Q20" s="306"/>
      <c r="R20" s="232">
        <v>0.91700000000000004</v>
      </c>
      <c r="S20" s="213"/>
      <c r="T20" s="306"/>
      <c r="U20" s="232">
        <v>0.42599999999999999</v>
      </c>
      <c r="V20" s="213"/>
      <c r="W20" s="306"/>
    </row>
    <row r="21" spans="2:23" ht="14.45" customHeight="1">
      <c r="B21" s="97"/>
      <c r="C21" s="97"/>
      <c r="D21" s="307">
        <f t="shared" si="2"/>
        <v>46184</v>
      </c>
      <c r="E21" s="307" t="s">
        <v>458</v>
      </c>
      <c r="F21" s="228">
        <v>367.04822398860193</v>
      </c>
      <c r="G21" s="92"/>
      <c r="H21" s="92"/>
      <c r="I21" s="89">
        <f t="shared" si="1"/>
        <v>1.0028639999688578</v>
      </c>
      <c r="J21" s="213"/>
      <c r="K21" s="213"/>
      <c r="L21" s="246">
        <v>2.4165412876857176E-3</v>
      </c>
      <c r="M21" s="306"/>
      <c r="N21" s="306"/>
      <c r="O21" s="246">
        <v>3.7696860725601271E-3</v>
      </c>
      <c r="P21" s="306"/>
      <c r="Q21" s="306"/>
      <c r="R21" s="232">
        <v>0.91700000000000004</v>
      </c>
      <c r="S21" s="213"/>
      <c r="T21" s="306"/>
      <c r="U21" s="232">
        <v>0.42799999999999999</v>
      </c>
      <c r="V21" s="213"/>
      <c r="W21" s="306"/>
    </row>
    <row r="22" spans="2:23" ht="14.45" customHeight="1">
      <c r="B22" s="97"/>
      <c r="C22" s="97"/>
      <c r="D22" s="307">
        <f t="shared" si="2"/>
        <v>46185</v>
      </c>
      <c r="E22" s="307" t="s">
        <v>459</v>
      </c>
      <c r="F22" s="228">
        <v>367.00579529439386</v>
      </c>
      <c r="G22" s="92"/>
      <c r="H22" s="92"/>
      <c r="I22" s="89">
        <f t="shared" si="1"/>
        <v>1.0027480745748467</v>
      </c>
      <c r="J22" s="213"/>
      <c r="K22" s="213"/>
      <c r="L22" s="246">
        <v>2.4410847667995297E-3</v>
      </c>
      <c r="M22" s="306"/>
      <c r="N22" s="306"/>
      <c r="O22" s="246">
        <v>4.0311016185872097E-3</v>
      </c>
      <c r="P22" s="306"/>
      <c r="Q22" s="306"/>
      <c r="R22" s="232">
        <v>0.91700000000000004</v>
      </c>
      <c r="S22" s="213"/>
      <c r="T22" s="306"/>
      <c r="U22" s="232">
        <v>0.43</v>
      </c>
      <c r="V22" s="213"/>
      <c r="W22" s="306"/>
    </row>
    <row r="23" spans="2:23" ht="14.45" customHeight="1">
      <c r="B23" s="97"/>
      <c r="C23" s="97"/>
      <c r="D23" s="307">
        <f t="shared" si="2"/>
        <v>46186</v>
      </c>
      <c r="E23" s="307" t="s">
        <v>460</v>
      </c>
      <c r="F23" s="228">
        <v>370.92054345099757</v>
      </c>
      <c r="G23" s="92"/>
      <c r="H23" s="92"/>
      <c r="I23" s="89">
        <f t="shared" si="1"/>
        <v>1.0134441077896108</v>
      </c>
      <c r="J23" s="213"/>
      <c r="K23" s="213"/>
      <c r="L23" s="246">
        <v>2.4391533871304895E-3</v>
      </c>
      <c r="M23" s="306"/>
      <c r="N23" s="306"/>
      <c r="O23" s="246">
        <v>3.9348356107598648E-3</v>
      </c>
      <c r="P23" s="306"/>
      <c r="Q23" s="306"/>
      <c r="R23" s="232">
        <v>0.91700000000000004</v>
      </c>
      <c r="S23" s="213"/>
      <c r="T23" s="306"/>
      <c r="U23" s="232">
        <v>0.43</v>
      </c>
      <c r="V23" s="213"/>
      <c r="W23" s="306"/>
    </row>
    <row r="24" spans="2:23" ht="14.45" customHeight="1">
      <c r="B24" s="97"/>
      <c r="C24" s="97"/>
      <c r="D24" s="307">
        <f t="shared" si="2"/>
        <v>46187</v>
      </c>
      <c r="E24" s="307" t="s">
        <v>461</v>
      </c>
      <c r="F24" s="228">
        <v>357.56454460027709</v>
      </c>
      <c r="G24" s="92"/>
      <c r="H24" s="92"/>
      <c r="I24" s="89">
        <f t="shared" si="1"/>
        <v>0.97695230765103025</v>
      </c>
      <c r="J24" s="213"/>
      <c r="K24" s="213"/>
      <c r="L24" s="246">
        <v>2.4313740732737508E-3</v>
      </c>
      <c r="M24" s="306"/>
      <c r="N24" s="306"/>
      <c r="O24" s="246">
        <v>3.862129100946984E-3</v>
      </c>
      <c r="P24" s="306"/>
      <c r="Q24" s="306"/>
      <c r="R24" s="232">
        <v>0.91700000000000004</v>
      </c>
      <c r="S24" s="213"/>
      <c r="T24" s="306"/>
      <c r="U24" s="232">
        <v>0.432</v>
      </c>
      <c r="V24" s="213"/>
      <c r="W24" s="306"/>
    </row>
    <row r="25" spans="2:23" ht="14.45" customHeight="1">
      <c r="B25" s="97"/>
      <c r="C25" s="97"/>
      <c r="D25" s="307">
        <f t="shared" si="2"/>
        <v>46188</v>
      </c>
      <c r="E25" s="307" t="s">
        <v>455</v>
      </c>
      <c r="F25" s="228">
        <v>356.67747695146278</v>
      </c>
      <c r="G25" s="92"/>
      <c r="H25" s="92"/>
      <c r="I25" s="89">
        <f t="shared" si="1"/>
        <v>0.97452862555044473</v>
      </c>
      <c r="J25" s="213"/>
      <c r="K25" s="213"/>
      <c r="L25" s="246">
        <v>2.4174417795474286E-3</v>
      </c>
      <c r="M25" s="306"/>
      <c r="N25" s="306"/>
      <c r="O25" s="246">
        <v>3.9367498307572128E-3</v>
      </c>
      <c r="P25" s="306"/>
      <c r="Q25" s="306"/>
      <c r="R25" s="232">
        <v>0.91700000000000004</v>
      </c>
      <c r="S25" s="213"/>
      <c r="T25" s="306"/>
      <c r="U25" s="232">
        <v>0.434</v>
      </c>
      <c r="V25" s="213"/>
      <c r="W25" s="306"/>
    </row>
    <row r="26" spans="2:23" ht="14.45" customHeight="1">
      <c r="B26" s="97"/>
      <c r="C26" s="97"/>
      <c r="D26" s="375">
        <f t="shared" si="2"/>
        <v>46189</v>
      </c>
      <c r="E26" s="375" t="s">
        <v>456</v>
      </c>
      <c r="F26" s="228"/>
      <c r="G26" s="92" t="e">
        <f>AVERAGE(F26:F32)</f>
        <v>#DIV/0!</v>
      </c>
      <c r="H26" s="92"/>
      <c r="I26" s="89">
        <f t="shared" si="1"/>
        <v>0</v>
      </c>
      <c r="J26" s="213">
        <f>AVERAGE(I26:I32)</f>
        <v>0</v>
      </c>
      <c r="K26" s="213"/>
      <c r="L26" s="246"/>
      <c r="M26" s="306" t="e">
        <f>AVERAGE(L26:L32)</f>
        <v>#DIV/0!</v>
      </c>
      <c r="N26" s="306"/>
      <c r="O26" s="246"/>
      <c r="P26" s="306" t="e">
        <f>AVERAGE(O26:O32)</f>
        <v>#DIV/0!</v>
      </c>
      <c r="Q26" s="306"/>
      <c r="R26" s="232"/>
      <c r="S26" s="213" t="e">
        <f>AVERAGE(R26:R32)</f>
        <v>#DIV/0!</v>
      </c>
      <c r="T26" s="306"/>
      <c r="U26" s="232"/>
      <c r="V26" s="213" t="e">
        <f>AVERAGE(U26:U32)</f>
        <v>#DIV/0!</v>
      </c>
      <c r="W26" s="306"/>
    </row>
    <row r="27" spans="2:23" ht="14.45" customHeight="1">
      <c r="B27" s="97"/>
      <c r="C27" s="97"/>
      <c r="D27" s="375">
        <f t="shared" si="2"/>
        <v>46190</v>
      </c>
      <c r="E27" s="375" t="s">
        <v>457</v>
      </c>
      <c r="F27" s="228"/>
      <c r="G27" s="92"/>
      <c r="H27" s="92"/>
      <c r="I27" s="89">
        <f t="shared" si="1"/>
        <v>0</v>
      </c>
      <c r="J27" s="213"/>
      <c r="K27" s="213"/>
      <c r="L27" s="246"/>
      <c r="M27" s="306"/>
      <c r="N27" s="306"/>
      <c r="O27" s="246"/>
      <c r="P27" s="306"/>
      <c r="Q27" s="306"/>
      <c r="R27" s="232"/>
      <c r="S27" s="213"/>
      <c r="T27" s="306"/>
      <c r="U27" s="232"/>
      <c r="V27" s="213"/>
      <c r="W27" s="306"/>
    </row>
    <row r="28" spans="2:23" ht="14.45" customHeight="1">
      <c r="B28" s="97"/>
      <c r="C28" s="97"/>
      <c r="D28" s="375">
        <f t="shared" si="2"/>
        <v>46191</v>
      </c>
      <c r="E28" s="375" t="s">
        <v>458</v>
      </c>
      <c r="F28" s="228"/>
      <c r="G28" s="92"/>
      <c r="H28" s="92"/>
      <c r="I28" s="89">
        <f t="shared" si="1"/>
        <v>0</v>
      </c>
      <c r="J28" s="213"/>
      <c r="K28" s="213"/>
      <c r="L28" s="246"/>
      <c r="M28" s="306"/>
      <c r="N28" s="306"/>
      <c r="O28" s="246"/>
      <c r="P28" s="306"/>
      <c r="Q28" s="306"/>
      <c r="R28" s="232"/>
      <c r="S28" s="213"/>
      <c r="T28" s="306"/>
      <c r="U28" s="232"/>
      <c r="V28" s="213"/>
      <c r="W28" s="306"/>
    </row>
    <row r="29" spans="2:23" ht="14.45" customHeight="1">
      <c r="B29" s="97"/>
      <c r="C29" s="97"/>
      <c r="D29" s="375">
        <f t="shared" si="2"/>
        <v>46192</v>
      </c>
      <c r="E29" s="375" t="s">
        <v>459</v>
      </c>
      <c r="F29" s="228"/>
      <c r="G29" s="92"/>
      <c r="H29" s="92"/>
      <c r="I29" s="89">
        <f t="shared" si="1"/>
        <v>0</v>
      </c>
      <c r="J29" s="213"/>
      <c r="K29" s="213"/>
      <c r="L29" s="246"/>
      <c r="M29" s="306"/>
      <c r="N29" s="306"/>
      <c r="O29" s="246"/>
      <c r="P29" s="306"/>
      <c r="Q29" s="306"/>
      <c r="R29" s="232"/>
      <c r="S29" s="213"/>
      <c r="T29" s="306"/>
      <c r="U29" s="232"/>
      <c r="V29" s="213"/>
      <c r="W29" s="306"/>
    </row>
    <row r="30" spans="2:23" ht="14.45" customHeight="1">
      <c r="B30" s="97"/>
      <c r="C30" s="97"/>
      <c r="D30" s="375">
        <f t="shared" si="2"/>
        <v>46193</v>
      </c>
      <c r="E30" s="375" t="s">
        <v>460</v>
      </c>
      <c r="F30" s="228"/>
      <c r="G30" s="92"/>
      <c r="H30" s="92"/>
      <c r="I30" s="89">
        <f t="shared" si="1"/>
        <v>0</v>
      </c>
      <c r="J30" s="213"/>
      <c r="K30" s="213"/>
      <c r="L30" s="246"/>
      <c r="M30" s="306"/>
      <c r="N30" s="306"/>
      <c r="O30" s="246"/>
      <c r="P30" s="306"/>
      <c r="Q30" s="306"/>
      <c r="R30" s="232"/>
      <c r="S30" s="213"/>
      <c r="T30" s="306"/>
      <c r="U30" s="232"/>
      <c r="V30" s="213"/>
      <c r="W30" s="306"/>
    </row>
    <row r="31" spans="2:23" ht="14.45" customHeight="1">
      <c r="B31" s="97"/>
      <c r="C31" s="97"/>
      <c r="D31" s="375">
        <f t="shared" si="2"/>
        <v>46194</v>
      </c>
      <c r="E31" s="375" t="s">
        <v>461</v>
      </c>
      <c r="F31" s="228"/>
      <c r="G31" s="92"/>
      <c r="H31" s="92"/>
      <c r="I31" s="89">
        <f t="shared" si="1"/>
        <v>0</v>
      </c>
      <c r="J31" s="213"/>
      <c r="K31" s="213"/>
      <c r="L31" s="246"/>
      <c r="M31" s="306"/>
      <c r="N31" s="306"/>
      <c r="O31" s="246"/>
      <c r="P31" s="306"/>
      <c r="Q31" s="306"/>
      <c r="R31" s="232"/>
      <c r="S31" s="213"/>
      <c r="T31" s="306"/>
      <c r="U31" s="232"/>
      <c r="V31" s="213"/>
      <c r="W31" s="306"/>
    </row>
    <row r="32" spans="2:23" ht="14.45" customHeight="1">
      <c r="B32" s="97"/>
      <c r="C32" s="97"/>
      <c r="D32" s="375">
        <f t="shared" si="2"/>
        <v>46195</v>
      </c>
      <c r="E32" s="375" t="s">
        <v>455</v>
      </c>
      <c r="F32" s="228"/>
      <c r="G32" s="92"/>
      <c r="H32" s="92"/>
      <c r="I32" s="89">
        <f t="shared" si="1"/>
        <v>0</v>
      </c>
      <c r="J32" s="213"/>
      <c r="K32" s="213"/>
      <c r="L32" s="246"/>
      <c r="M32" s="306"/>
      <c r="N32" s="306"/>
      <c r="O32" s="246"/>
      <c r="P32" s="306"/>
      <c r="Q32" s="306"/>
      <c r="R32" s="232"/>
      <c r="S32" s="213"/>
      <c r="T32" s="306"/>
      <c r="U32" s="232"/>
      <c r="V32" s="213"/>
      <c r="W32" s="306"/>
    </row>
    <row r="33" spans="2:23" s="529" customFormat="1" ht="14.45" customHeight="1">
      <c r="B33" s="526"/>
      <c r="C33" s="526"/>
      <c r="D33" s="307">
        <f t="shared" si="2"/>
        <v>46196</v>
      </c>
      <c r="E33" s="307" t="s">
        <v>456</v>
      </c>
      <c r="F33" s="518"/>
      <c r="G33" s="519" t="e">
        <f>AVERAGE(F33:F39)</f>
        <v>#DIV/0!</v>
      </c>
      <c r="H33" s="519"/>
      <c r="I33" s="515">
        <f t="shared" si="1"/>
        <v>0</v>
      </c>
      <c r="J33" s="520">
        <f>AVERAGE(I33:I39)</f>
        <v>0</v>
      </c>
      <c r="K33" s="520"/>
      <c r="L33" s="521"/>
      <c r="M33" s="522" t="e">
        <f>AVERAGE(L33:L39)</f>
        <v>#DIV/0!</v>
      </c>
      <c r="N33" s="522"/>
      <c r="O33" s="521"/>
      <c r="P33" s="522" t="e">
        <f>AVERAGE(O33:O39)</f>
        <v>#DIV/0!</v>
      </c>
      <c r="Q33" s="522"/>
      <c r="R33" s="523"/>
      <c r="S33" s="213" t="e">
        <f>AVERAGE(R33:R39)</f>
        <v>#DIV/0!</v>
      </c>
      <c r="T33" s="522"/>
      <c r="U33" s="523"/>
      <c r="V33" s="520" t="e">
        <f>AVERAGE(U33:U39)</f>
        <v>#DIV/0!</v>
      </c>
      <c r="W33" s="528"/>
    </row>
    <row r="34" spans="2:23" s="529" customFormat="1" ht="14.45" customHeight="1">
      <c r="B34" s="526"/>
      <c r="C34" s="526"/>
      <c r="D34" s="307">
        <f t="shared" si="2"/>
        <v>46197</v>
      </c>
      <c r="E34" s="307" t="s">
        <v>457</v>
      </c>
      <c r="F34" s="518"/>
      <c r="G34" s="519"/>
      <c r="H34" s="519"/>
      <c r="I34" s="515">
        <f t="shared" si="1"/>
        <v>0</v>
      </c>
      <c r="J34" s="520"/>
      <c r="K34" s="520"/>
      <c r="L34" s="521"/>
      <c r="M34" s="522"/>
      <c r="N34" s="522"/>
      <c r="O34" s="521"/>
      <c r="P34" s="522"/>
      <c r="Q34" s="522"/>
      <c r="R34" s="523"/>
      <c r="S34" s="520"/>
      <c r="T34" s="522"/>
      <c r="U34" s="523"/>
      <c r="V34" s="520"/>
      <c r="W34" s="528"/>
    </row>
    <row r="35" spans="2:23" s="529" customFormat="1">
      <c r="B35" s="526"/>
      <c r="C35" s="508"/>
      <c r="D35" s="307">
        <f>D34+1</f>
        <v>46198</v>
      </c>
      <c r="E35" s="307" t="s">
        <v>458</v>
      </c>
      <c r="F35" s="518"/>
      <c r="G35" s="519"/>
      <c r="H35" s="524"/>
      <c r="I35" s="515">
        <f t="shared" si="1"/>
        <v>0</v>
      </c>
      <c r="J35" s="520"/>
      <c r="K35" s="525"/>
      <c r="L35" s="521"/>
      <c r="M35" s="522"/>
      <c r="N35" s="525"/>
      <c r="O35" s="521"/>
      <c r="P35" s="522"/>
      <c r="Q35" s="525"/>
      <c r="R35" s="523"/>
      <c r="S35" s="520"/>
      <c r="T35" s="525"/>
      <c r="U35" s="523"/>
      <c r="V35" s="520"/>
    </row>
    <row r="36" spans="2:23" s="529" customFormat="1">
      <c r="B36" s="526"/>
      <c r="C36" s="526"/>
      <c r="D36" s="307">
        <f t="shared" ref="D36:D46" si="3">D35+1</f>
        <v>46199</v>
      </c>
      <c r="E36" s="307" t="s">
        <v>459</v>
      </c>
      <c r="F36" s="518"/>
      <c r="G36" s="519"/>
      <c r="H36" s="519"/>
      <c r="I36" s="515">
        <f t="shared" si="1"/>
        <v>0</v>
      </c>
      <c r="J36" s="520"/>
      <c r="K36" s="520"/>
      <c r="L36" s="521"/>
      <c r="M36" s="520"/>
      <c r="N36" s="522"/>
      <c r="O36" s="521"/>
      <c r="P36" s="520"/>
      <c r="Q36" s="522"/>
      <c r="R36" s="523"/>
      <c r="S36" s="520"/>
      <c r="T36" s="520"/>
      <c r="U36" s="523"/>
      <c r="V36" s="520"/>
      <c r="W36" s="527"/>
    </row>
    <row r="37" spans="2:23" s="529" customFormat="1">
      <c r="B37" s="526"/>
      <c r="C37" s="508"/>
      <c r="D37" s="307">
        <f t="shared" si="3"/>
        <v>46200</v>
      </c>
      <c r="E37" s="307" t="s">
        <v>460</v>
      </c>
      <c r="F37" s="518"/>
      <c r="G37" s="519"/>
      <c r="H37" s="519"/>
      <c r="I37" s="515">
        <f t="shared" si="1"/>
        <v>0</v>
      </c>
      <c r="J37" s="520"/>
      <c r="K37" s="517"/>
      <c r="L37" s="521"/>
      <c r="M37" s="520"/>
      <c r="N37" s="515"/>
      <c r="O37" s="521"/>
      <c r="P37" s="520"/>
      <c r="Q37" s="515"/>
      <c r="R37" s="523"/>
      <c r="S37" s="520"/>
      <c r="T37" s="520"/>
      <c r="U37" s="523"/>
      <c r="V37" s="520"/>
      <c r="W37" s="527"/>
    </row>
    <row r="38" spans="2:23" s="529" customFormat="1">
      <c r="B38" s="526"/>
      <c r="C38" s="508"/>
      <c r="D38" s="307">
        <f t="shared" si="3"/>
        <v>46201</v>
      </c>
      <c r="E38" s="307" t="s">
        <v>461</v>
      </c>
      <c r="F38" s="518"/>
      <c r="G38" s="519"/>
      <c r="H38" s="519"/>
      <c r="I38" s="515">
        <f t="shared" si="1"/>
        <v>0</v>
      </c>
      <c r="J38" s="520"/>
      <c r="K38" s="517"/>
      <c r="L38" s="521"/>
      <c r="M38" s="520"/>
      <c r="N38" s="515"/>
      <c r="O38" s="521"/>
      <c r="P38" s="520"/>
      <c r="Q38" s="515"/>
      <c r="R38" s="523"/>
      <c r="S38" s="520"/>
      <c r="T38" s="520"/>
      <c r="U38" s="523"/>
      <c r="V38" s="520"/>
      <c r="W38" s="527"/>
    </row>
    <row r="39" spans="2:23" s="529" customFormat="1">
      <c r="B39" s="526"/>
      <c r="C39" s="508"/>
      <c r="D39" s="307">
        <f t="shared" si="3"/>
        <v>46202</v>
      </c>
      <c r="E39" s="307" t="s">
        <v>455</v>
      </c>
      <c r="F39" s="518"/>
      <c r="G39" s="519"/>
      <c r="H39" s="519"/>
      <c r="I39" s="515">
        <f t="shared" si="1"/>
        <v>0</v>
      </c>
      <c r="J39" s="520"/>
      <c r="K39" s="517"/>
      <c r="L39" s="521"/>
      <c r="M39" s="520"/>
      <c r="N39" s="515"/>
      <c r="O39" s="521"/>
      <c r="P39" s="520"/>
      <c r="Q39" s="515"/>
      <c r="R39" s="523"/>
      <c r="S39" s="520"/>
      <c r="T39" s="520"/>
      <c r="U39" s="523"/>
      <c r="V39" s="520"/>
      <c r="W39" s="527"/>
    </row>
    <row r="40" spans="2:23">
      <c r="B40" s="97"/>
      <c r="D40" s="375">
        <f t="shared" si="3"/>
        <v>46203</v>
      </c>
      <c r="E40" s="375" t="s">
        <v>456</v>
      </c>
      <c r="F40" s="228"/>
      <c r="G40" s="92"/>
      <c r="H40" s="92"/>
      <c r="I40" s="89">
        <f t="shared" si="1"/>
        <v>0</v>
      </c>
      <c r="J40" s="213"/>
      <c r="K40" s="86"/>
      <c r="L40" s="246"/>
      <c r="M40" s="213"/>
      <c r="N40" s="89"/>
      <c r="O40" s="246"/>
      <c r="P40" s="213"/>
      <c r="Q40" s="89"/>
      <c r="R40" s="232"/>
      <c r="S40" s="213"/>
      <c r="T40" s="213"/>
      <c r="U40" s="232"/>
      <c r="V40" s="213"/>
      <c r="W40" s="213"/>
    </row>
    <row r="41" spans="2:23">
      <c r="B41" s="97"/>
      <c r="D41" s="375">
        <f t="shared" si="3"/>
        <v>46204</v>
      </c>
      <c r="E41" s="375" t="s">
        <v>457</v>
      </c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75">
        <f t="shared" si="3"/>
        <v>46205</v>
      </c>
      <c r="E42" s="375" t="s">
        <v>458</v>
      </c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75">
        <f t="shared" si="3"/>
        <v>46206</v>
      </c>
      <c r="E43" s="375" t="s">
        <v>459</v>
      </c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75">
        <f t="shared" si="3"/>
        <v>46207</v>
      </c>
      <c r="E44" s="375" t="s">
        <v>460</v>
      </c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75">
        <f t="shared" si="3"/>
        <v>46208</v>
      </c>
      <c r="E45" s="375" t="s">
        <v>461</v>
      </c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75">
        <f t="shared" si="3"/>
        <v>46209</v>
      </c>
      <c r="E46" s="375" t="s">
        <v>455</v>
      </c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6"/>
  <sheetViews>
    <sheetView zoomScale="65" zoomScaleNormal="6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1" sqref="AK21:AK27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05" t="s">
        <v>301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K2" s="605"/>
      <c r="AL2" s="605"/>
    </row>
    <row r="3" spans="1:38" ht="25.35" customHeight="1">
      <c r="B3" s="97"/>
      <c r="C3" s="606" t="s">
        <v>139</v>
      </c>
      <c r="D3" s="607" t="s">
        <v>105</v>
      </c>
      <c r="E3" s="607"/>
      <c r="F3" s="608" t="s">
        <v>336</v>
      </c>
      <c r="G3" s="608"/>
      <c r="H3" s="608"/>
      <c r="I3" s="609" t="s">
        <v>111</v>
      </c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</row>
    <row r="4" spans="1:38" ht="25.35" customHeight="1">
      <c r="B4" s="97"/>
      <c r="C4" s="606"/>
      <c r="D4" s="607"/>
      <c r="E4" s="607"/>
      <c r="F4" s="608"/>
      <c r="G4" s="608"/>
      <c r="H4" s="608"/>
      <c r="I4" s="603" t="s">
        <v>140</v>
      </c>
      <c r="J4" s="603"/>
      <c r="K4" s="603"/>
      <c r="L4" s="603"/>
      <c r="M4" s="603"/>
      <c r="N4" s="603"/>
      <c r="O4" s="603" t="s">
        <v>141</v>
      </c>
      <c r="P4" s="603"/>
      <c r="Q4" s="603"/>
      <c r="R4" s="603"/>
      <c r="S4" s="603"/>
      <c r="T4" s="603"/>
      <c r="U4" s="603" t="s">
        <v>325</v>
      </c>
      <c r="V4" s="603"/>
      <c r="W4" s="603" t="s">
        <v>143</v>
      </c>
      <c r="X4" s="603"/>
      <c r="Y4" s="603" t="s">
        <v>134</v>
      </c>
      <c r="Z4" s="603"/>
      <c r="AA4" s="603"/>
      <c r="AB4" s="603"/>
      <c r="AC4" s="603"/>
      <c r="AD4" s="603"/>
      <c r="AE4" s="603" t="s">
        <v>132</v>
      </c>
      <c r="AF4" s="603"/>
      <c r="AG4" s="603" t="s">
        <v>144</v>
      </c>
      <c r="AH4" s="603"/>
      <c r="AI4" s="603" t="s">
        <v>145</v>
      </c>
      <c r="AJ4" s="603"/>
      <c r="AK4" s="603" t="s">
        <v>138</v>
      </c>
      <c r="AL4" s="603"/>
    </row>
    <row r="5" spans="1:38" ht="25.35" customHeight="1">
      <c r="B5" s="97"/>
      <c r="C5" s="606"/>
      <c r="D5" s="607"/>
      <c r="E5" s="607"/>
      <c r="F5" s="602" t="s">
        <v>115</v>
      </c>
      <c r="G5" s="602" t="s">
        <v>117</v>
      </c>
      <c r="H5" s="602" t="s">
        <v>118</v>
      </c>
      <c r="I5" s="603" t="s">
        <v>129</v>
      </c>
      <c r="J5" s="603"/>
      <c r="K5" s="603" t="s">
        <v>130</v>
      </c>
      <c r="L5" s="603"/>
      <c r="M5" s="604" t="s">
        <v>146</v>
      </c>
      <c r="N5" s="603"/>
      <c r="O5" s="603" t="s">
        <v>129</v>
      </c>
      <c r="P5" s="603"/>
      <c r="Q5" s="603" t="s">
        <v>130</v>
      </c>
      <c r="R5" s="603"/>
      <c r="S5" s="604" t="s">
        <v>146</v>
      </c>
      <c r="T5" s="603"/>
      <c r="U5" s="603" t="s">
        <v>129</v>
      </c>
      <c r="V5" s="603"/>
      <c r="W5" s="603" t="s">
        <v>129</v>
      </c>
      <c r="X5" s="603"/>
      <c r="Y5" s="603" t="s">
        <v>129</v>
      </c>
      <c r="Z5" s="603"/>
      <c r="AA5" s="603" t="s">
        <v>130</v>
      </c>
      <c r="AB5" s="603"/>
      <c r="AC5" s="604" t="s">
        <v>146</v>
      </c>
      <c r="AD5" s="603"/>
      <c r="AE5" s="603" t="s">
        <v>129</v>
      </c>
      <c r="AF5" s="603"/>
      <c r="AG5" s="603" t="s">
        <v>129</v>
      </c>
      <c r="AH5" s="603"/>
      <c r="AI5" s="603" t="s">
        <v>129</v>
      </c>
      <c r="AJ5" s="603"/>
      <c r="AK5" s="603" t="s">
        <v>129</v>
      </c>
      <c r="AL5" s="603"/>
    </row>
    <row r="6" spans="1:38" s="80" customFormat="1" ht="23.45" customHeight="1">
      <c r="B6" s="97"/>
      <c r="C6" s="606"/>
      <c r="D6" s="607"/>
      <c r="E6" s="607"/>
      <c r="F6" s="602"/>
      <c r="G6" s="602"/>
      <c r="H6" s="602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307">
        <v>46168</v>
      </c>
      <c r="E7" s="307" t="s">
        <v>456</v>
      </c>
      <c r="F7" s="227">
        <f t="shared" ref="F7" si="0">SUM(M7,S7,U7,W7,AC7,AE7,AG7,AI7,AK7)</f>
        <v>9911969</v>
      </c>
      <c r="G7" s="305"/>
      <c r="I7" s="533">
        <v>871356.86261280871</v>
      </c>
      <c r="J7" s="100">
        <f t="shared" ref="J7:J13" si="1">I7/F7</f>
        <v>8.7909562934751787E-2</v>
      </c>
      <c r="K7" s="533">
        <v>893565.50574186875</v>
      </c>
      <c r="L7" s="100">
        <f t="shared" ref="L7:L13" si="2">K7/F7</f>
        <v>9.0150151371727327E-2</v>
      </c>
      <c r="M7" s="226">
        <f t="shared" ref="M7:M13" si="3">SUM(I7+K7)</f>
        <v>1764922.3683546775</v>
      </c>
      <c r="N7" s="100">
        <f t="shared" ref="N7:N13" si="4">M7/F7</f>
        <v>0.1780597143064791</v>
      </c>
      <c r="O7" s="533">
        <v>155000.81282695747</v>
      </c>
      <c r="P7" s="100">
        <f t="shared" ref="P7:P13" si="5">O7/F7</f>
        <v>1.5637741888312753E-2</v>
      </c>
      <c r="Q7" s="233"/>
      <c r="R7" s="100">
        <f t="shared" ref="R7:R13" si="6">Q7/$F7</f>
        <v>0</v>
      </c>
      <c r="S7" s="226">
        <f t="shared" ref="S7:S13" si="7">SUM(O7+Q7)</f>
        <v>155000.81282695747</v>
      </c>
      <c r="T7" s="100">
        <f t="shared" ref="T7:T13" si="8">S7/F7</f>
        <v>1.5637741888312753E-2</v>
      </c>
      <c r="U7" s="533">
        <v>1032613.8715824983</v>
      </c>
      <c r="V7" s="100">
        <f t="shared" ref="V7:V13" si="9">U7/F7</f>
        <v>0.10417848074207035</v>
      </c>
      <c r="W7" s="533">
        <v>90946.692815278613</v>
      </c>
      <c r="X7" s="100">
        <f t="shared" ref="X7:X13" si="10">W7/F7</f>
        <v>9.1754416115787506E-3</v>
      </c>
      <c r="Y7" s="533">
        <v>715867.98766669852</v>
      </c>
      <c r="Z7" s="100">
        <f t="shared" ref="Z7:Z16" si="11">Y7/F7</f>
        <v>7.2222581372752323E-2</v>
      </c>
      <c r="AA7" s="533">
        <v>1241839.0818438851</v>
      </c>
      <c r="AB7" s="100">
        <f t="shared" ref="AB7:AB40" si="12">AA7/$F7</f>
        <v>0.12528682059476631</v>
      </c>
      <c r="AC7" s="226">
        <f t="shared" ref="AC7:AC16" si="13">SUM(Y7+AA7)</f>
        <v>1957707.0695105838</v>
      </c>
      <c r="AD7" s="100">
        <f t="shared" ref="AD7:AD16" si="14">AC7/F7</f>
        <v>0.19750940196751865</v>
      </c>
      <c r="AE7" s="533">
        <v>1474753.2942983359</v>
      </c>
      <c r="AF7" s="100">
        <f t="shared" ref="AF7:AF16" si="15">AE7/F7</f>
        <v>0.14878509953959057</v>
      </c>
      <c r="AG7" s="533">
        <v>1325583.4416493857</v>
      </c>
      <c r="AH7" s="100">
        <f t="shared" ref="AH7:AH16" si="16">AG7/F7</f>
        <v>0.13373563230972429</v>
      </c>
      <c r="AI7" s="533">
        <v>1340614.1865086448</v>
      </c>
      <c r="AJ7" s="100">
        <f t="shared" ref="AJ7:AJ16" si="17">AI7/F7</f>
        <v>0.13525205602526044</v>
      </c>
      <c r="AK7" s="533">
        <v>769827.26245363872</v>
      </c>
      <c r="AL7" s="100">
        <f t="shared" ref="AL7:AL13" si="18">AK7/F7</f>
        <v>7.7666431609465153E-2</v>
      </c>
    </row>
    <row r="8" spans="1:38" ht="14.25">
      <c r="B8" s="97"/>
      <c r="C8" s="355"/>
      <c r="D8" s="307">
        <f t="shared" ref="D8" si="19">D7+1</f>
        <v>46169</v>
      </c>
      <c r="E8" s="307" t="s">
        <v>457</v>
      </c>
      <c r="F8" s="227">
        <f>SUM(M8,S8,U8,W8,AC8,AE8,AG8,AI8,AK8)</f>
        <v>9723654</v>
      </c>
      <c r="G8" s="305">
        <f>SUM(F7:F13)</f>
        <v>65939025</v>
      </c>
      <c r="H8" s="328"/>
      <c r="I8" s="533">
        <v>834226.3956515824</v>
      </c>
      <c r="J8" s="100">
        <f t="shared" si="1"/>
        <v>8.5793508865245754E-2</v>
      </c>
      <c r="K8" s="533">
        <v>880855.4378574302</v>
      </c>
      <c r="L8" s="100">
        <f t="shared" si="2"/>
        <v>9.0588932705486042E-2</v>
      </c>
      <c r="M8" s="226">
        <f t="shared" si="3"/>
        <v>1715081.8335090126</v>
      </c>
      <c r="N8" s="100">
        <f t="shared" si="4"/>
        <v>0.1763824415707318</v>
      </c>
      <c r="O8" s="533">
        <v>155740.60490622802</v>
      </c>
      <c r="P8" s="100">
        <f t="shared" si="5"/>
        <v>1.6016674894666967E-2</v>
      </c>
      <c r="Q8" s="233"/>
      <c r="R8" s="100">
        <f t="shared" si="6"/>
        <v>0</v>
      </c>
      <c r="S8" s="226">
        <f t="shared" si="7"/>
        <v>155740.60490622802</v>
      </c>
      <c r="T8" s="100">
        <f t="shared" si="8"/>
        <v>1.6016674894666967E-2</v>
      </c>
      <c r="U8" s="533">
        <v>1021176.416535186</v>
      </c>
      <c r="V8" s="100">
        <f t="shared" si="9"/>
        <v>0.10501982243868262</v>
      </c>
      <c r="W8" s="533">
        <v>91019.33888209032</v>
      </c>
      <c r="X8" s="100">
        <f t="shared" si="10"/>
        <v>9.3606106184043903E-3</v>
      </c>
      <c r="Y8" s="533">
        <v>712653.0236537056</v>
      </c>
      <c r="Z8" s="100">
        <f t="shared" si="11"/>
        <v>7.3290660450660378E-2</v>
      </c>
      <c r="AA8" s="533">
        <v>1161243.7729789983</v>
      </c>
      <c r="AB8" s="100">
        <f t="shared" si="12"/>
        <v>0.11942462915473939</v>
      </c>
      <c r="AC8" s="226">
        <f t="shared" si="13"/>
        <v>1873896.7966327039</v>
      </c>
      <c r="AD8" s="100">
        <f t="shared" si="14"/>
        <v>0.19271528960539977</v>
      </c>
      <c r="AE8" s="533">
        <v>1479080.3943255865</v>
      </c>
      <c r="AF8" s="100">
        <f t="shared" si="15"/>
        <v>0.15211158216094345</v>
      </c>
      <c r="AG8" s="533">
        <v>1013065.1896702752</v>
      </c>
      <c r="AH8" s="100">
        <f t="shared" si="16"/>
        <v>0.10418564766601889</v>
      </c>
      <c r="AI8" s="533">
        <v>1617802.7563027462</v>
      </c>
      <c r="AJ8" s="100">
        <f t="shared" si="17"/>
        <v>0.16637806695947288</v>
      </c>
      <c r="AK8" s="533">
        <v>756790.66923617048</v>
      </c>
      <c r="AL8" s="100">
        <f t="shared" si="18"/>
        <v>7.7829864085679157E-2</v>
      </c>
    </row>
    <row r="9" spans="1:38" ht="14.25">
      <c r="B9" s="97"/>
      <c r="C9" s="97"/>
      <c r="D9" s="307">
        <f>D8+1</f>
        <v>46170</v>
      </c>
      <c r="E9" s="307" t="s">
        <v>458</v>
      </c>
      <c r="F9" s="227">
        <f t="shared" ref="F9:F49" si="20">SUM(M9,S9,U9,W9,AC9,AE9,AG9,AI9,AK9)</f>
        <v>9072400</v>
      </c>
      <c r="G9" s="86"/>
      <c r="H9" s="86"/>
      <c r="I9" s="533">
        <v>796967.55440973805</v>
      </c>
      <c r="J9" s="100">
        <f t="shared" si="1"/>
        <v>8.7845283983261108E-2</v>
      </c>
      <c r="K9" s="533">
        <v>802490.73208411667</v>
      </c>
      <c r="L9" s="100">
        <f t="shared" si="2"/>
        <v>8.8454073021925469E-2</v>
      </c>
      <c r="M9" s="226">
        <f t="shared" si="3"/>
        <v>1599458.2864938546</v>
      </c>
      <c r="N9" s="100">
        <f t="shared" si="4"/>
        <v>0.17629935700518656</v>
      </c>
      <c r="O9" s="533">
        <v>156572.68974813298</v>
      </c>
      <c r="P9" s="100">
        <f t="shared" si="5"/>
        <v>1.7258133431962103E-2</v>
      </c>
      <c r="Q9" s="233"/>
      <c r="R9" s="100">
        <f t="shared" si="6"/>
        <v>0</v>
      </c>
      <c r="S9" s="226">
        <f t="shared" si="7"/>
        <v>156572.68974813298</v>
      </c>
      <c r="T9" s="100">
        <f t="shared" si="8"/>
        <v>1.7258133431962103E-2</v>
      </c>
      <c r="U9" s="533">
        <v>919622.63002488343</v>
      </c>
      <c r="V9" s="100">
        <f t="shared" si="9"/>
        <v>0.10136486817434014</v>
      </c>
      <c r="W9" s="533">
        <v>80701.49904316591</v>
      </c>
      <c r="X9" s="100">
        <f t="shared" si="10"/>
        <v>8.8952756760246367E-3</v>
      </c>
      <c r="Y9" s="533">
        <v>684780.20716838562</v>
      </c>
      <c r="Z9" s="100">
        <f t="shared" si="11"/>
        <v>7.5479499048585336E-2</v>
      </c>
      <c r="AA9" s="533">
        <v>910019.21405658184</v>
      </c>
      <c r="AB9" s="100">
        <f t="shared" si="12"/>
        <v>0.10030633724886269</v>
      </c>
      <c r="AC9" s="226">
        <f t="shared" si="13"/>
        <v>1594799.4212249676</v>
      </c>
      <c r="AD9" s="100">
        <f t="shared" si="14"/>
        <v>0.17578583629744804</v>
      </c>
      <c r="AE9" s="533">
        <v>1371164.7213054858</v>
      </c>
      <c r="AF9" s="100">
        <f t="shared" si="15"/>
        <v>0.15113583189734645</v>
      </c>
      <c r="AG9" s="533">
        <v>953952.60160560557</v>
      </c>
      <c r="AH9" s="100">
        <f t="shared" si="16"/>
        <v>0.10514886927445941</v>
      </c>
      <c r="AI9" s="533">
        <v>1655180.1736219691</v>
      </c>
      <c r="AJ9" s="100">
        <f t="shared" si="17"/>
        <v>0.18244126952316575</v>
      </c>
      <c r="AK9" s="533">
        <v>740947.97693193483</v>
      </c>
      <c r="AL9" s="100">
        <f t="shared" si="18"/>
        <v>8.1670558720066885E-2</v>
      </c>
    </row>
    <row r="10" spans="1:38" ht="14.25">
      <c r="B10" s="97"/>
      <c r="C10" s="97"/>
      <c r="D10" s="307">
        <f t="shared" ref="D10:D36" si="21">D9+1</f>
        <v>46171</v>
      </c>
      <c r="E10" s="307" t="s">
        <v>459</v>
      </c>
      <c r="F10" s="227">
        <f t="shared" si="20"/>
        <v>8447568.0000000019</v>
      </c>
      <c r="G10" s="305"/>
      <c r="H10" s="328"/>
      <c r="I10" s="533">
        <v>717668.83110199892</v>
      </c>
      <c r="J10" s="100">
        <f t="shared" si="1"/>
        <v>8.4955673763383588E-2</v>
      </c>
      <c r="K10" s="533">
        <v>754001.25866710825</v>
      </c>
      <c r="L10" s="100">
        <f t="shared" si="2"/>
        <v>8.9256607187667272E-2</v>
      </c>
      <c r="M10" s="226">
        <f t="shared" si="3"/>
        <v>1471670.0897691073</v>
      </c>
      <c r="N10" s="100">
        <f t="shared" si="4"/>
        <v>0.17421228095105087</v>
      </c>
      <c r="O10" s="533">
        <v>131174.99331250542</v>
      </c>
      <c r="P10" s="100">
        <f t="shared" si="5"/>
        <v>1.552813701085394E-2</v>
      </c>
      <c r="Q10" s="233"/>
      <c r="R10" s="100">
        <f t="shared" si="6"/>
        <v>0</v>
      </c>
      <c r="S10" s="226">
        <f t="shared" si="7"/>
        <v>131174.99331250542</v>
      </c>
      <c r="T10" s="100">
        <f t="shared" si="8"/>
        <v>1.552813701085394E-2</v>
      </c>
      <c r="U10" s="533">
        <v>827052.81841553969</v>
      </c>
      <c r="V10" s="100">
        <f t="shared" si="9"/>
        <v>9.7904251071496501E-2</v>
      </c>
      <c r="W10" s="533">
        <v>57382.900659552128</v>
      </c>
      <c r="X10" s="100">
        <f t="shared" si="10"/>
        <v>6.7928308667716099E-3</v>
      </c>
      <c r="Y10" s="533">
        <v>602253.05167162046</v>
      </c>
      <c r="Z10" s="100">
        <f t="shared" si="11"/>
        <v>7.1293069398390196E-2</v>
      </c>
      <c r="AA10" s="533">
        <v>925631.31398767326</v>
      </c>
      <c r="AB10" s="100">
        <f t="shared" si="12"/>
        <v>0.1095737038148344</v>
      </c>
      <c r="AC10" s="226">
        <f t="shared" si="13"/>
        <v>1527884.3656592937</v>
      </c>
      <c r="AD10" s="100">
        <f t="shared" si="14"/>
        <v>0.18086677321322461</v>
      </c>
      <c r="AE10" s="533">
        <v>1186754.4398286883</v>
      </c>
      <c r="AF10" s="100">
        <f t="shared" si="15"/>
        <v>0.14048474541177863</v>
      </c>
      <c r="AG10" s="533">
        <v>870174.14963696664</v>
      </c>
      <c r="AH10" s="100">
        <f t="shared" si="16"/>
        <v>0.1030088363463859</v>
      </c>
      <c r="AI10" s="533">
        <v>1740638.118244169</v>
      </c>
      <c r="AJ10" s="100">
        <f t="shared" si="17"/>
        <v>0.20605198066995953</v>
      </c>
      <c r="AK10" s="533">
        <v>634836.12447417818</v>
      </c>
      <c r="AL10" s="100">
        <f t="shared" si="18"/>
        <v>7.5150164458478233E-2</v>
      </c>
    </row>
    <row r="11" spans="1:38" ht="14.25">
      <c r="B11" s="97"/>
      <c r="C11" s="97"/>
      <c r="D11" s="307">
        <f t="shared" si="21"/>
        <v>46172</v>
      </c>
      <c r="E11" s="307" t="s">
        <v>460</v>
      </c>
      <c r="F11" s="227">
        <f t="shared" si="20"/>
        <v>8820596</v>
      </c>
      <c r="G11" s="305"/>
      <c r="H11" s="328"/>
      <c r="I11" s="533">
        <v>648392.83706877509</v>
      </c>
      <c r="J11" s="100">
        <f t="shared" si="1"/>
        <v>7.3508959833187587E-2</v>
      </c>
      <c r="K11" s="533">
        <v>833488.45598268241</v>
      </c>
      <c r="L11" s="100">
        <f t="shared" si="2"/>
        <v>9.4493439670367219E-2</v>
      </c>
      <c r="M11" s="226">
        <f t="shared" si="3"/>
        <v>1481881.2930514575</v>
      </c>
      <c r="N11" s="100">
        <f t="shared" si="4"/>
        <v>0.16800239950355481</v>
      </c>
      <c r="O11" s="533">
        <v>131347.19742287829</v>
      </c>
      <c r="P11" s="100">
        <f t="shared" si="5"/>
        <v>1.4890966259295663E-2</v>
      </c>
      <c r="Q11" s="233"/>
      <c r="R11" s="100">
        <f t="shared" si="6"/>
        <v>0</v>
      </c>
      <c r="S11" s="226">
        <f t="shared" si="7"/>
        <v>131347.19742287829</v>
      </c>
      <c r="T11" s="100">
        <f t="shared" si="8"/>
        <v>1.4890966259295663E-2</v>
      </c>
      <c r="U11" s="533">
        <v>890786.35354303638</v>
      </c>
      <c r="V11" s="100">
        <f t="shared" si="9"/>
        <v>0.10098936098456798</v>
      </c>
      <c r="W11" s="533">
        <v>66013.287798413949</v>
      </c>
      <c r="X11" s="100">
        <f t="shared" si="10"/>
        <v>7.4839940292485843E-3</v>
      </c>
      <c r="Y11" s="533">
        <v>662404.94660462544</v>
      </c>
      <c r="Z11" s="100">
        <f t="shared" si="11"/>
        <v>7.509752703837988E-2</v>
      </c>
      <c r="AA11" s="533">
        <v>1013745.5615263516</v>
      </c>
      <c r="AB11" s="100">
        <f t="shared" si="12"/>
        <v>0.11492937229256975</v>
      </c>
      <c r="AC11" s="226">
        <f t="shared" si="13"/>
        <v>1676150.5081309769</v>
      </c>
      <c r="AD11" s="100">
        <f t="shared" si="14"/>
        <v>0.19002689933094963</v>
      </c>
      <c r="AE11" s="533">
        <v>1325867.2139701014</v>
      </c>
      <c r="AF11" s="100">
        <f t="shared" si="15"/>
        <v>0.15031492361401672</v>
      </c>
      <c r="AG11" s="533">
        <v>1014306.5630493577</v>
      </c>
      <c r="AH11" s="100">
        <f t="shared" si="16"/>
        <v>0.11499297360964698</v>
      </c>
      <c r="AI11" s="533">
        <v>1536567.1927081044</v>
      </c>
      <c r="AJ11" s="100">
        <f t="shared" si="17"/>
        <v>0.17420219594096639</v>
      </c>
      <c r="AK11" s="533">
        <v>697676.39032567362</v>
      </c>
      <c r="AL11" s="100">
        <f t="shared" si="18"/>
        <v>7.9096286727753276E-2</v>
      </c>
    </row>
    <row r="12" spans="1:38" ht="14.25">
      <c r="B12" s="97"/>
      <c r="C12" s="97"/>
      <c r="D12" s="307">
        <f t="shared" si="21"/>
        <v>46173</v>
      </c>
      <c r="E12" s="307" t="s">
        <v>461</v>
      </c>
      <c r="F12" s="227">
        <f t="shared" si="20"/>
        <v>10386449</v>
      </c>
      <c r="G12" s="86"/>
      <c r="H12" s="328">
        <f>SUM(F13:F42)</f>
        <v>141939037</v>
      </c>
      <c r="I12" s="533">
        <v>803405.44308915967</v>
      </c>
      <c r="J12" s="100">
        <f t="shared" si="1"/>
        <v>7.7351310644201851E-2</v>
      </c>
      <c r="K12" s="533">
        <v>920092.34586502786</v>
      </c>
      <c r="L12" s="100">
        <f t="shared" si="2"/>
        <v>8.8585843522172775E-2</v>
      </c>
      <c r="M12" s="226">
        <f t="shared" si="3"/>
        <v>1723497.7889541877</v>
      </c>
      <c r="N12" s="100">
        <f t="shared" si="4"/>
        <v>0.16593715416637464</v>
      </c>
      <c r="O12" s="533">
        <v>159681.46041312834</v>
      </c>
      <c r="P12" s="100">
        <f t="shared" si="5"/>
        <v>1.5374018628804545E-2</v>
      </c>
      <c r="Q12" s="233"/>
      <c r="R12" s="100">
        <f t="shared" si="6"/>
        <v>0</v>
      </c>
      <c r="S12" s="226">
        <f t="shared" si="7"/>
        <v>159681.46041312834</v>
      </c>
      <c r="T12" s="100">
        <f t="shared" si="8"/>
        <v>1.5374018628804545E-2</v>
      </c>
      <c r="U12" s="533">
        <v>1123376.7130661339</v>
      </c>
      <c r="V12" s="100">
        <f t="shared" si="9"/>
        <v>0.10815791932990129</v>
      </c>
      <c r="W12" s="533">
        <v>78012.345440771693</v>
      </c>
      <c r="X12" s="100">
        <f t="shared" si="10"/>
        <v>7.5109737159227081E-3</v>
      </c>
      <c r="Y12" s="533">
        <v>760064.25510615727</v>
      </c>
      <c r="Z12" s="100">
        <f t="shared" si="11"/>
        <v>7.3178451567629824E-2</v>
      </c>
      <c r="AA12" s="533">
        <v>1143849.685426282</v>
      </c>
      <c r="AB12" s="100">
        <f t="shared" si="12"/>
        <v>0.11012904270037642</v>
      </c>
      <c r="AC12" s="226">
        <f t="shared" si="13"/>
        <v>1903913.9405324394</v>
      </c>
      <c r="AD12" s="100">
        <f t="shared" si="14"/>
        <v>0.18330749426800627</v>
      </c>
      <c r="AE12" s="533">
        <v>1637466.4028524798</v>
      </c>
      <c r="AF12" s="100">
        <f t="shared" si="15"/>
        <v>0.15765411285921491</v>
      </c>
      <c r="AG12" s="533">
        <v>1228518.6766198454</v>
      </c>
      <c r="AH12" s="100">
        <f t="shared" si="16"/>
        <v>0.11828091358459907</v>
      </c>
      <c r="AI12" s="533">
        <v>1703467.5158396543</v>
      </c>
      <c r="AJ12" s="100">
        <f t="shared" si="17"/>
        <v>0.16400865356770675</v>
      </c>
      <c r="AK12" s="533">
        <v>828514.15628135926</v>
      </c>
      <c r="AL12" s="100">
        <f t="shared" si="18"/>
        <v>7.9768759879469797E-2</v>
      </c>
    </row>
    <row r="13" spans="1:38" ht="14.25">
      <c r="B13" s="97"/>
      <c r="C13" s="97"/>
      <c r="D13" s="307">
        <f t="shared" si="21"/>
        <v>46174</v>
      </c>
      <c r="E13" s="307" t="s">
        <v>455</v>
      </c>
      <c r="F13" s="227">
        <f t="shared" si="20"/>
        <v>9576389.0000000019</v>
      </c>
      <c r="G13" s="305"/>
      <c r="H13" s="328"/>
      <c r="I13" s="533">
        <v>758567.62376426673</v>
      </c>
      <c r="J13" s="100">
        <f t="shared" si="1"/>
        <v>7.9212281765524209E-2</v>
      </c>
      <c r="K13" s="533">
        <v>873393.03030597779</v>
      </c>
      <c r="L13" s="100">
        <f t="shared" si="2"/>
        <v>9.120275192517531E-2</v>
      </c>
      <c r="M13" s="226">
        <f t="shared" si="3"/>
        <v>1631960.6540702446</v>
      </c>
      <c r="N13" s="100">
        <f t="shared" si="4"/>
        <v>0.17041503369069952</v>
      </c>
      <c r="O13" s="533">
        <v>153608.36173157959</v>
      </c>
      <c r="P13" s="100">
        <f t="shared" si="5"/>
        <v>1.6040321851125677E-2</v>
      </c>
      <c r="Q13" s="233"/>
      <c r="R13" s="100">
        <f t="shared" si="6"/>
        <v>0</v>
      </c>
      <c r="S13" s="226">
        <f t="shared" si="7"/>
        <v>153608.36173157959</v>
      </c>
      <c r="T13" s="100">
        <f t="shared" si="8"/>
        <v>1.6040321851125677E-2</v>
      </c>
      <c r="U13" s="533">
        <v>1067528.4825643103</v>
      </c>
      <c r="V13" s="100">
        <f t="shared" si="9"/>
        <v>0.11147505417379244</v>
      </c>
      <c r="W13" s="533">
        <v>81439.234784855682</v>
      </c>
      <c r="X13" s="100">
        <f t="shared" si="10"/>
        <v>8.5041694510170456E-3</v>
      </c>
      <c r="Y13" s="533">
        <v>738854.27567746351</v>
      </c>
      <c r="Z13" s="100">
        <f t="shared" si="11"/>
        <v>7.7153745078386363E-2</v>
      </c>
      <c r="AA13" s="533">
        <v>1118456.8070948101</v>
      </c>
      <c r="AB13" s="100">
        <f t="shared" si="12"/>
        <v>0.11679316776864535</v>
      </c>
      <c r="AC13" s="226">
        <f t="shared" si="13"/>
        <v>1857311.0827722736</v>
      </c>
      <c r="AD13" s="100">
        <f t="shared" si="14"/>
        <v>0.19394691284703172</v>
      </c>
      <c r="AE13" s="533">
        <v>1541280.2940064897</v>
      </c>
      <c r="AF13" s="100">
        <f t="shared" si="15"/>
        <v>0.16094587364887636</v>
      </c>
      <c r="AG13" s="533">
        <v>1041486.2042900332</v>
      </c>
      <c r="AH13" s="100">
        <f t="shared" si="16"/>
        <v>0.10875562848272277</v>
      </c>
      <c r="AI13" s="533">
        <v>1372243.6287914908</v>
      </c>
      <c r="AJ13" s="100">
        <f t="shared" si="17"/>
        <v>0.14329447444036478</v>
      </c>
      <c r="AK13" s="533">
        <v>829531.05698872299</v>
      </c>
      <c r="AL13" s="100">
        <f t="shared" si="18"/>
        <v>8.6622531414369527E-2</v>
      </c>
    </row>
    <row r="14" spans="1:38" ht="14.25">
      <c r="B14" s="97"/>
      <c r="C14" s="97"/>
      <c r="D14" s="375">
        <f t="shared" si="21"/>
        <v>46175</v>
      </c>
      <c r="E14" s="375" t="s">
        <v>456</v>
      </c>
      <c r="F14" s="227">
        <f t="shared" si="20"/>
        <v>10050370</v>
      </c>
      <c r="G14" s="305">
        <f>SUM(F14:F20)</f>
        <v>65024924</v>
      </c>
      <c r="H14" s="328"/>
      <c r="I14" s="233">
        <v>776227.97016374173</v>
      </c>
      <c r="J14" s="100">
        <f>I14/F14</f>
        <v>7.723377051429367E-2</v>
      </c>
      <c r="K14" s="233">
        <v>874306.94600702578</v>
      </c>
      <c r="L14" s="100">
        <f>K14/F14</f>
        <v>8.699251331115429E-2</v>
      </c>
      <c r="M14" s="226">
        <f>SUM(I14+K14)</f>
        <v>1650534.9161707675</v>
      </c>
      <c r="N14" s="100">
        <f>M14/F14</f>
        <v>0.16422628382544796</v>
      </c>
      <c r="O14" s="233">
        <v>157334.02227488349</v>
      </c>
      <c r="P14" s="100">
        <f>O14/F14</f>
        <v>1.565455025783961E-2</v>
      </c>
      <c r="Q14" s="233"/>
      <c r="R14" s="100">
        <f t="shared" ref="R14" si="22">Q14/$F14</f>
        <v>0</v>
      </c>
      <c r="S14" s="226">
        <f t="shared" ref="S14" si="23">SUM(O14+Q14)</f>
        <v>157334.02227488349</v>
      </c>
      <c r="T14" s="100">
        <f>S14/F14</f>
        <v>1.565455025783961E-2</v>
      </c>
      <c r="U14" s="233">
        <v>1066987.1660075986</v>
      </c>
      <c r="V14" s="100">
        <f>U14/F14</f>
        <v>0.10616396869046599</v>
      </c>
      <c r="W14" s="233">
        <v>70828.107645685261</v>
      </c>
      <c r="X14" s="100">
        <f>W14/F14</f>
        <v>7.0473134467373098E-3</v>
      </c>
      <c r="Y14" s="233">
        <v>745103.59594110854</v>
      </c>
      <c r="Z14" s="100">
        <f t="shared" si="11"/>
        <v>7.4136931868290276E-2</v>
      </c>
      <c r="AA14" s="233">
        <v>1115672.4634940836</v>
      </c>
      <c r="AB14" s="100">
        <f t="shared" si="12"/>
        <v>0.11100809855697687</v>
      </c>
      <c r="AC14" s="226">
        <f t="shared" si="13"/>
        <v>1860776.059435192</v>
      </c>
      <c r="AD14" s="100">
        <f t="shared" si="14"/>
        <v>0.18514503042526714</v>
      </c>
      <c r="AE14" s="233">
        <v>1522372.0364729548</v>
      </c>
      <c r="AF14" s="100">
        <f t="shared" si="15"/>
        <v>0.15147422796105564</v>
      </c>
      <c r="AG14" s="233">
        <v>983263.56753131968</v>
      </c>
      <c r="AH14" s="100">
        <f t="shared" si="16"/>
        <v>9.7833569065747791E-2</v>
      </c>
      <c r="AI14" s="233">
        <v>1653855.9693168853</v>
      </c>
      <c r="AJ14" s="100">
        <f t="shared" si="17"/>
        <v>0.16455672470932764</v>
      </c>
      <c r="AK14" s="233">
        <v>1084418.1551447148</v>
      </c>
      <c r="AL14" s="100">
        <f>AK14/F14</f>
        <v>0.10789833161811105</v>
      </c>
    </row>
    <row r="15" spans="1:38" ht="14.25">
      <c r="B15" s="97"/>
      <c r="C15" s="97"/>
      <c r="D15" s="375">
        <f t="shared" si="21"/>
        <v>46176</v>
      </c>
      <c r="E15" s="375" t="s">
        <v>457</v>
      </c>
      <c r="F15" s="227">
        <f t="shared" si="20"/>
        <v>9327316.9999999981</v>
      </c>
      <c r="G15" s="86"/>
      <c r="H15" s="328"/>
      <c r="I15" s="233">
        <v>768978.49049738457</v>
      </c>
      <c r="J15" s="100">
        <f t="shared" ref="J15" si="24">I15/F15</f>
        <v>8.2443696348841231E-2</v>
      </c>
      <c r="K15" s="233">
        <v>854550.85197674879</v>
      </c>
      <c r="L15" s="100">
        <f t="shared" ref="L15" si="25">K15/F15</f>
        <v>9.1618077521837094E-2</v>
      </c>
      <c r="M15" s="226">
        <f t="shared" ref="M15" si="26">SUM(I15+K15)</f>
        <v>1623529.3424741332</v>
      </c>
      <c r="N15" s="100">
        <f t="shared" ref="N15" si="27">M15/F15</f>
        <v>0.17406177387067831</v>
      </c>
      <c r="O15" s="233">
        <v>157836.05512807792</v>
      </c>
      <c r="P15" s="100">
        <f t="shared" ref="P15" si="28">O15/F15</f>
        <v>1.6921913893146116E-2</v>
      </c>
      <c r="Q15" s="233"/>
      <c r="R15" s="100">
        <f t="shared" ref="R15" si="29">Q15/$F15</f>
        <v>0</v>
      </c>
      <c r="S15" s="226">
        <f t="shared" ref="S15" si="30">SUM(O15+Q15)</f>
        <v>157836.05512807792</v>
      </c>
      <c r="T15" s="100">
        <f t="shared" ref="T15" si="31">S15/F15</f>
        <v>1.6921913893146116E-2</v>
      </c>
      <c r="U15" s="233">
        <v>963305.63175247528</v>
      </c>
      <c r="V15" s="100">
        <f t="shared" ref="V15" si="32">U15/F15</f>
        <v>0.10327789135423139</v>
      </c>
      <c r="W15" s="233">
        <v>66246.106227989832</v>
      </c>
      <c r="X15" s="100">
        <f t="shared" ref="X15" si="33">W15/F15</f>
        <v>7.1023753377300082E-3</v>
      </c>
      <c r="Y15" s="233">
        <v>684220.48510644294</v>
      </c>
      <c r="Z15" s="100">
        <f t="shared" si="11"/>
        <v>7.3356623893713821E-2</v>
      </c>
      <c r="AA15" s="233">
        <v>1013653.8566579369</v>
      </c>
      <c r="AB15" s="100">
        <f t="shared" si="12"/>
        <v>0.10867582356833558</v>
      </c>
      <c r="AC15" s="226">
        <f t="shared" si="13"/>
        <v>1697874.3417643798</v>
      </c>
      <c r="AD15" s="100">
        <f t="shared" si="14"/>
        <v>0.18203244746204938</v>
      </c>
      <c r="AE15" s="233">
        <v>1400737.9796750215</v>
      </c>
      <c r="AF15" s="100">
        <f t="shared" si="15"/>
        <v>0.15017587369176172</v>
      </c>
      <c r="AG15" s="233">
        <v>902576.83235307061</v>
      </c>
      <c r="AH15" s="100">
        <f t="shared" si="16"/>
        <v>9.6767037332715383E-2</v>
      </c>
      <c r="AI15" s="233">
        <v>1582861.5934110018</v>
      </c>
      <c r="AJ15" s="100">
        <f t="shared" si="17"/>
        <v>0.16970170451063282</v>
      </c>
      <c r="AK15" s="233">
        <v>932349.11721384875</v>
      </c>
      <c r="AL15" s="100">
        <f t="shared" ref="AL15" si="34">AK15/F15</f>
        <v>9.9958982547054945E-2</v>
      </c>
    </row>
    <row r="16" spans="1:38" ht="14.25">
      <c r="B16" s="97"/>
      <c r="C16" s="97"/>
      <c r="D16" s="375">
        <f t="shared" si="21"/>
        <v>46177</v>
      </c>
      <c r="E16" s="375" t="s">
        <v>458</v>
      </c>
      <c r="F16" s="227">
        <f t="shared" si="20"/>
        <v>8845232</v>
      </c>
      <c r="G16" s="305"/>
      <c r="H16" s="328"/>
      <c r="I16" s="233">
        <v>735925.14265433885</v>
      </c>
      <c r="J16" s="100">
        <f t="shared" ref="J16:J41" si="35">I16/F16</f>
        <v>8.3200208050432017E-2</v>
      </c>
      <c r="K16" s="233">
        <v>785898.53541942325</v>
      </c>
      <c r="L16" s="100">
        <f t="shared" ref="L16:L41" si="36">K16/F16</f>
        <v>8.8849962942681798E-2</v>
      </c>
      <c r="M16" s="226">
        <f t="shared" ref="M16:M41" si="37">SUM(I16+K16)</f>
        <v>1521823.678073762</v>
      </c>
      <c r="N16" s="100">
        <f t="shared" ref="N16:N41" si="38">M16/F16</f>
        <v>0.17205017099311382</v>
      </c>
      <c r="O16" s="233">
        <v>155084.36972934002</v>
      </c>
      <c r="P16" s="100">
        <f t="shared" ref="P16:P41" si="39">O16/F16</f>
        <v>1.753310367996453E-2</v>
      </c>
      <c r="Q16" s="233"/>
      <c r="R16" s="100">
        <f t="shared" ref="R16:R49" si="40">Q16/$F16</f>
        <v>0</v>
      </c>
      <c r="S16" s="226">
        <f t="shared" ref="S16:S49" si="41">SUM(O16+Q16)</f>
        <v>155084.36972934002</v>
      </c>
      <c r="T16" s="100">
        <f t="shared" ref="T16:T41" si="42">S16/F16</f>
        <v>1.753310367996453E-2</v>
      </c>
      <c r="U16" s="233">
        <v>836907.05557428789</v>
      </c>
      <c r="V16" s="100">
        <f t="shared" ref="V16:V41" si="43">U16/F16</f>
        <v>9.461674443070435E-2</v>
      </c>
      <c r="W16" s="233">
        <v>65483.383269799589</v>
      </c>
      <c r="X16" s="100">
        <f t="shared" ref="X16:X41" si="44">W16/F16</f>
        <v>7.403240895185066E-3</v>
      </c>
      <c r="Y16" s="233">
        <v>648023.46358837152</v>
      </c>
      <c r="Z16" s="100">
        <f t="shared" si="11"/>
        <v>7.3262460904176568E-2</v>
      </c>
      <c r="AA16" s="233">
        <v>845764.07327764668</v>
      </c>
      <c r="AB16" s="100">
        <f t="shared" si="12"/>
        <v>9.5618076866457166E-2</v>
      </c>
      <c r="AC16" s="226">
        <f t="shared" si="13"/>
        <v>1493787.5368660181</v>
      </c>
      <c r="AD16" s="100">
        <f t="shared" si="14"/>
        <v>0.16888053777063372</v>
      </c>
      <c r="AE16" s="233">
        <v>1297291.9906407727</v>
      </c>
      <c r="AF16" s="100">
        <f t="shared" si="15"/>
        <v>0.1466656827815</v>
      </c>
      <c r="AG16" s="233">
        <v>911147.40707169625</v>
      </c>
      <c r="AH16" s="100">
        <f t="shared" si="16"/>
        <v>0.10301000664218828</v>
      </c>
      <c r="AI16" s="233">
        <v>1684698.6962041534</v>
      </c>
      <c r="AJ16" s="100">
        <f t="shared" si="17"/>
        <v>0.19046404845052717</v>
      </c>
      <c r="AK16" s="233">
        <v>879007.88257016975</v>
      </c>
      <c r="AL16" s="100">
        <f t="shared" ref="AL16:AL41" si="45">AK16/F16</f>
        <v>9.9376464356183053E-2</v>
      </c>
    </row>
    <row r="17" spans="2:38" ht="14.25">
      <c r="B17" s="97"/>
      <c r="C17" s="97"/>
      <c r="D17" s="375">
        <f t="shared" si="21"/>
        <v>46178</v>
      </c>
      <c r="E17" s="375" t="s">
        <v>459</v>
      </c>
      <c r="F17" s="227">
        <f t="shared" si="20"/>
        <v>7987767</v>
      </c>
      <c r="G17" s="305"/>
      <c r="H17" s="328"/>
      <c r="I17" s="233">
        <v>623153.87688130466</v>
      </c>
      <c r="J17" s="100">
        <f t="shared" si="35"/>
        <v>7.8013527044705322E-2</v>
      </c>
      <c r="K17" s="233">
        <v>731322.56682185188</v>
      </c>
      <c r="L17" s="100">
        <f t="shared" si="36"/>
        <v>9.1555320382010627E-2</v>
      </c>
      <c r="M17" s="226">
        <f t="shared" si="37"/>
        <v>1354476.4437031564</v>
      </c>
      <c r="N17" s="100">
        <f t="shared" si="38"/>
        <v>0.16956884742671594</v>
      </c>
      <c r="O17" s="233">
        <v>131304.08632336953</v>
      </c>
      <c r="P17" s="100">
        <f t="shared" si="39"/>
        <v>1.643814677160332E-2</v>
      </c>
      <c r="Q17" s="233"/>
      <c r="R17" s="100">
        <f t="shared" si="40"/>
        <v>0</v>
      </c>
      <c r="S17" s="226">
        <f t="shared" si="41"/>
        <v>131304.08632336953</v>
      </c>
      <c r="T17" s="100">
        <f t="shared" si="42"/>
        <v>1.643814677160332E-2</v>
      </c>
      <c r="U17" s="233">
        <v>742630.20188001613</v>
      </c>
      <c r="V17" s="100">
        <f t="shared" si="43"/>
        <v>9.2970939422746826E-2</v>
      </c>
      <c r="W17" s="233">
        <v>44629.247322923809</v>
      </c>
      <c r="X17" s="100">
        <f t="shared" si="44"/>
        <v>5.5871994417117836E-3</v>
      </c>
      <c r="Y17" s="233">
        <v>541834.81108824199</v>
      </c>
      <c r="Z17" s="100">
        <f>Y17/F17</f>
        <v>6.7833076639346387E-2</v>
      </c>
      <c r="AA17" s="233">
        <v>938200.46547261078</v>
      </c>
      <c r="AB17" s="100">
        <f t="shared" si="12"/>
        <v>0.11745466104264318</v>
      </c>
      <c r="AC17" s="226">
        <f>SUM(Y17+AA17)</f>
        <v>1480035.2765608528</v>
      </c>
      <c r="AD17" s="100">
        <f>AC17/F17</f>
        <v>0.18528773768198956</v>
      </c>
      <c r="AE17" s="233">
        <v>1075180.8393734994</v>
      </c>
      <c r="AF17" s="100">
        <f>AE17/F17</f>
        <v>0.13460343039218586</v>
      </c>
      <c r="AG17" s="233">
        <v>860019.00200681738</v>
      </c>
      <c r="AH17" s="100">
        <f>AG17/F17</f>
        <v>0.10766701156991902</v>
      </c>
      <c r="AI17" s="233">
        <v>1584901.4773830532</v>
      </c>
      <c r="AJ17" s="100">
        <f>AI17/F17</f>
        <v>0.19841608767294452</v>
      </c>
      <c r="AK17" s="233">
        <v>714590.42544631148</v>
      </c>
      <c r="AL17" s="100">
        <f t="shared" si="45"/>
        <v>8.9460599620183143E-2</v>
      </c>
    </row>
    <row r="18" spans="2:38" ht="14.25">
      <c r="B18" s="97"/>
      <c r="C18" s="97"/>
      <c r="D18" s="375">
        <f t="shared" si="21"/>
        <v>46179</v>
      </c>
      <c r="E18" s="375" t="s">
        <v>460</v>
      </c>
      <c r="F18" s="227">
        <f t="shared" si="20"/>
        <v>8617242</v>
      </c>
      <c r="G18" s="305"/>
      <c r="H18" s="328"/>
      <c r="I18" s="233">
        <v>598521.22708459792</v>
      </c>
      <c r="J18" s="100">
        <f t="shared" si="35"/>
        <v>6.9456239836898845E-2</v>
      </c>
      <c r="K18" s="233">
        <v>817046.41850068246</v>
      </c>
      <c r="L18" s="100">
        <f t="shared" si="36"/>
        <v>9.4815303840913648E-2</v>
      </c>
      <c r="M18" s="226">
        <f t="shared" si="37"/>
        <v>1415567.6455852804</v>
      </c>
      <c r="N18" s="100">
        <f t="shared" si="38"/>
        <v>0.16427154367781249</v>
      </c>
      <c r="O18" s="233">
        <v>128955.43299084235</v>
      </c>
      <c r="P18" s="100">
        <f t="shared" si="39"/>
        <v>1.4964815075501228E-2</v>
      </c>
      <c r="Q18" s="233"/>
      <c r="R18" s="100">
        <f t="shared" si="40"/>
        <v>0</v>
      </c>
      <c r="S18" s="226">
        <f t="shared" si="41"/>
        <v>128955.43299084235</v>
      </c>
      <c r="T18" s="100">
        <f t="shared" si="42"/>
        <v>1.4964815075501228E-2</v>
      </c>
      <c r="U18" s="233">
        <v>864995.15827889112</v>
      </c>
      <c r="V18" s="100">
        <f t="shared" si="43"/>
        <v>0.10037958296620787</v>
      </c>
      <c r="W18" s="233">
        <v>55585.291953219399</v>
      </c>
      <c r="X18" s="100">
        <f t="shared" si="44"/>
        <v>6.4504735915759817E-3</v>
      </c>
      <c r="Y18" s="233">
        <v>645360.39518600702</v>
      </c>
      <c r="Z18" s="100">
        <f t="shared" ref="Z18:Z40" si="46">Y18/F18</f>
        <v>7.4891757152231189E-2</v>
      </c>
      <c r="AA18" s="233">
        <v>1119176.905429852</v>
      </c>
      <c r="AB18" s="100">
        <f t="shared" si="12"/>
        <v>0.12987646226366301</v>
      </c>
      <c r="AC18" s="226">
        <f t="shared" ref="AC18:AC40" si="47">SUM(Y18+AA18)</f>
        <v>1764537.300615859</v>
      </c>
      <c r="AD18" s="100">
        <f t="shared" ref="AD18:AD40" si="48">AC18/F18</f>
        <v>0.20476821941589421</v>
      </c>
      <c r="AE18" s="233">
        <v>1272716.6677971659</v>
      </c>
      <c r="AF18" s="100">
        <f t="shared" ref="AF18:AF40" si="49">AE18/F18</f>
        <v>0.1476942005106931</v>
      </c>
      <c r="AG18" s="233">
        <v>838470.50125253329</v>
      </c>
      <c r="AH18" s="100">
        <f t="shared" ref="AH18:AH40" si="50">AG18/F18</f>
        <v>9.7301491736280971E-2</v>
      </c>
      <c r="AI18" s="233">
        <v>1474850.370051014</v>
      </c>
      <c r="AJ18" s="100">
        <f t="shared" ref="AJ18:AJ40" si="51">AI18/F18</f>
        <v>0.17115109103945486</v>
      </c>
      <c r="AK18" s="233">
        <v>801563.63147519459</v>
      </c>
      <c r="AL18" s="100">
        <f t="shared" si="45"/>
        <v>9.3018581986579307E-2</v>
      </c>
    </row>
    <row r="19" spans="2:38" ht="14.25">
      <c r="B19" s="97"/>
      <c r="C19" s="97"/>
      <c r="D19" s="375">
        <f t="shared" si="21"/>
        <v>46180</v>
      </c>
      <c r="E19" s="375" t="s">
        <v>461</v>
      </c>
      <c r="F19" s="227">
        <f t="shared" si="20"/>
        <v>10141059</v>
      </c>
      <c r="G19" s="86"/>
      <c r="H19" s="328"/>
      <c r="I19" s="233">
        <v>742266.91819534521</v>
      </c>
      <c r="J19" s="100">
        <f t="shared" si="35"/>
        <v>7.3194221451166511E-2</v>
      </c>
      <c r="K19" s="233">
        <v>889983.2951782766</v>
      </c>
      <c r="L19" s="100">
        <f t="shared" si="36"/>
        <v>8.7760390229292287E-2</v>
      </c>
      <c r="M19" s="226">
        <f t="shared" si="37"/>
        <v>1632250.2133736219</v>
      </c>
      <c r="N19" s="100">
        <f t="shared" si="38"/>
        <v>0.1609546116804588</v>
      </c>
      <c r="O19" s="233">
        <v>159070.50047099162</v>
      </c>
      <c r="P19" s="100">
        <f t="shared" si="39"/>
        <v>1.5685787891677943E-2</v>
      </c>
      <c r="Q19" s="233"/>
      <c r="R19" s="100">
        <f t="shared" si="40"/>
        <v>0</v>
      </c>
      <c r="S19" s="226">
        <f t="shared" si="41"/>
        <v>159070.50047099162</v>
      </c>
      <c r="T19" s="100">
        <f t="shared" si="42"/>
        <v>1.5685787891677943E-2</v>
      </c>
      <c r="U19" s="233">
        <v>1112996.8018011325</v>
      </c>
      <c r="V19" s="100">
        <f t="shared" si="43"/>
        <v>0.1097515359886115</v>
      </c>
      <c r="W19" s="233">
        <v>64975.336598529189</v>
      </c>
      <c r="X19" s="100">
        <f t="shared" si="44"/>
        <v>6.4071549725259651E-3</v>
      </c>
      <c r="Y19" s="233">
        <v>764878.70525040256</v>
      </c>
      <c r="Z19" s="100">
        <f t="shared" si="46"/>
        <v>7.5423947858936885E-2</v>
      </c>
      <c r="AA19" s="233">
        <v>1179982.186455074</v>
      </c>
      <c r="AB19" s="100">
        <f t="shared" si="12"/>
        <v>0.11635689985188667</v>
      </c>
      <c r="AC19" s="226">
        <f t="shared" si="47"/>
        <v>1944860.8917054767</v>
      </c>
      <c r="AD19" s="100">
        <f t="shared" si="48"/>
        <v>0.19178084771082357</v>
      </c>
      <c r="AE19" s="233">
        <v>1631844.7767760011</v>
      </c>
      <c r="AF19" s="100">
        <f t="shared" si="49"/>
        <v>0.16091463197048761</v>
      </c>
      <c r="AG19" s="233">
        <v>1028677.6023277253</v>
      </c>
      <c r="AH19" s="100">
        <f t="shared" si="50"/>
        <v>0.10143690144468397</v>
      </c>
      <c r="AI19" s="233">
        <v>1578374.1482532206</v>
      </c>
      <c r="AJ19" s="100">
        <f t="shared" si="51"/>
        <v>0.15564194511176993</v>
      </c>
      <c r="AK19" s="233">
        <v>988008.72869330109</v>
      </c>
      <c r="AL19" s="100">
        <f t="shared" si="45"/>
        <v>9.7426583228960709E-2</v>
      </c>
    </row>
    <row r="20" spans="2:38" ht="14.25">
      <c r="B20" s="97"/>
      <c r="C20" s="97"/>
      <c r="D20" s="375">
        <f t="shared" si="21"/>
        <v>46181</v>
      </c>
      <c r="E20" s="375" t="s">
        <v>455</v>
      </c>
      <c r="F20" s="227">
        <f t="shared" si="20"/>
        <v>10055937</v>
      </c>
      <c r="G20" s="305"/>
      <c r="H20" s="328"/>
      <c r="I20" s="233">
        <v>728725.80370929465</v>
      </c>
      <c r="J20" s="100">
        <f t="shared" si="35"/>
        <v>7.2467220479731989E-2</v>
      </c>
      <c r="K20" s="233">
        <v>880984.72861787083</v>
      </c>
      <c r="L20" s="100">
        <f t="shared" si="36"/>
        <v>8.7608417655945028E-2</v>
      </c>
      <c r="M20" s="226">
        <f t="shared" si="37"/>
        <v>1609710.5323271654</v>
      </c>
      <c r="N20" s="100">
        <f t="shared" si="38"/>
        <v>0.16007563813567699</v>
      </c>
      <c r="O20" s="233">
        <v>157537.16474826771</v>
      </c>
      <c r="P20" s="100">
        <f t="shared" si="39"/>
        <v>1.5666085094632923E-2</v>
      </c>
      <c r="Q20" s="233"/>
      <c r="R20" s="100">
        <f t="shared" si="40"/>
        <v>0</v>
      </c>
      <c r="S20" s="226">
        <f t="shared" si="41"/>
        <v>157537.16474826771</v>
      </c>
      <c r="T20" s="100">
        <f t="shared" si="42"/>
        <v>1.5666085094632923E-2</v>
      </c>
      <c r="U20" s="233">
        <v>1104147.4919576573</v>
      </c>
      <c r="V20" s="100">
        <f t="shared" si="43"/>
        <v>0.10980055781551309</v>
      </c>
      <c r="W20" s="233">
        <v>69918.125726452432</v>
      </c>
      <c r="X20" s="100">
        <f t="shared" si="44"/>
        <v>6.9529200239075118E-3</v>
      </c>
      <c r="Y20" s="233">
        <v>793317.63267213001</v>
      </c>
      <c r="Z20" s="100">
        <f t="shared" si="46"/>
        <v>7.8890473624897414E-2</v>
      </c>
      <c r="AA20" s="233">
        <v>1378400.9438168637</v>
      </c>
      <c r="AB20" s="100">
        <f t="shared" si="12"/>
        <v>0.13707334719945677</v>
      </c>
      <c r="AC20" s="226">
        <f t="shared" si="47"/>
        <v>2171718.5764889936</v>
      </c>
      <c r="AD20" s="100">
        <f t="shared" si="48"/>
        <v>0.21596382082435417</v>
      </c>
      <c r="AE20" s="233">
        <v>1633401.7611870861</v>
      </c>
      <c r="AF20" s="100">
        <f t="shared" si="49"/>
        <v>0.16243158257525739</v>
      </c>
      <c r="AG20" s="233">
        <v>1012486.9133994627</v>
      </c>
      <c r="AH20" s="100">
        <f t="shared" si="50"/>
        <v>0.10068548693169645</v>
      </c>
      <c r="AI20" s="233">
        <v>1371940.9788324053</v>
      </c>
      <c r="AJ20" s="100">
        <f t="shared" si="51"/>
        <v>0.13643094411116591</v>
      </c>
      <c r="AK20" s="233">
        <v>925075.45533251041</v>
      </c>
      <c r="AL20" s="100">
        <f t="shared" si="45"/>
        <v>9.1992964487795661E-2</v>
      </c>
    </row>
    <row r="21" spans="2:38" ht="14.25">
      <c r="B21" s="97"/>
      <c r="C21" s="97"/>
      <c r="D21" s="307">
        <f t="shared" si="21"/>
        <v>46182</v>
      </c>
      <c r="E21" s="307" t="s">
        <v>456</v>
      </c>
      <c r="F21" s="227">
        <f t="shared" si="20"/>
        <v>10760813</v>
      </c>
      <c r="G21" s="305">
        <f>SUM(F21:F27)</f>
        <v>67337724</v>
      </c>
      <c r="H21" s="328"/>
      <c r="I21" s="233">
        <v>731597.53223671578</v>
      </c>
      <c r="J21" s="100">
        <f t="shared" si="35"/>
        <v>6.7987198758747674E-2</v>
      </c>
      <c r="K21" s="233">
        <v>873065.73406130588</v>
      </c>
      <c r="L21" s="100">
        <f t="shared" si="36"/>
        <v>8.1133807832299093E-2</v>
      </c>
      <c r="M21" s="226">
        <f t="shared" si="37"/>
        <v>1604663.2662980217</v>
      </c>
      <c r="N21" s="100">
        <f t="shared" si="38"/>
        <v>0.14912100659104677</v>
      </c>
      <c r="O21" s="233">
        <v>162056.59061197151</v>
      </c>
      <c r="P21" s="100">
        <f t="shared" si="39"/>
        <v>1.5059883543369028E-2</v>
      </c>
      <c r="Q21" s="233"/>
      <c r="R21" s="100">
        <f t="shared" si="40"/>
        <v>0</v>
      </c>
      <c r="S21" s="226">
        <f t="shared" si="41"/>
        <v>162056.59061197151</v>
      </c>
      <c r="T21" s="100">
        <f t="shared" si="42"/>
        <v>1.5059883543369028E-2</v>
      </c>
      <c r="U21" s="233">
        <v>1343373.4203751285</v>
      </c>
      <c r="V21" s="100">
        <f t="shared" si="43"/>
        <v>0.1248393983219603</v>
      </c>
      <c r="W21" s="233">
        <v>68083.911764069155</v>
      </c>
      <c r="X21" s="100">
        <f t="shared" si="44"/>
        <v>6.3270230385073277E-3</v>
      </c>
      <c r="Y21" s="233">
        <v>792049.06974903331</v>
      </c>
      <c r="Z21" s="100">
        <f t="shared" si="46"/>
        <v>7.3604946926318054E-2</v>
      </c>
      <c r="AA21" s="233">
        <v>1389427.6673887761</v>
      </c>
      <c r="AB21" s="100">
        <f t="shared" si="12"/>
        <v>0.12911920943043764</v>
      </c>
      <c r="AC21" s="226">
        <f t="shared" si="47"/>
        <v>2181476.7371378094</v>
      </c>
      <c r="AD21" s="100">
        <f t="shared" si="48"/>
        <v>0.2027241563567557</v>
      </c>
      <c r="AE21" s="233">
        <v>1507267.7455742017</v>
      </c>
      <c r="AF21" s="100">
        <f t="shared" si="49"/>
        <v>0.14007006213881812</v>
      </c>
      <c r="AG21" s="233">
        <v>1371957.5979494273</v>
      </c>
      <c r="AH21" s="100">
        <f t="shared" si="50"/>
        <v>0.12749571969603293</v>
      </c>
      <c r="AI21" s="233">
        <v>1604553.6734126683</v>
      </c>
      <c r="AJ21" s="100">
        <f t="shared" si="51"/>
        <v>0.14911082214816559</v>
      </c>
      <c r="AK21" s="233">
        <v>917380.05687670351</v>
      </c>
      <c r="AL21" s="100">
        <f t="shared" si="45"/>
        <v>8.525192816534434E-2</v>
      </c>
    </row>
    <row r="22" spans="2:38" ht="14.25">
      <c r="B22" s="97"/>
      <c r="C22" s="97"/>
      <c r="D22" s="307">
        <f t="shared" si="21"/>
        <v>46183</v>
      </c>
      <c r="E22" s="307" t="s">
        <v>457</v>
      </c>
      <c r="F22" s="227">
        <f t="shared" si="20"/>
        <v>10128070.999999998</v>
      </c>
      <c r="G22" s="305"/>
      <c r="H22" s="328"/>
      <c r="I22" s="233">
        <v>721784.17403914186</v>
      </c>
      <c r="J22" s="100">
        <f t="shared" si="35"/>
        <v>7.1265710325208231E-2</v>
      </c>
      <c r="K22" s="233">
        <v>865555.9137475458</v>
      </c>
      <c r="L22" s="100">
        <f t="shared" si="36"/>
        <v>8.546108274196991E-2</v>
      </c>
      <c r="M22" s="226">
        <f t="shared" si="37"/>
        <v>1587340.0877866875</v>
      </c>
      <c r="N22" s="100">
        <f t="shared" si="38"/>
        <v>0.15672679306717813</v>
      </c>
      <c r="O22" s="233">
        <v>159910.07787262366</v>
      </c>
      <c r="P22" s="100">
        <f t="shared" si="39"/>
        <v>1.5788799058835953E-2</v>
      </c>
      <c r="Q22" s="233"/>
      <c r="R22" s="100">
        <f t="shared" si="40"/>
        <v>0</v>
      </c>
      <c r="S22" s="226">
        <f t="shared" si="41"/>
        <v>159910.07787262366</v>
      </c>
      <c r="T22" s="100">
        <f t="shared" si="42"/>
        <v>1.5788799058835953E-2</v>
      </c>
      <c r="U22" s="233">
        <v>1134784.0329025486</v>
      </c>
      <c r="V22" s="100">
        <f t="shared" si="43"/>
        <v>0.11204345160125248</v>
      </c>
      <c r="W22" s="233">
        <v>67387.27344537733</v>
      </c>
      <c r="X22" s="100">
        <f t="shared" si="44"/>
        <v>6.653515111157627E-3</v>
      </c>
      <c r="Y22" s="233">
        <v>738847.64122993615</v>
      </c>
      <c r="Z22" s="100">
        <f t="shared" si="46"/>
        <v>7.2950480030198869E-2</v>
      </c>
      <c r="AA22" s="233">
        <v>1370461.3079478338</v>
      </c>
      <c r="AB22" s="100">
        <f t="shared" si="12"/>
        <v>0.13531316160281992</v>
      </c>
      <c r="AC22" s="226">
        <f t="shared" si="47"/>
        <v>2109308.9491777699</v>
      </c>
      <c r="AD22" s="100">
        <f t="shared" si="48"/>
        <v>0.2082636416330188</v>
      </c>
      <c r="AE22" s="233">
        <v>1438696.6984380356</v>
      </c>
      <c r="AF22" s="100">
        <f t="shared" si="49"/>
        <v>0.1420504159615425</v>
      </c>
      <c r="AG22" s="233">
        <v>1173531.0675740677</v>
      </c>
      <c r="AH22" s="100">
        <f t="shared" si="50"/>
        <v>0.11586915885305978</v>
      </c>
      <c r="AI22" s="233">
        <v>1614063.1608046344</v>
      </c>
      <c r="AJ22" s="100">
        <f t="shared" si="51"/>
        <v>0.15936530863622844</v>
      </c>
      <c r="AK22" s="233">
        <v>843049.65199825424</v>
      </c>
      <c r="AL22" s="100">
        <f t="shared" si="45"/>
        <v>8.3238916077726391E-2</v>
      </c>
    </row>
    <row r="23" spans="2:38" ht="14.25">
      <c r="B23" s="97"/>
      <c r="C23" s="97"/>
      <c r="D23" s="307">
        <f t="shared" si="21"/>
        <v>46184</v>
      </c>
      <c r="E23" s="307" t="s">
        <v>458</v>
      </c>
      <c r="F23" s="227">
        <f t="shared" si="20"/>
        <v>9476070.0000000019</v>
      </c>
      <c r="G23" s="86"/>
      <c r="H23" s="328"/>
      <c r="I23" s="233">
        <v>690623.30187764554</v>
      </c>
      <c r="J23" s="100">
        <f t="shared" si="35"/>
        <v>7.2880772501432073E-2</v>
      </c>
      <c r="K23" s="233">
        <v>774563.21812157147</v>
      </c>
      <c r="L23" s="100">
        <f t="shared" si="36"/>
        <v>8.1738866230575677E-2</v>
      </c>
      <c r="M23" s="226">
        <f t="shared" si="37"/>
        <v>1465186.519999217</v>
      </c>
      <c r="N23" s="100">
        <f t="shared" si="38"/>
        <v>0.15461963873200776</v>
      </c>
      <c r="O23" s="233">
        <v>157961.93416820641</v>
      </c>
      <c r="P23" s="100">
        <f t="shared" si="39"/>
        <v>1.6669561766450267E-2</v>
      </c>
      <c r="Q23" s="233"/>
      <c r="R23" s="100">
        <f t="shared" si="40"/>
        <v>0</v>
      </c>
      <c r="S23" s="226">
        <f t="shared" si="41"/>
        <v>157961.93416820641</v>
      </c>
      <c r="T23" s="100">
        <f t="shared" si="42"/>
        <v>1.6669561766450267E-2</v>
      </c>
      <c r="U23" s="233">
        <v>1108135.684869806</v>
      </c>
      <c r="V23" s="100">
        <f t="shared" si="43"/>
        <v>0.11694042834949571</v>
      </c>
      <c r="W23" s="233">
        <v>63980.775937674895</v>
      </c>
      <c r="X23" s="100">
        <f t="shared" si="44"/>
        <v>6.7518260141255695E-3</v>
      </c>
      <c r="Y23" s="233">
        <v>743743.2918809253</v>
      </c>
      <c r="Z23" s="100">
        <f t="shared" si="46"/>
        <v>7.8486470855631624E-2</v>
      </c>
      <c r="AA23" s="233">
        <v>1068438.2652435815</v>
      </c>
      <c r="AB23" s="100">
        <f t="shared" si="12"/>
        <v>0.11275120015402812</v>
      </c>
      <c r="AC23" s="226">
        <f t="shared" si="47"/>
        <v>1812181.5571245067</v>
      </c>
      <c r="AD23" s="100">
        <f t="shared" si="48"/>
        <v>0.19123767100965974</v>
      </c>
      <c r="AE23" s="233">
        <v>1392928.7672960253</v>
      </c>
      <c r="AF23" s="100">
        <f t="shared" si="49"/>
        <v>0.1469943518036512</v>
      </c>
      <c r="AG23" s="233">
        <v>1098717.263182868</v>
      </c>
      <c r="AH23" s="100">
        <f t="shared" si="50"/>
        <v>0.11594651191716268</v>
      </c>
      <c r="AI23" s="233">
        <v>1529675.8623331315</v>
      </c>
      <c r="AJ23" s="100">
        <f t="shared" si="51"/>
        <v>0.16142513323910979</v>
      </c>
      <c r="AK23" s="233">
        <v>847301.63508856599</v>
      </c>
      <c r="AL23" s="100">
        <f t="shared" si="45"/>
        <v>8.9414877168337278E-2</v>
      </c>
    </row>
    <row r="24" spans="2:38" ht="14.25">
      <c r="B24" s="97"/>
      <c r="C24" s="97"/>
      <c r="D24" s="307">
        <f t="shared" si="21"/>
        <v>46185</v>
      </c>
      <c r="E24" s="307" t="s">
        <v>459</v>
      </c>
      <c r="F24" s="227">
        <f t="shared" si="20"/>
        <v>8134246</v>
      </c>
      <c r="G24" s="305"/>
      <c r="H24" s="328"/>
      <c r="I24" s="233">
        <v>573992.5492758773</v>
      </c>
      <c r="J24" s="100">
        <f t="shared" si="35"/>
        <v>7.0564936107892148E-2</v>
      </c>
      <c r="K24" s="233">
        <v>714240.00599516893</v>
      </c>
      <c r="L24" s="100">
        <f t="shared" si="36"/>
        <v>8.7806541134257426E-2</v>
      </c>
      <c r="M24" s="226">
        <f t="shared" si="37"/>
        <v>1288232.5552710462</v>
      </c>
      <c r="N24" s="100">
        <f t="shared" si="38"/>
        <v>0.15837147724214959</v>
      </c>
      <c r="O24" s="233">
        <v>132727.02539064779</v>
      </c>
      <c r="P24" s="100">
        <f t="shared" si="39"/>
        <v>1.6317065575672016E-2</v>
      </c>
      <c r="Q24" s="233"/>
      <c r="R24" s="100">
        <f t="shared" si="40"/>
        <v>0</v>
      </c>
      <c r="S24" s="226">
        <f t="shared" si="41"/>
        <v>132727.02539064779</v>
      </c>
      <c r="T24" s="100">
        <f t="shared" si="42"/>
        <v>1.6317065575672016E-2</v>
      </c>
      <c r="U24" s="233">
        <v>944461.43857978366</v>
      </c>
      <c r="V24" s="100">
        <f t="shared" si="43"/>
        <v>0.11610927903825181</v>
      </c>
      <c r="W24" s="233">
        <v>42606.531318495799</v>
      </c>
      <c r="X24" s="100">
        <f t="shared" si="44"/>
        <v>5.2379201856565189E-3</v>
      </c>
      <c r="Y24" s="233">
        <v>622126.79688298283</v>
      </c>
      <c r="Z24" s="100">
        <f t="shared" si="46"/>
        <v>7.6482417286492549E-2</v>
      </c>
      <c r="AA24" s="233">
        <v>1044519.0426853932</v>
      </c>
      <c r="AB24" s="100">
        <f t="shared" si="12"/>
        <v>0.12841006316816497</v>
      </c>
      <c r="AC24" s="226">
        <f t="shared" si="47"/>
        <v>1666645.8395683761</v>
      </c>
      <c r="AD24" s="100">
        <f t="shared" si="48"/>
        <v>0.20489248045465752</v>
      </c>
      <c r="AE24" s="233">
        <v>1090541.4228335617</v>
      </c>
      <c r="AF24" s="100">
        <f t="shared" si="49"/>
        <v>0.13406791764517101</v>
      </c>
      <c r="AG24" s="233">
        <v>838731.79386543005</v>
      </c>
      <c r="AH24" s="100">
        <f t="shared" si="50"/>
        <v>0.10311119111291078</v>
      </c>
      <c r="AI24" s="233">
        <v>1382199.6186715113</v>
      </c>
      <c r="AJ24" s="100">
        <f t="shared" si="51"/>
        <v>0.16992350842001966</v>
      </c>
      <c r="AK24" s="233">
        <v>748099.77450114675</v>
      </c>
      <c r="AL24" s="100">
        <f t="shared" si="45"/>
        <v>9.1969160325511029E-2</v>
      </c>
    </row>
    <row r="25" spans="2:38" ht="14.25">
      <c r="B25" s="97"/>
      <c r="C25" s="97"/>
      <c r="D25" s="307">
        <f t="shared" si="21"/>
        <v>46186</v>
      </c>
      <c r="E25" s="307" t="s">
        <v>460</v>
      </c>
      <c r="F25" s="227">
        <f t="shared" si="20"/>
        <v>8644943</v>
      </c>
      <c r="G25" s="305"/>
      <c r="H25" s="328"/>
      <c r="I25" s="233">
        <v>545428.00259936997</v>
      </c>
      <c r="J25" s="100">
        <f t="shared" si="35"/>
        <v>6.309214561615617E-2</v>
      </c>
      <c r="K25" s="233">
        <v>780158.43367853889</v>
      </c>
      <c r="L25" s="100">
        <f t="shared" si="36"/>
        <v>9.0244485553986745E-2</v>
      </c>
      <c r="M25" s="226">
        <f t="shared" si="37"/>
        <v>1325586.4362779087</v>
      </c>
      <c r="N25" s="100">
        <f t="shared" si="38"/>
        <v>0.1533366311701429</v>
      </c>
      <c r="O25" s="233">
        <v>126833.90164075384</v>
      </c>
      <c r="P25" s="100">
        <f t="shared" si="39"/>
        <v>1.4671456091816203E-2</v>
      </c>
      <c r="Q25" s="233"/>
      <c r="R25" s="100">
        <f t="shared" si="40"/>
        <v>0</v>
      </c>
      <c r="S25" s="226">
        <f t="shared" si="41"/>
        <v>126833.90164075384</v>
      </c>
      <c r="T25" s="100">
        <f t="shared" si="42"/>
        <v>1.4671456091816203E-2</v>
      </c>
      <c r="U25" s="233">
        <v>1133479.2174776609</v>
      </c>
      <c r="V25" s="100">
        <f t="shared" si="43"/>
        <v>0.1311147126681646</v>
      </c>
      <c r="W25" s="233">
        <v>47866.833418465481</v>
      </c>
      <c r="X25" s="100">
        <f t="shared" si="44"/>
        <v>5.536975017471542E-3</v>
      </c>
      <c r="Y25" s="233">
        <v>685334.65859116288</v>
      </c>
      <c r="Z25" s="100">
        <f t="shared" si="46"/>
        <v>7.9275786849162908E-2</v>
      </c>
      <c r="AA25" s="233">
        <v>1073485.1021022098</v>
      </c>
      <c r="AB25" s="100">
        <f t="shared" si="12"/>
        <v>0.12417491961511022</v>
      </c>
      <c r="AC25" s="226">
        <f t="shared" si="47"/>
        <v>1758819.7606933727</v>
      </c>
      <c r="AD25" s="100">
        <f t="shared" si="48"/>
        <v>0.20345070646427313</v>
      </c>
      <c r="AE25" s="233">
        <v>1203487.3190031408</v>
      </c>
      <c r="AF25" s="100">
        <f t="shared" si="49"/>
        <v>0.13921286918874315</v>
      </c>
      <c r="AG25" s="233">
        <v>961887.65978392842</v>
      </c>
      <c r="AH25" s="100">
        <f t="shared" si="50"/>
        <v>0.11126593429059375</v>
      </c>
      <c r="AI25" s="233">
        <v>1288693.2237797836</v>
      </c>
      <c r="AJ25" s="100">
        <f t="shared" si="51"/>
        <v>0.14906902495248189</v>
      </c>
      <c r="AK25" s="233">
        <v>798288.64792498632</v>
      </c>
      <c r="AL25" s="100">
        <f t="shared" si="45"/>
        <v>9.2341690156312925E-2</v>
      </c>
    </row>
    <row r="26" spans="2:38" ht="14.25">
      <c r="B26" s="97"/>
      <c r="C26" s="97"/>
      <c r="D26" s="307">
        <f t="shared" si="21"/>
        <v>46187</v>
      </c>
      <c r="E26" s="307" t="s">
        <v>461</v>
      </c>
      <c r="F26" s="227">
        <f t="shared" si="20"/>
        <v>10278251</v>
      </c>
      <c r="G26" s="305"/>
      <c r="H26" s="328"/>
      <c r="I26" s="233">
        <v>681825.486947514</v>
      </c>
      <c r="J26" s="100">
        <f t="shared" si="35"/>
        <v>6.633672275054521E-2</v>
      </c>
      <c r="K26" s="233">
        <v>861821.96019063878</v>
      </c>
      <c r="L26" s="100">
        <f t="shared" si="36"/>
        <v>8.3849086794109115E-2</v>
      </c>
      <c r="M26" s="226">
        <f t="shared" si="37"/>
        <v>1543647.4471381528</v>
      </c>
      <c r="N26" s="100">
        <f t="shared" si="38"/>
        <v>0.15018580954465433</v>
      </c>
      <c r="O26" s="233">
        <v>159603.96036931779</v>
      </c>
      <c r="P26" s="100">
        <f t="shared" si="39"/>
        <v>1.5528319007710338E-2</v>
      </c>
      <c r="Q26" s="233"/>
      <c r="R26" s="100">
        <f t="shared" si="40"/>
        <v>0</v>
      </c>
      <c r="S26" s="226">
        <f t="shared" si="41"/>
        <v>159603.96036931779</v>
      </c>
      <c r="T26" s="100">
        <f t="shared" si="42"/>
        <v>1.5528319007710338E-2</v>
      </c>
      <c r="U26" s="233">
        <v>1315784.1350492414</v>
      </c>
      <c r="V26" s="100">
        <f t="shared" si="43"/>
        <v>0.1280163458792008</v>
      </c>
      <c r="W26" s="233">
        <v>54814.128099736517</v>
      </c>
      <c r="X26" s="100">
        <f t="shared" si="44"/>
        <v>5.33302096823054E-3</v>
      </c>
      <c r="Y26" s="233">
        <v>740901.05183681368</v>
      </c>
      <c r="Z26" s="100">
        <f t="shared" si="46"/>
        <v>7.2084350911143708E-2</v>
      </c>
      <c r="AA26" s="233">
        <v>1139778.7683457683</v>
      </c>
      <c r="AB26" s="100">
        <f t="shared" si="12"/>
        <v>0.11089228783630292</v>
      </c>
      <c r="AC26" s="226">
        <f t="shared" si="47"/>
        <v>1880679.8201825819</v>
      </c>
      <c r="AD26" s="100">
        <f t="shared" si="48"/>
        <v>0.1829766387474466</v>
      </c>
      <c r="AE26" s="233">
        <v>1552956.8921943554</v>
      </c>
      <c r="AF26" s="100">
        <f t="shared" si="49"/>
        <v>0.15109155168465485</v>
      </c>
      <c r="AG26" s="233">
        <v>1283550.4461234608</v>
      </c>
      <c r="AH26" s="100">
        <f t="shared" si="50"/>
        <v>0.12488023946131115</v>
      </c>
      <c r="AI26" s="233">
        <v>1587096.8058629057</v>
      </c>
      <c r="AJ26" s="100">
        <f t="shared" si="51"/>
        <v>0.15441312007878633</v>
      </c>
      <c r="AK26" s="233">
        <v>900117.36498024862</v>
      </c>
      <c r="AL26" s="100">
        <f t="shared" si="45"/>
        <v>8.7574954628005158E-2</v>
      </c>
    </row>
    <row r="27" spans="2:38" ht="14.25">
      <c r="B27" s="97"/>
      <c r="C27" s="97"/>
      <c r="D27" s="307">
        <f t="shared" si="21"/>
        <v>46188</v>
      </c>
      <c r="E27" s="307" t="s">
        <v>455</v>
      </c>
      <c r="F27" s="227">
        <f t="shared" si="20"/>
        <v>9915330.0000000019</v>
      </c>
      <c r="G27" s="86"/>
      <c r="H27" s="328"/>
      <c r="I27" s="233">
        <v>667985.80596474616</v>
      </c>
      <c r="J27" s="100">
        <f t="shared" si="35"/>
        <v>6.7368993867551158E-2</v>
      </c>
      <c r="K27" s="233">
        <v>848012.35921865155</v>
      </c>
      <c r="L27" s="100">
        <f t="shared" si="36"/>
        <v>8.5525379308469957E-2</v>
      </c>
      <c r="M27" s="226">
        <f t="shared" si="37"/>
        <v>1515998.1651833977</v>
      </c>
      <c r="N27" s="100">
        <f t="shared" si="38"/>
        <v>0.15289437317602111</v>
      </c>
      <c r="O27" s="233">
        <v>154215.39219351686</v>
      </c>
      <c r="P27" s="100">
        <f t="shared" si="39"/>
        <v>1.5553228404250472E-2</v>
      </c>
      <c r="Q27" s="233"/>
      <c r="R27" s="100">
        <f t="shared" si="40"/>
        <v>0</v>
      </c>
      <c r="S27" s="226">
        <f t="shared" si="41"/>
        <v>154215.39219351686</v>
      </c>
      <c r="T27" s="100">
        <f t="shared" si="42"/>
        <v>1.5553228404250472E-2</v>
      </c>
      <c r="U27" s="233">
        <v>1209395.5185671658</v>
      </c>
      <c r="V27" s="100">
        <f t="shared" si="43"/>
        <v>0.12197229124670239</v>
      </c>
      <c r="W27" s="233">
        <v>64401.408100745633</v>
      </c>
      <c r="X27" s="100">
        <f t="shared" si="44"/>
        <v>6.4951351191282211E-3</v>
      </c>
      <c r="Y27" s="233">
        <v>733553.35248644941</v>
      </c>
      <c r="Z27" s="100">
        <f t="shared" si="46"/>
        <v>7.3981738629621929E-2</v>
      </c>
      <c r="AA27" s="233">
        <v>1346391.8518443399</v>
      </c>
      <c r="AB27" s="100">
        <f t="shared" si="12"/>
        <v>0.13578890988442538</v>
      </c>
      <c r="AC27" s="226">
        <f t="shared" si="47"/>
        <v>2079945.2043307894</v>
      </c>
      <c r="AD27" s="100">
        <f t="shared" si="48"/>
        <v>0.20977064851404734</v>
      </c>
      <c r="AE27" s="233">
        <v>1480750.3562144518</v>
      </c>
      <c r="AF27" s="100">
        <f t="shared" si="49"/>
        <v>0.14933949310960418</v>
      </c>
      <c r="AG27" s="233">
        <v>1121095.4104097807</v>
      </c>
      <c r="AH27" s="100">
        <f t="shared" si="50"/>
        <v>0.11306687829954025</v>
      </c>
      <c r="AI27" s="233">
        <v>1368784.6817916255</v>
      </c>
      <c r="AJ27" s="100">
        <f t="shared" si="51"/>
        <v>0.13804731479351925</v>
      </c>
      <c r="AK27" s="233">
        <v>920743.86320852803</v>
      </c>
      <c r="AL27" s="100">
        <f t="shared" si="45"/>
        <v>9.2860637337186747E-2</v>
      </c>
    </row>
    <row r="28" spans="2:38" ht="14.25">
      <c r="B28" s="97"/>
      <c r="C28" s="97"/>
      <c r="D28" s="375">
        <f t="shared" si="21"/>
        <v>46189</v>
      </c>
      <c r="E28" s="375" t="s">
        <v>456</v>
      </c>
      <c r="F28" s="227">
        <f t="shared" si="20"/>
        <v>0</v>
      </c>
      <c r="G28" s="305">
        <f>SUM(F28:F34)</f>
        <v>0</v>
      </c>
      <c r="H28" s="328"/>
      <c r="I28" s="233"/>
      <c r="J28" s="100" t="e">
        <f t="shared" si="35"/>
        <v>#DIV/0!</v>
      </c>
      <c r="K28" s="233"/>
      <c r="L28" s="100" t="e">
        <f t="shared" si="36"/>
        <v>#DIV/0!</v>
      </c>
      <c r="M28" s="226">
        <f t="shared" si="37"/>
        <v>0</v>
      </c>
      <c r="N28" s="100" t="e">
        <f t="shared" si="38"/>
        <v>#DIV/0!</v>
      </c>
      <c r="O28" s="233"/>
      <c r="P28" s="100" t="e">
        <f t="shared" si="39"/>
        <v>#DIV/0!</v>
      </c>
      <c r="Q28" s="233"/>
      <c r="R28" s="100" t="e">
        <f t="shared" si="40"/>
        <v>#DIV/0!</v>
      </c>
      <c r="S28" s="226">
        <f t="shared" si="41"/>
        <v>0</v>
      </c>
      <c r="T28" s="100" t="e">
        <f t="shared" si="42"/>
        <v>#DIV/0!</v>
      </c>
      <c r="U28" s="233"/>
      <c r="V28" s="100" t="e">
        <f t="shared" si="43"/>
        <v>#DIV/0!</v>
      </c>
      <c r="W28" s="233"/>
      <c r="X28" s="100" t="e">
        <f t="shared" si="44"/>
        <v>#DIV/0!</v>
      </c>
      <c r="Y28" s="233"/>
      <c r="Z28" s="100" t="e">
        <f t="shared" si="46"/>
        <v>#DIV/0!</v>
      </c>
      <c r="AA28" s="233"/>
      <c r="AB28" s="100" t="e">
        <f t="shared" si="12"/>
        <v>#DIV/0!</v>
      </c>
      <c r="AC28" s="226">
        <f t="shared" si="47"/>
        <v>0</v>
      </c>
      <c r="AD28" s="100" t="e">
        <f t="shared" si="48"/>
        <v>#DIV/0!</v>
      </c>
      <c r="AE28" s="233"/>
      <c r="AF28" s="100" t="e">
        <f t="shared" si="49"/>
        <v>#DIV/0!</v>
      </c>
      <c r="AG28" s="233"/>
      <c r="AH28" s="100" t="e">
        <f t="shared" si="50"/>
        <v>#DIV/0!</v>
      </c>
      <c r="AI28" s="233"/>
      <c r="AJ28" s="100" t="e">
        <f t="shared" si="51"/>
        <v>#DIV/0!</v>
      </c>
      <c r="AK28" s="233"/>
      <c r="AL28" s="100" t="e">
        <f t="shared" si="45"/>
        <v>#DIV/0!</v>
      </c>
    </row>
    <row r="29" spans="2:38" ht="14.25">
      <c r="B29" s="97"/>
      <c r="C29" s="97"/>
      <c r="D29" s="375">
        <f t="shared" si="21"/>
        <v>46190</v>
      </c>
      <c r="E29" s="375" t="s">
        <v>457</v>
      </c>
      <c r="F29" s="227">
        <f t="shared" si="20"/>
        <v>0</v>
      </c>
      <c r="G29" s="305"/>
      <c r="H29" s="328"/>
      <c r="I29" s="233"/>
      <c r="J29" s="100" t="e">
        <f t="shared" si="35"/>
        <v>#DIV/0!</v>
      </c>
      <c r="K29" s="233"/>
      <c r="L29" s="100" t="e">
        <f t="shared" si="36"/>
        <v>#DIV/0!</v>
      </c>
      <c r="M29" s="226">
        <f t="shared" si="37"/>
        <v>0</v>
      </c>
      <c r="N29" s="100" t="e">
        <f t="shared" si="38"/>
        <v>#DIV/0!</v>
      </c>
      <c r="O29" s="233"/>
      <c r="P29" s="100" t="e">
        <f t="shared" si="39"/>
        <v>#DIV/0!</v>
      </c>
      <c r="Q29" s="233"/>
      <c r="R29" s="100" t="e">
        <f t="shared" si="40"/>
        <v>#DIV/0!</v>
      </c>
      <c r="S29" s="226">
        <f t="shared" si="41"/>
        <v>0</v>
      </c>
      <c r="T29" s="100" t="e">
        <f t="shared" si="42"/>
        <v>#DIV/0!</v>
      </c>
      <c r="U29" s="233"/>
      <c r="V29" s="100" t="e">
        <f t="shared" si="43"/>
        <v>#DIV/0!</v>
      </c>
      <c r="W29" s="233"/>
      <c r="X29" s="100" t="e">
        <f t="shared" si="44"/>
        <v>#DIV/0!</v>
      </c>
      <c r="Y29" s="233"/>
      <c r="Z29" s="100" t="e">
        <f t="shared" si="46"/>
        <v>#DIV/0!</v>
      </c>
      <c r="AA29" s="233"/>
      <c r="AB29" s="100" t="e">
        <f t="shared" si="12"/>
        <v>#DIV/0!</v>
      </c>
      <c r="AC29" s="226">
        <f t="shared" si="47"/>
        <v>0</v>
      </c>
      <c r="AD29" s="100" t="e">
        <f t="shared" si="48"/>
        <v>#DIV/0!</v>
      </c>
      <c r="AE29" s="233"/>
      <c r="AF29" s="100" t="e">
        <f t="shared" si="49"/>
        <v>#DIV/0!</v>
      </c>
      <c r="AG29" s="233"/>
      <c r="AH29" s="100" t="e">
        <f t="shared" si="50"/>
        <v>#DIV/0!</v>
      </c>
      <c r="AI29" s="233"/>
      <c r="AJ29" s="100" t="e">
        <f t="shared" si="51"/>
        <v>#DIV/0!</v>
      </c>
      <c r="AK29" s="233"/>
      <c r="AL29" s="100" t="e">
        <f t="shared" si="45"/>
        <v>#DIV/0!</v>
      </c>
    </row>
    <row r="30" spans="2:38" ht="14.25">
      <c r="B30" s="97"/>
      <c r="C30" s="97"/>
      <c r="D30" s="375">
        <f t="shared" si="21"/>
        <v>46191</v>
      </c>
      <c r="E30" s="375" t="s">
        <v>458</v>
      </c>
      <c r="F30" s="227">
        <f t="shared" si="20"/>
        <v>0</v>
      </c>
      <c r="G30" s="86"/>
      <c r="H30" s="328"/>
      <c r="I30" s="233"/>
      <c r="J30" s="100" t="e">
        <f t="shared" si="35"/>
        <v>#DIV/0!</v>
      </c>
      <c r="K30" s="233"/>
      <c r="L30" s="100" t="e">
        <f t="shared" si="36"/>
        <v>#DIV/0!</v>
      </c>
      <c r="M30" s="226">
        <f t="shared" si="37"/>
        <v>0</v>
      </c>
      <c r="N30" s="100" t="e">
        <f t="shared" si="38"/>
        <v>#DIV/0!</v>
      </c>
      <c r="O30" s="233"/>
      <c r="P30" s="100" t="e">
        <f t="shared" si="39"/>
        <v>#DIV/0!</v>
      </c>
      <c r="Q30" s="233"/>
      <c r="R30" s="100" t="e">
        <f t="shared" si="40"/>
        <v>#DIV/0!</v>
      </c>
      <c r="S30" s="226">
        <f t="shared" si="41"/>
        <v>0</v>
      </c>
      <c r="T30" s="100" t="e">
        <f t="shared" si="42"/>
        <v>#DIV/0!</v>
      </c>
      <c r="U30" s="233"/>
      <c r="V30" s="100" t="e">
        <f t="shared" si="43"/>
        <v>#DIV/0!</v>
      </c>
      <c r="W30" s="233"/>
      <c r="X30" s="100" t="e">
        <f t="shared" si="44"/>
        <v>#DIV/0!</v>
      </c>
      <c r="Y30" s="233"/>
      <c r="Z30" s="100" t="e">
        <f t="shared" si="46"/>
        <v>#DIV/0!</v>
      </c>
      <c r="AA30" s="233"/>
      <c r="AB30" s="100" t="e">
        <f t="shared" si="12"/>
        <v>#DIV/0!</v>
      </c>
      <c r="AC30" s="226">
        <f t="shared" si="47"/>
        <v>0</v>
      </c>
      <c r="AD30" s="100" t="e">
        <f t="shared" si="48"/>
        <v>#DIV/0!</v>
      </c>
      <c r="AE30" s="233"/>
      <c r="AF30" s="100" t="e">
        <f t="shared" si="49"/>
        <v>#DIV/0!</v>
      </c>
      <c r="AG30" s="233"/>
      <c r="AH30" s="100" t="e">
        <f t="shared" si="50"/>
        <v>#DIV/0!</v>
      </c>
      <c r="AI30" s="233"/>
      <c r="AJ30" s="100" t="e">
        <f t="shared" si="51"/>
        <v>#DIV/0!</v>
      </c>
      <c r="AK30" s="233"/>
      <c r="AL30" s="100" t="e">
        <f t="shared" si="45"/>
        <v>#DIV/0!</v>
      </c>
    </row>
    <row r="31" spans="2:38" ht="14.25">
      <c r="B31" s="97"/>
      <c r="C31" s="97"/>
      <c r="D31" s="375">
        <f t="shared" si="21"/>
        <v>46192</v>
      </c>
      <c r="E31" s="375" t="s">
        <v>459</v>
      </c>
      <c r="F31" s="227">
        <f t="shared" si="20"/>
        <v>0</v>
      </c>
      <c r="G31" s="305"/>
      <c r="H31" s="328"/>
      <c r="I31" s="233"/>
      <c r="J31" s="100" t="e">
        <f t="shared" si="35"/>
        <v>#DIV/0!</v>
      </c>
      <c r="K31" s="233"/>
      <c r="L31" s="100" t="e">
        <f t="shared" si="36"/>
        <v>#DIV/0!</v>
      </c>
      <c r="M31" s="226">
        <f t="shared" si="37"/>
        <v>0</v>
      </c>
      <c r="N31" s="100" t="e">
        <f t="shared" si="38"/>
        <v>#DIV/0!</v>
      </c>
      <c r="O31" s="233"/>
      <c r="P31" s="100" t="e">
        <f t="shared" si="39"/>
        <v>#DIV/0!</v>
      </c>
      <c r="Q31" s="233"/>
      <c r="R31" s="100" t="e">
        <f t="shared" si="40"/>
        <v>#DIV/0!</v>
      </c>
      <c r="S31" s="226">
        <f t="shared" si="41"/>
        <v>0</v>
      </c>
      <c r="T31" s="100" t="e">
        <f t="shared" si="42"/>
        <v>#DIV/0!</v>
      </c>
      <c r="U31" s="233"/>
      <c r="V31" s="100" t="e">
        <f t="shared" si="43"/>
        <v>#DIV/0!</v>
      </c>
      <c r="W31" s="233"/>
      <c r="X31" s="100" t="e">
        <f t="shared" si="44"/>
        <v>#DIV/0!</v>
      </c>
      <c r="Y31" s="233"/>
      <c r="Z31" s="100" t="e">
        <f t="shared" si="46"/>
        <v>#DIV/0!</v>
      </c>
      <c r="AA31" s="233"/>
      <c r="AB31" s="100" t="e">
        <f t="shared" si="12"/>
        <v>#DIV/0!</v>
      </c>
      <c r="AC31" s="226">
        <f t="shared" si="47"/>
        <v>0</v>
      </c>
      <c r="AD31" s="100" t="e">
        <f t="shared" si="48"/>
        <v>#DIV/0!</v>
      </c>
      <c r="AE31" s="233"/>
      <c r="AF31" s="100" t="e">
        <f t="shared" si="49"/>
        <v>#DIV/0!</v>
      </c>
      <c r="AG31" s="233"/>
      <c r="AH31" s="100" t="e">
        <f t="shared" si="50"/>
        <v>#DIV/0!</v>
      </c>
      <c r="AI31" s="233"/>
      <c r="AJ31" s="100" t="e">
        <f t="shared" si="51"/>
        <v>#DIV/0!</v>
      </c>
      <c r="AK31" s="233"/>
      <c r="AL31" s="100" t="e">
        <f t="shared" si="45"/>
        <v>#DIV/0!</v>
      </c>
    </row>
    <row r="32" spans="2:38" ht="14.25">
      <c r="B32" s="97"/>
      <c r="C32" s="97"/>
      <c r="D32" s="375">
        <f t="shared" si="21"/>
        <v>46193</v>
      </c>
      <c r="E32" s="375" t="s">
        <v>460</v>
      </c>
      <c r="F32" s="227">
        <f t="shared" si="20"/>
        <v>0</v>
      </c>
      <c r="G32" s="305"/>
      <c r="H32" s="328"/>
      <c r="I32" s="233"/>
      <c r="J32" s="100" t="e">
        <f t="shared" si="35"/>
        <v>#DIV/0!</v>
      </c>
      <c r="K32" s="233"/>
      <c r="L32" s="100" t="e">
        <f t="shared" si="36"/>
        <v>#DIV/0!</v>
      </c>
      <c r="M32" s="226">
        <f t="shared" si="37"/>
        <v>0</v>
      </c>
      <c r="N32" s="100" t="e">
        <f t="shared" si="38"/>
        <v>#DIV/0!</v>
      </c>
      <c r="O32" s="233"/>
      <c r="P32" s="100" t="e">
        <f t="shared" si="39"/>
        <v>#DIV/0!</v>
      </c>
      <c r="Q32" s="233"/>
      <c r="R32" s="100" t="e">
        <f t="shared" si="40"/>
        <v>#DIV/0!</v>
      </c>
      <c r="S32" s="226">
        <f t="shared" si="41"/>
        <v>0</v>
      </c>
      <c r="T32" s="100" t="e">
        <f t="shared" si="42"/>
        <v>#DIV/0!</v>
      </c>
      <c r="U32" s="233"/>
      <c r="V32" s="100" t="e">
        <f t="shared" si="43"/>
        <v>#DIV/0!</v>
      </c>
      <c r="W32" s="233"/>
      <c r="X32" s="100" t="e">
        <f t="shared" si="44"/>
        <v>#DIV/0!</v>
      </c>
      <c r="Y32" s="233"/>
      <c r="Z32" s="100" t="e">
        <f t="shared" si="46"/>
        <v>#DIV/0!</v>
      </c>
      <c r="AA32" s="233"/>
      <c r="AB32" s="100" t="e">
        <f t="shared" si="12"/>
        <v>#DIV/0!</v>
      </c>
      <c r="AC32" s="226">
        <f t="shared" si="47"/>
        <v>0</v>
      </c>
      <c r="AD32" s="100" t="e">
        <f t="shared" si="48"/>
        <v>#DIV/0!</v>
      </c>
      <c r="AE32" s="233"/>
      <c r="AF32" s="100" t="e">
        <f t="shared" si="49"/>
        <v>#DIV/0!</v>
      </c>
      <c r="AG32" s="233"/>
      <c r="AH32" s="100" t="e">
        <f t="shared" si="50"/>
        <v>#DIV/0!</v>
      </c>
      <c r="AI32" s="233"/>
      <c r="AJ32" s="100" t="e">
        <f t="shared" si="51"/>
        <v>#DIV/0!</v>
      </c>
      <c r="AK32" s="233"/>
      <c r="AL32" s="100" t="e">
        <f t="shared" si="45"/>
        <v>#DIV/0!</v>
      </c>
    </row>
    <row r="33" spans="2:38" ht="14.25">
      <c r="B33" s="97"/>
      <c r="C33" s="97"/>
      <c r="D33" s="375">
        <f t="shared" si="21"/>
        <v>46194</v>
      </c>
      <c r="E33" s="375" t="s">
        <v>461</v>
      </c>
      <c r="F33" s="227">
        <f t="shared" si="20"/>
        <v>0</v>
      </c>
      <c r="G33" s="305"/>
      <c r="H33" s="328"/>
      <c r="I33" s="233"/>
      <c r="J33" s="100" t="e">
        <f t="shared" si="35"/>
        <v>#DIV/0!</v>
      </c>
      <c r="K33" s="233"/>
      <c r="L33" s="100" t="e">
        <f t="shared" si="36"/>
        <v>#DIV/0!</v>
      </c>
      <c r="M33" s="226">
        <f t="shared" si="37"/>
        <v>0</v>
      </c>
      <c r="N33" s="100" t="e">
        <f t="shared" si="38"/>
        <v>#DIV/0!</v>
      </c>
      <c r="O33" s="233"/>
      <c r="P33" s="100" t="e">
        <f t="shared" si="39"/>
        <v>#DIV/0!</v>
      </c>
      <c r="Q33" s="233"/>
      <c r="R33" s="100" t="e">
        <f t="shared" si="40"/>
        <v>#DIV/0!</v>
      </c>
      <c r="S33" s="226">
        <f t="shared" si="41"/>
        <v>0</v>
      </c>
      <c r="T33" s="100" t="e">
        <f t="shared" si="42"/>
        <v>#DIV/0!</v>
      </c>
      <c r="U33" s="233"/>
      <c r="V33" s="100" t="e">
        <f t="shared" si="43"/>
        <v>#DIV/0!</v>
      </c>
      <c r="W33" s="233"/>
      <c r="X33" s="100" t="e">
        <f t="shared" si="44"/>
        <v>#DIV/0!</v>
      </c>
      <c r="Y33" s="233"/>
      <c r="Z33" s="100" t="e">
        <f t="shared" si="46"/>
        <v>#DIV/0!</v>
      </c>
      <c r="AA33" s="233"/>
      <c r="AB33" s="100" t="e">
        <f t="shared" si="12"/>
        <v>#DIV/0!</v>
      </c>
      <c r="AC33" s="226">
        <f t="shared" si="47"/>
        <v>0</v>
      </c>
      <c r="AD33" s="100" t="e">
        <f t="shared" si="48"/>
        <v>#DIV/0!</v>
      </c>
      <c r="AE33" s="233"/>
      <c r="AF33" s="100" t="e">
        <f t="shared" si="49"/>
        <v>#DIV/0!</v>
      </c>
      <c r="AG33" s="233"/>
      <c r="AH33" s="100" t="e">
        <f t="shared" si="50"/>
        <v>#DIV/0!</v>
      </c>
      <c r="AI33" s="233"/>
      <c r="AJ33" s="100" t="e">
        <f t="shared" si="51"/>
        <v>#DIV/0!</v>
      </c>
      <c r="AK33" s="233"/>
      <c r="AL33" s="100" t="e">
        <f t="shared" si="45"/>
        <v>#DIV/0!</v>
      </c>
    </row>
    <row r="34" spans="2:38" ht="14.25">
      <c r="B34" s="97"/>
      <c r="C34" s="97"/>
      <c r="D34" s="375">
        <f t="shared" si="21"/>
        <v>46195</v>
      </c>
      <c r="E34" s="375" t="s">
        <v>455</v>
      </c>
      <c r="F34" s="227">
        <f t="shared" si="20"/>
        <v>0</v>
      </c>
      <c r="G34" s="86"/>
      <c r="H34" s="328"/>
      <c r="I34" s="233"/>
      <c r="J34" s="100" t="e">
        <f t="shared" si="35"/>
        <v>#DIV/0!</v>
      </c>
      <c r="K34" s="233"/>
      <c r="L34" s="100" t="e">
        <f t="shared" si="36"/>
        <v>#DIV/0!</v>
      </c>
      <c r="M34" s="226">
        <f t="shared" si="37"/>
        <v>0</v>
      </c>
      <c r="N34" s="100" t="e">
        <f t="shared" si="38"/>
        <v>#DIV/0!</v>
      </c>
      <c r="O34" s="233"/>
      <c r="P34" s="100" t="e">
        <f t="shared" si="39"/>
        <v>#DIV/0!</v>
      </c>
      <c r="Q34" s="233"/>
      <c r="R34" s="100" t="e">
        <f t="shared" si="40"/>
        <v>#DIV/0!</v>
      </c>
      <c r="S34" s="226">
        <f t="shared" si="41"/>
        <v>0</v>
      </c>
      <c r="T34" s="100" t="e">
        <f t="shared" si="42"/>
        <v>#DIV/0!</v>
      </c>
      <c r="U34" s="233"/>
      <c r="V34" s="100" t="e">
        <f t="shared" si="43"/>
        <v>#DIV/0!</v>
      </c>
      <c r="W34" s="233"/>
      <c r="X34" s="100" t="e">
        <f t="shared" si="44"/>
        <v>#DIV/0!</v>
      </c>
      <c r="Y34" s="233"/>
      <c r="Z34" s="100" t="e">
        <f t="shared" si="46"/>
        <v>#DIV/0!</v>
      </c>
      <c r="AA34" s="233"/>
      <c r="AB34" s="100" t="e">
        <f t="shared" si="12"/>
        <v>#DIV/0!</v>
      </c>
      <c r="AC34" s="226">
        <f t="shared" si="47"/>
        <v>0</v>
      </c>
      <c r="AD34" s="100" t="e">
        <f t="shared" si="48"/>
        <v>#DIV/0!</v>
      </c>
      <c r="AE34" s="233"/>
      <c r="AF34" s="100" t="e">
        <f t="shared" si="49"/>
        <v>#DIV/0!</v>
      </c>
      <c r="AG34" s="233"/>
      <c r="AH34" s="100" t="e">
        <f t="shared" si="50"/>
        <v>#DIV/0!</v>
      </c>
      <c r="AI34" s="233"/>
      <c r="AJ34" s="100" t="e">
        <f t="shared" si="51"/>
        <v>#DIV/0!</v>
      </c>
      <c r="AK34" s="233"/>
      <c r="AL34" s="100" t="e">
        <f t="shared" si="45"/>
        <v>#DIV/0!</v>
      </c>
    </row>
    <row r="35" spans="2:38" s="529" customFormat="1" ht="14.25">
      <c r="B35" s="502"/>
      <c r="C35" s="502"/>
      <c r="D35" s="307">
        <f t="shared" si="21"/>
        <v>46196</v>
      </c>
      <c r="E35" s="307" t="s">
        <v>456</v>
      </c>
      <c r="F35" s="530">
        <f t="shared" si="20"/>
        <v>0</v>
      </c>
      <c r="G35" s="504">
        <f>SUM(F35:F41)</f>
        <v>0</v>
      </c>
      <c r="H35" s="505"/>
      <c r="I35" s="533"/>
      <c r="J35" s="352" t="e">
        <f t="shared" si="35"/>
        <v>#DIV/0!</v>
      </c>
      <c r="K35" s="533"/>
      <c r="L35" s="352" t="e">
        <f t="shared" si="36"/>
        <v>#DIV/0!</v>
      </c>
      <c r="M35" s="534">
        <f t="shared" si="37"/>
        <v>0</v>
      </c>
      <c r="N35" s="352" t="e">
        <f t="shared" si="38"/>
        <v>#DIV/0!</v>
      </c>
      <c r="O35" s="533"/>
      <c r="P35" s="352" t="e">
        <f t="shared" si="39"/>
        <v>#DIV/0!</v>
      </c>
      <c r="Q35" s="533"/>
      <c r="R35" s="352" t="e">
        <f t="shared" si="40"/>
        <v>#DIV/0!</v>
      </c>
      <c r="S35" s="534">
        <f t="shared" si="41"/>
        <v>0</v>
      </c>
      <c r="T35" s="352" t="e">
        <f t="shared" si="42"/>
        <v>#DIV/0!</v>
      </c>
      <c r="U35" s="533"/>
      <c r="V35" s="352" t="e">
        <f t="shared" si="43"/>
        <v>#DIV/0!</v>
      </c>
      <c r="W35" s="533"/>
      <c r="X35" s="352" t="e">
        <f t="shared" si="44"/>
        <v>#DIV/0!</v>
      </c>
      <c r="Y35" s="533"/>
      <c r="Z35" s="352" t="e">
        <f t="shared" si="46"/>
        <v>#DIV/0!</v>
      </c>
      <c r="AA35" s="533"/>
      <c r="AB35" s="352" t="e">
        <f t="shared" si="12"/>
        <v>#DIV/0!</v>
      </c>
      <c r="AC35" s="534">
        <f t="shared" si="47"/>
        <v>0</v>
      </c>
      <c r="AD35" s="352" t="e">
        <f t="shared" si="48"/>
        <v>#DIV/0!</v>
      </c>
      <c r="AE35" s="533"/>
      <c r="AF35" s="352" t="e">
        <f t="shared" si="49"/>
        <v>#DIV/0!</v>
      </c>
      <c r="AG35" s="533"/>
      <c r="AH35" s="352" t="e">
        <f t="shared" si="50"/>
        <v>#DIV/0!</v>
      </c>
      <c r="AI35" s="533"/>
      <c r="AJ35" s="352" t="e">
        <f t="shared" si="51"/>
        <v>#DIV/0!</v>
      </c>
      <c r="AK35" s="533"/>
      <c r="AL35" s="352" t="e">
        <f t="shared" si="45"/>
        <v>#DIV/0!</v>
      </c>
    </row>
    <row r="36" spans="2:38" s="529" customFormat="1" ht="14.25">
      <c r="B36" s="502"/>
      <c r="C36" s="502"/>
      <c r="D36" s="307">
        <f t="shared" si="21"/>
        <v>46197</v>
      </c>
      <c r="E36" s="307" t="s">
        <v>457</v>
      </c>
      <c r="F36" s="530">
        <f t="shared" si="20"/>
        <v>0</v>
      </c>
      <c r="G36" s="504"/>
      <c r="H36" s="531"/>
      <c r="I36" s="533"/>
      <c r="J36" s="352" t="e">
        <f t="shared" si="35"/>
        <v>#DIV/0!</v>
      </c>
      <c r="K36" s="533"/>
      <c r="L36" s="352" t="e">
        <f t="shared" si="36"/>
        <v>#DIV/0!</v>
      </c>
      <c r="M36" s="534">
        <f t="shared" si="37"/>
        <v>0</v>
      </c>
      <c r="N36" s="352" t="e">
        <f t="shared" si="38"/>
        <v>#DIV/0!</v>
      </c>
      <c r="O36" s="533"/>
      <c r="P36" s="352" t="e">
        <f t="shared" si="39"/>
        <v>#DIV/0!</v>
      </c>
      <c r="Q36" s="533"/>
      <c r="R36" s="352" t="e">
        <f t="shared" si="40"/>
        <v>#DIV/0!</v>
      </c>
      <c r="S36" s="534">
        <f t="shared" si="41"/>
        <v>0</v>
      </c>
      <c r="T36" s="352" t="e">
        <f t="shared" si="42"/>
        <v>#DIV/0!</v>
      </c>
      <c r="U36" s="533"/>
      <c r="V36" s="352" t="e">
        <f t="shared" si="43"/>
        <v>#DIV/0!</v>
      </c>
      <c r="W36" s="533"/>
      <c r="X36" s="352" t="e">
        <f t="shared" si="44"/>
        <v>#DIV/0!</v>
      </c>
      <c r="Y36" s="533"/>
      <c r="Z36" s="352" t="e">
        <f t="shared" si="46"/>
        <v>#DIV/0!</v>
      </c>
      <c r="AA36" s="533"/>
      <c r="AB36" s="352" t="e">
        <f t="shared" si="12"/>
        <v>#DIV/0!</v>
      </c>
      <c r="AC36" s="534">
        <f t="shared" si="47"/>
        <v>0</v>
      </c>
      <c r="AD36" s="352" t="e">
        <f t="shared" si="48"/>
        <v>#DIV/0!</v>
      </c>
      <c r="AE36" s="533"/>
      <c r="AF36" s="352" t="e">
        <f t="shared" si="49"/>
        <v>#DIV/0!</v>
      </c>
      <c r="AG36" s="533"/>
      <c r="AH36" s="352" t="e">
        <f t="shared" si="50"/>
        <v>#DIV/0!</v>
      </c>
      <c r="AI36" s="533"/>
      <c r="AJ36" s="352" t="e">
        <f t="shared" si="51"/>
        <v>#DIV/0!</v>
      </c>
      <c r="AK36" s="533"/>
      <c r="AL36" s="352" t="e">
        <f t="shared" si="45"/>
        <v>#DIV/0!</v>
      </c>
    </row>
    <row r="37" spans="2:38" s="529" customFormat="1" ht="14.25">
      <c r="B37" s="502"/>
      <c r="C37" s="502"/>
      <c r="D37" s="307">
        <f>D36+1</f>
        <v>46198</v>
      </c>
      <c r="E37" s="307" t="s">
        <v>458</v>
      </c>
      <c r="F37" s="530">
        <f t="shared" si="20"/>
        <v>0</v>
      </c>
      <c r="G37" s="504"/>
      <c r="H37" s="531"/>
      <c r="I37" s="533"/>
      <c r="J37" s="352" t="e">
        <f t="shared" si="35"/>
        <v>#DIV/0!</v>
      </c>
      <c r="K37" s="533"/>
      <c r="L37" s="352" t="e">
        <f t="shared" si="36"/>
        <v>#DIV/0!</v>
      </c>
      <c r="M37" s="534">
        <f t="shared" si="37"/>
        <v>0</v>
      </c>
      <c r="N37" s="352" t="e">
        <f t="shared" si="38"/>
        <v>#DIV/0!</v>
      </c>
      <c r="O37" s="533"/>
      <c r="P37" s="352" t="e">
        <f t="shared" si="39"/>
        <v>#DIV/0!</v>
      </c>
      <c r="Q37" s="533"/>
      <c r="R37" s="352" t="e">
        <f t="shared" si="40"/>
        <v>#DIV/0!</v>
      </c>
      <c r="S37" s="534">
        <f t="shared" si="41"/>
        <v>0</v>
      </c>
      <c r="T37" s="352" t="e">
        <f t="shared" si="42"/>
        <v>#DIV/0!</v>
      </c>
      <c r="U37" s="533"/>
      <c r="V37" s="352" t="e">
        <f t="shared" si="43"/>
        <v>#DIV/0!</v>
      </c>
      <c r="W37" s="533"/>
      <c r="X37" s="352" t="e">
        <f t="shared" si="44"/>
        <v>#DIV/0!</v>
      </c>
      <c r="Y37" s="533"/>
      <c r="Z37" s="352" t="e">
        <f t="shared" si="46"/>
        <v>#DIV/0!</v>
      </c>
      <c r="AA37" s="533"/>
      <c r="AB37" s="352" t="e">
        <f t="shared" si="12"/>
        <v>#DIV/0!</v>
      </c>
      <c r="AC37" s="534">
        <f t="shared" si="47"/>
        <v>0</v>
      </c>
      <c r="AD37" s="352" t="e">
        <f t="shared" si="48"/>
        <v>#DIV/0!</v>
      </c>
      <c r="AE37" s="533"/>
      <c r="AF37" s="352" t="e">
        <f t="shared" si="49"/>
        <v>#DIV/0!</v>
      </c>
      <c r="AG37" s="533"/>
      <c r="AH37" s="352" t="e">
        <f t="shared" si="50"/>
        <v>#DIV/0!</v>
      </c>
      <c r="AI37" s="533"/>
      <c r="AJ37" s="352" t="e">
        <f t="shared" si="51"/>
        <v>#DIV/0!</v>
      </c>
      <c r="AK37" s="533"/>
      <c r="AL37" s="352" t="e">
        <f t="shared" si="45"/>
        <v>#DIV/0!</v>
      </c>
    </row>
    <row r="38" spans="2:38" s="529" customFormat="1" ht="14.25">
      <c r="B38" s="502"/>
      <c r="C38" s="502"/>
      <c r="D38" s="307">
        <f t="shared" ref="D38:D48" si="52">D37+1</f>
        <v>46199</v>
      </c>
      <c r="E38" s="307" t="s">
        <v>459</v>
      </c>
      <c r="F38" s="530">
        <f t="shared" si="20"/>
        <v>0</v>
      </c>
      <c r="G38" s="504"/>
      <c r="H38" s="531"/>
      <c r="I38" s="533"/>
      <c r="J38" s="352" t="e">
        <f t="shared" si="35"/>
        <v>#DIV/0!</v>
      </c>
      <c r="K38" s="533"/>
      <c r="L38" s="352" t="e">
        <f t="shared" si="36"/>
        <v>#DIV/0!</v>
      </c>
      <c r="M38" s="534">
        <f t="shared" si="37"/>
        <v>0</v>
      </c>
      <c r="N38" s="352" t="e">
        <f t="shared" si="38"/>
        <v>#DIV/0!</v>
      </c>
      <c r="O38" s="533"/>
      <c r="P38" s="352" t="e">
        <f t="shared" si="39"/>
        <v>#DIV/0!</v>
      </c>
      <c r="Q38" s="533"/>
      <c r="R38" s="352" t="e">
        <f t="shared" si="40"/>
        <v>#DIV/0!</v>
      </c>
      <c r="S38" s="534">
        <f t="shared" si="41"/>
        <v>0</v>
      </c>
      <c r="T38" s="352" t="e">
        <f t="shared" si="42"/>
        <v>#DIV/0!</v>
      </c>
      <c r="U38" s="533"/>
      <c r="V38" s="352" t="e">
        <f t="shared" si="43"/>
        <v>#DIV/0!</v>
      </c>
      <c r="W38" s="533"/>
      <c r="X38" s="352" t="e">
        <f t="shared" si="44"/>
        <v>#DIV/0!</v>
      </c>
      <c r="Y38" s="533"/>
      <c r="Z38" s="352" t="e">
        <f t="shared" si="46"/>
        <v>#DIV/0!</v>
      </c>
      <c r="AA38" s="533"/>
      <c r="AB38" s="352" t="e">
        <f t="shared" si="12"/>
        <v>#DIV/0!</v>
      </c>
      <c r="AC38" s="534">
        <f t="shared" si="47"/>
        <v>0</v>
      </c>
      <c r="AD38" s="352" t="e">
        <f t="shared" si="48"/>
        <v>#DIV/0!</v>
      </c>
      <c r="AE38" s="533"/>
      <c r="AF38" s="352" t="e">
        <f t="shared" si="49"/>
        <v>#DIV/0!</v>
      </c>
      <c r="AG38" s="533"/>
      <c r="AH38" s="352" t="e">
        <f t="shared" si="50"/>
        <v>#DIV/0!</v>
      </c>
      <c r="AI38" s="533"/>
      <c r="AJ38" s="352" t="e">
        <f t="shared" si="51"/>
        <v>#DIV/0!</v>
      </c>
      <c r="AK38" s="533"/>
      <c r="AL38" s="352" t="e">
        <f t="shared" si="45"/>
        <v>#DIV/0!</v>
      </c>
    </row>
    <row r="39" spans="2:38" s="529" customFormat="1" ht="14.25">
      <c r="B39" s="502"/>
      <c r="C39" s="508"/>
      <c r="D39" s="307">
        <f t="shared" si="52"/>
        <v>46200</v>
      </c>
      <c r="E39" s="307" t="s">
        <v>460</v>
      </c>
      <c r="F39" s="530">
        <f t="shared" si="20"/>
        <v>0</v>
      </c>
      <c r="G39" s="504"/>
      <c r="H39" s="532"/>
      <c r="I39" s="533"/>
      <c r="J39" s="352" t="e">
        <f t="shared" si="35"/>
        <v>#DIV/0!</v>
      </c>
      <c r="K39" s="533"/>
      <c r="L39" s="352" t="e">
        <f t="shared" si="36"/>
        <v>#DIV/0!</v>
      </c>
      <c r="M39" s="534">
        <f t="shared" si="37"/>
        <v>0</v>
      </c>
      <c r="N39" s="352" t="e">
        <f t="shared" si="38"/>
        <v>#DIV/0!</v>
      </c>
      <c r="O39" s="533"/>
      <c r="P39" s="352" t="e">
        <f t="shared" si="39"/>
        <v>#DIV/0!</v>
      </c>
      <c r="Q39" s="533"/>
      <c r="R39" s="352" t="e">
        <f t="shared" si="40"/>
        <v>#DIV/0!</v>
      </c>
      <c r="S39" s="534">
        <f t="shared" si="41"/>
        <v>0</v>
      </c>
      <c r="T39" s="352" t="e">
        <f t="shared" si="42"/>
        <v>#DIV/0!</v>
      </c>
      <c r="U39" s="533"/>
      <c r="V39" s="352" t="e">
        <f t="shared" si="43"/>
        <v>#DIV/0!</v>
      </c>
      <c r="W39" s="533"/>
      <c r="X39" s="352" t="e">
        <f t="shared" si="44"/>
        <v>#DIV/0!</v>
      </c>
      <c r="Y39" s="533"/>
      <c r="Z39" s="352" t="e">
        <f t="shared" si="46"/>
        <v>#DIV/0!</v>
      </c>
      <c r="AA39" s="533"/>
      <c r="AB39" s="352" t="e">
        <f t="shared" si="12"/>
        <v>#DIV/0!</v>
      </c>
      <c r="AC39" s="534">
        <f t="shared" si="47"/>
        <v>0</v>
      </c>
      <c r="AD39" s="352" t="e">
        <f t="shared" si="48"/>
        <v>#DIV/0!</v>
      </c>
      <c r="AE39" s="533"/>
      <c r="AF39" s="352" t="e">
        <f t="shared" si="49"/>
        <v>#DIV/0!</v>
      </c>
      <c r="AG39" s="533"/>
      <c r="AH39" s="352" t="e">
        <f t="shared" si="50"/>
        <v>#DIV/0!</v>
      </c>
      <c r="AI39" s="533"/>
      <c r="AJ39" s="352" t="e">
        <f t="shared" si="51"/>
        <v>#DIV/0!</v>
      </c>
      <c r="AK39" s="533"/>
      <c r="AL39" s="352" t="e">
        <f t="shared" si="45"/>
        <v>#DIV/0!</v>
      </c>
    </row>
    <row r="40" spans="2:38" s="529" customFormat="1" ht="14.25">
      <c r="B40" s="502"/>
      <c r="C40" s="508"/>
      <c r="D40" s="307">
        <f t="shared" si="52"/>
        <v>46201</v>
      </c>
      <c r="E40" s="307" t="s">
        <v>461</v>
      </c>
      <c r="F40" s="530">
        <f t="shared" si="20"/>
        <v>0</v>
      </c>
      <c r="G40" s="504"/>
      <c r="H40" s="532"/>
      <c r="I40" s="533"/>
      <c r="J40" s="352" t="e">
        <f t="shared" si="35"/>
        <v>#DIV/0!</v>
      </c>
      <c r="K40" s="533"/>
      <c r="L40" s="352" t="e">
        <f t="shared" si="36"/>
        <v>#DIV/0!</v>
      </c>
      <c r="M40" s="534">
        <f t="shared" si="37"/>
        <v>0</v>
      </c>
      <c r="N40" s="352" t="e">
        <f t="shared" si="38"/>
        <v>#DIV/0!</v>
      </c>
      <c r="O40" s="533"/>
      <c r="P40" s="352" t="e">
        <f t="shared" si="39"/>
        <v>#DIV/0!</v>
      </c>
      <c r="Q40" s="533"/>
      <c r="R40" s="352" t="e">
        <f t="shared" si="40"/>
        <v>#DIV/0!</v>
      </c>
      <c r="S40" s="534">
        <f t="shared" si="41"/>
        <v>0</v>
      </c>
      <c r="T40" s="352" t="e">
        <f t="shared" si="42"/>
        <v>#DIV/0!</v>
      </c>
      <c r="U40" s="533"/>
      <c r="V40" s="352" t="e">
        <f t="shared" si="43"/>
        <v>#DIV/0!</v>
      </c>
      <c r="W40" s="533"/>
      <c r="X40" s="352" t="e">
        <f t="shared" si="44"/>
        <v>#DIV/0!</v>
      </c>
      <c r="Y40" s="533"/>
      <c r="Z40" s="352" t="e">
        <f t="shared" si="46"/>
        <v>#DIV/0!</v>
      </c>
      <c r="AA40" s="533"/>
      <c r="AB40" s="352" t="e">
        <f t="shared" si="12"/>
        <v>#DIV/0!</v>
      </c>
      <c r="AC40" s="534">
        <f t="shared" si="47"/>
        <v>0</v>
      </c>
      <c r="AD40" s="352" t="e">
        <f t="shared" si="48"/>
        <v>#DIV/0!</v>
      </c>
      <c r="AE40" s="533"/>
      <c r="AF40" s="352" t="e">
        <f t="shared" si="49"/>
        <v>#DIV/0!</v>
      </c>
      <c r="AG40" s="533"/>
      <c r="AH40" s="352" t="e">
        <f t="shared" si="50"/>
        <v>#DIV/0!</v>
      </c>
      <c r="AI40" s="533"/>
      <c r="AJ40" s="352" t="e">
        <f t="shared" si="51"/>
        <v>#DIV/0!</v>
      </c>
      <c r="AK40" s="533"/>
      <c r="AL40" s="352" t="e">
        <f t="shared" si="45"/>
        <v>#DIV/0!</v>
      </c>
    </row>
    <row r="41" spans="2:38" s="529" customFormat="1" ht="14.25">
      <c r="B41" s="502"/>
      <c r="C41" s="508"/>
      <c r="D41" s="307">
        <f t="shared" si="52"/>
        <v>46202</v>
      </c>
      <c r="E41" s="307" t="s">
        <v>455</v>
      </c>
      <c r="F41" s="530">
        <f t="shared" si="20"/>
        <v>0</v>
      </c>
      <c r="G41" s="504"/>
      <c r="H41" s="532"/>
      <c r="I41" s="533"/>
      <c r="J41" s="352" t="e">
        <f t="shared" si="35"/>
        <v>#DIV/0!</v>
      </c>
      <c r="K41" s="533"/>
      <c r="L41" s="352" t="e">
        <f t="shared" si="36"/>
        <v>#DIV/0!</v>
      </c>
      <c r="M41" s="534">
        <f t="shared" si="37"/>
        <v>0</v>
      </c>
      <c r="N41" s="352" t="e">
        <f t="shared" si="38"/>
        <v>#DIV/0!</v>
      </c>
      <c r="O41" s="533"/>
      <c r="P41" s="352" t="e">
        <f t="shared" si="39"/>
        <v>#DIV/0!</v>
      </c>
      <c r="Q41" s="533"/>
      <c r="R41" s="352" t="e">
        <f t="shared" si="40"/>
        <v>#DIV/0!</v>
      </c>
      <c r="S41" s="534">
        <f t="shared" si="41"/>
        <v>0</v>
      </c>
      <c r="T41" s="352" t="e">
        <f t="shared" si="42"/>
        <v>#DIV/0!</v>
      </c>
      <c r="U41" s="533"/>
      <c r="V41" s="352" t="e">
        <f t="shared" si="43"/>
        <v>#DIV/0!</v>
      </c>
      <c r="W41" s="533"/>
      <c r="X41" s="352" t="e">
        <f t="shared" si="44"/>
        <v>#DIV/0!</v>
      </c>
      <c r="Y41" s="533"/>
      <c r="Z41" s="352" t="e">
        <f t="shared" ref="Z41" si="53">Y41/F41</f>
        <v>#DIV/0!</v>
      </c>
      <c r="AA41" s="533"/>
      <c r="AB41" s="352" t="e">
        <f t="shared" ref="AB41:AB49" si="54">AA41/$F41</f>
        <v>#DIV/0!</v>
      </c>
      <c r="AC41" s="534">
        <f t="shared" ref="AC41" si="55">SUM(Y41+AA41)</f>
        <v>0</v>
      </c>
      <c r="AD41" s="352" t="e">
        <f t="shared" ref="AD41" si="56">AC41/F41</f>
        <v>#DIV/0!</v>
      </c>
      <c r="AE41" s="533"/>
      <c r="AF41" s="352" t="e">
        <f t="shared" ref="AF41" si="57">AE41/F41</f>
        <v>#DIV/0!</v>
      </c>
      <c r="AG41" s="533"/>
      <c r="AH41" s="352" t="e">
        <f t="shared" ref="AH41" si="58">AG41/F41</f>
        <v>#DIV/0!</v>
      </c>
      <c r="AI41" s="533"/>
      <c r="AJ41" s="352" t="e">
        <f t="shared" ref="AJ41" si="59">AI41/F41</f>
        <v>#DIV/0!</v>
      </c>
      <c r="AK41" s="533"/>
      <c r="AL41" s="352" t="e">
        <f t="shared" si="45"/>
        <v>#DIV/0!</v>
      </c>
    </row>
    <row r="42" spans="2:38" ht="14.25">
      <c r="B42" s="97"/>
      <c r="C42" s="83"/>
      <c r="D42" s="375">
        <f t="shared" si="52"/>
        <v>46203</v>
      </c>
      <c r="E42" s="375" t="s">
        <v>456</v>
      </c>
      <c r="F42" s="227">
        <f t="shared" si="20"/>
        <v>0</v>
      </c>
      <c r="G42" s="305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0"/>
        <v>#DIV/0!</v>
      </c>
      <c r="S42" s="226">
        <f t="shared" si="41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54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25">
      <c r="B43" s="97"/>
      <c r="C43" s="83"/>
      <c r="D43" s="375">
        <f t="shared" si="52"/>
        <v>46204</v>
      </c>
      <c r="E43" s="375" t="s">
        <v>457</v>
      </c>
      <c r="F43" s="227">
        <f t="shared" si="20"/>
        <v>0</v>
      </c>
      <c r="G43" s="305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0"/>
        <v>#DIV/0!</v>
      </c>
      <c r="S43" s="226">
        <f t="shared" si="41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54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25">
      <c r="B44" s="97"/>
      <c r="C44" s="83"/>
      <c r="D44" s="375">
        <f t="shared" si="52"/>
        <v>46205</v>
      </c>
      <c r="E44" s="375" t="s">
        <v>458</v>
      </c>
      <c r="F44" s="227">
        <f t="shared" si="20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0"/>
        <v>#DIV/0!</v>
      </c>
      <c r="S44" s="226">
        <f t="shared" si="41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54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25">
      <c r="B45" s="97"/>
      <c r="C45" s="83"/>
      <c r="D45" s="375">
        <f t="shared" si="52"/>
        <v>46206</v>
      </c>
      <c r="E45" s="375" t="s">
        <v>459</v>
      </c>
      <c r="F45" s="227">
        <f t="shared" ref="F45:F48" si="60">SUM(M45,S45,U45,W45,AC45,AE45,AG45,AI45,AK45)</f>
        <v>0</v>
      </c>
      <c r="G45" s="227"/>
      <c r="H45" s="96"/>
      <c r="I45" s="233"/>
      <c r="J45" s="100" t="e">
        <f t="shared" ref="J45:J48" si="61">I45/F45</f>
        <v>#DIV/0!</v>
      </c>
      <c r="K45" s="233"/>
      <c r="L45" s="100" t="e">
        <f t="shared" ref="L45:L48" si="62">K45/F45</f>
        <v>#DIV/0!</v>
      </c>
      <c r="M45" s="226">
        <f t="shared" ref="M45:M48" si="63">SUM(I45+K45)</f>
        <v>0</v>
      </c>
      <c r="N45" s="100" t="e">
        <f t="shared" ref="N45:N48" si="64">M45/F45</f>
        <v>#DIV/0!</v>
      </c>
      <c r="O45" s="233"/>
      <c r="P45" s="100" t="e">
        <f t="shared" ref="P45:P48" si="65">O45/F45</f>
        <v>#DIV/0!</v>
      </c>
      <c r="Q45" s="233"/>
      <c r="R45" s="100" t="e">
        <f t="shared" ref="R45:R48" si="66">Q45/$F45</f>
        <v>#DIV/0!</v>
      </c>
      <c r="S45" s="226">
        <f t="shared" ref="S45:S48" si="67">SUM(O45+Q45)</f>
        <v>0</v>
      </c>
      <c r="T45" s="100" t="e">
        <f t="shared" ref="T45:T48" si="68">S45/F45</f>
        <v>#DIV/0!</v>
      </c>
      <c r="U45" s="233"/>
      <c r="V45" s="100" t="e">
        <f t="shared" ref="V45:V48" si="69">U45/F45</f>
        <v>#DIV/0!</v>
      </c>
      <c r="W45" s="233"/>
      <c r="X45" s="100" t="e">
        <f t="shared" ref="X45:X48" si="70">W45/F45</f>
        <v>#DIV/0!</v>
      </c>
      <c r="Y45" s="233"/>
      <c r="Z45" s="100" t="e">
        <f t="shared" ref="Z45:Z48" si="71">Y45/F45</f>
        <v>#DIV/0!</v>
      </c>
      <c r="AA45" s="233"/>
      <c r="AB45" s="100" t="e">
        <f t="shared" ref="AB45:AB48" si="72">AA45/$F45</f>
        <v>#DIV/0!</v>
      </c>
      <c r="AC45" s="226">
        <f t="shared" ref="AC45:AC48" si="73">SUM(Y45+AA45)</f>
        <v>0</v>
      </c>
      <c r="AD45" s="100" t="e">
        <f t="shared" ref="AD45:AD48" si="74">AC45/F45</f>
        <v>#DIV/0!</v>
      </c>
      <c r="AE45" s="233"/>
      <c r="AF45" s="100" t="e">
        <f t="shared" ref="AF45:AF48" si="75">AE45/F45</f>
        <v>#DIV/0!</v>
      </c>
      <c r="AG45" s="233"/>
      <c r="AH45" s="100" t="e">
        <f t="shared" ref="AH45:AH48" si="76">AG45/F45</f>
        <v>#DIV/0!</v>
      </c>
      <c r="AI45" s="233"/>
      <c r="AJ45" s="100" t="e">
        <f t="shared" ref="AJ45:AJ48" si="77">AI45/F45</f>
        <v>#DIV/0!</v>
      </c>
      <c r="AK45" s="233"/>
      <c r="AL45" s="100" t="e">
        <f t="shared" ref="AL45:AL48" si="78">AK45/F45</f>
        <v>#DIV/0!</v>
      </c>
    </row>
    <row r="46" spans="2:38" ht="14.25">
      <c r="B46" s="97"/>
      <c r="C46" s="83"/>
      <c r="D46" s="375">
        <f t="shared" si="52"/>
        <v>46207</v>
      </c>
      <c r="E46" s="375" t="s">
        <v>460</v>
      </c>
      <c r="F46" s="227">
        <f t="shared" si="60"/>
        <v>0</v>
      </c>
      <c r="G46" s="227"/>
      <c r="H46" s="96"/>
      <c r="I46" s="233"/>
      <c r="J46" s="100" t="e">
        <f t="shared" si="61"/>
        <v>#DIV/0!</v>
      </c>
      <c r="K46" s="233"/>
      <c r="L46" s="100" t="e">
        <f t="shared" si="62"/>
        <v>#DIV/0!</v>
      </c>
      <c r="M46" s="226">
        <f t="shared" si="63"/>
        <v>0</v>
      </c>
      <c r="N46" s="100" t="e">
        <f t="shared" si="64"/>
        <v>#DIV/0!</v>
      </c>
      <c r="O46" s="233"/>
      <c r="P46" s="100" t="e">
        <f t="shared" si="65"/>
        <v>#DIV/0!</v>
      </c>
      <c r="Q46" s="233"/>
      <c r="R46" s="100" t="e">
        <f t="shared" si="66"/>
        <v>#DIV/0!</v>
      </c>
      <c r="S46" s="226">
        <f t="shared" si="67"/>
        <v>0</v>
      </c>
      <c r="T46" s="100" t="e">
        <f t="shared" si="68"/>
        <v>#DIV/0!</v>
      </c>
      <c r="U46" s="233"/>
      <c r="V46" s="100" t="e">
        <f t="shared" si="69"/>
        <v>#DIV/0!</v>
      </c>
      <c r="W46" s="233"/>
      <c r="X46" s="100" t="e">
        <f t="shared" si="70"/>
        <v>#DIV/0!</v>
      </c>
      <c r="Y46" s="233"/>
      <c r="Z46" s="100" t="e">
        <f t="shared" si="71"/>
        <v>#DIV/0!</v>
      </c>
      <c r="AA46" s="233"/>
      <c r="AB46" s="100" t="e">
        <f t="shared" si="72"/>
        <v>#DIV/0!</v>
      </c>
      <c r="AC46" s="226">
        <f t="shared" si="73"/>
        <v>0</v>
      </c>
      <c r="AD46" s="100" t="e">
        <f t="shared" si="74"/>
        <v>#DIV/0!</v>
      </c>
      <c r="AE46" s="233"/>
      <c r="AF46" s="100" t="e">
        <f t="shared" si="75"/>
        <v>#DIV/0!</v>
      </c>
      <c r="AG46" s="233"/>
      <c r="AH46" s="100" t="e">
        <f t="shared" si="76"/>
        <v>#DIV/0!</v>
      </c>
      <c r="AI46" s="233"/>
      <c r="AJ46" s="100" t="e">
        <f t="shared" si="77"/>
        <v>#DIV/0!</v>
      </c>
      <c r="AK46" s="233"/>
      <c r="AL46" s="100" t="e">
        <f t="shared" si="78"/>
        <v>#DIV/0!</v>
      </c>
    </row>
    <row r="47" spans="2:38" ht="14.25">
      <c r="B47" s="97"/>
      <c r="C47" s="83"/>
      <c r="D47" s="375">
        <f t="shared" si="52"/>
        <v>46208</v>
      </c>
      <c r="E47" s="375" t="s">
        <v>461</v>
      </c>
      <c r="F47" s="227">
        <f t="shared" si="60"/>
        <v>0</v>
      </c>
      <c r="G47" s="227"/>
      <c r="H47" s="96"/>
      <c r="I47" s="233"/>
      <c r="J47" s="100" t="e">
        <f t="shared" si="61"/>
        <v>#DIV/0!</v>
      </c>
      <c r="K47" s="233"/>
      <c r="L47" s="100" t="e">
        <f t="shared" si="62"/>
        <v>#DIV/0!</v>
      </c>
      <c r="M47" s="226">
        <f t="shared" si="63"/>
        <v>0</v>
      </c>
      <c r="N47" s="100" t="e">
        <f t="shared" si="64"/>
        <v>#DIV/0!</v>
      </c>
      <c r="O47" s="233"/>
      <c r="P47" s="100" t="e">
        <f t="shared" si="65"/>
        <v>#DIV/0!</v>
      </c>
      <c r="Q47" s="233"/>
      <c r="R47" s="100" t="e">
        <f t="shared" si="66"/>
        <v>#DIV/0!</v>
      </c>
      <c r="S47" s="226">
        <f t="shared" si="67"/>
        <v>0</v>
      </c>
      <c r="T47" s="100" t="e">
        <f t="shared" si="68"/>
        <v>#DIV/0!</v>
      </c>
      <c r="U47" s="233"/>
      <c r="V47" s="100" t="e">
        <f t="shared" si="69"/>
        <v>#DIV/0!</v>
      </c>
      <c r="W47" s="233"/>
      <c r="X47" s="100" t="e">
        <f t="shared" si="70"/>
        <v>#DIV/0!</v>
      </c>
      <c r="Y47" s="233"/>
      <c r="Z47" s="100" t="e">
        <f t="shared" si="71"/>
        <v>#DIV/0!</v>
      </c>
      <c r="AA47" s="233"/>
      <c r="AB47" s="100" t="e">
        <f t="shared" si="72"/>
        <v>#DIV/0!</v>
      </c>
      <c r="AC47" s="226">
        <f t="shared" si="73"/>
        <v>0</v>
      </c>
      <c r="AD47" s="100" t="e">
        <f t="shared" si="74"/>
        <v>#DIV/0!</v>
      </c>
      <c r="AE47" s="233"/>
      <c r="AF47" s="100" t="e">
        <f t="shared" si="75"/>
        <v>#DIV/0!</v>
      </c>
      <c r="AG47" s="233"/>
      <c r="AH47" s="100" t="e">
        <f t="shared" si="76"/>
        <v>#DIV/0!</v>
      </c>
      <c r="AI47" s="233"/>
      <c r="AJ47" s="100" t="e">
        <f t="shared" si="77"/>
        <v>#DIV/0!</v>
      </c>
      <c r="AK47" s="233"/>
      <c r="AL47" s="100" t="e">
        <f t="shared" si="78"/>
        <v>#DIV/0!</v>
      </c>
    </row>
    <row r="48" spans="2:38" ht="14.25">
      <c r="B48" s="97"/>
      <c r="C48" s="83"/>
      <c r="D48" s="375">
        <f t="shared" si="52"/>
        <v>46209</v>
      </c>
      <c r="E48" s="375" t="s">
        <v>455</v>
      </c>
      <c r="F48" s="227">
        <f t="shared" si="60"/>
        <v>0</v>
      </c>
      <c r="G48" s="227"/>
      <c r="H48" s="96"/>
      <c r="I48" s="233"/>
      <c r="J48" s="100" t="e">
        <f t="shared" si="61"/>
        <v>#DIV/0!</v>
      </c>
      <c r="K48" s="233"/>
      <c r="L48" s="100" t="e">
        <f t="shared" si="62"/>
        <v>#DIV/0!</v>
      </c>
      <c r="M48" s="226">
        <f t="shared" si="63"/>
        <v>0</v>
      </c>
      <c r="N48" s="100" t="e">
        <f t="shared" si="64"/>
        <v>#DIV/0!</v>
      </c>
      <c r="O48" s="233"/>
      <c r="P48" s="100" t="e">
        <f t="shared" si="65"/>
        <v>#DIV/0!</v>
      </c>
      <c r="Q48" s="233"/>
      <c r="R48" s="100" t="e">
        <f t="shared" si="66"/>
        <v>#DIV/0!</v>
      </c>
      <c r="S48" s="226">
        <f t="shared" si="67"/>
        <v>0</v>
      </c>
      <c r="T48" s="100" t="e">
        <f t="shared" si="68"/>
        <v>#DIV/0!</v>
      </c>
      <c r="U48" s="233"/>
      <c r="V48" s="100" t="e">
        <f t="shared" si="69"/>
        <v>#DIV/0!</v>
      </c>
      <c r="W48" s="233"/>
      <c r="X48" s="100" t="e">
        <f t="shared" si="70"/>
        <v>#DIV/0!</v>
      </c>
      <c r="Y48" s="233"/>
      <c r="Z48" s="100" t="e">
        <f t="shared" si="71"/>
        <v>#DIV/0!</v>
      </c>
      <c r="AA48" s="233"/>
      <c r="AB48" s="100" t="e">
        <f t="shared" si="72"/>
        <v>#DIV/0!</v>
      </c>
      <c r="AC48" s="226">
        <f t="shared" si="73"/>
        <v>0</v>
      </c>
      <c r="AD48" s="100" t="e">
        <f t="shared" si="74"/>
        <v>#DIV/0!</v>
      </c>
      <c r="AE48" s="233"/>
      <c r="AF48" s="100" t="e">
        <f t="shared" si="75"/>
        <v>#DIV/0!</v>
      </c>
      <c r="AG48" s="233"/>
      <c r="AH48" s="100" t="e">
        <f t="shared" si="76"/>
        <v>#DIV/0!</v>
      </c>
      <c r="AI48" s="233"/>
      <c r="AJ48" s="100" t="e">
        <f t="shared" si="77"/>
        <v>#DIV/0!</v>
      </c>
      <c r="AK48" s="233"/>
      <c r="AL48" s="100" t="e">
        <f t="shared" si="78"/>
        <v>#DIV/0!</v>
      </c>
    </row>
    <row r="49" spans="1:46" ht="14.25">
      <c r="B49" s="97"/>
      <c r="C49" s="83"/>
      <c r="D49" s="375"/>
      <c r="E49" s="375"/>
      <c r="F49" s="227">
        <f t="shared" si="20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0"/>
        <v>#DIV/0!</v>
      </c>
      <c r="S49" s="226">
        <f t="shared" si="41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54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75"/>
      <c r="E50" s="375"/>
      <c r="F50" s="96"/>
      <c r="G50" s="96"/>
      <c r="H50" s="96"/>
      <c r="I50" s="278">
        <f>SUM(I7:I49)</f>
        <v>15017621.829825347</v>
      </c>
      <c r="J50" s="274">
        <f>I50/$H$12</f>
        <v>0.10580332336498342</v>
      </c>
      <c r="K50" s="278">
        <f>SUM(K7:K49)</f>
        <v>17509397.734039515</v>
      </c>
      <c r="L50" s="274">
        <f>K50/$H$12</f>
        <v>0.12335857776771809</v>
      </c>
      <c r="M50" s="278">
        <f>SUM(M8:M49)</f>
        <v>30762097.195510186</v>
      </c>
      <c r="N50" s="274" t="e">
        <f>M50/$H$8</f>
        <v>#DIV/0!</v>
      </c>
      <c r="O50" s="278">
        <f>SUM(O7:O49)</f>
        <v>3143556.6342742206</v>
      </c>
      <c r="P50" s="274">
        <f>O50/$H$12</f>
        <v>2.2147230957148319E-2</v>
      </c>
      <c r="Q50" s="278">
        <f>SUM(Q7:Q49)</f>
        <v>0</v>
      </c>
      <c r="R50" s="274">
        <f>Q50/$H$12</f>
        <v>0</v>
      </c>
      <c r="S50" s="278">
        <f>SUM(S8:S49)</f>
        <v>2988555.821447263</v>
      </c>
      <c r="T50" s="274" t="e">
        <f>S50/$H$8</f>
        <v>#DIV/0!</v>
      </c>
      <c r="U50" s="278">
        <f>SUM(U7:U49)</f>
        <v>21763540.240804985</v>
      </c>
      <c r="V50" s="274">
        <f>U50/$H$12</f>
        <v>0.15333019513726154</v>
      </c>
      <c r="W50" s="278">
        <f>SUM(W7:W49)</f>
        <v>1392321.7602532927</v>
      </c>
      <c r="X50" s="274">
        <f>W50/$H$12</f>
        <v>9.809294114439376E-3</v>
      </c>
      <c r="Y50" s="278">
        <f>SUM(Y7:Y49)</f>
        <v>14756172.699038666</v>
      </c>
      <c r="Z50" s="274">
        <f>Y50/$H$12</f>
        <v>0.1039613415091626</v>
      </c>
      <c r="AA50" s="278">
        <f>SUM(AA7:AA49)</f>
        <v>23538138.337076552</v>
      </c>
      <c r="AB50" s="274">
        <f>AA50/$H$12</f>
        <v>0.16583273237986357</v>
      </c>
      <c r="AC50" s="278">
        <f>SUM(AC8:AC49)</f>
        <v>36336603.966604628</v>
      </c>
      <c r="AD50" s="274" t="e">
        <f>AC50/$H$8</f>
        <v>#DIV/0!</v>
      </c>
      <c r="AE50" s="278">
        <f>SUM(AE7:AE49)</f>
        <v>29516542.014063444</v>
      </c>
      <c r="AF50" s="274">
        <f>AE50/$H$12</f>
        <v>0.20795224934535411</v>
      </c>
      <c r="AG50" s="278">
        <f>SUM(AG7:AG49)</f>
        <v>21833199.891353063</v>
      </c>
      <c r="AH50" s="274">
        <f>AG50/$H$12</f>
        <v>0.15382096675316365</v>
      </c>
      <c r="AI50" s="278">
        <f>SUM(AI7:AI49)</f>
        <v>32273063.832124773</v>
      </c>
      <c r="AJ50" s="274">
        <f>AI50/$H$12</f>
        <v>0.22737271235766363</v>
      </c>
      <c r="AK50" s="278">
        <f>SUM(AK7:AK49)</f>
        <v>17558118.027146161</v>
      </c>
      <c r="AL50" s="274">
        <f>AK50/$H$12</f>
        <v>0.12370182578557413</v>
      </c>
    </row>
    <row r="51" spans="1:46" ht="14.25">
      <c r="B51" s="97"/>
      <c r="C51" s="83"/>
      <c r="D51" s="375"/>
      <c r="E51" s="375"/>
      <c r="F51" s="96"/>
      <c r="G51" s="96"/>
      <c r="H51" s="96"/>
      <c r="I51" s="275"/>
      <c r="J51" s="276"/>
      <c r="K51" s="275"/>
      <c r="L51" s="276"/>
      <c r="M51" s="277">
        <f>M50</f>
        <v>30762097.195510186</v>
      </c>
      <c r="N51" s="276"/>
      <c r="O51" s="275"/>
      <c r="P51" s="276"/>
      <c r="Q51" s="275"/>
      <c r="R51" s="276"/>
      <c r="S51" s="277">
        <f>S50</f>
        <v>2988555.821447263</v>
      </c>
      <c r="T51" s="276"/>
      <c r="U51" s="277">
        <f>U50</f>
        <v>21763540.240804985</v>
      </c>
      <c r="V51" s="276"/>
      <c r="W51" s="277">
        <f>W50</f>
        <v>1392321.7602532927</v>
      </c>
      <c r="X51" s="276"/>
      <c r="Y51" s="275"/>
      <c r="Z51" s="276"/>
      <c r="AA51" s="275"/>
      <c r="AB51" s="276"/>
      <c r="AC51" s="277">
        <f>AC50</f>
        <v>36336603.966604628</v>
      </c>
      <c r="AD51" s="276"/>
      <c r="AE51" s="277">
        <f>AE50</f>
        <v>29516542.014063444</v>
      </c>
      <c r="AF51" s="276"/>
      <c r="AG51" s="277">
        <f>AG50</f>
        <v>21833199.891353063</v>
      </c>
      <c r="AH51" s="276"/>
      <c r="AI51" s="277">
        <f>AI50</f>
        <v>32273063.832124773</v>
      </c>
      <c r="AJ51" s="276"/>
      <c r="AK51" s="277">
        <f>AK50</f>
        <v>17558118.027146161</v>
      </c>
      <c r="AL51" s="276"/>
    </row>
    <row r="52" spans="1:46" ht="14.25">
      <c r="B52" s="97"/>
      <c r="C52" s="83"/>
      <c r="D52" s="375"/>
      <c r="E52" s="375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26" sqref="I26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05" t="s">
        <v>302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5"/>
      <c r="AA2" s="605"/>
      <c r="AB2" s="605"/>
      <c r="AC2" s="605"/>
      <c r="AD2" s="605"/>
      <c r="AE2" s="605"/>
      <c r="AF2" s="605"/>
      <c r="AG2" s="605"/>
      <c r="AH2" s="605"/>
      <c r="AI2" s="605"/>
      <c r="AJ2" s="605"/>
      <c r="AK2" s="605"/>
      <c r="AL2" s="605"/>
    </row>
    <row r="3" spans="1:38" ht="25.35" customHeight="1">
      <c r="B3" s="97"/>
      <c r="C3" s="606" t="s">
        <v>139</v>
      </c>
      <c r="D3" s="607" t="s">
        <v>105</v>
      </c>
      <c r="E3" s="607"/>
      <c r="F3" s="614" t="s">
        <v>148</v>
      </c>
      <c r="G3" s="615"/>
      <c r="H3" s="615"/>
      <c r="I3" s="613" t="s">
        <v>300</v>
      </c>
      <c r="J3" s="613"/>
      <c r="K3" s="613"/>
      <c r="L3" s="613"/>
      <c r="M3" s="613"/>
      <c r="N3" s="613"/>
      <c r="O3" s="613"/>
      <c r="P3" s="613"/>
      <c r="Q3" s="613"/>
      <c r="R3" s="613"/>
      <c r="S3" s="613"/>
      <c r="T3" s="613"/>
      <c r="U3" s="613"/>
      <c r="V3" s="613"/>
      <c r="W3" s="613"/>
      <c r="X3" s="613"/>
      <c r="Y3" s="613"/>
      <c r="Z3" s="613"/>
      <c r="AA3" s="613"/>
      <c r="AB3" s="613"/>
      <c r="AC3" s="613"/>
      <c r="AD3" s="613"/>
      <c r="AE3" s="613"/>
      <c r="AF3" s="613"/>
      <c r="AG3" s="613"/>
      <c r="AH3" s="613"/>
      <c r="AI3" s="613"/>
      <c r="AJ3" s="613"/>
      <c r="AK3" s="613"/>
      <c r="AL3" s="613"/>
    </row>
    <row r="4" spans="1:38" ht="25.35" customHeight="1">
      <c r="B4" s="97"/>
      <c r="C4" s="606"/>
      <c r="D4" s="607"/>
      <c r="E4" s="607"/>
      <c r="F4" s="615"/>
      <c r="G4" s="615"/>
      <c r="H4" s="615"/>
      <c r="I4" s="610" t="s">
        <v>140</v>
      </c>
      <c r="J4" s="610"/>
      <c r="K4" s="610"/>
      <c r="L4" s="610"/>
      <c r="M4" s="610"/>
      <c r="N4" s="610"/>
      <c r="O4" s="610" t="s">
        <v>141</v>
      </c>
      <c r="P4" s="610"/>
      <c r="Q4" s="610"/>
      <c r="R4" s="610"/>
      <c r="S4" s="610"/>
      <c r="T4" s="610"/>
      <c r="U4" s="610" t="s">
        <v>142</v>
      </c>
      <c r="V4" s="610"/>
      <c r="W4" s="610" t="s">
        <v>143</v>
      </c>
      <c r="X4" s="610"/>
      <c r="Y4" s="610" t="s">
        <v>134</v>
      </c>
      <c r="Z4" s="610"/>
      <c r="AA4" s="610"/>
      <c r="AB4" s="610"/>
      <c r="AC4" s="610"/>
      <c r="AD4" s="610"/>
      <c r="AE4" s="610" t="s">
        <v>132</v>
      </c>
      <c r="AF4" s="610"/>
      <c r="AG4" s="610" t="s">
        <v>144</v>
      </c>
      <c r="AH4" s="610"/>
      <c r="AI4" s="610" t="s">
        <v>145</v>
      </c>
      <c r="AJ4" s="610"/>
      <c r="AK4" s="610" t="s">
        <v>138</v>
      </c>
      <c r="AL4" s="610"/>
    </row>
    <row r="5" spans="1:38" ht="25.35" customHeight="1">
      <c r="B5" s="97"/>
      <c r="C5" s="606"/>
      <c r="D5" s="607"/>
      <c r="E5" s="607"/>
      <c r="F5" s="612" t="s">
        <v>115</v>
      </c>
      <c r="G5" s="612" t="s">
        <v>117</v>
      </c>
      <c r="H5" s="612" t="s">
        <v>118</v>
      </c>
      <c r="I5" s="610" t="s">
        <v>129</v>
      </c>
      <c r="J5" s="610"/>
      <c r="K5" s="610" t="s">
        <v>130</v>
      </c>
      <c r="L5" s="610"/>
      <c r="M5" s="611" t="s">
        <v>146</v>
      </c>
      <c r="N5" s="610"/>
      <c r="O5" s="610" t="s">
        <v>129</v>
      </c>
      <c r="P5" s="610"/>
      <c r="Q5" s="610" t="s">
        <v>130</v>
      </c>
      <c r="R5" s="610"/>
      <c r="S5" s="611" t="s">
        <v>146</v>
      </c>
      <c r="T5" s="610"/>
      <c r="U5" s="610" t="s">
        <v>129</v>
      </c>
      <c r="V5" s="610"/>
      <c r="W5" s="610" t="s">
        <v>129</v>
      </c>
      <c r="X5" s="610"/>
      <c r="Y5" s="610" t="s">
        <v>129</v>
      </c>
      <c r="Z5" s="610"/>
      <c r="AA5" s="610" t="s">
        <v>130</v>
      </c>
      <c r="AB5" s="610"/>
      <c r="AC5" s="611" t="s">
        <v>146</v>
      </c>
      <c r="AD5" s="610"/>
      <c r="AE5" s="610" t="s">
        <v>129</v>
      </c>
      <c r="AF5" s="610"/>
      <c r="AG5" s="610" t="s">
        <v>129</v>
      </c>
      <c r="AH5" s="610"/>
      <c r="AI5" s="610" t="s">
        <v>129</v>
      </c>
      <c r="AJ5" s="610"/>
      <c r="AK5" s="610" t="s">
        <v>129</v>
      </c>
      <c r="AL5" s="610"/>
    </row>
    <row r="6" spans="1:38" s="80" customFormat="1" ht="23.45" customHeight="1">
      <c r="B6" s="97"/>
      <c r="C6" s="606"/>
      <c r="D6" s="607"/>
      <c r="E6" s="607"/>
      <c r="F6" s="612"/>
      <c r="G6" s="612"/>
      <c r="H6" s="612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307">
        <v>46168</v>
      </c>
      <c r="E7" s="307" t="s">
        <v>456</v>
      </c>
      <c r="F7" s="87">
        <f t="shared" ref="F7" si="0">SUM(M7,S7,U7,W7,AC7,AE7,AG7,AI7,AK7)</f>
        <v>293602</v>
      </c>
      <c r="G7" s="309"/>
      <c r="H7" s="87"/>
      <c r="I7" s="234">
        <v>43490</v>
      </c>
      <c r="J7" s="100">
        <f t="shared" ref="J7:J13" si="1">I7/F7</f>
        <v>0.14812569396666236</v>
      </c>
      <c r="K7" s="234">
        <v>46868</v>
      </c>
      <c r="L7" s="100">
        <f t="shared" ref="L7:L13" si="2">K7/F7</f>
        <v>0.15963106518347966</v>
      </c>
      <c r="M7" s="105">
        <f t="shared" ref="M7:M13" si="3">SUM(I7+K7)</f>
        <v>90358</v>
      </c>
      <c r="N7" s="100">
        <f t="shared" ref="N7:N13" si="4">M7/F7</f>
        <v>0.30775675915014206</v>
      </c>
      <c r="O7" s="234">
        <v>5346</v>
      </c>
      <c r="P7" s="100">
        <f t="shared" ref="P7:P13" si="5">O7/F7</f>
        <v>1.8208322831588342E-2</v>
      </c>
      <c r="Q7" s="234"/>
      <c r="R7" s="100">
        <f t="shared" ref="R7:R31" si="6">Q7/F7</f>
        <v>0</v>
      </c>
      <c r="S7" s="105">
        <f t="shared" ref="S7:S31" si="7">SUM(O7+Q7)</f>
        <v>5346</v>
      </c>
      <c r="T7" s="100">
        <f t="shared" ref="T7:T13" si="8">S7/F7</f>
        <v>1.8208322831588342E-2</v>
      </c>
      <c r="U7" s="234">
        <v>31003</v>
      </c>
      <c r="V7" s="100">
        <f t="shared" ref="V7:V13" si="9">U7/F7</f>
        <v>0.1055953297320863</v>
      </c>
      <c r="W7" s="234">
        <v>2504</v>
      </c>
      <c r="X7" s="100">
        <f t="shared" ref="X7:X13" si="10">W7/F7</f>
        <v>8.5285522578184073E-3</v>
      </c>
      <c r="Y7" s="234">
        <v>24706</v>
      </c>
      <c r="Z7" s="100">
        <f t="shared" ref="Z7:Z13" si="11">Y7/F7</f>
        <v>8.414792814762842E-2</v>
      </c>
      <c r="AA7" s="234">
        <v>23664</v>
      </c>
      <c r="AB7" s="100">
        <f t="shared" ref="AB7:AB31" si="12">AA7/F7</f>
        <v>8.0598906002002715E-2</v>
      </c>
      <c r="AC7" s="105">
        <f t="shared" ref="AC7:AC13" si="13">SUM(Y7+AA7)</f>
        <v>48370</v>
      </c>
      <c r="AD7" s="100">
        <f t="shared" ref="AD7:AD13" si="14">AC7/F7</f>
        <v>0.16474683414963112</v>
      </c>
      <c r="AE7" s="234">
        <v>25848</v>
      </c>
      <c r="AF7" s="100">
        <f t="shared" ref="AF7:AF13" si="15">AE7/F7</f>
        <v>8.8037547428151036E-2</v>
      </c>
      <c r="AG7" s="234">
        <v>27750</v>
      </c>
      <c r="AH7" s="100">
        <f t="shared" ref="AH7:AH13" si="16">AG7/F7</f>
        <v>9.4515704933890096E-2</v>
      </c>
      <c r="AI7" s="234">
        <v>36353</v>
      </c>
      <c r="AJ7" s="100">
        <f t="shared" ref="AJ7:AJ13" si="17">AI7/F7</f>
        <v>0.12381727644907051</v>
      </c>
      <c r="AK7" s="234">
        <v>26070</v>
      </c>
      <c r="AL7" s="100">
        <f t="shared" ref="AL7:AL13" si="18">AK7/F7</f>
        <v>8.8793673067622161E-2</v>
      </c>
    </row>
    <row r="8" spans="1:38" ht="14.25">
      <c r="B8" s="97"/>
      <c r="C8" s="83"/>
      <c r="D8" s="307">
        <f t="shared" ref="D8" si="19">D7+1</f>
        <v>46169</v>
      </c>
      <c r="E8" s="307" t="s">
        <v>457</v>
      </c>
      <c r="F8" s="87">
        <f>SUM(M8,S8,U8,W8,AC8,AE8,AG8,AI8,AK8)</f>
        <v>289569</v>
      </c>
      <c r="G8" s="309">
        <f>SUM(F7:F13)</f>
        <v>1972816</v>
      </c>
      <c r="H8" s="326"/>
      <c r="I8" s="234">
        <v>42001</v>
      </c>
      <c r="J8" s="100">
        <f t="shared" si="1"/>
        <v>0.14504660374556669</v>
      </c>
      <c r="K8" s="234">
        <v>46176</v>
      </c>
      <c r="L8" s="100">
        <f t="shared" si="2"/>
        <v>0.15946458357075516</v>
      </c>
      <c r="M8" s="105">
        <f t="shared" si="3"/>
        <v>88177</v>
      </c>
      <c r="N8" s="100">
        <f t="shared" si="4"/>
        <v>0.30451118731632182</v>
      </c>
      <c r="O8" s="234">
        <v>5367</v>
      </c>
      <c r="P8" s="100">
        <f t="shared" si="5"/>
        <v>1.8534442568092578E-2</v>
      </c>
      <c r="Q8" s="234"/>
      <c r="R8" s="100">
        <f t="shared" si="6"/>
        <v>0</v>
      </c>
      <c r="S8" s="105">
        <f t="shared" si="7"/>
        <v>5367</v>
      </c>
      <c r="T8" s="100">
        <f t="shared" si="8"/>
        <v>1.8534442568092578E-2</v>
      </c>
      <c r="U8" s="234">
        <v>30526</v>
      </c>
      <c r="V8" s="100">
        <f t="shared" si="9"/>
        <v>0.1054187430284319</v>
      </c>
      <c r="W8" s="234">
        <v>2506</v>
      </c>
      <c r="X8" s="100">
        <f t="shared" si="10"/>
        <v>8.6542413034544439E-3</v>
      </c>
      <c r="Y8" s="234">
        <v>25020</v>
      </c>
      <c r="Z8" s="100">
        <f t="shared" si="11"/>
        <v>8.6404276700889945E-2</v>
      </c>
      <c r="AA8" s="234">
        <v>22141</v>
      </c>
      <c r="AB8" s="100">
        <f t="shared" si="12"/>
        <v>7.646191408610728E-2</v>
      </c>
      <c r="AC8" s="105">
        <f t="shared" si="13"/>
        <v>47161</v>
      </c>
      <c r="AD8" s="100">
        <f t="shared" si="14"/>
        <v>0.16286619078699724</v>
      </c>
      <c r="AE8" s="234">
        <v>25845</v>
      </c>
      <c r="AF8" s="100">
        <f t="shared" si="15"/>
        <v>8.9253338582514011E-2</v>
      </c>
      <c r="AG8" s="234">
        <v>20373</v>
      </c>
      <c r="AH8" s="100">
        <f t="shared" si="16"/>
        <v>7.0356288138578374E-2</v>
      </c>
      <c r="AI8" s="234">
        <v>43870</v>
      </c>
      <c r="AJ8" s="100">
        <f t="shared" si="17"/>
        <v>0.15150102393557321</v>
      </c>
      <c r="AK8" s="234">
        <v>25744</v>
      </c>
      <c r="AL8" s="100">
        <f t="shared" si="18"/>
        <v>8.8904544340036404E-2</v>
      </c>
    </row>
    <row r="9" spans="1:38" ht="14.25">
      <c r="B9" s="97"/>
      <c r="C9" s="83"/>
      <c r="D9" s="307">
        <f>D8+1</f>
        <v>46170</v>
      </c>
      <c r="E9" s="307" t="s">
        <v>458</v>
      </c>
      <c r="F9" s="87">
        <f t="shared" ref="F9:F44" si="20">SUM(M9,S9,U9,W9,AC9,AE9,AG9,AI9,AK9)</f>
        <v>272954</v>
      </c>
      <c r="G9" s="309"/>
      <c r="I9" s="234">
        <v>40103</v>
      </c>
      <c r="J9" s="100">
        <f t="shared" si="1"/>
        <v>0.14692219201770262</v>
      </c>
      <c r="K9" s="234">
        <v>41987</v>
      </c>
      <c r="L9" s="100">
        <f t="shared" si="2"/>
        <v>0.15382445393729346</v>
      </c>
      <c r="M9" s="105">
        <f t="shared" si="3"/>
        <v>82090</v>
      </c>
      <c r="N9" s="100">
        <f t="shared" si="4"/>
        <v>0.30074664595499606</v>
      </c>
      <c r="O9" s="234">
        <v>5398</v>
      </c>
      <c r="P9" s="100">
        <f t="shared" si="5"/>
        <v>1.977622603075976E-2</v>
      </c>
      <c r="Q9" s="234"/>
      <c r="R9" s="100">
        <f t="shared" si="6"/>
        <v>0</v>
      </c>
      <c r="S9" s="105">
        <f t="shared" si="7"/>
        <v>5398</v>
      </c>
      <c r="T9" s="100">
        <f t="shared" si="8"/>
        <v>1.977622603075976E-2</v>
      </c>
      <c r="U9" s="234">
        <v>27560</v>
      </c>
      <c r="V9" s="100">
        <f t="shared" si="9"/>
        <v>0.10096939411036292</v>
      </c>
      <c r="W9" s="234">
        <v>2222</v>
      </c>
      <c r="X9" s="100">
        <f t="shared" si="10"/>
        <v>8.1405658096235997E-3</v>
      </c>
      <c r="Y9" s="234">
        <v>25312</v>
      </c>
      <c r="Z9" s="100">
        <f t="shared" si="11"/>
        <v>9.2733574155352189E-2</v>
      </c>
      <c r="AA9" s="234">
        <v>17404</v>
      </c>
      <c r="AB9" s="100">
        <f t="shared" si="12"/>
        <v>6.376165947375749E-2</v>
      </c>
      <c r="AC9" s="105">
        <f t="shared" si="13"/>
        <v>42716</v>
      </c>
      <c r="AD9" s="100">
        <f t="shared" si="14"/>
        <v>0.15649523362910966</v>
      </c>
      <c r="AE9" s="234">
        <v>23903</v>
      </c>
      <c r="AF9" s="100">
        <f t="shared" si="15"/>
        <v>8.7571532199564761E-2</v>
      </c>
      <c r="AG9" s="234">
        <v>19104</v>
      </c>
      <c r="AH9" s="100">
        <f t="shared" si="16"/>
        <v>6.9989815133685532E-2</v>
      </c>
      <c r="AI9" s="234">
        <v>44782</v>
      </c>
      <c r="AJ9" s="100">
        <f t="shared" si="17"/>
        <v>0.16406427456641046</v>
      </c>
      <c r="AK9" s="234">
        <v>25179</v>
      </c>
      <c r="AL9" s="100">
        <f t="shared" si="18"/>
        <v>9.2246312565487223E-2</v>
      </c>
    </row>
    <row r="10" spans="1:38" ht="14.25">
      <c r="B10" s="97"/>
      <c r="C10" s="83"/>
      <c r="D10" s="307">
        <f t="shared" ref="D10:D36" si="21">D9+1</f>
        <v>46171</v>
      </c>
      <c r="E10" s="307" t="s">
        <v>459</v>
      </c>
      <c r="F10" s="87">
        <f t="shared" si="20"/>
        <v>253473</v>
      </c>
      <c r="G10" s="309"/>
      <c r="H10" s="356"/>
      <c r="I10" s="234">
        <v>35894</v>
      </c>
      <c r="J10" s="100">
        <f t="shared" si="1"/>
        <v>0.14160877095390831</v>
      </c>
      <c r="K10" s="234">
        <v>39502</v>
      </c>
      <c r="L10" s="100">
        <f t="shared" si="2"/>
        <v>0.1558430286460491</v>
      </c>
      <c r="M10" s="105">
        <f t="shared" si="3"/>
        <v>75396</v>
      </c>
      <c r="N10" s="100">
        <f t="shared" si="4"/>
        <v>0.29745179959995738</v>
      </c>
      <c r="O10" s="234">
        <v>4525</v>
      </c>
      <c r="P10" s="100">
        <f t="shared" si="5"/>
        <v>1.7852000015780772E-2</v>
      </c>
      <c r="Q10" s="234"/>
      <c r="R10" s="100">
        <f t="shared" si="6"/>
        <v>0</v>
      </c>
      <c r="S10" s="105">
        <f t="shared" si="7"/>
        <v>4525</v>
      </c>
      <c r="T10" s="100">
        <f t="shared" si="8"/>
        <v>1.7852000015780772E-2</v>
      </c>
      <c r="U10" s="234">
        <v>24649</v>
      </c>
      <c r="V10" s="100">
        <f t="shared" si="9"/>
        <v>9.7245071467177965E-2</v>
      </c>
      <c r="W10" s="234">
        <v>1580</v>
      </c>
      <c r="X10" s="100">
        <f t="shared" si="10"/>
        <v>6.2334055303720709E-3</v>
      </c>
      <c r="Y10" s="234">
        <v>22730</v>
      </c>
      <c r="Z10" s="100">
        <f t="shared" si="11"/>
        <v>8.9674245383137452E-2</v>
      </c>
      <c r="AA10" s="234">
        <v>17753</v>
      </c>
      <c r="AB10" s="100">
        <f t="shared" si="12"/>
        <v>7.0039017962465436E-2</v>
      </c>
      <c r="AC10" s="105">
        <f t="shared" si="13"/>
        <v>40483</v>
      </c>
      <c r="AD10" s="100">
        <f t="shared" si="14"/>
        <v>0.15971326334560287</v>
      </c>
      <c r="AE10" s="234">
        <v>20732</v>
      </c>
      <c r="AF10" s="100">
        <f t="shared" si="15"/>
        <v>8.1791749022578339E-2</v>
      </c>
      <c r="AG10" s="234">
        <v>17422</v>
      </c>
      <c r="AH10" s="100">
        <f t="shared" si="16"/>
        <v>6.8733158955786217E-2</v>
      </c>
      <c r="AI10" s="234">
        <v>47162</v>
      </c>
      <c r="AJ10" s="100">
        <f t="shared" si="17"/>
        <v>0.18606320988823266</v>
      </c>
      <c r="AK10" s="234">
        <v>21524</v>
      </c>
      <c r="AL10" s="100">
        <f t="shared" si="18"/>
        <v>8.4916342174511689E-2</v>
      </c>
    </row>
    <row r="11" spans="1:38" ht="14.25">
      <c r="B11" s="97"/>
      <c r="C11" s="83"/>
      <c r="D11" s="307">
        <f t="shared" si="21"/>
        <v>46172</v>
      </c>
      <c r="E11" s="307" t="s">
        <v>460</v>
      </c>
      <c r="F11" s="87">
        <f t="shared" si="20"/>
        <v>262061</v>
      </c>
      <c r="G11" s="309"/>
      <c r="H11" s="356"/>
      <c r="I11" s="351">
        <v>33193</v>
      </c>
      <c r="J11" s="352">
        <f t="shared" si="1"/>
        <v>0.12666134983839641</v>
      </c>
      <c r="K11" s="351">
        <v>43858</v>
      </c>
      <c r="L11" s="352">
        <f t="shared" si="2"/>
        <v>0.16735798153864939</v>
      </c>
      <c r="M11" s="353">
        <f t="shared" si="3"/>
        <v>77051</v>
      </c>
      <c r="N11" s="352">
        <f t="shared" si="4"/>
        <v>0.29401933137704578</v>
      </c>
      <c r="O11" s="351">
        <v>4535</v>
      </c>
      <c r="P11" s="352">
        <f t="shared" si="5"/>
        <v>1.7305131248068199E-2</v>
      </c>
      <c r="Q11" s="351"/>
      <c r="R11" s="352">
        <f t="shared" si="6"/>
        <v>0</v>
      </c>
      <c r="S11" s="353">
        <f t="shared" si="7"/>
        <v>4535</v>
      </c>
      <c r="T11" s="352">
        <f t="shared" si="8"/>
        <v>1.7305131248068199E-2</v>
      </c>
      <c r="U11" s="351">
        <v>26605</v>
      </c>
      <c r="V11" s="352">
        <f t="shared" si="9"/>
        <v>0.10152216468684772</v>
      </c>
      <c r="W11" s="351">
        <v>1818</v>
      </c>
      <c r="X11" s="352">
        <f t="shared" si="10"/>
        <v>6.937316121055785E-3</v>
      </c>
      <c r="Y11" s="351">
        <v>23645</v>
      </c>
      <c r="Z11" s="352">
        <f t="shared" si="11"/>
        <v>9.0227084533753596E-2</v>
      </c>
      <c r="AA11" s="351">
        <v>19471</v>
      </c>
      <c r="AB11" s="352">
        <f t="shared" si="12"/>
        <v>7.4299495155708023E-2</v>
      </c>
      <c r="AC11" s="353">
        <f t="shared" si="13"/>
        <v>43116</v>
      </c>
      <c r="AD11" s="352">
        <f t="shared" si="14"/>
        <v>0.16452657968946161</v>
      </c>
      <c r="AE11" s="351">
        <v>23221</v>
      </c>
      <c r="AF11" s="352">
        <f t="shared" si="15"/>
        <v>8.8609140619931998E-2</v>
      </c>
      <c r="AG11" s="351">
        <v>20421</v>
      </c>
      <c r="AH11" s="352">
        <f t="shared" si="16"/>
        <v>7.7924605339978095E-2</v>
      </c>
      <c r="AI11" s="351">
        <v>41617</v>
      </c>
      <c r="AJ11" s="352">
        <f t="shared" si="17"/>
        <v>0.15880653740922915</v>
      </c>
      <c r="AK11" s="351">
        <v>23677</v>
      </c>
      <c r="AL11" s="100">
        <f t="shared" si="18"/>
        <v>9.0349193508381637E-2</v>
      </c>
    </row>
    <row r="12" spans="1:38" ht="14.25">
      <c r="B12" s="97"/>
      <c r="C12" s="83"/>
      <c r="D12" s="307">
        <f t="shared" si="21"/>
        <v>46173</v>
      </c>
      <c r="E12" s="307" t="s">
        <v>461</v>
      </c>
      <c r="F12" s="87">
        <f t="shared" si="20"/>
        <v>307771</v>
      </c>
      <c r="G12" s="309"/>
      <c r="H12" s="356">
        <f>SUM(F13:F42)</f>
        <v>4205423</v>
      </c>
      <c r="I12" s="234">
        <v>41146</v>
      </c>
      <c r="J12" s="100">
        <f t="shared" si="1"/>
        <v>0.13369030870354906</v>
      </c>
      <c r="K12" s="234">
        <v>48409</v>
      </c>
      <c r="L12" s="100">
        <f t="shared" si="2"/>
        <v>0.15728902333228276</v>
      </c>
      <c r="M12" s="105">
        <f t="shared" si="3"/>
        <v>89555</v>
      </c>
      <c r="N12" s="100">
        <f t="shared" si="4"/>
        <v>0.29097933203583182</v>
      </c>
      <c r="O12" s="234">
        <v>5511</v>
      </c>
      <c r="P12" s="100">
        <f t="shared" si="5"/>
        <v>1.790617049689542E-2</v>
      </c>
      <c r="Q12" s="234"/>
      <c r="R12" s="100">
        <f t="shared" si="6"/>
        <v>0</v>
      </c>
      <c r="S12" s="105">
        <f t="shared" si="7"/>
        <v>5511</v>
      </c>
      <c r="T12" s="100">
        <f t="shared" si="8"/>
        <v>1.790617049689542E-2</v>
      </c>
      <c r="U12" s="234">
        <v>33597</v>
      </c>
      <c r="V12" s="100">
        <f t="shared" si="9"/>
        <v>0.10916233173365912</v>
      </c>
      <c r="W12" s="234">
        <v>2148</v>
      </c>
      <c r="X12" s="100">
        <f t="shared" si="10"/>
        <v>6.9792150657469352E-3</v>
      </c>
      <c r="Y12" s="234">
        <v>27102</v>
      </c>
      <c r="Z12" s="100">
        <f t="shared" si="11"/>
        <v>8.80589789161422E-2</v>
      </c>
      <c r="AA12" s="234">
        <v>21922</v>
      </c>
      <c r="AB12" s="100">
        <f t="shared" si="12"/>
        <v>7.1228283366529005E-2</v>
      </c>
      <c r="AC12" s="105">
        <f t="shared" si="13"/>
        <v>49024</v>
      </c>
      <c r="AD12" s="100">
        <f t="shared" si="14"/>
        <v>0.1592872622826712</v>
      </c>
      <c r="AE12" s="234">
        <v>28798</v>
      </c>
      <c r="AF12" s="100">
        <f t="shared" si="15"/>
        <v>9.3569569582579254E-2</v>
      </c>
      <c r="AG12" s="234">
        <v>24889</v>
      </c>
      <c r="AH12" s="100">
        <f t="shared" si="16"/>
        <v>8.0868567863768837E-2</v>
      </c>
      <c r="AI12" s="234">
        <v>46034</v>
      </c>
      <c r="AJ12" s="100">
        <f t="shared" si="17"/>
        <v>0.14957224689785587</v>
      </c>
      <c r="AK12" s="234">
        <v>28215</v>
      </c>
      <c r="AL12" s="352">
        <f t="shared" si="18"/>
        <v>9.1675304040991515E-2</v>
      </c>
    </row>
    <row r="13" spans="1:38" ht="14.25">
      <c r="B13" s="97"/>
      <c r="C13" s="83"/>
      <c r="D13" s="307">
        <f t="shared" si="21"/>
        <v>46174</v>
      </c>
      <c r="E13" s="307" t="s">
        <v>455</v>
      </c>
      <c r="F13" s="87">
        <f t="shared" si="20"/>
        <v>293386</v>
      </c>
      <c r="G13" s="309"/>
      <c r="H13" s="356"/>
      <c r="I13" s="234">
        <v>40188</v>
      </c>
      <c r="J13" s="100">
        <f t="shared" si="1"/>
        <v>0.13697995132692084</v>
      </c>
      <c r="K13" s="234">
        <v>47322</v>
      </c>
      <c r="L13" s="100">
        <f t="shared" si="2"/>
        <v>0.16129604002917658</v>
      </c>
      <c r="M13" s="105">
        <f t="shared" si="3"/>
        <v>87510</v>
      </c>
      <c r="N13" s="100">
        <f t="shared" si="4"/>
        <v>0.29827599135609745</v>
      </c>
      <c r="O13" s="234">
        <v>5467</v>
      </c>
      <c r="P13" s="100">
        <f t="shared" si="5"/>
        <v>1.8634154322292134E-2</v>
      </c>
      <c r="Q13" s="234"/>
      <c r="R13" s="100">
        <f t="shared" si="6"/>
        <v>0</v>
      </c>
      <c r="S13" s="105">
        <f t="shared" si="7"/>
        <v>5467</v>
      </c>
      <c r="T13" s="100">
        <f t="shared" si="8"/>
        <v>1.8634154322292134E-2</v>
      </c>
      <c r="U13" s="234">
        <v>33031</v>
      </c>
      <c r="V13" s="100">
        <f t="shared" si="9"/>
        <v>0.11258546760922471</v>
      </c>
      <c r="W13" s="234">
        <v>2315</v>
      </c>
      <c r="X13" s="100">
        <f t="shared" si="10"/>
        <v>7.8906287280238324E-3</v>
      </c>
      <c r="Y13" s="234">
        <v>26027</v>
      </c>
      <c r="Z13" s="100">
        <f t="shared" si="11"/>
        <v>8.8712481168153903E-2</v>
      </c>
      <c r="AA13" s="234">
        <v>22114</v>
      </c>
      <c r="AB13" s="100">
        <f t="shared" si="12"/>
        <v>7.5375103106487693E-2</v>
      </c>
      <c r="AC13" s="105">
        <f t="shared" si="13"/>
        <v>48141</v>
      </c>
      <c r="AD13" s="100">
        <f t="shared" si="14"/>
        <v>0.1640875842746416</v>
      </c>
      <c r="AE13" s="234">
        <v>27977</v>
      </c>
      <c r="AF13" s="100">
        <f t="shared" si="15"/>
        <v>9.5359015085927756E-2</v>
      </c>
      <c r="AG13" s="234">
        <v>21515</v>
      </c>
      <c r="AH13" s="100">
        <f t="shared" si="16"/>
        <v>7.3333424226104865E-2</v>
      </c>
      <c r="AI13" s="234">
        <v>38330</v>
      </c>
      <c r="AJ13" s="100">
        <f t="shared" si="17"/>
        <v>0.13064699747090863</v>
      </c>
      <c r="AK13" s="234">
        <v>29100</v>
      </c>
      <c r="AL13" s="100">
        <f t="shared" si="18"/>
        <v>9.9186736926779054E-2</v>
      </c>
    </row>
    <row r="14" spans="1:38" ht="14.25">
      <c r="B14" s="97"/>
      <c r="C14" s="83"/>
      <c r="D14" s="375">
        <f t="shared" si="21"/>
        <v>46175</v>
      </c>
      <c r="E14" s="375" t="s">
        <v>456</v>
      </c>
      <c r="F14" s="87">
        <f t="shared" si="20"/>
        <v>300488</v>
      </c>
      <c r="G14" s="309">
        <f>SUM(F14:F20)</f>
        <v>1939291</v>
      </c>
      <c r="H14" s="356"/>
      <c r="I14" s="234">
        <v>39840</v>
      </c>
      <c r="J14" s="100">
        <f>I14/F14</f>
        <v>0.13258432949069512</v>
      </c>
      <c r="K14" s="234">
        <v>45903</v>
      </c>
      <c r="L14" s="100">
        <f>K14/F14</f>
        <v>0.15276150794707277</v>
      </c>
      <c r="M14" s="105">
        <f>SUM(I14+K14)</f>
        <v>85743</v>
      </c>
      <c r="N14" s="100">
        <f>M14/F14</f>
        <v>0.28534583743776792</v>
      </c>
      <c r="O14" s="234">
        <v>5427</v>
      </c>
      <c r="P14" s="100">
        <f>O14/F14</f>
        <v>1.8060621389206891E-2</v>
      </c>
      <c r="Q14" s="234"/>
      <c r="R14" s="100">
        <f t="shared" si="6"/>
        <v>0</v>
      </c>
      <c r="S14" s="105">
        <f t="shared" si="7"/>
        <v>5427</v>
      </c>
      <c r="T14" s="100">
        <f>S14/F14</f>
        <v>1.8060621389206891E-2</v>
      </c>
      <c r="U14" s="234">
        <v>31949</v>
      </c>
      <c r="V14" s="100">
        <f>U14/F14</f>
        <v>0.10632371342616011</v>
      </c>
      <c r="W14" s="234">
        <v>1950</v>
      </c>
      <c r="X14" s="100">
        <f>W14/F14</f>
        <v>6.4894438380234815E-3</v>
      </c>
      <c r="Y14" s="234">
        <v>26311</v>
      </c>
      <c r="Z14" s="100">
        <f>Y14/F14</f>
        <v>8.7560900934479907E-2</v>
      </c>
      <c r="AA14" s="234">
        <v>21338</v>
      </c>
      <c r="AB14" s="100">
        <f t="shared" si="12"/>
        <v>7.101115518756157E-2</v>
      </c>
      <c r="AC14" s="105">
        <f>SUM(Y14+AA14)</f>
        <v>47649</v>
      </c>
      <c r="AD14" s="100">
        <f>AC14/F14</f>
        <v>0.15857205612204148</v>
      </c>
      <c r="AE14" s="234">
        <v>26755</v>
      </c>
      <c r="AF14" s="100">
        <f>AE14/F14</f>
        <v>8.9038497377599099E-2</v>
      </c>
      <c r="AG14" s="234">
        <v>19667</v>
      </c>
      <c r="AH14" s="100">
        <f>AG14/F14</f>
        <v>6.5450201006362979E-2</v>
      </c>
      <c r="AI14" s="234">
        <v>44098</v>
      </c>
      <c r="AJ14" s="100">
        <f>AI14/F14</f>
        <v>0.14675461249700486</v>
      </c>
      <c r="AK14" s="234">
        <v>37250</v>
      </c>
      <c r="AL14" s="100">
        <f>AK14/F14</f>
        <v>0.12396501690583318</v>
      </c>
    </row>
    <row r="15" spans="1:38" ht="14.25">
      <c r="B15" s="97"/>
      <c r="C15" s="83"/>
      <c r="D15" s="375">
        <f t="shared" si="21"/>
        <v>46176</v>
      </c>
      <c r="E15" s="375" t="s">
        <v>457</v>
      </c>
      <c r="F15" s="87">
        <f t="shared" si="20"/>
        <v>281796</v>
      </c>
      <c r="G15" s="309"/>
      <c r="H15" s="356"/>
      <c r="I15" s="234">
        <v>39500</v>
      </c>
      <c r="J15" s="100">
        <f t="shared" ref="J15:J31" si="22">I15/F15</f>
        <v>0.14017232324092607</v>
      </c>
      <c r="K15" s="234">
        <v>44865</v>
      </c>
      <c r="L15" s="100">
        <f t="shared" ref="L15:L31" si="23">K15/F15</f>
        <v>0.15921091853681388</v>
      </c>
      <c r="M15" s="105">
        <f t="shared" ref="M15:M31" si="24">SUM(I15+K15)</f>
        <v>84365</v>
      </c>
      <c r="N15" s="100">
        <f t="shared" ref="N15:N31" si="25">M15/F15</f>
        <v>0.29938324177773995</v>
      </c>
      <c r="O15" s="234">
        <v>5440</v>
      </c>
      <c r="P15" s="100">
        <f t="shared" ref="P15:P31" si="26">O15/F15</f>
        <v>1.9304745276725006E-2</v>
      </c>
      <c r="Q15" s="234"/>
      <c r="R15" s="100">
        <f t="shared" si="6"/>
        <v>0</v>
      </c>
      <c r="S15" s="105">
        <f t="shared" si="7"/>
        <v>5440</v>
      </c>
      <c r="T15" s="100">
        <f t="shared" ref="T15:T31" si="27">S15/F15</f>
        <v>1.9304745276725006E-2</v>
      </c>
      <c r="U15" s="234">
        <v>28808</v>
      </c>
      <c r="V15" s="100">
        <f t="shared" ref="V15:V31" si="28">U15/F15</f>
        <v>0.10222998197277464</v>
      </c>
      <c r="W15" s="234">
        <v>1824</v>
      </c>
      <c r="X15" s="100">
        <f t="shared" ref="X15:X31" si="29">W15/F15</f>
        <v>6.4727675339607375E-3</v>
      </c>
      <c r="Y15" s="234">
        <v>25264</v>
      </c>
      <c r="Z15" s="100">
        <f t="shared" ref="Z15:Z31" si="30">Y15/F15</f>
        <v>8.965350821161408E-2</v>
      </c>
      <c r="AA15" s="234">
        <v>19373</v>
      </c>
      <c r="AB15" s="100">
        <f t="shared" si="12"/>
        <v>6.8748314383454703E-2</v>
      </c>
      <c r="AC15" s="105">
        <f t="shared" ref="AC15:AC31" si="31">SUM(Y15+AA15)</f>
        <v>44637</v>
      </c>
      <c r="AD15" s="100">
        <f t="shared" ref="AD15:AD31" si="32">AC15/F15</f>
        <v>0.15840182259506877</v>
      </c>
      <c r="AE15" s="234">
        <v>24580</v>
      </c>
      <c r="AF15" s="100">
        <f t="shared" ref="AF15:AF31" si="33">AE15/F15</f>
        <v>8.7226220386378797E-2</v>
      </c>
      <c r="AG15" s="234">
        <v>18078</v>
      </c>
      <c r="AH15" s="100">
        <f t="shared" ref="AH15:AH31" si="34">AG15/F15</f>
        <v>6.4152791380999025E-2</v>
      </c>
      <c r="AI15" s="234">
        <v>42163</v>
      </c>
      <c r="AJ15" s="100">
        <f t="shared" ref="AJ15:AJ31" si="35">AI15/F15</f>
        <v>0.1496224218938523</v>
      </c>
      <c r="AK15" s="234">
        <v>31901</v>
      </c>
      <c r="AL15" s="100">
        <f t="shared" ref="AL15" si="36">AK15/F15</f>
        <v>0.11320600718250082</v>
      </c>
    </row>
    <row r="16" spans="1:38" ht="14.25">
      <c r="B16" s="97"/>
      <c r="C16" s="83"/>
      <c r="D16" s="375">
        <f t="shared" si="21"/>
        <v>46177</v>
      </c>
      <c r="E16" s="375" t="s">
        <v>458</v>
      </c>
      <c r="F16" s="87">
        <f t="shared" si="20"/>
        <v>268178</v>
      </c>
      <c r="G16" s="309"/>
      <c r="H16" s="356"/>
      <c r="I16" s="234">
        <v>37791</v>
      </c>
      <c r="J16" s="100">
        <f t="shared" si="22"/>
        <v>0.14091759950480651</v>
      </c>
      <c r="K16" s="234">
        <v>41408</v>
      </c>
      <c r="L16" s="100">
        <f t="shared" si="23"/>
        <v>0.15440491017160243</v>
      </c>
      <c r="M16" s="105">
        <f t="shared" si="24"/>
        <v>79199</v>
      </c>
      <c r="N16" s="100">
        <f t="shared" si="25"/>
        <v>0.29532250967640894</v>
      </c>
      <c r="O16" s="234">
        <v>5345</v>
      </c>
      <c r="P16" s="100">
        <f t="shared" si="26"/>
        <v>1.9930792235008092E-2</v>
      </c>
      <c r="Q16" s="234"/>
      <c r="R16" s="100">
        <f t="shared" si="6"/>
        <v>0</v>
      </c>
      <c r="S16" s="105">
        <f t="shared" si="7"/>
        <v>5345</v>
      </c>
      <c r="T16" s="100">
        <f t="shared" si="27"/>
        <v>1.9930792235008092E-2</v>
      </c>
      <c r="U16" s="234">
        <v>25178</v>
      </c>
      <c r="V16" s="100">
        <f t="shared" si="28"/>
        <v>9.3885404470165343E-2</v>
      </c>
      <c r="W16" s="234">
        <v>1803</v>
      </c>
      <c r="X16" s="100">
        <f t="shared" si="29"/>
        <v>6.7231465668324769E-3</v>
      </c>
      <c r="Y16" s="234">
        <v>24378</v>
      </c>
      <c r="Z16" s="100">
        <f t="shared" si="30"/>
        <v>9.0902311151548593E-2</v>
      </c>
      <c r="AA16" s="234">
        <v>16164</v>
      </c>
      <c r="AB16" s="100">
        <f t="shared" si="12"/>
        <v>6.0273400502651224E-2</v>
      </c>
      <c r="AC16" s="105">
        <f t="shared" si="31"/>
        <v>40542</v>
      </c>
      <c r="AD16" s="100">
        <f t="shared" si="32"/>
        <v>0.15117571165419982</v>
      </c>
      <c r="AE16" s="234">
        <v>22731</v>
      </c>
      <c r="AF16" s="100">
        <f t="shared" si="33"/>
        <v>8.4760867781846383E-2</v>
      </c>
      <c r="AG16" s="234">
        <v>18327</v>
      </c>
      <c r="AH16" s="100">
        <f t="shared" si="34"/>
        <v>6.8338939062861231E-2</v>
      </c>
      <c r="AI16" s="234">
        <v>44975</v>
      </c>
      <c r="AJ16" s="100">
        <f t="shared" si="35"/>
        <v>0.16770577750598484</v>
      </c>
      <c r="AK16" s="234">
        <v>30078</v>
      </c>
      <c r="AL16" s="100">
        <f t="shared" ref="AL16:AL41" si="37">AK16/F16</f>
        <v>0.11215685104669287</v>
      </c>
    </row>
    <row r="17" spans="2:38" ht="14.25">
      <c r="B17" s="97"/>
      <c r="C17" s="83"/>
      <c r="D17" s="375">
        <f t="shared" si="21"/>
        <v>46178</v>
      </c>
      <c r="E17" s="375" t="s">
        <v>459</v>
      </c>
      <c r="F17" s="87">
        <f t="shared" si="20"/>
        <v>238249</v>
      </c>
      <c r="G17" s="309"/>
      <c r="H17" s="356"/>
      <c r="I17" s="234">
        <v>31989</v>
      </c>
      <c r="J17" s="100">
        <f t="shared" si="22"/>
        <v>0.13426709031307582</v>
      </c>
      <c r="K17" s="234">
        <v>38486</v>
      </c>
      <c r="L17" s="100">
        <f t="shared" si="23"/>
        <v>0.16153687948322973</v>
      </c>
      <c r="M17" s="105">
        <f t="shared" si="24"/>
        <v>70475</v>
      </c>
      <c r="N17" s="100">
        <f t="shared" si="25"/>
        <v>0.29580396979630552</v>
      </c>
      <c r="O17" s="234">
        <v>4531</v>
      </c>
      <c r="P17" s="100">
        <f t="shared" si="26"/>
        <v>1.9017918228408093E-2</v>
      </c>
      <c r="Q17" s="234"/>
      <c r="R17" s="100">
        <f t="shared" si="6"/>
        <v>0</v>
      </c>
      <c r="S17" s="105">
        <f t="shared" si="7"/>
        <v>4531</v>
      </c>
      <c r="T17" s="100">
        <f t="shared" si="27"/>
        <v>1.9017918228408093E-2</v>
      </c>
      <c r="U17" s="234">
        <v>22217</v>
      </c>
      <c r="V17" s="100">
        <f t="shared" si="28"/>
        <v>9.3251178388996381E-2</v>
      </c>
      <c r="W17" s="234">
        <v>1229</v>
      </c>
      <c r="X17" s="100">
        <f t="shared" si="29"/>
        <v>5.1584686609387658E-3</v>
      </c>
      <c r="Y17" s="234">
        <v>18805</v>
      </c>
      <c r="Z17" s="100">
        <f t="shared" si="30"/>
        <v>7.8930026988570781E-2</v>
      </c>
      <c r="AA17" s="234">
        <v>17954</v>
      </c>
      <c r="AB17" s="100">
        <f t="shared" si="12"/>
        <v>7.535813371724541E-2</v>
      </c>
      <c r="AC17" s="105">
        <f t="shared" si="31"/>
        <v>36759</v>
      </c>
      <c r="AD17" s="100">
        <f t="shared" si="32"/>
        <v>0.15428816070581619</v>
      </c>
      <c r="AE17" s="234">
        <v>18780</v>
      </c>
      <c r="AF17" s="100">
        <f t="shared" si="33"/>
        <v>7.8825094753807987E-2</v>
      </c>
      <c r="AG17" s="234">
        <v>17456</v>
      </c>
      <c r="AH17" s="100">
        <f t="shared" si="34"/>
        <v>7.326788360077062E-2</v>
      </c>
      <c r="AI17" s="234">
        <v>42380</v>
      </c>
      <c r="AJ17" s="100">
        <f t="shared" si="35"/>
        <v>0.17788112436988193</v>
      </c>
      <c r="AK17" s="234">
        <v>24422</v>
      </c>
      <c r="AL17" s="100">
        <f t="shared" si="37"/>
        <v>0.10250620149507449</v>
      </c>
    </row>
    <row r="18" spans="2:38" ht="14.25">
      <c r="B18" s="97"/>
      <c r="C18" s="83"/>
      <c r="D18" s="375">
        <f t="shared" si="21"/>
        <v>46179</v>
      </c>
      <c r="E18" s="375" t="s">
        <v>460</v>
      </c>
      <c r="F18" s="87">
        <f t="shared" si="20"/>
        <v>254956</v>
      </c>
      <c r="G18" s="309"/>
      <c r="H18" s="356"/>
      <c r="I18" s="234">
        <v>30868</v>
      </c>
      <c r="J18" s="100">
        <f t="shared" si="22"/>
        <v>0.1210718712248388</v>
      </c>
      <c r="K18" s="234">
        <v>43131</v>
      </c>
      <c r="L18" s="100">
        <f t="shared" si="23"/>
        <v>0.16917036665150065</v>
      </c>
      <c r="M18" s="105">
        <f t="shared" si="24"/>
        <v>73999</v>
      </c>
      <c r="N18" s="100">
        <f t="shared" si="25"/>
        <v>0.29024223787633946</v>
      </c>
      <c r="O18" s="234">
        <v>4450</v>
      </c>
      <c r="P18" s="100">
        <f t="shared" si="26"/>
        <v>1.7453992061375295E-2</v>
      </c>
      <c r="Q18" s="234"/>
      <c r="R18" s="100">
        <f t="shared" si="6"/>
        <v>0</v>
      </c>
      <c r="S18" s="105">
        <f t="shared" si="7"/>
        <v>4450</v>
      </c>
      <c r="T18" s="100">
        <f t="shared" si="27"/>
        <v>1.7453992061375295E-2</v>
      </c>
      <c r="U18" s="234">
        <v>25856</v>
      </c>
      <c r="V18" s="100">
        <f t="shared" si="28"/>
        <v>0.10141357724470104</v>
      </c>
      <c r="W18" s="234">
        <v>1531</v>
      </c>
      <c r="X18" s="100">
        <f t="shared" si="29"/>
        <v>6.0049577181945117E-3</v>
      </c>
      <c r="Y18" s="234">
        <v>21452</v>
      </c>
      <c r="Z18" s="100">
        <f t="shared" si="30"/>
        <v>8.4140008472050082E-2</v>
      </c>
      <c r="AA18" s="234">
        <v>21446</v>
      </c>
      <c r="AB18" s="100">
        <f t="shared" si="12"/>
        <v>8.4116474999607782E-2</v>
      </c>
      <c r="AC18" s="105">
        <f t="shared" si="31"/>
        <v>42898</v>
      </c>
      <c r="AD18" s="100">
        <f t="shared" si="32"/>
        <v>0.16825648347165786</v>
      </c>
      <c r="AE18" s="234">
        <v>22306</v>
      </c>
      <c r="AF18" s="100">
        <f t="shared" si="33"/>
        <v>8.748960604967132E-2</v>
      </c>
      <c r="AG18" s="234">
        <v>17225</v>
      </c>
      <c r="AH18" s="100">
        <f t="shared" si="34"/>
        <v>6.7560677136447075E-2</v>
      </c>
      <c r="AI18" s="234">
        <v>39545</v>
      </c>
      <c r="AJ18" s="100">
        <f t="shared" si="35"/>
        <v>0.1551051946218171</v>
      </c>
      <c r="AK18" s="234">
        <v>27146</v>
      </c>
      <c r="AL18" s="100">
        <f t="shared" si="37"/>
        <v>0.10647327381979636</v>
      </c>
    </row>
    <row r="19" spans="2:38" ht="14.25">
      <c r="B19" s="97"/>
      <c r="C19" s="83"/>
      <c r="D19" s="375">
        <f t="shared" si="21"/>
        <v>46180</v>
      </c>
      <c r="E19" s="375" t="s">
        <v>461</v>
      </c>
      <c r="F19" s="87">
        <f t="shared" si="20"/>
        <v>300446</v>
      </c>
      <c r="G19" s="309"/>
      <c r="H19" s="356"/>
      <c r="I19" s="234">
        <v>38322</v>
      </c>
      <c r="J19" s="100">
        <f t="shared" si="22"/>
        <v>0.1275503751090046</v>
      </c>
      <c r="K19" s="234">
        <v>46870</v>
      </c>
      <c r="L19" s="100">
        <f t="shared" si="23"/>
        <v>0.15600141123529687</v>
      </c>
      <c r="M19" s="105">
        <f t="shared" si="24"/>
        <v>85192</v>
      </c>
      <c r="N19" s="100">
        <f t="shared" si="25"/>
        <v>0.28355178634430145</v>
      </c>
      <c r="O19" s="234">
        <v>5485</v>
      </c>
      <c r="P19" s="100">
        <f t="shared" si="26"/>
        <v>1.8256192460541994E-2</v>
      </c>
      <c r="Q19" s="234"/>
      <c r="R19" s="100">
        <f t="shared" si="6"/>
        <v>0</v>
      </c>
      <c r="S19" s="105">
        <f t="shared" si="7"/>
        <v>5485</v>
      </c>
      <c r="T19" s="100">
        <f t="shared" si="27"/>
        <v>1.8256192460541994E-2</v>
      </c>
      <c r="U19" s="234">
        <v>33316</v>
      </c>
      <c r="V19" s="100">
        <f t="shared" si="28"/>
        <v>0.11088847912769682</v>
      </c>
      <c r="W19" s="234">
        <v>1789</v>
      </c>
      <c r="X19" s="100">
        <f t="shared" si="29"/>
        <v>5.9544810049060393E-3</v>
      </c>
      <c r="Y19" s="234">
        <v>26306</v>
      </c>
      <c r="Z19" s="100">
        <f t="shared" si="30"/>
        <v>8.7556499337651361E-2</v>
      </c>
      <c r="AA19" s="234">
        <v>22582</v>
      </c>
      <c r="AB19" s="100">
        <f t="shared" si="12"/>
        <v>7.5161593098260593E-2</v>
      </c>
      <c r="AC19" s="105">
        <f t="shared" si="31"/>
        <v>48888</v>
      </c>
      <c r="AD19" s="100">
        <f t="shared" si="32"/>
        <v>0.16271809243591195</v>
      </c>
      <c r="AE19" s="234">
        <v>28787</v>
      </c>
      <c r="AF19" s="100">
        <f t="shared" si="33"/>
        <v>9.5814222855355041E-2</v>
      </c>
      <c r="AG19" s="234">
        <v>21042</v>
      </c>
      <c r="AH19" s="100">
        <f t="shared" si="34"/>
        <v>7.0035879991745612E-2</v>
      </c>
      <c r="AI19" s="234">
        <v>42310</v>
      </c>
      <c r="AJ19" s="100">
        <f t="shared" si="35"/>
        <v>0.14082397502379795</v>
      </c>
      <c r="AK19" s="234">
        <v>33637</v>
      </c>
      <c r="AL19" s="100">
        <f t="shared" si="37"/>
        <v>0.11195689075574312</v>
      </c>
    </row>
    <row r="20" spans="2:38" ht="14.25">
      <c r="B20" s="97"/>
      <c r="C20" s="83"/>
      <c r="D20" s="375">
        <f t="shared" si="21"/>
        <v>46181</v>
      </c>
      <c r="E20" s="375" t="s">
        <v>455</v>
      </c>
      <c r="F20" s="87">
        <f t="shared" si="20"/>
        <v>295178</v>
      </c>
      <c r="G20" s="309"/>
      <c r="H20" s="356"/>
      <c r="I20" s="234">
        <v>37675</v>
      </c>
      <c r="J20" s="100">
        <f t="shared" si="22"/>
        <v>0.12763485083576689</v>
      </c>
      <c r="K20" s="234">
        <v>46412</v>
      </c>
      <c r="L20" s="100">
        <f t="shared" si="23"/>
        <v>0.1572339401987953</v>
      </c>
      <c r="M20" s="105">
        <f t="shared" si="24"/>
        <v>84087</v>
      </c>
      <c r="N20" s="100">
        <f t="shared" si="25"/>
        <v>0.2848687910345622</v>
      </c>
      <c r="O20" s="234">
        <v>5431</v>
      </c>
      <c r="P20" s="100">
        <f t="shared" si="26"/>
        <v>1.8399067681195754E-2</v>
      </c>
      <c r="Q20" s="234"/>
      <c r="R20" s="100">
        <f t="shared" si="6"/>
        <v>0</v>
      </c>
      <c r="S20" s="105">
        <f t="shared" si="7"/>
        <v>5431</v>
      </c>
      <c r="T20" s="100">
        <f t="shared" si="27"/>
        <v>1.8399067681195754E-2</v>
      </c>
      <c r="U20" s="234">
        <v>33045</v>
      </c>
      <c r="V20" s="100">
        <f t="shared" si="28"/>
        <v>0.11194940002303695</v>
      </c>
      <c r="W20" s="234">
        <v>1925</v>
      </c>
      <c r="X20" s="100">
        <f t="shared" si="29"/>
        <v>6.5214887288348048E-3</v>
      </c>
      <c r="Y20" s="234">
        <v>26675</v>
      </c>
      <c r="Z20" s="100">
        <f t="shared" si="30"/>
        <v>9.036920095671086E-2</v>
      </c>
      <c r="AA20" s="234">
        <v>26256</v>
      </c>
      <c r="AB20" s="100">
        <f t="shared" si="12"/>
        <v>8.8949718474954101E-2</v>
      </c>
      <c r="AC20" s="105">
        <f t="shared" si="31"/>
        <v>52931</v>
      </c>
      <c r="AD20" s="100">
        <f t="shared" si="32"/>
        <v>0.17931891943166497</v>
      </c>
      <c r="AE20" s="234">
        <v>28733</v>
      </c>
      <c r="AF20" s="100">
        <f t="shared" si="33"/>
        <v>9.7341265270446981E-2</v>
      </c>
      <c r="AG20" s="234">
        <v>20697</v>
      </c>
      <c r="AH20" s="100">
        <f t="shared" si="34"/>
        <v>7.0117014140620229E-2</v>
      </c>
      <c r="AI20" s="234">
        <v>36888</v>
      </c>
      <c r="AJ20" s="100">
        <f t="shared" si="35"/>
        <v>0.12496866297623807</v>
      </c>
      <c r="AK20" s="234">
        <v>31441</v>
      </c>
      <c r="AL20" s="100">
        <f t="shared" si="37"/>
        <v>0.10651539071340005</v>
      </c>
    </row>
    <row r="21" spans="2:38" ht="14.25">
      <c r="B21" s="97"/>
      <c r="C21" s="83"/>
      <c r="D21" s="307">
        <f t="shared" si="21"/>
        <v>46182</v>
      </c>
      <c r="E21" s="307" t="s">
        <v>456</v>
      </c>
      <c r="F21" s="87">
        <f t="shared" si="20"/>
        <v>310985</v>
      </c>
      <c r="G21" s="309">
        <f>SUM(F21:F27)</f>
        <v>1972746</v>
      </c>
      <c r="H21" s="356"/>
      <c r="I21" s="234">
        <v>37754</v>
      </c>
      <c r="J21" s="100">
        <f t="shared" si="22"/>
        <v>0.12140135376304323</v>
      </c>
      <c r="K21" s="234">
        <v>45885</v>
      </c>
      <c r="L21" s="100">
        <f t="shared" si="23"/>
        <v>0.14754730935575672</v>
      </c>
      <c r="M21" s="105">
        <f t="shared" si="24"/>
        <v>83639</v>
      </c>
      <c r="N21" s="100">
        <f t="shared" si="25"/>
        <v>0.26894866311879995</v>
      </c>
      <c r="O21" s="234">
        <v>5600</v>
      </c>
      <c r="P21" s="100">
        <f t="shared" si="26"/>
        <v>1.8007299387430262E-2</v>
      </c>
      <c r="Q21" s="234"/>
      <c r="R21" s="100">
        <f t="shared" si="6"/>
        <v>0</v>
      </c>
      <c r="S21" s="105">
        <f t="shared" si="7"/>
        <v>5600</v>
      </c>
      <c r="T21" s="100">
        <f t="shared" si="27"/>
        <v>1.8007299387430262E-2</v>
      </c>
      <c r="U21" s="234">
        <v>41197</v>
      </c>
      <c r="V21" s="100">
        <f t="shared" si="28"/>
        <v>0.13247262729713652</v>
      </c>
      <c r="W21" s="234">
        <v>1874</v>
      </c>
      <c r="X21" s="100">
        <f t="shared" si="29"/>
        <v>6.0260141164364843E-3</v>
      </c>
      <c r="Y21" s="234">
        <v>27090</v>
      </c>
      <c r="Z21" s="100">
        <f t="shared" si="30"/>
        <v>8.7110310786693887E-2</v>
      </c>
      <c r="AA21" s="234">
        <v>26484</v>
      </c>
      <c r="AB21" s="100">
        <f t="shared" si="12"/>
        <v>8.5161663745839833E-2</v>
      </c>
      <c r="AC21" s="105">
        <f t="shared" si="31"/>
        <v>53574</v>
      </c>
      <c r="AD21" s="100">
        <f t="shared" si="32"/>
        <v>0.17227197453253373</v>
      </c>
      <c r="AE21" s="234">
        <v>26093</v>
      </c>
      <c r="AF21" s="100">
        <f t="shared" si="33"/>
        <v>8.3904368377896041E-2</v>
      </c>
      <c r="AG21" s="234">
        <v>27829</v>
      </c>
      <c r="AH21" s="100">
        <f t="shared" si="34"/>
        <v>8.9486631187999419E-2</v>
      </c>
      <c r="AI21" s="234">
        <v>40097</v>
      </c>
      <c r="AJ21" s="100">
        <f t="shared" si="35"/>
        <v>0.12893547920317699</v>
      </c>
      <c r="AK21" s="234">
        <v>31082</v>
      </c>
      <c r="AL21" s="100">
        <f t="shared" si="37"/>
        <v>9.9946942778590606E-2</v>
      </c>
    </row>
    <row r="22" spans="2:38" ht="14.25">
      <c r="B22" s="97"/>
      <c r="C22" s="83"/>
      <c r="D22" s="307">
        <f t="shared" si="21"/>
        <v>46183</v>
      </c>
      <c r="E22" s="307" t="s">
        <v>457</v>
      </c>
      <c r="F22" s="87">
        <f t="shared" si="20"/>
        <v>294581</v>
      </c>
      <c r="G22" s="309"/>
      <c r="H22" s="356"/>
      <c r="I22" s="234">
        <v>37242</v>
      </c>
      <c r="J22" s="100">
        <f t="shared" si="22"/>
        <v>0.12642363220981664</v>
      </c>
      <c r="K22" s="234">
        <v>45517</v>
      </c>
      <c r="L22" s="100">
        <f t="shared" si="23"/>
        <v>0.1545143780488219</v>
      </c>
      <c r="M22" s="105">
        <f t="shared" si="24"/>
        <v>82759</v>
      </c>
      <c r="N22" s="100">
        <f t="shared" si="25"/>
        <v>0.28093801025863852</v>
      </c>
      <c r="O22" s="234">
        <v>5524</v>
      </c>
      <c r="P22" s="100">
        <f t="shared" si="26"/>
        <v>1.8752058007814491E-2</v>
      </c>
      <c r="Q22" s="234"/>
      <c r="R22" s="100">
        <f t="shared" si="6"/>
        <v>0</v>
      </c>
      <c r="S22" s="105">
        <f t="shared" si="7"/>
        <v>5524</v>
      </c>
      <c r="T22" s="100">
        <f t="shared" si="27"/>
        <v>1.8752058007814491E-2</v>
      </c>
      <c r="U22" s="234">
        <v>34505</v>
      </c>
      <c r="V22" s="100">
        <f t="shared" si="28"/>
        <v>0.11713246950753782</v>
      </c>
      <c r="W22" s="234">
        <v>1855</v>
      </c>
      <c r="X22" s="100">
        <f t="shared" si="29"/>
        <v>6.2970795808283634E-3</v>
      </c>
      <c r="Y22" s="234">
        <v>25468</v>
      </c>
      <c r="Z22" s="100">
        <f t="shared" si="30"/>
        <v>8.6454998794898513E-2</v>
      </c>
      <c r="AA22" s="234">
        <v>26103</v>
      </c>
      <c r="AB22" s="100">
        <f t="shared" si="12"/>
        <v>8.8610602856260254E-2</v>
      </c>
      <c r="AC22" s="105">
        <f t="shared" si="31"/>
        <v>51571</v>
      </c>
      <c r="AD22" s="100">
        <f t="shared" si="32"/>
        <v>0.17506560165115875</v>
      </c>
      <c r="AE22" s="234">
        <v>24848</v>
      </c>
      <c r="AF22" s="100">
        <f t="shared" si="33"/>
        <v>8.435031451451383E-2</v>
      </c>
      <c r="AG22" s="234">
        <v>23867</v>
      </c>
      <c r="AH22" s="100">
        <f t="shared" si="34"/>
        <v>8.1020160838614852E-2</v>
      </c>
      <c r="AI22" s="234">
        <v>40995</v>
      </c>
      <c r="AJ22" s="100">
        <f t="shared" si="35"/>
        <v>0.13916376141027426</v>
      </c>
      <c r="AK22" s="234">
        <v>28657</v>
      </c>
      <c r="AL22" s="100">
        <f t="shared" si="37"/>
        <v>9.7280544230619076E-2</v>
      </c>
    </row>
    <row r="23" spans="2:38" ht="14.25">
      <c r="B23" s="97"/>
      <c r="C23" s="83"/>
      <c r="D23" s="307">
        <f t="shared" si="21"/>
        <v>46184</v>
      </c>
      <c r="E23" s="307" t="s">
        <v>458</v>
      </c>
      <c r="F23" s="87">
        <f t="shared" si="20"/>
        <v>277313</v>
      </c>
      <c r="G23" s="309"/>
      <c r="H23" s="356"/>
      <c r="I23" s="234">
        <v>35700</v>
      </c>
      <c r="J23" s="100">
        <f t="shared" si="22"/>
        <v>0.12873540007139947</v>
      </c>
      <c r="K23" s="234">
        <v>40764</v>
      </c>
      <c r="L23" s="100">
        <f t="shared" si="23"/>
        <v>0.14699635430001479</v>
      </c>
      <c r="M23" s="105">
        <f t="shared" si="24"/>
        <v>76464</v>
      </c>
      <c r="N23" s="100">
        <f t="shared" si="25"/>
        <v>0.27573175437141423</v>
      </c>
      <c r="O23" s="234">
        <v>5458</v>
      </c>
      <c r="P23" s="100">
        <f t="shared" si="26"/>
        <v>1.9681731473100792E-2</v>
      </c>
      <c r="Q23" s="234"/>
      <c r="R23" s="100">
        <f t="shared" si="6"/>
        <v>0</v>
      </c>
      <c r="S23" s="105">
        <f t="shared" si="7"/>
        <v>5458</v>
      </c>
      <c r="T23" s="100">
        <f t="shared" si="27"/>
        <v>1.9681731473100792E-2</v>
      </c>
      <c r="U23" s="234">
        <v>33733</v>
      </c>
      <c r="V23" s="100">
        <f t="shared" si="28"/>
        <v>0.12164233194981844</v>
      </c>
      <c r="W23" s="234">
        <v>1761</v>
      </c>
      <c r="X23" s="100">
        <f t="shared" si="29"/>
        <v>6.3502251967992845E-3</v>
      </c>
      <c r="Y23" s="234">
        <v>25401</v>
      </c>
      <c r="Z23" s="100">
        <f t="shared" si="30"/>
        <v>9.1596859865927666E-2</v>
      </c>
      <c r="AA23" s="234">
        <v>20335</v>
      </c>
      <c r="AB23" s="100">
        <f t="shared" si="12"/>
        <v>7.3328693570081455E-2</v>
      </c>
      <c r="AC23" s="105">
        <f t="shared" si="31"/>
        <v>45736</v>
      </c>
      <c r="AD23" s="100">
        <f t="shared" si="32"/>
        <v>0.16492555343600912</v>
      </c>
      <c r="AE23" s="234">
        <v>24048</v>
      </c>
      <c r="AF23" s="100">
        <f t="shared" si="33"/>
        <v>8.6717896384230095E-2</v>
      </c>
      <c r="AG23" s="234">
        <v>22326</v>
      </c>
      <c r="AH23" s="100">
        <f t="shared" si="34"/>
        <v>8.0508306498433185E-2</v>
      </c>
      <c r="AI23" s="234">
        <v>38989</v>
      </c>
      <c r="AJ23" s="100">
        <f t="shared" si="35"/>
        <v>0.14059564463259927</v>
      </c>
      <c r="AK23" s="234">
        <v>28798</v>
      </c>
      <c r="AL23" s="100">
        <f t="shared" si="37"/>
        <v>0.10384655605759557</v>
      </c>
    </row>
    <row r="24" spans="2:38" ht="14.25">
      <c r="B24" s="97"/>
      <c r="C24" s="83"/>
      <c r="D24" s="307">
        <f t="shared" si="21"/>
        <v>46185</v>
      </c>
      <c r="E24" s="307" t="s">
        <v>459</v>
      </c>
      <c r="F24" s="87">
        <f t="shared" si="20"/>
        <v>242704</v>
      </c>
      <c r="G24" s="309"/>
      <c r="H24" s="356"/>
      <c r="I24" s="234">
        <v>29733</v>
      </c>
      <c r="J24" s="100">
        <f t="shared" si="22"/>
        <v>0.12250725163161712</v>
      </c>
      <c r="K24" s="234">
        <v>37654</v>
      </c>
      <c r="L24" s="100">
        <f t="shared" si="23"/>
        <v>0.15514371415386644</v>
      </c>
      <c r="M24" s="105">
        <f t="shared" si="24"/>
        <v>67387</v>
      </c>
      <c r="N24" s="100">
        <f t="shared" si="25"/>
        <v>0.27765096578548354</v>
      </c>
      <c r="O24" s="234">
        <v>4587</v>
      </c>
      <c r="P24" s="100">
        <f t="shared" si="26"/>
        <v>1.8899564902102973E-2</v>
      </c>
      <c r="Q24" s="234"/>
      <c r="R24" s="100">
        <f t="shared" si="6"/>
        <v>0</v>
      </c>
      <c r="S24" s="105">
        <f t="shared" si="7"/>
        <v>4587</v>
      </c>
      <c r="T24" s="100">
        <f t="shared" si="27"/>
        <v>1.8899564902102973E-2</v>
      </c>
      <c r="U24" s="234">
        <v>28775</v>
      </c>
      <c r="V24" s="100">
        <f t="shared" si="28"/>
        <v>0.11856005669457446</v>
      </c>
      <c r="W24" s="234">
        <v>1173</v>
      </c>
      <c r="X24" s="100">
        <f t="shared" si="29"/>
        <v>4.8330476629969013E-3</v>
      </c>
      <c r="Y24" s="234">
        <v>23571</v>
      </c>
      <c r="Z24" s="100">
        <f t="shared" si="30"/>
        <v>9.7118300481244646E-2</v>
      </c>
      <c r="AA24" s="234">
        <v>19901</v>
      </c>
      <c r="AB24" s="100">
        <f t="shared" si="12"/>
        <v>8.1997000461467462E-2</v>
      </c>
      <c r="AC24" s="105">
        <f t="shared" si="31"/>
        <v>43472</v>
      </c>
      <c r="AD24" s="100">
        <f t="shared" si="32"/>
        <v>0.17911530094271211</v>
      </c>
      <c r="AE24" s="234">
        <v>18876</v>
      </c>
      <c r="AF24" s="100">
        <f t="shared" si="33"/>
        <v>7.7773749093546049E-2</v>
      </c>
      <c r="AG24" s="234">
        <v>17079</v>
      </c>
      <c r="AH24" s="100">
        <f t="shared" si="34"/>
        <v>7.036966840266333E-2</v>
      </c>
      <c r="AI24" s="234">
        <v>35897</v>
      </c>
      <c r="AJ24" s="100">
        <f t="shared" si="35"/>
        <v>0.14790444327246358</v>
      </c>
      <c r="AK24" s="234">
        <v>25458</v>
      </c>
      <c r="AL24" s="100">
        <f t="shared" si="37"/>
        <v>0.10489320324345705</v>
      </c>
    </row>
    <row r="25" spans="2:38" ht="14.25">
      <c r="B25" s="97"/>
      <c r="C25" s="83"/>
      <c r="D25" s="307">
        <f t="shared" si="21"/>
        <v>46186</v>
      </c>
      <c r="E25" s="307" t="s">
        <v>460</v>
      </c>
      <c r="F25" s="87">
        <f t="shared" si="20"/>
        <v>255973</v>
      </c>
      <c r="G25" s="309"/>
      <c r="H25" s="356"/>
      <c r="I25" s="234">
        <v>28397</v>
      </c>
      <c r="J25" s="100">
        <f t="shared" si="22"/>
        <v>0.11093748168752172</v>
      </c>
      <c r="K25" s="234">
        <v>41142</v>
      </c>
      <c r="L25" s="100">
        <f t="shared" si="23"/>
        <v>0.16072788926957141</v>
      </c>
      <c r="M25" s="105">
        <f t="shared" si="24"/>
        <v>69539</v>
      </c>
      <c r="N25" s="100">
        <f t="shared" si="25"/>
        <v>0.27166537095709314</v>
      </c>
      <c r="O25" s="234">
        <v>4386</v>
      </c>
      <c r="P25" s="100">
        <f t="shared" si="26"/>
        <v>1.7134619666917997E-2</v>
      </c>
      <c r="Q25" s="234"/>
      <c r="R25" s="100">
        <f t="shared" si="6"/>
        <v>0</v>
      </c>
      <c r="S25" s="105">
        <f t="shared" si="7"/>
        <v>4386</v>
      </c>
      <c r="T25" s="100">
        <f t="shared" si="27"/>
        <v>1.7134619666917997E-2</v>
      </c>
      <c r="U25" s="234">
        <v>34589</v>
      </c>
      <c r="V25" s="100">
        <f t="shared" si="28"/>
        <v>0.1351275329819942</v>
      </c>
      <c r="W25" s="234">
        <v>1318</v>
      </c>
      <c r="X25" s="100">
        <f t="shared" si="29"/>
        <v>5.148980556543073E-3</v>
      </c>
      <c r="Y25" s="234">
        <v>24297</v>
      </c>
      <c r="Z25" s="100">
        <f t="shared" si="30"/>
        <v>9.4920167361401395E-2</v>
      </c>
      <c r="AA25" s="234">
        <v>20546</v>
      </c>
      <c r="AB25" s="100">
        <f t="shared" si="12"/>
        <v>8.0266278084016679E-2</v>
      </c>
      <c r="AC25" s="105">
        <f t="shared" si="31"/>
        <v>44843</v>
      </c>
      <c r="AD25" s="100">
        <f t="shared" si="32"/>
        <v>0.17518644544541806</v>
      </c>
      <c r="AE25" s="234">
        <v>20916</v>
      </c>
      <c r="AF25" s="100">
        <f t="shared" si="33"/>
        <v>8.1711743035398271E-2</v>
      </c>
      <c r="AG25" s="234">
        <v>19598</v>
      </c>
      <c r="AH25" s="100">
        <f t="shared" si="34"/>
        <v>7.6562762478855198E-2</v>
      </c>
      <c r="AI25" s="234">
        <v>33737</v>
      </c>
      <c r="AJ25" s="100">
        <f t="shared" si="35"/>
        <v>0.13179905693178579</v>
      </c>
      <c r="AK25" s="234">
        <v>27047</v>
      </c>
      <c r="AL25" s="100">
        <f t="shared" si="37"/>
        <v>0.1056634879459943</v>
      </c>
    </row>
    <row r="26" spans="2:38" ht="14.25">
      <c r="B26" s="97"/>
      <c r="C26" s="83"/>
      <c r="D26" s="307">
        <f t="shared" si="21"/>
        <v>46187</v>
      </c>
      <c r="E26" s="307" t="s">
        <v>461</v>
      </c>
      <c r="F26" s="87">
        <f t="shared" si="20"/>
        <v>301170</v>
      </c>
      <c r="G26" s="309"/>
      <c r="H26" s="356"/>
      <c r="I26" s="234">
        <v>35441</v>
      </c>
      <c r="J26" s="100">
        <f t="shared" si="22"/>
        <v>0.11767772354484178</v>
      </c>
      <c r="K26" s="234">
        <v>45457</v>
      </c>
      <c r="L26" s="100">
        <f t="shared" si="23"/>
        <v>0.15093468804993856</v>
      </c>
      <c r="M26" s="105">
        <f t="shared" si="24"/>
        <v>80898</v>
      </c>
      <c r="N26" s="100">
        <f t="shared" si="25"/>
        <v>0.26861241159478033</v>
      </c>
      <c r="O26" s="234">
        <v>5523</v>
      </c>
      <c r="P26" s="100">
        <f t="shared" si="26"/>
        <v>1.8338479928279708E-2</v>
      </c>
      <c r="Q26" s="234"/>
      <c r="R26" s="100">
        <f t="shared" si="6"/>
        <v>0</v>
      </c>
      <c r="S26" s="105">
        <f t="shared" si="7"/>
        <v>5523</v>
      </c>
      <c r="T26" s="100">
        <f t="shared" si="27"/>
        <v>1.8338479928279708E-2</v>
      </c>
      <c r="U26" s="234">
        <v>40062</v>
      </c>
      <c r="V26" s="100">
        <f t="shared" si="28"/>
        <v>0.1330212172527144</v>
      </c>
      <c r="W26" s="234">
        <v>1509</v>
      </c>
      <c r="X26" s="100">
        <f t="shared" si="29"/>
        <v>5.0104592090845701E-3</v>
      </c>
      <c r="Y26" s="234">
        <v>26657</v>
      </c>
      <c r="Z26" s="100">
        <f t="shared" si="30"/>
        <v>8.8511471926154661E-2</v>
      </c>
      <c r="AA26" s="234">
        <v>21803</v>
      </c>
      <c r="AB26" s="100">
        <f t="shared" si="12"/>
        <v>7.2394328784407477E-2</v>
      </c>
      <c r="AC26" s="105">
        <f t="shared" si="31"/>
        <v>48460</v>
      </c>
      <c r="AD26" s="100">
        <f t="shared" si="32"/>
        <v>0.16090580071056215</v>
      </c>
      <c r="AE26" s="234">
        <v>26921</v>
      </c>
      <c r="AF26" s="100">
        <f t="shared" si="33"/>
        <v>8.938805325895674E-2</v>
      </c>
      <c r="AG26" s="234">
        <v>26072</v>
      </c>
      <c r="AH26" s="100">
        <f t="shared" si="34"/>
        <v>8.6569047381877345E-2</v>
      </c>
      <c r="AI26" s="234">
        <v>41109</v>
      </c>
      <c r="AJ26" s="100">
        <f t="shared" si="35"/>
        <v>0.13649765912939535</v>
      </c>
      <c r="AK26" s="234">
        <v>30616</v>
      </c>
      <c r="AL26" s="100">
        <f t="shared" si="37"/>
        <v>0.10165687153434937</v>
      </c>
    </row>
    <row r="27" spans="2:38" ht="14.25">
      <c r="B27" s="97"/>
      <c r="C27" s="83"/>
      <c r="D27" s="307">
        <f t="shared" si="21"/>
        <v>46188</v>
      </c>
      <c r="E27" s="307" t="s">
        <v>455</v>
      </c>
      <c r="F27" s="87">
        <f t="shared" si="20"/>
        <v>290020</v>
      </c>
      <c r="G27" s="309"/>
      <c r="H27" s="356"/>
      <c r="I27" s="234">
        <v>34821</v>
      </c>
      <c r="J27" s="100">
        <f t="shared" si="22"/>
        <v>0.12006413350803392</v>
      </c>
      <c r="K27" s="234">
        <v>44712</v>
      </c>
      <c r="L27" s="100">
        <f t="shared" si="23"/>
        <v>0.15416867802220535</v>
      </c>
      <c r="M27" s="105">
        <f t="shared" si="24"/>
        <v>79533</v>
      </c>
      <c r="N27" s="100">
        <f t="shared" si="25"/>
        <v>0.27423281153023932</v>
      </c>
      <c r="O27" s="234">
        <v>5327</v>
      </c>
      <c r="P27" s="100">
        <f t="shared" si="26"/>
        <v>1.8367698779394523E-2</v>
      </c>
      <c r="Q27" s="234"/>
      <c r="R27" s="100">
        <f t="shared" si="6"/>
        <v>0</v>
      </c>
      <c r="S27" s="105">
        <f t="shared" si="7"/>
        <v>5327</v>
      </c>
      <c r="T27" s="100">
        <f t="shared" si="27"/>
        <v>1.8367698779394523E-2</v>
      </c>
      <c r="U27" s="234">
        <v>36518</v>
      </c>
      <c r="V27" s="100">
        <f t="shared" si="28"/>
        <v>0.12591545410661334</v>
      </c>
      <c r="W27" s="234">
        <v>1773</v>
      </c>
      <c r="X27" s="100">
        <f t="shared" si="29"/>
        <v>6.1133714916212674E-3</v>
      </c>
      <c r="Y27" s="234">
        <v>25578</v>
      </c>
      <c r="Z27" s="100">
        <f t="shared" si="30"/>
        <v>8.8193917660850982E-2</v>
      </c>
      <c r="AA27" s="234">
        <v>25767</v>
      </c>
      <c r="AB27" s="100">
        <f t="shared" si="12"/>
        <v>8.8845596855389286E-2</v>
      </c>
      <c r="AC27" s="105">
        <f t="shared" si="31"/>
        <v>51345</v>
      </c>
      <c r="AD27" s="100">
        <f t="shared" si="32"/>
        <v>0.17703951451624025</v>
      </c>
      <c r="AE27" s="234">
        <v>25682</v>
      </c>
      <c r="AF27" s="100">
        <f t="shared" si="33"/>
        <v>8.8552513619750362E-2</v>
      </c>
      <c r="AG27" s="234">
        <v>22802</v>
      </c>
      <c r="AH27" s="100">
        <f t="shared" si="34"/>
        <v>7.862216398869043E-2</v>
      </c>
      <c r="AI27" s="234">
        <v>35844</v>
      </c>
      <c r="AJ27" s="100">
        <f t="shared" si="35"/>
        <v>0.12359147644990001</v>
      </c>
      <c r="AK27" s="234">
        <v>31196</v>
      </c>
      <c r="AL27" s="100">
        <f t="shared" si="37"/>
        <v>0.10756499551755051</v>
      </c>
    </row>
    <row r="28" spans="2:38" ht="14.25">
      <c r="B28" s="97"/>
      <c r="C28" s="83"/>
      <c r="D28" s="375">
        <f t="shared" si="21"/>
        <v>46189</v>
      </c>
      <c r="E28" s="375" t="s">
        <v>456</v>
      </c>
      <c r="F28" s="87">
        <f t="shared" si="20"/>
        <v>0</v>
      </c>
      <c r="G28" s="309">
        <f>SUM(F28:F34)</f>
        <v>0</v>
      </c>
      <c r="H28" s="356"/>
      <c r="I28" s="234"/>
      <c r="J28" s="100" t="e">
        <f t="shared" si="22"/>
        <v>#DIV/0!</v>
      </c>
      <c r="K28" s="234"/>
      <c r="L28" s="100" t="e">
        <f t="shared" si="23"/>
        <v>#DIV/0!</v>
      </c>
      <c r="M28" s="105">
        <f t="shared" si="24"/>
        <v>0</v>
      </c>
      <c r="N28" s="100" t="e">
        <f t="shared" si="25"/>
        <v>#DIV/0!</v>
      </c>
      <c r="O28" s="234"/>
      <c r="P28" s="100" t="e">
        <f t="shared" si="26"/>
        <v>#DIV/0!</v>
      </c>
      <c r="Q28" s="234"/>
      <c r="R28" s="100" t="e">
        <f t="shared" si="6"/>
        <v>#DIV/0!</v>
      </c>
      <c r="S28" s="105">
        <f t="shared" si="7"/>
        <v>0</v>
      </c>
      <c r="T28" s="100" t="e">
        <f t="shared" si="27"/>
        <v>#DIV/0!</v>
      </c>
      <c r="U28" s="234"/>
      <c r="V28" s="100" t="e">
        <f t="shared" si="28"/>
        <v>#DIV/0!</v>
      </c>
      <c r="W28" s="234"/>
      <c r="X28" s="100" t="e">
        <f t="shared" si="29"/>
        <v>#DIV/0!</v>
      </c>
      <c r="Y28" s="234"/>
      <c r="Z28" s="100" t="e">
        <f t="shared" si="30"/>
        <v>#DIV/0!</v>
      </c>
      <c r="AA28" s="234"/>
      <c r="AB28" s="100" t="e">
        <f t="shared" si="12"/>
        <v>#DIV/0!</v>
      </c>
      <c r="AC28" s="105">
        <f t="shared" si="31"/>
        <v>0</v>
      </c>
      <c r="AD28" s="100" t="e">
        <f t="shared" si="32"/>
        <v>#DIV/0!</v>
      </c>
      <c r="AE28" s="234"/>
      <c r="AF28" s="100" t="e">
        <f t="shared" si="33"/>
        <v>#DIV/0!</v>
      </c>
      <c r="AG28" s="234"/>
      <c r="AH28" s="100" t="e">
        <f t="shared" si="34"/>
        <v>#DIV/0!</v>
      </c>
      <c r="AI28" s="234"/>
      <c r="AJ28" s="100" t="e">
        <f t="shared" si="35"/>
        <v>#DIV/0!</v>
      </c>
      <c r="AK28" s="234"/>
      <c r="AL28" s="100" t="e">
        <f t="shared" si="37"/>
        <v>#DIV/0!</v>
      </c>
    </row>
    <row r="29" spans="2:38" ht="14.25">
      <c r="B29" s="97"/>
      <c r="C29" s="83"/>
      <c r="D29" s="375">
        <f t="shared" si="21"/>
        <v>46190</v>
      </c>
      <c r="E29" s="375" t="s">
        <v>457</v>
      </c>
      <c r="F29" s="87">
        <f t="shared" si="20"/>
        <v>0</v>
      </c>
      <c r="G29" s="309"/>
      <c r="H29" s="356"/>
      <c r="I29" s="234"/>
      <c r="J29" s="100" t="e">
        <f t="shared" si="22"/>
        <v>#DIV/0!</v>
      </c>
      <c r="K29" s="234"/>
      <c r="L29" s="100" t="e">
        <f t="shared" si="23"/>
        <v>#DIV/0!</v>
      </c>
      <c r="M29" s="105">
        <f t="shared" si="24"/>
        <v>0</v>
      </c>
      <c r="N29" s="100" t="e">
        <f t="shared" si="25"/>
        <v>#DIV/0!</v>
      </c>
      <c r="O29" s="234"/>
      <c r="P29" s="100" t="e">
        <f t="shared" si="26"/>
        <v>#DIV/0!</v>
      </c>
      <c r="Q29" s="234"/>
      <c r="R29" s="100" t="e">
        <f t="shared" si="6"/>
        <v>#DIV/0!</v>
      </c>
      <c r="S29" s="105">
        <f t="shared" si="7"/>
        <v>0</v>
      </c>
      <c r="T29" s="100" t="e">
        <f t="shared" si="27"/>
        <v>#DIV/0!</v>
      </c>
      <c r="U29" s="234"/>
      <c r="V29" s="100" t="e">
        <f t="shared" si="28"/>
        <v>#DIV/0!</v>
      </c>
      <c r="W29" s="234"/>
      <c r="X29" s="100" t="e">
        <f t="shared" si="29"/>
        <v>#DIV/0!</v>
      </c>
      <c r="Y29" s="234"/>
      <c r="Z29" s="100" t="e">
        <f t="shared" si="30"/>
        <v>#DIV/0!</v>
      </c>
      <c r="AA29" s="234"/>
      <c r="AB29" s="100" t="e">
        <f t="shared" si="12"/>
        <v>#DIV/0!</v>
      </c>
      <c r="AC29" s="105">
        <f t="shared" si="31"/>
        <v>0</v>
      </c>
      <c r="AD29" s="100" t="e">
        <f t="shared" si="32"/>
        <v>#DIV/0!</v>
      </c>
      <c r="AE29" s="234"/>
      <c r="AF29" s="100" t="e">
        <f t="shared" si="33"/>
        <v>#DIV/0!</v>
      </c>
      <c r="AG29" s="234"/>
      <c r="AH29" s="100" t="e">
        <f t="shared" si="34"/>
        <v>#DIV/0!</v>
      </c>
      <c r="AI29" s="234"/>
      <c r="AJ29" s="100" t="e">
        <f t="shared" si="35"/>
        <v>#DIV/0!</v>
      </c>
      <c r="AK29" s="234"/>
      <c r="AL29" s="100" t="e">
        <f t="shared" si="37"/>
        <v>#DIV/0!</v>
      </c>
    </row>
    <row r="30" spans="2:38" ht="14.25">
      <c r="B30" s="97"/>
      <c r="C30" s="83"/>
      <c r="D30" s="375">
        <f t="shared" si="21"/>
        <v>46191</v>
      </c>
      <c r="E30" s="375" t="s">
        <v>458</v>
      </c>
      <c r="F30" s="87">
        <f t="shared" si="20"/>
        <v>0</v>
      </c>
      <c r="G30" s="309"/>
      <c r="H30" s="356"/>
      <c r="I30" s="234"/>
      <c r="J30" s="100" t="e">
        <f t="shared" si="22"/>
        <v>#DIV/0!</v>
      </c>
      <c r="K30" s="234"/>
      <c r="L30" s="100" t="e">
        <f t="shared" si="23"/>
        <v>#DIV/0!</v>
      </c>
      <c r="M30" s="105">
        <f t="shared" si="24"/>
        <v>0</v>
      </c>
      <c r="N30" s="100" t="e">
        <f t="shared" si="25"/>
        <v>#DIV/0!</v>
      </c>
      <c r="O30" s="234"/>
      <c r="P30" s="100" t="e">
        <f t="shared" si="26"/>
        <v>#DIV/0!</v>
      </c>
      <c r="Q30" s="234"/>
      <c r="R30" s="100" t="e">
        <f t="shared" si="6"/>
        <v>#DIV/0!</v>
      </c>
      <c r="S30" s="105">
        <f t="shared" si="7"/>
        <v>0</v>
      </c>
      <c r="T30" s="100" t="e">
        <f t="shared" si="27"/>
        <v>#DIV/0!</v>
      </c>
      <c r="U30" s="234"/>
      <c r="V30" s="100" t="e">
        <f t="shared" si="28"/>
        <v>#DIV/0!</v>
      </c>
      <c r="W30" s="234"/>
      <c r="X30" s="100" t="e">
        <f t="shared" si="29"/>
        <v>#DIV/0!</v>
      </c>
      <c r="Y30" s="234"/>
      <c r="Z30" s="100" t="e">
        <f t="shared" si="30"/>
        <v>#DIV/0!</v>
      </c>
      <c r="AA30" s="234"/>
      <c r="AB30" s="100" t="e">
        <f t="shared" si="12"/>
        <v>#DIV/0!</v>
      </c>
      <c r="AC30" s="105">
        <f t="shared" si="31"/>
        <v>0</v>
      </c>
      <c r="AD30" s="100" t="e">
        <f t="shared" si="32"/>
        <v>#DIV/0!</v>
      </c>
      <c r="AE30" s="234"/>
      <c r="AF30" s="100" t="e">
        <f t="shared" si="33"/>
        <v>#DIV/0!</v>
      </c>
      <c r="AG30" s="234"/>
      <c r="AH30" s="100" t="e">
        <f t="shared" si="34"/>
        <v>#DIV/0!</v>
      </c>
      <c r="AI30" s="234"/>
      <c r="AJ30" s="100" t="e">
        <f t="shared" si="35"/>
        <v>#DIV/0!</v>
      </c>
      <c r="AK30" s="234"/>
      <c r="AL30" s="100" t="e">
        <f t="shared" si="37"/>
        <v>#DIV/0!</v>
      </c>
    </row>
    <row r="31" spans="2:38" ht="14.25">
      <c r="B31" s="97"/>
      <c r="C31" s="83"/>
      <c r="D31" s="375">
        <f t="shared" si="21"/>
        <v>46192</v>
      </c>
      <c r="E31" s="375" t="s">
        <v>459</v>
      </c>
      <c r="F31" s="87">
        <f t="shared" si="20"/>
        <v>0</v>
      </c>
      <c r="G31" s="309"/>
      <c r="H31" s="356"/>
      <c r="I31" s="234"/>
      <c r="J31" s="100" t="e">
        <f t="shared" si="22"/>
        <v>#DIV/0!</v>
      </c>
      <c r="K31" s="234"/>
      <c r="L31" s="100" t="e">
        <f t="shared" si="23"/>
        <v>#DIV/0!</v>
      </c>
      <c r="M31" s="105">
        <f t="shared" si="24"/>
        <v>0</v>
      </c>
      <c r="N31" s="100" t="e">
        <f t="shared" si="25"/>
        <v>#DIV/0!</v>
      </c>
      <c r="O31" s="234"/>
      <c r="P31" s="100" t="e">
        <f t="shared" si="26"/>
        <v>#DIV/0!</v>
      </c>
      <c r="Q31" s="234"/>
      <c r="R31" s="100" t="e">
        <f t="shared" si="6"/>
        <v>#DIV/0!</v>
      </c>
      <c r="S31" s="105">
        <f t="shared" si="7"/>
        <v>0</v>
      </c>
      <c r="T31" s="100" t="e">
        <f t="shared" si="27"/>
        <v>#DIV/0!</v>
      </c>
      <c r="U31" s="234"/>
      <c r="V31" s="100" t="e">
        <f t="shared" si="28"/>
        <v>#DIV/0!</v>
      </c>
      <c r="W31" s="234"/>
      <c r="X31" s="100" t="e">
        <f t="shared" si="29"/>
        <v>#DIV/0!</v>
      </c>
      <c r="Y31" s="234"/>
      <c r="Z31" s="100" t="e">
        <f t="shared" si="30"/>
        <v>#DIV/0!</v>
      </c>
      <c r="AA31" s="234"/>
      <c r="AB31" s="100" t="e">
        <f t="shared" si="12"/>
        <v>#DIV/0!</v>
      </c>
      <c r="AC31" s="105">
        <f t="shared" si="31"/>
        <v>0</v>
      </c>
      <c r="AD31" s="100" t="e">
        <f t="shared" si="32"/>
        <v>#DIV/0!</v>
      </c>
      <c r="AE31" s="234"/>
      <c r="AF31" s="100" t="e">
        <f t="shared" si="33"/>
        <v>#DIV/0!</v>
      </c>
      <c r="AG31" s="234"/>
      <c r="AH31" s="100" t="e">
        <f t="shared" si="34"/>
        <v>#DIV/0!</v>
      </c>
      <c r="AI31" s="234"/>
      <c r="AJ31" s="100" t="e">
        <f t="shared" si="35"/>
        <v>#DIV/0!</v>
      </c>
      <c r="AK31" s="234"/>
      <c r="AL31" s="100" t="e">
        <f t="shared" si="37"/>
        <v>#DIV/0!</v>
      </c>
    </row>
    <row r="32" spans="2:38" s="529" customFormat="1" ht="14.25">
      <c r="B32" s="502"/>
      <c r="C32" s="508"/>
      <c r="D32" s="375">
        <f t="shared" si="21"/>
        <v>46193</v>
      </c>
      <c r="E32" s="375" t="s">
        <v>460</v>
      </c>
      <c r="F32" s="349">
        <f t="shared" si="20"/>
        <v>0</v>
      </c>
      <c r="G32" s="350"/>
      <c r="H32" s="535"/>
      <c r="I32" s="351"/>
      <c r="J32" s="352" t="e">
        <f t="shared" ref="J32:J37" si="38">I32/F32</f>
        <v>#DIV/0!</v>
      </c>
      <c r="K32" s="351"/>
      <c r="L32" s="352" t="e">
        <f t="shared" ref="L32:L37" si="39">K32/F32</f>
        <v>#DIV/0!</v>
      </c>
      <c r="M32" s="353">
        <f t="shared" ref="M32:M37" si="40">SUM(I32+K32)</f>
        <v>0</v>
      </c>
      <c r="N32" s="352" t="e">
        <f t="shared" ref="N32:N37" si="41">M32/F32</f>
        <v>#DIV/0!</v>
      </c>
      <c r="O32" s="351"/>
      <c r="P32" s="352" t="e">
        <f t="shared" ref="P32:P37" si="42">O32/F32</f>
        <v>#DIV/0!</v>
      </c>
      <c r="Q32" s="351"/>
      <c r="R32" s="352" t="e">
        <f t="shared" ref="R32:R37" si="43">Q32/F32</f>
        <v>#DIV/0!</v>
      </c>
      <c r="S32" s="353">
        <f t="shared" ref="S32:S37" si="44">SUM(O32+Q32)</f>
        <v>0</v>
      </c>
      <c r="T32" s="352" t="e">
        <f t="shared" ref="T32:T37" si="45">S32/F32</f>
        <v>#DIV/0!</v>
      </c>
      <c r="U32" s="351"/>
      <c r="V32" s="352" t="e">
        <f t="shared" ref="V32:V37" si="46">U32/F32</f>
        <v>#DIV/0!</v>
      </c>
      <c r="W32" s="351"/>
      <c r="X32" s="352" t="e">
        <f t="shared" ref="X32:X37" si="47">W32/F32</f>
        <v>#DIV/0!</v>
      </c>
      <c r="Y32" s="351"/>
      <c r="Z32" s="352" t="e">
        <f t="shared" ref="Z32:Z37" si="48">Y32/F32</f>
        <v>#DIV/0!</v>
      </c>
      <c r="AA32" s="351"/>
      <c r="AB32" s="352" t="e">
        <f t="shared" ref="AB32:AB37" si="49">AA32/F32</f>
        <v>#DIV/0!</v>
      </c>
      <c r="AC32" s="353">
        <f t="shared" ref="AC32:AC37" si="50">SUM(Y32+AA32)</f>
        <v>0</v>
      </c>
      <c r="AD32" s="352" t="e">
        <f t="shared" ref="AD32:AD37" si="51">AC32/F32</f>
        <v>#DIV/0!</v>
      </c>
      <c r="AE32" s="351"/>
      <c r="AF32" s="352" t="e">
        <f t="shared" ref="AF32:AF37" si="52">AE32/F32</f>
        <v>#DIV/0!</v>
      </c>
      <c r="AG32" s="351"/>
      <c r="AH32" s="352" t="e">
        <f t="shared" ref="AH32:AH37" si="53">AG32/F32</f>
        <v>#DIV/0!</v>
      </c>
      <c r="AI32" s="351"/>
      <c r="AJ32" s="352" t="e">
        <f t="shared" ref="AJ32:AJ37" si="54">AI32/F32</f>
        <v>#DIV/0!</v>
      </c>
      <c r="AK32" s="351"/>
      <c r="AL32" s="352" t="e">
        <f t="shared" si="37"/>
        <v>#DIV/0!</v>
      </c>
    </row>
    <row r="33" spans="2:38" s="529" customFormat="1" ht="14.25">
      <c r="B33" s="502"/>
      <c r="C33" s="508"/>
      <c r="D33" s="375">
        <f t="shared" si="21"/>
        <v>46194</v>
      </c>
      <c r="E33" s="375" t="s">
        <v>461</v>
      </c>
      <c r="F33" s="349">
        <f t="shared" si="20"/>
        <v>0</v>
      </c>
      <c r="G33" s="350"/>
      <c r="H33" s="535"/>
      <c r="I33" s="351"/>
      <c r="J33" s="352" t="e">
        <f t="shared" si="38"/>
        <v>#DIV/0!</v>
      </c>
      <c r="K33" s="351"/>
      <c r="L33" s="352" t="e">
        <f t="shared" si="39"/>
        <v>#DIV/0!</v>
      </c>
      <c r="M33" s="353">
        <f t="shared" si="40"/>
        <v>0</v>
      </c>
      <c r="N33" s="352" t="e">
        <f t="shared" si="41"/>
        <v>#DIV/0!</v>
      </c>
      <c r="O33" s="351"/>
      <c r="P33" s="352" t="e">
        <f t="shared" si="42"/>
        <v>#DIV/0!</v>
      </c>
      <c r="Q33" s="351"/>
      <c r="R33" s="352" t="e">
        <f t="shared" si="43"/>
        <v>#DIV/0!</v>
      </c>
      <c r="S33" s="353">
        <f t="shared" si="44"/>
        <v>0</v>
      </c>
      <c r="T33" s="352" t="e">
        <f t="shared" si="45"/>
        <v>#DIV/0!</v>
      </c>
      <c r="U33" s="351"/>
      <c r="V33" s="352" t="e">
        <f t="shared" si="46"/>
        <v>#DIV/0!</v>
      </c>
      <c r="W33" s="351"/>
      <c r="X33" s="352" t="e">
        <f t="shared" si="47"/>
        <v>#DIV/0!</v>
      </c>
      <c r="Y33" s="351"/>
      <c r="Z33" s="352" t="e">
        <f t="shared" si="48"/>
        <v>#DIV/0!</v>
      </c>
      <c r="AA33" s="351"/>
      <c r="AB33" s="352" t="e">
        <f t="shared" si="49"/>
        <v>#DIV/0!</v>
      </c>
      <c r="AC33" s="353">
        <f t="shared" si="50"/>
        <v>0</v>
      </c>
      <c r="AD33" s="352" t="e">
        <f t="shared" si="51"/>
        <v>#DIV/0!</v>
      </c>
      <c r="AE33" s="351"/>
      <c r="AF33" s="352" t="e">
        <f t="shared" si="52"/>
        <v>#DIV/0!</v>
      </c>
      <c r="AG33" s="351"/>
      <c r="AH33" s="352" t="e">
        <f t="shared" si="53"/>
        <v>#DIV/0!</v>
      </c>
      <c r="AI33" s="351"/>
      <c r="AJ33" s="352" t="e">
        <f t="shared" si="54"/>
        <v>#DIV/0!</v>
      </c>
      <c r="AK33" s="351"/>
      <c r="AL33" s="352" t="e">
        <f t="shared" si="37"/>
        <v>#DIV/0!</v>
      </c>
    </row>
    <row r="34" spans="2:38" s="529" customFormat="1" ht="14.25">
      <c r="B34" s="502"/>
      <c r="C34" s="508"/>
      <c r="D34" s="375">
        <f t="shared" si="21"/>
        <v>46195</v>
      </c>
      <c r="E34" s="375" t="s">
        <v>455</v>
      </c>
      <c r="F34" s="349">
        <f t="shared" si="20"/>
        <v>0</v>
      </c>
      <c r="G34" s="350"/>
      <c r="H34" s="535"/>
      <c r="I34" s="351"/>
      <c r="J34" s="352" t="e">
        <f t="shared" si="38"/>
        <v>#DIV/0!</v>
      </c>
      <c r="K34" s="351"/>
      <c r="L34" s="352" t="e">
        <f t="shared" si="39"/>
        <v>#DIV/0!</v>
      </c>
      <c r="M34" s="353">
        <f t="shared" si="40"/>
        <v>0</v>
      </c>
      <c r="N34" s="352" t="e">
        <f t="shared" si="41"/>
        <v>#DIV/0!</v>
      </c>
      <c r="O34" s="351"/>
      <c r="P34" s="352" t="e">
        <f t="shared" si="42"/>
        <v>#DIV/0!</v>
      </c>
      <c r="Q34" s="351"/>
      <c r="R34" s="352" t="e">
        <f t="shared" si="43"/>
        <v>#DIV/0!</v>
      </c>
      <c r="S34" s="353">
        <f t="shared" si="44"/>
        <v>0</v>
      </c>
      <c r="T34" s="352" t="e">
        <f t="shared" si="45"/>
        <v>#DIV/0!</v>
      </c>
      <c r="U34" s="351"/>
      <c r="V34" s="352" t="e">
        <f t="shared" si="46"/>
        <v>#DIV/0!</v>
      </c>
      <c r="W34" s="351"/>
      <c r="X34" s="352" t="e">
        <f t="shared" si="47"/>
        <v>#DIV/0!</v>
      </c>
      <c r="Y34" s="351"/>
      <c r="Z34" s="352" t="e">
        <f t="shared" si="48"/>
        <v>#DIV/0!</v>
      </c>
      <c r="AA34" s="351"/>
      <c r="AB34" s="352" t="e">
        <f t="shared" si="49"/>
        <v>#DIV/0!</v>
      </c>
      <c r="AC34" s="353">
        <f t="shared" si="50"/>
        <v>0</v>
      </c>
      <c r="AD34" s="352" t="e">
        <f t="shared" si="51"/>
        <v>#DIV/0!</v>
      </c>
      <c r="AE34" s="351"/>
      <c r="AF34" s="352" t="e">
        <f t="shared" si="52"/>
        <v>#DIV/0!</v>
      </c>
      <c r="AG34" s="351"/>
      <c r="AH34" s="352" t="e">
        <f t="shared" si="53"/>
        <v>#DIV/0!</v>
      </c>
      <c r="AI34" s="351"/>
      <c r="AJ34" s="352" t="e">
        <f t="shared" si="54"/>
        <v>#DIV/0!</v>
      </c>
      <c r="AK34" s="351"/>
      <c r="AL34" s="352" t="e">
        <f t="shared" si="37"/>
        <v>#DIV/0!</v>
      </c>
    </row>
    <row r="35" spans="2:38" s="529" customFormat="1" ht="14.25">
      <c r="B35" s="502"/>
      <c r="C35" s="508"/>
      <c r="D35" s="307">
        <f t="shared" si="21"/>
        <v>46196</v>
      </c>
      <c r="E35" s="307" t="s">
        <v>456</v>
      </c>
      <c r="F35" s="349">
        <f t="shared" si="20"/>
        <v>0</v>
      </c>
      <c r="G35" s="350">
        <f>SUM(F35:F41)</f>
        <v>0</v>
      </c>
      <c r="H35" s="535"/>
      <c r="I35" s="351"/>
      <c r="J35" s="352" t="e">
        <f t="shared" si="38"/>
        <v>#DIV/0!</v>
      </c>
      <c r="K35" s="351"/>
      <c r="L35" s="352" t="e">
        <f t="shared" si="39"/>
        <v>#DIV/0!</v>
      </c>
      <c r="M35" s="353">
        <f t="shared" si="40"/>
        <v>0</v>
      </c>
      <c r="N35" s="352" t="e">
        <f t="shared" si="41"/>
        <v>#DIV/0!</v>
      </c>
      <c r="O35" s="351"/>
      <c r="P35" s="352" t="e">
        <f t="shared" si="42"/>
        <v>#DIV/0!</v>
      </c>
      <c r="Q35" s="351"/>
      <c r="R35" s="352" t="e">
        <f t="shared" si="43"/>
        <v>#DIV/0!</v>
      </c>
      <c r="S35" s="353">
        <f t="shared" si="44"/>
        <v>0</v>
      </c>
      <c r="T35" s="352" t="e">
        <f t="shared" si="45"/>
        <v>#DIV/0!</v>
      </c>
      <c r="U35" s="351"/>
      <c r="V35" s="352" t="e">
        <f t="shared" si="46"/>
        <v>#DIV/0!</v>
      </c>
      <c r="W35" s="351"/>
      <c r="X35" s="352" t="e">
        <f t="shared" si="47"/>
        <v>#DIV/0!</v>
      </c>
      <c r="Y35" s="351"/>
      <c r="Z35" s="352" t="e">
        <f t="shared" si="48"/>
        <v>#DIV/0!</v>
      </c>
      <c r="AA35" s="351"/>
      <c r="AB35" s="352" t="e">
        <f t="shared" si="49"/>
        <v>#DIV/0!</v>
      </c>
      <c r="AC35" s="353">
        <f t="shared" si="50"/>
        <v>0</v>
      </c>
      <c r="AD35" s="352" t="e">
        <f t="shared" si="51"/>
        <v>#DIV/0!</v>
      </c>
      <c r="AE35" s="351"/>
      <c r="AF35" s="352" t="e">
        <f t="shared" si="52"/>
        <v>#DIV/0!</v>
      </c>
      <c r="AG35" s="351"/>
      <c r="AH35" s="352" t="e">
        <f t="shared" si="53"/>
        <v>#DIV/0!</v>
      </c>
      <c r="AI35" s="351"/>
      <c r="AJ35" s="352" t="e">
        <f t="shared" si="54"/>
        <v>#DIV/0!</v>
      </c>
      <c r="AK35" s="351"/>
      <c r="AL35" s="352" t="e">
        <f t="shared" si="37"/>
        <v>#DIV/0!</v>
      </c>
    </row>
    <row r="36" spans="2:38" s="529" customFormat="1" ht="14.25">
      <c r="B36" s="502"/>
      <c r="C36" s="508"/>
      <c r="D36" s="307">
        <f t="shared" si="21"/>
        <v>46197</v>
      </c>
      <c r="E36" s="307" t="s">
        <v>457</v>
      </c>
      <c r="F36" s="349">
        <f t="shared" si="20"/>
        <v>0</v>
      </c>
      <c r="G36" s="350"/>
      <c r="H36" s="535"/>
      <c r="I36" s="351"/>
      <c r="J36" s="352" t="e">
        <f t="shared" si="38"/>
        <v>#DIV/0!</v>
      </c>
      <c r="K36" s="351"/>
      <c r="L36" s="352" t="e">
        <f t="shared" si="39"/>
        <v>#DIV/0!</v>
      </c>
      <c r="M36" s="353">
        <f t="shared" si="40"/>
        <v>0</v>
      </c>
      <c r="N36" s="352" t="e">
        <f t="shared" si="41"/>
        <v>#DIV/0!</v>
      </c>
      <c r="O36" s="351"/>
      <c r="P36" s="352" t="e">
        <f t="shared" si="42"/>
        <v>#DIV/0!</v>
      </c>
      <c r="Q36" s="351"/>
      <c r="R36" s="352" t="e">
        <f t="shared" si="43"/>
        <v>#DIV/0!</v>
      </c>
      <c r="S36" s="353">
        <f t="shared" si="44"/>
        <v>0</v>
      </c>
      <c r="T36" s="352" t="e">
        <f t="shared" si="45"/>
        <v>#DIV/0!</v>
      </c>
      <c r="U36" s="351"/>
      <c r="V36" s="352" t="e">
        <f t="shared" si="46"/>
        <v>#DIV/0!</v>
      </c>
      <c r="W36" s="351"/>
      <c r="X36" s="352" t="e">
        <f t="shared" si="47"/>
        <v>#DIV/0!</v>
      </c>
      <c r="Y36" s="351"/>
      <c r="Z36" s="352" t="e">
        <f t="shared" si="48"/>
        <v>#DIV/0!</v>
      </c>
      <c r="AA36" s="351"/>
      <c r="AB36" s="352" t="e">
        <f t="shared" si="49"/>
        <v>#DIV/0!</v>
      </c>
      <c r="AC36" s="353">
        <f t="shared" si="50"/>
        <v>0</v>
      </c>
      <c r="AD36" s="352" t="e">
        <f t="shared" si="51"/>
        <v>#DIV/0!</v>
      </c>
      <c r="AE36" s="351"/>
      <c r="AF36" s="352" t="e">
        <f t="shared" si="52"/>
        <v>#DIV/0!</v>
      </c>
      <c r="AG36" s="351"/>
      <c r="AH36" s="352" t="e">
        <f t="shared" si="53"/>
        <v>#DIV/0!</v>
      </c>
      <c r="AI36" s="351"/>
      <c r="AJ36" s="352" t="e">
        <f t="shared" si="54"/>
        <v>#DIV/0!</v>
      </c>
      <c r="AK36" s="351"/>
      <c r="AL36" s="352" t="e">
        <f t="shared" si="37"/>
        <v>#DIV/0!</v>
      </c>
    </row>
    <row r="37" spans="2:38" s="529" customFormat="1" ht="14.25">
      <c r="B37" s="502"/>
      <c r="C37" s="508"/>
      <c r="D37" s="307">
        <f>D36+1</f>
        <v>46198</v>
      </c>
      <c r="E37" s="307" t="s">
        <v>458</v>
      </c>
      <c r="F37" s="349">
        <f t="shared" si="20"/>
        <v>0</v>
      </c>
      <c r="G37" s="350"/>
      <c r="H37" s="535"/>
      <c r="I37" s="351"/>
      <c r="J37" s="352" t="e">
        <f t="shared" si="38"/>
        <v>#DIV/0!</v>
      </c>
      <c r="K37" s="351"/>
      <c r="L37" s="352" t="e">
        <f t="shared" si="39"/>
        <v>#DIV/0!</v>
      </c>
      <c r="M37" s="353">
        <f t="shared" si="40"/>
        <v>0</v>
      </c>
      <c r="N37" s="352" t="e">
        <f t="shared" si="41"/>
        <v>#DIV/0!</v>
      </c>
      <c r="O37" s="351"/>
      <c r="P37" s="352" t="e">
        <f t="shared" si="42"/>
        <v>#DIV/0!</v>
      </c>
      <c r="Q37" s="351"/>
      <c r="R37" s="352" t="e">
        <f t="shared" si="43"/>
        <v>#DIV/0!</v>
      </c>
      <c r="S37" s="353">
        <f t="shared" si="44"/>
        <v>0</v>
      </c>
      <c r="T37" s="352" t="e">
        <f t="shared" si="45"/>
        <v>#DIV/0!</v>
      </c>
      <c r="U37" s="351"/>
      <c r="V37" s="352" t="e">
        <f t="shared" si="46"/>
        <v>#DIV/0!</v>
      </c>
      <c r="W37" s="351"/>
      <c r="X37" s="352" t="e">
        <f t="shared" si="47"/>
        <v>#DIV/0!</v>
      </c>
      <c r="Y37" s="351"/>
      <c r="Z37" s="352" t="e">
        <f t="shared" si="48"/>
        <v>#DIV/0!</v>
      </c>
      <c r="AA37" s="351"/>
      <c r="AB37" s="352" t="e">
        <f t="shared" si="49"/>
        <v>#DIV/0!</v>
      </c>
      <c r="AC37" s="353">
        <f t="shared" si="50"/>
        <v>0</v>
      </c>
      <c r="AD37" s="352" t="e">
        <f t="shared" si="51"/>
        <v>#DIV/0!</v>
      </c>
      <c r="AE37" s="351"/>
      <c r="AF37" s="352" t="e">
        <f t="shared" si="52"/>
        <v>#DIV/0!</v>
      </c>
      <c r="AG37" s="351"/>
      <c r="AH37" s="352" t="e">
        <f t="shared" si="53"/>
        <v>#DIV/0!</v>
      </c>
      <c r="AI37" s="351"/>
      <c r="AJ37" s="352" t="e">
        <f t="shared" si="54"/>
        <v>#DIV/0!</v>
      </c>
      <c r="AK37" s="351"/>
      <c r="AL37" s="352" t="e">
        <f t="shared" si="37"/>
        <v>#DIV/0!</v>
      </c>
    </row>
    <row r="38" spans="2:38" s="529" customFormat="1" ht="14.25">
      <c r="B38" s="502"/>
      <c r="C38" s="508"/>
      <c r="D38" s="307">
        <f t="shared" ref="D38:D48" si="55">D37+1</f>
        <v>46199</v>
      </c>
      <c r="E38" s="307" t="s">
        <v>459</v>
      </c>
      <c r="F38" s="349">
        <f t="shared" si="20"/>
        <v>0</v>
      </c>
      <c r="G38" s="350"/>
      <c r="H38" s="535"/>
      <c r="I38" s="351"/>
      <c r="J38" s="352" t="e">
        <f t="shared" ref="J38:J41" si="56">I38/F38</f>
        <v>#DIV/0!</v>
      </c>
      <c r="K38" s="351"/>
      <c r="L38" s="352" t="e">
        <f t="shared" ref="L38:L41" si="57">K38/F38</f>
        <v>#DIV/0!</v>
      </c>
      <c r="M38" s="353">
        <f t="shared" ref="M38:M41" si="58">SUM(I38+K38)</f>
        <v>0</v>
      </c>
      <c r="N38" s="352" t="e">
        <f t="shared" ref="N38:N41" si="59">M38/F38</f>
        <v>#DIV/0!</v>
      </c>
      <c r="O38" s="351"/>
      <c r="P38" s="352" t="e">
        <f t="shared" ref="P38:P41" si="60">O38/F38</f>
        <v>#DIV/0!</v>
      </c>
      <c r="Q38" s="351"/>
      <c r="R38" s="352" t="e">
        <f t="shared" ref="R38:R49" si="61">Q38/F38</f>
        <v>#DIV/0!</v>
      </c>
      <c r="S38" s="353">
        <f t="shared" ref="S38:S49" si="62">SUM(O38+Q38)</f>
        <v>0</v>
      </c>
      <c r="T38" s="352" t="e">
        <f t="shared" ref="T38:T41" si="63">S38/F38</f>
        <v>#DIV/0!</v>
      </c>
      <c r="U38" s="351"/>
      <c r="V38" s="352" t="e">
        <f t="shared" ref="V38:V41" si="64">U38/F38</f>
        <v>#DIV/0!</v>
      </c>
      <c r="W38" s="351"/>
      <c r="X38" s="352" t="e">
        <f t="shared" ref="X38:X41" si="65">W38/F38</f>
        <v>#DIV/0!</v>
      </c>
      <c r="Y38" s="351"/>
      <c r="Z38" s="352" t="e">
        <f t="shared" ref="Z38:Z41" si="66">Y38/F38</f>
        <v>#DIV/0!</v>
      </c>
      <c r="AA38" s="351"/>
      <c r="AB38" s="352" t="e">
        <f t="shared" ref="AB38:AB49" si="67">AA38/F38</f>
        <v>#DIV/0!</v>
      </c>
      <c r="AC38" s="353">
        <f t="shared" ref="AC38:AC41" si="68">SUM(Y38+AA38)</f>
        <v>0</v>
      </c>
      <c r="AD38" s="352" t="e">
        <f t="shared" ref="AD38:AD41" si="69">AC38/F38</f>
        <v>#DIV/0!</v>
      </c>
      <c r="AE38" s="351"/>
      <c r="AF38" s="352" t="e">
        <f t="shared" ref="AF38:AF41" si="70">AE38/F38</f>
        <v>#DIV/0!</v>
      </c>
      <c r="AG38" s="351"/>
      <c r="AH38" s="352" t="e">
        <f t="shared" ref="AH38:AH41" si="71">AG38/F38</f>
        <v>#DIV/0!</v>
      </c>
      <c r="AI38" s="351"/>
      <c r="AJ38" s="352" t="e">
        <f t="shared" ref="AJ38:AJ41" si="72">AI38/F38</f>
        <v>#DIV/0!</v>
      </c>
      <c r="AK38" s="351"/>
      <c r="AL38" s="352" t="e">
        <f t="shared" si="37"/>
        <v>#DIV/0!</v>
      </c>
    </row>
    <row r="39" spans="2:38" s="354" customFormat="1" ht="14.25">
      <c r="B39" s="347"/>
      <c r="C39" s="348"/>
      <c r="D39" s="307">
        <f t="shared" si="55"/>
        <v>46200</v>
      </c>
      <c r="E39" s="307" t="s">
        <v>460</v>
      </c>
      <c r="F39" s="349">
        <f t="shared" si="20"/>
        <v>0</v>
      </c>
      <c r="G39" s="350"/>
      <c r="H39" s="356"/>
      <c r="I39" s="351"/>
      <c r="J39" s="352" t="e">
        <f t="shared" si="56"/>
        <v>#DIV/0!</v>
      </c>
      <c r="K39" s="351"/>
      <c r="L39" s="352" t="e">
        <f t="shared" si="57"/>
        <v>#DIV/0!</v>
      </c>
      <c r="M39" s="353">
        <f t="shared" si="58"/>
        <v>0</v>
      </c>
      <c r="N39" s="352" t="e">
        <f t="shared" si="59"/>
        <v>#DIV/0!</v>
      </c>
      <c r="O39" s="351"/>
      <c r="P39" s="352" t="e">
        <f t="shared" si="60"/>
        <v>#DIV/0!</v>
      </c>
      <c r="Q39" s="351"/>
      <c r="R39" s="352" t="e">
        <f t="shared" si="61"/>
        <v>#DIV/0!</v>
      </c>
      <c r="S39" s="353">
        <f t="shared" si="62"/>
        <v>0</v>
      </c>
      <c r="T39" s="352" t="e">
        <f t="shared" si="63"/>
        <v>#DIV/0!</v>
      </c>
      <c r="U39" s="351"/>
      <c r="V39" s="352" t="e">
        <f t="shared" si="64"/>
        <v>#DIV/0!</v>
      </c>
      <c r="W39" s="351"/>
      <c r="X39" s="352" t="e">
        <f t="shared" si="65"/>
        <v>#DIV/0!</v>
      </c>
      <c r="Y39" s="351"/>
      <c r="Z39" s="352" t="e">
        <f t="shared" si="66"/>
        <v>#DIV/0!</v>
      </c>
      <c r="AA39" s="351"/>
      <c r="AB39" s="352" t="e">
        <f t="shared" si="67"/>
        <v>#DIV/0!</v>
      </c>
      <c r="AC39" s="353">
        <f t="shared" si="68"/>
        <v>0</v>
      </c>
      <c r="AD39" s="352" t="e">
        <f t="shared" si="69"/>
        <v>#DIV/0!</v>
      </c>
      <c r="AE39" s="351"/>
      <c r="AF39" s="352" t="e">
        <f t="shared" si="70"/>
        <v>#DIV/0!</v>
      </c>
      <c r="AG39" s="351"/>
      <c r="AH39" s="352" t="e">
        <f t="shared" si="71"/>
        <v>#DIV/0!</v>
      </c>
      <c r="AI39" s="351"/>
      <c r="AJ39" s="352" t="e">
        <f t="shared" si="72"/>
        <v>#DIV/0!</v>
      </c>
      <c r="AK39" s="351"/>
      <c r="AL39" s="352" t="e">
        <f t="shared" si="37"/>
        <v>#DIV/0!</v>
      </c>
    </row>
    <row r="40" spans="2:38" ht="14.25">
      <c r="B40" s="97"/>
      <c r="C40" s="83"/>
      <c r="D40" s="307">
        <f t="shared" si="55"/>
        <v>46201</v>
      </c>
      <c r="E40" s="307" t="s">
        <v>461</v>
      </c>
      <c r="F40" s="87">
        <f t="shared" si="20"/>
        <v>0</v>
      </c>
      <c r="G40" s="309"/>
      <c r="H40" s="87"/>
      <c r="I40" s="234"/>
      <c r="J40" s="100" t="e">
        <f t="shared" si="56"/>
        <v>#DIV/0!</v>
      </c>
      <c r="K40" s="234"/>
      <c r="L40" s="100" t="e">
        <f t="shared" si="57"/>
        <v>#DIV/0!</v>
      </c>
      <c r="M40" s="105">
        <f t="shared" si="58"/>
        <v>0</v>
      </c>
      <c r="N40" s="100" t="e">
        <f t="shared" si="59"/>
        <v>#DIV/0!</v>
      </c>
      <c r="O40" s="234"/>
      <c r="P40" s="100" t="e">
        <f t="shared" si="60"/>
        <v>#DIV/0!</v>
      </c>
      <c r="Q40" s="234"/>
      <c r="R40" s="100" t="e">
        <f t="shared" si="61"/>
        <v>#DIV/0!</v>
      </c>
      <c r="S40" s="105">
        <f t="shared" si="62"/>
        <v>0</v>
      </c>
      <c r="T40" s="100" t="e">
        <f t="shared" si="63"/>
        <v>#DIV/0!</v>
      </c>
      <c r="U40" s="234"/>
      <c r="V40" s="100" t="e">
        <f t="shared" si="64"/>
        <v>#DIV/0!</v>
      </c>
      <c r="W40" s="234"/>
      <c r="X40" s="100" t="e">
        <f t="shared" si="65"/>
        <v>#DIV/0!</v>
      </c>
      <c r="Y40" s="234"/>
      <c r="Z40" s="100" t="e">
        <f t="shared" si="66"/>
        <v>#DIV/0!</v>
      </c>
      <c r="AA40" s="234"/>
      <c r="AB40" s="100" t="e">
        <f t="shared" si="67"/>
        <v>#DIV/0!</v>
      </c>
      <c r="AC40" s="105">
        <f t="shared" si="68"/>
        <v>0</v>
      </c>
      <c r="AD40" s="100" t="e">
        <f t="shared" si="69"/>
        <v>#DIV/0!</v>
      </c>
      <c r="AE40" s="234"/>
      <c r="AF40" s="100" t="e">
        <f t="shared" si="70"/>
        <v>#DIV/0!</v>
      </c>
      <c r="AG40" s="234"/>
      <c r="AH40" s="100" t="e">
        <f t="shared" si="71"/>
        <v>#DIV/0!</v>
      </c>
      <c r="AI40" s="234"/>
      <c r="AJ40" s="100" t="e">
        <f t="shared" si="72"/>
        <v>#DIV/0!</v>
      </c>
      <c r="AK40" s="234"/>
      <c r="AL40" s="100" t="e">
        <f t="shared" si="37"/>
        <v>#DIV/0!</v>
      </c>
    </row>
    <row r="41" spans="2:38" ht="14.25">
      <c r="B41" s="97"/>
      <c r="C41" s="83"/>
      <c r="D41" s="307">
        <f t="shared" si="55"/>
        <v>46202</v>
      </c>
      <c r="E41" s="307" t="s">
        <v>455</v>
      </c>
      <c r="F41" s="87">
        <f t="shared" si="20"/>
        <v>0</v>
      </c>
      <c r="G41" s="309"/>
      <c r="H41" s="87"/>
      <c r="I41" s="234"/>
      <c r="J41" s="100" t="e">
        <f t="shared" si="56"/>
        <v>#DIV/0!</v>
      </c>
      <c r="K41" s="234"/>
      <c r="L41" s="100" t="e">
        <f t="shared" si="57"/>
        <v>#DIV/0!</v>
      </c>
      <c r="M41" s="105">
        <f t="shared" si="58"/>
        <v>0</v>
      </c>
      <c r="N41" s="100" t="e">
        <f t="shared" si="59"/>
        <v>#DIV/0!</v>
      </c>
      <c r="O41" s="234"/>
      <c r="P41" s="100" t="e">
        <f t="shared" si="60"/>
        <v>#DIV/0!</v>
      </c>
      <c r="Q41" s="234"/>
      <c r="R41" s="100" t="e">
        <f t="shared" si="61"/>
        <v>#DIV/0!</v>
      </c>
      <c r="S41" s="105">
        <f t="shared" si="62"/>
        <v>0</v>
      </c>
      <c r="T41" s="100" t="e">
        <f t="shared" si="63"/>
        <v>#DIV/0!</v>
      </c>
      <c r="U41" s="234"/>
      <c r="V41" s="100" t="e">
        <f t="shared" si="64"/>
        <v>#DIV/0!</v>
      </c>
      <c r="W41" s="234"/>
      <c r="X41" s="100" t="e">
        <f t="shared" si="65"/>
        <v>#DIV/0!</v>
      </c>
      <c r="Y41" s="234"/>
      <c r="Z41" s="100" t="e">
        <f t="shared" si="66"/>
        <v>#DIV/0!</v>
      </c>
      <c r="AA41" s="234"/>
      <c r="AB41" s="100" t="e">
        <f t="shared" si="67"/>
        <v>#DIV/0!</v>
      </c>
      <c r="AC41" s="105">
        <f t="shared" si="68"/>
        <v>0</v>
      </c>
      <c r="AD41" s="100" t="e">
        <f t="shared" si="69"/>
        <v>#DIV/0!</v>
      </c>
      <c r="AE41" s="234"/>
      <c r="AF41" s="100" t="e">
        <f t="shared" si="70"/>
        <v>#DIV/0!</v>
      </c>
      <c r="AG41" s="234"/>
      <c r="AH41" s="100" t="e">
        <f t="shared" si="71"/>
        <v>#DIV/0!</v>
      </c>
      <c r="AI41" s="234"/>
      <c r="AJ41" s="100" t="e">
        <f t="shared" si="72"/>
        <v>#DIV/0!</v>
      </c>
      <c r="AK41" s="234"/>
      <c r="AL41" s="100" t="e">
        <f t="shared" si="37"/>
        <v>#DIV/0!</v>
      </c>
    </row>
    <row r="42" spans="2:38" ht="14.25">
      <c r="B42" s="97"/>
      <c r="C42" s="83"/>
      <c r="D42" s="375">
        <f t="shared" si="55"/>
        <v>46203</v>
      </c>
      <c r="E42" s="375" t="s">
        <v>456</v>
      </c>
      <c r="F42" s="87">
        <f t="shared" si="20"/>
        <v>0</v>
      </c>
      <c r="G42" s="309"/>
      <c r="H42" s="87"/>
      <c r="I42" s="234"/>
      <c r="J42" s="100" t="e">
        <f>I42/F42</f>
        <v>#DIV/0!</v>
      </c>
      <c r="K42" s="234"/>
      <c r="L42" s="100" t="e">
        <f>K42/F42</f>
        <v>#DIV/0!</v>
      </c>
      <c r="M42" s="105">
        <f>SUM(I42+K42)</f>
        <v>0</v>
      </c>
      <c r="N42" s="100" t="e">
        <f>M42/F42</f>
        <v>#DIV/0!</v>
      </c>
      <c r="O42" s="234"/>
      <c r="P42" s="100" t="e">
        <f>O42/F42</f>
        <v>#DIV/0!</v>
      </c>
      <c r="Q42" s="234"/>
      <c r="R42" s="100" t="e">
        <f t="shared" si="61"/>
        <v>#DIV/0!</v>
      </c>
      <c r="S42" s="105">
        <f t="shared" si="62"/>
        <v>0</v>
      </c>
      <c r="T42" s="100" t="e">
        <f>S42/F42</f>
        <v>#DIV/0!</v>
      </c>
      <c r="U42" s="234"/>
      <c r="V42" s="100" t="e">
        <f>U42/F42</f>
        <v>#DIV/0!</v>
      </c>
      <c r="W42" s="234"/>
      <c r="X42" s="100" t="e">
        <f>W42/F42</f>
        <v>#DIV/0!</v>
      </c>
      <c r="Y42" s="234"/>
      <c r="Z42" s="100" t="e">
        <f>Y42/F42</f>
        <v>#DIV/0!</v>
      </c>
      <c r="AA42" s="234"/>
      <c r="AB42" s="100" t="e">
        <f t="shared" si="67"/>
        <v>#DIV/0!</v>
      </c>
      <c r="AC42" s="105">
        <f>SUM(Y42+AA42)</f>
        <v>0</v>
      </c>
      <c r="AD42" s="100" t="e">
        <f>AC42/F42</f>
        <v>#DIV/0!</v>
      </c>
      <c r="AE42" s="234"/>
      <c r="AF42" s="100" t="e">
        <f>AE42/F42</f>
        <v>#DIV/0!</v>
      </c>
      <c r="AG42" s="234"/>
      <c r="AH42" s="100" t="e">
        <f>AG42/F42</f>
        <v>#DIV/0!</v>
      </c>
      <c r="AI42" s="234"/>
      <c r="AJ42" s="100" t="e">
        <f>AI42/F42</f>
        <v>#DIV/0!</v>
      </c>
      <c r="AK42" s="234"/>
      <c r="AL42" s="100" t="e">
        <f>AK42/F42</f>
        <v>#DIV/0!</v>
      </c>
    </row>
    <row r="43" spans="2:38" ht="14.25">
      <c r="B43" s="97"/>
      <c r="C43" s="83"/>
      <c r="D43" s="375">
        <f t="shared" si="55"/>
        <v>46204</v>
      </c>
      <c r="E43" s="375" t="s">
        <v>457</v>
      </c>
      <c r="F43" s="87">
        <f t="shared" ref="F43" si="73">SUM(M43,S43,U43,W43,AC43,AE43,AG43,AI43,AK43)</f>
        <v>0</v>
      </c>
      <c r="G43" s="309"/>
      <c r="H43" s="87"/>
      <c r="I43" s="234"/>
      <c r="J43" s="100" t="e">
        <f>I43/F43</f>
        <v>#DIV/0!</v>
      </c>
      <c r="K43" s="234"/>
      <c r="L43" s="100" t="e">
        <f>K43/F43</f>
        <v>#DIV/0!</v>
      </c>
      <c r="M43" s="105">
        <f>SUM(I43+K43)</f>
        <v>0</v>
      </c>
      <c r="N43" s="100" t="e">
        <f>M43/F43</f>
        <v>#DIV/0!</v>
      </c>
      <c r="O43" s="234"/>
      <c r="P43" s="100" t="e">
        <f>O43/F43</f>
        <v>#DIV/0!</v>
      </c>
      <c r="Q43" s="234"/>
      <c r="R43" s="100" t="e">
        <f t="shared" si="61"/>
        <v>#DIV/0!</v>
      </c>
      <c r="S43" s="105">
        <f t="shared" ref="S43" si="74">SUM(O43+Q43)</f>
        <v>0</v>
      </c>
      <c r="T43" s="100" t="e">
        <f>S43/F43</f>
        <v>#DIV/0!</v>
      </c>
      <c r="U43" s="234"/>
      <c r="V43" s="100" t="e">
        <f>U43/F43</f>
        <v>#DIV/0!</v>
      </c>
      <c r="W43" s="234"/>
      <c r="X43" s="100" t="e">
        <f>W43/F43</f>
        <v>#DIV/0!</v>
      </c>
      <c r="Y43" s="234"/>
      <c r="Z43" s="100" t="e">
        <f>Y43/F43</f>
        <v>#DIV/0!</v>
      </c>
      <c r="AA43" s="234"/>
      <c r="AB43" s="100" t="e">
        <f t="shared" si="67"/>
        <v>#DIV/0!</v>
      </c>
      <c r="AC43" s="105">
        <f>SUM(Y43+AA43)</f>
        <v>0</v>
      </c>
      <c r="AD43" s="100" t="e">
        <f>AC43/F43</f>
        <v>#DIV/0!</v>
      </c>
      <c r="AE43" s="234"/>
      <c r="AF43" s="100" t="e">
        <f>AE43/F43</f>
        <v>#DIV/0!</v>
      </c>
      <c r="AG43" s="234"/>
      <c r="AH43" s="100" t="e">
        <f>AG43/F43</f>
        <v>#DIV/0!</v>
      </c>
      <c r="AI43" s="234"/>
      <c r="AJ43" s="100" t="e">
        <f>AI43/F43</f>
        <v>#DIV/0!</v>
      </c>
      <c r="AK43" s="234"/>
      <c r="AL43" s="100" t="e">
        <f>AK43/F43</f>
        <v>#DIV/0!</v>
      </c>
    </row>
    <row r="44" spans="2:38" ht="14.25">
      <c r="B44" s="97"/>
      <c r="C44" s="83"/>
      <c r="D44" s="375">
        <f t="shared" si="55"/>
        <v>46205</v>
      </c>
      <c r="E44" s="375" t="s">
        <v>458</v>
      </c>
      <c r="F44" s="87">
        <f t="shared" si="20"/>
        <v>0</v>
      </c>
      <c r="G44" s="309"/>
      <c r="H44" s="87"/>
      <c r="I44" s="234"/>
      <c r="J44" s="100" t="e">
        <f>I44/F44</f>
        <v>#DIV/0!</v>
      </c>
      <c r="K44" s="234"/>
      <c r="L44" s="100" t="e">
        <f>K44/F44</f>
        <v>#DIV/0!</v>
      </c>
      <c r="M44" s="105">
        <f>SUM(I44+K44)</f>
        <v>0</v>
      </c>
      <c r="N44" s="100" t="e">
        <f>M44/F44</f>
        <v>#DIV/0!</v>
      </c>
      <c r="O44" s="234"/>
      <c r="P44" s="100" t="e">
        <f>O44/F44</f>
        <v>#DIV/0!</v>
      </c>
      <c r="Q44" s="234"/>
      <c r="R44" s="100" t="e">
        <f t="shared" si="61"/>
        <v>#DIV/0!</v>
      </c>
      <c r="S44" s="105">
        <f t="shared" si="62"/>
        <v>0</v>
      </c>
      <c r="T44" s="100" t="e">
        <f>S44/F44</f>
        <v>#DIV/0!</v>
      </c>
      <c r="U44" s="234"/>
      <c r="V44" s="100" t="e">
        <f>U44/F44</f>
        <v>#DIV/0!</v>
      </c>
      <c r="W44" s="234"/>
      <c r="X44" s="100" t="e">
        <f>W44/F44</f>
        <v>#DIV/0!</v>
      </c>
      <c r="Y44" s="234"/>
      <c r="Z44" s="100" t="e">
        <f>Y44/F44</f>
        <v>#DIV/0!</v>
      </c>
      <c r="AA44" s="234"/>
      <c r="AB44" s="100" t="e">
        <f t="shared" si="67"/>
        <v>#DIV/0!</v>
      </c>
      <c r="AC44" s="105">
        <f>SUM(Y44+AA44)</f>
        <v>0</v>
      </c>
      <c r="AD44" s="100" t="e">
        <f>AC44/F44</f>
        <v>#DIV/0!</v>
      </c>
      <c r="AE44" s="234"/>
      <c r="AF44" s="100" t="e">
        <f>AE44/F44</f>
        <v>#DIV/0!</v>
      </c>
      <c r="AG44" s="234"/>
      <c r="AH44" s="100" t="e">
        <f>AG44/F44</f>
        <v>#DIV/0!</v>
      </c>
      <c r="AI44" s="234"/>
      <c r="AJ44" s="100" t="e">
        <f>AI44/F44</f>
        <v>#DIV/0!</v>
      </c>
      <c r="AK44" s="234"/>
      <c r="AL44" s="100" t="e">
        <f>AK44/F44</f>
        <v>#DIV/0!</v>
      </c>
    </row>
    <row r="45" spans="2:38" ht="14.25">
      <c r="B45" s="97"/>
      <c r="C45" s="83"/>
      <c r="D45" s="375">
        <f t="shared" si="55"/>
        <v>46206</v>
      </c>
      <c r="E45" s="375" t="s">
        <v>459</v>
      </c>
      <c r="F45" s="87">
        <f t="shared" ref="F45:F48" si="75">SUM(M45,S45,U45,W45,AC45,AE45,AG45,AI45,AK45)</f>
        <v>0</v>
      </c>
      <c r="G45" s="309"/>
      <c r="H45" s="87"/>
      <c r="I45" s="234"/>
      <c r="J45" s="100" t="e">
        <f t="shared" ref="J45:J48" si="76">I45/F45</f>
        <v>#DIV/0!</v>
      </c>
      <c r="K45" s="234"/>
      <c r="L45" s="100" t="e">
        <f t="shared" ref="L45:L48" si="77">K45/F45</f>
        <v>#DIV/0!</v>
      </c>
      <c r="M45" s="105">
        <f t="shared" ref="M45:M48" si="78">SUM(I45+K45)</f>
        <v>0</v>
      </c>
      <c r="N45" s="100" t="e">
        <f t="shared" ref="N45:N48" si="79">M45/F45</f>
        <v>#DIV/0!</v>
      </c>
      <c r="O45" s="234"/>
      <c r="P45" s="100" t="e">
        <f t="shared" ref="P45:P48" si="80">O45/F45</f>
        <v>#DIV/0!</v>
      </c>
      <c r="Q45" s="234"/>
      <c r="R45" s="100" t="e">
        <f t="shared" ref="R45:R48" si="81">Q45/F45</f>
        <v>#DIV/0!</v>
      </c>
      <c r="S45" s="105">
        <f t="shared" ref="S45:S48" si="82">SUM(O45+Q45)</f>
        <v>0</v>
      </c>
      <c r="T45" s="100" t="e">
        <f t="shared" ref="T45:T48" si="83">S45/F45</f>
        <v>#DIV/0!</v>
      </c>
      <c r="U45" s="234"/>
      <c r="V45" s="100" t="e">
        <f t="shared" ref="V45:V48" si="84">U45/F45</f>
        <v>#DIV/0!</v>
      </c>
      <c r="W45" s="234"/>
      <c r="X45" s="100" t="e">
        <f t="shared" ref="X45:X48" si="85">W45/F45</f>
        <v>#DIV/0!</v>
      </c>
      <c r="Y45" s="234"/>
      <c r="Z45" s="100" t="e">
        <f t="shared" ref="Z45:Z48" si="86">Y45/F45</f>
        <v>#DIV/0!</v>
      </c>
      <c r="AA45" s="234"/>
      <c r="AB45" s="100" t="e">
        <f t="shared" ref="AB45:AB48" si="87">AA45/F45</f>
        <v>#DIV/0!</v>
      </c>
      <c r="AC45" s="105">
        <f t="shared" ref="AC45:AC48" si="88">SUM(Y45+AA45)</f>
        <v>0</v>
      </c>
      <c r="AD45" s="100" t="e">
        <f t="shared" ref="AD45:AD48" si="89">AC45/F45</f>
        <v>#DIV/0!</v>
      </c>
      <c r="AE45" s="234"/>
      <c r="AF45" s="100" t="e">
        <f t="shared" ref="AF45:AF48" si="90">AE45/F45</f>
        <v>#DIV/0!</v>
      </c>
      <c r="AG45" s="234"/>
      <c r="AH45" s="100" t="e">
        <f t="shared" ref="AH45:AH48" si="91">AG45/F45</f>
        <v>#DIV/0!</v>
      </c>
      <c r="AI45" s="234"/>
      <c r="AJ45" s="100" t="e">
        <f t="shared" ref="AJ45:AJ48" si="92">AI45/F45</f>
        <v>#DIV/0!</v>
      </c>
      <c r="AK45" s="234"/>
      <c r="AL45" s="100" t="e">
        <f t="shared" ref="AL45:AL48" si="93">AK45/F45</f>
        <v>#DIV/0!</v>
      </c>
    </row>
    <row r="46" spans="2:38" ht="14.25">
      <c r="B46" s="97"/>
      <c r="C46" s="83"/>
      <c r="D46" s="375">
        <f t="shared" si="55"/>
        <v>46207</v>
      </c>
      <c r="E46" s="375" t="s">
        <v>460</v>
      </c>
      <c r="F46" s="87">
        <f t="shared" si="75"/>
        <v>0</v>
      </c>
      <c r="G46" s="309"/>
      <c r="H46" s="87"/>
      <c r="I46" s="234"/>
      <c r="J46" s="100" t="e">
        <f t="shared" si="76"/>
        <v>#DIV/0!</v>
      </c>
      <c r="K46" s="234"/>
      <c r="L46" s="100" t="e">
        <f t="shared" si="77"/>
        <v>#DIV/0!</v>
      </c>
      <c r="M46" s="105">
        <f t="shared" si="78"/>
        <v>0</v>
      </c>
      <c r="N46" s="100" t="e">
        <f t="shared" si="79"/>
        <v>#DIV/0!</v>
      </c>
      <c r="O46" s="234"/>
      <c r="P46" s="100" t="e">
        <f t="shared" si="80"/>
        <v>#DIV/0!</v>
      </c>
      <c r="Q46" s="234"/>
      <c r="R46" s="100" t="e">
        <f t="shared" si="81"/>
        <v>#DIV/0!</v>
      </c>
      <c r="S46" s="105">
        <f t="shared" si="82"/>
        <v>0</v>
      </c>
      <c r="T46" s="100" t="e">
        <f t="shared" si="83"/>
        <v>#DIV/0!</v>
      </c>
      <c r="U46" s="234"/>
      <c r="V46" s="100" t="e">
        <f t="shared" si="84"/>
        <v>#DIV/0!</v>
      </c>
      <c r="W46" s="234"/>
      <c r="X46" s="100" t="e">
        <f t="shared" si="85"/>
        <v>#DIV/0!</v>
      </c>
      <c r="Y46" s="234"/>
      <c r="Z46" s="100" t="e">
        <f t="shared" si="86"/>
        <v>#DIV/0!</v>
      </c>
      <c r="AA46" s="234"/>
      <c r="AB46" s="100" t="e">
        <f t="shared" si="87"/>
        <v>#DIV/0!</v>
      </c>
      <c r="AC46" s="105">
        <f t="shared" si="88"/>
        <v>0</v>
      </c>
      <c r="AD46" s="100" t="e">
        <f t="shared" si="89"/>
        <v>#DIV/0!</v>
      </c>
      <c r="AE46" s="234"/>
      <c r="AF46" s="100" t="e">
        <f t="shared" si="90"/>
        <v>#DIV/0!</v>
      </c>
      <c r="AG46" s="234"/>
      <c r="AH46" s="100" t="e">
        <f t="shared" si="91"/>
        <v>#DIV/0!</v>
      </c>
      <c r="AI46" s="234"/>
      <c r="AJ46" s="100" t="e">
        <f t="shared" si="92"/>
        <v>#DIV/0!</v>
      </c>
      <c r="AK46" s="234"/>
      <c r="AL46" s="100" t="e">
        <f t="shared" si="93"/>
        <v>#DIV/0!</v>
      </c>
    </row>
    <row r="47" spans="2:38" ht="14.25">
      <c r="B47" s="97"/>
      <c r="C47" s="83"/>
      <c r="D47" s="375">
        <f t="shared" si="55"/>
        <v>46208</v>
      </c>
      <c r="E47" s="375" t="s">
        <v>461</v>
      </c>
      <c r="F47" s="87">
        <f t="shared" si="75"/>
        <v>0</v>
      </c>
      <c r="G47" s="309"/>
      <c r="H47" s="87"/>
      <c r="I47" s="234"/>
      <c r="J47" s="100" t="e">
        <f t="shared" si="76"/>
        <v>#DIV/0!</v>
      </c>
      <c r="K47" s="234"/>
      <c r="L47" s="100" t="e">
        <f t="shared" si="77"/>
        <v>#DIV/0!</v>
      </c>
      <c r="M47" s="105">
        <f t="shared" si="78"/>
        <v>0</v>
      </c>
      <c r="N47" s="100" t="e">
        <f t="shared" si="79"/>
        <v>#DIV/0!</v>
      </c>
      <c r="O47" s="234"/>
      <c r="P47" s="100" t="e">
        <f t="shared" si="80"/>
        <v>#DIV/0!</v>
      </c>
      <c r="Q47" s="234"/>
      <c r="R47" s="100" t="e">
        <f t="shared" si="81"/>
        <v>#DIV/0!</v>
      </c>
      <c r="S47" s="105">
        <f t="shared" si="82"/>
        <v>0</v>
      </c>
      <c r="T47" s="100" t="e">
        <f t="shared" si="83"/>
        <v>#DIV/0!</v>
      </c>
      <c r="U47" s="234"/>
      <c r="V47" s="100" t="e">
        <f t="shared" si="84"/>
        <v>#DIV/0!</v>
      </c>
      <c r="W47" s="234"/>
      <c r="X47" s="100" t="e">
        <f t="shared" si="85"/>
        <v>#DIV/0!</v>
      </c>
      <c r="Y47" s="234"/>
      <c r="Z47" s="100" t="e">
        <f t="shared" si="86"/>
        <v>#DIV/0!</v>
      </c>
      <c r="AA47" s="234"/>
      <c r="AB47" s="100" t="e">
        <f t="shared" si="87"/>
        <v>#DIV/0!</v>
      </c>
      <c r="AC47" s="105">
        <f t="shared" si="88"/>
        <v>0</v>
      </c>
      <c r="AD47" s="100" t="e">
        <f t="shared" si="89"/>
        <v>#DIV/0!</v>
      </c>
      <c r="AE47" s="234"/>
      <c r="AF47" s="100" t="e">
        <f t="shared" si="90"/>
        <v>#DIV/0!</v>
      </c>
      <c r="AG47" s="234"/>
      <c r="AH47" s="100" t="e">
        <f t="shared" si="91"/>
        <v>#DIV/0!</v>
      </c>
      <c r="AI47" s="234"/>
      <c r="AJ47" s="100" t="e">
        <f t="shared" si="92"/>
        <v>#DIV/0!</v>
      </c>
      <c r="AK47" s="234"/>
      <c r="AL47" s="100" t="e">
        <f t="shared" si="93"/>
        <v>#DIV/0!</v>
      </c>
    </row>
    <row r="48" spans="2:38" ht="14.25">
      <c r="B48" s="97"/>
      <c r="C48" s="83"/>
      <c r="D48" s="375">
        <f t="shared" si="55"/>
        <v>46209</v>
      </c>
      <c r="E48" s="375" t="s">
        <v>455</v>
      </c>
      <c r="F48" s="87">
        <f t="shared" si="75"/>
        <v>0</v>
      </c>
      <c r="G48" s="309"/>
      <c r="H48" s="87"/>
      <c r="I48" s="234"/>
      <c r="J48" s="100" t="e">
        <f t="shared" si="76"/>
        <v>#DIV/0!</v>
      </c>
      <c r="K48" s="234"/>
      <c r="L48" s="100" t="e">
        <f t="shared" si="77"/>
        <v>#DIV/0!</v>
      </c>
      <c r="M48" s="105">
        <f t="shared" si="78"/>
        <v>0</v>
      </c>
      <c r="N48" s="100" t="e">
        <f t="shared" si="79"/>
        <v>#DIV/0!</v>
      </c>
      <c r="O48" s="234"/>
      <c r="P48" s="100" t="e">
        <f t="shared" si="80"/>
        <v>#DIV/0!</v>
      </c>
      <c r="Q48" s="234"/>
      <c r="R48" s="100" t="e">
        <f t="shared" si="81"/>
        <v>#DIV/0!</v>
      </c>
      <c r="S48" s="105">
        <f t="shared" si="82"/>
        <v>0</v>
      </c>
      <c r="T48" s="100" t="e">
        <f t="shared" si="83"/>
        <v>#DIV/0!</v>
      </c>
      <c r="U48" s="234"/>
      <c r="V48" s="100" t="e">
        <f t="shared" si="84"/>
        <v>#DIV/0!</v>
      </c>
      <c r="W48" s="234"/>
      <c r="X48" s="100" t="e">
        <f t="shared" si="85"/>
        <v>#DIV/0!</v>
      </c>
      <c r="Y48" s="234"/>
      <c r="Z48" s="100" t="e">
        <f t="shared" si="86"/>
        <v>#DIV/0!</v>
      </c>
      <c r="AA48" s="234"/>
      <c r="AB48" s="100" t="e">
        <f t="shared" si="87"/>
        <v>#DIV/0!</v>
      </c>
      <c r="AC48" s="105">
        <f t="shared" si="88"/>
        <v>0</v>
      </c>
      <c r="AD48" s="100" t="e">
        <f t="shared" si="89"/>
        <v>#DIV/0!</v>
      </c>
      <c r="AE48" s="234"/>
      <c r="AF48" s="100" t="e">
        <f t="shared" si="90"/>
        <v>#DIV/0!</v>
      </c>
      <c r="AG48" s="234"/>
      <c r="AH48" s="100" t="e">
        <f t="shared" si="91"/>
        <v>#DIV/0!</v>
      </c>
      <c r="AI48" s="234"/>
      <c r="AJ48" s="100" t="e">
        <f t="shared" si="92"/>
        <v>#DIV/0!</v>
      </c>
      <c r="AK48" s="234"/>
      <c r="AL48" s="100" t="e">
        <f t="shared" si="93"/>
        <v>#DIV/0!</v>
      </c>
    </row>
    <row r="49" spans="2:38" ht="14.25">
      <c r="B49" s="97"/>
      <c r="C49" s="83"/>
      <c r="D49" s="375"/>
      <c r="E49" s="375"/>
      <c r="F49" s="87"/>
      <c r="G49" s="309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si="61"/>
        <v>#DIV/0!</v>
      </c>
      <c r="S49" s="105">
        <f t="shared" si="62"/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si="67"/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75"/>
      <c r="E50" s="375"/>
      <c r="F50" s="87"/>
      <c r="G50" s="87"/>
      <c r="H50" s="87"/>
      <c r="I50" s="272">
        <f>SUM(I7:I44)</f>
        <v>771088</v>
      </c>
      <c r="J50" s="271">
        <f>I50/$H$12</f>
        <v>0.18335563390412807</v>
      </c>
      <c r="K50" s="272">
        <f>SUM(K7:K44)</f>
        <v>922328</v>
      </c>
      <c r="L50" s="271">
        <f>K50/$H$12</f>
        <v>0.21931872251614165</v>
      </c>
      <c r="M50" s="272">
        <f>SUM(M7:M44)</f>
        <v>1693416</v>
      </c>
      <c r="N50" s="271">
        <f>M50/$H$12</f>
        <v>0.40267435642026972</v>
      </c>
      <c r="O50" s="272">
        <f>SUM(O7:O44)</f>
        <v>108663</v>
      </c>
      <c r="P50" s="271">
        <f>O50/$H$12</f>
        <v>2.5838780070399577E-2</v>
      </c>
      <c r="Q50" s="272">
        <f>SUM(Q7:Q44)</f>
        <v>0</v>
      </c>
      <c r="R50" s="271">
        <f>Q50/$H$12</f>
        <v>0</v>
      </c>
      <c r="S50" s="272">
        <f>SUM(S7:S44)</f>
        <v>108663</v>
      </c>
      <c r="T50" s="271">
        <f>S50/$H$12</f>
        <v>2.5838780070399577E-2</v>
      </c>
      <c r="U50" s="272">
        <f>SUM(U7:U44)</f>
        <v>656719</v>
      </c>
      <c r="V50" s="271">
        <f>U50/$H$12</f>
        <v>0.1561600343175942</v>
      </c>
      <c r="W50" s="272">
        <f>SUM(W7:W44)</f>
        <v>38407</v>
      </c>
      <c r="X50" s="271">
        <f>W50/$H$12</f>
        <v>9.1327317133139754E-3</v>
      </c>
      <c r="Y50" s="272">
        <f>SUM(Y7:Y44)</f>
        <v>521795</v>
      </c>
      <c r="Z50" s="271">
        <f>Y50/$H$12</f>
        <v>0.12407669811098669</v>
      </c>
      <c r="AA50" s="272">
        <f>SUM(AA7:AA44)</f>
        <v>450521</v>
      </c>
      <c r="AB50" s="271">
        <f>AA50/$H$12</f>
        <v>0.1071285813579276</v>
      </c>
      <c r="AC50" s="272">
        <f>SUM(AC7:AC44)</f>
        <v>972316</v>
      </c>
      <c r="AD50" s="271">
        <f>AC50/$H$12</f>
        <v>0.23120527946891431</v>
      </c>
      <c r="AE50" s="272">
        <f>SUM(AE7:AE44)</f>
        <v>516380</v>
      </c>
      <c r="AF50" s="271">
        <f>AE50/$H$12</f>
        <v>0.122789074963446</v>
      </c>
      <c r="AG50" s="272">
        <f>SUM(AG7:AG44)</f>
        <v>443539</v>
      </c>
      <c r="AH50" s="271">
        <f>AG50/$H$12</f>
        <v>0.10546834408809767</v>
      </c>
      <c r="AI50" s="272">
        <f>SUM(AI7:AI44)</f>
        <v>857175</v>
      </c>
      <c r="AJ50" s="271">
        <f>AI50/$H$12</f>
        <v>0.20382610738563042</v>
      </c>
      <c r="AK50" s="272">
        <f>SUM(AK7:AK44)</f>
        <v>598238</v>
      </c>
      <c r="AL50" s="271">
        <f>AK50/$H$12</f>
        <v>0.142253942112363</v>
      </c>
    </row>
    <row r="51" spans="2:38" ht="14.25">
      <c r="B51" s="97"/>
      <c r="C51" s="83"/>
      <c r="D51" s="375"/>
      <c r="E51" s="375"/>
      <c r="F51" s="87"/>
      <c r="G51" s="87"/>
      <c r="H51" s="87"/>
      <c r="M51" s="273">
        <f>M50</f>
        <v>1693416</v>
      </c>
      <c r="S51" s="273">
        <f>S50</f>
        <v>108663</v>
      </c>
      <c r="U51" s="273">
        <f>U50</f>
        <v>656719</v>
      </c>
      <c r="W51" s="273">
        <f>W50</f>
        <v>38407</v>
      </c>
      <c r="Y51" s="273"/>
      <c r="AA51" s="273"/>
      <c r="AC51" s="273">
        <f>AC50</f>
        <v>972316</v>
      </c>
      <c r="AE51" s="273">
        <f>AE50</f>
        <v>516380</v>
      </c>
      <c r="AG51" s="273">
        <f>AG50</f>
        <v>443539</v>
      </c>
      <c r="AI51" s="273">
        <f>AI50</f>
        <v>857175</v>
      </c>
      <c r="AK51" s="273">
        <f>AK50</f>
        <v>598238</v>
      </c>
    </row>
    <row r="52" spans="2:38" ht="14.25">
      <c r="B52" s="97"/>
      <c r="C52" s="83"/>
      <c r="D52" s="375"/>
      <c r="E52" s="375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57" zoomScale="55" zoomScaleNormal="55" workbookViewId="0">
      <pane xSplit="15" topLeftCell="P1" activePane="topRight" state="frozen"/>
      <selection activeCell="AI87" sqref="AI87:AI101"/>
      <selection pane="topRight" activeCell="L77" sqref="L77:L10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315</v>
      </c>
      <c r="C1" s="219">
        <f>AVERAGE(L7,L42,L77,L112,L147,L182)</f>
        <v>839.68041502140034</v>
      </c>
    </row>
    <row r="2" spans="1:53" ht="15.75">
      <c r="A2" s="81"/>
      <c r="B2" s="647" t="s">
        <v>163</v>
      </c>
      <c r="C2" s="647"/>
      <c r="D2" s="647"/>
      <c r="E2" s="647"/>
      <c r="F2" s="647"/>
      <c r="G2" s="647"/>
      <c r="H2" s="647"/>
      <c r="I2" s="292"/>
      <c r="J2" s="292"/>
      <c r="K2" s="292"/>
      <c r="L2" s="292"/>
      <c r="M2" s="196"/>
      <c r="N2" s="636" t="s">
        <v>156</v>
      </c>
      <c r="O2" s="636" t="s">
        <v>155</v>
      </c>
      <c r="P2" s="663">
        <v>46168</v>
      </c>
      <c r="Q2" s="664"/>
      <c r="R2" s="664"/>
      <c r="S2" s="664"/>
      <c r="T2" s="665"/>
      <c r="U2" s="642">
        <f>P2+1</f>
        <v>46169</v>
      </c>
      <c r="V2" s="643"/>
      <c r="W2" s="643"/>
      <c r="X2" s="643"/>
      <c r="Y2" s="643"/>
      <c r="Z2" s="642">
        <f>U2+1</f>
        <v>46170</v>
      </c>
      <c r="AA2" s="643"/>
      <c r="AB2" s="643"/>
      <c r="AC2" s="643"/>
      <c r="AD2" s="643"/>
      <c r="AE2" s="642">
        <f>Z2+1</f>
        <v>46171</v>
      </c>
      <c r="AF2" s="643"/>
      <c r="AG2" s="643"/>
      <c r="AH2" s="643"/>
      <c r="AI2" s="643"/>
      <c r="AJ2" s="642">
        <f>AE2+1</f>
        <v>46172</v>
      </c>
      <c r="AK2" s="643"/>
      <c r="AL2" s="643"/>
      <c r="AM2" s="643"/>
      <c r="AN2" s="643"/>
      <c r="AO2" s="642">
        <f>AJ2+1</f>
        <v>46173</v>
      </c>
      <c r="AP2" s="643"/>
      <c r="AQ2" s="643"/>
      <c r="AR2" s="643"/>
      <c r="AS2" s="643"/>
      <c r="AT2" s="639">
        <f>AO2+1</f>
        <v>46174</v>
      </c>
      <c r="AU2" s="640"/>
      <c r="AV2" s="640"/>
      <c r="AW2" s="640"/>
      <c r="AX2" s="641"/>
    </row>
    <row r="3" spans="1:53" ht="15.75">
      <c r="A3" s="81"/>
      <c r="B3" s="666"/>
      <c r="C3" s="666"/>
      <c r="D3" s="666"/>
      <c r="E3" s="666"/>
      <c r="F3" s="666"/>
      <c r="G3" s="666"/>
      <c r="H3" s="666"/>
      <c r="I3" s="293"/>
      <c r="J3" s="293"/>
      <c r="K3" s="293"/>
      <c r="L3" s="293"/>
      <c r="M3" s="197"/>
      <c r="N3" s="638"/>
      <c r="O3" s="638"/>
      <c r="P3" s="642" t="s">
        <v>158</v>
      </c>
      <c r="Q3" s="643"/>
      <c r="R3" s="643"/>
      <c r="S3" s="643"/>
      <c r="T3" s="643"/>
      <c r="U3" s="642" t="s">
        <v>114</v>
      </c>
      <c r="V3" s="643"/>
      <c r="W3" s="643"/>
      <c r="X3" s="643"/>
      <c r="Y3" s="643"/>
      <c r="Z3" s="642" t="s">
        <v>159</v>
      </c>
      <c r="AA3" s="643"/>
      <c r="AB3" s="643"/>
      <c r="AC3" s="643"/>
      <c r="AD3" s="643"/>
      <c r="AE3" s="642" t="s">
        <v>157</v>
      </c>
      <c r="AF3" s="643"/>
      <c r="AG3" s="643"/>
      <c r="AH3" s="643"/>
      <c r="AI3" s="643"/>
      <c r="AJ3" s="642" t="s">
        <v>160</v>
      </c>
      <c r="AK3" s="643"/>
      <c r="AL3" s="643"/>
      <c r="AM3" s="643"/>
      <c r="AN3" s="643"/>
      <c r="AO3" s="642" t="s">
        <v>115</v>
      </c>
      <c r="AP3" s="643"/>
      <c r="AQ3" s="643"/>
      <c r="AR3" s="643"/>
      <c r="AS3" s="643"/>
      <c r="AT3" s="642" t="s">
        <v>162</v>
      </c>
      <c r="AU3" s="643"/>
      <c r="AV3" s="643"/>
      <c r="AW3" s="643"/>
      <c r="AX3" s="643"/>
    </row>
    <row r="4" spans="1:53" ht="14.25">
      <c r="A4" s="81"/>
      <c r="B4" s="635" t="s">
        <v>374</v>
      </c>
      <c r="C4" s="635" t="s">
        <v>384</v>
      </c>
      <c r="D4" s="635"/>
      <c r="E4" s="635" t="s">
        <v>375</v>
      </c>
      <c r="F4" s="635"/>
      <c r="G4" s="635"/>
      <c r="H4" s="651" t="s">
        <v>371</v>
      </c>
      <c r="I4" s="619" t="s">
        <v>376</v>
      </c>
      <c r="J4" s="619"/>
      <c r="K4" s="619"/>
      <c r="L4" s="620" t="s">
        <v>371</v>
      </c>
      <c r="M4" s="626" t="s">
        <v>372</v>
      </c>
      <c r="N4" s="635"/>
      <c r="O4" s="635" t="s">
        <v>377</v>
      </c>
      <c r="P4" s="632" t="s">
        <v>373</v>
      </c>
      <c r="Q4" s="633"/>
      <c r="R4" s="633"/>
      <c r="S4" s="634"/>
      <c r="T4" s="635" t="s">
        <v>371</v>
      </c>
      <c r="U4" s="632" t="s">
        <v>373</v>
      </c>
      <c r="V4" s="633"/>
      <c r="W4" s="633"/>
      <c r="X4" s="634"/>
      <c r="Y4" s="635" t="s">
        <v>371</v>
      </c>
      <c r="Z4" s="632" t="s">
        <v>373</v>
      </c>
      <c r="AA4" s="633"/>
      <c r="AB4" s="633"/>
      <c r="AC4" s="634"/>
      <c r="AD4" s="635" t="s">
        <v>371</v>
      </c>
      <c r="AE4" s="632" t="s">
        <v>373</v>
      </c>
      <c r="AF4" s="633"/>
      <c r="AG4" s="633"/>
      <c r="AH4" s="634"/>
      <c r="AI4" s="635" t="s">
        <v>371</v>
      </c>
      <c r="AJ4" s="632" t="s">
        <v>373</v>
      </c>
      <c r="AK4" s="633"/>
      <c r="AL4" s="633"/>
      <c r="AM4" s="634"/>
      <c r="AN4" s="635" t="s">
        <v>371</v>
      </c>
      <c r="AO4" s="632" t="s">
        <v>373</v>
      </c>
      <c r="AP4" s="633"/>
      <c r="AQ4" s="633"/>
      <c r="AR4" s="634"/>
      <c r="AS4" s="635" t="s">
        <v>371</v>
      </c>
      <c r="AT4" s="632" t="s">
        <v>373</v>
      </c>
      <c r="AU4" s="633"/>
      <c r="AV4" s="633"/>
      <c r="AW4" s="634"/>
      <c r="AX4" s="635" t="s">
        <v>371</v>
      </c>
      <c r="BA4" s="635" t="s">
        <v>371</v>
      </c>
    </row>
    <row r="5" spans="1:53" ht="14.25">
      <c r="A5" s="81"/>
      <c r="B5" s="635"/>
      <c r="C5" s="635"/>
      <c r="D5" s="635"/>
      <c r="E5" s="635" t="s">
        <v>378</v>
      </c>
      <c r="F5" s="635"/>
      <c r="G5" s="635"/>
      <c r="H5" s="652"/>
      <c r="I5" s="619" t="s">
        <v>378</v>
      </c>
      <c r="J5" s="619"/>
      <c r="K5" s="619"/>
      <c r="L5" s="621"/>
      <c r="M5" s="627"/>
      <c r="N5" s="635"/>
      <c r="O5" s="635"/>
      <c r="P5" s="632" t="s">
        <v>379</v>
      </c>
      <c r="Q5" s="633"/>
      <c r="R5" s="633"/>
      <c r="S5" s="634"/>
      <c r="T5" s="635"/>
      <c r="U5" s="632" t="s">
        <v>379</v>
      </c>
      <c r="V5" s="633"/>
      <c r="W5" s="633"/>
      <c r="X5" s="634"/>
      <c r="Y5" s="635"/>
      <c r="Z5" s="632" t="s">
        <v>379</v>
      </c>
      <c r="AA5" s="633"/>
      <c r="AB5" s="633"/>
      <c r="AC5" s="634"/>
      <c r="AD5" s="635"/>
      <c r="AE5" s="632" t="s">
        <v>379</v>
      </c>
      <c r="AF5" s="633"/>
      <c r="AG5" s="633"/>
      <c r="AH5" s="634"/>
      <c r="AI5" s="635"/>
      <c r="AJ5" s="632" t="s">
        <v>379</v>
      </c>
      <c r="AK5" s="633"/>
      <c r="AL5" s="633"/>
      <c r="AM5" s="634"/>
      <c r="AN5" s="635"/>
      <c r="AO5" s="632" t="s">
        <v>379</v>
      </c>
      <c r="AP5" s="633"/>
      <c r="AQ5" s="633"/>
      <c r="AR5" s="634"/>
      <c r="AS5" s="635"/>
      <c r="AT5" s="632" t="s">
        <v>379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408" t="s">
        <v>380</v>
      </c>
      <c r="F6" s="408" t="s">
        <v>381</v>
      </c>
      <c r="G6" s="408" t="s">
        <v>382</v>
      </c>
      <c r="H6" s="653"/>
      <c r="I6" s="407" t="s">
        <v>380</v>
      </c>
      <c r="J6" s="407" t="s">
        <v>381</v>
      </c>
      <c r="K6" s="407" t="s">
        <v>382</v>
      </c>
      <c r="L6" s="622"/>
      <c r="M6" s="628"/>
      <c r="N6" s="635"/>
      <c r="O6" s="635"/>
      <c r="P6" s="408" t="s">
        <v>380</v>
      </c>
      <c r="Q6" s="408" t="s">
        <v>381</v>
      </c>
      <c r="R6" s="408" t="s">
        <v>382</v>
      </c>
      <c r="S6" s="408" t="s">
        <v>372</v>
      </c>
      <c r="T6" s="635"/>
      <c r="U6" s="408" t="s">
        <v>380</v>
      </c>
      <c r="V6" s="408" t="s">
        <v>381</v>
      </c>
      <c r="W6" s="408" t="s">
        <v>382</v>
      </c>
      <c r="X6" s="408" t="s">
        <v>372</v>
      </c>
      <c r="Y6" s="635"/>
      <c r="Z6" s="408" t="s">
        <v>380</v>
      </c>
      <c r="AA6" s="408" t="s">
        <v>381</v>
      </c>
      <c r="AB6" s="408" t="s">
        <v>382</v>
      </c>
      <c r="AC6" s="408" t="s">
        <v>372</v>
      </c>
      <c r="AD6" s="635"/>
      <c r="AE6" s="408" t="s">
        <v>380</v>
      </c>
      <c r="AF6" s="408" t="s">
        <v>381</v>
      </c>
      <c r="AG6" s="408" t="s">
        <v>382</v>
      </c>
      <c r="AH6" s="408" t="s">
        <v>372</v>
      </c>
      <c r="AI6" s="635"/>
      <c r="AJ6" s="408" t="s">
        <v>380</v>
      </c>
      <c r="AK6" s="408" t="s">
        <v>381</v>
      </c>
      <c r="AL6" s="408" t="s">
        <v>382</v>
      </c>
      <c r="AM6" s="408" t="s">
        <v>372</v>
      </c>
      <c r="AN6" s="635"/>
      <c r="AO6" s="408" t="s">
        <v>380</v>
      </c>
      <c r="AP6" s="408" t="s">
        <v>381</v>
      </c>
      <c r="AQ6" s="408" t="s">
        <v>382</v>
      </c>
      <c r="AR6" s="408" t="s">
        <v>372</v>
      </c>
      <c r="AS6" s="635"/>
      <c r="AT6" s="408" t="s">
        <v>380</v>
      </c>
      <c r="AU6" s="408" t="s">
        <v>381</v>
      </c>
      <c r="AV6" s="408" t="s">
        <v>382</v>
      </c>
      <c r="AW6" s="408" t="s">
        <v>372</v>
      </c>
      <c r="AX6" s="635"/>
      <c r="AZ6" s="403" t="s">
        <v>372</v>
      </c>
      <c r="BA6" s="635"/>
    </row>
    <row r="7" spans="1:53" ht="14.25">
      <c r="A7" s="81"/>
      <c r="B7" s="643" t="s">
        <v>150</v>
      </c>
      <c r="C7" s="409">
        <v>1</v>
      </c>
      <c r="D7" s="495" t="s">
        <v>337</v>
      </c>
      <c r="E7" s="495">
        <v>3</v>
      </c>
      <c r="F7" s="495">
        <v>3200</v>
      </c>
      <c r="G7" s="416">
        <v>1066.6666666666667</v>
      </c>
      <c r="H7" s="644">
        <f>AVERAGE(G7:G36)</f>
        <v>825.16666666666686</v>
      </c>
      <c r="I7" s="413">
        <f>IFERROR(AVERAGE(P7,U7,Z7,AE7,AJ7,AO7,AT7),"-")</f>
        <v>3</v>
      </c>
      <c r="J7" s="413">
        <f>IFERROR(AVERAGE(Q7,V7,AA7,AF7,AK7,AP7,AU7),"-")</f>
        <v>3215.5940924029615</v>
      </c>
      <c r="K7" s="199">
        <f>IFERROR(AVERAGE(R7,W7,AB7,AG7,AL7,AQ7,AV7),"-")</f>
        <v>1071.864697467654</v>
      </c>
      <c r="L7" s="616">
        <f>IFERROR(AVERAGE(K7:K36),"-")</f>
        <v>839.83389252746474</v>
      </c>
      <c r="M7" s="413">
        <f>RANK(K7, K$7:$K$36)</f>
        <v>1</v>
      </c>
      <c r="N7" s="635"/>
      <c r="O7" s="635"/>
      <c r="P7" s="495">
        <v>3</v>
      </c>
      <c r="Q7" s="416">
        <v>3302.1818181818203</v>
      </c>
      <c r="R7" s="416">
        <v>1100.7272727272734</v>
      </c>
      <c r="S7" s="495">
        <f>RANK(R7, R$7:R$36)</f>
        <v>1</v>
      </c>
      <c r="T7" s="657">
        <f>AVERAGE(R7:R36)</f>
        <v>838.00415116312752</v>
      </c>
      <c r="U7" s="495">
        <v>3</v>
      </c>
      <c r="V7" s="416">
        <v>3192.6315789473711</v>
      </c>
      <c r="W7" s="416">
        <v>1064.2105263157903</v>
      </c>
      <c r="X7" s="495">
        <f>RANK(W7, W$7:W$36)</f>
        <v>4</v>
      </c>
      <c r="Y7" s="657">
        <f>AVERAGE(W7:W36)</f>
        <v>834.66346212793985</v>
      </c>
      <c r="Z7" s="495">
        <v>3</v>
      </c>
      <c r="AA7" s="416">
        <v>3162.222222222224</v>
      </c>
      <c r="AB7" s="416">
        <v>1054.0740740740746</v>
      </c>
      <c r="AC7" s="495">
        <f>RANK(AB7, AB$7:AB$36)</f>
        <v>4</v>
      </c>
      <c r="AD7" s="657">
        <f>AVERAGE(AB7:AB36)</f>
        <v>835.6701378169646</v>
      </c>
      <c r="AE7" s="495">
        <v>3</v>
      </c>
      <c r="AF7" s="416">
        <v>3237.5000000000009</v>
      </c>
      <c r="AG7" s="416">
        <v>1079.166666666667</v>
      </c>
      <c r="AH7" s="495">
        <f>RANK(AG7, AG$7:AG$36)</f>
        <v>3</v>
      </c>
      <c r="AI7" s="657">
        <f>AVERAGE(AG7:AG36)</f>
        <v>844.71752315075298</v>
      </c>
      <c r="AJ7" s="495">
        <v>3</v>
      </c>
      <c r="AK7" s="416">
        <v>3240.0000000000009</v>
      </c>
      <c r="AL7" s="416">
        <v>1080.0000000000002</v>
      </c>
      <c r="AM7" s="495">
        <f>RANK(AL7, AL$7:AL$36)</f>
        <v>6</v>
      </c>
      <c r="AN7" s="657">
        <f>AVERAGE(AL7:AL36)</f>
        <v>863.23508999290414</v>
      </c>
      <c r="AO7" s="495">
        <v>3</v>
      </c>
      <c r="AP7" s="416">
        <v>3171.8644067796636</v>
      </c>
      <c r="AQ7" s="416">
        <v>1057.2881355932211</v>
      </c>
      <c r="AR7" s="495">
        <f>RANK(AQ7, AQ$7:AQ$36)</f>
        <v>5</v>
      </c>
      <c r="AS7" s="657">
        <f>AVERAGE(AQ7:AQ36)</f>
        <v>835.94202543377844</v>
      </c>
      <c r="AT7" s="495">
        <v>3</v>
      </c>
      <c r="AU7" s="416">
        <v>3202.7586206896531</v>
      </c>
      <c r="AV7" s="416">
        <v>1067.5862068965509</v>
      </c>
      <c r="AW7" s="495">
        <f>RANK(AV7, AV$7:AV$36)</f>
        <v>2</v>
      </c>
      <c r="AX7" s="657">
        <f>AVERAGE(AV7:AV36)</f>
        <v>838.76463226353337</v>
      </c>
      <c r="AZ7" s="402" t="e">
        <f>RANK(AY7, AY$7:AY$36)</f>
        <v>#N/A</v>
      </c>
      <c r="BA7" s="657" t="e">
        <f>AVERAGE(AY7:AY36)</f>
        <v>#DIV/0!</v>
      </c>
    </row>
    <row r="8" spans="1:53" ht="15" customHeight="1">
      <c r="A8" s="81"/>
      <c r="B8" s="643"/>
      <c r="C8" s="409">
        <v>2</v>
      </c>
      <c r="D8" s="494" t="s">
        <v>338</v>
      </c>
      <c r="E8" s="495">
        <v>3</v>
      </c>
      <c r="F8" s="495">
        <v>3200</v>
      </c>
      <c r="G8" s="416">
        <v>1066.6666666666667</v>
      </c>
      <c r="H8" s="645"/>
      <c r="I8" s="413">
        <f t="shared" ref="I8:I36" si="0">IFERROR(AVERAGE(P8,U8,Z8,AE8,AJ8,AO8,AT8),"-")</f>
        <v>3</v>
      </c>
      <c r="J8" s="413">
        <f t="shared" ref="J8:J36" si="1">IFERROR(AVERAGE(Q8,V8,AA8,AF8,AK8,AP8,AU8),"-")</f>
        <v>3170.7448979591709</v>
      </c>
      <c r="K8" s="199">
        <f t="shared" ref="K8:K36" si="2">IFERROR(AVERAGE(R8,W8,AB8,AG8,AL8,AQ8,AV8),"-")</f>
        <v>1056.9149659863901</v>
      </c>
      <c r="L8" s="617"/>
      <c r="M8" s="413">
        <f>RANK(K8, K$7:$K$36)</f>
        <v>6</v>
      </c>
      <c r="N8" s="635"/>
      <c r="O8" s="635"/>
      <c r="P8" s="495">
        <v>3</v>
      </c>
      <c r="Q8" s="416">
        <v>3128.9999999999864</v>
      </c>
      <c r="R8" s="416">
        <v>1042.9999999999955</v>
      </c>
      <c r="S8" s="495">
        <f t="shared" ref="S8:S36" si="3">RANK(R8, R$7:R$36)</f>
        <v>7</v>
      </c>
      <c r="T8" s="657"/>
      <c r="U8" s="495">
        <v>3</v>
      </c>
      <c r="V8" s="416">
        <v>3194.9999999999859</v>
      </c>
      <c r="W8" s="416">
        <v>1064.9999999999952</v>
      </c>
      <c r="X8" s="495">
        <f t="shared" ref="X8:X36" si="4">RANK(W8, W$7:W$36)</f>
        <v>3</v>
      </c>
      <c r="Y8" s="657"/>
      <c r="Z8" s="495">
        <v>3</v>
      </c>
      <c r="AA8" s="416">
        <v>3083.9999999999864</v>
      </c>
      <c r="AB8" s="416">
        <v>1027.9999999999955</v>
      </c>
      <c r="AC8" s="495">
        <f t="shared" ref="AC8:AC36" si="5">RANK(AB8, AB$7:AB$36)</f>
        <v>9</v>
      </c>
      <c r="AD8" s="657"/>
      <c r="AE8" s="495">
        <v>3</v>
      </c>
      <c r="AF8" s="416">
        <v>3179.9999999999814</v>
      </c>
      <c r="AG8" s="416">
        <v>1059.9999999999939</v>
      </c>
      <c r="AH8" s="495">
        <f t="shared" ref="AH8:AH36" si="6">RANK(AG8, AG$7:AG$36)</f>
        <v>8</v>
      </c>
      <c r="AI8" s="657"/>
      <c r="AJ8" s="495">
        <v>3</v>
      </c>
      <c r="AK8" s="416">
        <v>3292.4999999999959</v>
      </c>
      <c r="AL8" s="416">
        <v>1097.4999999999986</v>
      </c>
      <c r="AM8" s="495">
        <f t="shared" ref="AM8:AM36" si="7">RANK(AL8, AL$7:AL$36)</f>
        <v>2</v>
      </c>
      <c r="AN8" s="657"/>
      <c r="AO8" s="495">
        <v>3</v>
      </c>
      <c r="AP8" s="416">
        <v>3125.714285714273</v>
      </c>
      <c r="AQ8" s="416">
        <v>1041.9047619047576</v>
      </c>
      <c r="AR8" s="495">
        <f t="shared" ref="AR8:AR36" si="8">RANK(AQ8, AQ$7:AQ$36)</f>
        <v>8</v>
      </c>
      <c r="AS8" s="657"/>
      <c r="AT8" s="495">
        <v>3</v>
      </c>
      <c r="AU8" s="416">
        <v>3188.9999999999859</v>
      </c>
      <c r="AV8" s="416">
        <v>1062.9999999999952</v>
      </c>
      <c r="AW8" s="495">
        <f t="shared" ref="AW8:AW36" si="9">RANK(AV8, AV$7:AV$36)</f>
        <v>3</v>
      </c>
      <c r="AX8" s="657"/>
      <c r="AZ8" s="402" t="e">
        <f t="shared" ref="AZ8:AZ36" si="10">RANK(AY8, AY$7:AY$36)</f>
        <v>#N/A</v>
      </c>
      <c r="BA8" s="657"/>
    </row>
    <row r="9" spans="1:53" ht="14.25">
      <c r="A9" s="81"/>
      <c r="B9" s="643"/>
      <c r="C9" s="409">
        <v>3</v>
      </c>
      <c r="D9" s="495" t="s">
        <v>329</v>
      </c>
      <c r="E9" s="495">
        <v>4</v>
      </c>
      <c r="F9" s="495">
        <v>3200</v>
      </c>
      <c r="G9" s="416">
        <v>800</v>
      </c>
      <c r="H9" s="645"/>
      <c r="I9" s="413">
        <f t="shared" si="0"/>
        <v>4</v>
      </c>
      <c r="J9" s="413">
        <f t="shared" si="1"/>
        <v>3130.4069627851209</v>
      </c>
      <c r="K9" s="199">
        <f t="shared" si="2"/>
        <v>782.60174069628022</v>
      </c>
      <c r="L9" s="617"/>
      <c r="M9" s="413">
        <f>RANK(K9, K$7:$K$36)</f>
        <v>17</v>
      </c>
      <c r="N9" s="635"/>
      <c r="O9" s="635"/>
      <c r="P9" s="495">
        <v>4</v>
      </c>
      <c r="Q9" s="416">
        <v>3105.7142857142967</v>
      </c>
      <c r="R9" s="416">
        <v>776.42857142857417</v>
      </c>
      <c r="S9" s="495">
        <f t="shared" si="3"/>
        <v>16</v>
      </c>
      <c r="T9" s="657"/>
      <c r="U9" s="495">
        <v>4</v>
      </c>
      <c r="V9" s="416">
        <v>3051.4285714285825</v>
      </c>
      <c r="W9" s="416">
        <v>762.85714285714562</v>
      </c>
      <c r="X9" s="495">
        <f t="shared" si="4"/>
        <v>17</v>
      </c>
      <c r="Y9" s="657"/>
      <c r="Z9" s="495">
        <v>4</v>
      </c>
      <c r="AA9" s="416">
        <v>3105.0000000000109</v>
      </c>
      <c r="AB9" s="416">
        <v>776.25000000000273</v>
      </c>
      <c r="AC9" s="495">
        <f t="shared" si="5"/>
        <v>16</v>
      </c>
      <c r="AD9" s="657"/>
      <c r="AE9" s="495">
        <v>4</v>
      </c>
      <c r="AF9" s="416">
        <v>3144.7058823529524</v>
      </c>
      <c r="AG9" s="416">
        <v>786.17647058823809</v>
      </c>
      <c r="AH9" s="495">
        <f t="shared" si="6"/>
        <v>16</v>
      </c>
      <c r="AI9" s="657"/>
      <c r="AJ9" s="495">
        <v>4</v>
      </c>
      <c r="AK9" s="416">
        <v>3355.9999999999936</v>
      </c>
      <c r="AL9" s="416">
        <v>838.99999999999841</v>
      </c>
      <c r="AM9" s="495">
        <f t="shared" si="7"/>
        <v>15</v>
      </c>
      <c r="AN9" s="657"/>
      <c r="AO9" s="495">
        <v>4</v>
      </c>
      <c r="AP9" s="416">
        <v>3080.9999999999986</v>
      </c>
      <c r="AQ9" s="416">
        <v>770.24999999999966</v>
      </c>
      <c r="AR9" s="495">
        <f t="shared" si="8"/>
        <v>16</v>
      </c>
      <c r="AS9" s="657"/>
      <c r="AT9" s="495">
        <v>4</v>
      </c>
      <c r="AU9" s="416">
        <v>3069.0000000000109</v>
      </c>
      <c r="AV9" s="416">
        <v>767.25000000000273</v>
      </c>
      <c r="AW9" s="495">
        <f t="shared" si="9"/>
        <v>17</v>
      </c>
      <c r="AX9" s="657"/>
      <c r="AZ9" s="402" t="e">
        <f t="shared" si="10"/>
        <v>#N/A</v>
      </c>
      <c r="BA9" s="657"/>
    </row>
    <row r="10" spans="1:53" ht="14.25">
      <c r="A10" s="81"/>
      <c r="B10" s="643"/>
      <c r="C10" s="409">
        <v>4</v>
      </c>
      <c r="D10" s="495" t="s">
        <v>339</v>
      </c>
      <c r="E10" s="495">
        <v>3</v>
      </c>
      <c r="F10" s="495">
        <v>3200</v>
      </c>
      <c r="G10" s="416">
        <v>1066.6666666666667</v>
      </c>
      <c r="H10" s="645"/>
      <c r="I10" s="413">
        <f t="shared" si="0"/>
        <v>3</v>
      </c>
      <c r="J10" s="413">
        <f t="shared" si="1"/>
        <v>3196.7816431519213</v>
      </c>
      <c r="K10" s="199">
        <f t="shared" si="2"/>
        <v>1065.5938810506404</v>
      </c>
      <c r="L10" s="617"/>
      <c r="M10" s="413">
        <f>RANK(K10, K$7:$K$36)</f>
        <v>2</v>
      </c>
      <c r="N10" s="635"/>
      <c r="O10" s="635"/>
      <c r="P10" s="495">
        <v>3</v>
      </c>
      <c r="Q10" s="416">
        <v>3197.5280898876426</v>
      </c>
      <c r="R10" s="416">
        <v>1065.8426966292143</v>
      </c>
      <c r="S10" s="495">
        <f t="shared" si="3"/>
        <v>3</v>
      </c>
      <c r="T10" s="657"/>
      <c r="U10" s="495">
        <v>3</v>
      </c>
      <c r="V10" s="416">
        <v>3188.7640449438227</v>
      </c>
      <c r="W10" s="416">
        <v>1062.9213483146075</v>
      </c>
      <c r="X10" s="495">
        <f t="shared" si="4"/>
        <v>5</v>
      </c>
      <c r="Y10" s="657"/>
      <c r="Z10" s="495">
        <v>3</v>
      </c>
      <c r="AA10" s="416">
        <v>3177.2413793103447</v>
      </c>
      <c r="AB10" s="416">
        <v>1059.0804597701149</v>
      </c>
      <c r="AC10" s="495">
        <f t="shared" si="5"/>
        <v>1</v>
      </c>
      <c r="AD10" s="657"/>
      <c r="AE10" s="495">
        <v>3</v>
      </c>
      <c r="AF10" s="416">
        <v>3223.5616438356169</v>
      </c>
      <c r="AG10" s="416">
        <v>1074.5205479452056</v>
      </c>
      <c r="AH10" s="495">
        <f t="shared" si="6"/>
        <v>4</v>
      </c>
      <c r="AI10" s="657"/>
      <c r="AJ10" s="495">
        <v>3</v>
      </c>
      <c r="AK10" s="416">
        <v>3211.666666666667</v>
      </c>
      <c r="AL10" s="416">
        <v>1070.5555555555557</v>
      </c>
      <c r="AM10" s="495">
        <f t="shared" si="7"/>
        <v>8</v>
      </c>
      <c r="AN10" s="657"/>
      <c r="AO10" s="495">
        <v>3</v>
      </c>
      <c r="AP10" s="416">
        <v>3194.83870967742</v>
      </c>
      <c r="AQ10" s="416">
        <v>1064.9462365591401</v>
      </c>
      <c r="AR10" s="495">
        <f t="shared" si="8"/>
        <v>2</v>
      </c>
      <c r="AS10" s="657"/>
      <c r="AT10" s="495">
        <v>3</v>
      </c>
      <c r="AU10" s="416">
        <v>3183.8709677419356</v>
      </c>
      <c r="AV10" s="416">
        <v>1061.2903225806451</v>
      </c>
      <c r="AW10" s="495">
        <f t="shared" si="9"/>
        <v>5</v>
      </c>
      <c r="AX10" s="657"/>
      <c r="AZ10" s="402" t="e">
        <f t="shared" si="10"/>
        <v>#N/A</v>
      </c>
      <c r="BA10" s="657"/>
    </row>
    <row r="11" spans="1:53" ht="14.25">
      <c r="A11" s="81"/>
      <c r="B11" s="643"/>
      <c r="C11" s="409">
        <v>5</v>
      </c>
      <c r="D11" s="495" t="s">
        <v>582</v>
      </c>
      <c r="E11" s="495">
        <v>4</v>
      </c>
      <c r="F11" s="495">
        <v>3200</v>
      </c>
      <c r="G11" s="416">
        <v>800</v>
      </c>
      <c r="H11" s="645"/>
      <c r="I11" s="413">
        <f t="shared" si="0"/>
        <v>4</v>
      </c>
      <c r="J11" s="413">
        <f t="shared" si="1"/>
        <v>3210.3507599941577</v>
      </c>
      <c r="K11" s="199">
        <f t="shared" si="2"/>
        <v>802.58768999853942</v>
      </c>
      <c r="L11" s="617"/>
      <c r="M11" s="413">
        <f>RANK(K11, K$7:$K$36)</f>
        <v>13</v>
      </c>
      <c r="N11" s="635"/>
      <c r="O11" s="635"/>
      <c r="P11" s="495">
        <v>4</v>
      </c>
      <c r="Q11" s="416">
        <v>3175.8620689655113</v>
      </c>
      <c r="R11" s="416">
        <v>793.96551724137782</v>
      </c>
      <c r="S11" s="495">
        <f t="shared" si="3"/>
        <v>15</v>
      </c>
      <c r="T11" s="657"/>
      <c r="U11" s="495">
        <v>4</v>
      </c>
      <c r="V11" s="416">
        <v>3199.2857142857165</v>
      </c>
      <c r="W11" s="416">
        <v>799.82142857142912</v>
      </c>
      <c r="X11" s="495">
        <f t="shared" si="4"/>
        <v>13</v>
      </c>
      <c r="Y11" s="657"/>
      <c r="Z11" s="495">
        <v>4</v>
      </c>
      <c r="AA11" s="416">
        <v>3195.555555555567</v>
      </c>
      <c r="AB11" s="416">
        <v>798.88888888889176</v>
      </c>
      <c r="AC11" s="495">
        <f t="shared" si="5"/>
        <v>13</v>
      </c>
      <c r="AD11" s="657"/>
      <c r="AE11" s="495">
        <v>4</v>
      </c>
      <c r="AF11" s="416">
        <v>3326.0869565217508</v>
      </c>
      <c r="AG11" s="416">
        <v>831.52173913043771</v>
      </c>
      <c r="AH11" s="495">
        <f t="shared" si="6"/>
        <v>13</v>
      </c>
      <c r="AI11" s="657"/>
      <c r="AJ11" s="495">
        <v>4</v>
      </c>
      <c r="AK11" s="416">
        <v>3354.2857142857129</v>
      </c>
      <c r="AL11" s="416">
        <v>838.57142857142821</v>
      </c>
      <c r="AM11" s="495">
        <f t="shared" si="7"/>
        <v>16</v>
      </c>
      <c r="AN11" s="657"/>
      <c r="AO11" s="495">
        <v>4</v>
      </c>
      <c r="AP11" s="416">
        <v>3120.0000000000023</v>
      </c>
      <c r="AQ11" s="416">
        <v>780.00000000000057</v>
      </c>
      <c r="AR11" s="495">
        <f t="shared" si="8"/>
        <v>15</v>
      </c>
      <c r="AS11" s="657"/>
      <c r="AT11" s="495">
        <v>4</v>
      </c>
      <c r="AU11" s="416">
        <v>3101.3793103448388</v>
      </c>
      <c r="AV11" s="416">
        <v>775.3448275862097</v>
      </c>
      <c r="AW11" s="495">
        <f t="shared" si="9"/>
        <v>16</v>
      </c>
      <c r="AX11" s="657"/>
      <c r="AZ11" s="402" t="e">
        <f t="shared" si="10"/>
        <v>#N/A</v>
      </c>
      <c r="BA11" s="657"/>
    </row>
    <row r="12" spans="1:53" ht="14.25">
      <c r="A12" s="81"/>
      <c r="B12" s="643"/>
      <c r="C12" s="409">
        <v>6</v>
      </c>
      <c r="D12" s="495" t="s">
        <v>583</v>
      </c>
      <c r="E12" s="495">
        <v>4</v>
      </c>
      <c r="F12" s="495">
        <v>3200</v>
      </c>
      <c r="G12" s="416">
        <v>800</v>
      </c>
      <c r="H12" s="645"/>
      <c r="I12" s="413">
        <f t="shared" si="0"/>
        <v>4</v>
      </c>
      <c r="J12" s="413">
        <f t="shared" si="1"/>
        <v>3150.3131868131813</v>
      </c>
      <c r="K12" s="199">
        <f t="shared" si="2"/>
        <v>787.57829670329534</v>
      </c>
      <c r="L12" s="617"/>
      <c r="M12" s="413">
        <f>RANK(K12, K$7:$K$36)</f>
        <v>15</v>
      </c>
      <c r="N12" s="635"/>
      <c r="O12" s="635"/>
      <c r="P12" s="495">
        <v>4</v>
      </c>
      <c r="Q12" s="416">
        <v>3187.4999999999795</v>
      </c>
      <c r="R12" s="416">
        <v>796.87499999999488</v>
      </c>
      <c r="S12" s="495">
        <f t="shared" si="3"/>
        <v>14</v>
      </c>
      <c r="T12" s="657"/>
      <c r="U12" s="495">
        <v>4</v>
      </c>
      <c r="V12" s="416">
        <v>3104.99999999998</v>
      </c>
      <c r="W12" s="416">
        <v>776.249999999995</v>
      </c>
      <c r="X12" s="495">
        <f t="shared" si="4"/>
        <v>15</v>
      </c>
      <c r="Y12" s="657"/>
      <c r="Z12" s="495">
        <v>4</v>
      </c>
      <c r="AA12" s="416">
        <v>3063.9999999999945</v>
      </c>
      <c r="AB12" s="416">
        <v>765.99999999999864</v>
      </c>
      <c r="AC12" s="495">
        <f t="shared" si="5"/>
        <v>17</v>
      </c>
      <c r="AD12" s="657"/>
      <c r="AE12" s="495">
        <v>4</v>
      </c>
      <c r="AF12" s="416">
        <v>3027.6923076923181</v>
      </c>
      <c r="AG12" s="416">
        <v>756.92307692307952</v>
      </c>
      <c r="AH12" s="495">
        <f t="shared" si="6"/>
        <v>19</v>
      </c>
      <c r="AI12" s="657"/>
      <c r="AJ12" s="495">
        <v>4</v>
      </c>
      <c r="AK12" s="416">
        <v>3360.0000000000118</v>
      </c>
      <c r="AL12" s="416">
        <v>840.00000000000296</v>
      </c>
      <c r="AM12" s="495">
        <f t="shared" si="7"/>
        <v>14</v>
      </c>
      <c r="AN12" s="657"/>
      <c r="AO12" s="495">
        <v>4</v>
      </c>
      <c r="AP12" s="416">
        <v>3155.9999999999945</v>
      </c>
      <c r="AQ12" s="416">
        <v>788.99999999999864</v>
      </c>
      <c r="AR12" s="495">
        <f t="shared" si="8"/>
        <v>14</v>
      </c>
      <c r="AS12" s="657"/>
      <c r="AT12" s="495">
        <v>4</v>
      </c>
      <c r="AU12" s="416">
        <v>3151.9999999999945</v>
      </c>
      <c r="AV12" s="416">
        <v>787.99999999999864</v>
      </c>
      <c r="AW12" s="495">
        <f t="shared" si="9"/>
        <v>14</v>
      </c>
      <c r="AX12" s="657"/>
      <c r="AZ12" s="402" t="e">
        <f t="shared" si="10"/>
        <v>#N/A</v>
      </c>
      <c r="BA12" s="657"/>
    </row>
    <row r="13" spans="1:53" ht="14.25">
      <c r="A13" s="81"/>
      <c r="B13" s="643"/>
      <c r="C13" s="409">
        <v>7</v>
      </c>
      <c r="D13" s="495" t="s">
        <v>340</v>
      </c>
      <c r="E13" s="495">
        <v>4</v>
      </c>
      <c r="F13" s="495">
        <v>2800</v>
      </c>
      <c r="G13" s="416">
        <v>700</v>
      </c>
      <c r="H13" s="645"/>
      <c r="I13" s="413">
        <f t="shared" si="0"/>
        <v>4</v>
      </c>
      <c r="J13" s="413">
        <f t="shared" si="1"/>
        <v>3145.6326530612264</v>
      </c>
      <c r="K13" s="199">
        <f t="shared" si="2"/>
        <v>786.4081632653066</v>
      </c>
      <c r="L13" s="617"/>
      <c r="M13" s="413">
        <f>RANK(K13, K$7:$K$36)</f>
        <v>16</v>
      </c>
      <c r="N13" s="635"/>
      <c r="O13" s="635"/>
      <c r="P13" s="495">
        <v>4</v>
      </c>
      <c r="Q13" s="416">
        <v>3092.0000000000027</v>
      </c>
      <c r="R13" s="416">
        <v>773.00000000000068</v>
      </c>
      <c r="S13" s="495">
        <f t="shared" si="3"/>
        <v>17</v>
      </c>
      <c r="T13" s="657"/>
      <c r="U13" s="495">
        <v>4</v>
      </c>
      <c r="V13" s="416">
        <v>3068.0000000000027</v>
      </c>
      <c r="W13" s="416">
        <v>767.00000000000068</v>
      </c>
      <c r="X13" s="495">
        <f t="shared" si="4"/>
        <v>16</v>
      </c>
      <c r="Y13" s="657"/>
      <c r="Z13" s="495">
        <v>4</v>
      </c>
      <c r="AA13" s="416">
        <v>2992.0000000000032</v>
      </c>
      <c r="AB13" s="416">
        <v>748.0000000000008</v>
      </c>
      <c r="AC13" s="495">
        <f t="shared" si="5"/>
        <v>19</v>
      </c>
      <c r="AD13" s="657"/>
      <c r="AE13" s="495">
        <v>4</v>
      </c>
      <c r="AF13" s="416">
        <v>3160.0000000000009</v>
      </c>
      <c r="AG13" s="416">
        <v>790.00000000000023</v>
      </c>
      <c r="AH13" s="495">
        <f t="shared" si="6"/>
        <v>15</v>
      </c>
      <c r="AI13" s="657"/>
      <c r="AJ13" s="495">
        <v>4</v>
      </c>
      <c r="AK13" s="416">
        <v>3485.9999999999986</v>
      </c>
      <c r="AL13" s="416">
        <v>871.49999999999966</v>
      </c>
      <c r="AM13" s="495">
        <f t="shared" si="7"/>
        <v>13</v>
      </c>
      <c r="AN13" s="657"/>
      <c r="AO13" s="495">
        <v>4</v>
      </c>
      <c r="AP13" s="416">
        <v>3080.0000000000032</v>
      </c>
      <c r="AQ13" s="416">
        <v>770.0000000000008</v>
      </c>
      <c r="AR13" s="495">
        <f t="shared" si="8"/>
        <v>17</v>
      </c>
      <c r="AS13" s="657"/>
      <c r="AT13" s="495">
        <v>4</v>
      </c>
      <c r="AU13" s="416">
        <v>3141.4285714285738</v>
      </c>
      <c r="AV13" s="416">
        <v>785.35714285714346</v>
      </c>
      <c r="AW13" s="495">
        <f t="shared" si="9"/>
        <v>15</v>
      </c>
      <c r="AX13" s="657"/>
      <c r="AZ13" s="402" t="e">
        <f t="shared" si="10"/>
        <v>#N/A</v>
      </c>
      <c r="BA13" s="657"/>
    </row>
    <row r="14" spans="1:53" ht="14.25">
      <c r="A14" s="81"/>
      <c r="B14" s="643"/>
      <c r="C14" s="409">
        <v>8</v>
      </c>
      <c r="D14" s="495" t="s">
        <v>341</v>
      </c>
      <c r="E14" s="495">
        <v>3</v>
      </c>
      <c r="F14" s="495">
        <v>3200</v>
      </c>
      <c r="G14" s="416">
        <v>1066.6666666666667</v>
      </c>
      <c r="H14" s="645"/>
      <c r="I14" s="413">
        <f t="shared" si="0"/>
        <v>3</v>
      </c>
      <c r="J14" s="413">
        <f t="shared" si="1"/>
        <v>3158.0229134664646</v>
      </c>
      <c r="K14" s="199">
        <f t="shared" si="2"/>
        <v>1052.6743044888215</v>
      </c>
      <c r="L14" s="617"/>
      <c r="M14" s="413">
        <f>RANK(K14, K$7:$K$36)</f>
        <v>9</v>
      </c>
      <c r="N14" s="635"/>
      <c r="O14" s="635"/>
      <c r="P14" s="495">
        <v>3</v>
      </c>
      <c r="Q14" s="416">
        <v>3106.4516129032286</v>
      </c>
      <c r="R14" s="416">
        <v>1035.4838709677429</v>
      </c>
      <c r="S14" s="495">
        <f t="shared" si="3"/>
        <v>9</v>
      </c>
      <c r="T14" s="657"/>
      <c r="U14" s="495">
        <v>3</v>
      </c>
      <c r="V14" s="416">
        <v>3108.7500000000036</v>
      </c>
      <c r="W14" s="416">
        <v>1036.2500000000011</v>
      </c>
      <c r="X14" s="495">
        <f t="shared" si="4"/>
        <v>10</v>
      </c>
      <c r="Y14" s="657"/>
      <c r="Z14" s="495">
        <v>3</v>
      </c>
      <c r="AA14" s="416">
        <v>3160.0000000000027</v>
      </c>
      <c r="AB14" s="416">
        <v>1053.3333333333342</v>
      </c>
      <c r="AC14" s="495">
        <f t="shared" si="5"/>
        <v>5</v>
      </c>
      <c r="AD14" s="657"/>
      <c r="AE14" s="495">
        <v>3</v>
      </c>
      <c r="AF14" s="416">
        <v>3095.555555555562</v>
      </c>
      <c r="AG14" s="416">
        <v>1031.851851851854</v>
      </c>
      <c r="AH14" s="495">
        <f t="shared" si="6"/>
        <v>9</v>
      </c>
      <c r="AI14" s="657"/>
      <c r="AJ14" s="495">
        <v>3</v>
      </c>
      <c r="AK14" s="416">
        <v>3302.499999999995</v>
      </c>
      <c r="AL14" s="416">
        <v>1100.8333333333317</v>
      </c>
      <c r="AM14" s="495">
        <f t="shared" si="7"/>
        <v>1</v>
      </c>
      <c r="AN14" s="657"/>
      <c r="AO14" s="495">
        <v>3</v>
      </c>
      <c r="AP14" s="416">
        <v>3178.0645161290354</v>
      </c>
      <c r="AQ14" s="416">
        <v>1059.3548387096785</v>
      </c>
      <c r="AR14" s="495">
        <f t="shared" si="8"/>
        <v>3</v>
      </c>
      <c r="AS14" s="657"/>
      <c r="AT14" s="495">
        <v>3</v>
      </c>
      <c r="AU14" s="416">
        <v>3154.8387096774222</v>
      </c>
      <c r="AV14" s="416">
        <v>1051.6129032258075</v>
      </c>
      <c r="AW14" s="495">
        <f t="shared" si="9"/>
        <v>7</v>
      </c>
      <c r="AX14" s="657"/>
      <c r="AZ14" s="402" t="e">
        <f t="shared" si="10"/>
        <v>#N/A</v>
      </c>
      <c r="BA14" s="657"/>
    </row>
    <row r="15" spans="1:53" ht="14.25">
      <c r="A15" s="81"/>
      <c r="B15" s="643"/>
      <c r="C15" s="409">
        <v>9</v>
      </c>
      <c r="D15" s="495" t="s">
        <v>342</v>
      </c>
      <c r="E15" s="495">
        <v>3</v>
      </c>
      <c r="F15" s="495">
        <v>2800</v>
      </c>
      <c r="G15" s="416">
        <v>933.33333333333337</v>
      </c>
      <c r="H15" s="645"/>
      <c r="I15" s="413">
        <f t="shared" si="0"/>
        <v>3</v>
      </c>
      <c r="J15" s="413">
        <f t="shared" si="1"/>
        <v>3170.4499077060286</v>
      </c>
      <c r="K15" s="199">
        <f t="shared" si="2"/>
        <v>1056.8166359020095</v>
      </c>
      <c r="L15" s="617"/>
      <c r="M15" s="413">
        <f>RANK(K15, K$7:$K$36)</f>
        <v>7</v>
      </c>
      <c r="N15" s="635"/>
      <c r="O15" s="635"/>
      <c r="P15" s="495">
        <v>3</v>
      </c>
      <c r="Q15" s="416">
        <v>3155.2941176470586</v>
      </c>
      <c r="R15" s="416">
        <v>1051.7647058823529</v>
      </c>
      <c r="S15" s="495">
        <f t="shared" si="3"/>
        <v>6</v>
      </c>
      <c r="T15" s="657"/>
      <c r="U15" s="495">
        <v>3</v>
      </c>
      <c r="V15" s="416">
        <v>3161.8181818181815</v>
      </c>
      <c r="W15" s="416">
        <v>1053.9393939393938</v>
      </c>
      <c r="X15" s="495">
        <f t="shared" si="4"/>
        <v>7</v>
      </c>
      <c r="Y15" s="657"/>
      <c r="Z15" s="495">
        <v>3</v>
      </c>
      <c r="AA15" s="416">
        <v>3155.6249999999991</v>
      </c>
      <c r="AB15" s="416">
        <v>1051.8749999999998</v>
      </c>
      <c r="AC15" s="495">
        <f t="shared" si="5"/>
        <v>6</v>
      </c>
      <c r="AD15" s="657"/>
      <c r="AE15" s="495">
        <v>3</v>
      </c>
      <c r="AF15" s="416">
        <v>3182.0689655172391</v>
      </c>
      <c r="AG15" s="416">
        <v>1060.689655172413</v>
      </c>
      <c r="AH15" s="495">
        <f t="shared" si="6"/>
        <v>7</v>
      </c>
      <c r="AI15" s="657"/>
      <c r="AJ15" s="495">
        <v>3</v>
      </c>
      <c r="AK15" s="416">
        <v>3248.2758620689638</v>
      </c>
      <c r="AL15" s="416">
        <v>1082.7586206896547</v>
      </c>
      <c r="AM15" s="495">
        <f t="shared" si="7"/>
        <v>5</v>
      </c>
      <c r="AN15" s="657"/>
      <c r="AO15" s="495">
        <v>3</v>
      </c>
      <c r="AP15" s="416">
        <v>3157.7142857142862</v>
      </c>
      <c r="AQ15" s="416">
        <v>1052.5714285714287</v>
      </c>
      <c r="AR15" s="495">
        <f t="shared" si="8"/>
        <v>7</v>
      </c>
      <c r="AS15" s="657"/>
      <c r="AT15" s="495">
        <v>3</v>
      </c>
      <c r="AU15" s="416">
        <v>3132.3529411764703</v>
      </c>
      <c r="AV15" s="416">
        <v>1044.1176470588234</v>
      </c>
      <c r="AW15" s="495">
        <f t="shared" si="9"/>
        <v>9</v>
      </c>
      <c r="AX15" s="657"/>
      <c r="AZ15" s="402" t="e">
        <f t="shared" si="10"/>
        <v>#N/A</v>
      </c>
      <c r="BA15" s="657"/>
    </row>
    <row r="16" spans="1:53" ht="14.25">
      <c r="A16" s="81"/>
      <c r="B16" s="643"/>
      <c r="C16" s="409">
        <v>10</v>
      </c>
      <c r="D16" s="495" t="s">
        <v>343</v>
      </c>
      <c r="E16" s="495">
        <v>4</v>
      </c>
      <c r="F16" s="495">
        <v>2800</v>
      </c>
      <c r="G16" s="416">
        <v>700</v>
      </c>
      <c r="H16" s="645"/>
      <c r="I16" s="413">
        <f t="shared" si="0"/>
        <v>4</v>
      </c>
      <c r="J16" s="413">
        <f t="shared" si="1"/>
        <v>3186.6554039689063</v>
      </c>
      <c r="K16" s="199">
        <f t="shared" si="2"/>
        <v>796.66385099222657</v>
      </c>
      <c r="L16" s="617"/>
      <c r="M16" s="413">
        <f>RANK(K16, K$7:$K$36)</f>
        <v>14</v>
      </c>
      <c r="N16" s="635"/>
      <c r="O16" s="635"/>
      <c r="P16" s="495">
        <v>4</v>
      </c>
      <c r="Q16" s="416">
        <v>3202.7586206896531</v>
      </c>
      <c r="R16" s="416">
        <v>800.68965517241327</v>
      </c>
      <c r="S16" s="495">
        <f t="shared" si="3"/>
        <v>13</v>
      </c>
      <c r="T16" s="657"/>
      <c r="U16" s="495">
        <v>4</v>
      </c>
      <c r="V16" s="416">
        <v>3176.9999999999986</v>
      </c>
      <c r="W16" s="416">
        <v>794.24999999999966</v>
      </c>
      <c r="X16" s="495">
        <f t="shared" si="4"/>
        <v>14</v>
      </c>
      <c r="Y16" s="657"/>
      <c r="Z16" s="495">
        <v>4</v>
      </c>
      <c r="AA16" s="416">
        <v>3161.7857142857165</v>
      </c>
      <c r="AB16" s="416">
        <v>790.44642857142912</v>
      </c>
      <c r="AC16" s="495">
        <f t="shared" si="5"/>
        <v>14</v>
      </c>
      <c r="AD16" s="657"/>
      <c r="AE16" s="495">
        <v>4</v>
      </c>
      <c r="AF16" s="416">
        <v>3235.0000000000064</v>
      </c>
      <c r="AG16" s="416">
        <v>808.75000000000159</v>
      </c>
      <c r="AH16" s="495">
        <f t="shared" si="6"/>
        <v>14</v>
      </c>
      <c r="AI16" s="657"/>
      <c r="AJ16" s="495">
        <v>4</v>
      </c>
      <c r="AK16" s="416">
        <v>3209.3877551020419</v>
      </c>
      <c r="AL16" s="416">
        <v>802.34693877551047</v>
      </c>
      <c r="AM16" s="495">
        <f t="shared" si="7"/>
        <v>17</v>
      </c>
      <c r="AN16" s="657"/>
      <c r="AO16" s="495">
        <v>4</v>
      </c>
      <c r="AP16" s="416">
        <v>3165.2459016393473</v>
      </c>
      <c r="AQ16" s="416">
        <v>791.31147540983682</v>
      </c>
      <c r="AR16" s="495">
        <f t="shared" si="8"/>
        <v>13</v>
      </c>
      <c r="AS16" s="657"/>
      <c r="AT16" s="495">
        <v>4</v>
      </c>
      <c r="AU16" s="416">
        <v>3155.4098360655767</v>
      </c>
      <c r="AV16" s="416">
        <v>788.85245901639416</v>
      </c>
      <c r="AW16" s="495">
        <f t="shared" si="9"/>
        <v>13</v>
      </c>
      <c r="AX16" s="657"/>
      <c r="AZ16" s="402" t="e">
        <f t="shared" si="10"/>
        <v>#N/A</v>
      </c>
      <c r="BA16" s="657"/>
    </row>
    <row r="17" spans="2:53">
      <c r="B17" s="643"/>
      <c r="C17" s="409">
        <v>11</v>
      </c>
      <c r="D17" s="495" t="s">
        <v>584</v>
      </c>
      <c r="E17" s="495">
        <v>4</v>
      </c>
      <c r="F17" s="495">
        <v>2800</v>
      </c>
      <c r="G17" s="416">
        <v>700</v>
      </c>
      <c r="H17" s="645"/>
      <c r="I17" s="413">
        <f t="shared" si="0"/>
        <v>4</v>
      </c>
      <c r="J17" s="413">
        <f t="shared" si="1"/>
        <v>2792.0610576574804</v>
      </c>
      <c r="K17" s="199">
        <f t="shared" si="2"/>
        <v>698.01526441437011</v>
      </c>
      <c r="L17" s="617"/>
      <c r="M17" s="413">
        <f>RANK(K17, K$7:$K$36)</f>
        <v>22</v>
      </c>
      <c r="N17" s="635"/>
      <c r="O17" s="635"/>
      <c r="P17" s="495">
        <v>4</v>
      </c>
      <c r="Q17" s="416">
        <v>2819.9999999999982</v>
      </c>
      <c r="R17" s="416">
        <v>704.99999999999955</v>
      </c>
      <c r="S17" s="495">
        <f t="shared" si="3"/>
        <v>22</v>
      </c>
      <c r="T17" s="657"/>
      <c r="U17" s="495">
        <v>4</v>
      </c>
      <c r="V17" s="416">
        <v>2773.2352941176468</v>
      </c>
      <c r="W17" s="416">
        <v>693.30882352941171</v>
      </c>
      <c r="X17" s="495">
        <f t="shared" si="4"/>
        <v>21</v>
      </c>
      <c r="Y17" s="657"/>
      <c r="Z17" s="495">
        <v>4</v>
      </c>
      <c r="AA17" s="416">
        <v>2793.6363636363621</v>
      </c>
      <c r="AB17" s="416">
        <v>698.40909090909054</v>
      </c>
      <c r="AC17" s="495">
        <f t="shared" si="5"/>
        <v>22</v>
      </c>
      <c r="AD17" s="657"/>
      <c r="AE17" s="495">
        <v>4</v>
      </c>
      <c r="AF17" s="416">
        <v>2762.0689655172418</v>
      </c>
      <c r="AG17" s="416">
        <v>690.51724137931046</v>
      </c>
      <c r="AH17" s="495">
        <f t="shared" si="6"/>
        <v>22</v>
      </c>
      <c r="AI17" s="657"/>
      <c r="AJ17" s="495">
        <v>4</v>
      </c>
      <c r="AK17" s="416">
        <v>2828.4210526315787</v>
      </c>
      <c r="AL17" s="416">
        <v>707.10526315789468</v>
      </c>
      <c r="AM17" s="495">
        <f t="shared" si="7"/>
        <v>22</v>
      </c>
      <c r="AN17" s="657"/>
      <c r="AO17" s="495">
        <v>4</v>
      </c>
      <c r="AP17" s="416">
        <v>2788.7323943661977</v>
      </c>
      <c r="AQ17" s="416">
        <v>697.18309859154942</v>
      </c>
      <c r="AR17" s="495">
        <f t="shared" si="8"/>
        <v>20</v>
      </c>
      <c r="AS17" s="657"/>
      <c r="AT17" s="495">
        <v>4</v>
      </c>
      <c r="AU17" s="416">
        <v>2778.3333333333339</v>
      </c>
      <c r="AV17" s="416">
        <v>694.58333333333348</v>
      </c>
      <c r="AW17" s="495">
        <f t="shared" si="9"/>
        <v>20</v>
      </c>
      <c r="AX17" s="657"/>
      <c r="AZ17" s="402" t="e">
        <f t="shared" si="10"/>
        <v>#N/A</v>
      </c>
      <c r="BA17" s="657"/>
    </row>
    <row r="18" spans="2:53">
      <c r="B18" s="643"/>
      <c r="C18" s="409">
        <v>12</v>
      </c>
      <c r="D18" s="495" t="s">
        <v>585</v>
      </c>
      <c r="E18" s="495">
        <v>4</v>
      </c>
      <c r="F18" s="495">
        <v>2800</v>
      </c>
      <c r="G18" s="416">
        <v>700</v>
      </c>
      <c r="H18" s="645"/>
      <c r="I18" s="413">
        <f t="shared" si="0"/>
        <v>4</v>
      </c>
      <c r="J18" s="413">
        <f t="shared" si="1"/>
        <v>2823.5142857142814</v>
      </c>
      <c r="K18" s="199">
        <f t="shared" si="2"/>
        <v>705.87857142857035</v>
      </c>
      <c r="L18" s="617"/>
      <c r="M18" s="413">
        <f>RANK(K18, K$7:$K$36)</f>
        <v>21</v>
      </c>
      <c r="N18" s="635"/>
      <c r="O18" s="635"/>
      <c r="P18" s="495">
        <v>4</v>
      </c>
      <c r="Q18" s="416">
        <v>2738.3999999999924</v>
      </c>
      <c r="R18" s="416">
        <v>684.59999999999809</v>
      </c>
      <c r="S18" s="495">
        <f t="shared" si="3"/>
        <v>23</v>
      </c>
      <c r="T18" s="657"/>
      <c r="U18" s="495">
        <v>4</v>
      </c>
      <c r="V18" s="416">
        <v>2594.4000000000092</v>
      </c>
      <c r="W18" s="416">
        <v>648.6000000000023</v>
      </c>
      <c r="X18" s="495">
        <f t="shared" si="4"/>
        <v>23</v>
      </c>
      <c r="Y18" s="657"/>
      <c r="Z18" s="495">
        <v>4</v>
      </c>
      <c r="AA18" s="416">
        <v>3158.9999999999859</v>
      </c>
      <c r="AB18" s="416">
        <v>789.74999999999648</v>
      </c>
      <c r="AC18" s="495">
        <f t="shared" si="5"/>
        <v>15</v>
      </c>
      <c r="AD18" s="657"/>
      <c r="AE18" s="495">
        <v>4</v>
      </c>
      <c r="AF18" s="416">
        <v>2846.9999999999873</v>
      </c>
      <c r="AG18" s="416">
        <v>711.74999999999682</v>
      </c>
      <c r="AH18" s="495">
        <f t="shared" si="6"/>
        <v>21</v>
      </c>
      <c r="AI18" s="657"/>
      <c r="AJ18" s="495">
        <v>4</v>
      </c>
      <c r="AK18" s="416">
        <v>3165.0000000000109</v>
      </c>
      <c r="AL18" s="416">
        <v>791.25000000000273</v>
      </c>
      <c r="AM18" s="495">
        <f t="shared" si="7"/>
        <v>18</v>
      </c>
      <c r="AN18" s="657"/>
      <c r="AO18" s="495">
        <v>4</v>
      </c>
      <c r="AP18" s="416">
        <v>2630.3999999999924</v>
      </c>
      <c r="AQ18" s="416">
        <v>657.59999999999809</v>
      </c>
      <c r="AR18" s="495">
        <f t="shared" si="8"/>
        <v>22</v>
      </c>
      <c r="AS18" s="657"/>
      <c r="AT18" s="495">
        <v>4</v>
      </c>
      <c r="AU18" s="416">
        <v>2630.3999999999924</v>
      </c>
      <c r="AV18" s="416">
        <v>657.59999999999809</v>
      </c>
      <c r="AW18" s="495">
        <f t="shared" si="9"/>
        <v>22</v>
      </c>
      <c r="AX18" s="657"/>
      <c r="AZ18" s="402" t="e">
        <f t="shared" si="10"/>
        <v>#N/A</v>
      </c>
      <c r="BA18" s="657"/>
    </row>
    <row r="19" spans="2:53">
      <c r="B19" s="643"/>
      <c r="C19" s="409">
        <v>13</v>
      </c>
      <c r="D19" s="495" t="s">
        <v>586</v>
      </c>
      <c r="E19" s="495">
        <v>3</v>
      </c>
      <c r="F19" s="495">
        <v>2800</v>
      </c>
      <c r="G19" s="416">
        <v>933.33333333333337</v>
      </c>
      <c r="H19" s="645"/>
      <c r="I19" s="413">
        <f t="shared" si="0"/>
        <v>3</v>
      </c>
      <c r="J19" s="413">
        <f t="shared" si="1"/>
        <v>3009.8693877550963</v>
      </c>
      <c r="K19" s="199">
        <f t="shared" si="2"/>
        <v>1003.2897959183655</v>
      </c>
      <c r="L19" s="617"/>
      <c r="M19" s="413">
        <f>RANK(K19, K$7:$K$36)</f>
        <v>10</v>
      </c>
      <c r="N19" s="635"/>
      <c r="O19" s="635"/>
      <c r="P19" s="495">
        <v>3</v>
      </c>
      <c r="Q19" s="416">
        <v>2834.3999999999919</v>
      </c>
      <c r="R19" s="416">
        <v>944.79999999999734</v>
      </c>
      <c r="S19" s="495">
        <f t="shared" si="3"/>
        <v>12</v>
      </c>
      <c r="T19" s="657"/>
      <c r="U19" s="495">
        <v>3</v>
      </c>
      <c r="V19" s="416">
        <v>3144</v>
      </c>
      <c r="W19" s="416">
        <v>1048</v>
      </c>
      <c r="X19" s="495">
        <f t="shared" si="4"/>
        <v>8</v>
      </c>
      <c r="Y19" s="657"/>
      <c r="Z19" s="495">
        <v>3</v>
      </c>
      <c r="AA19" s="416">
        <v>3129.5999999999913</v>
      </c>
      <c r="AB19" s="416">
        <v>1043.1999999999971</v>
      </c>
      <c r="AC19" s="495">
        <f t="shared" si="5"/>
        <v>8</v>
      </c>
      <c r="AD19" s="657"/>
      <c r="AE19" s="495">
        <v>3</v>
      </c>
      <c r="AF19" s="416">
        <v>3285.5999999999904</v>
      </c>
      <c r="AG19" s="416">
        <v>1095.1999999999969</v>
      </c>
      <c r="AH19" s="495">
        <f t="shared" si="6"/>
        <v>2</v>
      </c>
      <c r="AI19" s="657"/>
      <c r="AJ19" s="495">
        <v>3</v>
      </c>
      <c r="AK19" s="416">
        <v>2866.2857142857115</v>
      </c>
      <c r="AL19" s="416">
        <v>955.42857142857054</v>
      </c>
      <c r="AM19" s="495">
        <f t="shared" si="7"/>
        <v>11</v>
      </c>
      <c r="AN19" s="657"/>
      <c r="AO19" s="495">
        <v>3</v>
      </c>
      <c r="AP19" s="416">
        <v>2953.1999999999916</v>
      </c>
      <c r="AQ19" s="416">
        <v>984.39999999999725</v>
      </c>
      <c r="AR19" s="495">
        <f t="shared" si="8"/>
        <v>11</v>
      </c>
      <c r="AS19" s="657"/>
      <c r="AT19" s="495">
        <v>3</v>
      </c>
      <c r="AU19" s="416">
        <v>2855.9999999999973</v>
      </c>
      <c r="AV19" s="416">
        <v>951.99999999999909</v>
      </c>
      <c r="AW19" s="495">
        <f t="shared" si="9"/>
        <v>11</v>
      </c>
      <c r="AX19" s="657"/>
      <c r="AZ19" s="402" t="e">
        <f t="shared" si="10"/>
        <v>#N/A</v>
      </c>
      <c r="BA19" s="657"/>
    </row>
    <row r="20" spans="2:53">
      <c r="B20" s="643"/>
      <c r="C20" s="409">
        <v>14</v>
      </c>
      <c r="D20" s="495" t="s">
        <v>587</v>
      </c>
      <c r="E20" s="495">
        <v>4</v>
      </c>
      <c r="F20" s="495">
        <v>2200</v>
      </c>
      <c r="G20" s="416">
        <v>550</v>
      </c>
      <c r="H20" s="645"/>
      <c r="I20" s="413">
        <f t="shared" si="0"/>
        <v>3</v>
      </c>
      <c r="J20" s="413">
        <f t="shared" si="1"/>
        <v>2243.1292517006796</v>
      </c>
      <c r="K20" s="199">
        <f t="shared" si="2"/>
        <v>747.70975056689326</v>
      </c>
      <c r="L20" s="617"/>
      <c r="M20" s="413">
        <f>RANK(K20, K$7:$K$36)</f>
        <v>18</v>
      </c>
      <c r="N20" s="635"/>
      <c r="O20" s="635"/>
      <c r="P20" s="495">
        <v>3</v>
      </c>
      <c r="Q20" s="416">
        <v>2181.333333333333</v>
      </c>
      <c r="R20" s="416">
        <v>727.11111111111097</v>
      </c>
      <c r="S20" s="495">
        <f t="shared" si="3"/>
        <v>20</v>
      </c>
      <c r="T20" s="657"/>
      <c r="U20" s="495">
        <v>3</v>
      </c>
      <c r="V20" s="416">
        <v>2218.6666666666665</v>
      </c>
      <c r="W20" s="416">
        <v>739.55555555555554</v>
      </c>
      <c r="X20" s="495">
        <f t="shared" si="4"/>
        <v>19</v>
      </c>
      <c r="Y20" s="657"/>
      <c r="Z20" s="495">
        <v>3</v>
      </c>
      <c r="AA20" s="416">
        <v>2252.9999999999995</v>
      </c>
      <c r="AB20" s="416">
        <v>750.99999999999989</v>
      </c>
      <c r="AC20" s="495">
        <f t="shared" si="5"/>
        <v>18</v>
      </c>
      <c r="AD20" s="657"/>
      <c r="AE20" s="495">
        <v>3</v>
      </c>
      <c r="AF20" s="416">
        <v>2348.5714285714262</v>
      </c>
      <c r="AG20" s="416">
        <v>782.85714285714209</v>
      </c>
      <c r="AH20" s="495">
        <f t="shared" si="6"/>
        <v>17</v>
      </c>
      <c r="AI20" s="657"/>
      <c r="AJ20" s="495">
        <v>3</v>
      </c>
      <c r="AK20" s="416">
        <v>2222.9999999999995</v>
      </c>
      <c r="AL20" s="416">
        <v>740.99999999999989</v>
      </c>
      <c r="AM20" s="495">
        <f t="shared" si="7"/>
        <v>20</v>
      </c>
      <c r="AN20" s="657"/>
      <c r="AO20" s="495">
        <v>3</v>
      </c>
      <c r="AP20" s="416">
        <v>2262.6666666666665</v>
      </c>
      <c r="AQ20" s="416">
        <v>754.22222222222217</v>
      </c>
      <c r="AR20" s="495">
        <f t="shared" si="8"/>
        <v>18</v>
      </c>
      <c r="AS20" s="657"/>
      <c r="AT20" s="495">
        <v>3</v>
      </c>
      <c r="AU20" s="416">
        <v>2214.6666666666665</v>
      </c>
      <c r="AV20" s="416">
        <v>738.22222222222217</v>
      </c>
      <c r="AW20" s="495">
        <f t="shared" si="9"/>
        <v>18</v>
      </c>
      <c r="AX20" s="657"/>
      <c r="AZ20" s="402" t="e">
        <f t="shared" si="10"/>
        <v>#N/A</v>
      </c>
      <c r="BA20" s="657"/>
    </row>
    <row r="21" spans="2:53">
      <c r="B21" s="643"/>
      <c r="C21" s="409">
        <v>15</v>
      </c>
      <c r="D21" s="495" t="s">
        <v>636</v>
      </c>
      <c r="E21" s="495">
        <v>8</v>
      </c>
      <c r="F21" s="495">
        <v>1500</v>
      </c>
      <c r="G21" s="416">
        <v>187.5</v>
      </c>
      <c r="H21" s="645"/>
      <c r="I21" s="413">
        <f t="shared" si="0"/>
        <v>12</v>
      </c>
      <c r="J21" s="413">
        <f t="shared" si="1"/>
        <v>1450.1640052547075</v>
      </c>
      <c r="K21" s="199">
        <f t="shared" si="2"/>
        <v>120.84700043789226</v>
      </c>
      <c r="L21" s="617"/>
      <c r="M21" s="413">
        <f>RANK(K21, K$7:$K$36)</f>
        <v>24</v>
      </c>
      <c r="N21" s="635"/>
      <c r="O21" s="635"/>
      <c r="P21" s="495">
        <v>12</v>
      </c>
      <c r="Q21" s="416">
        <v>1495.5882352941157</v>
      </c>
      <c r="R21" s="416">
        <v>124.63235294117631</v>
      </c>
      <c r="S21" s="495">
        <f t="shared" si="3"/>
        <v>24</v>
      </c>
      <c r="T21" s="657"/>
      <c r="U21" s="495">
        <v>12</v>
      </c>
      <c r="V21" s="416">
        <v>1355.1999999999989</v>
      </c>
      <c r="W21" s="416">
        <v>112.93333333333324</v>
      </c>
      <c r="X21" s="495">
        <f t="shared" si="4"/>
        <v>24</v>
      </c>
      <c r="Y21" s="657"/>
      <c r="Z21" s="495">
        <v>12</v>
      </c>
      <c r="AA21" s="416">
        <v>1473.3333333333348</v>
      </c>
      <c r="AB21" s="416">
        <v>122.7777777777779</v>
      </c>
      <c r="AC21" s="495">
        <f t="shared" si="5"/>
        <v>24</v>
      </c>
      <c r="AD21" s="657"/>
      <c r="AE21" s="495">
        <v>12</v>
      </c>
      <c r="AF21" s="416">
        <v>1466.129032258066</v>
      </c>
      <c r="AG21" s="416">
        <v>122.17741935483883</v>
      </c>
      <c r="AH21" s="495">
        <f t="shared" si="6"/>
        <v>24</v>
      </c>
      <c r="AI21" s="657"/>
      <c r="AJ21" s="495">
        <v>12</v>
      </c>
      <c r="AK21" s="416">
        <v>1449.2307692307709</v>
      </c>
      <c r="AL21" s="416">
        <v>120.7692307692309</v>
      </c>
      <c r="AM21" s="495">
        <f t="shared" si="7"/>
        <v>23</v>
      </c>
      <c r="AN21" s="657"/>
      <c r="AO21" s="495">
        <v>12</v>
      </c>
      <c r="AP21" s="416">
        <v>1461.6666666666656</v>
      </c>
      <c r="AQ21" s="416">
        <v>121.80555555555547</v>
      </c>
      <c r="AR21" s="495">
        <f t="shared" si="8"/>
        <v>23</v>
      </c>
      <c r="AS21" s="657"/>
      <c r="AT21" s="495">
        <v>12</v>
      </c>
      <c r="AU21" s="416">
        <v>1449.9999999999989</v>
      </c>
      <c r="AV21" s="416">
        <v>120.83333333333324</v>
      </c>
      <c r="AW21" s="495">
        <f t="shared" si="9"/>
        <v>23</v>
      </c>
      <c r="AX21" s="657"/>
      <c r="AZ21" s="402" t="e">
        <f t="shared" si="10"/>
        <v>#N/A</v>
      </c>
      <c r="BA21" s="657"/>
    </row>
    <row r="22" spans="2:53">
      <c r="B22" s="643"/>
      <c r="C22" s="409">
        <v>16</v>
      </c>
      <c r="D22" s="495" t="s">
        <v>588</v>
      </c>
      <c r="E22" s="495">
        <v>3</v>
      </c>
      <c r="F22" s="495">
        <v>2800</v>
      </c>
      <c r="G22" s="416">
        <v>933.33333333333337</v>
      </c>
      <c r="H22" s="645"/>
      <c r="I22" s="413">
        <f t="shared" si="0"/>
        <v>3</v>
      </c>
      <c r="J22" s="413">
        <f t="shared" si="1"/>
        <v>2788.8984385586341</v>
      </c>
      <c r="K22" s="199">
        <f t="shared" si="2"/>
        <v>929.63281285287792</v>
      </c>
      <c r="L22" s="617"/>
      <c r="M22" s="413">
        <f>RANK(K22, K$7:$K$36)</f>
        <v>12</v>
      </c>
      <c r="N22" s="635"/>
      <c r="O22" s="635"/>
      <c r="P22" s="495">
        <v>3</v>
      </c>
      <c r="Q22" s="416">
        <v>2849.2682926829257</v>
      </c>
      <c r="R22" s="416">
        <v>949.75609756097526</v>
      </c>
      <c r="S22" s="495">
        <f t="shared" si="3"/>
        <v>11</v>
      </c>
      <c r="T22" s="657"/>
      <c r="U22" s="495">
        <v>3</v>
      </c>
      <c r="V22" s="416">
        <v>2737.1428571428564</v>
      </c>
      <c r="W22" s="416">
        <v>912.38095238095218</v>
      </c>
      <c r="X22" s="495">
        <f t="shared" si="4"/>
        <v>12</v>
      </c>
      <c r="Y22" s="657"/>
      <c r="Z22" s="495">
        <v>3</v>
      </c>
      <c r="AA22" s="416">
        <v>2736.5853658536575</v>
      </c>
      <c r="AB22" s="416">
        <v>912.19512195121922</v>
      </c>
      <c r="AC22" s="495">
        <f t="shared" si="5"/>
        <v>12</v>
      </c>
      <c r="AD22" s="657"/>
      <c r="AE22" s="495">
        <v>3</v>
      </c>
      <c r="AF22" s="416">
        <v>2837.6470588235256</v>
      </c>
      <c r="AG22" s="416">
        <v>945.88235294117521</v>
      </c>
      <c r="AH22" s="495">
        <f t="shared" si="6"/>
        <v>11</v>
      </c>
      <c r="AI22" s="657"/>
      <c r="AJ22" s="495">
        <v>3</v>
      </c>
      <c r="AK22" s="416">
        <v>2812.9411764705915</v>
      </c>
      <c r="AL22" s="416">
        <v>937.64705882353053</v>
      </c>
      <c r="AM22" s="495">
        <f t="shared" si="7"/>
        <v>12</v>
      </c>
      <c r="AN22" s="657"/>
      <c r="AO22" s="495">
        <v>3</v>
      </c>
      <c r="AP22" s="416">
        <v>2754.4186046511622</v>
      </c>
      <c r="AQ22" s="416">
        <v>918.13953488372078</v>
      </c>
      <c r="AR22" s="495">
        <f t="shared" si="8"/>
        <v>12</v>
      </c>
      <c r="AS22" s="657"/>
      <c r="AT22" s="495">
        <v>3</v>
      </c>
      <c r="AU22" s="416">
        <v>2794.2857142857188</v>
      </c>
      <c r="AV22" s="416">
        <v>931.42857142857292</v>
      </c>
      <c r="AW22" s="495">
        <f t="shared" si="9"/>
        <v>12</v>
      </c>
      <c r="AX22" s="657"/>
      <c r="AZ22" s="402" t="e">
        <f t="shared" si="10"/>
        <v>#N/A</v>
      </c>
      <c r="BA22" s="657"/>
    </row>
    <row r="23" spans="2:53">
      <c r="B23" s="643"/>
      <c r="C23" s="409">
        <v>17</v>
      </c>
      <c r="D23" s="495" t="s">
        <v>589</v>
      </c>
      <c r="E23" s="495">
        <v>4</v>
      </c>
      <c r="F23" s="495">
        <v>2800</v>
      </c>
      <c r="G23" s="416">
        <v>700</v>
      </c>
      <c r="H23" s="645"/>
      <c r="I23" s="413">
        <f t="shared" si="0"/>
        <v>4</v>
      </c>
      <c r="J23" s="413">
        <f t="shared" si="1"/>
        <v>2791.3286467227367</v>
      </c>
      <c r="K23" s="199">
        <f t="shared" si="2"/>
        <v>697.83216168068418</v>
      </c>
      <c r="L23" s="617"/>
      <c r="M23" s="413">
        <f>RANK(K23, K$7:$K$36)</f>
        <v>23</v>
      </c>
      <c r="N23" s="635"/>
      <c r="O23" s="635"/>
      <c r="P23" s="495">
        <v>4</v>
      </c>
      <c r="Q23" s="416">
        <v>2891.5384615384633</v>
      </c>
      <c r="R23" s="416">
        <v>722.88461538461581</v>
      </c>
      <c r="S23" s="495">
        <f t="shared" si="3"/>
        <v>21</v>
      </c>
      <c r="T23" s="657"/>
      <c r="U23" s="495">
        <v>4</v>
      </c>
      <c r="V23" s="416">
        <v>2736.4285714285734</v>
      </c>
      <c r="W23" s="416">
        <v>684.10714285714334</v>
      </c>
      <c r="X23" s="495">
        <f t="shared" si="4"/>
        <v>22</v>
      </c>
      <c r="Y23" s="657"/>
      <c r="Z23" s="495">
        <v>4</v>
      </c>
      <c r="AA23" s="416">
        <v>2780.7692307692323</v>
      </c>
      <c r="AB23" s="416">
        <v>695.19230769230808</v>
      </c>
      <c r="AC23" s="495">
        <f t="shared" si="5"/>
        <v>23</v>
      </c>
      <c r="AD23" s="657"/>
      <c r="AE23" s="495">
        <v>4</v>
      </c>
      <c r="AF23" s="416">
        <v>2740.909090909091</v>
      </c>
      <c r="AG23" s="416">
        <v>685.22727272727275</v>
      </c>
      <c r="AH23" s="495">
        <f t="shared" si="6"/>
        <v>23</v>
      </c>
      <c r="AI23" s="657"/>
      <c r="AJ23" s="495">
        <v>4</v>
      </c>
      <c r="AK23" s="416">
        <v>2909.9999999999991</v>
      </c>
      <c r="AL23" s="416">
        <v>727.49999999999977</v>
      </c>
      <c r="AM23" s="495">
        <f t="shared" si="7"/>
        <v>21</v>
      </c>
      <c r="AN23" s="657"/>
      <c r="AO23" s="495">
        <v>4</v>
      </c>
      <c r="AP23" s="416">
        <v>2749.6551724137948</v>
      </c>
      <c r="AQ23" s="416">
        <v>687.41379310344871</v>
      </c>
      <c r="AR23" s="495">
        <f t="shared" si="8"/>
        <v>21</v>
      </c>
      <c r="AS23" s="657"/>
      <c r="AT23" s="495">
        <v>4</v>
      </c>
      <c r="AU23" s="416">
        <v>2730.0000000000023</v>
      </c>
      <c r="AV23" s="416">
        <v>682.50000000000057</v>
      </c>
      <c r="AW23" s="495">
        <f t="shared" si="9"/>
        <v>21</v>
      </c>
      <c r="AX23" s="657"/>
      <c r="AZ23" s="402" t="e">
        <f t="shared" si="10"/>
        <v>#N/A</v>
      </c>
      <c r="BA23" s="657"/>
    </row>
    <row r="24" spans="2:53">
      <c r="B24" s="643"/>
      <c r="C24" s="409">
        <v>18</v>
      </c>
      <c r="D24" s="495" t="s">
        <v>606</v>
      </c>
      <c r="E24" s="495">
        <v>12</v>
      </c>
      <c r="F24" s="495">
        <v>1500</v>
      </c>
      <c r="G24" s="416">
        <v>125</v>
      </c>
      <c r="H24" s="645"/>
      <c r="I24" s="413">
        <f t="shared" si="0"/>
        <v>12</v>
      </c>
      <c r="J24" s="413">
        <f t="shared" si="1"/>
        <v>1257.3277123152923</v>
      </c>
      <c r="K24" s="199">
        <f t="shared" si="2"/>
        <v>104.77730935960767</v>
      </c>
      <c r="L24" s="617"/>
      <c r="M24" s="413">
        <f>RANK(K24, K$7:$K$36)</f>
        <v>25</v>
      </c>
      <c r="N24" s="635"/>
      <c r="O24" s="635"/>
      <c r="P24" s="495">
        <v>12</v>
      </c>
      <c r="Q24" s="416">
        <v>1285.3846153846278</v>
      </c>
      <c r="R24" s="416">
        <v>107.11538461538565</v>
      </c>
      <c r="S24" s="495">
        <f t="shared" si="3"/>
        <v>25</v>
      </c>
      <c r="T24" s="657"/>
      <c r="U24" s="495">
        <v>12</v>
      </c>
      <c r="V24" s="416">
        <v>1278.4615384615431</v>
      </c>
      <c r="W24" s="416">
        <v>106.53846153846193</v>
      </c>
      <c r="X24" s="495">
        <f t="shared" si="4"/>
        <v>25</v>
      </c>
      <c r="Y24" s="657"/>
      <c r="Z24" s="495">
        <v>12</v>
      </c>
      <c r="AA24" s="416">
        <v>1254.7826086956479</v>
      </c>
      <c r="AB24" s="416">
        <v>104.56521739130399</v>
      </c>
      <c r="AC24" s="495">
        <f t="shared" si="5"/>
        <v>25</v>
      </c>
      <c r="AD24" s="657"/>
      <c r="AE24" s="495">
        <v>12</v>
      </c>
      <c r="AF24" s="416">
        <v>1209.0000000000043</v>
      </c>
      <c r="AG24" s="416">
        <v>100.75000000000036</v>
      </c>
      <c r="AH24" s="495">
        <f t="shared" si="6"/>
        <v>25</v>
      </c>
      <c r="AI24" s="657"/>
      <c r="AJ24" s="495">
        <v>12</v>
      </c>
      <c r="AK24" s="416">
        <v>1246.3636363636408</v>
      </c>
      <c r="AL24" s="416">
        <v>103.86363636363673</v>
      </c>
      <c r="AM24" s="495">
        <f t="shared" si="7"/>
        <v>24</v>
      </c>
      <c r="AN24" s="657"/>
      <c r="AO24" s="495">
        <v>12</v>
      </c>
      <c r="AP24" s="416">
        <v>1182.8571428571404</v>
      </c>
      <c r="AQ24" s="416">
        <v>98.57142857142837</v>
      </c>
      <c r="AR24" s="495">
        <f t="shared" si="8"/>
        <v>24</v>
      </c>
      <c r="AS24" s="657"/>
      <c r="AT24" s="495">
        <v>12</v>
      </c>
      <c r="AU24" s="416">
        <v>1344.4444444444414</v>
      </c>
      <c r="AV24" s="416">
        <v>112.03703703703678</v>
      </c>
      <c r="AW24" s="495">
        <f t="shared" si="9"/>
        <v>24</v>
      </c>
      <c r="AX24" s="657"/>
      <c r="AZ24" s="402" t="e">
        <f t="shared" si="10"/>
        <v>#N/A</v>
      </c>
      <c r="BA24" s="657"/>
    </row>
    <row r="25" spans="2:53">
      <c r="B25" s="643"/>
      <c r="C25" s="409">
        <v>19</v>
      </c>
      <c r="D25" s="495" t="s">
        <v>617</v>
      </c>
      <c r="E25" s="495">
        <v>3</v>
      </c>
      <c r="F25" s="495">
        <v>3000</v>
      </c>
      <c r="G25" s="416">
        <v>933.33333333333337</v>
      </c>
      <c r="H25" s="645"/>
      <c r="I25" s="413">
        <f t="shared" si="0"/>
        <v>3</v>
      </c>
      <c r="J25" s="413">
        <f t="shared" si="1"/>
        <v>3159.857142857129</v>
      </c>
      <c r="K25" s="199">
        <f t="shared" si="2"/>
        <v>1053.2857142857097</v>
      </c>
      <c r="L25" s="617"/>
      <c r="M25" s="413">
        <f>RANK(K25, K$7:$K$36)</f>
        <v>8</v>
      </c>
      <c r="N25" s="635"/>
      <c r="O25" s="635"/>
      <c r="P25" s="495">
        <v>3</v>
      </c>
      <c r="Q25" s="416">
        <v>3281.9999999999854</v>
      </c>
      <c r="R25" s="416">
        <v>1093.9999999999952</v>
      </c>
      <c r="S25" s="495">
        <f t="shared" si="3"/>
        <v>2</v>
      </c>
      <c r="T25" s="657"/>
      <c r="U25" s="495">
        <v>3</v>
      </c>
      <c r="V25" s="416">
        <v>3323.9999999999854</v>
      </c>
      <c r="W25" s="416">
        <v>1107.9999999999952</v>
      </c>
      <c r="X25" s="495">
        <f t="shared" si="4"/>
        <v>1</v>
      </c>
      <c r="Y25" s="657"/>
      <c r="Z25" s="495">
        <v>3</v>
      </c>
      <c r="AA25" s="416">
        <v>3080.9999999999864</v>
      </c>
      <c r="AB25" s="416">
        <v>1026.9999999999955</v>
      </c>
      <c r="AC25" s="495">
        <f t="shared" si="5"/>
        <v>10</v>
      </c>
      <c r="AD25" s="657"/>
      <c r="AE25" s="495">
        <v>3</v>
      </c>
      <c r="AF25" s="416">
        <v>2792.9999999999873</v>
      </c>
      <c r="AG25" s="416">
        <v>930.99999999999579</v>
      </c>
      <c r="AH25" s="495">
        <f t="shared" si="6"/>
        <v>12</v>
      </c>
      <c r="AI25" s="657"/>
      <c r="AJ25" s="495">
        <v>3</v>
      </c>
      <c r="AK25" s="416">
        <v>2933.9999999999873</v>
      </c>
      <c r="AL25" s="416">
        <v>977.99999999999579</v>
      </c>
      <c r="AM25" s="495">
        <f t="shared" si="7"/>
        <v>10</v>
      </c>
      <c r="AN25" s="657"/>
      <c r="AO25" s="495">
        <v>3</v>
      </c>
      <c r="AP25" s="416">
        <v>3254.9999999999854</v>
      </c>
      <c r="AQ25" s="416">
        <v>1084.9999999999952</v>
      </c>
      <c r="AR25" s="495">
        <f t="shared" si="8"/>
        <v>1</v>
      </c>
      <c r="AS25" s="657"/>
      <c r="AT25" s="495">
        <v>3</v>
      </c>
      <c r="AU25" s="416">
        <v>3449.9999999999845</v>
      </c>
      <c r="AV25" s="416">
        <v>1149.9999999999948</v>
      </c>
      <c r="AW25" s="495">
        <f t="shared" si="9"/>
        <v>1</v>
      </c>
      <c r="AX25" s="657"/>
      <c r="AZ25" s="402" t="e">
        <f t="shared" si="10"/>
        <v>#N/A</v>
      </c>
      <c r="BA25" s="657"/>
    </row>
    <row r="26" spans="2:53">
      <c r="B26" s="643"/>
      <c r="C26" s="409">
        <v>20</v>
      </c>
      <c r="D26" s="495" t="s">
        <v>621</v>
      </c>
      <c r="E26" s="495">
        <v>4</v>
      </c>
      <c r="F26" s="495">
        <v>3200</v>
      </c>
      <c r="G26" s="416">
        <v>800</v>
      </c>
      <c r="H26" s="645"/>
      <c r="I26" s="413">
        <f t="shared" si="0"/>
        <v>4</v>
      </c>
      <c r="J26" s="413">
        <f t="shared" si="1"/>
        <v>2971.0769230769256</v>
      </c>
      <c r="K26" s="199">
        <f t="shared" si="2"/>
        <v>742.7692307692314</v>
      </c>
      <c r="L26" s="617"/>
      <c r="M26" s="413">
        <f>RANK(K26, K$7:$K$36)</f>
        <v>20</v>
      </c>
      <c r="N26" s="635"/>
      <c r="O26" s="635"/>
      <c r="P26" s="495">
        <v>4</v>
      </c>
      <c r="Q26" s="416">
        <v>2975.1724137931055</v>
      </c>
      <c r="R26" s="416">
        <v>743.79310344827638</v>
      </c>
      <c r="S26" s="495">
        <f t="shared" si="3"/>
        <v>18</v>
      </c>
      <c r="T26" s="657"/>
      <c r="U26" s="495">
        <v>4</v>
      </c>
      <c r="V26" s="416">
        <v>2904.8275862068908</v>
      </c>
      <c r="W26" s="416">
        <v>726.20689655172271</v>
      </c>
      <c r="X26" s="495">
        <f t="shared" si="4"/>
        <v>20</v>
      </c>
      <c r="Y26" s="657"/>
      <c r="Z26" s="495">
        <v>4</v>
      </c>
      <c r="AA26" s="416">
        <v>2920.0000000000014</v>
      </c>
      <c r="AB26" s="416">
        <v>730.00000000000034</v>
      </c>
      <c r="AC26" s="495">
        <f t="shared" si="5"/>
        <v>21</v>
      </c>
      <c r="AD26" s="657"/>
      <c r="AE26" s="495">
        <v>4</v>
      </c>
      <c r="AF26" s="416">
        <v>3054.0000000000109</v>
      </c>
      <c r="AG26" s="416">
        <v>763.50000000000273</v>
      </c>
      <c r="AH26" s="495">
        <f t="shared" si="6"/>
        <v>18</v>
      </c>
      <c r="AI26" s="657"/>
      <c r="AJ26" s="495">
        <v>4</v>
      </c>
      <c r="AK26" s="416">
        <v>3072.0000000000109</v>
      </c>
      <c r="AL26" s="416">
        <v>768.00000000000273</v>
      </c>
      <c r="AM26" s="495">
        <f t="shared" si="7"/>
        <v>19</v>
      </c>
      <c r="AN26" s="657"/>
      <c r="AO26" s="495">
        <v>4</v>
      </c>
      <c r="AP26" s="416">
        <v>2919.9999999999932</v>
      </c>
      <c r="AQ26" s="416">
        <v>729.99999999999829</v>
      </c>
      <c r="AR26" s="495">
        <f t="shared" si="8"/>
        <v>19</v>
      </c>
      <c r="AS26" s="657"/>
      <c r="AT26" s="495">
        <v>4</v>
      </c>
      <c r="AU26" s="416">
        <v>2951.5384615384633</v>
      </c>
      <c r="AV26" s="416">
        <v>737.88461538461581</v>
      </c>
      <c r="AW26" s="495">
        <f t="shared" si="9"/>
        <v>19</v>
      </c>
      <c r="AX26" s="657"/>
      <c r="AZ26" s="402" t="e">
        <f t="shared" si="10"/>
        <v>#N/A</v>
      </c>
      <c r="BA26" s="657"/>
    </row>
    <row r="27" spans="2:53">
      <c r="B27" s="643"/>
      <c r="C27" s="409">
        <v>21</v>
      </c>
      <c r="D27" s="498" t="s">
        <v>622</v>
      </c>
      <c r="E27" s="495">
        <v>4</v>
      </c>
      <c r="F27" s="495">
        <v>3200</v>
      </c>
      <c r="G27" s="416">
        <v>800</v>
      </c>
      <c r="H27" s="645"/>
      <c r="I27" s="413">
        <f t="shared" si="0"/>
        <v>4</v>
      </c>
      <c r="J27" s="413">
        <f t="shared" si="1"/>
        <v>2978.5965216953582</v>
      </c>
      <c r="K27" s="199">
        <f t="shared" si="2"/>
        <v>744.64913042383955</v>
      </c>
      <c r="L27" s="617"/>
      <c r="M27" s="413">
        <f>RANK(K27, K$7:$K$36)</f>
        <v>19</v>
      </c>
      <c r="N27" s="635"/>
      <c r="O27" s="635"/>
      <c r="P27" s="495">
        <v>4</v>
      </c>
      <c r="Q27" s="416">
        <v>2970.666666666667</v>
      </c>
      <c r="R27" s="416">
        <v>742.66666666666674</v>
      </c>
      <c r="S27" s="495">
        <f t="shared" si="3"/>
        <v>19</v>
      </c>
      <c r="T27" s="657"/>
      <c r="U27" s="495">
        <v>4</v>
      </c>
      <c r="V27" s="416">
        <v>2968.6363636363581</v>
      </c>
      <c r="W27" s="416">
        <v>742.15909090908951</v>
      </c>
      <c r="X27" s="495">
        <f t="shared" si="4"/>
        <v>18</v>
      </c>
      <c r="Y27" s="657"/>
      <c r="Z27" s="495">
        <v>4</v>
      </c>
      <c r="AA27" s="416">
        <v>2966.5116279069762</v>
      </c>
      <c r="AB27" s="416">
        <v>741.62790697674404</v>
      </c>
      <c r="AC27" s="495">
        <f t="shared" si="5"/>
        <v>20</v>
      </c>
      <c r="AD27" s="657"/>
      <c r="AE27" s="495">
        <v>4</v>
      </c>
      <c r="AF27" s="416">
        <v>3008.5714285714321</v>
      </c>
      <c r="AG27" s="416">
        <v>752.14285714285802</v>
      </c>
      <c r="AH27" s="495">
        <f t="shared" si="6"/>
        <v>20</v>
      </c>
      <c r="AI27" s="657"/>
      <c r="AJ27" s="495" t="s">
        <v>615</v>
      </c>
      <c r="AK27" s="416" t="s">
        <v>615</v>
      </c>
      <c r="AL27" s="416" t="s">
        <v>615</v>
      </c>
      <c r="AM27" s="495" t="e">
        <f t="shared" si="7"/>
        <v>#VALUE!</v>
      </c>
      <c r="AN27" s="657"/>
      <c r="AO27" s="495" t="s">
        <v>615</v>
      </c>
      <c r="AP27" s="416" t="s">
        <v>615</v>
      </c>
      <c r="AQ27" s="416" t="s">
        <v>615</v>
      </c>
      <c r="AR27" s="495" t="e">
        <f t="shared" si="8"/>
        <v>#VALUE!</v>
      </c>
      <c r="AS27" s="657"/>
      <c r="AT27" s="495" t="s">
        <v>615</v>
      </c>
      <c r="AU27" s="416" t="s">
        <v>615</v>
      </c>
      <c r="AV27" s="416" t="s">
        <v>615</v>
      </c>
      <c r="AW27" s="495" t="e">
        <f t="shared" si="9"/>
        <v>#VALUE!</v>
      </c>
      <c r="AX27" s="657"/>
      <c r="AZ27" s="402" t="e">
        <f t="shared" si="10"/>
        <v>#N/A</v>
      </c>
      <c r="BA27" s="657"/>
    </row>
    <row r="28" spans="2:53">
      <c r="B28" s="643"/>
      <c r="C28" s="409">
        <v>22</v>
      </c>
      <c r="D28" s="495" t="s">
        <v>629</v>
      </c>
      <c r="E28" s="495">
        <v>3</v>
      </c>
      <c r="F28" s="495">
        <v>3200</v>
      </c>
      <c r="G28" s="416">
        <v>1066.6666666666667</v>
      </c>
      <c r="H28" s="645"/>
      <c r="I28" s="413">
        <f t="shared" si="0"/>
        <v>3</v>
      </c>
      <c r="J28" s="413">
        <f t="shared" si="1"/>
        <v>3179.6977498691745</v>
      </c>
      <c r="K28" s="199">
        <f t="shared" si="2"/>
        <v>1059.8992499563917</v>
      </c>
      <c r="L28" s="617"/>
      <c r="M28" s="413">
        <f>RANK(K28, K$7:$K$36)</f>
        <v>5</v>
      </c>
      <c r="N28" s="635"/>
      <c r="O28" s="635"/>
      <c r="P28" s="495">
        <v>3</v>
      </c>
      <c r="Q28" s="416">
        <v>3128.5714285714221</v>
      </c>
      <c r="R28" s="416">
        <v>1042.8571428571406</v>
      </c>
      <c r="S28" s="495">
        <f t="shared" si="3"/>
        <v>8</v>
      </c>
      <c r="T28" s="657"/>
      <c r="U28" s="495">
        <v>3</v>
      </c>
      <c r="V28" s="416">
        <v>3186.6666666666592</v>
      </c>
      <c r="W28" s="416">
        <v>1062.2222222222197</v>
      </c>
      <c r="X28" s="495">
        <f t="shared" si="4"/>
        <v>6</v>
      </c>
      <c r="Y28" s="657"/>
      <c r="Z28" s="495">
        <v>3</v>
      </c>
      <c r="AA28" s="416">
        <v>3136.1538461538476</v>
      </c>
      <c r="AB28" s="416">
        <v>1045.3846153846159</v>
      </c>
      <c r="AC28" s="495">
        <f t="shared" si="5"/>
        <v>7</v>
      </c>
      <c r="AD28" s="657"/>
      <c r="AE28" s="495">
        <v>3</v>
      </c>
      <c r="AF28" s="416">
        <v>3320.9999999999986</v>
      </c>
      <c r="AG28" s="416">
        <v>1106.9999999999995</v>
      </c>
      <c r="AH28" s="495">
        <f t="shared" si="6"/>
        <v>1</v>
      </c>
      <c r="AI28" s="657"/>
      <c r="AJ28" s="495">
        <v>3</v>
      </c>
      <c r="AK28" s="416">
        <v>3218.9999999999859</v>
      </c>
      <c r="AL28" s="416">
        <v>1072.9999999999952</v>
      </c>
      <c r="AM28" s="495">
        <f t="shared" si="7"/>
        <v>7</v>
      </c>
      <c r="AN28" s="657"/>
      <c r="AO28" s="495">
        <v>3</v>
      </c>
      <c r="AP28" s="416">
        <v>3117.6923076922994</v>
      </c>
      <c r="AQ28" s="416">
        <v>1039.2307692307666</v>
      </c>
      <c r="AR28" s="495">
        <f t="shared" si="8"/>
        <v>9</v>
      </c>
      <c r="AS28" s="657"/>
      <c r="AT28" s="495">
        <v>3</v>
      </c>
      <c r="AU28" s="416">
        <v>3148.8000000000111</v>
      </c>
      <c r="AV28" s="416">
        <v>1049.6000000000038</v>
      </c>
      <c r="AW28" s="495">
        <f t="shared" si="9"/>
        <v>8</v>
      </c>
      <c r="AX28" s="657"/>
      <c r="AZ28" s="402" t="e">
        <f t="shared" si="10"/>
        <v>#N/A</v>
      </c>
      <c r="BA28" s="657"/>
    </row>
    <row r="29" spans="2:53">
      <c r="B29" s="643"/>
      <c r="C29" s="409">
        <v>23</v>
      </c>
      <c r="D29" s="495" t="s">
        <v>699</v>
      </c>
      <c r="E29" s="495">
        <v>3</v>
      </c>
      <c r="F29" s="495">
        <v>3200</v>
      </c>
      <c r="G29" s="416">
        <v>1066.6666666666667</v>
      </c>
      <c r="H29" s="645"/>
      <c r="I29" s="413">
        <f t="shared" si="0"/>
        <v>3</v>
      </c>
      <c r="J29" s="413">
        <f t="shared" si="1"/>
        <v>3196.3525327732978</v>
      </c>
      <c r="K29" s="199">
        <f t="shared" si="2"/>
        <v>1065.450844257766</v>
      </c>
      <c r="L29" s="617"/>
      <c r="M29" s="413">
        <f>RANK(K29, K$7:$K$36)</f>
        <v>3</v>
      </c>
      <c r="N29" s="635"/>
      <c r="O29" s="635"/>
      <c r="P29" s="495">
        <v>3</v>
      </c>
      <c r="Q29" s="416">
        <v>3170.3225806451642</v>
      </c>
      <c r="R29" s="416">
        <v>1056.774193548388</v>
      </c>
      <c r="S29" s="495">
        <f t="shared" si="3"/>
        <v>4</v>
      </c>
      <c r="T29" s="657"/>
      <c r="U29" s="495">
        <v>3</v>
      </c>
      <c r="V29" s="416">
        <v>3199.3220338983078</v>
      </c>
      <c r="W29" s="416">
        <v>1066.4406779661026</v>
      </c>
      <c r="X29" s="495">
        <f t="shared" si="4"/>
        <v>2</v>
      </c>
      <c r="Y29" s="657"/>
      <c r="Z29" s="495">
        <v>3</v>
      </c>
      <c r="AA29" s="416">
        <v>3172.3636363636288</v>
      </c>
      <c r="AB29" s="416">
        <v>1057.454545454543</v>
      </c>
      <c r="AC29" s="495">
        <f t="shared" si="5"/>
        <v>2</v>
      </c>
      <c r="AD29" s="657"/>
      <c r="AE29" s="495">
        <v>3</v>
      </c>
      <c r="AF29" s="416">
        <v>3210.666666666667</v>
      </c>
      <c r="AG29" s="416">
        <v>1070.2222222222224</v>
      </c>
      <c r="AH29" s="495">
        <f t="shared" si="6"/>
        <v>6</v>
      </c>
      <c r="AI29" s="657"/>
      <c r="AJ29" s="495">
        <v>3</v>
      </c>
      <c r="AK29" s="416">
        <v>3274.8837209302319</v>
      </c>
      <c r="AL29" s="416">
        <v>1091.627906976744</v>
      </c>
      <c r="AM29" s="495">
        <f t="shared" si="7"/>
        <v>3</v>
      </c>
      <c r="AN29" s="657"/>
      <c r="AO29" s="495">
        <v>3</v>
      </c>
      <c r="AP29" s="416">
        <v>3166.9090909090883</v>
      </c>
      <c r="AQ29" s="416">
        <v>1055.6363636363628</v>
      </c>
      <c r="AR29" s="495">
        <f t="shared" si="8"/>
        <v>6</v>
      </c>
      <c r="AS29" s="657"/>
      <c r="AT29" s="495">
        <v>3</v>
      </c>
      <c r="AU29" s="416">
        <v>3179.9999999999964</v>
      </c>
      <c r="AV29" s="416">
        <v>1059.9999999999989</v>
      </c>
      <c r="AW29" s="495">
        <f t="shared" si="9"/>
        <v>6</v>
      </c>
      <c r="AX29" s="657"/>
      <c r="AZ29" s="402" t="e">
        <f t="shared" si="10"/>
        <v>#N/A</v>
      </c>
      <c r="BA29" s="657"/>
    </row>
    <row r="30" spans="2:53">
      <c r="B30" s="643"/>
      <c r="C30" s="409">
        <v>24</v>
      </c>
      <c r="D30" s="495" t="s">
        <v>704</v>
      </c>
      <c r="E30" s="495">
        <v>3</v>
      </c>
      <c r="F30" s="495">
        <v>3200</v>
      </c>
      <c r="G30" s="416">
        <v>1066.6666666666667</v>
      </c>
      <c r="H30" s="645"/>
      <c r="I30" s="413">
        <f t="shared" si="0"/>
        <v>3</v>
      </c>
      <c r="J30" s="413">
        <f t="shared" si="1"/>
        <v>3183.4605434331866</v>
      </c>
      <c r="K30" s="199">
        <f t="shared" si="2"/>
        <v>1061.153514477729</v>
      </c>
      <c r="L30" s="617"/>
      <c r="M30" s="413">
        <f>RANK(K30, K$7:$K$36)</f>
        <v>4</v>
      </c>
      <c r="N30" s="635"/>
      <c r="O30" s="635"/>
      <c r="P30" s="495">
        <v>3</v>
      </c>
      <c r="Q30" s="416">
        <v>3158.507462686563</v>
      </c>
      <c r="R30" s="416">
        <v>1052.835820895521</v>
      </c>
      <c r="S30" s="495">
        <f t="shared" si="3"/>
        <v>5</v>
      </c>
      <c r="T30" s="657"/>
      <c r="U30" s="495">
        <v>3</v>
      </c>
      <c r="V30" s="416">
        <v>3116.4179104477571</v>
      </c>
      <c r="W30" s="416">
        <v>1038.8059701492523</v>
      </c>
      <c r="X30" s="495">
        <f t="shared" si="4"/>
        <v>9</v>
      </c>
      <c r="Y30" s="657"/>
      <c r="Z30" s="495">
        <v>3</v>
      </c>
      <c r="AA30" s="416">
        <v>3169.5238095238046</v>
      </c>
      <c r="AB30" s="416">
        <v>1056.5079365079348</v>
      </c>
      <c r="AC30" s="495">
        <f t="shared" si="5"/>
        <v>3</v>
      </c>
      <c r="AD30" s="657"/>
      <c r="AE30" s="495">
        <v>3</v>
      </c>
      <c r="AF30" s="416">
        <v>3218.2758620689638</v>
      </c>
      <c r="AG30" s="416">
        <v>1072.7586206896547</v>
      </c>
      <c r="AH30" s="495">
        <f t="shared" si="6"/>
        <v>5</v>
      </c>
      <c r="AI30" s="657"/>
      <c r="AJ30" s="495">
        <v>3</v>
      </c>
      <c r="AK30" s="416">
        <v>3263.0769230769247</v>
      </c>
      <c r="AL30" s="416">
        <v>1087.6923076923083</v>
      </c>
      <c r="AM30" s="495">
        <f t="shared" si="7"/>
        <v>4</v>
      </c>
      <c r="AN30" s="657"/>
      <c r="AO30" s="495">
        <v>3</v>
      </c>
      <c r="AP30" s="416">
        <v>3172.6153846153879</v>
      </c>
      <c r="AQ30" s="416">
        <v>1057.5384615384626</v>
      </c>
      <c r="AR30" s="495">
        <f t="shared" si="8"/>
        <v>4</v>
      </c>
      <c r="AS30" s="657"/>
      <c r="AT30" s="495">
        <v>3</v>
      </c>
      <c r="AU30" s="416">
        <v>3185.8064516129061</v>
      </c>
      <c r="AV30" s="416">
        <v>1061.9354838709687</v>
      </c>
      <c r="AW30" s="495">
        <f t="shared" si="9"/>
        <v>4</v>
      </c>
      <c r="AX30" s="657"/>
      <c r="AZ30" s="402" t="e">
        <f t="shared" si="10"/>
        <v>#N/A</v>
      </c>
      <c r="BA30" s="657"/>
    </row>
    <row r="31" spans="2:53">
      <c r="B31" s="643"/>
      <c r="C31" s="409">
        <v>25</v>
      </c>
      <c r="D31" s="495" t="s">
        <v>715</v>
      </c>
      <c r="E31" s="495">
        <v>3</v>
      </c>
      <c r="F31" s="495">
        <v>3200</v>
      </c>
      <c r="G31" s="416">
        <v>1066.6666666666667</v>
      </c>
      <c r="H31" s="645"/>
      <c r="I31" s="413">
        <f t="shared" si="0"/>
        <v>3</v>
      </c>
      <c r="J31" s="413">
        <f t="shared" si="1"/>
        <v>3002.8582074165765</v>
      </c>
      <c r="K31" s="199">
        <f t="shared" si="2"/>
        <v>1000.9527358055257</v>
      </c>
      <c r="L31" s="617"/>
      <c r="M31" s="413">
        <f>RANK(K31, K$7:$K$36)</f>
        <v>11</v>
      </c>
      <c r="N31" s="635"/>
      <c r="O31" s="635"/>
      <c r="P31" s="495">
        <v>3</v>
      </c>
      <c r="Q31" s="416">
        <v>3040.4999999999991</v>
      </c>
      <c r="R31" s="416">
        <v>1013.4999999999997</v>
      </c>
      <c r="S31" s="495">
        <f t="shared" si="3"/>
        <v>10</v>
      </c>
      <c r="T31" s="657"/>
      <c r="U31" s="495">
        <v>3</v>
      </c>
      <c r="V31" s="416">
        <v>2984.4827586206879</v>
      </c>
      <c r="W31" s="416">
        <v>994.82758620689594</v>
      </c>
      <c r="X31" s="495">
        <f t="shared" si="4"/>
        <v>11</v>
      </c>
      <c r="Y31" s="657"/>
      <c r="Z31" s="495">
        <v>3</v>
      </c>
      <c r="AA31" s="416">
        <v>2972.222222222224</v>
      </c>
      <c r="AB31" s="416">
        <v>990.74074074074133</v>
      </c>
      <c r="AC31" s="495">
        <f t="shared" si="5"/>
        <v>11</v>
      </c>
      <c r="AD31" s="657"/>
      <c r="AE31" s="495">
        <v>3</v>
      </c>
      <c r="AF31" s="416">
        <v>3022.0588235294081</v>
      </c>
      <c r="AG31" s="416">
        <v>1007.3529411764694</v>
      </c>
      <c r="AH31" s="495">
        <f t="shared" si="6"/>
        <v>10</v>
      </c>
      <c r="AI31" s="657"/>
      <c r="AJ31" s="495">
        <v>3</v>
      </c>
      <c r="AK31" s="416">
        <v>3035.0769230769192</v>
      </c>
      <c r="AL31" s="416">
        <v>1011.6923076923064</v>
      </c>
      <c r="AM31" s="495">
        <f t="shared" si="7"/>
        <v>9</v>
      </c>
      <c r="AN31" s="657"/>
      <c r="AO31" s="495">
        <v>3</v>
      </c>
      <c r="AP31" s="416">
        <v>2997.7215189873432</v>
      </c>
      <c r="AQ31" s="416">
        <v>999.2405063291144</v>
      </c>
      <c r="AR31" s="495">
        <f t="shared" si="8"/>
        <v>10</v>
      </c>
      <c r="AS31" s="657"/>
      <c r="AT31" s="495">
        <v>3</v>
      </c>
      <c r="AU31" s="416">
        <v>2967.945205479456</v>
      </c>
      <c r="AV31" s="416">
        <v>989.31506849315201</v>
      </c>
      <c r="AW31" s="495">
        <f t="shared" si="9"/>
        <v>10</v>
      </c>
      <c r="AX31" s="657"/>
      <c r="AZ31" s="402" t="e">
        <f t="shared" si="10"/>
        <v>#N/A</v>
      </c>
      <c r="BA31" s="657"/>
    </row>
    <row r="32" spans="2:53">
      <c r="B32" s="643"/>
      <c r="C32" s="409">
        <v>26</v>
      </c>
      <c r="D32" s="495"/>
      <c r="E32" s="495"/>
      <c r="F32" s="495"/>
      <c r="G32" s="495"/>
      <c r="H32" s="645"/>
      <c r="I32" s="413" t="str">
        <f t="shared" si="0"/>
        <v>-</v>
      </c>
      <c r="J32" s="413" t="str">
        <f t="shared" si="1"/>
        <v>-</v>
      </c>
      <c r="K32" s="199" t="str">
        <f t="shared" si="2"/>
        <v>-</v>
      </c>
      <c r="L32" s="617"/>
      <c r="M32" s="413" t="e">
        <f>RANK(K32, K$7:$K$36)</f>
        <v>#VALUE!</v>
      </c>
      <c r="N32" s="635"/>
      <c r="O32" s="635"/>
      <c r="P32" s="495"/>
      <c r="Q32" s="416"/>
      <c r="R32" s="416"/>
      <c r="S32" s="495" t="e">
        <f t="shared" si="3"/>
        <v>#N/A</v>
      </c>
      <c r="T32" s="657"/>
      <c r="U32" s="495"/>
      <c r="V32" s="416"/>
      <c r="W32" s="416"/>
      <c r="X32" s="495" t="e">
        <f t="shared" si="4"/>
        <v>#N/A</v>
      </c>
      <c r="Y32" s="657"/>
      <c r="Z32" s="495"/>
      <c r="AA32" s="416"/>
      <c r="AB32" s="416"/>
      <c r="AC32" s="495" t="e">
        <f t="shared" si="5"/>
        <v>#N/A</v>
      </c>
      <c r="AD32" s="657"/>
      <c r="AE32" s="495"/>
      <c r="AF32" s="416"/>
      <c r="AG32" s="416"/>
      <c r="AH32" s="495" t="e">
        <f t="shared" si="6"/>
        <v>#N/A</v>
      </c>
      <c r="AI32" s="657"/>
      <c r="AJ32" s="495"/>
      <c r="AK32" s="416"/>
      <c r="AL32" s="416"/>
      <c r="AM32" s="495" t="e">
        <f t="shared" si="7"/>
        <v>#N/A</v>
      </c>
      <c r="AN32" s="657"/>
      <c r="AO32" s="495"/>
      <c r="AP32" s="416"/>
      <c r="AQ32" s="416"/>
      <c r="AR32" s="495" t="e">
        <f t="shared" si="8"/>
        <v>#N/A</v>
      </c>
      <c r="AS32" s="657"/>
      <c r="AT32" s="495"/>
      <c r="AU32" s="416"/>
      <c r="AV32" s="416"/>
      <c r="AW32" s="495" t="e">
        <f t="shared" si="9"/>
        <v>#N/A</v>
      </c>
      <c r="AX32" s="657"/>
      <c r="AZ32" s="402" t="e">
        <f t="shared" si="10"/>
        <v>#N/A</v>
      </c>
      <c r="BA32" s="657"/>
    </row>
    <row r="33" spans="2:53">
      <c r="B33" s="643"/>
      <c r="C33" s="409">
        <v>27</v>
      </c>
      <c r="D33" s="495"/>
      <c r="E33" s="495"/>
      <c r="F33" s="495"/>
      <c r="G33" s="495"/>
      <c r="H33" s="645"/>
      <c r="I33" s="413" t="str">
        <f t="shared" si="0"/>
        <v>-</v>
      </c>
      <c r="J33" s="413" t="str">
        <f t="shared" si="1"/>
        <v>-</v>
      </c>
      <c r="K33" s="199" t="str">
        <f t="shared" si="2"/>
        <v>-</v>
      </c>
      <c r="L33" s="617"/>
      <c r="M33" s="413" t="e">
        <f>RANK(K33, K$7:$K$36)</f>
        <v>#VALUE!</v>
      </c>
      <c r="N33" s="635"/>
      <c r="O33" s="635"/>
      <c r="P33" s="495"/>
      <c r="Q33" s="416"/>
      <c r="R33" s="416"/>
      <c r="S33" s="495" t="e">
        <f t="shared" si="3"/>
        <v>#N/A</v>
      </c>
      <c r="T33" s="657"/>
      <c r="U33" s="495"/>
      <c r="V33" s="416"/>
      <c r="W33" s="416"/>
      <c r="X33" s="495" t="e">
        <f t="shared" si="4"/>
        <v>#N/A</v>
      </c>
      <c r="Y33" s="657"/>
      <c r="Z33" s="495"/>
      <c r="AA33" s="416"/>
      <c r="AB33" s="416"/>
      <c r="AC33" s="495" t="e">
        <f t="shared" si="5"/>
        <v>#N/A</v>
      </c>
      <c r="AD33" s="657"/>
      <c r="AE33" s="495"/>
      <c r="AF33" s="416"/>
      <c r="AG33" s="416"/>
      <c r="AH33" s="495" t="e">
        <f t="shared" si="6"/>
        <v>#N/A</v>
      </c>
      <c r="AI33" s="657"/>
      <c r="AJ33" s="495"/>
      <c r="AK33" s="416"/>
      <c r="AL33" s="416"/>
      <c r="AM33" s="495" t="e">
        <f t="shared" si="7"/>
        <v>#N/A</v>
      </c>
      <c r="AN33" s="657"/>
      <c r="AO33" s="495"/>
      <c r="AP33" s="416"/>
      <c r="AQ33" s="416"/>
      <c r="AR33" s="495" t="e">
        <f t="shared" si="8"/>
        <v>#N/A</v>
      </c>
      <c r="AS33" s="657"/>
      <c r="AT33" s="495"/>
      <c r="AU33" s="416"/>
      <c r="AV33" s="416"/>
      <c r="AW33" s="495" t="e">
        <f t="shared" si="9"/>
        <v>#N/A</v>
      </c>
      <c r="AX33" s="657"/>
      <c r="AZ33" s="402" t="e">
        <f t="shared" si="10"/>
        <v>#N/A</v>
      </c>
      <c r="BA33" s="657"/>
    </row>
    <row r="34" spans="2:53">
      <c r="B34" s="643"/>
      <c r="C34" s="409">
        <v>28</v>
      </c>
      <c r="D34" s="495"/>
      <c r="E34" s="495"/>
      <c r="F34" s="495"/>
      <c r="G34" s="495"/>
      <c r="H34" s="645"/>
      <c r="I34" s="413" t="str">
        <f t="shared" si="0"/>
        <v>-</v>
      </c>
      <c r="J34" s="413" t="str">
        <f t="shared" si="1"/>
        <v>-</v>
      </c>
      <c r="K34" s="199" t="str">
        <f t="shared" si="2"/>
        <v>-</v>
      </c>
      <c r="L34" s="617"/>
      <c r="M34" s="413" t="e">
        <f>RANK(K34, K$7:$K$36)</f>
        <v>#VALUE!</v>
      </c>
      <c r="N34" s="635"/>
      <c r="O34" s="635"/>
      <c r="P34" s="495"/>
      <c r="Q34" s="416"/>
      <c r="R34" s="416"/>
      <c r="S34" s="495" t="e">
        <f t="shared" si="3"/>
        <v>#N/A</v>
      </c>
      <c r="T34" s="657"/>
      <c r="U34" s="495"/>
      <c r="V34" s="416"/>
      <c r="W34" s="416"/>
      <c r="X34" s="495" t="e">
        <f t="shared" si="4"/>
        <v>#N/A</v>
      </c>
      <c r="Y34" s="657"/>
      <c r="Z34" s="495"/>
      <c r="AA34" s="416"/>
      <c r="AB34" s="416"/>
      <c r="AC34" s="495" t="e">
        <f t="shared" si="5"/>
        <v>#N/A</v>
      </c>
      <c r="AD34" s="657"/>
      <c r="AE34" s="495"/>
      <c r="AF34" s="416"/>
      <c r="AG34" s="416"/>
      <c r="AH34" s="495" t="e">
        <f t="shared" si="6"/>
        <v>#N/A</v>
      </c>
      <c r="AI34" s="657"/>
      <c r="AJ34" s="495"/>
      <c r="AK34" s="416"/>
      <c r="AL34" s="416"/>
      <c r="AM34" s="495" t="e">
        <f t="shared" si="7"/>
        <v>#N/A</v>
      </c>
      <c r="AN34" s="657"/>
      <c r="AO34" s="495"/>
      <c r="AP34" s="416"/>
      <c r="AQ34" s="416"/>
      <c r="AR34" s="495" t="e">
        <f t="shared" si="8"/>
        <v>#N/A</v>
      </c>
      <c r="AS34" s="657"/>
      <c r="AT34" s="495"/>
      <c r="AU34" s="416"/>
      <c r="AV34" s="416"/>
      <c r="AW34" s="495" t="e">
        <f t="shared" si="9"/>
        <v>#N/A</v>
      </c>
      <c r="AX34" s="657"/>
      <c r="AZ34" s="402" t="e">
        <f t="shared" si="10"/>
        <v>#N/A</v>
      </c>
      <c r="BA34" s="657"/>
    </row>
    <row r="35" spans="2:53">
      <c r="B35" s="643"/>
      <c r="C35" s="409">
        <v>29</v>
      </c>
      <c r="D35" s="495"/>
      <c r="E35" s="495"/>
      <c r="F35" s="495"/>
      <c r="G35" s="495"/>
      <c r="H35" s="645"/>
      <c r="I35" s="413" t="str">
        <f t="shared" si="0"/>
        <v>-</v>
      </c>
      <c r="J35" s="413" t="str">
        <f t="shared" si="1"/>
        <v>-</v>
      </c>
      <c r="K35" s="199" t="str">
        <f t="shared" si="2"/>
        <v>-</v>
      </c>
      <c r="L35" s="617"/>
      <c r="M35" s="413" t="e">
        <f>RANK(K35, K$7:$K$36)</f>
        <v>#VALUE!</v>
      </c>
      <c r="N35" s="635"/>
      <c r="O35" s="635"/>
      <c r="P35" s="495"/>
      <c r="Q35" s="416"/>
      <c r="R35" s="416"/>
      <c r="S35" s="495" t="e">
        <f t="shared" si="3"/>
        <v>#N/A</v>
      </c>
      <c r="T35" s="657"/>
      <c r="U35" s="495"/>
      <c r="V35" s="416"/>
      <c r="W35" s="416"/>
      <c r="X35" s="495" t="e">
        <f t="shared" si="4"/>
        <v>#N/A</v>
      </c>
      <c r="Y35" s="657"/>
      <c r="Z35" s="495"/>
      <c r="AA35" s="416"/>
      <c r="AB35" s="416"/>
      <c r="AC35" s="495" t="e">
        <f t="shared" si="5"/>
        <v>#N/A</v>
      </c>
      <c r="AD35" s="657"/>
      <c r="AE35" s="495"/>
      <c r="AF35" s="416"/>
      <c r="AG35" s="416"/>
      <c r="AH35" s="495" t="e">
        <f t="shared" si="6"/>
        <v>#N/A</v>
      </c>
      <c r="AI35" s="657"/>
      <c r="AJ35" s="495"/>
      <c r="AK35" s="416"/>
      <c r="AL35" s="416"/>
      <c r="AM35" s="495" t="e">
        <f t="shared" si="7"/>
        <v>#N/A</v>
      </c>
      <c r="AN35" s="657"/>
      <c r="AO35" s="495"/>
      <c r="AP35" s="416"/>
      <c r="AQ35" s="416"/>
      <c r="AR35" s="495" t="e">
        <f t="shared" si="8"/>
        <v>#N/A</v>
      </c>
      <c r="AS35" s="657"/>
      <c r="AT35" s="495"/>
      <c r="AU35" s="416"/>
      <c r="AV35" s="416"/>
      <c r="AW35" s="495" t="e">
        <f t="shared" si="9"/>
        <v>#N/A</v>
      </c>
      <c r="AX35" s="657"/>
      <c r="AZ35" s="402" t="e">
        <f t="shared" si="10"/>
        <v>#N/A</v>
      </c>
      <c r="BA35" s="657"/>
    </row>
    <row r="36" spans="2:53">
      <c r="B36" s="643"/>
      <c r="C36" s="409">
        <v>30</v>
      </c>
      <c r="D36" s="495"/>
      <c r="E36" s="495"/>
      <c r="F36" s="495"/>
      <c r="G36" s="495"/>
      <c r="H36" s="646"/>
      <c r="I36" s="413" t="str">
        <f t="shared" si="0"/>
        <v>-</v>
      </c>
      <c r="J36" s="413" t="str">
        <f t="shared" si="1"/>
        <v>-</v>
      </c>
      <c r="K36" s="199" t="str">
        <f t="shared" si="2"/>
        <v>-</v>
      </c>
      <c r="L36" s="618"/>
      <c r="M36" s="413" t="e">
        <f>RANK(K36, K$7:$K$36)</f>
        <v>#VALUE!</v>
      </c>
      <c r="N36" s="635"/>
      <c r="O36" s="635"/>
      <c r="P36" s="495"/>
      <c r="Q36" s="416"/>
      <c r="R36" s="416"/>
      <c r="S36" s="495" t="e">
        <f t="shared" si="3"/>
        <v>#N/A</v>
      </c>
      <c r="T36" s="657"/>
      <c r="U36" s="495"/>
      <c r="V36" s="416"/>
      <c r="W36" s="416"/>
      <c r="X36" s="495" t="e">
        <f t="shared" si="4"/>
        <v>#N/A</v>
      </c>
      <c r="Y36" s="657"/>
      <c r="Z36" s="495"/>
      <c r="AA36" s="416"/>
      <c r="AB36" s="416"/>
      <c r="AC36" s="495" t="e">
        <f t="shared" si="5"/>
        <v>#N/A</v>
      </c>
      <c r="AD36" s="657"/>
      <c r="AE36" s="495"/>
      <c r="AF36" s="416"/>
      <c r="AG36" s="416"/>
      <c r="AH36" s="495" t="e">
        <f t="shared" si="6"/>
        <v>#N/A</v>
      </c>
      <c r="AI36" s="657"/>
      <c r="AJ36" s="495"/>
      <c r="AK36" s="416"/>
      <c r="AL36" s="416"/>
      <c r="AM36" s="495" t="e">
        <f t="shared" si="7"/>
        <v>#N/A</v>
      </c>
      <c r="AN36" s="657"/>
      <c r="AO36" s="495"/>
      <c r="AP36" s="416"/>
      <c r="AQ36" s="416"/>
      <c r="AR36" s="495" t="e">
        <f t="shared" si="8"/>
        <v>#N/A</v>
      </c>
      <c r="AS36" s="657"/>
      <c r="AT36" s="495"/>
      <c r="AU36" s="416"/>
      <c r="AV36" s="416"/>
      <c r="AW36" s="495" t="e">
        <f t="shared" si="9"/>
        <v>#N/A</v>
      </c>
      <c r="AX36" s="657"/>
      <c r="AZ36" s="402" t="e">
        <f t="shared" si="10"/>
        <v>#N/A</v>
      </c>
      <c r="BA36" s="657"/>
    </row>
    <row r="37" spans="2:53" ht="15.75">
      <c r="B37" s="661" t="s">
        <v>163</v>
      </c>
      <c r="C37" s="662"/>
      <c r="D37" s="662"/>
      <c r="E37" s="662"/>
      <c r="F37" s="662"/>
      <c r="G37" s="662"/>
      <c r="H37" s="662"/>
      <c r="I37" s="202"/>
      <c r="J37" s="202"/>
      <c r="K37" s="202"/>
      <c r="L37" s="202"/>
      <c r="M37" s="203"/>
      <c r="N37" s="636" t="s">
        <v>156</v>
      </c>
      <c r="O37" s="636" t="s">
        <v>155</v>
      </c>
      <c r="P37" s="642">
        <f>P2+7</f>
        <v>46175</v>
      </c>
      <c r="Q37" s="643"/>
      <c r="R37" s="643"/>
      <c r="S37" s="643"/>
      <c r="T37" s="643"/>
      <c r="U37" s="642">
        <f>P37+1</f>
        <v>46176</v>
      </c>
      <c r="V37" s="643"/>
      <c r="W37" s="643"/>
      <c r="X37" s="643"/>
      <c r="Y37" s="643"/>
      <c r="Z37" s="642">
        <f>U37+1</f>
        <v>46177</v>
      </c>
      <c r="AA37" s="643"/>
      <c r="AB37" s="643"/>
      <c r="AC37" s="643"/>
      <c r="AD37" s="643"/>
      <c r="AE37" s="642">
        <f>Z37+1</f>
        <v>46178</v>
      </c>
      <c r="AF37" s="643"/>
      <c r="AG37" s="643"/>
      <c r="AH37" s="643"/>
      <c r="AI37" s="643"/>
      <c r="AJ37" s="642">
        <f>AE37+1</f>
        <v>46179</v>
      </c>
      <c r="AK37" s="643"/>
      <c r="AL37" s="643"/>
      <c r="AM37" s="643"/>
      <c r="AN37" s="643"/>
      <c r="AO37" s="642">
        <f>AJ37+1</f>
        <v>46180</v>
      </c>
      <c r="AP37" s="643"/>
      <c r="AQ37" s="643"/>
      <c r="AR37" s="643"/>
      <c r="AS37" s="643"/>
      <c r="AT37" s="642">
        <f>AO37+1</f>
        <v>46181</v>
      </c>
      <c r="AU37" s="643"/>
      <c r="AV37" s="643"/>
      <c r="AW37" s="643"/>
      <c r="AX37" s="643"/>
    </row>
    <row r="38" spans="2:53" ht="15.75">
      <c r="B38" s="650"/>
      <c r="C38" s="650"/>
      <c r="D38" s="650"/>
      <c r="E38" s="650"/>
      <c r="F38" s="650"/>
      <c r="G38" s="650"/>
      <c r="H38" s="650"/>
      <c r="I38" s="204"/>
      <c r="J38" s="204"/>
      <c r="K38" s="204"/>
      <c r="L38" s="204"/>
      <c r="M38" s="205"/>
      <c r="N38" s="638"/>
      <c r="O38" s="638"/>
      <c r="P38" s="642" t="s">
        <v>318</v>
      </c>
      <c r="Q38" s="643"/>
      <c r="R38" s="643"/>
      <c r="S38" s="643"/>
      <c r="T38" s="643"/>
      <c r="U38" s="642" t="s">
        <v>319</v>
      </c>
      <c r="V38" s="643"/>
      <c r="W38" s="643"/>
      <c r="X38" s="643"/>
      <c r="Y38" s="643"/>
      <c r="Z38" s="642" t="s">
        <v>320</v>
      </c>
      <c r="AA38" s="643"/>
      <c r="AB38" s="643"/>
      <c r="AC38" s="643"/>
      <c r="AD38" s="643"/>
      <c r="AE38" s="642" t="s">
        <v>321</v>
      </c>
      <c r="AF38" s="643"/>
      <c r="AG38" s="643"/>
      <c r="AH38" s="643"/>
      <c r="AI38" s="643"/>
      <c r="AJ38" s="642" t="s">
        <v>322</v>
      </c>
      <c r="AK38" s="643"/>
      <c r="AL38" s="643"/>
      <c r="AM38" s="643"/>
      <c r="AN38" s="643"/>
      <c r="AO38" s="642" t="s">
        <v>323</v>
      </c>
      <c r="AP38" s="643"/>
      <c r="AQ38" s="643"/>
      <c r="AR38" s="643"/>
      <c r="AS38" s="643"/>
      <c r="AT38" s="642" t="s">
        <v>324</v>
      </c>
      <c r="AU38" s="643"/>
      <c r="AV38" s="643"/>
      <c r="AW38" s="643"/>
      <c r="AX38" s="643"/>
    </row>
    <row r="39" spans="2:53">
      <c r="B39" s="636" t="s">
        <v>439</v>
      </c>
      <c r="C39" s="651" t="s">
        <v>440</v>
      </c>
      <c r="D39" s="654"/>
      <c r="E39" s="632" t="s">
        <v>441</v>
      </c>
      <c r="F39" s="633"/>
      <c r="G39" s="634"/>
      <c r="H39" s="636" t="s">
        <v>371</v>
      </c>
      <c r="I39" s="623" t="s">
        <v>376</v>
      </c>
      <c r="J39" s="624"/>
      <c r="K39" s="625"/>
      <c r="L39" s="626" t="s">
        <v>371</v>
      </c>
      <c r="M39" s="626" t="s">
        <v>372</v>
      </c>
      <c r="N39" s="636"/>
      <c r="O39" s="636" t="s">
        <v>442</v>
      </c>
      <c r="P39" s="632" t="s">
        <v>443</v>
      </c>
      <c r="Q39" s="633"/>
      <c r="R39" s="633"/>
      <c r="S39" s="634"/>
      <c r="T39" s="636" t="s">
        <v>371</v>
      </c>
      <c r="U39" s="632" t="s">
        <v>373</v>
      </c>
      <c r="V39" s="633"/>
      <c r="W39" s="633"/>
      <c r="X39" s="634"/>
      <c r="Y39" s="636" t="s">
        <v>371</v>
      </c>
      <c r="Z39" s="632" t="s">
        <v>373</v>
      </c>
      <c r="AA39" s="633"/>
      <c r="AB39" s="633"/>
      <c r="AC39" s="634"/>
      <c r="AD39" s="636" t="s">
        <v>444</v>
      </c>
      <c r="AE39" s="632" t="s">
        <v>373</v>
      </c>
      <c r="AF39" s="633"/>
      <c r="AG39" s="633"/>
      <c r="AH39" s="634"/>
      <c r="AI39" s="636" t="s">
        <v>371</v>
      </c>
      <c r="AJ39" s="632" t="s">
        <v>373</v>
      </c>
      <c r="AK39" s="633"/>
      <c r="AL39" s="633"/>
      <c r="AM39" s="634"/>
      <c r="AN39" s="636" t="s">
        <v>444</v>
      </c>
      <c r="AO39" s="632" t="s">
        <v>443</v>
      </c>
      <c r="AP39" s="633"/>
      <c r="AQ39" s="633"/>
      <c r="AR39" s="634"/>
      <c r="AS39" s="636" t="s">
        <v>444</v>
      </c>
      <c r="AT39" s="632" t="s">
        <v>443</v>
      </c>
      <c r="AU39" s="633"/>
      <c r="AV39" s="633"/>
      <c r="AW39" s="634"/>
      <c r="AX39" s="636" t="s">
        <v>444</v>
      </c>
      <c r="BA39" s="636" t="s">
        <v>371</v>
      </c>
    </row>
    <row r="40" spans="2:53">
      <c r="B40" s="637"/>
      <c r="C40" s="652"/>
      <c r="D40" s="655"/>
      <c r="E40" s="632" t="s">
        <v>378</v>
      </c>
      <c r="F40" s="633"/>
      <c r="G40" s="634"/>
      <c r="H40" s="637"/>
      <c r="I40" s="623" t="s">
        <v>378</v>
      </c>
      <c r="J40" s="624"/>
      <c r="K40" s="625"/>
      <c r="L40" s="627"/>
      <c r="M40" s="627"/>
      <c r="N40" s="637"/>
      <c r="O40" s="637"/>
      <c r="P40" s="632" t="s">
        <v>379</v>
      </c>
      <c r="Q40" s="633"/>
      <c r="R40" s="633"/>
      <c r="S40" s="634"/>
      <c r="T40" s="637"/>
      <c r="U40" s="632" t="s">
        <v>445</v>
      </c>
      <c r="V40" s="633"/>
      <c r="W40" s="633"/>
      <c r="X40" s="634"/>
      <c r="Y40" s="637"/>
      <c r="Z40" s="632" t="s">
        <v>445</v>
      </c>
      <c r="AA40" s="633"/>
      <c r="AB40" s="633"/>
      <c r="AC40" s="634"/>
      <c r="AD40" s="637"/>
      <c r="AE40" s="632" t="s">
        <v>379</v>
      </c>
      <c r="AF40" s="633"/>
      <c r="AG40" s="633"/>
      <c r="AH40" s="634"/>
      <c r="AI40" s="637"/>
      <c r="AJ40" s="632" t="s">
        <v>379</v>
      </c>
      <c r="AK40" s="633"/>
      <c r="AL40" s="633"/>
      <c r="AM40" s="634"/>
      <c r="AN40" s="637"/>
      <c r="AO40" s="632" t="s">
        <v>379</v>
      </c>
      <c r="AP40" s="633"/>
      <c r="AQ40" s="633"/>
      <c r="AR40" s="634"/>
      <c r="AS40" s="637"/>
      <c r="AT40" s="632" t="s">
        <v>379</v>
      </c>
      <c r="AU40" s="633"/>
      <c r="AV40" s="633"/>
      <c r="AW40" s="634"/>
      <c r="AX40" s="637"/>
      <c r="BA40" s="637"/>
    </row>
    <row r="41" spans="2:53">
      <c r="B41" s="638"/>
      <c r="C41" s="653"/>
      <c r="D41" s="656"/>
      <c r="E41" s="299" t="s">
        <v>380</v>
      </c>
      <c r="F41" s="299" t="s">
        <v>381</v>
      </c>
      <c r="G41" s="299" t="s">
        <v>446</v>
      </c>
      <c r="H41" s="638"/>
      <c r="I41" s="298" t="s">
        <v>380</v>
      </c>
      <c r="J41" s="298" t="s">
        <v>381</v>
      </c>
      <c r="K41" s="298" t="s">
        <v>382</v>
      </c>
      <c r="L41" s="628"/>
      <c r="M41" s="628"/>
      <c r="N41" s="637"/>
      <c r="O41" s="637"/>
      <c r="P41" s="299" t="s">
        <v>380</v>
      </c>
      <c r="Q41" s="299" t="s">
        <v>447</v>
      </c>
      <c r="R41" s="299" t="s">
        <v>382</v>
      </c>
      <c r="S41" s="299" t="s">
        <v>372</v>
      </c>
      <c r="T41" s="638"/>
      <c r="U41" s="299" t="s">
        <v>380</v>
      </c>
      <c r="V41" s="299" t="s">
        <v>381</v>
      </c>
      <c r="W41" s="299" t="s">
        <v>382</v>
      </c>
      <c r="X41" s="299" t="s">
        <v>448</v>
      </c>
      <c r="Y41" s="638"/>
      <c r="Z41" s="299" t="s">
        <v>449</v>
      </c>
      <c r="AA41" s="299" t="s">
        <v>381</v>
      </c>
      <c r="AB41" s="299" t="s">
        <v>382</v>
      </c>
      <c r="AC41" s="299" t="s">
        <v>448</v>
      </c>
      <c r="AD41" s="638"/>
      <c r="AE41" s="299" t="s">
        <v>380</v>
      </c>
      <c r="AF41" s="299" t="s">
        <v>381</v>
      </c>
      <c r="AG41" s="299" t="s">
        <v>382</v>
      </c>
      <c r="AH41" s="299" t="s">
        <v>448</v>
      </c>
      <c r="AI41" s="638"/>
      <c r="AJ41" s="299" t="s">
        <v>449</v>
      </c>
      <c r="AK41" s="299" t="s">
        <v>381</v>
      </c>
      <c r="AL41" s="299" t="s">
        <v>382</v>
      </c>
      <c r="AM41" s="299" t="s">
        <v>372</v>
      </c>
      <c r="AN41" s="638"/>
      <c r="AO41" s="299" t="s">
        <v>449</v>
      </c>
      <c r="AP41" s="299" t="s">
        <v>381</v>
      </c>
      <c r="AQ41" s="299" t="s">
        <v>382</v>
      </c>
      <c r="AR41" s="299" t="s">
        <v>448</v>
      </c>
      <c r="AS41" s="638"/>
      <c r="AT41" s="299" t="s">
        <v>449</v>
      </c>
      <c r="AU41" s="299" t="s">
        <v>381</v>
      </c>
      <c r="AV41" s="299" t="s">
        <v>382</v>
      </c>
      <c r="AW41" s="299" t="s">
        <v>448</v>
      </c>
      <c r="AX41" s="638"/>
      <c r="AZ41" s="403" t="s">
        <v>372</v>
      </c>
      <c r="BA41" s="638"/>
    </row>
    <row r="42" spans="2:53">
      <c r="B42" s="658" t="s">
        <v>150</v>
      </c>
      <c r="C42" s="300">
        <v>1</v>
      </c>
      <c r="D42" s="383" t="s">
        <v>337</v>
      </c>
      <c r="E42" s="383">
        <v>3</v>
      </c>
      <c r="F42" s="383">
        <v>3200</v>
      </c>
      <c r="G42" s="181">
        <v>1066.6666666666667</v>
      </c>
      <c r="H42" s="644">
        <f>AVERAGE(G42:G71)</f>
        <v>826.21527777777794</v>
      </c>
      <c r="I42" s="391">
        <f>IFERROR(AVERAGE(P42,U42,Z42,AE42,AJ42,AO42,AT42),"-")</f>
        <v>3</v>
      </c>
      <c r="J42" s="391">
        <f>IFERROR(AVERAGE(Q42,V42,AA42,AF42,AK42,AP42,AU42),"-")</f>
        <v>3176.4206011041888</v>
      </c>
      <c r="K42" s="199">
        <f>IFERROR(AVERAGE(R42,W42,AB42,AG42,AL42,AQ42,AV42),"-")</f>
        <v>1058.8068670347295</v>
      </c>
      <c r="L42" s="616">
        <f>IFERROR(AVERAGE(K42:K71),"-")</f>
        <v>840.02597703985577</v>
      </c>
      <c r="M42" s="198">
        <f>RANK(K42, K$42:$K$71)</f>
        <v>4</v>
      </c>
      <c r="N42" s="637"/>
      <c r="O42" s="637"/>
      <c r="P42" s="539">
        <v>3</v>
      </c>
      <c r="Q42" s="416">
        <v>3185.0847457627146</v>
      </c>
      <c r="R42" s="416">
        <v>1061.6949152542381</v>
      </c>
      <c r="S42" s="539">
        <f t="shared" ref="S42:S71" si="11">RANK(R42, R$42:R$71)</f>
        <v>3</v>
      </c>
      <c r="T42" s="644">
        <f t="shared" ref="T42" si="12">AVERAGE(R42:R71)</f>
        <v>839.66582690310543</v>
      </c>
      <c r="U42" s="539">
        <v>3</v>
      </c>
      <c r="V42" s="416">
        <v>3188.2758620689679</v>
      </c>
      <c r="W42" s="416">
        <v>1062.758620689656</v>
      </c>
      <c r="X42" s="539">
        <f t="shared" ref="X42:X71" si="13">RANK(W42, W$42:W$71)</f>
        <v>4</v>
      </c>
      <c r="Y42" s="644">
        <f t="shared" ref="Y42" si="14">AVERAGE(W42:W71)</f>
        <v>835.81127133407051</v>
      </c>
      <c r="Z42" s="539">
        <v>3</v>
      </c>
      <c r="AA42" s="416">
        <v>3159.2727272727293</v>
      </c>
      <c r="AB42" s="416">
        <v>1053.0909090909097</v>
      </c>
      <c r="AC42" s="539">
        <f t="shared" ref="AC42:AC71" si="15">RANK(AB42, AB$42:AB$71)</f>
        <v>5</v>
      </c>
      <c r="AD42" s="644">
        <f t="shared" ref="AD42" si="16">AVERAGE(AB42:AB71)</f>
        <v>821.60940099645586</v>
      </c>
      <c r="AE42" s="539">
        <v>3</v>
      </c>
      <c r="AF42" s="416">
        <v>3151.8367346938735</v>
      </c>
      <c r="AG42" s="416">
        <v>1050.6122448979579</v>
      </c>
      <c r="AH42" s="539">
        <f t="shared" ref="AH42:AH71" si="17">RANK(AG42, AG$42:AG$71)</f>
        <v>3</v>
      </c>
      <c r="AI42" s="644">
        <f t="shared" ref="AI42" si="18">AVERAGE(AG42:AG71)</f>
        <v>836.55183017584125</v>
      </c>
      <c r="AJ42" s="539">
        <v>3</v>
      </c>
      <c r="AK42" s="416">
        <v>3228.7499999999955</v>
      </c>
      <c r="AL42" s="416">
        <v>1076.2499999999984</v>
      </c>
      <c r="AM42" s="539">
        <f t="shared" ref="AM42:AM71" si="19">RANK(AL42, AL$42:AL$71)</f>
        <v>4</v>
      </c>
      <c r="AN42" s="644">
        <f t="shared" ref="AN42" si="20">AVERAGE(AL42:AL71)</f>
        <v>858.6651029262631</v>
      </c>
      <c r="AO42" s="539">
        <v>3</v>
      </c>
      <c r="AP42" s="416">
        <v>3153.1034482758646</v>
      </c>
      <c r="AQ42" s="416">
        <v>1051.0344827586216</v>
      </c>
      <c r="AR42" s="539">
        <f t="shared" ref="AR42:AR71" si="21">RANK(AQ42, AQ$42:AQ$71)</f>
        <v>5</v>
      </c>
      <c r="AS42" s="644">
        <f t="shared" ref="AS42" si="22">AVERAGE(AQ42:AQ71)</f>
        <v>844.80304401577234</v>
      </c>
      <c r="AT42" s="539">
        <v>3</v>
      </c>
      <c r="AU42" s="416">
        <v>3168.6206896551748</v>
      </c>
      <c r="AV42" s="416">
        <v>1056.2068965517249</v>
      </c>
      <c r="AW42" s="539">
        <f t="shared" ref="AW42:AW71" si="23">RANK(AV42, AV$42:AV$71)</f>
        <v>7</v>
      </c>
      <c r="AX42" s="644">
        <f t="shared" ref="AX42" si="24">AVERAGE(AV42:AV71)</f>
        <v>843.07536292748307</v>
      </c>
      <c r="AZ42" s="402" t="e">
        <f t="shared" ref="AZ42:AZ71" si="25">RANK(AY42, AY$42:AY$71)</f>
        <v>#N/A</v>
      </c>
      <c r="BA42" s="644" t="e">
        <f t="shared" ref="BA42" si="26">AVERAGE(AY42:AY71)</f>
        <v>#DIV/0!</v>
      </c>
    </row>
    <row r="43" spans="2:53">
      <c r="B43" s="659"/>
      <c r="C43" s="300">
        <v>2</v>
      </c>
      <c r="D43" s="385" t="s">
        <v>338</v>
      </c>
      <c r="E43" s="383">
        <v>3</v>
      </c>
      <c r="F43" s="383">
        <v>3200</v>
      </c>
      <c r="G43" s="181">
        <v>1066.6666666666667</v>
      </c>
      <c r="H43" s="645"/>
      <c r="I43" s="391">
        <f t="shared" ref="I43:I71" si="27">IFERROR(AVERAGE(P43,U43,Z43,AE43,AJ43,AO43,AT43),"-")</f>
        <v>3</v>
      </c>
      <c r="J43" s="391">
        <f t="shared" ref="J43:J71" si="28">IFERROR(AVERAGE(Q43,V43,AA43,AF43,AK43,AP43,AU43),"-")</f>
        <v>3136.3694951664738</v>
      </c>
      <c r="K43" s="199">
        <f t="shared" ref="K43:K71" si="29">IFERROR(AVERAGE(R43,W43,AB43,AG43,AL43,AQ43,AV43),"-")</f>
        <v>1045.4564983888247</v>
      </c>
      <c r="L43" s="617"/>
      <c r="M43" s="198">
        <f>RANK(K43, K$42:$K$71)</f>
        <v>8</v>
      </c>
      <c r="N43" s="637"/>
      <c r="O43" s="637"/>
      <c r="P43" s="539">
        <v>3</v>
      </c>
      <c r="Q43" s="416">
        <v>3051.4285714285588</v>
      </c>
      <c r="R43" s="416">
        <v>1017.1428571428529</v>
      </c>
      <c r="S43" s="539">
        <f t="shared" si="11"/>
        <v>10</v>
      </c>
      <c r="T43" s="645"/>
      <c r="U43" s="539">
        <v>3</v>
      </c>
      <c r="V43" s="416">
        <v>3083.9999999999864</v>
      </c>
      <c r="W43" s="416">
        <v>1027.9999999999955</v>
      </c>
      <c r="X43" s="539">
        <f t="shared" si="13"/>
        <v>10</v>
      </c>
      <c r="Y43" s="645"/>
      <c r="Z43" s="539">
        <v>3</v>
      </c>
      <c r="AA43" s="416">
        <v>3097.89473684209</v>
      </c>
      <c r="AB43" s="416">
        <v>1032.6315789473633</v>
      </c>
      <c r="AC43" s="539">
        <f t="shared" si="15"/>
        <v>7</v>
      </c>
      <c r="AD43" s="645"/>
      <c r="AE43" s="539">
        <v>3</v>
      </c>
      <c r="AF43" s="416">
        <v>3059.9999999999823</v>
      </c>
      <c r="AG43" s="416">
        <v>1019.9999999999941</v>
      </c>
      <c r="AH43" s="539">
        <f t="shared" si="17"/>
        <v>9</v>
      </c>
      <c r="AI43" s="645"/>
      <c r="AJ43" s="539">
        <v>3</v>
      </c>
      <c r="AK43" s="416">
        <v>3395.9999999999941</v>
      </c>
      <c r="AL43" s="416">
        <v>1131.999999999998</v>
      </c>
      <c r="AM43" s="539">
        <f t="shared" si="19"/>
        <v>1</v>
      </c>
      <c r="AN43" s="645"/>
      <c r="AO43" s="539">
        <v>3</v>
      </c>
      <c r="AP43" s="416">
        <v>3154.7368421052479</v>
      </c>
      <c r="AQ43" s="416">
        <v>1051.578947368416</v>
      </c>
      <c r="AR43" s="539">
        <f t="shared" si="21"/>
        <v>4</v>
      </c>
      <c r="AS43" s="645"/>
      <c r="AT43" s="539">
        <v>3</v>
      </c>
      <c r="AU43" s="416">
        <v>3110.5263157894583</v>
      </c>
      <c r="AV43" s="416">
        <v>1036.8421052631527</v>
      </c>
      <c r="AW43" s="539">
        <f t="shared" si="23"/>
        <v>10</v>
      </c>
      <c r="AX43" s="645"/>
      <c r="AZ43" s="402" t="e">
        <f t="shared" si="25"/>
        <v>#N/A</v>
      </c>
      <c r="BA43" s="645"/>
    </row>
    <row r="44" spans="2:53">
      <c r="B44" s="659"/>
      <c r="C44" s="300">
        <v>3</v>
      </c>
      <c r="D44" s="383" t="s">
        <v>329</v>
      </c>
      <c r="E44" s="383">
        <v>4</v>
      </c>
      <c r="F44" s="383">
        <v>3200</v>
      </c>
      <c r="G44" s="181">
        <v>800</v>
      </c>
      <c r="H44" s="645"/>
      <c r="I44" s="391">
        <f t="shared" si="27"/>
        <v>4</v>
      </c>
      <c r="J44" s="391">
        <f t="shared" si="28"/>
        <v>3057.6702470461901</v>
      </c>
      <c r="K44" s="199">
        <f t="shared" si="29"/>
        <v>764.41756176154752</v>
      </c>
      <c r="L44" s="617"/>
      <c r="M44" s="198">
        <f>RANK(K44, K$42:$K$71)</f>
        <v>17</v>
      </c>
      <c r="N44" s="637"/>
      <c r="O44" s="637"/>
      <c r="P44" s="539">
        <v>4</v>
      </c>
      <c r="Q44" s="416">
        <v>3170.5263157894851</v>
      </c>
      <c r="R44" s="416">
        <v>792.63157894737128</v>
      </c>
      <c r="S44" s="539">
        <f t="shared" si="11"/>
        <v>16</v>
      </c>
      <c r="T44" s="645"/>
      <c r="U44" s="539">
        <v>4</v>
      </c>
      <c r="V44" s="416">
        <v>3057.0000000000109</v>
      </c>
      <c r="W44" s="416">
        <v>764.25000000000273</v>
      </c>
      <c r="X44" s="539">
        <f t="shared" si="13"/>
        <v>17</v>
      </c>
      <c r="Y44" s="645"/>
      <c r="Z44" s="539">
        <v>4</v>
      </c>
      <c r="AA44" s="416">
        <v>3072.6315789473661</v>
      </c>
      <c r="AB44" s="416">
        <v>768.15789473684151</v>
      </c>
      <c r="AC44" s="539">
        <f t="shared" si="15"/>
        <v>16</v>
      </c>
      <c r="AD44" s="645"/>
      <c r="AE44" s="539">
        <v>4</v>
      </c>
      <c r="AF44" s="416">
        <v>3089.9999999999959</v>
      </c>
      <c r="AG44" s="416">
        <v>772.49999999999898</v>
      </c>
      <c r="AH44" s="539">
        <f t="shared" si="17"/>
        <v>16</v>
      </c>
      <c r="AI44" s="645"/>
      <c r="AJ44" s="539">
        <v>4</v>
      </c>
      <c r="AK44" s="416">
        <v>3351.4285714285834</v>
      </c>
      <c r="AL44" s="416">
        <v>837.85714285714585</v>
      </c>
      <c r="AM44" s="539">
        <f t="shared" si="19"/>
        <v>14</v>
      </c>
      <c r="AN44" s="645"/>
      <c r="AO44" s="539">
        <v>4</v>
      </c>
      <c r="AP44" s="416">
        <v>3145.2631578947344</v>
      </c>
      <c r="AQ44" s="416">
        <v>786.31578947368359</v>
      </c>
      <c r="AR44" s="539">
        <f t="shared" si="21"/>
        <v>17</v>
      </c>
      <c r="AS44" s="645"/>
      <c r="AT44" s="539">
        <v>4</v>
      </c>
      <c r="AU44" s="416">
        <v>2516.8421052631561</v>
      </c>
      <c r="AV44" s="416">
        <v>629.21052631578902</v>
      </c>
      <c r="AW44" s="539">
        <f t="shared" si="23"/>
        <v>21</v>
      </c>
      <c r="AX44" s="645"/>
      <c r="AZ44" s="402" t="e">
        <f t="shared" si="25"/>
        <v>#N/A</v>
      </c>
      <c r="BA44" s="645"/>
    </row>
    <row r="45" spans="2:53">
      <c r="B45" s="659"/>
      <c r="C45" s="300">
        <v>4</v>
      </c>
      <c r="D45" s="383" t="s">
        <v>339</v>
      </c>
      <c r="E45" s="383">
        <v>3</v>
      </c>
      <c r="F45" s="383">
        <v>3200</v>
      </c>
      <c r="G45" s="181">
        <v>1066.6666666666667</v>
      </c>
      <c r="H45" s="645"/>
      <c r="I45" s="391">
        <f t="shared" si="27"/>
        <v>3</v>
      </c>
      <c r="J45" s="391">
        <f t="shared" si="28"/>
        <v>3195.2426019765157</v>
      </c>
      <c r="K45" s="199">
        <f t="shared" si="29"/>
        <v>1065.0808673255056</v>
      </c>
      <c r="L45" s="617"/>
      <c r="M45" s="198">
        <f>RANK(K45, K$42:$K$71)</f>
        <v>1</v>
      </c>
      <c r="N45" s="637"/>
      <c r="O45" s="637"/>
      <c r="P45" s="539">
        <v>3</v>
      </c>
      <c r="Q45" s="416">
        <v>3172.1739130434785</v>
      </c>
      <c r="R45" s="416">
        <v>1057.3913043478262</v>
      </c>
      <c r="S45" s="539">
        <f t="shared" si="11"/>
        <v>5</v>
      </c>
      <c r="T45" s="645"/>
      <c r="U45" s="539">
        <v>3</v>
      </c>
      <c r="V45" s="416">
        <v>3191.739130434783</v>
      </c>
      <c r="W45" s="416">
        <v>1063.913043478261</v>
      </c>
      <c r="X45" s="539">
        <f t="shared" si="13"/>
        <v>3</v>
      </c>
      <c r="Y45" s="645"/>
      <c r="Z45" s="539">
        <v>3</v>
      </c>
      <c r="AA45" s="416">
        <v>3196.8539325842721</v>
      </c>
      <c r="AB45" s="416">
        <v>1065.6179775280907</v>
      </c>
      <c r="AC45" s="539">
        <f t="shared" si="15"/>
        <v>1</v>
      </c>
      <c r="AD45" s="645"/>
      <c r="AE45" s="539">
        <v>3</v>
      </c>
      <c r="AF45" s="416">
        <v>3200.2702702702718</v>
      </c>
      <c r="AG45" s="416">
        <v>1066.7567567567573</v>
      </c>
      <c r="AH45" s="539">
        <f t="shared" si="17"/>
        <v>2</v>
      </c>
      <c r="AI45" s="645"/>
      <c r="AJ45" s="539">
        <v>3</v>
      </c>
      <c r="AK45" s="416">
        <v>3225.6338028168984</v>
      </c>
      <c r="AL45" s="416">
        <v>1075.2112676056329</v>
      </c>
      <c r="AM45" s="539">
        <f t="shared" si="19"/>
        <v>5</v>
      </c>
      <c r="AN45" s="645"/>
      <c r="AO45" s="539">
        <v>3</v>
      </c>
      <c r="AP45" s="416">
        <v>3178.7368421052638</v>
      </c>
      <c r="AQ45" s="416">
        <v>1059.5789473684213</v>
      </c>
      <c r="AR45" s="539">
        <f t="shared" si="21"/>
        <v>3</v>
      </c>
      <c r="AS45" s="645"/>
      <c r="AT45" s="539">
        <v>3</v>
      </c>
      <c r="AU45" s="416">
        <v>3201.2903225806458</v>
      </c>
      <c r="AV45" s="416">
        <v>1067.0967741935485</v>
      </c>
      <c r="AW45" s="539">
        <f t="shared" si="23"/>
        <v>4</v>
      </c>
      <c r="AX45" s="645"/>
      <c r="AZ45" s="402" t="e">
        <f t="shared" si="25"/>
        <v>#N/A</v>
      </c>
      <c r="BA45" s="645"/>
    </row>
    <row r="46" spans="2:53">
      <c r="B46" s="659"/>
      <c r="C46" s="300">
        <v>5</v>
      </c>
      <c r="D46" s="383" t="s">
        <v>582</v>
      </c>
      <c r="E46" s="383">
        <v>4</v>
      </c>
      <c r="F46" s="383">
        <v>3200</v>
      </c>
      <c r="G46" s="181">
        <v>800</v>
      </c>
      <c r="H46" s="645"/>
      <c r="I46" s="391">
        <f t="shared" si="27"/>
        <v>4</v>
      </c>
      <c r="J46" s="391">
        <f t="shared" si="28"/>
        <v>3441.9253839466833</v>
      </c>
      <c r="K46" s="199">
        <f t="shared" si="29"/>
        <v>860.48134598667082</v>
      </c>
      <c r="L46" s="617"/>
      <c r="M46" s="198">
        <f>RANK(K46, K$42:$K$71)</f>
        <v>13</v>
      </c>
      <c r="N46" s="637"/>
      <c r="O46" s="637"/>
      <c r="P46" s="539">
        <v>4</v>
      </c>
      <c r="Q46" s="416">
        <v>3196.5517241379425</v>
      </c>
      <c r="R46" s="416">
        <v>799.13793103448563</v>
      </c>
      <c r="S46" s="539">
        <f t="shared" si="11"/>
        <v>14</v>
      </c>
      <c r="T46" s="645"/>
      <c r="U46" s="539">
        <v>4</v>
      </c>
      <c r="V46" s="416">
        <v>3146.896551724149</v>
      </c>
      <c r="W46" s="416">
        <v>786.72413793103726</v>
      </c>
      <c r="X46" s="539">
        <f t="shared" si="13"/>
        <v>14</v>
      </c>
      <c r="Y46" s="645"/>
      <c r="Z46" s="539">
        <v>4</v>
      </c>
      <c r="AA46" s="416">
        <v>3105.0000000000027</v>
      </c>
      <c r="AB46" s="416">
        <v>776.25000000000068</v>
      </c>
      <c r="AC46" s="539">
        <f t="shared" si="15"/>
        <v>15</v>
      </c>
      <c r="AD46" s="645"/>
      <c r="AE46" s="539">
        <v>4</v>
      </c>
      <c r="AF46" s="416">
        <v>3107.5000000000109</v>
      </c>
      <c r="AG46" s="416">
        <v>776.87500000000273</v>
      </c>
      <c r="AH46" s="539">
        <f t="shared" si="17"/>
        <v>15</v>
      </c>
      <c r="AI46" s="645"/>
      <c r="AJ46" s="539">
        <v>4</v>
      </c>
      <c r="AK46" s="416">
        <v>3353.999999999985</v>
      </c>
      <c r="AL46" s="416">
        <v>838.49999999999625</v>
      </c>
      <c r="AM46" s="539">
        <f t="shared" si="19"/>
        <v>13</v>
      </c>
      <c r="AN46" s="645"/>
      <c r="AO46" s="539">
        <v>4</v>
      </c>
      <c r="AP46" s="416">
        <v>3199.9999999999923</v>
      </c>
      <c r="AQ46" s="416">
        <v>799.99999999999807</v>
      </c>
      <c r="AR46" s="539">
        <f t="shared" si="21"/>
        <v>13</v>
      </c>
      <c r="AS46" s="645"/>
      <c r="AT46" s="539">
        <v>4</v>
      </c>
      <c r="AU46" s="416">
        <v>4983.529411764699</v>
      </c>
      <c r="AV46" s="416">
        <v>1245.8823529411748</v>
      </c>
      <c r="AW46" s="539">
        <f t="shared" si="23"/>
        <v>1</v>
      </c>
      <c r="AX46" s="645"/>
      <c r="AZ46" s="402" t="e">
        <f t="shared" si="25"/>
        <v>#N/A</v>
      </c>
      <c r="BA46" s="645"/>
    </row>
    <row r="47" spans="2:53">
      <c r="B47" s="659"/>
      <c r="C47" s="300">
        <v>6</v>
      </c>
      <c r="D47" s="383" t="s">
        <v>583</v>
      </c>
      <c r="E47" s="383">
        <v>4</v>
      </c>
      <c r="F47" s="383">
        <v>3200</v>
      </c>
      <c r="G47" s="181">
        <v>800</v>
      </c>
      <c r="H47" s="645"/>
      <c r="I47" s="391">
        <f t="shared" si="27"/>
        <v>4</v>
      </c>
      <c r="J47" s="391">
        <f t="shared" si="28"/>
        <v>3109.8775510204041</v>
      </c>
      <c r="K47" s="199">
        <f t="shared" si="29"/>
        <v>777.46938775510102</v>
      </c>
      <c r="L47" s="617"/>
      <c r="M47" s="198">
        <f>RANK(K47, K$42:$K$71)</f>
        <v>16</v>
      </c>
      <c r="N47" s="637"/>
      <c r="O47" s="637"/>
      <c r="P47" s="539">
        <v>4</v>
      </c>
      <c r="Q47" s="416">
        <v>3039.9999999999945</v>
      </c>
      <c r="R47" s="416">
        <v>759.99999999999864</v>
      </c>
      <c r="S47" s="539">
        <f t="shared" si="11"/>
        <v>18</v>
      </c>
      <c r="T47" s="645"/>
      <c r="U47" s="539">
        <v>4</v>
      </c>
      <c r="V47" s="416">
        <v>3035.9999999999945</v>
      </c>
      <c r="W47" s="416">
        <v>758.99999999999864</v>
      </c>
      <c r="X47" s="539">
        <f t="shared" si="13"/>
        <v>18</v>
      </c>
      <c r="Y47" s="645"/>
      <c r="Z47" s="539">
        <v>4</v>
      </c>
      <c r="AA47" s="416">
        <v>3059.9999999999936</v>
      </c>
      <c r="AB47" s="416">
        <v>764.99999999999841</v>
      </c>
      <c r="AC47" s="539">
        <f t="shared" si="15"/>
        <v>17</v>
      </c>
      <c r="AD47" s="645"/>
      <c r="AE47" s="539">
        <v>4</v>
      </c>
      <c r="AF47" s="416">
        <v>3009.9999999999905</v>
      </c>
      <c r="AG47" s="416">
        <v>752.49999999999761</v>
      </c>
      <c r="AH47" s="539">
        <f t="shared" si="17"/>
        <v>18</v>
      </c>
      <c r="AI47" s="645"/>
      <c r="AJ47" s="539">
        <v>4</v>
      </c>
      <c r="AK47" s="416">
        <v>3306.0000000000118</v>
      </c>
      <c r="AL47" s="416">
        <v>826.50000000000296</v>
      </c>
      <c r="AM47" s="539">
        <f t="shared" si="19"/>
        <v>16</v>
      </c>
      <c r="AN47" s="645"/>
      <c r="AO47" s="539">
        <v>4</v>
      </c>
      <c r="AP47" s="416">
        <v>3179.9999999999932</v>
      </c>
      <c r="AQ47" s="416">
        <v>794.99999999999829</v>
      </c>
      <c r="AR47" s="539">
        <f t="shared" si="21"/>
        <v>15</v>
      </c>
      <c r="AS47" s="645"/>
      <c r="AT47" s="539">
        <v>4</v>
      </c>
      <c r="AU47" s="416">
        <v>3137.1428571428501</v>
      </c>
      <c r="AV47" s="416">
        <v>784.28571428571252</v>
      </c>
      <c r="AW47" s="539">
        <f t="shared" si="23"/>
        <v>15</v>
      </c>
      <c r="AX47" s="645"/>
      <c r="AZ47" s="402" t="e">
        <f t="shared" si="25"/>
        <v>#N/A</v>
      </c>
      <c r="BA47" s="645"/>
    </row>
    <row r="48" spans="2:53">
      <c r="B48" s="659"/>
      <c r="C48" s="300">
        <v>7</v>
      </c>
      <c r="D48" s="383" t="s">
        <v>340</v>
      </c>
      <c r="E48" s="383">
        <v>4</v>
      </c>
      <c r="F48" s="383">
        <v>2800</v>
      </c>
      <c r="G48" s="181">
        <v>700</v>
      </c>
      <c r="H48" s="645"/>
      <c r="I48" s="391">
        <f t="shared" si="27"/>
        <v>4</v>
      </c>
      <c r="J48" s="391">
        <f t="shared" si="28"/>
        <v>3118.8011988012004</v>
      </c>
      <c r="K48" s="199">
        <f t="shared" si="29"/>
        <v>779.70029970030009</v>
      </c>
      <c r="L48" s="617"/>
      <c r="M48" s="198">
        <f>RANK(K48, K$42:$K$71)</f>
        <v>15</v>
      </c>
      <c r="N48" s="637"/>
      <c r="O48" s="637"/>
      <c r="P48" s="539">
        <v>4</v>
      </c>
      <c r="Q48" s="416">
        <v>3081.4285714285738</v>
      </c>
      <c r="R48" s="416">
        <v>770.35714285714346</v>
      </c>
      <c r="S48" s="539">
        <f t="shared" si="11"/>
        <v>17</v>
      </c>
      <c r="T48" s="645"/>
      <c r="U48" s="539">
        <v>4</v>
      </c>
      <c r="V48" s="416">
        <v>3060.0000000000023</v>
      </c>
      <c r="W48" s="416">
        <v>765.00000000000057</v>
      </c>
      <c r="X48" s="539">
        <f t="shared" si="13"/>
        <v>16</v>
      </c>
      <c r="Y48" s="645"/>
      <c r="Z48" s="539">
        <v>4</v>
      </c>
      <c r="AA48" s="416">
        <v>3106.1538461538476</v>
      </c>
      <c r="AB48" s="416">
        <v>776.53846153846189</v>
      </c>
      <c r="AC48" s="539">
        <f t="shared" si="15"/>
        <v>14</v>
      </c>
      <c r="AD48" s="645"/>
      <c r="AE48" s="539">
        <v>4</v>
      </c>
      <c r="AF48" s="416">
        <v>3125.4545454545455</v>
      </c>
      <c r="AG48" s="416">
        <v>781.36363636363637</v>
      </c>
      <c r="AH48" s="539">
        <f t="shared" si="17"/>
        <v>14</v>
      </c>
      <c r="AI48" s="645"/>
      <c r="AJ48" s="539">
        <v>4</v>
      </c>
      <c r="AK48" s="416">
        <v>3329.9999999999986</v>
      </c>
      <c r="AL48" s="416">
        <v>832.49999999999966</v>
      </c>
      <c r="AM48" s="539">
        <f t="shared" si="19"/>
        <v>15</v>
      </c>
      <c r="AN48" s="645"/>
      <c r="AO48" s="539">
        <v>4</v>
      </c>
      <c r="AP48" s="416">
        <v>3145.7142857142881</v>
      </c>
      <c r="AQ48" s="416">
        <v>786.42857142857201</v>
      </c>
      <c r="AR48" s="539">
        <f t="shared" si="21"/>
        <v>16</v>
      </c>
      <c r="AS48" s="645"/>
      <c r="AT48" s="539">
        <v>4</v>
      </c>
      <c r="AU48" s="416">
        <v>2982.8571428571449</v>
      </c>
      <c r="AV48" s="416">
        <v>745.71428571428623</v>
      </c>
      <c r="AW48" s="539">
        <f t="shared" si="23"/>
        <v>17</v>
      </c>
      <c r="AX48" s="645"/>
      <c r="AZ48" s="402" t="e">
        <f t="shared" si="25"/>
        <v>#N/A</v>
      </c>
      <c r="BA48" s="645"/>
    </row>
    <row r="49" spans="2:53">
      <c r="B49" s="659"/>
      <c r="C49" s="300">
        <v>8</v>
      </c>
      <c r="D49" s="383" t="s">
        <v>341</v>
      </c>
      <c r="E49" s="383">
        <v>3</v>
      </c>
      <c r="F49" s="383">
        <v>3200</v>
      </c>
      <c r="G49" s="181">
        <v>1066.6666666666667</v>
      </c>
      <c r="H49" s="645"/>
      <c r="I49" s="391">
        <f t="shared" si="27"/>
        <v>3</v>
      </c>
      <c r="J49" s="391">
        <f t="shared" si="28"/>
        <v>3151.7233250620343</v>
      </c>
      <c r="K49" s="199">
        <f t="shared" si="29"/>
        <v>1050.5744416873447</v>
      </c>
      <c r="L49" s="617"/>
      <c r="M49" s="198">
        <f>RANK(K49, K$42:$K$71)</f>
        <v>6</v>
      </c>
      <c r="N49" s="637"/>
      <c r="O49" s="637"/>
      <c r="P49" s="539">
        <v>3</v>
      </c>
      <c r="Q49" s="416">
        <v>3141.2903225806481</v>
      </c>
      <c r="R49" s="416">
        <v>1047.0967741935494</v>
      </c>
      <c r="S49" s="539">
        <f t="shared" si="11"/>
        <v>8</v>
      </c>
      <c r="T49" s="645"/>
      <c r="U49" s="539">
        <v>3</v>
      </c>
      <c r="V49" s="416">
        <v>3106.4516129032286</v>
      </c>
      <c r="W49" s="416">
        <v>1035.4838709677429</v>
      </c>
      <c r="X49" s="539">
        <f t="shared" si="13"/>
        <v>8</v>
      </c>
      <c r="Y49" s="645"/>
      <c r="Z49" s="539">
        <v>3</v>
      </c>
      <c r="AA49" s="416">
        <v>3179.9999999999945</v>
      </c>
      <c r="AB49" s="416">
        <v>1059.9999999999982</v>
      </c>
      <c r="AC49" s="539">
        <f t="shared" si="15"/>
        <v>4</v>
      </c>
      <c r="AD49" s="645"/>
      <c r="AE49" s="539">
        <v>3</v>
      </c>
      <c r="AF49" s="416">
        <v>3117.692307692304</v>
      </c>
      <c r="AG49" s="416">
        <v>1039.2307692307679</v>
      </c>
      <c r="AH49" s="539">
        <f t="shared" si="17"/>
        <v>7</v>
      </c>
      <c r="AI49" s="645"/>
      <c r="AJ49" s="539">
        <v>3</v>
      </c>
      <c r="AK49" s="416">
        <v>3212.499999999995</v>
      </c>
      <c r="AL49" s="416">
        <v>1070.8333333333317</v>
      </c>
      <c r="AM49" s="539">
        <f t="shared" si="19"/>
        <v>8</v>
      </c>
      <c r="AN49" s="645"/>
      <c r="AO49" s="539">
        <v>3</v>
      </c>
      <c r="AP49" s="416">
        <v>3116.1290322580671</v>
      </c>
      <c r="AQ49" s="416">
        <v>1038.7096774193558</v>
      </c>
      <c r="AR49" s="539">
        <f t="shared" si="21"/>
        <v>8</v>
      </c>
      <c r="AS49" s="645"/>
      <c r="AT49" s="539">
        <v>3</v>
      </c>
      <c r="AU49" s="416">
        <v>3188.0000000000027</v>
      </c>
      <c r="AV49" s="416">
        <v>1062.6666666666677</v>
      </c>
      <c r="AW49" s="539">
        <f t="shared" si="23"/>
        <v>6</v>
      </c>
      <c r="AX49" s="645"/>
      <c r="AZ49" s="402" t="e">
        <f t="shared" si="25"/>
        <v>#N/A</v>
      </c>
      <c r="BA49" s="645"/>
    </row>
    <row r="50" spans="2:53">
      <c r="B50" s="659"/>
      <c r="C50" s="300">
        <v>9</v>
      </c>
      <c r="D50" s="383" t="s">
        <v>342</v>
      </c>
      <c r="E50" s="383">
        <v>3</v>
      </c>
      <c r="F50" s="383">
        <v>2800</v>
      </c>
      <c r="G50" s="181">
        <v>933.33333333333337</v>
      </c>
      <c r="H50" s="645"/>
      <c r="I50" s="391">
        <f t="shared" si="27"/>
        <v>3</v>
      </c>
      <c r="J50" s="391">
        <f t="shared" si="28"/>
        <v>3160.0483244499474</v>
      </c>
      <c r="K50" s="199">
        <f t="shared" si="29"/>
        <v>1053.3494414833158</v>
      </c>
      <c r="L50" s="617"/>
      <c r="M50" s="198">
        <f>RANK(K50, K$42:$K$71)</f>
        <v>5</v>
      </c>
      <c r="N50" s="637"/>
      <c r="O50" s="637"/>
      <c r="P50" s="539">
        <v>3</v>
      </c>
      <c r="Q50" s="416">
        <v>3123.3333333333339</v>
      </c>
      <c r="R50" s="416">
        <v>1041.1111111111113</v>
      </c>
      <c r="S50" s="539">
        <f t="shared" si="11"/>
        <v>9</v>
      </c>
      <c r="T50" s="645"/>
      <c r="U50" s="539">
        <v>3</v>
      </c>
      <c r="V50" s="416">
        <v>3186.6666666666674</v>
      </c>
      <c r="W50" s="416">
        <v>1062.2222222222224</v>
      </c>
      <c r="X50" s="539">
        <f t="shared" si="13"/>
        <v>5</v>
      </c>
      <c r="Y50" s="645"/>
      <c r="Z50" s="539">
        <v>3</v>
      </c>
      <c r="AA50" s="416">
        <v>3150.909090909091</v>
      </c>
      <c r="AB50" s="416">
        <v>1050.3030303030303</v>
      </c>
      <c r="AC50" s="539">
        <f t="shared" si="15"/>
        <v>6</v>
      </c>
      <c r="AD50" s="645"/>
      <c r="AE50" s="539">
        <v>3</v>
      </c>
      <c r="AF50" s="416">
        <v>3099.3103448275929</v>
      </c>
      <c r="AG50" s="416">
        <v>1033.1034482758644</v>
      </c>
      <c r="AH50" s="539">
        <f t="shared" si="17"/>
        <v>8</v>
      </c>
      <c r="AI50" s="645"/>
      <c r="AJ50" s="539">
        <v>3</v>
      </c>
      <c r="AK50" s="416">
        <v>3248.888888888886</v>
      </c>
      <c r="AL50" s="416">
        <v>1082.9629629629619</v>
      </c>
      <c r="AM50" s="539">
        <f t="shared" si="19"/>
        <v>3</v>
      </c>
      <c r="AN50" s="645"/>
      <c r="AO50" s="539">
        <v>3</v>
      </c>
      <c r="AP50" s="416">
        <v>3109.411764705882</v>
      </c>
      <c r="AQ50" s="416">
        <v>1036.4705882352939</v>
      </c>
      <c r="AR50" s="539">
        <f t="shared" si="21"/>
        <v>9</v>
      </c>
      <c r="AS50" s="645"/>
      <c r="AT50" s="539">
        <v>3</v>
      </c>
      <c r="AU50" s="416">
        <v>3201.818181818182</v>
      </c>
      <c r="AV50" s="416">
        <v>1067.2727272727273</v>
      </c>
      <c r="AW50" s="539">
        <f t="shared" si="23"/>
        <v>3</v>
      </c>
      <c r="AX50" s="645"/>
      <c r="AZ50" s="402" t="e">
        <f t="shared" si="25"/>
        <v>#N/A</v>
      </c>
      <c r="BA50" s="645"/>
    </row>
    <row r="51" spans="2:53">
      <c r="B51" s="659"/>
      <c r="C51" s="300">
        <v>10</v>
      </c>
      <c r="D51" s="383" t="s">
        <v>343</v>
      </c>
      <c r="E51" s="383">
        <v>4</v>
      </c>
      <c r="F51" s="383">
        <v>2800</v>
      </c>
      <c r="G51" s="181">
        <v>700</v>
      </c>
      <c r="H51" s="645"/>
      <c r="I51" s="391">
        <f t="shared" si="27"/>
        <v>4</v>
      </c>
      <c r="J51" s="391">
        <f t="shared" si="28"/>
        <v>3185.068624750591</v>
      </c>
      <c r="K51" s="199">
        <f t="shared" si="29"/>
        <v>796.26715618764774</v>
      </c>
      <c r="L51" s="617"/>
      <c r="M51" s="198">
        <f>RANK(K51, K$42:$K$71)</f>
        <v>14</v>
      </c>
      <c r="N51" s="637"/>
      <c r="O51" s="637"/>
      <c r="P51" s="539">
        <v>4</v>
      </c>
      <c r="Q51" s="416">
        <v>3190.9999999999986</v>
      </c>
      <c r="R51" s="416">
        <v>797.74999999999966</v>
      </c>
      <c r="S51" s="539">
        <f t="shared" si="11"/>
        <v>15</v>
      </c>
      <c r="T51" s="645"/>
      <c r="U51" s="539">
        <v>4</v>
      </c>
      <c r="V51" s="416">
        <v>3170.1639344262244</v>
      </c>
      <c r="W51" s="416">
        <v>792.5409836065561</v>
      </c>
      <c r="X51" s="539">
        <f t="shared" si="13"/>
        <v>13</v>
      </c>
      <c r="Y51" s="645"/>
      <c r="Z51" s="539">
        <v>4</v>
      </c>
      <c r="AA51" s="416">
        <v>3176.8965517241359</v>
      </c>
      <c r="AB51" s="416">
        <v>794.22413793103397</v>
      </c>
      <c r="AC51" s="539">
        <f t="shared" si="15"/>
        <v>13</v>
      </c>
      <c r="AD51" s="645"/>
      <c r="AE51" s="539">
        <v>4</v>
      </c>
      <c r="AF51" s="416">
        <v>3161.632653061225</v>
      </c>
      <c r="AG51" s="416">
        <v>790.40816326530626</v>
      </c>
      <c r="AH51" s="539">
        <f t="shared" si="17"/>
        <v>13</v>
      </c>
      <c r="AI51" s="645"/>
      <c r="AJ51" s="539">
        <v>4</v>
      </c>
      <c r="AK51" s="416">
        <v>3229.7872340425538</v>
      </c>
      <c r="AL51" s="416">
        <v>807.44680851063845</v>
      </c>
      <c r="AM51" s="539">
        <f t="shared" si="19"/>
        <v>17</v>
      </c>
      <c r="AN51" s="645"/>
      <c r="AO51" s="539">
        <v>4</v>
      </c>
      <c r="AP51" s="416">
        <v>3195.9999999999986</v>
      </c>
      <c r="AQ51" s="416">
        <v>798.99999999999966</v>
      </c>
      <c r="AR51" s="539">
        <f t="shared" si="21"/>
        <v>14</v>
      </c>
      <c r="AS51" s="645"/>
      <c r="AT51" s="539">
        <v>4</v>
      </c>
      <c r="AU51" s="416">
        <v>3169.9999999999986</v>
      </c>
      <c r="AV51" s="416">
        <v>792.49999999999966</v>
      </c>
      <c r="AW51" s="539">
        <f t="shared" si="23"/>
        <v>14</v>
      </c>
      <c r="AX51" s="645"/>
      <c r="AZ51" s="402" t="e">
        <f t="shared" si="25"/>
        <v>#N/A</v>
      </c>
      <c r="BA51" s="645"/>
    </row>
    <row r="52" spans="2:53">
      <c r="B52" s="659"/>
      <c r="C52" s="300">
        <v>11</v>
      </c>
      <c r="D52" s="383" t="s">
        <v>584</v>
      </c>
      <c r="E52" s="383">
        <v>4</v>
      </c>
      <c r="F52" s="383">
        <v>2800</v>
      </c>
      <c r="G52" s="181">
        <v>700</v>
      </c>
      <c r="H52" s="645"/>
      <c r="I52" s="391">
        <f t="shared" si="27"/>
        <v>4</v>
      </c>
      <c r="J52" s="391">
        <f t="shared" si="28"/>
        <v>2564.1499633211897</v>
      </c>
      <c r="K52" s="199">
        <f t="shared" si="29"/>
        <v>641.03749083029743</v>
      </c>
      <c r="L52" s="617"/>
      <c r="M52" s="198">
        <f>RANK(K52, K$42:$K$71)</f>
        <v>22</v>
      </c>
      <c r="N52" s="637"/>
      <c r="O52" s="637"/>
      <c r="P52" s="539">
        <v>4</v>
      </c>
      <c r="Q52" s="416">
        <v>2782.2857142857133</v>
      </c>
      <c r="R52" s="416">
        <v>695.57142857142833</v>
      </c>
      <c r="S52" s="539">
        <f t="shared" si="11"/>
        <v>20</v>
      </c>
      <c r="T52" s="645"/>
      <c r="U52" s="539">
        <v>4</v>
      </c>
      <c r="V52" s="416">
        <v>2762.5714285714289</v>
      </c>
      <c r="W52" s="416">
        <v>690.64285714285722</v>
      </c>
      <c r="X52" s="539">
        <f t="shared" si="13"/>
        <v>20</v>
      </c>
      <c r="Y52" s="645"/>
      <c r="Z52" s="539">
        <v>4</v>
      </c>
      <c r="AA52" s="416">
        <v>2151.9101123595497</v>
      </c>
      <c r="AB52" s="416">
        <v>537.97752808988741</v>
      </c>
      <c r="AC52" s="539">
        <f t="shared" si="15"/>
        <v>22</v>
      </c>
      <c r="AD52" s="645"/>
      <c r="AE52" s="539">
        <v>4</v>
      </c>
      <c r="AF52" s="416">
        <v>2781.7241379310349</v>
      </c>
      <c r="AG52" s="416">
        <v>695.43103448275872</v>
      </c>
      <c r="AH52" s="539">
        <f t="shared" si="17"/>
        <v>20</v>
      </c>
      <c r="AI52" s="645"/>
      <c r="AJ52" s="539">
        <v>4</v>
      </c>
      <c r="AK52" s="416">
        <v>2844.6428571428569</v>
      </c>
      <c r="AL52" s="416">
        <v>711.16071428571422</v>
      </c>
      <c r="AM52" s="539">
        <f t="shared" si="19"/>
        <v>22</v>
      </c>
      <c r="AN52" s="645"/>
      <c r="AO52" s="539">
        <v>4</v>
      </c>
      <c r="AP52" s="416">
        <v>2782.8169014084497</v>
      </c>
      <c r="AQ52" s="416">
        <v>695.70422535211242</v>
      </c>
      <c r="AR52" s="539">
        <f t="shared" si="21"/>
        <v>21</v>
      </c>
      <c r="AS52" s="645"/>
      <c r="AT52" s="539">
        <v>4</v>
      </c>
      <c r="AU52" s="416">
        <v>1843.098591549295</v>
      </c>
      <c r="AV52" s="416">
        <v>460.77464788732374</v>
      </c>
      <c r="AW52" s="539">
        <f t="shared" si="23"/>
        <v>22</v>
      </c>
      <c r="AX52" s="645"/>
      <c r="AZ52" s="402" t="e">
        <f t="shared" si="25"/>
        <v>#N/A</v>
      </c>
      <c r="BA52" s="645"/>
    </row>
    <row r="53" spans="2:53">
      <c r="B53" s="659"/>
      <c r="C53" s="300">
        <v>12</v>
      </c>
      <c r="D53" s="383" t="s">
        <v>585</v>
      </c>
      <c r="E53" s="383">
        <v>4</v>
      </c>
      <c r="F53" s="383">
        <v>2800</v>
      </c>
      <c r="G53" s="181">
        <v>700</v>
      </c>
      <c r="H53" s="645"/>
      <c r="I53" s="391">
        <f t="shared" si="27"/>
        <v>4</v>
      </c>
      <c r="J53" s="391">
        <f t="shared" si="28"/>
        <v>2819.8285714285889</v>
      </c>
      <c r="K53" s="199">
        <f t="shared" si="29"/>
        <v>704.95714285714723</v>
      </c>
      <c r="L53" s="617"/>
      <c r="M53" s="198">
        <f>RANK(K53, K$42:$K$71)</f>
        <v>20</v>
      </c>
      <c r="N53" s="637"/>
      <c r="O53" s="637"/>
      <c r="P53" s="539">
        <v>4</v>
      </c>
      <c r="Q53" s="416">
        <v>2548.8000000000252</v>
      </c>
      <c r="R53" s="416">
        <v>637.2000000000063</v>
      </c>
      <c r="S53" s="539">
        <f t="shared" si="11"/>
        <v>22</v>
      </c>
      <c r="T53" s="645"/>
      <c r="U53" s="539">
        <v>4</v>
      </c>
      <c r="V53" s="416">
        <v>2488.8000000000247</v>
      </c>
      <c r="W53" s="416">
        <v>622.20000000000618</v>
      </c>
      <c r="X53" s="539">
        <f t="shared" si="13"/>
        <v>22</v>
      </c>
      <c r="Y53" s="645"/>
      <c r="Z53" s="539">
        <v>4</v>
      </c>
      <c r="AA53" s="416">
        <v>2913.0000000000105</v>
      </c>
      <c r="AB53" s="416">
        <v>728.25000000000261</v>
      </c>
      <c r="AC53" s="539">
        <f t="shared" si="15"/>
        <v>18</v>
      </c>
      <c r="AD53" s="645"/>
      <c r="AE53" s="539">
        <v>4</v>
      </c>
      <c r="AF53" s="416">
        <v>2775.00000000001</v>
      </c>
      <c r="AG53" s="416">
        <v>693.7500000000025</v>
      </c>
      <c r="AH53" s="539">
        <f t="shared" si="17"/>
        <v>21</v>
      </c>
      <c r="AI53" s="645"/>
      <c r="AJ53" s="539">
        <v>4</v>
      </c>
      <c r="AK53" s="416">
        <v>3006.0000000000109</v>
      </c>
      <c r="AL53" s="416">
        <v>751.50000000000273</v>
      </c>
      <c r="AM53" s="539">
        <f t="shared" si="19"/>
        <v>19</v>
      </c>
      <c r="AN53" s="645"/>
      <c r="AO53" s="539">
        <v>4</v>
      </c>
      <c r="AP53" s="416">
        <v>3144.0000000000109</v>
      </c>
      <c r="AQ53" s="416">
        <v>786.00000000000273</v>
      </c>
      <c r="AR53" s="539">
        <f t="shared" si="21"/>
        <v>18</v>
      </c>
      <c r="AS53" s="645"/>
      <c r="AT53" s="539">
        <v>4</v>
      </c>
      <c r="AU53" s="416">
        <v>2863.2000000000285</v>
      </c>
      <c r="AV53" s="416">
        <v>715.80000000000712</v>
      </c>
      <c r="AW53" s="539">
        <f t="shared" si="23"/>
        <v>19</v>
      </c>
      <c r="AX53" s="645"/>
      <c r="AZ53" s="402" t="e">
        <f t="shared" si="25"/>
        <v>#N/A</v>
      </c>
      <c r="BA53" s="645"/>
    </row>
    <row r="54" spans="2:53">
      <c r="B54" s="659"/>
      <c r="C54" s="300">
        <v>13</v>
      </c>
      <c r="D54" s="383" t="s">
        <v>586</v>
      </c>
      <c r="E54" s="383">
        <v>3</v>
      </c>
      <c r="F54" s="383">
        <v>2800</v>
      </c>
      <c r="G54" s="181">
        <v>933.33333333333337</v>
      </c>
      <c r="H54" s="645"/>
      <c r="I54" s="391">
        <f t="shared" si="27"/>
        <v>3</v>
      </c>
      <c r="J54" s="391">
        <f t="shared" si="28"/>
        <v>3110.5306122449074</v>
      </c>
      <c r="K54" s="199">
        <f t="shared" si="29"/>
        <v>1036.8435374149692</v>
      </c>
      <c r="L54" s="617"/>
      <c r="M54" s="198">
        <f>RANK(K54, K$42:$K$71)</f>
        <v>9</v>
      </c>
      <c r="N54" s="637"/>
      <c r="O54" s="637"/>
      <c r="P54" s="539">
        <v>3</v>
      </c>
      <c r="Q54" s="416">
        <v>3216.0000000000118</v>
      </c>
      <c r="R54" s="416">
        <v>1072.0000000000039</v>
      </c>
      <c r="S54" s="539">
        <f t="shared" si="11"/>
        <v>2</v>
      </c>
      <c r="T54" s="645"/>
      <c r="U54" s="539">
        <v>3</v>
      </c>
      <c r="V54" s="416">
        <v>3256.0000000000114</v>
      </c>
      <c r="W54" s="416">
        <v>1085.3333333333371</v>
      </c>
      <c r="X54" s="539">
        <f t="shared" si="13"/>
        <v>1</v>
      </c>
      <c r="Y54" s="645"/>
      <c r="Z54" s="539">
        <v>3</v>
      </c>
      <c r="AA54" s="416">
        <v>2821.7142857142831</v>
      </c>
      <c r="AB54" s="416">
        <v>940.57142857142765</v>
      </c>
      <c r="AC54" s="539">
        <f t="shared" si="15"/>
        <v>11</v>
      </c>
      <c r="AD54" s="645"/>
      <c r="AE54" s="539">
        <v>3</v>
      </c>
      <c r="AF54" s="416">
        <v>2842.0000000000105</v>
      </c>
      <c r="AG54" s="416">
        <v>947.33333333333678</v>
      </c>
      <c r="AH54" s="539">
        <f t="shared" si="17"/>
        <v>11</v>
      </c>
      <c r="AI54" s="645"/>
      <c r="AJ54" s="539">
        <v>3</v>
      </c>
      <c r="AK54" s="416">
        <v>3092.0000000000109</v>
      </c>
      <c r="AL54" s="416">
        <v>1030.6666666666704</v>
      </c>
      <c r="AM54" s="539">
        <f t="shared" si="19"/>
        <v>9</v>
      </c>
      <c r="AN54" s="645"/>
      <c r="AO54" s="539">
        <v>3</v>
      </c>
      <c r="AP54" s="416">
        <v>3308.0000000000118</v>
      </c>
      <c r="AQ54" s="416">
        <v>1102.6666666666706</v>
      </c>
      <c r="AR54" s="539">
        <f t="shared" si="21"/>
        <v>1</v>
      </c>
      <c r="AS54" s="645"/>
      <c r="AT54" s="539">
        <v>3</v>
      </c>
      <c r="AU54" s="416">
        <v>3238.0000000000118</v>
      </c>
      <c r="AV54" s="416">
        <v>1079.3333333333374</v>
      </c>
      <c r="AW54" s="539">
        <f t="shared" si="23"/>
        <v>2</v>
      </c>
      <c r="AX54" s="645"/>
      <c r="AZ54" s="402" t="e">
        <f t="shared" si="25"/>
        <v>#N/A</v>
      </c>
      <c r="BA54" s="645"/>
    </row>
    <row r="55" spans="2:53">
      <c r="B55" s="659"/>
      <c r="C55" s="300">
        <v>14</v>
      </c>
      <c r="D55" s="383" t="s">
        <v>587</v>
      </c>
      <c r="E55" s="383">
        <v>4</v>
      </c>
      <c r="F55" s="383">
        <v>2200</v>
      </c>
      <c r="G55" s="181">
        <v>550</v>
      </c>
      <c r="H55" s="645"/>
      <c r="I55" s="391">
        <f t="shared" si="27"/>
        <v>3</v>
      </c>
      <c r="J55" s="391">
        <f t="shared" si="28"/>
        <v>2244.350340136054</v>
      </c>
      <c r="K55" s="199">
        <f t="shared" si="29"/>
        <v>748.11678004535133</v>
      </c>
      <c r="L55" s="617"/>
      <c r="M55" s="198">
        <f>RANK(K55, K$42:$K$71)</f>
        <v>18</v>
      </c>
      <c r="N55" s="637"/>
      <c r="O55" s="637"/>
      <c r="P55" s="539">
        <v>3</v>
      </c>
      <c r="Q55" s="416">
        <v>2413.4999999999991</v>
      </c>
      <c r="R55" s="416">
        <v>804.49999999999966</v>
      </c>
      <c r="S55" s="539">
        <f t="shared" si="11"/>
        <v>13</v>
      </c>
      <c r="T55" s="645"/>
      <c r="U55" s="539">
        <v>3</v>
      </c>
      <c r="V55" s="416">
        <v>2332.4999999999991</v>
      </c>
      <c r="W55" s="416">
        <v>777.49999999999966</v>
      </c>
      <c r="X55" s="539">
        <f t="shared" si="13"/>
        <v>15</v>
      </c>
      <c r="Y55" s="645"/>
      <c r="Z55" s="539">
        <v>3</v>
      </c>
      <c r="AA55" s="416">
        <v>2161.4999999999991</v>
      </c>
      <c r="AB55" s="416">
        <v>720.49999999999966</v>
      </c>
      <c r="AC55" s="539">
        <f t="shared" si="15"/>
        <v>20</v>
      </c>
      <c r="AD55" s="645"/>
      <c r="AE55" s="539">
        <v>3</v>
      </c>
      <c r="AF55" s="416">
        <v>2266.2857142857119</v>
      </c>
      <c r="AG55" s="416">
        <v>755.42857142857065</v>
      </c>
      <c r="AH55" s="539">
        <f t="shared" si="17"/>
        <v>17</v>
      </c>
      <c r="AI55" s="645"/>
      <c r="AJ55" s="539">
        <v>3</v>
      </c>
      <c r="AK55" s="416">
        <v>2177.9999999999995</v>
      </c>
      <c r="AL55" s="416">
        <v>725.99999999999989</v>
      </c>
      <c r="AM55" s="539">
        <f t="shared" si="19"/>
        <v>21</v>
      </c>
      <c r="AN55" s="645"/>
      <c r="AO55" s="539">
        <v>3</v>
      </c>
      <c r="AP55" s="416">
        <v>2168</v>
      </c>
      <c r="AQ55" s="416">
        <v>722.66666666666663</v>
      </c>
      <c r="AR55" s="539">
        <f t="shared" si="21"/>
        <v>20</v>
      </c>
      <c r="AS55" s="645"/>
      <c r="AT55" s="539">
        <v>3</v>
      </c>
      <c r="AU55" s="416">
        <v>2190.666666666667</v>
      </c>
      <c r="AV55" s="416">
        <v>730.22222222222229</v>
      </c>
      <c r="AW55" s="539">
        <f t="shared" si="23"/>
        <v>18</v>
      </c>
      <c r="AX55" s="645"/>
      <c r="AZ55" s="402" t="e">
        <f t="shared" si="25"/>
        <v>#N/A</v>
      </c>
      <c r="BA55" s="645"/>
    </row>
    <row r="56" spans="2:53">
      <c r="B56" s="659"/>
      <c r="C56" s="300">
        <v>15</v>
      </c>
      <c r="D56" s="383" t="s">
        <v>636</v>
      </c>
      <c r="E56" s="383">
        <v>8</v>
      </c>
      <c r="F56" s="383">
        <v>1500</v>
      </c>
      <c r="G56" s="181">
        <v>187.5</v>
      </c>
      <c r="H56" s="645"/>
      <c r="I56" s="391">
        <f t="shared" si="27"/>
        <v>12</v>
      </c>
      <c r="J56" s="391">
        <f t="shared" si="28"/>
        <v>1428.5532904282645</v>
      </c>
      <c r="K56" s="199">
        <f t="shared" si="29"/>
        <v>119.04610753568871</v>
      </c>
      <c r="L56" s="617"/>
      <c r="M56" s="198">
        <f>RANK(K56, K$42:$K$71)</f>
        <v>23</v>
      </c>
      <c r="N56" s="637"/>
      <c r="O56" s="637"/>
      <c r="P56" s="539">
        <v>12</v>
      </c>
      <c r="Q56" s="416">
        <v>1456.5217391304332</v>
      </c>
      <c r="R56" s="416">
        <v>121.37681159420276</v>
      </c>
      <c r="S56" s="539">
        <f t="shared" si="11"/>
        <v>23</v>
      </c>
      <c r="T56" s="645"/>
      <c r="U56" s="539">
        <v>12</v>
      </c>
      <c r="V56" s="416">
        <v>1404.8571428571413</v>
      </c>
      <c r="W56" s="416">
        <v>117.07142857142844</v>
      </c>
      <c r="X56" s="539">
        <f t="shared" si="13"/>
        <v>23</v>
      </c>
      <c r="Y56" s="645"/>
      <c r="Z56" s="539">
        <v>12</v>
      </c>
      <c r="AA56" s="416">
        <v>1410.4615384615329</v>
      </c>
      <c r="AB56" s="416">
        <v>117.53846153846108</v>
      </c>
      <c r="AC56" s="539">
        <f t="shared" si="15"/>
        <v>23</v>
      </c>
      <c r="AD56" s="645"/>
      <c r="AE56" s="539">
        <v>12</v>
      </c>
      <c r="AF56" s="416">
        <v>1424.5161290322558</v>
      </c>
      <c r="AG56" s="416">
        <v>118.70967741935465</v>
      </c>
      <c r="AH56" s="539">
        <f t="shared" si="17"/>
        <v>24</v>
      </c>
      <c r="AI56" s="645"/>
      <c r="AJ56" s="539">
        <v>12</v>
      </c>
      <c r="AK56" s="416">
        <v>1437.2307692307706</v>
      </c>
      <c r="AL56" s="416">
        <v>119.76923076923089</v>
      </c>
      <c r="AM56" s="539">
        <f t="shared" si="19"/>
        <v>24</v>
      </c>
      <c r="AN56" s="645"/>
      <c r="AO56" s="539">
        <v>12</v>
      </c>
      <c r="AP56" s="416">
        <v>1454.5714285714303</v>
      </c>
      <c r="AQ56" s="416">
        <v>121.21428571428585</v>
      </c>
      <c r="AR56" s="539">
        <f t="shared" si="21"/>
        <v>23</v>
      </c>
      <c r="AS56" s="645"/>
      <c r="AT56" s="539">
        <v>12</v>
      </c>
      <c r="AU56" s="416">
        <v>1411.7142857142874</v>
      </c>
      <c r="AV56" s="416">
        <v>117.64285714285728</v>
      </c>
      <c r="AW56" s="539">
        <f t="shared" si="23"/>
        <v>23</v>
      </c>
      <c r="AX56" s="645"/>
      <c r="AZ56" s="402" t="e">
        <f t="shared" si="25"/>
        <v>#N/A</v>
      </c>
      <c r="BA56" s="645"/>
    </row>
    <row r="57" spans="2:53">
      <c r="B57" s="659"/>
      <c r="C57" s="300">
        <v>16</v>
      </c>
      <c r="D57" s="383" t="s">
        <v>588</v>
      </c>
      <c r="E57" s="383">
        <v>3</v>
      </c>
      <c r="F57" s="383">
        <v>2800</v>
      </c>
      <c r="G57" s="181">
        <v>933.33333333333337</v>
      </c>
      <c r="H57" s="645"/>
      <c r="I57" s="391">
        <f t="shared" si="27"/>
        <v>3</v>
      </c>
      <c r="J57" s="391">
        <f t="shared" si="28"/>
        <v>2753.7872461520069</v>
      </c>
      <c r="K57" s="199">
        <f t="shared" si="29"/>
        <v>917.92908205066908</v>
      </c>
      <c r="L57" s="617"/>
      <c r="M57" s="198">
        <f>RANK(K57, K$42:$K$71)</f>
        <v>12</v>
      </c>
      <c r="N57" s="637"/>
      <c r="O57" s="637"/>
      <c r="P57" s="539">
        <v>3</v>
      </c>
      <c r="Q57" s="416">
        <v>2750.2325581395394</v>
      </c>
      <c r="R57" s="416">
        <v>916.74418604651316</v>
      </c>
      <c r="S57" s="539">
        <f t="shared" si="11"/>
        <v>12</v>
      </c>
      <c r="T57" s="645"/>
      <c r="U57" s="539">
        <v>3</v>
      </c>
      <c r="V57" s="416">
        <v>2774.2857142857133</v>
      </c>
      <c r="W57" s="416">
        <v>924.76190476190447</v>
      </c>
      <c r="X57" s="539">
        <f t="shared" si="13"/>
        <v>12</v>
      </c>
      <c r="Y57" s="645"/>
      <c r="Z57" s="539">
        <v>3</v>
      </c>
      <c r="AA57" s="416">
        <v>2800.4999999999991</v>
      </c>
      <c r="AB57" s="416">
        <v>933.49999999999966</v>
      </c>
      <c r="AC57" s="539">
        <f t="shared" si="15"/>
        <v>12</v>
      </c>
      <c r="AD57" s="645"/>
      <c r="AE57" s="539">
        <v>3</v>
      </c>
      <c r="AF57" s="416">
        <v>2777.1428571428546</v>
      </c>
      <c r="AG57" s="416">
        <v>925.71428571428487</v>
      </c>
      <c r="AH57" s="539">
        <f t="shared" si="17"/>
        <v>12</v>
      </c>
      <c r="AI57" s="645"/>
      <c r="AJ57" s="539">
        <v>3</v>
      </c>
      <c r="AK57" s="416">
        <v>2601.6666666666702</v>
      </c>
      <c r="AL57" s="416">
        <v>867.22222222222342</v>
      </c>
      <c r="AM57" s="539">
        <f t="shared" si="19"/>
        <v>12</v>
      </c>
      <c r="AN57" s="645"/>
      <c r="AO57" s="539">
        <v>3</v>
      </c>
      <c r="AP57" s="416">
        <v>2793.6585365853703</v>
      </c>
      <c r="AQ57" s="416">
        <v>931.21951219512346</v>
      </c>
      <c r="AR57" s="539">
        <f t="shared" si="21"/>
        <v>12</v>
      </c>
      <c r="AS57" s="645"/>
      <c r="AT57" s="539">
        <v>3</v>
      </c>
      <c r="AU57" s="416">
        <v>2779.0243902439015</v>
      </c>
      <c r="AV57" s="416">
        <v>926.34146341463384</v>
      </c>
      <c r="AW57" s="539">
        <f t="shared" si="23"/>
        <v>13</v>
      </c>
      <c r="AX57" s="645"/>
      <c r="AZ57" s="402" t="e">
        <f t="shared" si="25"/>
        <v>#N/A</v>
      </c>
      <c r="BA57" s="645"/>
    </row>
    <row r="58" spans="2:53">
      <c r="B58" s="659"/>
      <c r="C58" s="300">
        <v>17</v>
      </c>
      <c r="D58" s="383" t="s">
        <v>589</v>
      </c>
      <c r="E58" s="383">
        <v>4</v>
      </c>
      <c r="F58" s="383">
        <v>2800</v>
      </c>
      <c r="G58" s="181">
        <v>700</v>
      </c>
      <c r="H58" s="645"/>
      <c r="I58" s="391">
        <f t="shared" si="27"/>
        <v>4</v>
      </c>
      <c r="J58" s="391">
        <f t="shared" si="28"/>
        <v>2775.8772150155614</v>
      </c>
      <c r="K58" s="199">
        <f t="shared" si="29"/>
        <v>693.96930375389036</v>
      </c>
      <c r="L58" s="617"/>
      <c r="M58" s="198">
        <f>RANK(K58, K$42:$K$71)</f>
        <v>21</v>
      </c>
      <c r="N58" s="637"/>
      <c r="O58" s="637"/>
      <c r="P58" s="539">
        <v>4</v>
      </c>
      <c r="Q58" s="416">
        <v>2773.3333333333348</v>
      </c>
      <c r="R58" s="416">
        <v>693.33333333333371</v>
      </c>
      <c r="S58" s="539">
        <f t="shared" si="11"/>
        <v>21</v>
      </c>
      <c r="T58" s="645"/>
      <c r="U58" s="539">
        <v>4</v>
      </c>
      <c r="V58" s="416">
        <v>2727.8571428571449</v>
      </c>
      <c r="W58" s="416">
        <v>681.96428571428623</v>
      </c>
      <c r="X58" s="539">
        <f t="shared" si="13"/>
        <v>21</v>
      </c>
      <c r="Y58" s="645"/>
      <c r="Z58" s="539">
        <v>4</v>
      </c>
      <c r="AA58" s="416">
        <v>2716.1538461538476</v>
      </c>
      <c r="AB58" s="416">
        <v>679.03846153846189</v>
      </c>
      <c r="AC58" s="539">
        <f t="shared" si="15"/>
        <v>21</v>
      </c>
      <c r="AD58" s="645"/>
      <c r="AE58" s="539">
        <v>4</v>
      </c>
      <c r="AF58" s="416">
        <v>2731.4285714285706</v>
      </c>
      <c r="AG58" s="416">
        <v>682.85714285714266</v>
      </c>
      <c r="AH58" s="539">
        <f t="shared" si="17"/>
        <v>22</v>
      </c>
      <c r="AI58" s="645"/>
      <c r="AJ58" s="539">
        <v>4</v>
      </c>
      <c r="AK58" s="416">
        <v>2914.7368421052611</v>
      </c>
      <c r="AL58" s="416">
        <v>728.68421052631527</v>
      </c>
      <c r="AM58" s="539">
        <f t="shared" si="19"/>
        <v>20</v>
      </c>
      <c r="AN58" s="645"/>
      <c r="AO58" s="539">
        <v>4</v>
      </c>
      <c r="AP58" s="416">
        <v>2769.2307692307709</v>
      </c>
      <c r="AQ58" s="416">
        <v>692.30769230769272</v>
      </c>
      <c r="AR58" s="539">
        <f t="shared" si="21"/>
        <v>22</v>
      </c>
      <c r="AS58" s="645"/>
      <c r="AT58" s="539">
        <v>4</v>
      </c>
      <c r="AU58" s="416">
        <v>2798.400000000001</v>
      </c>
      <c r="AV58" s="416">
        <v>699.60000000000025</v>
      </c>
      <c r="AW58" s="539">
        <f t="shared" si="23"/>
        <v>20</v>
      </c>
      <c r="AX58" s="645"/>
      <c r="AZ58" s="402" t="e">
        <f t="shared" si="25"/>
        <v>#N/A</v>
      </c>
      <c r="BA58" s="645"/>
    </row>
    <row r="59" spans="2:53">
      <c r="B59" s="659"/>
      <c r="C59" s="300">
        <v>18</v>
      </c>
      <c r="D59" s="383" t="s">
        <v>606</v>
      </c>
      <c r="E59" s="383">
        <v>12</v>
      </c>
      <c r="F59" s="383">
        <v>1500</v>
      </c>
      <c r="G59" s="181">
        <v>125</v>
      </c>
      <c r="H59" s="645"/>
      <c r="I59" s="391">
        <f t="shared" si="27"/>
        <v>12</v>
      </c>
      <c r="J59" s="391">
        <f t="shared" si="28"/>
        <v>1300.1690645489011</v>
      </c>
      <c r="K59" s="199">
        <f t="shared" si="29"/>
        <v>108.34742204574175</v>
      </c>
      <c r="L59" s="617"/>
      <c r="M59" s="198">
        <f>RANK(K59, K$42:$K$71)</f>
        <v>24</v>
      </c>
      <c r="N59" s="637"/>
      <c r="O59" s="637"/>
      <c r="P59" s="539">
        <v>12</v>
      </c>
      <c r="Q59" s="416">
        <v>1204.6153846153813</v>
      </c>
      <c r="R59" s="416">
        <v>100.38461538461512</v>
      </c>
      <c r="S59" s="539">
        <f t="shared" si="11"/>
        <v>24</v>
      </c>
      <c r="T59" s="645"/>
      <c r="U59" s="539">
        <v>12</v>
      </c>
      <c r="V59" s="416">
        <v>1166.4000000000117</v>
      </c>
      <c r="W59" s="416">
        <v>97.200000000000969</v>
      </c>
      <c r="X59" s="539">
        <f t="shared" si="13"/>
        <v>24</v>
      </c>
      <c r="Y59" s="645"/>
      <c r="Z59" s="539">
        <v>12</v>
      </c>
      <c r="AA59" s="416">
        <v>1182.8571428571652</v>
      </c>
      <c r="AB59" s="416">
        <v>98.571428571430431</v>
      </c>
      <c r="AC59" s="539">
        <f t="shared" si="15"/>
        <v>24</v>
      </c>
      <c r="AD59" s="645"/>
      <c r="AE59" s="539">
        <v>12</v>
      </c>
      <c r="AF59" s="416">
        <v>1444.2857142857195</v>
      </c>
      <c r="AG59" s="416">
        <v>120.35714285714329</v>
      </c>
      <c r="AH59" s="539">
        <f t="shared" si="17"/>
        <v>23</v>
      </c>
      <c r="AI59" s="645"/>
      <c r="AJ59" s="539">
        <v>12</v>
      </c>
      <c r="AK59" s="416">
        <v>1485.8823529411818</v>
      </c>
      <c r="AL59" s="416">
        <v>123.82352941176515</v>
      </c>
      <c r="AM59" s="539">
        <f t="shared" si="19"/>
        <v>23</v>
      </c>
      <c r="AN59" s="645"/>
      <c r="AO59" s="539">
        <v>12</v>
      </c>
      <c r="AP59" s="416">
        <v>1219.9999999999964</v>
      </c>
      <c r="AQ59" s="416">
        <v>101.66666666666636</v>
      </c>
      <c r="AR59" s="539">
        <f t="shared" si="21"/>
        <v>24</v>
      </c>
      <c r="AS59" s="645"/>
      <c r="AT59" s="539">
        <v>12</v>
      </c>
      <c r="AU59" s="416">
        <v>1397.1428571428514</v>
      </c>
      <c r="AV59" s="416">
        <v>116.42857142857095</v>
      </c>
      <c r="AW59" s="539">
        <f t="shared" si="23"/>
        <v>24</v>
      </c>
      <c r="AX59" s="645"/>
      <c r="AZ59" s="402" t="e">
        <f t="shared" si="25"/>
        <v>#N/A</v>
      </c>
      <c r="BA59" s="645"/>
    </row>
    <row r="60" spans="2:53">
      <c r="B60" s="659"/>
      <c r="C60" s="300">
        <v>19</v>
      </c>
      <c r="D60" s="383" t="s">
        <v>617</v>
      </c>
      <c r="E60" s="383">
        <v>3</v>
      </c>
      <c r="F60" s="383">
        <v>3000</v>
      </c>
      <c r="G60" s="181">
        <v>933.33333333333337</v>
      </c>
      <c r="H60" s="645"/>
      <c r="I60" s="391">
        <f t="shared" si="27"/>
        <v>3</v>
      </c>
      <c r="J60" s="391">
        <f t="shared" si="28"/>
        <v>3072.8571428571331</v>
      </c>
      <c r="K60" s="199">
        <f t="shared" si="29"/>
        <v>1024.2857142857113</v>
      </c>
      <c r="L60" s="617"/>
      <c r="M60" s="198">
        <f>RANK(K60, K$42:$K$71)</f>
        <v>10</v>
      </c>
      <c r="N60" s="637"/>
      <c r="O60" s="637"/>
      <c r="P60" s="539">
        <v>3</v>
      </c>
      <c r="Q60" s="416">
        <v>3143.9999999999859</v>
      </c>
      <c r="R60" s="416">
        <v>1047.9999999999952</v>
      </c>
      <c r="S60" s="539">
        <f t="shared" si="11"/>
        <v>6</v>
      </c>
      <c r="T60" s="645"/>
      <c r="U60" s="539">
        <v>3</v>
      </c>
      <c r="V60" s="416">
        <v>3170.9999999999859</v>
      </c>
      <c r="W60" s="416">
        <v>1056.9999999999952</v>
      </c>
      <c r="X60" s="539">
        <f t="shared" si="13"/>
        <v>7</v>
      </c>
      <c r="Y60" s="645"/>
      <c r="Z60" s="539">
        <v>3</v>
      </c>
      <c r="AA60" s="416">
        <v>2834.9999999999873</v>
      </c>
      <c r="AB60" s="416">
        <v>944.99999999999579</v>
      </c>
      <c r="AC60" s="539">
        <f t="shared" si="15"/>
        <v>10</v>
      </c>
      <c r="AD60" s="645"/>
      <c r="AE60" s="539">
        <v>3</v>
      </c>
      <c r="AF60" s="416">
        <v>3492.0000000000127</v>
      </c>
      <c r="AG60" s="416">
        <v>1164.0000000000043</v>
      </c>
      <c r="AH60" s="539">
        <f t="shared" si="17"/>
        <v>1</v>
      </c>
      <c r="AI60" s="645"/>
      <c r="AJ60" s="539">
        <v>3</v>
      </c>
      <c r="AK60" s="416">
        <v>2786.9999999999877</v>
      </c>
      <c r="AL60" s="416">
        <v>928.99999999999591</v>
      </c>
      <c r="AM60" s="539">
        <f t="shared" si="19"/>
        <v>11</v>
      </c>
      <c r="AN60" s="645"/>
      <c r="AO60" s="539">
        <v>3</v>
      </c>
      <c r="AP60" s="416">
        <v>3095.9999999999864</v>
      </c>
      <c r="AQ60" s="416">
        <v>1031.9999999999955</v>
      </c>
      <c r="AR60" s="539">
        <f t="shared" si="21"/>
        <v>10</v>
      </c>
      <c r="AS60" s="645"/>
      <c r="AT60" s="539">
        <v>3</v>
      </c>
      <c r="AU60" s="416">
        <v>2984.9999999999868</v>
      </c>
      <c r="AV60" s="416">
        <v>994.99999999999557</v>
      </c>
      <c r="AW60" s="539">
        <f t="shared" si="23"/>
        <v>12</v>
      </c>
      <c r="AX60" s="645"/>
      <c r="AZ60" s="402" t="e">
        <f t="shared" si="25"/>
        <v>#N/A</v>
      </c>
      <c r="BA60" s="645"/>
    </row>
    <row r="61" spans="2:53">
      <c r="B61" s="659"/>
      <c r="C61" s="300">
        <v>20</v>
      </c>
      <c r="D61" s="383" t="s">
        <v>621</v>
      </c>
      <c r="E61" s="383">
        <v>4</v>
      </c>
      <c r="F61" s="383">
        <v>3200</v>
      </c>
      <c r="G61" s="181">
        <v>800</v>
      </c>
      <c r="H61" s="645"/>
      <c r="I61" s="391">
        <f t="shared" si="27"/>
        <v>4</v>
      </c>
      <c r="J61" s="391">
        <f t="shared" si="28"/>
        <v>2975.584057971012</v>
      </c>
      <c r="K61" s="199">
        <f t="shared" si="29"/>
        <v>743.89601449275301</v>
      </c>
      <c r="L61" s="617"/>
      <c r="M61" s="198">
        <f>RANK(K61, K$42:$K$71)</f>
        <v>19</v>
      </c>
      <c r="N61" s="637"/>
      <c r="O61" s="637"/>
      <c r="P61" s="539">
        <v>4</v>
      </c>
      <c r="Q61" s="416">
        <v>2944.8000000000006</v>
      </c>
      <c r="R61" s="416">
        <v>736.20000000000016</v>
      </c>
      <c r="S61" s="539">
        <f t="shared" si="11"/>
        <v>19</v>
      </c>
      <c r="T61" s="645"/>
      <c r="U61" s="539">
        <v>4</v>
      </c>
      <c r="V61" s="416">
        <v>2964.0000000000009</v>
      </c>
      <c r="W61" s="416">
        <v>741.00000000000023</v>
      </c>
      <c r="X61" s="539">
        <f t="shared" si="13"/>
        <v>19</v>
      </c>
      <c r="Y61" s="645"/>
      <c r="Z61" s="539">
        <v>4</v>
      </c>
      <c r="AA61" s="416">
        <v>2889.6000000000008</v>
      </c>
      <c r="AB61" s="416">
        <v>722.4000000000002</v>
      </c>
      <c r="AC61" s="539">
        <f t="shared" si="15"/>
        <v>19</v>
      </c>
      <c r="AD61" s="645"/>
      <c r="AE61" s="539">
        <v>4</v>
      </c>
      <c r="AF61" s="416">
        <v>2986.6666666666774</v>
      </c>
      <c r="AG61" s="416">
        <v>746.66666666666936</v>
      </c>
      <c r="AH61" s="539">
        <f t="shared" si="17"/>
        <v>19</v>
      </c>
      <c r="AI61" s="645"/>
      <c r="AJ61" s="539">
        <v>4</v>
      </c>
      <c r="AK61" s="416">
        <v>3127.49999999998</v>
      </c>
      <c r="AL61" s="416">
        <v>781.874999999995</v>
      </c>
      <c r="AM61" s="539">
        <f t="shared" si="19"/>
        <v>18</v>
      </c>
      <c r="AN61" s="645"/>
      <c r="AO61" s="539">
        <v>4</v>
      </c>
      <c r="AP61" s="416">
        <v>2916.521739130435</v>
      </c>
      <c r="AQ61" s="416">
        <v>729.13043478260875</v>
      </c>
      <c r="AR61" s="539">
        <f t="shared" si="21"/>
        <v>19</v>
      </c>
      <c r="AS61" s="645"/>
      <c r="AT61" s="539">
        <v>4</v>
      </c>
      <c r="AU61" s="416">
        <v>2999.9999999999891</v>
      </c>
      <c r="AV61" s="416">
        <v>749.99999999999727</v>
      </c>
      <c r="AW61" s="539">
        <f t="shared" si="23"/>
        <v>16</v>
      </c>
      <c r="AX61" s="645"/>
      <c r="AZ61" s="402" t="e">
        <f t="shared" si="25"/>
        <v>#N/A</v>
      </c>
      <c r="BA61" s="645"/>
    </row>
    <row r="62" spans="2:53">
      <c r="B62" s="659"/>
      <c r="C62" s="300">
        <v>21</v>
      </c>
      <c r="D62" s="386" t="s">
        <v>629</v>
      </c>
      <c r="E62" s="383">
        <v>3</v>
      </c>
      <c r="F62" s="383">
        <v>3200</v>
      </c>
      <c r="G62" s="181">
        <v>1066.6666666666667</v>
      </c>
      <c r="H62" s="645"/>
      <c r="I62" s="391">
        <f t="shared" si="27"/>
        <v>3</v>
      </c>
      <c r="J62" s="391">
        <f t="shared" si="28"/>
        <v>3149.7680890538018</v>
      </c>
      <c r="K62" s="199">
        <f t="shared" si="29"/>
        <v>1049.9226963512669</v>
      </c>
      <c r="L62" s="617"/>
      <c r="M62" s="198">
        <f>RANK(K62, K$42:$K$71)</f>
        <v>7</v>
      </c>
      <c r="N62" s="637"/>
      <c r="O62" s="637"/>
      <c r="P62" s="539">
        <v>3</v>
      </c>
      <c r="Q62" s="416">
        <v>3142.49999999999</v>
      </c>
      <c r="R62" s="416">
        <v>1047.4999999999966</v>
      </c>
      <c r="S62" s="539">
        <f t="shared" si="11"/>
        <v>7</v>
      </c>
      <c r="T62" s="645"/>
      <c r="U62" s="539">
        <v>3</v>
      </c>
      <c r="V62" s="416">
        <v>3099.9999999999905</v>
      </c>
      <c r="W62" s="416">
        <v>1033.3333333333301</v>
      </c>
      <c r="X62" s="539">
        <f t="shared" si="13"/>
        <v>9</v>
      </c>
      <c r="Y62" s="645"/>
      <c r="Z62" s="539">
        <v>3</v>
      </c>
      <c r="AA62" s="416">
        <v>3090.0000000000109</v>
      </c>
      <c r="AB62" s="416">
        <v>1030.0000000000036</v>
      </c>
      <c r="AC62" s="539">
        <f t="shared" si="15"/>
        <v>8</v>
      </c>
      <c r="AD62" s="645"/>
      <c r="AE62" s="539">
        <v>3</v>
      </c>
      <c r="AF62" s="416">
        <v>3149.9999999999973</v>
      </c>
      <c r="AG62" s="416">
        <v>1049.9999999999991</v>
      </c>
      <c r="AH62" s="539">
        <f t="shared" si="17"/>
        <v>4</v>
      </c>
      <c r="AI62" s="645"/>
      <c r="AJ62" s="539">
        <v>3</v>
      </c>
      <c r="AK62" s="416">
        <v>3292.5000000000114</v>
      </c>
      <c r="AL62" s="416">
        <v>1097.5000000000039</v>
      </c>
      <c r="AM62" s="539">
        <f t="shared" si="19"/>
        <v>2</v>
      </c>
      <c r="AN62" s="645"/>
      <c r="AO62" s="539">
        <v>3</v>
      </c>
      <c r="AP62" s="416">
        <v>3139.090909090909</v>
      </c>
      <c r="AQ62" s="416">
        <v>1046.3636363636363</v>
      </c>
      <c r="AR62" s="539">
        <f t="shared" si="21"/>
        <v>7</v>
      </c>
      <c r="AS62" s="645"/>
      <c r="AT62" s="539">
        <v>3</v>
      </c>
      <c r="AU62" s="416">
        <v>3134.2857142857015</v>
      </c>
      <c r="AV62" s="416">
        <v>1044.7619047619005</v>
      </c>
      <c r="AW62" s="539">
        <f t="shared" si="23"/>
        <v>9</v>
      </c>
      <c r="AX62" s="645"/>
      <c r="AZ62" s="402" t="e">
        <f t="shared" si="25"/>
        <v>#N/A</v>
      </c>
      <c r="BA62" s="645"/>
    </row>
    <row r="63" spans="2:53">
      <c r="B63" s="659"/>
      <c r="C63" s="300">
        <v>22</v>
      </c>
      <c r="D63" s="383" t="s">
        <v>699</v>
      </c>
      <c r="E63" s="383">
        <v>3</v>
      </c>
      <c r="F63" s="383">
        <v>3200</v>
      </c>
      <c r="G63" s="383">
        <v>1066.6666666666667</v>
      </c>
      <c r="H63" s="645"/>
      <c r="I63" s="391">
        <f t="shared" si="27"/>
        <v>3</v>
      </c>
      <c r="J63" s="391">
        <f t="shared" si="28"/>
        <v>3186.8804187562337</v>
      </c>
      <c r="K63" s="199">
        <f t="shared" si="29"/>
        <v>1062.2934729187446</v>
      </c>
      <c r="L63" s="617"/>
      <c r="M63" s="198">
        <f>RANK(K63, K$42:$K$71)</f>
        <v>2</v>
      </c>
      <c r="N63" s="637"/>
      <c r="O63" s="637"/>
      <c r="P63" s="539">
        <v>3</v>
      </c>
      <c r="Q63" s="416">
        <v>3257.9999999999959</v>
      </c>
      <c r="R63" s="416">
        <v>1085.9999999999986</v>
      </c>
      <c r="S63" s="539">
        <f t="shared" si="11"/>
        <v>1</v>
      </c>
      <c r="T63" s="645"/>
      <c r="U63" s="539">
        <v>3</v>
      </c>
      <c r="V63" s="416">
        <v>3195.9183673469397</v>
      </c>
      <c r="W63" s="416">
        <v>1065.30612244898</v>
      </c>
      <c r="X63" s="539">
        <f t="shared" si="13"/>
        <v>2</v>
      </c>
      <c r="Y63" s="645"/>
      <c r="Z63" s="539">
        <v>3</v>
      </c>
      <c r="AA63" s="416">
        <v>3192.5000000000009</v>
      </c>
      <c r="AB63" s="416">
        <v>1064.166666666667</v>
      </c>
      <c r="AC63" s="539">
        <f t="shared" si="15"/>
        <v>3</v>
      </c>
      <c r="AD63" s="645"/>
      <c r="AE63" s="539">
        <v>3</v>
      </c>
      <c r="AF63" s="416">
        <v>3139.500000000005</v>
      </c>
      <c r="AG63" s="416">
        <v>1046.5000000000016</v>
      </c>
      <c r="AH63" s="539">
        <f t="shared" si="17"/>
        <v>6</v>
      </c>
      <c r="AI63" s="645"/>
      <c r="AJ63" s="539">
        <v>3</v>
      </c>
      <c r="AK63" s="416">
        <v>3224.6153846153893</v>
      </c>
      <c r="AL63" s="416">
        <v>1074.8717948717965</v>
      </c>
      <c r="AM63" s="539">
        <f t="shared" si="19"/>
        <v>6</v>
      </c>
      <c r="AN63" s="645"/>
      <c r="AO63" s="539">
        <v>3</v>
      </c>
      <c r="AP63" s="416">
        <v>3145.7142857142817</v>
      </c>
      <c r="AQ63" s="416">
        <v>1048.5714285714273</v>
      </c>
      <c r="AR63" s="539">
        <f t="shared" si="21"/>
        <v>6</v>
      </c>
      <c r="AS63" s="645"/>
      <c r="AT63" s="539">
        <v>3</v>
      </c>
      <c r="AU63" s="416">
        <v>3151.9148936170218</v>
      </c>
      <c r="AV63" s="416">
        <v>1050.6382978723407</v>
      </c>
      <c r="AW63" s="539">
        <f t="shared" si="23"/>
        <v>8</v>
      </c>
      <c r="AX63" s="645"/>
      <c r="AZ63" s="402" t="e">
        <f t="shared" si="25"/>
        <v>#N/A</v>
      </c>
      <c r="BA63" s="645"/>
    </row>
    <row r="64" spans="2:53">
      <c r="B64" s="659"/>
      <c r="C64" s="300">
        <v>23</v>
      </c>
      <c r="D64" s="383" t="s">
        <v>704</v>
      </c>
      <c r="E64" s="383">
        <v>3</v>
      </c>
      <c r="F64" s="383">
        <v>3200</v>
      </c>
      <c r="G64" s="383">
        <v>1066.6666666666667</v>
      </c>
      <c r="H64" s="645"/>
      <c r="I64" s="391">
        <f t="shared" si="27"/>
        <v>3</v>
      </c>
      <c r="J64" s="391">
        <f t="shared" si="28"/>
        <v>3184.6083148139405</v>
      </c>
      <c r="K64" s="199">
        <f t="shared" si="29"/>
        <v>1061.5361049379801</v>
      </c>
      <c r="L64" s="617"/>
      <c r="M64" s="198">
        <f>RANK(K64, K$42:$K$71)</f>
        <v>3</v>
      </c>
      <c r="N64" s="637"/>
      <c r="O64" s="637"/>
      <c r="P64" s="539">
        <v>3</v>
      </c>
      <c r="Q64" s="416">
        <v>3179.0000000000032</v>
      </c>
      <c r="R64" s="416">
        <v>1059.6666666666677</v>
      </c>
      <c r="S64" s="539">
        <f t="shared" si="11"/>
        <v>4</v>
      </c>
      <c r="T64" s="645"/>
      <c r="U64" s="539">
        <v>3</v>
      </c>
      <c r="V64" s="416">
        <v>3173.7931034482872</v>
      </c>
      <c r="W64" s="416">
        <v>1057.9310344827625</v>
      </c>
      <c r="X64" s="539">
        <f t="shared" si="13"/>
        <v>6</v>
      </c>
      <c r="Y64" s="645"/>
      <c r="Z64" s="539">
        <v>3</v>
      </c>
      <c r="AA64" s="416">
        <v>3196.1538461538426</v>
      </c>
      <c r="AB64" s="416">
        <v>1065.3846153846141</v>
      </c>
      <c r="AC64" s="539">
        <f t="shared" si="15"/>
        <v>2</v>
      </c>
      <c r="AD64" s="645"/>
      <c r="AE64" s="539">
        <v>3</v>
      </c>
      <c r="AF64" s="416">
        <v>3140.4545454545455</v>
      </c>
      <c r="AG64" s="416">
        <v>1046.8181818181818</v>
      </c>
      <c r="AH64" s="539">
        <f t="shared" si="17"/>
        <v>5</v>
      </c>
      <c r="AI64" s="645"/>
      <c r="AJ64" s="539">
        <v>3</v>
      </c>
      <c r="AK64" s="416">
        <v>3213.000000000005</v>
      </c>
      <c r="AL64" s="416">
        <v>1071.0000000000016</v>
      </c>
      <c r="AM64" s="539">
        <f t="shared" si="19"/>
        <v>7</v>
      </c>
      <c r="AN64" s="645"/>
      <c r="AO64" s="539">
        <v>3</v>
      </c>
      <c r="AP64" s="416">
        <v>3198.3673469387713</v>
      </c>
      <c r="AQ64" s="416">
        <v>1066.1224489795904</v>
      </c>
      <c r="AR64" s="539">
        <f t="shared" si="21"/>
        <v>2</v>
      </c>
      <c r="AS64" s="645"/>
      <c r="AT64" s="539">
        <v>3</v>
      </c>
      <c r="AU64" s="416">
        <v>3191.4893617021285</v>
      </c>
      <c r="AV64" s="416">
        <v>1063.8297872340429</v>
      </c>
      <c r="AW64" s="539">
        <f t="shared" si="23"/>
        <v>5</v>
      </c>
      <c r="AX64" s="645"/>
      <c r="AZ64" s="402" t="e">
        <f t="shared" si="25"/>
        <v>#N/A</v>
      </c>
      <c r="BA64" s="645"/>
    </row>
    <row r="65" spans="2:53">
      <c r="B65" s="659"/>
      <c r="C65" s="300">
        <v>24</v>
      </c>
      <c r="D65" s="383" t="s">
        <v>715</v>
      </c>
      <c r="E65" s="383">
        <v>3</v>
      </c>
      <c r="F65" s="383">
        <v>3200</v>
      </c>
      <c r="G65" s="383">
        <v>1066.6666666666667</v>
      </c>
      <c r="H65" s="645"/>
      <c r="I65" s="391">
        <f t="shared" si="27"/>
        <v>3</v>
      </c>
      <c r="J65" s="391">
        <f t="shared" si="28"/>
        <v>2990.5161363760367</v>
      </c>
      <c r="K65" s="199">
        <f t="shared" si="29"/>
        <v>996.8387121253453</v>
      </c>
      <c r="L65" s="617"/>
      <c r="M65" s="198">
        <f>RANK(K65, K$42:$K$71)</f>
        <v>11</v>
      </c>
      <c r="N65" s="637"/>
      <c r="O65" s="637"/>
      <c r="P65" s="539">
        <v>3</v>
      </c>
      <c r="Q65" s="416">
        <v>2967.5675675675689</v>
      </c>
      <c r="R65" s="416">
        <v>989.18918918918962</v>
      </c>
      <c r="S65" s="539">
        <f t="shared" si="11"/>
        <v>11</v>
      </c>
      <c r="T65" s="645"/>
      <c r="U65" s="539">
        <v>3</v>
      </c>
      <c r="V65" s="416">
        <v>2965.0000000000009</v>
      </c>
      <c r="W65" s="416">
        <v>988.3333333333336</v>
      </c>
      <c r="X65" s="539">
        <f t="shared" si="13"/>
        <v>11</v>
      </c>
      <c r="Y65" s="645"/>
      <c r="Z65" s="539">
        <v>3</v>
      </c>
      <c r="AA65" s="416">
        <v>2981.739130434783</v>
      </c>
      <c r="AB65" s="416">
        <v>993.91304347826099</v>
      </c>
      <c r="AC65" s="539">
        <f t="shared" si="15"/>
        <v>9</v>
      </c>
      <c r="AD65" s="645"/>
      <c r="AE65" s="539">
        <v>3</v>
      </c>
      <c r="AF65" s="416">
        <v>3000.9836065573759</v>
      </c>
      <c r="AG65" s="416">
        <v>1000.3278688524587</v>
      </c>
      <c r="AH65" s="539">
        <f t="shared" si="17"/>
        <v>10</v>
      </c>
      <c r="AI65" s="645"/>
      <c r="AJ65" s="539">
        <v>3</v>
      </c>
      <c r="AK65" s="416">
        <v>3044.4827586206879</v>
      </c>
      <c r="AL65" s="416">
        <v>1014.8275862068959</v>
      </c>
      <c r="AM65" s="539">
        <f t="shared" si="19"/>
        <v>10</v>
      </c>
      <c r="AN65" s="645"/>
      <c r="AO65" s="539">
        <v>3</v>
      </c>
      <c r="AP65" s="416">
        <v>2986.5671641791046</v>
      </c>
      <c r="AQ65" s="416">
        <v>995.52238805970148</v>
      </c>
      <c r="AR65" s="539">
        <f t="shared" si="21"/>
        <v>11</v>
      </c>
      <c r="AS65" s="645"/>
      <c r="AT65" s="539">
        <v>3</v>
      </c>
      <c r="AU65" s="416">
        <v>2987.2727272727302</v>
      </c>
      <c r="AV65" s="416">
        <v>995.75757575757677</v>
      </c>
      <c r="AW65" s="539">
        <f t="shared" si="23"/>
        <v>11</v>
      </c>
      <c r="AX65" s="645"/>
      <c r="AZ65" s="402" t="e">
        <f t="shared" si="25"/>
        <v>#N/A</v>
      </c>
      <c r="BA65" s="645"/>
    </row>
    <row r="66" spans="2:53">
      <c r="B66" s="659"/>
      <c r="C66" s="300">
        <v>25</v>
      </c>
      <c r="D66" s="383"/>
      <c r="E66" s="383"/>
      <c r="F66" s="383"/>
      <c r="G66" s="383"/>
      <c r="H66" s="645"/>
      <c r="I66" s="391" t="str">
        <f t="shared" si="27"/>
        <v>-</v>
      </c>
      <c r="J66" s="391" t="str">
        <f t="shared" si="28"/>
        <v>-</v>
      </c>
      <c r="K66" s="199" t="str">
        <f t="shared" si="29"/>
        <v>-</v>
      </c>
      <c r="L66" s="617"/>
      <c r="M66" s="198" t="e">
        <f>RANK(K66, K$42:$K$71)</f>
        <v>#VALUE!</v>
      </c>
      <c r="N66" s="637"/>
      <c r="O66" s="637"/>
      <c r="P66" s="539" t="s">
        <v>615</v>
      </c>
      <c r="Q66" s="416" t="s">
        <v>615</v>
      </c>
      <c r="R66" s="416" t="s">
        <v>615</v>
      </c>
      <c r="S66" s="539" t="e">
        <f t="shared" si="11"/>
        <v>#VALUE!</v>
      </c>
      <c r="T66" s="645"/>
      <c r="U66" s="539" t="s">
        <v>615</v>
      </c>
      <c r="V66" s="416" t="s">
        <v>615</v>
      </c>
      <c r="W66" s="416" t="s">
        <v>615</v>
      </c>
      <c r="X66" s="539" t="e">
        <f t="shared" si="13"/>
        <v>#VALUE!</v>
      </c>
      <c r="Y66" s="645"/>
      <c r="Z66" s="539" t="s">
        <v>615</v>
      </c>
      <c r="AA66" s="416" t="s">
        <v>615</v>
      </c>
      <c r="AB66" s="416" t="s">
        <v>615</v>
      </c>
      <c r="AC66" s="539" t="e">
        <f t="shared" si="15"/>
        <v>#VALUE!</v>
      </c>
      <c r="AD66" s="645"/>
      <c r="AE66" s="539" t="s">
        <v>615</v>
      </c>
      <c r="AF66" s="416" t="s">
        <v>615</v>
      </c>
      <c r="AG66" s="416" t="s">
        <v>615</v>
      </c>
      <c r="AH66" s="539" t="e">
        <f t="shared" si="17"/>
        <v>#VALUE!</v>
      </c>
      <c r="AI66" s="645"/>
      <c r="AJ66" s="539" t="s">
        <v>615</v>
      </c>
      <c r="AK66" s="416" t="s">
        <v>615</v>
      </c>
      <c r="AL66" s="416" t="s">
        <v>615</v>
      </c>
      <c r="AM66" s="539" t="e">
        <f t="shared" si="19"/>
        <v>#VALUE!</v>
      </c>
      <c r="AN66" s="645"/>
      <c r="AO66" s="539" t="s">
        <v>615</v>
      </c>
      <c r="AP66" s="416" t="s">
        <v>615</v>
      </c>
      <c r="AQ66" s="416" t="s">
        <v>615</v>
      </c>
      <c r="AR66" s="539" t="e">
        <f t="shared" si="21"/>
        <v>#VALUE!</v>
      </c>
      <c r="AS66" s="645"/>
      <c r="AT66" s="539" t="s">
        <v>615</v>
      </c>
      <c r="AU66" s="416" t="s">
        <v>615</v>
      </c>
      <c r="AV66" s="416" t="s">
        <v>615</v>
      </c>
      <c r="AW66" s="539" t="e">
        <f t="shared" si="23"/>
        <v>#VALUE!</v>
      </c>
      <c r="AX66" s="645"/>
      <c r="AZ66" s="402" t="e">
        <f t="shared" si="25"/>
        <v>#N/A</v>
      </c>
      <c r="BA66" s="645"/>
    </row>
    <row r="67" spans="2:53">
      <c r="B67" s="659"/>
      <c r="C67" s="300">
        <v>26</v>
      </c>
      <c r="D67" s="383"/>
      <c r="E67" s="383"/>
      <c r="F67" s="383"/>
      <c r="G67" s="383"/>
      <c r="H67" s="645"/>
      <c r="I67" s="391" t="str">
        <f t="shared" si="27"/>
        <v>-</v>
      </c>
      <c r="J67" s="391" t="str">
        <f t="shared" si="28"/>
        <v>-</v>
      </c>
      <c r="K67" s="199" t="str">
        <f t="shared" si="29"/>
        <v>-</v>
      </c>
      <c r="L67" s="617"/>
      <c r="M67" s="198" t="e">
        <f>RANK(K67, K$42:$K$71)</f>
        <v>#VALUE!</v>
      </c>
      <c r="N67" s="637"/>
      <c r="O67" s="637"/>
      <c r="P67" s="539" t="s">
        <v>615</v>
      </c>
      <c r="Q67" s="416" t="s">
        <v>615</v>
      </c>
      <c r="R67" s="416" t="s">
        <v>615</v>
      </c>
      <c r="S67" s="539" t="e">
        <f t="shared" si="11"/>
        <v>#VALUE!</v>
      </c>
      <c r="T67" s="645"/>
      <c r="U67" s="539" t="s">
        <v>615</v>
      </c>
      <c r="V67" s="416" t="s">
        <v>615</v>
      </c>
      <c r="W67" s="416" t="s">
        <v>615</v>
      </c>
      <c r="X67" s="539" t="e">
        <f t="shared" si="13"/>
        <v>#VALUE!</v>
      </c>
      <c r="Y67" s="645"/>
      <c r="Z67" s="539" t="s">
        <v>615</v>
      </c>
      <c r="AA67" s="416" t="s">
        <v>615</v>
      </c>
      <c r="AB67" s="416" t="s">
        <v>615</v>
      </c>
      <c r="AC67" s="539" t="e">
        <f t="shared" si="15"/>
        <v>#VALUE!</v>
      </c>
      <c r="AD67" s="645"/>
      <c r="AE67" s="539" t="s">
        <v>615</v>
      </c>
      <c r="AF67" s="416" t="s">
        <v>615</v>
      </c>
      <c r="AG67" s="416" t="s">
        <v>615</v>
      </c>
      <c r="AH67" s="539" t="e">
        <f t="shared" si="17"/>
        <v>#VALUE!</v>
      </c>
      <c r="AI67" s="645"/>
      <c r="AJ67" s="539" t="s">
        <v>615</v>
      </c>
      <c r="AK67" s="416" t="s">
        <v>615</v>
      </c>
      <c r="AL67" s="416" t="s">
        <v>615</v>
      </c>
      <c r="AM67" s="539" t="e">
        <f t="shared" si="19"/>
        <v>#VALUE!</v>
      </c>
      <c r="AN67" s="645"/>
      <c r="AO67" s="539" t="s">
        <v>615</v>
      </c>
      <c r="AP67" s="416" t="s">
        <v>615</v>
      </c>
      <c r="AQ67" s="416" t="s">
        <v>615</v>
      </c>
      <c r="AR67" s="539" t="e">
        <f t="shared" si="21"/>
        <v>#VALUE!</v>
      </c>
      <c r="AS67" s="645"/>
      <c r="AT67" s="539" t="s">
        <v>615</v>
      </c>
      <c r="AU67" s="416" t="s">
        <v>615</v>
      </c>
      <c r="AV67" s="416" t="s">
        <v>615</v>
      </c>
      <c r="AW67" s="539" t="e">
        <f t="shared" si="23"/>
        <v>#VALUE!</v>
      </c>
      <c r="AX67" s="645"/>
      <c r="AZ67" s="402" t="e">
        <f t="shared" si="25"/>
        <v>#N/A</v>
      </c>
      <c r="BA67" s="645"/>
    </row>
    <row r="68" spans="2:53">
      <c r="B68" s="659"/>
      <c r="C68" s="300">
        <v>27</v>
      </c>
      <c r="D68" s="383"/>
      <c r="E68" s="383"/>
      <c r="F68" s="383"/>
      <c r="G68" s="383"/>
      <c r="H68" s="645"/>
      <c r="I68" s="391" t="str">
        <f t="shared" si="27"/>
        <v>-</v>
      </c>
      <c r="J68" s="391" t="str">
        <f t="shared" si="28"/>
        <v>-</v>
      </c>
      <c r="K68" s="199" t="str">
        <f t="shared" si="29"/>
        <v>-</v>
      </c>
      <c r="L68" s="617"/>
      <c r="M68" s="198" t="e">
        <f>RANK(K68, K$42:$K$71)</f>
        <v>#VALUE!</v>
      </c>
      <c r="N68" s="637"/>
      <c r="O68" s="637"/>
      <c r="P68" s="539" t="s">
        <v>615</v>
      </c>
      <c r="Q68" s="416" t="s">
        <v>615</v>
      </c>
      <c r="R68" s="416" t="s">
        <v>615</v>
      </c>
      <c r="S68" s="539" t="e">
        <f t="shared" si="11"/>
        <v>#VALUE!</v>
      </c>
      <c r="T68" s="645"/>
      <c r="U68" s="539" t="s">
        <v>615</v>
      </c>
      <c r="V68" s="416" t="s">
        <v>615</v>
      </c>
      <c r="W68" s="416" t="s">
        <v>615</v>
      </c>
      <c r="X68" s="539" t="e">
        <f t="shared" si="13"/>
        <v>#VALUE!</v>
      </c>
      <c r="Y68" s="645"/>
      <c r="Z68" s="539" t="s">
        <v>615</v>
      </c>
      <c r="AA68" s="416" t="s">
        <v>615</v>
      </c>
      <c r="AB68" s="416" t="s">
        <v>615</v>
      </c>
      <c r="AC68" s="539" t="e">
        <f t="shared" si="15"/>
        <v>#VALUE!</v>
      </c>
      <c r="AD68" s="645"/>
      <c r="AE68" s="539" t="s">
        <v>615</v>
      </c>
      <c r="AF68" s="416" t="s">
        <v>615</v>
      </c>
      <c r="AG68" s="416" t="s">
        <v>615</v>
      </c>
      <c r="AH68" s="539" t="e">
        <f t="shared" si="17"/>
        <v>#VALUE!</v>
      </c>
      <c r="AI68" s="645"/>
      <c r="AJ68" s="539" t="s">
        <v>615</v>
      </c>
      <c r="AK68" s="416" t="s">
        <v>615</v>
      </c>
      <c r="AL68" s="416" t="s">
        <v>615</v>
      </c>
      <c r="AM68" s="539" t="e">
        <f t="shared" si="19"/>
        <v>#VALUE!</v>
      </c>
      <c r="AN68" s="645"/>
      <c r="AO68" s="539" t="s">
        <v>615</v>
      </c>
      <c r="AP68" s="416" t="s">
        <v>615</v>
      </c>
      <c r="AQ68" s="416" t="s">
        <v>615</v>
      </c>
      <c r="AR68" s="539" t="e">
        <f t="shared" si="21"/>
        <v>#VALUE!</v>
      </c>
      <c r="AS68" s="645"/>
      <c r="AT68" s="539" t="s">
        <v>615</v>
      </c>
      <c r="AU68" s="416" t="s">
        <v>615</v>
      </c>
      <c r="AV68" s="416" t="s">
        <v>615</v>
      </c>
      <c r="AW68" s="539" t="e">
        <f t="shared" si="23"/>
        <v>#VALUE!</v>
      </c>
      <c r="AX68" s="645"/>
      <c r="AZ68" s="402" t="e">
        <f t="shared" si="25"/>
        <v>#N/A</v>
      </c>
      <c r="BA68" s="645"/>
    </row>
    <row r="69" spans="2:53">
      <c r="B69" s="659"/>
      <c r="C69" s="300">
        <v>28</v>
      </c>
      <c r="D69" s="383"/>
      <c r="E69" s="383"/>
      <c r="F69" s="383"/>
      <c r="G69" s="383"/>
      <c r="H69" s="645"/>
      <c r="I69" s="391" t="str">
        <f t="shared" si="27"/>
        <v>-</v>
      </c>
      <c r="J69" s="391" t="str">
        <f t="shared" si="28"/>
        <v>-</v>
      </c>
      <c r="K69" s="199" t="str">
        <f t="shared" si="29"/>
        <v>-</v>
      </c>
      <c r="L69" s="617"/>
      <c r="M69" s="198" t="e">
        <f>RANK(K69, K$42:$K$71)</f>
        <v>#VALUE!</v>
      </c>
      <c r="N69" s="637"/>
      <c r="O69" s="637"/>
      <c r="P69" s="539" t="s">
        <v>615</v>
      </c>
      <c r="Q69" s="416" t="s">
        <v>615</v>
      </c>
      <c r="R69" s="416" t="s">
        <v>615</v>
      </c>
      <c r="S69" s="539" t="e">
        <f t="shared" si="11"/>
        <v>#VALUE!</v>
      </c>
      <c r="T69" s="645"/>
      <c r="U69" s="539" t="s">
        <v>615</v>
      </c>
      <c r="V69" s="416" t="s">
        <v>615</v>
      </c>
      <c r="W69" s="416" t="s">
        <v>615</v>
      </c>
      <c r="X69" s="539" t="e">
        <f t="shared" si="13"/>
        <v>#VALUE!</v>
      </c>
      <c r="Y69" s="645"/>
      <c r="Z69" s="539" t="s">
        <v>615</v>
      </c>
      <c r="AA69" s="416" t="s">
        <v>615</v>
      </c>
      <c r="AB69" s="416" t="s">
        <v>615</v>
      </c>
      <c r="AC69" s="539" t="e">
        <f t="shared" si="15"/>
        <v>#VALUE!</v>
      </c>
      <c r="AD69" s="645"/>
      <c r="AE69" s="539" t="s">
        <v>615</v>
      </c>
      <c r="AF69" s="416" t="s">
        <v>615</v>
      </c>
      <c r="AG69" s="416" t="s">
        <v>615</v>
      </c>
      <c r="AH69" s="539" t="e">
        <f t="shared" si="17"/>
        <v>#VALUE!</v>
      </c>
      <c r="AI69" s="645"/>
      <c r="AJ69" s="539" t="s">
        <v>615</v>
      </c>
      <c r="AK69" s="416" t="s">
        <v>615</v>
      </c>
      <c r="AL69" s="416" t="s">
        <v>615</v>
      </c>
      <c r="AM69" s="539" t="e">
        <f t="shared" si="19"/>
        <v>#VALUE!</v>
      </c>
      <c r="AN69" s="645"/>
      <c r="AO69" s="539" t="s">
        <v>615</v>
      </c>
      <c r="AP69" s="416" t="s">
        <v>615</v>
      </c>
      <c r="AQ69" s="416" t="s">
        <v>615</v>
      </c>
      <c r="AR69" s="539" t="e">
        <f t="shared" si="21"/>
        <v>#VALUE!</v>
      </c>
      <c r="AS69" s="645"/>
      <c r="AT69" s="539" t="s">
        <v>615</v>
      </c>
      <c r="AU69" s="416" t="s">
        <v>615</v>
      </c>
      <c r="AV69" s="416" t="s">
        <v>615</v>
      </c>
      <c r="AW69" s="539" t="e">
        <f t="shared" si="23"/>
        <v>#VALUE!</v>
      </c>
      <c r="AX69" s="645"/>
      <c r="AZ69" s="402" t="e">
        <f t="shared" si="25"/>
        <v>#N/A</v>
      </c>
      <c r="BA69" s="645"/>
    </row>
    <row r="70" spans="2:53">
      <c r="B70" s="659"/>
      <c r="C70" s="300">
        <v>29</v>
      </c>
      <c r="D70" s="383"/>
      <c r="E70" s="383"/>
      <c r="F70" s="383"/>
      <c r="G70" s="383"/>
      <c r="H70" s="645"/>
      <c r="I70" s="391" t="str">
        <f t="shared" si="27"/>
        <v>-</v>
      </c>
      <c r="J70" s="391" t="str">
        <f t="shared" si="28"/>
        <v>-</v>
      </c>
      <c r="K70" s="199" t="str">
        <f t="shared" si="29"/>
        <v>-</v>
      </c>
      <c r="L70" s="617"/>
      <c r="M70" s="198" t="e">
        <f>RANK(K70, K$42:$K$71)</f>
        <v>#VALUE!</v>
      </c>
      <c r="N70" s="637"/>
      <c r="O70" s="637"/>
      <c r="P70" s="539" t="s">
        <v>615</v>
      </c>
      <c r="Q70" s="416" t="s">
        <v>615</v>
      </c>
      <c r="R70" s="416" t="s">
        <v>615</v>
      </c>
      <c r="S70" s="539" t="e">
        <f t="shared" si="11"/>
        <v>#VALUE!</v>
      </c>
      <c r="T70" s="645"/>
      <c r="U70" s="539" t="s">
        <v>615</v>
      </c>
      <c r="V70" s="416" t="s">
        <v>615</v>
      </c>
      <c r="W70" s="416" t="s">
        <v>615</v>
      </c>
      <c r="X70" s="539" t="e">
        <f t="shared" si="13"/>
        <v>#VALUE!</v>
      </c>
      <c r="Y70" s="645"/>
      <c r="Z70" s="539" t="s">
        <v>615</v>
      </c>
      <c r="AA70" s="416" t="s">
        <v>615</v>
      </c>
      <c r="AB70" s="416" t="s">
        <v>615</v>
      </c>
      <c r="AC70" s="539" t="e">
        <f t="shared" si="15"/>
        <v>#VALUE!</v>
      </c>
      <c r="AD70" s="645"/>
      <c r="AE70" s="539" t="s">
        <v>615</v>
      </c>
      <c r="AF70" s="416" t="s">
        <v>615</v>
      </c>
      <c r="AG70" s="416" t="s">
        <v>615</v>
      </c>
      <c r="AH70" s="539" t="e">
        <f t="shared" si="17"/>
        <v>#VALUE!</v>
      </c>
      <c r="AI70" s="645"/>
      <c r="AJ70" s="539" t="s">
        <v>615</v>
      </c>
      <c r="AK70" s="416" t="s">
        <v>615</v>
      </c>
      <c r="AL70" s="416" t="s">
        <v>615</v>
      </c>
      <c r="AM70" s="539" t="e">
        <f t="shared" si="19"/>
        <v>#VALUE!</v>
      </c>
      <c r="AN70" s="645"/>
      <c r="AO70" s="539" t="s">
        <v>615</v>
      </c>
      <c r="AP70" s="416" t="s">
        <v>615</v>
      </c>
      <c r="AQ70" s="416" t="s">
        <v>615</v>
      </c>
      <c r="AR70" s="539" t="e">
        <f t="shared" si="21"/>
        <v>#VALUE!</v>
      </c>
      <c r="AS70" s="645"/>
      <c r="AT70" s="539" t="s">
        <v>615</v>
      </c>
      <c r="AU70" s="416" t="s">
        <v>615</v>
      </c>
      <c r="AV70" s="416" t="s">
        <v>615</v>
      </c>
      <c r="AW70" s="539" t="e">
        <f t="shared" si="23"/>
        <v>#VALUE!</v>
      </c>
      <c r="AX70" s="645"/>
      <c r="AZ70" s="402" t="e">
        <f t="shared" si="25"/>
        <v>#N/A</v>
      </c>
      <c r="BA70" s="645"/>
    </row>
    <row r="71" spans="2:53">
      <c r="B71" s="660"/>
      <c r="C71" s="300">
        <v>30</v>
      </c>
      <c r="D71" s="383"/>
      <c r="E71" s="383"/>
      <c r="F71" s="383"/>
      <c r="G71" s="383"/>
      <c r="H71" s="646"/>
      <c r="I71" s="391" t="str">
        <f t="shared" si="27"/>
        <v>-</v>
      </c>
      <c r="J71" s="391" t="str">
        <f t="shared" si="28"/>
        <v>-</v>
      </c>
      <c r="K71" s="199" t="str">
        <f t="shared" si="29"/>
        <v>-</v>
      </c>
      <c r="L71" s="618"/>
      <c r="M71" s="198" t="e">
        <f>RANK(K71, K$42:$K$71)</f>
        <v>#VALUE!</v>
      </c>
      <c r="N71" s="638"/>
      <c r="O71" s="638"/>
      <c r="P71" s="539" t="s">
        <v>615</v>
      </c>
      <c r="Q71" s="416" t="s">
        <v>615</v>
      </c>
      <c r="R71" s="416" t="s">
        <v>615</v>
      </c>
      <c r="S71" s="539" t="e">
        <f t="shared" si="11"/>
        <v>#VALUE!</v>
      </c>
      <c r="T71" s="646"/>
      <c r="U71" s="539" t="s">
        <v>615</v>
      </c>
      <c r="V71" s="416" t="s">
        <v>615</v>
      </c>
      <c r="W71" s="416" t="s">
        <v>615</v>
      </c>
      <c r="X71" s="539" t="e">
        <f t="shared" si="13"/>
        <v>#VALUE!</v>
      </c>
      <c r="Y71" s="646"/>
      <c r="Z71" s="539" t="s">
        <v>615</v>
      </c>
      <c r="AA71" s="416" t="s">
        <v>615</v>
      </c>
      <c r="AB71" s="416" t="s">
        <v>615</v>
      </c>
      <c r="AC71" s="539" t="e">
        <f t="shared" si="15"/>
        <v>#VALUE!</v>
      </c>
      <c r="AD71" s="646"/>
      <c r="AE71" s="539" t="s">
        <v>615</v>
      </c>
      <c r="AF71" s="416" t="s">
        <v>615</v>
      </c>
      <c r="AG71" s="416" t="s">
        <v>615</v>
      </c>
      <c r="AH71" s="539" t="e">
        <f t="shared" si="17"/>
        <v>#VALUE!</v>
      </c>
      <c r="AI71" s="646"/>
      <c r="AJ71" s="539" t="s">
        <v>615</v>
      </c>
      <c r="AK71" s="416" t="s">
        <v>615</v>
      </c>
      <c r="AL71" s="416" t="s">
        <v>615</v>
      </c>
      <c r="AM71" s="539" t="e">
        <f t="shared" si="19"/>
        <v>#VALUE!</v>
      </c>
      <c r="AN71" s="646"/>
      <c r="AO71" s="539" t="s">
        <v>615</v>
      </c>
      <c r="AP71" s="416" t="s">
        <v>615</v>
      </c>
      <c r="AQ71" s="416" t="s">
        <v>615</v>
      </c>
      <c r="AR71" s="539" t="e">
        <f t="shared" si="21"/>
        <v>#VALUE!</v>
      </c>
      <c r="AS71" s="646"/>
      <c r="AT71" s="539" t="s">
        <v>615</v>
      </c>
      <c r="AU71" s="416" t="s">
        <v>615</v>
      </c>
      <c r="AV71" s="416" t="s">
        <v>615</v>
      </c>
      <c r="AW71" s="539" t="e">
        <f t="shared" si="23"/>
        <v>#VALUE!</v>
      </c>
      <c r="AX71" s="646"/>
      <c r="AZ71" s="402" t="e">
        <f t="shared" si="25"/>
        <v>#N/A</v>
      </c>
      <c r="BA71" s="646"/>
    </row>
    <row r="72" spans="2:53" ht="15.75">
      <c r="B72" s="661" t="s">
        <v>163</v>
      </c>
      <c r="C72" s="662"/>
      <c r="D72" s="662"/>
      <c r="E72" s="662"/>
      <c r="F72" s="662"/>
      <c r="G72" s="662"/>
      <c r="H72" s="662"/>
      <c r="I72" s="207"/>
      <c r="J72" s="202"/>
      <c r="K72" s="207"/>
      <c r="L72" s="207"/>
      <c r="M72" s="203"/>
      <c r="N72" s="636" t="s">
        <v>156</v>
      </c>
      <c r="O72" s="636" t="s">
        <v>155</v>
      </c>
      <c r="P72" s="642">
        <f>P37+7</f>
        <v>46182</v>
      </c>
      <c r="Q72" s="643"/>
      <c r="R72" s="643"/>
      <c r="S72" s="643"/>
      <c r="T72" s="643"/>
      <c r="U72" s="639">
        <f>P72+1</f>
        <v>46183</v>
      </c>
      <c r="V72" s="640"/>
      <c r="W72" s="640"/>
      <c r="X72" s="640"/>
      <c r="Y72" s="641"/>
      <c r="Z72" s="639">
        <f>U72+1</f>
        <v>46184</v>
      </c>
      <c r="AA72" s="640"/>
      <c r="AB72" s="640"/>
      <c r="AC72" s="640"/>
      <c r="AD72" s="641"/>
      <c r="AE72" s="639">
        <f>Z72+1</f>
        <v>46185</v>
      </c>
      <c r="AF72" s="640"/>
      <c r="AG72" s="640"/>
      <c r="AH72" s="640"/>
      <c r="AI72" s="641"/>
      <c r="AJ72" s="639">
        <f>AE72+1</f>
        <v>46186</v>
      </c>
      <c r="AK72" s="640"/>
      <c r="AL72" s="640"/>
      <c r="AM72" s="640"/>
      <c r="AN72" s="641"/>
      <c r="AO72" s="639">
        <f>AJ72+1</f>
        <v>46187</v>
      </c>
      <c r="AP72" s="640"/>
      <c r="AQ72" s="640"/>
      <c r="AR72" s="640"/>
      <c r="AS72" s="641"/>
      <c r="AT72" s="639">
        <f>AO72+1</f>
        <v>46188</v>
      </c>
      <c r="AU72" s="640"/>
      <c r="AV72" s="640"/>
      <c r="AW72" s="640"/>
      <c r="AX72" s="641"/>
    </row>
    <row r="73" spans="2:53" ht="15.75">
      <c r="B73" s="650"/>
      <c r="C73" s="650"/>
      <c r="D73" s="650"/>
      <c r="E73" s="650"/>
      <c r="F73" s="650"/>
      <c r="G73" s="650"/>
      <c r="H73" s="650"/>
      <c r="I73" s="204"/>
      <c r="J73" s="204"/>
      <c r="K73" s="204"/>
      <c r="L73" s="204"/>
      <c r="M73" s="205"/>
      <c r="N73" s="638"/>
      <c r="O73" s="638"/>
      <c r="P73" s="642" t="s">
        <v>318</v>
      </c>
      <c r="Q73" s="643"/>
      <c r="R73" s="643"/>
      <c r="S73" s="643"/>
      <c r="T73" s="643"/>
      <c r="U73" s="642" t="s">
        <v>319</v>
      </c>
      <c r="V73" s="643"/>
      <c r="W73" s="643"/>
      <c r="X73" s="643"/>
      <c r="Y73" s="643"/>
      <c r="Z73" s="642" t="s">
        <v>320</v>
      </c>
      <c r="AA73" s="643"/>
      <c r="AB73" s="643"/>
      <c r="AC73" s="643"/>
      <c r="AD73" s="643"/>
      <c r="AE73" s="642" t="s">
        <v>321</v>
      </c>
      <c r="AF73" s="643"/>
      <c r="AG73" s="643"/>
      <c r="AH73" s="643"/>
      <c r="AI73" s="643"/>
      <c r="AJ73" s="642" t="s">
        <v>322</v>
      </c>
      <c r="AK73" s="643"/>
      <c r="AL73" s="643"/>
      <c r="AM73" s="643"/>
      <c r="AN73" s="643"/>
      <c r="AO73" s="642" t="s">
        <v>323</v>
      </c>
      <c r="AP73" s="643"/>
      <c r="AQ73" s="643"/>
      <c r="AR73" s="643"/>
      <c r="AS73" s="643"/>
      <c r="AT73" s="642" t="s">
        <v>324</v>
      </c>
      <c r="AU73" s="643"/>
      <c r="AV73" s="643"/>
      <c r="AW73" s="643"/>
      <c r="AX73" s="643"/>
    </row>
    <row r="74" spans="2:53">
      <c r="B74" s="636" t="s">
        <v>463</v>
      </c>
      <c r="C74" s="651" t="s">
        <v>464</v>
      </c>
      <c r="D74" s="654"/>
      <c r="E74" s="632" t="s">
        <v>465</v>
      </c>
      <c r="F74" s="633"/>
      <c r="G74" s="634"/>
      <c r="H74" s="636" t="s">
        <v>466</v>
      </c>
      <c r="I74" s="623" t="s">
        <v>467</v>
      </c>
      <c r="J74" s="624"/>
      <c r="K74" s="625"/>
      <c r="L74" s="626" t="s">
        <v>466</v>
      </c>
      <c r="M74" s="626" t="s">
        <v>468</v>
      </c>
      <c r="N74" s="636"/>
      <c r="O74" s="636" t="s">
        <v>469</v>
      </c>
      <c r="P74" s="632" t="s">
        <v>470</v>
      </c>
      <c r="Q74" s="633"/>
      <c r="R74" s="633"/>
      <c r="S74" s="634"/>
      <c r="T74" s="636" t="s">
        <v>466</v>
      </c>
      <c r="U74" s="632" t="s">
        <v>470</v>
      </c>
      <c r="V74" s="633"/>
      <c r="W74" s="633"/>
      <c r="X74" s="634"/>
      <c r="Y74" s="636" t="s">
        <v>466</v>
      </c>
      <c r="Z74" s="632" t="s">
        <v>470</v>
      </c>
      <c r="AA74" s="633"/>
      <c r="AB74" s="633"/>
      <c r="AC74" s="634"/>
      <c r="AD74" s="636" t="s">
        <v>466</v>
      </c>
      <c r="AE74" s="632" t="s">
        <v>470</v>
      </c>
      <c r="AF74" s="633"/>
      <c r="AG74" s="633"/>
      <c r="AH74" s="634"/>
      <c r="AI74" s="636" t="s">
        <v>466</v>
      </c>
      <c r="AJ74" s="632" t="s">
        <v>470</v>
      </c>
      <c r="AK74" s="633"/>
      <c r="AL74" s="633"/>
      <c r="AM74" s="634"/>
      <c r="AN74" s="636" t="s">
        <v>466</v>
      </c>
      <c r="AO74" s="632" t="s">
        <v>470</v>
      </c>
      <c r="AP74" s="633"/>
      <c r="AQ74" s="633"/>
      <c r="AR74" s="634"/>
      <c r="AS74" s="636" t="s">
        <v>466</v>
      </c>
      <c r="AT74" s="632" t="s">
        <v>470</v>
      </c>
      <c r="AU74" s="633"/>
      <c r="AV74" s="633"/>
      <c r="AW74" s="634"/>
      <c r="AX74" s="636" t="s">
        <v>466</v>
      </c>
      <c r="BA74" s="636" t="s">
        <v>371</v>
      </c>
    </row>
    <row r="75" spans="2:53">
      <c r="B75" s="637"/>
      <c r="C75" s="652"/>
      <c r="D75" s="655"/>
      <c r="E75" s="632" t="s">
        <v>471</v>
      </c>
      <c r="F75" s="633"/>
      <c r="G75" s="634"/>
      <c r="H75" s="637"/>
      <c r="I75" s="623" t="s">
        <v>471</v>
      </c>
      <c r="J75" s="624"/>
      <c r="K75" s="625"/>
      <c r="L75" s="627"/>
      <c r="M75" s="627"/>
      <c r="N75" s="637"/>
      <c r="O75" s="637"/>
      <c r="P75" s="632" t="s">
        <v>472</v>
      </c>
      <c r="Q75" s="633"/>
      <c r="R75" s="633"/>
      <c r="S75" s="634"/>
      <c r="T75" s="637"/>
      <c r="U75" s="632" t="s">
        <v>472</v>
      </c>
      <c r="V75" s="633"/>
      <c r="W75" s="633"/>
      <c r="X75" s="634"/>
      <c r="Y75" s="637"/>
      <c r="Z75" s="632" t="s">
        <v>472</v>
      </c>
      <c r="AA75" s="633"/>
      <c r="AB75" s="633"/>
      <c r="AC75" s="634"/>
      <c r="AD75" s="637"/>
      <c r="AE75" s="632" t="s">
        <v>472</v>
      </c>
      <c r="AF75" s="633"/>
      <c r="AG75" s="633"/>
      <c r="AH75" s="634"/>
      <c r="AI75" s="637"/>
      <c r="AJ75" s="632" t="s">
        <v>472</v>
      </c>
      <c r="AK75" s="633"/>
      <c r="AL75" s="633"/>
      <c r="AM75" s="634"/>
      <c r="AN75" s="637"/>
      <c r="AO75" s="632" t="s">
        <v>472</v>
      </c>
      <c r="AP75" s="633"/>
      <c r="AQ75" s="633"/>
      <c r="AR75" s="634"/>
      <c r="AS75" s="637"/>
      <c r="AT75" s="632" t="s">
        <v>472</v>
      </c>
      <c r="AU75" s="633"/>
      <c r="AV75" s="633"/>
      <c r="AW75" s="634"/>
      <c r="AX75" s="637"/>
      <c r="BA75" s="637"/>
    </row>
    <row r="76" spans="2:53">
      <c r="B76" s="638"/>
      <c r="C76" s="653"/>
      <c r="D76" s="656"/>
      <c r="E76" s="302" t="s">
        <v>473</v>
      </c>
      <c r="F76" s="302" t="s">
        <v>474</v>
      </c>
      <c r="G76" s="302" t="s">
        <v>475</v>
      </c>
      <c r="H76" s="638"/>
      <c r="I76" s="301" t="s">
        <v>473</v>
      </c>
      <c r="J76" s="301" t="s">
        <v>474</v>
      </c>
      <c r="K76" s="301" t="s">
        <v>475</v>
      </c>
      <c r="L76" s="628"/>
      <c r="M76" s="628"/>
      <c r="N76" s="637"/>
      <c r="O76" s="637"/>
      <c r="P76" s="302" t="s">
        <v>473</v>
      </c>
      <c r="Q76" s="302" t="s">
        <v>474</v>
      </c>
      <c r="R76" s="302" t="s">
        <v>475</v>
      </c>
      <c r="S76" s="302" t="s">
        <v>468</v>
      </c>
      <c r="T76" s="638"/>
      <c r="U76" s="302" t="s">
        <v>473</v>
      </c>
      <c r="V76" s="302" t="s">
        <v>474</v>
      </c>
      <c r="W76" s="302" t="s">
        <v>475</v>
      </c>
      <c r="X76" s="302" t="s">
        <v>468</v>
      </c>
      <c r="Y76" s="638"/>
      <c r="Z76" s="302" t="s">
        <v>473</v>
      </c>
      <c r="AA76" s="302" t="s">
        <v>474</v>
      </c>
      <c r="AB76" s="302" t="s">
        <v>475</v>
      </c>
      <c r="AC76" s="302" t="s">
        <v>468</v>
      </c>
      <c r="AD76" s="638"/>
      <c r="AE76" s="302" t="s">
        <v>473</v>
      </c>
      <c r="AF76" s="302" t="s">
        <v>474</v>
      </c>
      <c r="AG76" s="302" t="s">
        <v>475</v>
      </c>
      <c r="AH76" s="302" t="s">
        <v>468</v>
      </c>
      <c r="AI76" s="638"/>
      <c r="AJ76" s="302" t="s">
        <v>473</v>
      </c>
      <c r="AK76" s="302" t="s">
        <v>474</v>
      </c>
      <c r="AL76" s="302" t="s">
        <v>475</v>
      </c>
      <c r="AM76" s="302" t="s">
        <v>468</v>
      </c>
      <c r="AN76" s="638"/>
      <c r="AO76" s="302" t="s">
        <v>473</v>
      </c>
      <c r="AP76" s="302" t="s">
        <v>474</v>
      </c>
      <c r="AQ76" s="302" t="s">
        <v>475</v>
      </c>
      <c r="AR76" s="302" t="s">
        <v>468</v>
      </c>
      <c r="AS76" s="638"/>
      <c r="AT76" s="302" t="s">
        <v>473</v>
      </c>
      <c r="AU76" s="302" t="s">
        <v>474</v>
      </c>
      <c r="AV76" s="302" t="s">
        <v>475</v>
      </c>
      <c r="AW76" s="302" t="s">
        <v>468</v>
      </c>
      <c r="AX76" s="638"/>
      <c r="AZ76" s="403" t="s">
        <v>372</v>
      </c>
      <c r="BA76" s="638"/>
    </row>
    <row r="77" spans="2:53">
      <c r="B77" s="658" t="s">
        <v>150</v>
      </c>
      <c r="C77" s="303">
        <v>1</v>
      </c>
      <c r="D77" s="409" t="s">
        <v>337</v>
      </c>
      <c r="E77" s="409">
        <v>3</v>
      </c>
      <c r="F77" s="409">
        <v>3200</v>
      </c>
      <c r="G77" s="416">
        <v>1066.6666666666667</v>
      </c>
      <c r="H77" s="644">
        <f>AVERAGE(G77:G106)</f>
        <v>826.21527777777794</v>
      </c>
      <c r="I77" s="391">
        <f>IFERROR(AVERAGE(P77,U77,Z77,AE77,AJ77,AO77,AT77),"-")</f>
        <v>3</v>
      </c>
      <c r="J77" s="391">
        <f>IFERROR(AVERAGE(Q77,V77,AA77,AF77,AK77,AP77,AU77),"-")</f>
        <v>3293.2999682141258</v>
      </c>
      <c r="K77" s="199">
        <f>IFERROR(AVERAGE(R77,W77,AB77,AG77,AL77,AQ77,AV77),"-")</f>
        <v>1097.7666560713753</v>
      </c>
      <c r="L77" s="629">
        <f>IFERROR(AVERAGE(K77:K106),"-")</f>
        <v>839.18137549688061</v>
      </c>
      <c r="M77" s="198">
        <f>RANK(K77, K$77:$K$106)</f>
        <v>1</v>
      </c>
      <c r="N77" s="637"/>
      <c r="O77" s="637"/>
      <c r="P77" s="416">
        <v>3</v>
      </c>
      <c r="Q77" s="416">
        <v>3178.9655172413773</v>
      </c>
      <c r="R77" s="416">
        <v>1059.6551724137923</v>
      </c>
      <c r="S77" s="549">
        <f t="shared" ref="S77:S106" si="30">RANK(R77, R$77:R$106)</f>
        <v>5</v>
      </c>
      <c r="T77" s="644">
        <f t="shared" ref="T77" si="31">AVERAGE(R77:R106)</f>
        <v>839.90678947349579</v>
      </c>
      <c r="U77" s="416">
        <v>3</v>
      </c>
      <c r="V77" s="416">
        <v>3195.7894736842131</v>
      </c>
      <c r="W77" s="416">
        <v>1065.2631578947378</v>
      </c>
      <c r="X77" s="549">
        <f t="shared" ref="X77:X106" si="32">RANK(W77, W$77:W$106)</f>
        <v>4</v>
      </c>
      <c r="Y77" s="644">
        <f t="shared" ref="Y77" si="33">AVERAGE(W77:W106)</f>
        <v>831.554734753312</v>
      </c>
      <c r="Z77" s="416">
        <v>3</v>
      </c>
      <c r="AA77" s="416">
        <v>3851.739130434783</v>
      </c>
      <c r="AB77" s="416">
        <v>1283.913043478261</v>
      </c>
      <c r="AC77" s="549">
        <f t="shared" ref="AC77:AC106" si="34">RANK(AB77, AB$77:AB$106)</f>
        <v>1</v>
      </c>
      <c r="AD77" s="644">
        <f t="shared" ref="AD77" si="35">AVERAGE(AB77:AB106)</f>
        <v>844.01822447722054</v>
      </c>
      <c r="AE77" s="416">
        <v>3</v>
      </c>
      <c r="AF77" s="416">
        <v>3200.4255319148942</v>
      </c>
      <c r="AG77" s="416">
        <v>1066.808510638298</v>
      </c>
      <c r="AH77" s="549">
        <f t="shared" ref="AH77:AH106" si="36">RANK(AG77, AG$77:AG$106)</f>
        <v>1</v>
      </c>
      <c r="AI77" s="644">
        <f t="shared" ref="AI77" si="37">AVERAGE(AG77:AG106)</f>
        <v>834.18533970701901</v>
      </c>
      <c r="AJ77" s="416">
        <v>3</v>
      </c>
      <c r="AK77" s="416">
        <v>3242.6086956521799</v>
      </c>
      <c r="AL77" s="416">
        <v>1080.8695652173933</v>
      </c>
      <c r="AM77" s="549">
        <f t="shared" ref="AM77:AM106" si="38">RANK(AL77, AL$77:AL$106)</f>
        <v>8</v>
      </c>
      <c r="AN77" s="644">
        <f t="shared" ref="AN77" si="39">AVERAGE(AL77:AL106)</f>
        <v>871.25726332777595</v>
      </c>
      <c r="AO77" s="416">
        <v>3</v>
      </c>
      <c r="AP77" s="416">
        <v>3182.1428571428596</v>
      </c>
      <c r="AQ77" s="416">
        <v>1060.7142857142865</v>
      </c>
      <c r="AR77" s="549">
        <f t="shared" ref="AR77:AR106" si="40">RANK(AQ77, AQ$77:AQ$106)</f>
        <v>2</v>
      </c>
      <c r="AS77" s="644">
        <f t="shared" ref="AS77" si="41">AVERAGE(AQ77:AQ106)</f>
        <v>828.39746195527061</v>
      </c>
      <c r="AT77" s="416">
        <v>3</v>
      </c>
      <c r="AU77" s="416">
        <v>3201.4285714285738</v>
      </c>
      <c r="AV77" s="416">
        <v>1067.142857142858</v>
      </c>
      <c r="AW77" s="549">
        <f t="shared" ref="AW77:AW106" si="42">RANK(AV77, AV$77:AV$106)</f>
        <v>1</v>
      </c>
      <c r="AX77" s="644">
        <f t="shared" ref="AX77" si="43">AVERAGE(AV77:AV106)</f>
        <v>824.94981478406953</v>
      </c>
      <c r="AZ77" s="402" t="e">
        <f t="shared" ref="AZ77:AZ106" si="44">RANK(AY77, AY$77:AY$106)</f>
        <v>#N/A</v>
      </c>
      <c r="BA77" s="644" t="e">
        <f t="shared" ref="BA77" si="45">AVERAGE(AY77:AY106)</f>
        <v>#DIV/0!</v>
      </c>
    </row>
    <row r="78" spans="2:53">
      <c r="B78" s="659"/>
      <c r="C78" s="303">
        <v>2</v>
      </c>
      <c r="D78" s="408" t="s">
        <v>338</v>
      </c>
      <c r="E78" s="409">
        <v>3</v>
      </c>
      <c r="F78" s="409">
        <v>3200</v>
      </c>
      <c r="G78" s="416">
        <v>1066.6666666666667</v>
      </c>
      <c r="H78" s="645"/>
      <c r="I78" s="391">
        <f t="shared" ref="I78:I106" si="46">IFERROR(AVERAGE(P78,U78,Z78,AE78,AJ78,AO78,AT78),"-")</f>
        <v>3</v>
      </c>
      <c r="J78" s="391">
        <f t="shared" ref="J78:J106" si="47">IFERROR(AVERAGE(Q78,V78,AA78,AF78,AK78,AP78,AU78),"-")</f>
        <v>3164.9115646258397</v>
      </c>
      <c r="K78" s="199">
        <f t="shared" ref="K78:K106" si="48">IFERROR(AVERAGE(R78,W78,AB78,AG78,AL78,AQ78,AV78),"-")</f>
        <v>1054.9705215419465</v>
      </c>
      <c r="L78" s="630"/>
      <c r="M78" s="198">
        <f>RANK(K78, K$77:$K$106)</f>
        <v>6</v>
      </c>
      <c r="N78" s="637"/>
      <c r="O78" s="637"/>
      <c r="P78" s="416">
        <v>3</v>
      </c>
      <c r="Q78" s="416">
        <v>3134.2857142857015</v>
      </c>
      <c r="R78" s="416">
        <v>1044.7619047619005</v>
      </c>
      <c r="S78" s="549">
        <f t="shared" si="30"/>
        <v>9</v>
      </c>
      <c r="T78" s="645"/>
      <c r="U78" s="416">
        <v>3</v>
      </c>
      <c r="V78" s="416">
        <v>3197.9999999999859</v>
      </c>
      <c r="W78" s="416">
        <v>1065.9999999999952</v>
      </c>
      <c r="X78" s="549">
        <f t="shared" si="32"/>
        <v>3</v>
      </c>
      <c r="Y78" s="645"/>
      <c r="Z78" s="416">
        <v>3</v>
      </c>
      <c r="AA78" s="416">
        <v>3161.9999999999859</v>
      </c>
      <c r="AB78" s="416">
        <v>1053.9999999999952</v>
      </c>
      <c r="AC78" s="549">
        <f t="shared" si="34"/>
        <v>7</v>
      </c>
      <c r="AD78" s="645"/>
      <c r="AE78" s="416">
        <v>3</v>
      </c>
      <c r="AF78" s="416">
        <v>3056.6666666666642</v>
      </c>
      <c r="AG78" s="416">
        <v>1018.8888888888881</v>
      </c>
      <c r="AH78" s="549">
        <f t="shared" si="36"/>
        <v>10</v>
      </c>
      <c r="AI78" s="645"/>
      <c r="AJ78" s="416">
        <v>3</v>
      </c>
      <c r="AK78" s="416">
        <v>3411.9999999999941</v>
      </c>
      <c r="AL78" s="416">
        <v>1137.3333333333314</v>
      </c>
      <c r="AM78" s="549">
        <f t="shared" si="38"/>
        <v>1</v>
      </c>
      <c r="AN78" s="645"/>
      <c r="AO78" s="416">
        <v>3</v>
      </c>
      <c r="AP78" s="416">
        <v>3122.8571428571304</v>
      </c>
      <c r="AQ78" s="416">
        <v>1040.9523809523769</v>
      </c>
      <c r="AR78" s="549">
        <f t="shared" si="40"/>
        <v>7</v>
      </c>
      <c r="AS78" s="645"/>
      <c r="AT78" s="416">
        <v>3</v>
      </c>
      <c r="AU78" s="416">
        <v>3068.5714285714162</v>
      </c>
      <c r="AV78" s="416">
        <v>1022.8571428571387</v>
      </c>
      <c r="AW78" s="549">
        <f t="shared" si="42"/>
        <v>8</v>
      </c>
      <c r="AX78" s="645"/>
      <c r="AZ78" s="402" t="e">
        <f t="shared" si="44"/>
        <v>#N/A</v>
      </c>
      <c r="BA78" s="645"/>
    </row>
    <row r="79" spans="2:53">
      <c r="B79" s="659"/>
      <c r="C79" s="303">
        <v>3</v>
      </c>
      <c r="D79" s="409" t="s">
        <v>329</v>
      </c>
      <c r="E79" s="409">
        <v>4</v>
      </c>
      <c r="F79" s="409">
        <v>3200</v>
      </c>
      <c r="G79" s="416">
        <v>800</v>
      </c>
      <c r="H79" s="645"/>
      <c r="I79" s="391">
        <f t="shared" si="46"/>
        <v>4</v>
      </c>
      <c r="J79" s="391">
        <f t="shared" si="47"/>
        <v>2973.9808133779879</v>
      </c>
      <c r="K79" s="199">
        <f t="shared" si="48"/>
        <v>743.49520334449699</v>
      </c>
      <c r="L79" s="630"/>
      <c r="M79" s="198">
        <f>RANK(K79, K$77:$K$106)</f>
        <v>19</v>
      </c>
      <c r="N79" s="637"/>
      <c r="O79" s="637"/>
      <c r="P79" s="416">
        <v>4</v>
      </c>
      <c r="Q79" s="416">
        <v>3143.9999999999991</v>
      </c>
      <c r="R79" s="416">
        <v>785.99999999999977</v>
      </c>
      <c r="S79" s="549">
        <f t="shared" si="30"/>
        <v>16</v>
      </c>
      <c r="T79" s="645"/>
      <c r="U79" s="416">
        <v>4</v>
      </c>
      <c r="V79" s="416">
        <v>3117.0000000000114</v>
      </c>
      <c r="W79" s="416">
        <v>779.25000000000284</v>
      </c>
      <c r="X79" s="549">
        <f t="shared" si="32"/>
        <v>16</v>
      </c>
      <c r="Y79" s="645"/>
      <c r="Z79" s="416">
        <v>4</v>
      </c>
      <c r="AA79" s="416">
        <v>3126.3157894736819</v>
      </c>
      <c r="AB79" s="416">
        <v>781.57894736842047</v>
      </c>
      <c r="AC79" s="549">
        <f t="shared" si="34"/>
        <v>15</v>
      </c>
      <c r="AD79" s="645"/>
      <c r="AE79" s="416">
        <v>4</v>
      </c>
      <c r="AF79" s="416">
        <v>2001.1764705882424</v>
      </c>
      <c r="AG79" s="416">
        <v>500.2941176470606</v>
      </c>
      <c r="AH79" s="549">
        <f t="shared" si="36"/>
        <v>22</v>
      </c>
      <c r="AI79" s="645"/>
      <c r="AJ79" s="416">
        <v>4</v>
      </c>
      <c r="AK79" s="416">
        <v>3244.2857142857256</v>
      </c>
      <c r="AL79" s="416">
        <v>811.0714285714314</v>
      </c>
      <c r="AM79" s="549">
        <f t="shared" si="38"/>
        <v>16</v>
      </c>
      <c r="AN79" s="645"/>
      <c r="AO79" s="416">
        <v>4</v>
      </c>
      <c r="AP79" s="416">
        <v>3088.4210526315769</v>
      </c>
      <c r="AQ79" s="416">
        <v>772.10526315789423</v>
      </c>
      <c r="AR79" s="549">
        <f t="shared" si="40"/>
        <v>17</v>
      </c>
      <c r="AS79" s="645"/>
      <c r="AT79" s="416">
        <v>4</v>
      </c>
      <c r="AU79" s="416">
        <v>3096.6666666666774</v>
      </c>
      <c r="AV79" s="416">
        <v>774.16666666666936</v>
      </c>
      <c r="AW79" s="549">
        <f t="shared" si="42"/>
        <v>16</v>
      </c>
      <c r="AX79" s="645"/>
      <c r="AZ79" s="402" t="e">
        <f t="shared" si="44"/>
        <v>#N/A</v>
      </c>
      <c r="BA79" s="645"/>
    </row>
    <row r="80" spans="2:53">
      <c r="B80" s="659"/>
      <c r="C80" s="303">
        <v>4</v>
      </c>
      <c r="D80" s="409" t="s">
        <v>339</v>
      </c>
      <c r="E80" s="409">
        <v>3</v>
      </c>
      <c r="F80" s="409">
        <v>3200</v>
      </c>
      <c r="G80" s="416">
        <v>1066.6666666666667</v>
      </c>
      <c r="H80" s="645"/>
      <c r="I80" s="391">
        <f t="shared" si="46"/>
        <v>3</v>
      </c>
      <c r="J80" s="391">
        <f t="shared" si="47"/>
        <v>3194.2655588050961</v>
      </c>
      <c r="K80" s="199">
        <f t="shared" si="48"/>
        <v>1064.7551862683656</v>
      </c>
      <c r="L80" s="630"/>
      <c r="M80" s="198">
        <f>RANK(K80, K$77:$K$106)</f>
        <v>4</v>
      </c>
      <c r="N80" s="637"/>
      <c r="O80" s="637"/>
      <c r="P80" s="416">
        <v>3</v>
      </c>
      <c r="Q80" s="416">
        <v>3183.913043478261</v>
      </c>
      <c r="R80" s="416">
        <v>1061.304347826087</v>
      </c>
      <c r="S80" s="549">
        <f t="shared" si="30"/>
        <v>4</v>
      </c>
      <c r="T80" s="645"/>
      <c r="U80" s="416">
        <v>3</v>
      </c>
      <c r="V80" s="416">
        <v>3190.7865168539324</v>
      </c>
      <c r="W80" s="416">
        <v>1063.5955056179776</v>
      </c>
      <c r="X80" s="549">
        <f t="shared" si="32"/>
        <v>5</v>
      </c>
      <c r="Y80" s="645"/>
      <c r="Z80" s="416">
        <v>3</v>
      </c>
      <c r="AA80" s="416">
        <v>3183.4482758620716</v>
      </c>
      <c r="AB80" s="416">
        <v>1061.1494252873572</v>
      </c>
      <c r="AC80" s="549">
        <f t="shared" si="34"/>
        <v>4</v>
      </c>
      <c r="AD80" s="645"/>
      <c r="AE80" s="416">
        <v>3</v>
      </c>
      <c r="AF80" s="416">
        <v>3190.0000000000009</v>
      </c>
      <c r="AG80" s="416">
        <v>1063.3333333333337</v>
      </c>
      <c r="AH80" s="549">
        <f t="shared" si="36"/>
        <v>3</v>
      </c>
      <c r="AI80" s="645"/>
      <c r="AJ80" s="416">
        <v>3</v>
      </c>
      <c r="AK80" s="416">
        <v>3234.8571428571395</v>
      </c>
      <c r="AL80" s="416">
        <v>1078.2857142857131</v>
      </c>
      <c r="AM80" s="549">
        <f t="shared" si="38"/>
        <v>9</v>
      </c>
      <c r="AN80" s="645"/>
      <c r="AO80" s="416">
        <v>3</v>
      </c>
      <c r="AP80" s="416">
        <v>3196.1797752808989</v>
      </c>
      <c r="AQ80" s="416">
        <v>1065.3932584269662</v>
      </c>
      <c r="AR80" s="549">
        <f t="shared" si="40"/>
        <v>1</v>
      </c>
      <c r="AS80" s="645"/>
      <c r="AT80" s="416">
        <v>3</v>
      </c>
      <c r="AU80" s="416">
        <v>3180.6741573033732</v>
      </c>
      <c r="AV80" s="416">
        <v>1060.2247191011245</v>
      </c>
      <c r="AW80" s="549">
        <f t="shared" si="42"/>
        <v>3</v>
      </c>
      <c r="AX80" s="645"/>
      <c r="AZ80" s="402" t="e">
        <f t="shared" si="44"/>
        <v>#N/A</v>
      </c>
      <c r="BA80" s="645"/>
    </row>
    <row r="81" spans="2:53">
      <c r="B81" s="659"/>
      <c r="C81" s="303">
        <v>5</v>
      </c>
      <c r="D81" s="409" t="s">
        <v>582</v>
      </c>
      <c r="E81" s="409">
        <v>4</v>
      </c>
      <c r="F81" s="409">
        <v>3200</v>
      </c>
      <c r="G81" s="416">
        <v>800</v>
      </c>
      <c r="H81" s="645"/>
      <c r="I81" s="391">
        <f t="shared" si="46"/>
        <v>4</v>
      </c>
      <c r="J81" s="391">
        <f t="shared" si="47"/>
        <v>3194.97976977075</v>
      </c>
      <c r="K81" s="199">
        <f t="shared" si="48"/>
        <v>798.74494244268749</v>
      </c>
      <c r="L81" s="630"/>
      <c r="M81" s="198">
        <f>RANK(K81, K$77:$K$106)</f>
        <v>13</v>
      </c>
      <c r="N81" s="637"/>
      <c r="O81" s="637"/>
      <c r="P81" s="416">
        <v>4</v>
      </c>
      <c r="Q81" s="416">
        <v>3160.7142857142971</v>
      </c>
      <c r="R81" s="416">
        <v>790.17857142857429</v>
      </c>
      <c r="S81" s="549">
        <f t="shared" si="30"/>
        <v>15</v>
      </c>
      <c r="T81" s="645"/>
      <c r="U81" s="416">
        <v>4</v>
      </c>
      <c r="V81" s="416">
        <v>3203.5714285714307</v>
      </c>
      <c r="W81" s="416">
        <v>800.89285714285768</v>
      </c>
      <c r="X81" s="549">
        <f t="shared" si="32"/>
        <v>13</v>
      </c>
      <c r="Y81" s="645"/>
      <c r="Z81" s="416">
        <v>4</v>
      </c>
      <c r="AA81" s="416">
        <v>3144.4444444444371</v>
      </c>
      <c r="AB81" s="416">
        <v>786.11111111110927</v>
      </c>
      <c r="AC81" s="549">
        <f t="shared" si="34"/>
        <v>14</v>
      </c>
      <c r="AD81" s="645"/>
      <c r="AE81" s="416">
        <v>4</v>
      </c>
      <c r="AF81" s="416">
        <v>3155.4545454545569</v>
      </c>
      <c r="AG81" s="416">
        <v>788.86363636363922</v>
      </c>
      <c r="AH81" s="549">
        <f t="shared" si="36"/>
        <v>15</v>
      </c>
      <c r="AI81" s="645"/>
      <c r="AJ81" s="416">
        <v>4</v>
      </c>
      <c r="AK81" s="416">
        <v>3369.4736842105235</v>
      </c>
      <c r="AL81" s="416">
        <v>842.36842105263088</v>
      </c>
      <c r="AM81" s="549">
        <f t="shared" si="38"/>
        <v>13</v>
      </c>
      <c r="AN81" s="645"/>
      <c r="AO81" s="416">
        <v>4</v>
      </c>
      <c r="AP81" s="416">
        <v>3175.1999999999912</v>
      </c>
      <c r="AQ81" s="416">
        <v>793.79999999999779</v>
      </c>
      <c r="AR81" s="549">
        <f t="shared" si="40"/>
        <v>13</v>
      </c>
      <c r="AS81" s="645"/>
      <c r="AT81" s="416">
        <v>4</v>
      </c>
      <c r="AU81" s="416">
        <v>3156.0000000000114</v>
      </c>
      <c r="AV81" s="416">
        <v>789.00000000000284</v>
      </c>
      <c r="AW81" s="549">
        <f t="shared" si="42"/>
        <v>14</v>
      </c>
      <c r="AX81" s="645"/>
      <c r="AZ81" s="402" t="e">
        <f t="shared" si="44"/>
        <v>#N/A</v>
      </c>
      <c r="BA81" s="645"/>
    </row>
    <row r="82" spans="2:53">
      <c r="B82" s="659"/>
      <c r="C82" s="303">
        <v>6</v>
      </c>
      <c r="D82" s="409" t="s">
        <v>583</v>
      </c>
      <c r="E82" s="409">
        <v>4</v>
      </c>
      <c r="F82" s="409">
        <v>3200</v>
      </c>
      <c r="G82" s="416">
        <v>800</v>
      </c>
      <c r="H82" s="645"/>
      <c r="I82" s="391">
        <f t="shared" si="46"/>
        <v>4</v>
      </c>
      <c r="J82" s="391">
        <f t="shared" si="47"/>
        <v>3118.9387755102084</v>
      </c>
      <c r="K82" s="199">
        <f t="shared" si="48"/>
        <v>779.7346938775521</v>
      </c>
      <c r="L82" s="630"/>
      <c r="M82" s="198">
        <f>RANK(K82, K$77:$K$106)</f>
        <v>15</v>
      </c>
      <c r="N82" s="637"/>
      <c r="O82" s="637"/>
      <c r="P82" s="416">
        <v>4</v>
      </c>
      <c r="Q82" s="416">
        <v>3111.9999999999945</v>
      </c>
      <c r="R82" s="416">
        <v>777.99999999999864</v>
      </c>
      <c r="S82" s="549">
        <f t="shared" si="30"/>
        <v>17</v>
      </c>
      <c r="T82" s="645"/>
      <c r="U82" s="416">
        <v>4</v>
      </c>
      <c r="V82" s="416">
        <v>3179.9999999999945</v>
      </c>
      <c r="W82" s="416">
        <v>794.99999999999864</v>
      </c>
      <c r="X82" s="549">
        <f t="shared" si="32"/>
        <v>14</v>
      </c>
      <c r="Y82" s="645"/>
      <c r="Z82" s="416">
        <v>4</v>
      </c>
      <c r="AA82" s="416">
        <v>3023.999999999995</v>
      </c>
      <c r="AB82" s="416">
        <v>755.99999999999875</v>
      </c>
      <c r="AC82" s="549">
        <f t="shared" si="34"/>
        <v>16</v>
      </c>
      <c r="AD82" s="645"/>
      <c r="AE82" s="416">
        <v>4</v>
      </c>
      <c r="AF82" s="416">
        <v>3070.0000000000109</v>
      </c>
      <c r="AG82" s="416">
        <v>767.50000000000273</v>
      </c>
      <c r="AH82" s="549">
        <f t="shared" si="36"/>
        <v>16</v>
      </c>
      <c r="AI82" s="645"/>
      <c r="AJ82" s="416">
        <v>4</v>
      </c>
      <c r="AK82" s="416">
        <v>3288.0000000000118</v>
      </c>
      <c r="AL82" s="416">
        <v>822.00000000000296</v>
      </c>
      <c r="AM82" s="549">
        <f t="shared" si="38"/>
        <v>15</v>
      </c>
      <c r="AN82" s="645"/>
      <c r="AO82" s="416">
        <v>4</v>
      </c>
      <c r="AP82" s="416">
        <v>3111.4285714285825</v>
      </c>
      <c r="AQ82" s="416">
        <v>777.85714285714562</v>
      </c>
      <c r="AR82" s="549">
        <f t="shared" si="40"/>
        <v>16</v>
      </c>
      <c r="AS82" s="645"/>
      <c r="AT82" s="416">
        <v>4</v>
      </c>
      <c r="AU82" s="416">
        <v>3047.1428571428683</v>
      </c>
      <c r="AV82" s="416">
        <v>761.78571428571706</v>
      </c>
      <c r="AW82" s="549">
        <f t="shared" si="42"/>
        <v>17</v>
      </c>
      <c r="AX82" s="645"/>
      <c r="AZ82" s="402" t="e">
        <f t="shared" si="44"/>
        <v>#N/A</v>
      </c>
      <c r="BA82" s="645"/>
    </row>
    <row r="83" spans="2:53">
      <c r="B83" s="659"/>
      <c r="C83" s="303">
        <v>7</v>
      </c>
      <c r="D83" s="409" t="s">
        <v>340</v>
      </c>
      <c r="E83" s="409">
        <v>4</v>
      </c>
      <c r="F83" s="409">
        <v>2800</v>
      </c>
      <c r="G83" s="416">
        <v>700</v>
      </c>
      <c r="H83" s="645"/>
      <c r="I83" s="391">
        <f t="shared" si="46"/>
        <v>4</v>
      </c>
      <c r="J83" s="391">
        <f t="shared" si="47"/>
        <v>3115.1809618952498</v>
      </c>
      <c r="K83" s="199">
        <f t="shared" si="48"/>
        <v>778.79524047381244</v>
      </c>
      <c r="L83" s="630"/>
      <c r="M83" s="198">
        <f>RANK(K83, K$77:$K$106)</f>
        <v>16</v>
      </c>
      <c r="N83" s="637"/>
      <c r="O83" s="637"/>
      <c r="P83" s="416">
        <v>4</v>
      </c>
      <c r="Q83" s="416">
        <v>3176.2500000000036</v>
      </c>
      <c r="R83" s="416">
        <v>794.06250000000091</v>
      </c>
      <c r="S83" s="549">
        <f t="shared" si="30"/>
        <v>14</v>
      </c>
      <c r="T83" s="645"/>
      <c r="U83" s="416">
        <v>4</v>
      </c>
      <c r="V83" s="416">
        <v>3030.0000000000036</v>
      </c>
      <c r="W83" s="416">
        <v>757.50000000000091</v>
      </c>
      <c r="X83" s="549">
        <f t="shared" si="32"/>
        <v>17</v>
      </c>
      <c r="Y83" s="645"/>
      <c r="Z83" s="416">
        <v>4</v>
      </c>
      <c r="AA83" s="416">
        <v>3018.7500000000036</v>
      </c>
      <c r="AB83" s="416">
        <v>754.68750000000091</v>
      </c>
      <c r="AC83" s="549">
        <f t="shared" si="34"/>
        <v>17</v>
      </c>
      <c r="AD83" s="645"/>
      <c r="AE83" s="416">
        <v>4</v>
      </c>
      <c r="AF83" s="416">
        <v>3018.4615384615399</v>
      </c>
      <c r="AG83" s="416">
        <v>754.61538461538498</v>
      </c>
      <c r="AH83" s="549">
        <f t="shared" si="36"/>
        <v>17</v>
      </c>
      <c r="AI83" s="645"/>
      <c r="AJ83" s="416">
        <v>4</v>
      </c>
      <c r="AK83" s="416">
        <v>3289.090909090909</v>
      </c>
      <c r="AL83" s="416">
        <v>822.27272727272725</v>
      </c>
      <c r="AM83" s="549">
        <f t="shared" si="38"/>
        <v>14</v>
      </c>
      <c r="AN83" s="645"/>
      <c r="AO83" s="416">
        <v>4</v>
      </c>
      <c r="AP83" s="416">
        <v>3128.0000000000027</v>
      </c>
      <c r="AQ83" s="416">
        <v>782.00000000000068</v>
      </c>
      <c r="AR83" s="549">
        <f t="shared" si="40"/>
        <v>15</v>
      </c>
      <c r="AS83" s="645"/>
      <c r="AT83" s="416">
        <v>4</v>
      </c>
      <c r="AU83" s="416">
        <v>3145.7142857142881</v>
      </c>
      <c r="AV83" s="416">
        <v>786.42857142857201</v>
      </c>
      <c r="AW83" s="549">
        <f t="shared" si="42"/>
        <v>15</v>
      </c>
      <c r="AX83" s="645"/>
      <c r="AZ83" s="402" t="e">
        <f t="shared" si="44"/>
        <v>#N/A</v>
      </c>
      <c r="BA83" s="645"/>
    </row>
    <row r="84" spans="2:53">
      <c r="B84" s="659"/>
      <c r="C84" s="303">
        <v>8</v>
      </c>
      <c r="D84" s="409" t="s">
        <v>341</v>
      </c>
      <c r="E84" s="409">
        <v>3</v>
      </c>
      <c r="F84" s="409">
        <v>3200</v>
      </c>
      <c r="G84" s="416">
        <v>1066.6666666666667</v>
      </c>
      <c r="H84" s="645"/>
      <c r="I84" s="391">
        <f t="shared" si="46"/>
        <v>3</v>
      </c>
      <c r="J84" s="391">
        <f t="shared" si="47"/>
        <v>3198.4727933356976</v>
      </c>
      <c r="K84" s="199">
        <f t="shared" si="48"/>
        <v>1066.157597778566</v>
      </c>
      <c r="L84" s="630"/>
      <c r="M84" s="198">
        <f>RANK(K84, K$77:$K$106)</f>
        <v>2</v>
      </c>
      <c r="N84" s="637"/>
      <c r="O84" s="637"/>
      <c r="P84" s="416">
        <v>3</v>
      </c>
      <c r="Q84" s="416">
        <v>3153.7500000000036</v>
      </c>
      <c r="R84" s="416">
        <v>1051.2500000000011</v>
      </c>
      <c r="S84" s="549">
        <f t="shared" si="30"/>
        <v>6</v>
      </c>
      <c r="T84" s="645"/>
      <c r="U84" s="416">
        <v>3</v>
      </c>
      <c r="V84" s="416">
        <v>3201.2903225806481</v>
      </c>
      <c r="W84" s="416">
        <v>1067.0967741935494</v>
      </c>
      <c r="X84" s="549">
        <f t="shared" si="32"/>
        <v>1</v>
      </c>
      <c r="Y84" s="645"/>
      <c r="Z84" s="416">
        <v>3</v>
      </c>
      <c r="AA84" s="416">
        <v>3190.0000000000027</v>
      </c>
      <c r="AB84" s="416">
        <v>1063.3333333333342</v>
      </c>
      <c r="AC84" s="549">
        <f t="shared" si="34"/>
        <v>3</v>
      </c>
      <c r="AD84" s="645"/>
      <c r="AE84" s="416">
        <v>3</v>
      </c>
      <c r="AF84" s="416">
        <v>3170.7692307692273</v>
      </c>
      <c r="AG84" s="416">
        <v>1056.9230769230758</v>
      </c>
      <c r="AH84" s="549">
        <f t="shared" si="36"/>
        <v>4</v>
      </c>
      <c r="AI84" s="645"/>
      <c r="AJ84" s="416">
        <v>3</v>
      </c>
      <c r="AK84" s="416">
        <v>3317.499999999995</v>
      </c>
      <c r="AL84" s="416">
        <v>1105.8333333333317</v>
      </c>
      <c r="AM84" s="549">
        <f t="shared" si="38"/>
        <v>2</v>
      </c>
      <c r="AN84" s="645"/>
      <c r="AO84" s="416">
        <v>3</v>
      </c>
      <c r="AP84" s="416">
        <v>3168.0000000000027</v>
      </c>
      <c r="AQ84" s="416">
        <v>1056.0000000000009</v>
      </c>
      <c r="AR84" s="549">
        <f t="shared" si="40"/>
        <v>3</v>
      </c>
      <c r="AS84" s="645"/>
      <c r="AT84" s="416">
        <v>3</v>
      </c>
      <c r="AU84" s="416">
        <v>3188.0000000000027</v>
      </c>
      <c r="AV84" s="416">
        <v>1062.6666666666677</v>
      </c>
      <c r="AW84" s="549">
        <f t="shared" si="42"/>
        <v>2</v>
      </c>
      <c r="AX84" s="645"/>
      <c r="AZ84" s="402" t="e">
        <f t="shared" si="44"/>
        <v>#N/A</v>
      </c>
      <c r="BA84" s="645"/>
    </row>
    <row r="85" spans="2:53">
      <c r="B85" s="659"/>
      <c r="C85" s="303">
        <v>9</v>
      </c>
      <c r="D85" s="409" t="s">
        <v>342</v>
      </c>
      <c r="E85" s="409">
        <v>3</v>
      </c>
      <c r="F85" s="409">
        <v>2800</v>
      </c>
      <c r="G85" s="416">
        <v>933.33333333333337</v>
      </c>
      <c r="H85" s="645"/>
      <c r="I85" s="391">
        <f t="shared" si="46"/>
        <v>3</v>
      </c>
      <c r="J85" s="391">
        <f t="shared" si="47"/>
        <v>3180.1872348939573</v>
      </c>
      <c r="K85" s="199">
        <f t="shared" si="48"/>
        <v>1060.0624116313195</v>
      </c>
      <c r="L85" s="630"/>
      <c r="M85" s="198">
        <f>RANK(K85, K$77:$K$106)</f>
        <v>5</v>
      </c>
      <c r="N85" s="637"/>
      <c r="O85" s="637"/>
      <c r="P85" s="416">
        <v>3</v>
      </c>
      <c r="Q85" s="416">
        <v>3152.5714285714289</v>
      </c>
      <c r="R85" s="416">
        <v>1050.8571428571429</v>
      </c>
      <c r="S85" s="549">
        <f t="shared" si="30"/>
        <v>8</v>
      </c>
      <c r="T85" s="645"/>
      <c r="U85" s="416">
        <v>3</v>
      </c>
      <c r="V85" s="416">
        <v>3114.7058823529414</v>
      </c>
      <c r="W85" s="416">
        <v>1038.2352941176471</v>
      </c>
      <c r="X85" s="549">
        <f t="shared" si="32"/>
        <v>8</v>
      </c>
      <c r="Y85" s="645"/>
      <c r="Z85" s="416">
        <v>3</v>
      </c>
      <c r="AA85" s="416">
        <v>3176.2499999999991</v>
      </c>
      <c r="AB85" s="416">
        <v>1058.7499999999998</v>
      </c>
      <c r="AC85" s="549">
        <f t="shared" si="34"/>
        <v>5</v>
      </c>
      <c r="AD85" s="645"/>
      <c r="AE85" s="416">
        <v>3</v>
      </c>
      <c r="AF85" s="416">
        <v>3193.3333333333403</v>
      </c>
      <c r="AG85" s="416">
        <v>1064.4444444444468</v>
      </c>
      <c r="AH85" s="549">
        <f t="shared" si="36"/>
        <v>2</v>
      </c>
      <c r="AI85" s="645"/>
      <c r="AJ85" s="416">
        <v>3</v>
      </c>
      <c r="AK85" s="416">
        <v>3283.1999999999957</v>
      </c>
      <c r="AL85" s="416">
        <v>1094.3999999999985</v>
      </c>
      <c r="AM85" s="549">
        <f t="shared" si="38"/>
        <v>4</v>
      </c>
      <c r="AN85" s="645"/>
      <c r="AO85" s="416">
        <v>3</v>
      </c>
      <c r="AP85" s="416">
        <v>3164.9999999999991</v>
      </c>
      <c r="AQ85" s="416">
        <v>1054.9999999999998</v>
      </c>
      <c r="AR85" s="549">
        <f t="shared" si="40"/>
        <v>4</v>
      </c>
      <c r="AS85" s="645"/>
      <c r="AT85" s="416">
        <v>3</v>
      </c>
      <c r="AU85" s="416">
        <v>3176.2499999999991</v>
      </c>
      <c r="AV85" s="416">
        <v>1058.7499999999998</v>
      </c>
      <c r="AW85" s="549">
        <f t="shared" si="42"/>
        <v>4</v>
      </c>
      <c r="AX85" s="645"/>
      <c r="AZ85" s="402" t="e">
        <f t="shared" si="44"/>
        <v>#N/A</v>
      </c>
      <c r="BA85" s="645"/>
    </row>
    <row r="86" spans="2:53">
      <c r="B86" s="659"/>
      <c r="C86" s="303">
        <v>10</v>
      </c>
      <c r="D86" s="409" t="s">
        <v>343</v>
      </c>
      <c r="E86" s="409">
        <v>4</v>
      </c>
      <c r="F86" s="409">
        <v>2800</v>
      </c>
      <c r="G86" s="416">
        <v>700</v>
      </c>
      <c r="H86" s="645"/>
      <c r="I86" s="391">
        <f t="shared" si="46"/>
        <v>4</v>
      </c>
      <c r="J86" s="391">
        <f t="shared" si="47"/>
        <v>3174.5465218996242</v>
      </c>
      <c r="K86" s="199">
        <f t="shared" si="48"/>
        <v>793.63663047490604</v>
      </c>
      <c r="L86" s="630"/>
      <c r="M86" s="198">
        <f>RANK(K86, K$77:$K$106)</f>
        <v>14</v>
      </c>
      <c r="N86" s="637"/>
      <c r="O86" s="637"/>
      <c r="P86" s="416">
        <v>4</v>
      </c>
      <c r="Q86" s="416">
        <v>3195.2542372881344</v>
      </c>
      <c r="R86" s="416">
        <v>798.8135593220336</v>
      </c>
      <c r="S86" s="549">
        <f t="shared" si="30"/>
        <v>13</v>
      </c>
      <c r="T86" s="645"/>
      <c r="U86" s="416">
        <v>4</v>
      </c>
      <c r="V86" s="416">
        <v>3148.4745762711891</v>
      </c>
      <c r="W86" s="416">
        <v>787.11864406779728</v>
      </c>
      <c r="X86" s="549">
        <f t="shared" si="32"/>
        <v>15</v>
      </c>
      <c r="Y86" s="645"/>
      <c r="Z86" s="416">
        <v>4</v>
      </c>
      <c r="AA86" s="416">
        <v>3168.421052631581</v>
      </c>
      <c r="AB86" s="416">
        <v>792.10526315789525</v>
      </c>
      <c r="AC86" s="549">
        <f t="shared" si="34"/>
        <v>13</v>
      </c>
      <c r="AD86" s="645"/>
      <c r="AE86" s="416">
        <v>4</v>
      </c>
      <c r="AF86" s="416">
        <v>3171.2500000000064</v>
      </c>
      <c r="AG86" s="416">
        <v>792.81250000000159</v>
      </c>
      <c r="AH86" s="549">
        <f t="shared" si="36"/>
        <v>14</v>
      </c>
      <c r="AI86" s="645"/>
      <c r="AJ86" s="416">
        <v>4</v>
      </c>
      <c r="AK86" s="416">
        <v>3207.3913043478324</v>
      </c>
      <c r="AL86" s="416">
        <v>801.84782608695809</v>
      </c>
      <c r="AM86" s="549">
        <f t="shared" si="38"/>
        <v>18</v>
      </c>
      <c r="AN86" s="645"/>
      <c r="AO86" s="416">
        <v>4</v>
      </c>
      <c r="AP86" s="416">
        <v>3162.4137931034552</v>
      </c>
      <c r="AQ86" s="416">
        <v>790.6034482758638</v>
      </c>
      <c r="AR86" s="549">
        <f t="shared" si="40"/>
        <v>14</v>
      </c>
      <c r="AS86" s="645"/>
      <c r="AT86" s="416">
        <v>4</v>
      </c>
      <c r="AU86" s="416">
        <v>3168.6206896551707</v>
      </c>
      <c r="AV86" s="416">
        <v>792.15517241379268</v>
      </c>
      <c r="AW86" s="549">
        <f t="shared" si="42"/>
        <v>13</v>
      </c>
      <c r="AX86" s="645"/>
      <c r="AZ86" s="402" t="e">
        <f t="shared" si="44"/>
        <v>#N/A</v>
      </c>
      <c r="BA86" s="645"/>
    </row>
    <row r="87" spans="2:53">
      <c r="B87" s="659"/>
      <c r="C87" s="303">
        <v>11</v>
      </c>
      <c r="D87" s="409" t="s">
        <v>584</v>
      </c>
      <c r="E87" s="409">
        <v>4</v>
      </c>
      <c r="F87" s="409">
        <v>2800</v>
      </c>
      <c r="G87" s="416">
        <v>700</v>
      </c>
      <c r="H87" s="645"/>
      <c r="I87" s="391">
        <f t="shared" si="46"/>
        <v>4</v>
      </c>
      <c r="J87" s="391">
        <f t="shared" si="47"/>
        <v>2794.0550733017699</v>
      </c>
      <c r="K87" s="199">
        <f t="shared" si="48"/>
        <v>698.51376832544247</v>
      </c>
      <c r="L87" s="630"/>
      <c r="M87" s="198">
        <f>RANK(K87, K$77:$K$106)</f>
        <v>20</v>
      </c>
      <c r="N87" s="637"/>
      <c r="O87" s="637"/>
      <c r="P87" s="416">
        <v>4</v>
      </c>
      <c r="Q87" s="416">
        <v>2778.8571428571418</v>
      </c>
      <c r="R87" s="416">
        <v>694.71428571428544</v>
      </c>
      <c r="S87" s="549">
        <f t="shared" si="30"/>
        <v>21</v>
      </c>
      <c r="T87" s="645"/>
      <c r="U87" s="416">
        <v>4</v>
      </c>
      <c r="V87" s="416">
        <v>2786.9565217391291</v>
      </c>
      <c r="W87" s="416">
        <v>696.73913043478228</v>
      </c>
      <c r="X87" s="549">
        <f t="shared" si="32"/>
        <v>20</v>
      </c>
      <c r="Y87" s="645"/>
      <c r="Z87" s="416">
        <v>4</v>
      </c>
      <c r="AA87" s="416">
        <v>2795.4545454545437</v>
      </c>
      <c r="AB87" s="416">
        <v>698.86363636363592</v>
      </c>
      <c r="AC87" s="549">
        <f t="shared" si="34"/>
        <v>20</v>
      </c>
      <c r="AD87" s="645"/>
      <c r="AE87" s="416">
        <v>4</v>
      </c>
      <c r="AF87" s="416">
        <v>2758.9473684210525</v>
      </c>
      <c r="AG87" s="416">
        <v>689.73684210526312</v>
      </c>
      <c r="AH87" s="549">
        <f t="shared" si="36"/>
        <v>20</v>
      </c>
      <c r="AI87" s="645"/>
      <c r="AJ87" s="416">
        <v>4</v>
      </c>
      <c r="AK87" s="416">
        <v>2841.1111111111127</v>
      </c>
      <c r="AL87" s="416">
        <v>710.27777777777817</v>
      </c>
      <c r="AM87" s="549">
        <f t="shared" si="38"/>
        <v>22</v>
      </c>
      <c r="AN87" s="645"/>
      <c r="AO87" s="416">
        <v>4</v>
      </c>
      <c r="AP87" s="416">
        <v>2799.9999999999991</v>
      </c>
      <c r="AQ87" s="416">
        <v>699.99999999999977</v>
      </c>
      <c r="AR87" s="549">
        <f t="shared" si="40"/>
        <v>20</v>
      </c>
      <c r="AS87" s="645"/>
      <c r="AT87" s="416">
        <v>4</v>
      </c>
      <c r="AU87" s="416">
        <v>2797.0588235294099</v>
      </c>
      <c r="AV87" s="416">
        <v>699.26470588235247</v>
      </c>
      <c r="AW87" s="549">
        <f t="shared" si="42"/>
        <v>19</v>
      </c>
      <c r="AX87" s="645"/>
      <c r="AZ87" s="402" t="e">
        <f t="shared" si="44"/>
        <v>#N/A</v>
      </c>
      <c r="BA87" s="645"/>
    </row>
    <row r="88" spans="2:53">
      <c r="B88" s="659"/>
      <c r="C88" s="303">
        <v>12</v>
      </c>
      <c r="D88" s="409" t="s">
        <v>585</v>
      </c>
      <c r="E88" s="409">
        <v>4</v>
      </c>
      <c r="F88" s="409">
        <v>2800</v>
      </c>
      <c r="G88" s="416">
        <v>700</v>
      </c>
      <c r="H88" s="645"/>
      <c r="I88" s="391">
        <f t="shared" si="46"/>
        <v>4</v>
      </c>
      <c r="J88" s="391">
        <f t="shared" si="47"/>
        <v>2793.3428571428676</v>
      </c>
      <c r="K88" s="199">
        <f t="shared" si="48"/>
        <v>698.3357142857169</v>
      </c>
      <c r="L88" s="630"/>
      <c r="M88" s="198">
        <f>RANK(K88, K$77:$K$106)</f>
        <v>21</v>
      </c>
      <c r="N88" s="637"/>
      <c r="O88" s="637"/>
      <c r="P88" s="416">
        <v>4</v>
      </c>
      <c r="Q88" s="416">
        <v>2810.4000000000278</v>
      </c>
      <c r="R88" s="416">
        <v>702.60000000000696</v>
      </c>
      <c r="S88" s="549">
        <f t="shared" si="30"/>
        <v>20</v>
      </c>
      <c r="T88" s="645"/>
      <c r="U88" s="416">
        <v>4</v>
      </c>
      <c r="V88" s="416">
        <v>2695.1999999999925</v>
      </c>
      <c r="W88" s="416">
        <v>673.79999999999814</v>
      </c>
      <c r="X88" s="549">
        <f t="shared" si="32"/>
        <v>22</v>
      </c>
      <c r="Y88" s="645"/>
      <c r="Z88" s="416">
        <v>4</v>
      </c>
      <c r="AA88" s="416">
        <v>2649.6000000000263</v>
      </c>
      <c r="AB88" s="416">
        <v>662.40000000000657</v>
      </c>
      <c r="AC88" s="549">
        <f t="shared" si="34"/>
        <v>22</v>
      </c>
      <c r="AD88" s="645"/>
      <c r="AE88" s="416">
        <v>4</v>
      </c>
      <c r="AF88" s="416">
        <v>2873.9999999999873</v>
      </c>
      <c r="AG88" s="416">
        <v>718.49999999999682</v>
      </c>
      <c r="AH88" s="549">
        <f t="shared" si="36"/>
        <v>19</v>
      </c>
      <c r="AI88" s="645"/>
      <c r="AJ88" s="416">
        <v>4</v>
      </c>
      <c r="AK88" s="416">
        <v>3044.9999999999864</v>
      </c>
      <c r="AL88" s="416">
        <v>761.24999999999659</v>
      </c>
      <c r="AM88" s="549">
        <f t="shared" si="38"/>
        <v>19</v>
      </c>
      <c r="AN88" s="645"/>
      <c r="AO88" s="416">
        <v>4</v>
      </c>
      <c r="AP88" s="416">
        <v>2690.4000000000265</v>
      </c>
      <c r="AQ88" s="416">
        <v>672.60000000000662</v>
      </c>
      <c r="AR88" s="549">
        <f t="shared" si="40"/>
        <v>22</v>
      </c>
      <c r="AS88" s="645"/>
      <c r="AT88" s="416">
        <v>4</v>
      </c>
      <c r="AU88" s="416">
        <v>2788.8000000000279</v>
      </c>
      <c r="AV88" s="416">
        <v>697.20000000000698</v>
      </c>
      <c r="AW88" s="549">
        <f t="shared" si="42"/>
        <v>20</v>
      </c>
      <c r="AX88" s="645"/>
      <c r="AZ88" s="402" t="e">
        <f t="shared" si="44"/>
        <v>#N/A</v>
      </c>
      <c r="BA88" s="645"/>
    </row>
    <row r="89" spans="2:53">
      <c r="B89" s="659"/>
      <c r="C89" s="303">
        <v>13</v>
      </c>
      <c r="D89" s="409" t="s">
        <v>586</v>
      </c>
      <c r="E89" s="409">
        <v>3</v>
      </c>
      <c r="F89" s="409">
        <v>2800</v>
      </c>
      <c r="G89" s="416">
        <v>933.33333333333337</v>
      </c>
      <c r="H89" s="645"/>
      <c r="I89" s="391">
        <f t="shared" si="46"/>
        <v>3</v>
      </c>
      <c r="J89" s="391">
        <f t="shared" si="47"/>
        <v>3037.0857142857176</v>
      </c>
      <c r="K89" s="199">
        <f t="shared" si="48"/>
        <v>1012.3619047619059</v>
      </c>
      <c r="L89" s="630"/>
      <c r="M89" s="198">
        <f>RANK(K89, K$77:$K$106)</f>
        <v>9</v>
      </c>
      <c r="N89" s="637"/>
      <c r="O89" s="637"/>
      <c r="P89" s="416">
        <v>3</v>
      </c>
      <c r="Q89" s="416">
        <v>3240.0000000000114</v>
      </c>
      <c r="R89" s="416">
        <v>1080.0000000000039</v>
      </c>
      <c r="S89" s="549">
        <f t="shared" si="30"/>
        <v>2</v>
      </c>
      <c r="T89" s="645"/>
      <c r="U89" s="416">
        <v>3</v>
      </c>
      <c r="V89" s="416">
        <v>2825.9999999999986</v>
      </c>
      <c r="W89" s="416">
        <v>941.99999999999955</v>
      </c>
      <c r="X89" s="549">
        <f t="shared" si="32"/>
        <v>11</v>
      </c>
      <c r="Y89" s="645"/>
      <c r="Z89" s="416">
        <v>3</v>
      </c>
      <c r="AA89" s="416">
        <v>2838.00000000001</v>
      </c>
      <c r="AB89" s="416">
        <v>946.0000000000033</v>
      </c>
      <c r="AC89" s="549">
        <f t="shared" si="34"/>
        <v>11</v>
      </c>
      <c r="AD89" s="645"/>
      <c r="AE89" s="416">
        <v>3</v>
      </c>
      <c r="AF89" s="416">
        <v>3131.9999999999914</v>
      </c>
      <c r="AG89" s="416">
        <v>1043.999999999997</v>
      </c>
      <c r="AH89" s="549">
        <f t="shared" si="36"/>
        <v>7</v>
      </c>
      <c r="AI89" s="645"/>
      <c r="AJ89" s="416">
        <v>3</v>
      </c>
      <c r="AK89" s="416">
        <v>3249.5999999999908</v>
      </c>
      <c r="AL89" s="416">
        <v>1083.1999999999969</v>
      </c>
      <c r="AM89" s="549">
        <f t="shared" si="38"/>
        <v>7</v>
      </c>
      <c r="AN89" s="645"/>
      <c r="AO89" s="416">
        <v>3</v>
      </c>
      <c r="AP89" s="416">
        <v>3010.0000000000105</v>
      </c>
      <c r="AQ89" s="416">
        <v>1003.3333333333368</v>
      </c>
      <c r="AR89" s="549">
        <f t="shared" si="40"/>
        <v>9</v>
      </c>
      <c r="AS89" s="645"/>
      <c r="AT89" s="416">
        <v>3</v>
      </c>
      <c r="AU89" s="416">
        <v>2964.0000000000105</v>
      </c>
      <c r="AV89" s="416">
        <v>988.00000000000352</v>
      </c>
      <c r="AW89" s="549">
        <f t="shared" si="42"/>
        <v>10</v>
      </c>
      <c r="AX89" s="645"/>
      <c r="AZ89" s="402" t="e">
        <f t="shared" si="44"/>
        <v>#N/A</v>
      </c>
      <c r="BA89" s="645"/>
    </row>
    <row r="90" spans="2:53">
      <c r="B90" s="659"/>
      <c r="C90" s="303">
        <v>14</v>
      </c>
      <c r="D90" s="409" t="s">
        <v>587</v>
      </c>
      <c r="E90" s="409">
        <v>4</v>
      </c>
      <c r="F90" s="409">
        <v>2200</v>
      </c>
      <c r="G90" s="416">
        <v>550</v>
      </c>
      <c r="H90" s="645"/>
      <c r="I90" s="391">
        <f t="shared" si="46"/>
        <v>3</v>
      </c>
      <c r="J90" s="391">
        <f t="shared" si="47"/>
        <v>2256.2278911564617</v>
      </c>
      <c r="K90" s="199">
        <f t="shared" si="48"/>
        <v>752.07596371882062</v>
      </c>
      <c r="L90" s="630"/>
      <c r="M90" s="198">
        <f>RANK(K90, K$77:$K$106)</f>
        <v>17</v>
      </c>
      <c r="N90" s="637"/>
      <c r="O90" s="637"/>
      <c r="P90" s="416">
        <v>3</v>
      </c>
      <c r="Q90" s="416">
        <v>2154.6666666666665</v>
      </c>
      <c r="R90" s="416">
        <v>718.22222222222217</v>
      </c>
      <c r="S90" s="549">
        <f t="shared" si="30"/>
        <v>19</v>
      </c>
      <c r="T90" s="645"/>
      <c r="U90" s="416">
        <v>3</v>
      </c>
      <c r="V90" s="416">
        <v>2165.3333333333335</v>
      </c>
      <c r="W90" s="416">
        <v>721.77777777777783</v>
      </c>
      <c r="X90" s="549">
        <f t="shared" si="32"/>
        <v>19</v>
      </c>
      <c r="Y90" s="645"/>
      <c r="Z90" s="416">
        <v>3</v>
      </c>
      <c r="AA90" s="416">
        <v>2176.4999999999991</v>
      </c>
      <c r="AB90" s="416">
        <v>725.49999999999966</v>
      </c>
      <c r="AC90" s="549">
        <f t="shared" si="34"/>
        <v>18</v>
      </c>
      <c r="AD90" s="645"/>
      <c r="AE90" s="416">
        <v>3</v>
      </c>
      <c r="AF90" s="416">
        <v>2943.4285714285684</v>
      </c>
      <c r="AG90" s="416">
        <v>981.14285714285609</v>
      </c>
      <c r="AH90" s="549">
        <f t="shared" si="36"/>
        <v>12</v>
      </c>
      <c r="AI90" s="645"/>
      <c r="AJ90" s="416">
        <v>3</v>
      </c>
      <c r="AK90" s="416">
        <v>2162.9999999999995</v>
      </c>
      <c r="AL90" s="416">
        <v>720.99999999999989</v>
      </c>
      <c r="AM90" s="549">
        <f t="shared" si="38"/>
        <v>21</v>
      </c>
      <c r="AN90" s="645"/>
      <c r="AO90" s="416">
        <v>3</v>
      </c>
      <c r="AP90" s="416">
        <v>2104</v>
      </c>
      <c r="AQ90" s="416">
        <v>701.33333333333337</v>
      </c>
      <c r="AR90" s="549">
        <f t="shared" si="40"/>
        <v>19</v>
      </c>
      <c r="AS90" s="645"/>
      <c r="AT90" s="416">
        <v>3</v>
      </c>
      <c r="AU90" s="416">
        <v>2086.6666666666665</v>
      </c>
      <c r="AV90" s="416">
        <v>695.55555555555554</v>
      </c>
      <c r="AW90" s="549">
        <f t="shared" si="42"/>
        <v>21</v>
      </c>
      <c r="AX90" s="645"/>
      <c r="AZ90" s="402" t="e">
        <f t="shared" si="44"/>
        <v>#N/A</v>
      </c>
      <c r="BA90" s="645"/>
    </row>
    <row r="91" spans="2:53">
      <c r="B91" s="659"/>
      <c r="C91" s="303">
        <v>15</v>
      </c>
      <c r="D91" s="409" t="s">
        <v>636</v>
      </c>
      <c r="E91" s="409">
        <v>8</v>
      </c>
      <c r="F91" s="409">
        <v>1500</v>
      </c>
      <c r="G91" s="416">
        <v>187.5</v>
      </c>
      <c r="H91" s="645"/>
      <c r="I91" s="391">
        <f t="shared" si="46"/>
        <v>12</v>
      </c>
      <c r="J91" s="391">
        <f t="shared" si="47"/>
        <v>1400.0704758845843</v>
      </c>
      <c r="K91" s="199">
        <f t="shared" si="48"/>
        <v>116.6725396570487</v>
      </c>
      <c r="L91" s="630"/>
      <c r="M91" s="198">
        <f>RANK(K91, K$77:$K$106)</f>
        <v>23</v>
      </c>
      <c r="N91" s="637"/>
      <c r="O91" s="637"/>
      <c r="P91" s="416">
        <v>12</v>
      </c>
      <c r="Q91" s="416">
        <v>1432.9411764705862</v>
      </c>
      <c r="R91" s="416">
        <v>119.41176470588219</v>
      </c>
      <c r="S91" s="549">
        <f t="shared" si="30"/>
        <v>23</v>
      </c>
      <c r="T91" s="645"/>
      <c r="U91" s="416">
        <v>12</v>
      </c>
      <c r="V91" s="416">
        <v>1374.9295774647874</v>
      </c>
      <c r="W91" s="416">
        <v>114.57746478873229</v>
      </c>
      <c r="X91" s="549">
        <f t="shared" si="32"/>
        <v>23</v>
      </c>
      <c r="Y91" s="645"/>
      <c r="Z91" s="416">
        <v>12</v>
      </c>
      <c r="AA91" s="416">
        <v>1417.1428571428585</v>
      </c>
      <c r="AB91" s="416">
        <v>118.0952380952382</v>
      </c>
      <c r="AC91" s="549">
        <f t="shared" si="34"/>
        <v>23</v>
      </c>
      <c r="AD91" s="645"/>
      <c r="AE91" s="416">
        <v>12</v>
      </c>
      <c r="AF91" s="416">
        <v>1390.6451612903238</v>
      </c>
      <c r="AG91" s="416">
        <v>115.88709677419365</v>
      </c>
      <c r="AH91" s="549">
        <f t="shared" si="36"/>
        <v>23</v>
      </c>
      <c r="AI91" s="645"/>
      <c r="AJ91" s="416">
        <v>12</v>
      </c>
      <c r="AK91" s="416">
        <v>1392.1875000000016</v>
      </c>
      <c r="AL91" s="416">
        <v>116.01562500000013</v>
      </c>
      <c r="AM91" s="549">
        <f t="shared" si="38"/>
        <v>23</v>
      </c>
      <c r="AN91" s="645"/>
      <c r="AO91" s="416">
        <v>12</v>
      </c>
      <c r="AP91" s="416">
        <v>1395.8823529411782</v>
      </c>
      <c r="AQ91" s="416">
        <v>116.32352941176485</v>
      </c>
      <c r="AR91" s="549">
        <f t="shared" si="40"/>
        <v>23</v>
      </c>
      <c r="AS91" s="645"/>
      <c r="AT91" s="416">
        <v>12</v>
      </c>
      <c r="AU91" s="416">
        <v>1396.7647058823547</v>
      </c>
      <c r="AV91" s="416">
        <v>116.39705882352956</v>
      </c>
      <c r="AW91" s="549">
        <f t="shared" si="42"/>
        <v>23</v>
      </c>
      <c r="AX91" s="645"/>
      <c r="AZ91" s="402" t="e">
        <f t="shared" si="44"/>
        <v>#N/A</v>
      </c>
      <c r="BA91" s="645"/>
    </row>
    <row r="92" spans="2:53">
      <c r="B92" s="659"/>
      <c r="C92" s="303">
        <v>16</v>
      </c>
      <c r="D92" s="409" t="s">
        <v>588</v>
      </c>
      <c r="E92" s="409">
        <v>3</v>
      </c>
      <c r="F92" s="409">
        <v>2800</v>
      </c>
      <c r="G92" s="416">
        <v>933.33333333333337</v>
      </c>
      <c r="H92" s="645"/>
      <c r="I92" s="391">
        <f t="shared" si="46"/>
        <v>3</v>
      </c>
      <c r="J92" s="391">
        <f t="shared" si="47"/>
        <v>2767.8274822123963</v>
      </c>
      <c r="K92" s="199">
        <f t="shared" si="48"/>
        <v>922.60916073746534</v>
      </c>
      <c r="L92" s="630"/>
      <c r="M92" s="198">
        <f>RANK(K92, K$77:$K$106)</f>
        <v>12</v>
      </c>
      <c r="N92" s="637"/>
      <c r="O92" s="637"/>
      <c r="P92" s="416">
        <v>3</v>
      </c>
      <c r="Q92" s="416">
        <v>2762.9268292682968</v>
      </c>
      <c r="R92" s="416">
        <v>920.97560975609895</v>
      </c>
      <c r="S92" s="549">
        <f t="shared" si="30"/>
        <v>12</v>
      </c>
      <c r="T92" s="645"/>
      <c r="U92" s="416">
        <v>3</v>
      </c>
      <c r="V92" s="416">
        <v>2758.5714285714275</v>
      </c>
      <c r="W92" s="416">
        <v>919.52380952380918</v>
      </c>
      <c r="X92" s="549">
        <f t="shared" si="32"/>
        <v>12</v>
      </c>
      <c r="Y92" s="645"/>
      <c r="Z92" s="416">
        <v>3</v>
      </c>
      <c r="AA92" s="416">
        <v>2791.4999999999991</v>
      </c>
      <c r="AB92" s="416">
        <v>930.49999999999966</v>
      </c>
      <c r="AC92" s="549">
        <f t="shared" si="34"/>
        <v>12</v>
      </c>
      <c r="AD92" s="645"/>
      <c r="AE92" s="416">
        <v>3</v>
      </c>
      <c r="AF92" s="416">
        <v>2735.2941176470554</v>
      </c>
      <c r="AG92" s="416">
        <v>911.76470588235179</v>
      </c>
      <c r="AH92" s="549">
        <f t="shared" si="36"/>
        <v>13</v>
      </c>
      <c r="AI92" s="645"/>
      <c r="AJ92" s="416">
        <v>3</v>
      </c>
      <c r="AK92" s="416">
        <v>2812.4999999999964</v>
      </c>
      <c r="AL92" s="416">
        <v>937.49999999999875</v>
      </c>
      <c r="AM92" s="549">
        <f t="shared" si="38"/>
        <v>12</v>
      </c>
      <c r="AN92" s="645"/>
      <c r="AO92" s="416">
        <v>3</v>
      </c>
      <c r="AP92" s="416">
        <v>2770.5000000000045</v>
      </c>
      <c r="AQ92" s="416">
        <v>923.50000000000148</v>
      </c>
      <c r="AR92" s="549">
        <f t="shared" si="40"/>
        <v>11</v>
      </c>
      <c r="AS92" s="645"/>
      <c r="AT92" s="416">
        <v>3</v>
      </c>
      <c r="AU92" s="416">
        <v>2743.4999999999932</v>
      </c>
      <c r="AV92" s="416">
        <v>914.49999999999773</v>
      </c>
      <c r="AW92" s="549">
        <f t="shared" si="42"/>
        <v>11</v>
      </c>
      <c r="AX92" s="645"/>
      <c r="AZ92" s="402" t="e">
        <f t="shared" si="44"/>
        <v>#N/A</v>
      </c>
      <c r="BA92" s="645"/>
    </row>
    <row r="93" spans="2:53">
      <c r="B93" s="659"/>
      <c r="C93" s="303">
        <v>17</v>
      </c>
      <c r="D93" s="409" t="s">
        <v>589</v>
      </c>
      <c r="E93" s="409">
        <v>4</v>
      </c>
      <c r="F93" s="409">
        <v>2800</v>
      </c>
      <c r="G93" s="416">
        <v>700</v>
      </c>
      <c r="H93" s="645"/>
      <c r="I93" s="391">
        <f t="shared" si="46"/>
        <v>4</v>
      </c>
      <c r="J93" s="391">
        <f t="shared" si="47"/>
        <v>2772.9224361316437</v>
      </c>
      <c r="K93" s="199">
        <f t="shared" si="48"/>
        <v>693.23060903291093</v>
      </c>
      <c r="L93" s="630"/>
      <c r="M93" s="198">
        <f>RANK(K93, K$77:$K$106)</f>
        <v>22</v>
      </c>
      <c r="N93" s="637"/>
      <c r="O93" s="637"/>
      <c r="P93" s="416">
        <v>4</v>
      </c>
      <c r="Q93" s="416">
        <v>2774.400000000001</v>
      </c>
      <c r="R93" s="416">
        <v>693.60000000000025</v>
      </c>
      <c r="S93" s="549">
        <f t="shared" si="30"/>
        <v>22</v>
      </c>
      <c r="T93" s="645"/>
      <c r="U93" s="416">
        <v>4</v>
      </c>
      <c r="V93" s="416">
        <v>2702.3076923076937</v>
      </c>
      <c r="W93" s="416">
        <v>675.57692307692344</v>
      </c>
      <c r="X93" s="549">
        <f t="shared" si="32"/>
        <v>21</v>
      </c>
      <c r="Y93" s="645"/>
      <c r="Z93" s="416">
        <v>4</v>
      </c>
      <c r="AA93" s="416">
        <v>2775.0000000000009</v>
      </c>
      <c r="AB93" s="416">
        <v>693.75000000000023</v>
      </c>
      <c r="AC93" s="549">
        <f t="shared" si="34"/>
        <v>21</v>
      </c>
      <c r="AD93" s="645"/>
      <c r="AE93" s="416">
        <v>4</v>
      </c>
      <c r="AF93" s="416">
        <v>2720.9999999999991</v>
      </c>
      <c r="AG93" s="416">
        <v>680.24999999999977</v>
      </c>
      <c r="AH93" s="549">
        <f t="shared" si="36"/>
        <v>21</v>
      </c>
      <c r="AI93" s="645"/>
      <c r="AJ93" s="416">
        <v>4</v>
      </c>
      <c r="AK93" s="416">
        <v>2904.7058823529374</v>
      </c>
      <c r="AL93" s="416">
        <v>726.17647058823434</v>
      </c>
      <c r="AM93" s="549">
        <f t="shared" si="38"/>
        <v>20</v>
      </c>
      <c r="AN93" s="645"/>
      <c r="AO93" s="416">
        <v>4</v>
      </c>
      <c r="AP93" s="416">
        <v>2770.4347826086955</v>
      </c>
      <c r="AQ93" s="416">
        <v>692.60869565217388</v>
      </c>
      <c r="AR93" s="549">
        <f t="shared" si="40"/>
        <v>21</v>
      </c>
      <c r="AS93" s="645"/>
      <c r="AT93" s="416">
        <v>4</v>
      </c>
      <c r="AU93" s="416">
        <v>2762.608695652174</v>
      </c>
      <c r="AV93" s="416">
        <v>690.6521739130435</v>
      </c>
      <c r="AW93" s="549">
        <f t="shared" si="42"/>
        <v>22</v>
      </c>
      <c r="AX93" s="645"/>
      <c r="AZ93" s="402" t="e">
        <f t="shared" si="44"/>
        <v>#N/A</v>
      </c>
      <c r="BA93" s="645"/>
    </row>
    <row r="94" spans="2:53">
      <c r="B94" s="659"/>
      <c r="C94" s="303">
        <v>18</v>
      </c>
      <c r="D94" s="409" t="s">
        <v>606</v>
      </c>
      <c r="E94" s="409">
        <v>12</v>
      </c>
      <c r="F94" s="409">
        <v>1500</v>
      </c>
      <c r="G94" s="416">
        <v>125</v>
      </c>
      <c r="H94" s="645"/>
      <c r="I94" s="391">
        <f t="shared" si="46"/>
        <v>12</v>
      </c>
      <c r="J94" s="391">
        <f t="shared" si="47"/>
        <v>1223.7089563097984</v>
      </c>
      <c r="K94" s="199">
        <f t="shared" si="48"/>
        <v>101.97574635914985</v>
      </c>
      <c r="L94" s="630"/>
      <c r="M94" s="198">
        <f>RANK(K94, K$77:$K$106)</f>
        <v>24</v>
      </c>
      <c r="N94" s="637"/>
      <c r="O94" s="637"/>
      <c r="P94" s="416">
        <v>12</v>
      </c>
      <c r="Q94" s="416">
        <v>1303.6363636363587</v>
      </c>
      <c r="R94" s="416">
        <v>108.63636363636323</v>
      </c>
      <c r="S94" s="549">
        <f t="shared" si="30"/>
        <v>24</v>
      </c>
      <c r="T94" s="645"/>
      <c r="U94" s="416">
        <v>12</v>
      </c>
      <c r="V94" s="416">
        <v>1222.4999999999961</v>
      </c>
      <c r="W94" s="416">
        <v>101.87499999999967</v>
      </c>
      <c r="X94" s="549">
        <f t="shared" si="32"/>
        <v>24</v>
      </c>
      <c r="Y94" s="645"/>
      <c r="Z94" s="416">
        <v>12</v>
      </c>
      <c r="AA94" s="416">
        <v>1194.0000000000041</v>
      </c>
      <c r="AB94" s="416">
        <v>99.500000000000341</v>
      </c>
      <c r="AC94" s="549">
        <f t="shared" si="34"/>
        <v>24</v>
      </c>
      <c r="AD94" s="645"/>
      <c r="AE94" s="416">
        <v>12</v>
      </c>
      <c r="AF94" s="416">
        <v>1210.5882352941219</v>
      </c>
      <c r="AG94" s="416">
        <v>100.88235294117682</v>
      </c>
      <c r="AH94" s="549">
        <f t="shared" si="36"/>
        <v>24</v>
      </c>
      <c r="AI94" s="645"/>
      <c r="AJ94" s="416">
        <v>12</v>
      </c>
      <c r="AK94" s="416">
        <v>1186.6666666666711</v>
      </c>
      <c r="AL94" s="416">
        <v>98.888888888889255</v>
      </c>
      <c r="AM94" s="549">
        <f t="shared" si="38"/>
        <v>24</v>
      </c>
      <c r="AN94" s="645"/>
      <c r="AO94" s="416">
        <v>12</v>
      </c>
      <c r="AP94" s="416">
        <v>1228.571428571433</v>
      </c>
      <c r="AQ94" s="416">
        <v>102.38095238095275</v>
      </c>
      <c r="AR94" s="549">
        <f t="shared" si="40"/>
        <v>24</v>
      </c>
      <c r="AS94" s="645"/>
      <c r="AT94" s="416">
        <v>12</v>
      </c>
      <c r="AU94" s="416">
        <v>1220.0000000000043</v>
      </c>
      <c r="AV94" s="416">
        <v>101.66666666666703</v>
      </c>
      <c r="AW94" s="549">
        <f t="shared" si="42"/>
        <v>24</v>
      </c>
      <c r="AX94" s="645"/>
      <c r="AZ94" s="402" t="e">
        <f t="shared" si="44"/>
        <v>#N/A</v>
      </c>
      <c r="BA94" s="645"/>
    </row>
    <row r="95" spans="2:53">
      <c r="B95" s="659"/>
      <c r="C95" s="303">
        <v>19</v>
      </c>
      <c r="D95" s="409" t="s">
        <v>617</v>
      </c>
      <c r="E95" s="409">
        <v>3</v>
      </c>
      <c r="F95" s="409">
        <v>3000</v>
      </c>
      <c r="G95" s="416">
        <v>933.33333333333337</v>
      </c>
      <c r="H95" s="645"/>
      <c r="I95" s="391">
        <f t="shared" si="46"/>
        <v>3</v>
      </c>
      <c r="J95" s="391">
        <f t="shared" si="47"/>
        <v>2996.8571428571408</v>
      </c>
      <c r="K95" s="199">
        <f t="shared" si="48"/>
        <v>998.95238095238039</v>
      </c>
      <c r="L95" s="630"/>
      <c r="M95" s="198">
        <f>RANK(K95, K$77:$K$106)</f>
        <v>10</v>
      </c>
      <c r="N95" s="637"/>
      <c r="O95" s="637"/>
      <c r="P95" s="416">
        <v>3</v>
      </c>
      <c r="Q95" s="416">
        <v>2933.9999999999873</v>
      </c>
      <c r="R95" s="416">
        <v>977.99999999999579</v>
      </c>
      <c r="S95" s="549">
        <f t="shared" si="30"/>
        <v>11</v>
      </c>
      <c r="T95" s="645"/>
      <c r="U95" s="416">
        <v>3</v>
      </c>
      <c r="V95" s="416">
        <v>2999.9999999999868</v>
      </c>
      <c r="W95" s="416">
        <v>999.99999999999557</v>
      </c>
      <c r="X95" s="549">
        <f t="shared" si="32"/>
        <v>9</v>
      </c>
      <c r="Y95" s="645"/>
      <c r="Z95" s="416">
        <v>3</v>
      </c>
      <c r="AA95" s="416">
        <v>3380.0000000000123</v>
      </c>
      <c r="AB95" s="416">
        <v>1126.6666666666708</v>
      </c>
      <c r="AC95" s="549">
        <f t="shared" si="34"/>
        <v>2</v>
      </c>
      <c r="AD95" s="645"/>
      <c r="AE95" s="416">
        <v>3</v>
      </c>
      <c r="AF95" s="416">
        <v>3116.0000000000109</v>
      </c>
      <c r="AG95" s="416">
        <v>1038.6666666666704</v>
      </c>
      <c r="AH95" s="549">
        <f t="shared" si="36"/>
        <v>9</v>
      </c>
      <c r="AI95" s="645"/>
      <c r="AJ95" s="416">
        <v>3</v>
      </c>
      <c r="AK95" s="416">
        <v>3184.0000000000114</v>
      </c>
      <c r="AL95" s="416">
        <v>1061.3333333333371</v>
      </c>
      <c r="AM95" s="549">
        <f t="shared" si="38"/>
        <v>10</v>
      </c>
      <c r="AN95" s="645"/>
      <c r="AO95" s="416">
        <v>3</v>
      </c>
      <c r="AP95" s="416">
        <v>2726.9999999999877</v>
      </c>
      <c r="AQ95" s="416">
        <v>908.99999999999591</v>
      </c>
      <c r="AR95" s="549">
        <f t="shared" si="40"/>
        <v>12</v>
      </c>
      <c r="AS95" s="645"/>
      <c r="AT95" s="416">
        <v>3</v>
      </c>
      <c r="AU95" s="416">
        <v>2636.9999999999882</v>
      </c>
      <c r="AV95" s="416">
        <v>878.99999999999602</v>
      </c>
      <c r="AW95" s="549">
        <f t="shared" si="42"/>
        <v>12</v>
      </c>
      <c r="AX95" s="645"/>
      <c r="AZ95" s="402" t="e">
        <f t="shared" si="44"/>
        <v>#N/A</v>
      </c>
      <c r="BA95" s="645"/>
    </row>
    <row r="96" spans="2:53">
      <c r="B96" s="659"/>
      <c r="C96" s="303">
        <v>20</v>
      </c>
      <c r="D96" s="409" t="s">
        <v>621</v>
      </c>
      <c r="E96" s="409">
        <v>4</v>
      </c>
      <c r="F96" s="409">
        <v>3200</v>
      </c>
      <c r="G96" s="416">
        <v>800</v>
      </c>
      <c r="H96" s="645"/>
      <c r="I96" s="391">
        <f t="shared" si="46"/>
        <v>4</v>
      </c>
      <c r="J96" s="391">
        <f t="shared" si="47"/>
        <v>2979.6064837418207</v>
      </c>
      <c r="K96" s="199">
        <f t="shared" si="48"/>
        <v>744.90162093545518</v>
      </c>
      <c r="L96" s="630"/>
      <c r="M96" s="198">
        <f>RANK(K96, K$77:$K$106)</f>
        <v>18</v>
      </c>
      <c r="N96" s="637"/>
      <c r="O96" s="637"/>
      <c r="P96" s="416">
        <v>4</v>
      </c>
      <c r="Q96" s="416">
        <v>2923.6363636363635</v>
      </c>
      <c r="R96" s="416">
        <v>730.90909090909088</v>
      </c>
      <c r="S96" s="549">
        <f t="shared" si="30"/>
        <v>18</v>
      </c>
      <c r="T96" s="645"/>
      <c r="U96" s="416">
        <v>4</v>
      </c>
      <c r="V96" s="416">
        <v>2969.9999999999891</v>
      </c>
      <c r="W96" s="416">
        <v>742.49999999999727</v>
      </c>
      <c r="X96" s="549">
        <f t="shared" si="32"/>
        <v>18</v>
      </c>
      <c r="Y96" s="645"/>
      <c r="Z96" s="416">
        <v>4</v>
      </c>
      <c r="AA96" s="416">
        <v>2885.7142857142849</v>
      </c>
      <c r="AB96" s="416">
        <v>721.42857142857122</v>
      </c>
      <c r="AC96" s="549">
        <f t="shared" si="34"/>
        <v>19</v>
      </c>
      <c r="AD96" s="645"/>
      <c r="AE96" s="416">
        <v>4</v>
      </c>
      <c r="AF96" s="416">
        <v>2979.9999999999945</v>
      </c>
      <c r="AG96" s="416">
        <v>744.99999999999864</v>
      </c>
      <c r="AH96" s="549">
        <f t="shared" si="36"/>
        <v>18</v>
      </c>
      <c r="AI96" s="645"/>
      <c r="AJ96" s="416">
        <v>4</v>
      </c>
      <c r="AK96" s="416">
        <v>3240.0000000000114</v>
      </c>
      <c r="AL96" s="416">
        <v>810.00000000000284</v>
      </c>
      <c r="AM96" s="549">
        <f t="shared" si="38"/>
        <v>17</v>
      </c>
      <c r="AN96" s="645"/>
      <c r="AO96" s="416">
        <v>4</v>
      </c>
      <c r="AP96" s="416">
        <v>2981.0526315789452</v>
      </c>
      <c r="AQ96" s="416">
        <v>745.26315789473631</v>
      </c>
      <c r="AR96" s="549">
        <f t="shared" si="40"/>
        <v>18</v>
      </c>
      <c r="AS96" s="645"/>
      <c r="AT96" s="416">
        <v>4</v>
      </c>
      <c r="AU96" s="416">
        <v>2876.8421052631556</v>
      </c>
      <c r="AV96" s="416">
        <v>719.21052631578891</v>
      </c>
      <c r="AW96" s="549">
        <f t="shared" si="42"/>
        <v>18</v>
      </c>
      <c r="AX96" s="645"/>
      <c r="AZ96" s="402" t="e">
        <f t="shared" si="44"/>
        <v>#N/A</v>
      </c>
      <c r="BA96" s="645"/>
    </row>
    <row r="97" spans="2:53">
      <c r="B97" s="659"/>
      <c r="C97" s="303">
        <v>21</v>
      </c>
      <c r="D97" s="412" t="s">
        <v>629</v>
      </c>
      <c r="E97" s="409">
        <v>3</v>
      </c>
      <c r="F97" s="409">
        <v>3200</v>
      </c>
      <c r="G97" s="416">
        <v>1066.6666666666667</v>
      </c>
      <c r="H97" s="645"/>
      <c r="I97" s="391">
        <f t="shared" si="46"/>
        <v>3</v>
      </c>
      <c r="J97" s="391">
        <f t="shared" si="47"/>
        <v>3150.9800875815886</v>
      </c>
      <c r="K97" s="199">
        <f t="shared" si="48"/>
        <v>1050.3266958605295</v>
      </c>
      <c r="L97" s="630"/>
      <c r="M97" s="198">
        <f>RANK(K97, K$77:$K$106)</f>
        <v>8</v>
      </c>
      <c r="N97" s="637"/>
      <c r="O97" s="637"/>
      <c r="P97" s="495">
        <v>3</v>
      </c>
      <c r="Q97" s="416">
        <v>3195.0000000000114</v>
      </c>
      <c r="R97" s="416">
        <v>1065.0000000000039</v>
      </c>
      <c r="S97" s="549">
        <f t="shared" si="30"/>
        <v>3</v>
      </c>
      <c r="T97" s="645"/>
      <c r="U97" s="549">
        <v>3</v>
      </c>
      <c r="V97" s="416">
        <v>3154.2857142857015</v>
      </c>
      <c r="W97" s="416">
        <v>1051.4285714285672</v>
      </c>
      <c r="X97" s="549">
        <f t="shared" si="32"/>
        <v>6</v>
      </c>
      <c r="Y97" s="645"/>
      <c r="Z97" s="495">
        <v>3</v>
      </c>
      <c r="AA97" s="416">
        <v>3123.0000000000109</v>
      </c>
      <c r="AB97" s="416">
        <v>1041.0000000000036</v>
      </c>
      <c r="AC97" s="549">
        <f t="shared" si="34"/>
        <v>9</v>
      </c>
      <c r="AD97" s="645"/>
      <c r="AE97" s="495">
        <v>3</v>
      </c>
      <c r="AF97" s="416">
        <v>3120.0000000000109</v>
      </c>
      <c r="AG97" s="416">
        <v>1040.0000000000036</v>
      </c>
      <c r="AH97" s="549">
        <f t="shared" si="36"/>
        <v>8</v>
      </c>
      <c r="AI97" s="645"/>
      <c r="AJ97" s="495">
        <v>3</v>
      </c>
      <c r="AK97" s="416">
        <v>3286.1538461538375</v>
      </c>
      <c r="AL97" s="416">
        <v>1095.3846153846125</v>
      </c>
      <c r="AM97" s="549">
        <f t="shared" si="38"/>
        <v>3</v>
      </c>
      <c r="AN97" s="645"/>
      <c r="AO97" s="495">
        <v>3</v>
      </c>
      <c r="AP97" s="416">
        <v>3088.4210526315642</v>
      </c>
      <c r="AQ97" s="416">
        <v>1029.4736842105215</v>
      </c>
      <c r="AR97" s="549">
        <f t="shared" si="40"/>
        <v>8</v>
      </c>
      <c r="AS97" s="645"/>
      <c r="AT97" s="495">
        <v>3</v>
      </c>
      <c r="AU97" s="416">
        <v>3089.9999999999832</v>
      </c>
      <c r="AV97" s="416">
        <v>1029.9999999999943</v>
      </c>
      <c r="AW97" s="549">
        <f t="shared" si="42"/>
        <v>7</v>
      </c>
      <c r="AX97" s="645"/>
      <c r="AZ97" s="402" t="e">
        <f t="shared" si="44"/>
        <v>#N/A</v>
      </c>
      <c r="BA97" s="645"/>
    </row>
    <row r="98" spans="2:53">
      <c r="B98" s="659"/>
      <c r="C98" s="303">
        <v>22</v>
      </c>
      <c r="D98" s="409" t="s">
        <v>699</v>
      </c>
      <c r="E98" s="409">
        <v>3</v>
      </c>
      <c r="F98" s="409">
        <v>3200</v>
      </c>
      <c r="G98" s="416">
        <v>1066.6666666666667</v>
      </c>
      <c r="H98" s="645"/>
      <c r="I98" s="391">
        <f t="shared" si="46"/>
        <v>3</v>
      </c>
      <c r="J98" s="391">
        <f t="shared" si="47"/>
        <v>3194.5103584258409</v>
      </c>
      <c r="K98" s="199">
        <f t="shared" si="48"/>
        <v>1064.836786141947</v>
      </c>
      <c r="L98" s="630"/>
      <c r="M98" s="198">
        <f>RANK(K98, K$77:$K$106)</f>
        <v>3</v>
      </c>
      <c r="N98" s="637"/>
      <c r="O98" s="637"/>
      <c r="P98" s="495">
        <v>3</v>
      </c>
      <c r="Q98" s="416">
        <v>3268.6363636363635</v>
      </c>
      <c r="R98" s="416">
        <v>1089.5454545454545</v>
      </c>
      <c r="S98" s="549">
        <f t="shared" si="30"/>
        <v>1</v>
      </c>
      <c r="T98" s="645"/>
      <c r="U98" s="549">
        <v>3</v>
      </c>
      <c r="V98" s="416">
        <v>3198.6666666666665</v>
      </c>
      <c r="W98" s="416">
        <v>1066.2222222222222</v>
      </c>
      <c r="X98" s="549">
        <f t="shared" si="32"/>
        <v>2</v>
      </c>
      <c r="Y98" s="645"/>
      <c r="Z98" s="495">
        <v>3</v>
      </c>
      <c r="AA98" s="416">
        <v>3175.8139534883658</v>
      </c>
      <c r="AB98" s="416">
        <v>1058.6046511627885</v>
      </c>
      <c r="AC98" s="549">
        <f t="shared" si="34"/>
        <v>6</v>
      </c>
      <c r="AD98" s="645"/>
      <c r="AE98" s="495">
        <v>3</v>
      </c>
      <c r="AF98" s="416">
        <v>3155.9999999999968</v>
      </c>
      <c r="AG98" s="416">
        <v>1051.9999999999989</v>
      </c>
      <c r="AH98" s="549">
        <f t="shared" si="36"/>
        <v>5</v>
      </c>
      <c r="AI98" s="645"/>
      <c r="AJ98" s="495">
        <v>3</v>
      </c>
      <c r="AK98" s="416">
        <v>3256.3636363636319</v>
      </c>
      <c r="AL98" s="416">
        <v>1085.4545454545439</v>
      </c>
      <c r="AM98" s="549">
        <f t="shared" si="38"/>
        <v>6</v>
      </c>
      <c r="AN98" s="645"/>
      <c r="AO98" s="495">
        <v>3</v>
      </c>
      <c r="AP98" s="416">
        <v>3145.1162790697613</v>
      </c>
      <c r="AQ98" s="416">
        <v>1048.3720930232537</v>
      </c>
      <c r="AR98" s="549">
        <f t="shared" si="40"/>
        <v>6</v>
      </c>
      <c r="AS98" s="645"/>
      <c r="AT98" s="495">
        <v>3</v>
      </c>
      <c r="AU98" s="416">
        <v>3160.9756097561026</v>
      </c>
      <c r="AV98" s="416">
        <v>1053.6585365853675</v>
      </c>
      <c r="AW98" s="549">
        <f t="shared" si="42"/>
        <v>5</v>
      </c>
      <c r="AX98" s="645"/>
      <c r="AZ98" s="402" t="e">
        <f t="shared" si="44"/>
        <v>#N/A</v>
      </c>
      <c r="BA98" s="645"/>
    </row>
    <row r="99" spans="2:53">
      <c r="B99" s="659"/>
      <c r="C99" s="303">
        <v>23</v>
      </c>
      <c r="D99" s="409" t="s">
        <v>704</v>
      </c>
      <c r="E99" s="409">
        <v>3</v>
      </c>
      <c r="F99" s="409">
        <v>3200</v>
      </c>
      <c r="G99" s="416">
        <v>1066.6666666666667</v>
      </c>
      <c r="H99" s="645"/>
      <c r="I99" s="391">
        <f t="shared" si="46"/>
        <v>3</v>
      </c>
      <c r="J99" s="391">
        <f t="shared" si="47"/>
        <v>3161.0488618524319</v>
      </c>
      <c r="K99" s="199">
        <f t="shared" si="48"/>
        <v>1053.6829539508105</v>
      </c>
      <c r="L99" s="630"/>
      <c r="M99" s="198">
        <f>RANK(K99, K$77:$K$106)</f>
        <v>7</v>
      </c>
      <c r="N99" s="637"/>
      <c r="O99" s="637"/>
      <c r="P99" s="495">
        <v>3</v>
      </c>
      <c r="Q99" s="416">
        <v>3153.3333333333335</v>
      </c>
      <c r="R99" s="416">
        <v>1051.1111111111111</v>
      </c>
      <c r="S99" s="549">
        <f t="shared" si="30"/>
        <v>7</v>
      </c>
      <c r="T99" s="645"/>
      <c r="U99" s="549">
        <v>3</v>
      </c>
      <c r="V99" s="416">
        <v>3134.666666666667</v>
      </c>
      <c r="W99" s="416">
        <v>1044.8888888888889</v>
      </c>
      <c r="X99" s="549">
        <f t="shared" si="32"/>
        <v>7</v>
      </c>
      <c r="Y99" s="645"/>
      <c r="Z99" s="495">
        <v>3</v>
      </c>
      <c r="AA99" s="416">
        <v>3132.8571428571418</v>
      </c>
      <c r="AB99" s="416">
        <v>1044.285714285714</v>
      </c>
      <c r="AC99" s="549">
        <f t="shared" si="34"/>
        <v>8</v>
      </c>
      <c r="AD99" s="645"/>
      <c r="AE99" s="495">
        <v>3</v>
      </c>
      <c r="AF99" s="416">
        <v>3140.5714285714184</v>
      </c>
      <c r="AG99" s="416">
        <v>1046.8571428571395</v>
      </c>
      <c r="AH99" s="549">
        <f t="shared" si="36"/>
        <v>6</v>
      </c>
      <c r="AI99" s="645"/>
      <c r="AJ99" s="495">
        <v>3</v>
      </c>
      <c r="AK99" s="416">
        <v>3279.3750000000036</v>
      </c>
      <c r="AL99" s="416">
        <v>1093.1250000000011</v>
      </c>
      <c r="AM99" s="549">
        <f t="shared" si="38"/>
        <v>5</v>
      </c>
      <c r="AN99" s="645"/>
      <c r="AO99" s="495">
        <v>3</v>
      </c>
      <c r="AP99" s="416">
        <v>3164.9999999999986</v>
      </c>
      <c r="AQ99" s="416">
        <v>1054.9999999999995</v>
      </c>
      <c r="AR99" s="549">
        <f t="shared" si="40"/>
        <v>5</v>
      </c>
      <c r="AS99" s="645"/>
      <c r="AT99" s="495">
        <v>3</v>
      </c>
      <c r="AU99" s="416">
        <v>3121.5384615384601</v>
      </c>
      <c r="AV99" s="416">
        <v>1040.5128205128201</v>
      </c>
      <c r="AW99" s="549">
        <f t="shared" si="42"/>
        <v>6</v>
      </c>
      <c r="AX99" s="645"/>
      <c r="AZ99" s="402" t="e">
        <f t="shared" si="44"/>
        <v>#N/A</v>
      </c>
      <c r="BA99" s="645"/>
    </row>
    <row r="100" spans="2:53">
      <c r="B100" s="659"/>
      <c r="C100" s="303">
        <v>24</v>
      </c>
      <c r="D100" s="409" t="s">
        <v>715</v>
      </c>
      <c r="E100" s="409">
        <v>3</v>
      </c>
      <c r="F100" s="409">
        <v>3200</v>
      </c>
      <c r="G100" s="416">
        <v>1066.6666666666667</v>
      </c>
      <c r="H100" s="645"/>
      <c r="I100" s="391">
        <f t="shared" si="46"/>
        <v>3</v>
      </c>
      <c r="J100" s="391">
        <f t="shared" si="47"/>
        <v>2981.2742499015608</v>
      </c>
      <c r="K100" s="199">
        <f t="shared" si="48"/>
        <v>993.75808330052018</v>
      </c>
      <c r="L100" s="630"/>
      <c r="M100" s="198">
        <f>RANK(K100, K$77:$K$106)</f>
        <v>11</v>
      </c>
      <c r="N100" s="637"/>
      <c r="O100" s="637"/>
      <c r="P100" s="495">
        <v>3</v>
      </c>
      <c r="Q100" s="416">
        <v>2970.4615384615349</v>
      </c>
      <c r="R100" s="416">
        <v>990.15384615384494</v>
      </c>
      <c r="S100" s="549">
        <f t="shared" si="30"/>
        <v>10</v>
      </c>
      <c r="T100" s="645"/>
      <c r="U100" s="549">
        <v>3</v>
      </c>
      <c r="V100" s="416">
        <v>2959.3548387096803</v>
      </c>
      <c r="W100" s="416">
        <v>986.45161290322676</v>
      </c>
      <c r="X100" s="549">
        <f t="shared" si="32"/>
        <v>10</v>
      </c>
      <c r="Y100" s="645"/>
      <c r="Z100" s="495">
        <v>3</v>
      </c>
      <c r="AA100" s="416">
        <v>2994.6428571428551</v>
      </c>
      <c r="AB100" s="416">
        <v>998.21428571428498</v>
      </c>
      <c r="AC100" s="549">
        <f t="shared" si="34"/>
        <v>10</v>
      </c>
      <c r="AD100" s="645"/>
      <c r="AE100" s="495">
        <v>3</v>
      </c>
      <c r="AF100" s="416">
        <v>2943.8297872340431</v>
      </c>
      <c r="AG100" s="416">
        <v>981.276595744681</v>
      </c>
      <c r="AH100" s="549">
        <f t="shared" si="36"/>
        <v>11</v>
      </c>
      <c r="AI100" s="645"/>
      <c r="AJ100" s="495">
        <v>3</v>
      </c>
      <c r="AK100" s="416">
        <v>3042.8571428571481</v>
      </c>
      <c r="AL100" s="416">
        <v>1014.285714285716</v>
      </c>
      <c r="AM100" s="549">
        <f t="shared" si="38"/>
        <v>11</v>
      </c>
      <c r="AN100" s="645"/>
      <c r="AO100" s="495">
        <v>3</v>
      </c>
      <c r="AP100" s="416">
        <v>2963.7735849056621</v>
      </c>
      <c r="AQ100" s="416">
        <v>987.92452830188734</v>
      </c>
      <c r="AR100" s="549">
        <f t="shared" si="40"/>
        <v>10</v>
      </c>
      <c r="AS100" s="645"/>
      <c r="AT100" s="495">
        <v>3</v>
      </c>
      <c r="AU100" s="495">
        <v>2994.0000000000009</v>
      </c>
      <c r="AV100" s="495">
        <v>998.00000000000034</v>
      </c>
      <c r="AW100" s="549">
        <f t="shared" si="42"/>
        <v>9</v>
      </c>
      <c r="AX100" s="645"/>
      <c r="AZ100" s="402" t="e">
        <f t="shared" si="44"/>
        <v>#N/A</v>
      </c>
      <c r="BA100" s="645"/>
    </row>
    <row r="101" spans="2:53">
      <c r="B101" s="659"/>
      <c r="C101" s="303">
        <v>25</v>
      </c>
      <c r="D101" s="409"/>
      <c r="E101" s="409"/>
      <c r="F101" s="409"/>
      <c r="G101" s="409"/>
      <c r="H101" s="645"/>
      <c r="I101" s="391" t="str">
        <f t="shared" si="46"/>
        <v>-</v>
      </c>
      <c r="J101" s="391" t="str">
        <f t="shared" si="47"/>
        <v>-</v>
      </c>
      <c r="K101" s="199" t="str">
        <f t="shared" si="48"/>
        <v>-</v>
      </c>
      <c r="L101" s="630"/>
      <c r="M101" s="198" t="e">
        <f>RANK(K101, K$77:$K$106)</f>
        <v>#VALUE!</v>
      </c>
      <c r="N101" s="637"/>
      <c r="O101" s="637"/>
      <c r="P101" s="495"/>
      <c r="Q101" s="495"/>
      <c r="R101" s="495"/>
      <c r="S101" s="549" t="e">
        <f t="shared" si="30"/>
        <v>#N/A</v>
      </c>
      <c r="T101" s="645"/>
      <c r="U101" s="549"/>
      <c r="V101" s="495"/>
      <c r="W101" s="495"/>
      <c r="X101" s="549" t="e">
        <f t="shared" si="32"/>
        <v>#N/A</v>
      </c>
      <c r="Y101" s="645"/>
      <c r="Z101" s="495"/>
      <c r="AA101" s="495"/>
      <c r="AB101" s="495"/>
      <c r="AC101" s="549" t="e">
        <f t="shared" si="34"/>
        <v>#N/A</v>
      </c>
      <c r="AD101" s="645"/>
      <c r="AE101" s="495"/>
      <c r="AF101" s="495"/>
      <c r="AG101" s="495"/>
      <c r="AH101" s="549" t="e">
        <f t="shared" si="36"/>
        <v>#N/A</v>
      </c>
      <c r="AI101" s="645"/>
      <c r="AJ101" s="495"/>
      <c r="AK101" s="495"/>
      <c r="AL101" s="495"/>
      <c r="AM101" s="549" t="e">
        <f t="shared" si="38"/>
        <v>#N/A</v>
      </c>
      <c r="AN101" s="645"/>
      <c r="AO101" s="495"/>
      <c r="AP101" s="495"/>
      <c r="AQ101" s="495"/>
      <c r="AR101" s="549" t="e">
        <f t="shared" si="40"/>
        <v>#N/A</v>
      </c>
      <c r="AS101" s="645"/>
      <c r="AT101" s="495"/>
      <c r="AU101" s="495"/>
      <c r="AV101" s="495"/>
      <c r="AW101" s="549" t="e">
        <f t="shared" si="42"/>
        <v>#N/A</v>
      </c>
      <c r="AX101" s="645"/>
      <c r="AZ101" s="402" t="e">
        <f t="shared" si="44"/>
        <v>#N/A</v>
      </c>
      <c r="BA101" s="645"/>
    </row>
    <row r="102" spans="2:53">
      <c r="B102" s="659"/>
      <c r="C102" s="303">
        <v>26</v>
      </c>
      <c r="D102" s="409"/>
      <c r="E102" s="409"/>
      <c r="F102" s="409"/>
      <c r="G102" s="409"/>
      <c r="H102" s="645"/>
      <c r="I102" s="391" t="str">
        <f t="shared" si="46"/>
        <v>-</v>
      </c>
      <c r="J102" s="391" t="str">
        <f t="shared" si="47"/>
        <v>-</v>
      </c>
      <c r="K102" s="199" t="str">
        <f t="shared" si="48"/>
        <v>-</v>
      </c>
      <c r="L102" s="630"/>
      <c r="M102" s="198" t="e">
        <f>RANK(K102, K$77:$K$106)</f>
        <v>#VALUE!</v>
      </c>
      <c r="N102" s="637"/>
      <c r="O102" s="637"/>
      <c r="P102" s="495"/>
      <c r="Q102" s="495"/>
      <c r="R102" s="495"/>
      <c r="S102" s="549" t="e">
        <f t="shared" si="30"/>
        <v>#N/A</v>
      </c>
      <c r="T102" s="645"/>
      <c r="U102" s="549"/>
      <c r="V102" s="495"/>
      <c r="W102" s="495"/>
      <c r="X102" s="549" t="e">
        <f t="shared" si="32"/>
        <v>#N/A</v>
      </c>
      <c r="Y102" s="645"/>
      <c r="Z102" s="495"/>
      <c r="AA102" s="495"/>
      <c r="AB102" s="495"/>
      <c r="AC102" s="549" t="e">
        <f t="shared" si="34"/>
        <v>#N/A</v>
      </c>
      <c r="AD102" s="645"/>
      <c r="AE102" s="495"/>
      <c r="AF102" s="495"/>
      <c r="AG102" s="495"/>
      <c r="AH102" s="549" t="e">
        <f t="shared" si="36"/>
        <v>#N/A</v>
      </c>
      <c r="AI102" s="645"/>
      <c r="AJ102" s="495"/>
      <c r="AK102" s="495"/>
      <c r="AL102" s="495"/>
      <c r="AM102" s="549" t="e">
        <f t="shared" si="38"/>
        <v>#N/A</v>
      </c>
      <c r="AN102" s="645"/>
      <c r="AO102" s="495"/>
      <c r="AP102" s="495"/>
      <c r="AQ102" s="495"/>
      <c r="AR102" s="549" t="e">
        <f t="shared" si="40"/>
        <v>#N/A</v>
      </c>
      <c r="AS102" s="645"/>
      <c r="AT102" s="495"/>
      <c r="AU102" s="495"/>
      <c r="AV102" s="495"/>
      <c r="AW102" s="549" t="e">
        <f t="shared" si="42"/>
        <v>#N/A</v>
      </c>
      <c r="AX102" s="645"/>
      <c r="AZ102" s="402" t="e">
        <f t="shared" si="44"/>
        <v>#N/A</v>
      </c>
      <c r="BA102" s="645"/>
    </row>
    <row r="103" spans="2:53">
      <c r="B103" s="659"/>
      <c r="C103" s="303">
        <v>27</v>
      </c>
      <c r="D103" s="409"/>
      <c r="E103" s="409"/>
      <c r="F103" s="409"/>
      <c r="G103" s="409"/>
      <c r="H103" s="645"/>
      <c r="I103" s="391" t="str">
        <f t="shared" si="46"/>
        <v>-</v>
      </c>
      <c r="J103" s="391" t="str">
        <f t="shared" si="47"/>
        <v>-</v>
      </c>
      <c r="K103" s="199" t="str">
        <f t="shared" si="48"/>
        <v>-</v>
      </c>
      <c r="L103" s="630"/>
      <c r="M103" s="198" t="e">
        <f>RANK(K103, K$77:$K$106)</f>
        <v>#VALUE!</v>
      </c>
      <c r="N103" s="637"/>
      <c r="O103" s="637"/>
      <c r="P103" s="495"/>
      <c r="Q103" s="495"/>
      <c r="R103" s="495"/>
      <c r="S103" s="549" t="e">
        <f t="shared" si="30"/>
        <v>#N/A</v>
      </c>
      <c r="T103" s="645"/>
      <c r="U103" s="549"/>
      <c r="V103" s="495"/>
      <c r="W103" s="495"/>
      <c r="X103" s="549" t="e">
        <f t="shared" si="32"/>
        <v>#N/A</v>
      </c>
      <c r="Y103" s="645"/>
      <c r="Z103" s="495"/>
      <c r="AA103" s="495"/>
      <c r="AB103" s="495"/>
      <c r="AC103" s="549" t="e">
        <f t="shared" si="34"/>
        <v>#N/A</v>
      </c>
      <c r="AD103" s="645"/>
      <c r="AE103" s="495"/>
      <c r="AF103" s="495"/>
      <c r="AG103" s="495"/>
      <c r="AH103" s="549" t="e">
        <f t="shared" si="36"/>
        <v>#N/A</v>
      </c>
      <c r="AI103" s="645"/>
      <c r="AJ103" s="495"/>
      <c r="AK103" s="495"/>
      <c r="AL103" s="495"/>
      <c r="AM103" s="549" t="e">
        <f t="shared" si="38"/>
        <v>#N/A</v>
      </c>
      <c r="AN103" s="645"/>
      <c r="AO103" s="495"/>
      <c r="AP103" s="495"/>
      <c r="AQ103" s="495"/>
      <c r="AR103" s="549" t="e">
        <f t="shared" si="40"/>
        <v>#N/A</v>
      </c>
      <c r="AS103" s="645"/>
      <c r="AT103" s="495"/>
      <c r="AU103" s="495"/>
      <c r="AV103" s="495"/>
      <c r="AW103" s="549" t="e">
        <f t="shared" si="42"/>
        <v>#N/A</v>
      </c>
      <c r="AX103" s="645"/>
      <c r="AZ103" s="402" t="e">
        <f t="shared" si="44"/>
        <v>#N/A</v>
      </c>
      <c r="BA103" s="645"/>
    </row>
    <row r="104" spans="2:53">
      <c r="B104" s="659"/>
      <c r="C104" s="303">
        <v>28</v>
      </c>
      <c r="D104" s="409"/>
      <c r="E104" s="409"/>
      <c r="F104" s="409"/>
      <c r="G104" s="409"/>
      <c r="H104" s="645"/>
      <c r="I104" s="391" t="str">
        <f t="shared" si="46"/>
        <v>-</v>
      </c>
      <c r="J104" s="391" t="str">
        <f t="shared" si="47"/>
        <v>-</v>
      </c>
      <c r="K104" s="199" t="str">
        <f t="shared" si="48"/>
        <v>-</v>
      </c>
      <c r="L104" s="630"/>
      <c r="M104" s="198" t="e">
        <f>RANK(K104, K$77:$K$106)</f>
        <v>#VALUE!</v>
      </c>
      <c r="N104" s="637"/>
      <c r="O104" s="637"/>
      <c r="P104" s="495"/>
      <c r="Q104" s="495"/>
      <c r="R104" s="495"/>
      <c r="S104" s="549" t="e">
        <f t="shared" si="30"/>
        <v>#N/A</v>
      </c>
      <c r="T104" s="645"/>
      <c r="U104" s="549"/>
      <c r="V104" s="495"/>
      <c r="W104" s="495"/>
      <c r="X104" s="549" t="e">
        <f t="shared" si="32"/>
        <v>#N/A</v>
      </c>
      <c r="Y104" s="645"/>
      <c r="Z104" s="495"/>
      <c r="AA104" s="495"/>
      <c r="AB104" s="495"/>
      <c r="AC104" s="549" t="e">
        <f t="shared" si="34"/>
        <v>#N/A</v>
      </c>
      <c r="AD104" s="645"/>
      <c r="AE104" s="495"/>
      <c r="AF104" s="495"/>
      <c r="AG104" s="495"/>
      <c r="AH104" s="549" t="e">
        <f t="shared" si="36"/>
        <v>#N/A</v>
      </c>
      <c r="AI104" s="645"/>
      <c r="AJ104" s="495"/>
      <c r="AK104" s="495"/>
      <c r="AL104" s="495"/>
      <c r="AM104" s="549" t="e">
        <f t="shared" si="38"/>
        <v>#N/A</v>
      </c>
      <c r="AN104" s="645"/>
      <c r="AO104" s="495"/>
      <c r="AP104" s="495"/>
      <c r="AQ104" s="495"/>
      <c r="AR104" s="549" t="e">
        <f t="shared" si="40"/>
        <v>#N/A</v>
      </c>
      <c r="AS104" s="645"/>
      <c r="AT104" s="495"/>
      <c r="AU104" s="495"/>
      <c r="AV104" s="495"/>
      <c r="AW104" s="549" t="e">
        <f t="shared" si="42"/>
        <v>#N/A</v>
      </c>
      <c r="AX104" s="645"/>
      <c r="AZ104" s="402" t="e">
        <f t="shared" si="44"/>
        <v>#N/A</v>
      </c>
      <c r="BA104" s="645"/>
    </row>
    <row r="105" spans="2:53">
      <c r="B105" s="659"/>
      <c r="C105" s="303">
        <v>29</v>
      </c>
      <c r="D105" s="409"/>
      <c r="E105" s="409"/>
      <c r="F105" s="409"/>
      <c r="G105" s="409"/>
      <c r="H105" s="645"/>
      <c r="I105" s="391" t="str">
        <f t="shared" si="46"/>
        <v>-</v>
      </c>
      <c r="J105" s="391" t="str">
        <f t="shared" si="47"/>
        <v>-</v>
      </c>
      <c r="K105" s="199" t="str">
        <f t="shared" si="48"/>
        <v>-</v>
      </c>
      <c r="L105" s="630"/>
      <c r="M105" s="198" t="e">
        <f>RANK(K105, K$77:$K$106)</f>
        <v>#VALUE!</v>
      </c>
      <c r="N105" s="637"/>
      <c r="O105" s="637"/>
      <c r="P105" s="495"/>
      <c r="Q105" s="495"/>
      <c r="R105" s="495"/>
      <c r="S105" s="549" t="e">
        <f t="shared" si="30"/>
        <v>#N/A</v>
      </c>
      <c r="T105" s="645"/>
      <c r="U105" s="549"/>
      <c r="V105" s="495"/>
      <c r="W105" s="495"/>
      <c r="X105" s="549" t="e">
        <f t="shared" si="32"/>
        <v>#N/A</v>
      </c>
      <c r="Y105" s="645"/>
      <c r="Z105" s="495"/>
      <c r="AA105" s="495"/>
      <c r="AB105" s="495"/>
      <c r="AC105" s="549" t="e">
        <f t="shared" si="34"/>
        <v>#N/A</v>
      </c>
      <c r="AD105" s="645"/>
      <c r="AE105" s="495"/>
      <c r="AF105" s="495"/>
      <c r="AG105" s="495"/>
      <c r="AH105" s="549" t="e">
        <f t="shared" si="36"/>
        <v>#N/A</v>
      </c>
      <c r="AI105" s="645"/>
      <c r="AJ105" s="495"/>
      <c r="AK105" s="495"/>
      <c r="AL105" s="495"/>
      <c r="AM105" s="549" t="e">
        <f t="shared" si="38"/>
        <v>#N/A</v>
      </c>
      <c r="AN105" s="645"/>
      <c r="AO105" s="495"/>
      <c r="AP105" s="495"/>
      <c r="AQ105" s="495"/>
      <c r="AR105" s="549" t="e">
        <f t="shared" si="40"/>
        <v>#N/A</v>
      </c>
      <c r="AS105" s="645"/>
      <c r="AT105" s="495"/>
      <c r="AU105" s="495"/>
      <c r="AV105" s="495"/>
      <c r="AW105" s="549" t="e">
        <f t="shared" si="42"/>
        <v>#N/A</v>
      </c>
      <c r="AX105" s="645"/>
      <c r="AZ105" s="402" t="e">
        <f t="shared" si="44"/>
        <v>#N/A</v>
      </c>
      <c r="BA105" s="645"/>
    </row>
    <row r="106" spans="2:53">
      <c r="B106" s="660"/>
      <c r="C106" s="303">
        <v>30</v>
      </c>
      <c r="D106" s="409"/>
      <c r="E106" s="409"/>
      <c r="F106" s="409"/>
      <c r="G106" s="409"/>
      <c r="H106" s="646"/>
      <c r="I106" s="391" t="str">
        <f t="shared" si="46"/>
        <v>-</v>
      </c>
      <c r="J106" s="391" t="str">
        <f t="shared" si="47"/>
        <v>-</v>
      </c>
      <c r="K106" s="199" t="str">
        <f t="shared" si="48"/>
        <v>-</v>
      </c>
      <c r="L106" s="631"/>
      <c r="M106" s="198" t="e">
        <f>RANK(K106, K$77:$K$106)</f>
        <v>#VALUE!</v>
      </c>
      <c r="N106" s="638"/>
      <c r="O106" s="638"/>
      <c r="P106" s="495"/>
      <c r="Q106" s="495"/>
      <c r="R106" s="495"/>
      <c r="S106" s="549" t="e">
        <f t="shared" si="30"/>
        <v>#N/A</v>
      </c>
      <c r="T106" s="646"/>
      <c r="U106" s="549"/>
      <c r="V106" s="495"/>
      <c r="W106" s="495"/>
      <c r="X106" s="549" t="e">
        <f t="shared" si="32"/>
        <v>#N/A</v>
      </c>
      <c r="Y106" s="646"/>
      <c r="Z106" s="495"/>
      <c r="AA106" s="495"/>
      <c r="AB106" s="495"/>
      <c r="AC106" s="549" t="e">
        <f t="shared" si="34"/>
        <v>#N/A</v>
      </c>
      <c r="AD106" s="646"/>
      <c r="AE106" s="495"/>
      <c r="AF106" s="495"/>
      <c r="AG106" s="495"/>
      <c r="AH106" s="549" t="e">
        <f t="shared" si="36"/>
        <v>#N/A</v>
      </c>
      <c r="AI106" s="646"/>
      <c r="AJ106" s="495"/>
      <c r="AK106" s="495"/>
      <c r="AL106" s="495"/>
      <c r="AM106" s="549" t="e">
        <f t="shared" si="38"/>
        <v>#N/A</v>
      </c>
      <c r="AN106" s="646"/>
      <c r="AO106" s="495"/>
      <c r="AP106" s="495"/>
      <c r="AQ106" s="495"/>
      <c r="AR106" s="549" t="e">
        <f t="shared" si="40"/>
        <v>#N/A</v>
      </c>
      <c r="AS106" s="646"/>
      <c r="AT106" s="495"/>
      <c r="AU106" s="495"/>
      <c r="AV106" s="495"/>
      <c r="AW106" s="549" t="e">
        <f t="shared" si="42"/>
        <v>#N/A</v>
      </c>
      <c r="AX106" s="646"/>
      <c r="AZ106" s="402" t="e">
        <f t="shared" si="44"/>
        <v>#N/A</v>
      </c>
      <c r="BA106" s="646"/>
    </row>
    <row r="107" spans="2:53" ht="15.75">
      <c r="B107" s="647" t="s">
        <v>163</v>
      </c>
      <c r="C107" s="648"/>
      <c r="D107" s="648"/>
      <c r="E107" s="648"/>
      <c r="F107" s="648"/>
      <c r="G107" s="648"/>
      <c r="H107" s="649"/>
      <c r="I107" s="207"/>
      <c r="J107" s="207"/>
      <c r="K107" s="207"/>
      <c r="L107" s="207"/>
      <c r="M107" s="206"/>
      <c r="N107" s="636" t="s">
        <v>156</v>
      </c>
      <c r="O107" s="636" t="s">
        <v>155</v>
      </c>
      <c r="P107" s="642">
        <f>P72+7</f>
        <v>46189</v>
      </c>
      <c r="Q107" s="643"/>
      <c r="R107" s="643"/>
      <c r="S107" s="643"/>
      <c r="T107" s="643"/>
      <c r="U107" s="639">
        <f>P107+1</f>
        <v>46190</v>
      </c>
      <c r="V107" s="640"/>
      <c r="W107" s="640"/>
      <c r="X107" s="640"/>
      <c r="Y107" s="641"/>
      <c r="Z107" s="639">
        <f>U107+1</f>
        <v>46191</v>
      </c>
      <c r="AA107" s="640"/>
      <c r="AB107" s="640"/>
      <c r="AC107" s="640"/>
      <c r="AD107" s="641"/>
      <c r="AE107" s="639">
        <f>Z107+1</f>
        <v>46192</v>
      </c>
      <c r="AF107" s="640"/>
      <c r="AG107" s="640"/>
      <c r="AH107" s="640"/>
      <c r="AI107" s="641"/>
      <c r="AJ107" s="639">
        <f>AE107+1</f>
        <v>46193</v>
      </c>
      <c r="AK107" s="640"/>
      <c r="AL107" s="640"/>
      <c r="AM107" s="640"/>
      <c r="AN107" s="641"/>
      <c r="AO107" s="639">
        <f>AJ107+1</f>
        <v>46194</v>
      </c>
      <c r="AP107" s="640"/>
      <c r="AQ107" s="640"/>
      <c r="AR107" s="640"/>
      <c r="AS107" s="641"/>
      <c r="AT107" s="639">
        <f>AO107+1</f>
        <v>46195</v>
      </c>
      <c r="AU107" s="640"/>
      <c r="AV107" s="640"/>
      <c r="AW107" s="640"/>
      <c r="AX107" s="641"/>
    </row>
    <row r="108" spans="2:53" ht="15.75">
      <c r="B108" s="650"/>
      <c r="C108" s="650"/>
      <c r="D108" s="650"/>
      <c r="E108" s="650"/>
      <c r="F108" s="650"/>
      <c r="G108" s="650"/>
      <c r="H108" s="650"/>
      <c r="I108" s="204"/>
      <c r="J108" s="204"/>
      <c r="K108" s="204"/>
      <c r="L108" s="204"/>
      <c r="M108" s="205"/>
      <c r="N108" s="638"/>
      <c r="O108" s="638"/>
      <c r="P108" s="642" t="s">
        <v>318</v>
      </c>
      <c r="Q108" s="643"/>
      <c r="R108" s="643"/>
      <c r="S108" s="643"/>
      <c r="T108" s="643"/>
      <c r="U108" s="642" t="s">
        <v>319</v>
      </c>
      <c r="V108" s="643"/>
      <c r="W108" s="643"/>
      <c r="X108" s="643"/>
      <c r="Y108" s="643"/>
      <c r="Z108" s="642" t="s">
        <v>320</v>
      </c>
      <c r="AA108" s="643"/>
      <c r="AB108" s="643"/>
      <c r="AC108" s="643"/>
      <c r="AD108" s="643"/>
      <c r="AE108" s="642" t="s">
        <v>321</v>
      </c>
      <c r="AF108" s="643"/>
      <c r="AG108" s="643"/>
      <c r="AH108" s="643"/>
      <c r="AI108" s="643"/>
      <c r="AJ108" s="642" t="s">
        <v>322</v>
      </c>
      <c r="AK108" s="643"/>
      <c r="AL108" s="643"/>
      <c r="AM108" s="643"/>
      <c r="AN108" s="643"/>
      <c r="AO108" s="642" t="s">
        <v>323</v>
      </c>
      <c r="AP108" s="643"/>
      <c r="AQ108" s="643"/>
      <c r="AR108" s="643"/>
      <c r="AS108" s="643"/>
      <c r="AT108" s="642" t="s">
        <v>324</v>
      </c>
      <c r="AU108" s="643"/>
      <c r="AV108" s="643"/>
      <c r="AW108" s="643"/>
      <c r="AX108" s="643"/>
    </row>
    <row r="109" spans="2:53">
      <c r="B109" s="635" t="s">
        <v>374</v>
      </c>
      <c r="C109" s="635" t="s">
        <v>384</v>
      </c>
      <c r="D109" s="635"/>
      <c r="E109" s="635" t="s">
        <v>375</v>
      </c>
      <c r="F109" s="635"/>
      <c r="G109" s="635"/>
      <c r="H109" s="651" t="s">
        <v>371</v>
      </c>
      <c r="I109" s="619" t="s">
        <v>376</v>
      </c>
      <c r="J109" s="619"/>
      <c r="K109" s="619"/>
      <c r="L109" s="620" t="s">
        <v>371</v>
      </c>
      <c r="M109" s="626" t="s">
        <v>372</v>
      </c>
      <c r="N109" s="635"/>
      <c r="O109" s="635" t="s">
        <v>377</v>
      </c>
      <c r="P109" s="632" t="s">
        <v>373</v>
      </c>
      <c r="Q109" s="633"/>
      <c r="R109" s="633"/>
      <c r="S109" s="634"/>
      <c r="T109" s="635" t="s">
        <v>371</v>
      </c>
      <c r="U109" s="632" t="s">
        <v>373</v>
      </c>
      <c r="V109" s="633"/>
      <c r="W109" s="633"/>
      <c r="X109" s="634"/>
      <c r="Y109" s="635" t="s">
        <v>371</v>
      </c>
      <c r="Z109" s="632" t="s">
        <v>373</v>
      </c>
      <c r="AA109" s="633"/>
      <c r="AB109" s="633"/>
      <c r="AC109" s="634"/>
      <c r="AD109" s="635" t="s">
        <v>371</v>
      </c>
      <c r="AE109" s="632" t="s">
        <v>373</v>
      </c>
      <c r="AF109" s="633"/>
      <c r="AG109" s="633"/>
      <c r="AH109" s="634"/>
      <c r="AI109" s="635" t="s">
        <v>371</v>
      </c>
      <c r="AJ109" s="632" t="s">
        <v>373</v>
      </c>
      <c r="AK109" s="633"/>
      <c r="AL109" s="633"/>
      <c r="AM109" s="634"/>
      <c r="AN109" s="635" t="s">
        <v>371</v>
      </c>
      <c r="AO109" s="632" t="s">
        <v>373</v>
      </c>
      <c r="AP109" s="633"/>
      <c r="AQ109" s="633"/>
      <c r="AR109" s="634"/>
      <c r="AS109" s="635" t="s">
        <v>371</v>
      </c>
      <c r="AT109" s="632" t="s">
        <v>373</v>
      </c>
      <c r="AU109" s="633"/>
      <c r="AV109" s="633"/>
      <c r="AW109" s="634"/>
      <c r="AX109" s="635" t="s">
        <v>371</v>
      </c>
      <c r="BA109" s="635" t="s">
        <v>371</v>
      </c>
    </row>
    <row r="110" spans="2:53">
      <c r="B110" s="635"/>
      <c r="C110" s="635"/>
      <c r="D110" s="635"/>
      <c r="E110" s="635" t="s">
        <v>378</v>
      </c>
      <c r="F110" s="635"/>
      <c r="G110" s="635"/>
      <c r="H110" s="652"/>
      <c r="I110" s="619" t="s">
        <v>378</v>
      </c>
      <c r="J110" s="619"/>
      <c r="K110" s="619"/>
      <c r="L110" s="621"/>
      <c r="M110" s="627"/>
      <c r="N110" s="635"/>
      <c r="O110" s="635"/>
      <c r="P110" s="632" t="s">
        <v>379</v>
      </c>
      <c r="Q110" s="633"/>
      <c r="R110" s="633"/>
      <c r="S110" s="634"/>
      <c r="T110" s="635"/>
      <c r="U110" s="632" t="s">
        <v>379</v>
      </c>
      <c r="V110" s="633"/>
      <c r="W110" s="633"/>
      <c r="X110" s="634"/>
      <c r="Y110" s="635"/>
      <c r="Z110" s="632" t="s">
        <v>379</v>
      </c>
      <c r="AA110" s="633"/>
      <c r="AB110" s="633"/>
      <c r="AC110" s="634"/>
      <c r="AD110" s="635"/>
      <c r="AE110" s="632" t="s">
        <v>379</v>
      </c>
      <c r="AF110" s="633"/>
      <c r="AG110" s="633"/>
      <c r="AH110" s="634"/>
      <c r="AI110" s="635"/>
      <c r="AJ110" s="632" t="s">
        <v>379</v>
      </c>
      <c r="AK110" s="633"/>
      <c r="AL110" s="633"/>
      <c r="AM110" s="634"/>
      <c r="AN110" s="635"/>
      <c r="AO110" s="632" t="s">
        <v>379</v>
      </c>
      <c r="AP110" s="633"/>
      <c r="AQ110" s="633"/>
      <c r="AR110" s="634"/>
      <c r="AS110" s="635"/>
      <c r="AT110" s="632" t="s">
        <v>379</v>
      </c>
      <c r="AU110" s="633"/>
      <c r="AV110" s="633"/>
      <c r="AW110" s="634"/>
      <c r="AX110" s="635"/>
      <c r="BA110" s="635"/>
    </row>
    <row r="111" spans="2:53">
      <c r="B111" s="635"/>
      <c r="C111" s="635"/>
      <c r="D111" s="635"/>
      <c r="E111" s="290" t="s">
        <v>380</v>
      </c>
      <c r="F111" s="290" t="s">
        <v>381</v>
      </c>
      <c r="G111" s="290" t="s">
        <v>382</v>
      </c>
      <c r="H111" s="653"/>
      <c r="I111" s="289" t="s">
        <v>380</v>
      </c>
      <c r="J111" s="289" t="s">
        <v>381</v>
      </c>
      <c r="K111" s="289" t="s">
        <v>382</v>
      </c>
      <c r="L111" s="622"/>
      <c r="M111" s="628"/>
      <c r="N111" s="635"/>
      <c r="O111" s="635"/>
      <c r="P111" s="290" t="s">
        <v>380</v>
      </c>
      <c r="Q111" s="290" t="s">
        <v>381</v>
      </c>
      <c r="R111" s="290" t="s">
        <v>382</v>
      </c>
      <c r="S111" s="290" t="s">
        <v>372</v>
      </c>
      <c r="T111" s="635"/>
      <c r="U111" s="290" t="s">
        <v>380</v>
      </c>
      <c r="V111" s="290" t="s">
        <v>381</v>
      </c>
      <c r="W111" s="290" t="s">
        <v>382</v>
      </c>
      <c r="X111" s="290" t="s">
        <v>372</v>
      </c>
      <c r="Y111" s="635"/>
      <c r="Z111" s="290" t="s">
        <v>380</v>
      </c>
      <c r="AA111" s="290" t="s">
        <v>381</v>
      </c>
      <c r="AB111" s="290" t="s">
        <v>382</v>
      </c>
      <c r="AC111" s="290" t="s">
        <v>372</v>
      </c>
      <c r="AD111" s="635"/>
      <c r="AE111" s="290" t="s">
        <v>380</v>
      </c>
      <c r="AF111" s="290" t="s">
        <v>381</v>
      </c>
      <c r="AG111" s="290" t="s">
        <v>382</v>
      </c>
      <c r="AH111" s="290" t="s">
        <v>372</v>
      </c>
      <c r="AI111" s="635"/>
      <c r="AJ111" s="290" t="s">
        <v>380</v>
      </c>
      <c r="AK111" s="290" t="s">
        <v>381</v>
      </c>
      <c r="AL111" s="290" t="s">
        <v>382</v>
      </c>
      <c r="AM111" s="290" t="s">
        <v>372</v>
      </c>
      <c r="AN111" s="635"/>
      <c r="AO111" s="290" t="s">
        <v>380</v>
      </c>
      <c r="AP111" s="290" t="s">
        <v>381</v>
      </c>
      <c r="AQ111" s="290" t="s">
        <v>382</v>
      </c>
      <c r="AR111" s="290" t="s">
        <v>372</v>
      </c>
      <c r="AS111" s="635"/>
      <c r="AT111" s="290" t="s">
        <v>380</v>
      </c>
      <c r="AU111" s="290" t="s">
        <v>381</v>
      </c>
      <c r="AV111" s="290" t="s">
        <v>382</v>
      </c>
      <c r="AW111" s="290" t="s">
        <v>372</v>
      </c>
      <c r="AX111" s="635"/>
      <c r="AZ111" s="403" t="s">
        <v>372</v>
      </c>
      <c r="BA111" s="635"/>
    </row>
    <row r="112" spans="2:53">
      <c r="B112" s="643" t="s">
        <v>150</v>
      </c>
      <c r="C112" s="291">
        <v>1</v>
      </c>
      <c r="D112" s="409"/>
      <c r="E112" s="409"/>
      <c r="F112" s="409"/>
      <c r="G112" s="416"/>
      <c r="H112" s="644" t="e">
        <f>AVERAGE(G112:G141)</f>
        <v>#DIV/0!</v>
      </c>
      <c r="I112" s="391" t="str">
        <f>IFERROR(AVERAGE(P112,U112,Z112,AE112,AJ112,AO112,AT112),"-")</f>
        <v>-</v>
      </c>
      <c r="J112" s="391" t="str">
        <f>IFERROR(AVERAGE(Q112,V112,AA112,AF112,AK112,AP112,AU112),"-")</f>
        <v>-</v>
      </c>
      <c r="K112" s="199" t="str">
        <f>IFERROR(AVERAGE(R112,W112,AB112,AG112,AL112,AQ112,AV112),"-")</f>
        <v>-</v>
      </c>
      <c r="L112" s="616" t="str">
        <f>IFERROR(AVERAGE(K112:K141),"-")</f>
        <v>-</v>
      </c>
      <c r="M112" s="198" t="e">
        <f>RANK(K112, K$112:$K$141)</f>
        <v>#VALUE!</v>
      </c>
      <c r="N112" s="635"/>
      <c r="O112" s="635"/>
      <c r="P112" s="416"/>
      <c r="Q112" s="416"/>
      <c r="R112" s="416"/>
      <c r="S112" s="495"/>
      <c r="T112" s="644"/>
      <c r="U112" s="416"/>
      <c r="V112" s="416"/>
      <c r="W112" s="416"/>
      <c r="X112" s="495"/>
      <c r="Y112" s="644"/>
      <c r="Z112" s="416"/>
      <c r="AA112" s="416"/>
      <c r="AB112" s="416"/>
      <c r="AC112" s="495"/>
      <c r="AD112" s="644"/>
      <c r="AE112" s="416"/>
      <c r="AF112" s="416"/>
      <c r="AG112" s="416"/>
      <c r="AH112" s="495"/>
      <c r="AI112" s="644"/>
      <c r="AJ112" s="416"/>
      <c r="AK112" s="416"/>
      <c r="AL112" s="416"/>
      <c r="AM112" s="495"/>
      <c r="AN112" s="644"/>
      <c r="AO112" s="416"/>
      <c r="AP112" s="416"/>
      <c r="AQ112" s="416"/>
      <c r="AR112" s="495"/>
      <c r="AS112" s="644"/>
      <c r="AT112" s="416"/>
      <c r="AU112" s="416"/>
      <c r="AV112" s="416"/>
      <c r="AW112" s="495"/>
      <c r="AX112" s="644"/>
      <c r="AZ112" s="402" t="e">
        <f t="shared" ref="AZ112:AZ141" si="49">RANK(AY112, AY$112:AY$141)</f>
        <v>#N/A</v>
      </c>
      <c r="BA112" s="644" t="e">
        <f t="shared" ref="BA112" si="50">AVERAGE(AY112:AY141)</f>
        <v>#DIV/0!</v>
      </c>
    </row>
    <row r="113" spans="2:53">
      <c r="B113" s="643"/>
      <c r="C113" s="291">
        <v>2</v>
      </c>
      <c r="D113" s="408"/>
      <c r="E113" s="409"/>
      <c r="F113" s="409"/>
      <c r="G113" s="416"/>
      <c r="H113" s="645"/>
      <c r="I113" s="391" t="str">
        <f t="shared" ref="I113:I141" si="51">IFERROR(AVERAGE(P113,U113,Z113,AE113,AJ113,AO113,AT113),"-")</f>
        <v>-</v>
      </c>
      <c r="J113" s="391" t="str">
        <f t="shared" ref="J113:J141" si="52">IFERROR(AVERAGE(Q113,V113,AA113,AF113,AK113,AP113,AU113),"-")</f>
        <v>-</v>
      </c>
      <c r="K113" s="199" t="str">
        <f t="shared" ref="K113:K141" si="53">IFERROR(AVERAGE(R113,W113,AB113,AG113,AL113,AQ113,AV113),"-")</f>
        <v>-</v>
      </c>
      <c r="L113" s="617"/>
      <c r="M113" s="198" t="e">
        <f>RANK(K113, K$112:$K$141)</f>
        <v>#VALUE!</v>
      </c>
      <c r="N113" s="635"/>
      <c r="O113" s="635"/>
      <c r="P113" s="416"/>
      <c r="Q113" s="416"/>
      <c r="R113" s="416"/>
      <c r="S113" s="495"/>
      <c r="T113" s="645"/>
      <c r="U113" s="416"/>
      <c r="V113" s="416"/>
      <c r="W113" s="416"/>
      <c r="X113" s="495"/>
      <c r="Y113" s="645"/>
      <c r="Z113" s="416"/>
      <c r="AA113" s="416"/>
      <c r="AB113" s="416"/>
      <c r="AC113" s="495"/>
      <c r="AD113" s="645"/>
      <c r="AE113" s="416"/>
      <c r="AF113" s="416"/>
      <c r="AG113" s="416"/>
      <c r="AH113" s="495"/>
      <c r="AI113" s="645"/>
      <c r="AJ113" s="416"/>
      <c r="AK113" s="416"/>
      <c r="AL113" s="416"/>
      <c r="AM113" s="495"/>
      <c r="AN113" s="645"/>
      <c r="AO113" s="416"/>
      <c r="AP113" s="416"/>
      <c r="AQ113" s="416"/>
      <c r="AR113" s="495"/>
      <c r="AS113" s="645"/>
      <c r="AT113" s="416"/>
      <c r="AU113" s="416"/>
      <c r="AV113" s="416"/>
      <c r="AW113" s="495"/>
      <c r="AX113" s="645"/>
      <c r="AZ113" s="402" t="e">
        <f t="shared" si="49"/>
        <v>#N/A</v>
      </c>
      <c r="BA113" s="645"/>
    </row>
    <row r="114" spans="2:53">
      <c r="B114" s="643"/>
      <c r="C114" s="291">
        <v>3</v>
      </c>
      <c r="D114" s="409"/>
      <c r="E114" s="409"/>
      <c r="F114" s="409"/>
      <c r="G114" s="416"/>
      <c r="H114" s="645"/>
      <c r="I114" s="391" t="str">
        <f t="shared" si="51"/>
        <v>-</v>
      </c>
      <c r="J114" s="391" t="str">
        <f t="shared" si="52"/>
        <v>-</v>
      </c>
      <c r="K114" s="199" t="str">
        <f t="shared" si="53"/>
        <v>-</v>
      </c>
      <c r="L114" s="617"/>
      <c r="M114" s="198" t="e">
        <f>RANK(K114, K$112:$K$141)</f>
        <v>#VALUE!</v>
      </c>
      <c r="N114" s="635"/>
      <c r="O114" s="635"/>
      <c r="P114" s="416"/>
      <c r="Q114" s="416"/>
      <c r="R114" s="416"/>
      <c r="S114" s="495"/>
      <c r="T114" s="645"/>
      <c r="U114" s="416"/>
      <c r="V114" s="416"/>
      <c r="W114" s="416"/>
      <c r="X114" s="495"/>
      <c r="Y114" s="645"/>
      <c r="Z114" s="416"/>
      <c r="AA114" s="416"/>
      <c r="AB114" s="416"/>
      <c r="AC114" s="495"/>
      <c r="AD114" s="645"/>
      <c r="AE114" s="416"/>
      <c r="AF114" s="416"/>
      <c r="AG114" s="416"/>
      <c r="AH114" s="495"/>
      <c r="AI114" s="645"/>
      <c r="AJ114" s="416"/>
      <c r="AK114" s="416"/>
      <c r="AL114" s="416"/>
      <c r="AM114" s="495"/>
      <c r="AN114" s="645"/>
      <c r="AO114" s="416"/>
      <c r="AP114" s="416"/>
      <c r="AQ114" s="416"/>
      <c r="AR114" s="495"/>
      <c r="AS114" s="645"/>
      <c r="AT114" s="416"/>
      <c r="AU114" s="416"/>
      <c r="AV114" s="416"/>
      <c r="AW114" s="495"/>
      <c r="AX114" s="645"/>
      <c r="AZ114" s="402" t="e">
        <f t="shared" si="49"/>
        <v>#N/A</v>
      </c>
      <c r="BA114" s="645"/>
    </row>
    <row r="115" spans="2:53">
      <c r="B115" s="643"/>
      <c r="C115" s="291">
        <v>4</v>
      </c>
      <c r="D115" s="409"/>
      <c r="E115" s="409"/>
      <c r="F115" s="409"/>
      <c r="G115" s="416"/>
      <c r="H115" s="645"/>
      <c r="I115" s="391" t="str">
        <f t="shared" si="51"/>
        <v>-</v>
      </c>
      <c r="J115" s="391" t="str">
        <f t="shared" si="52"/>
        <v>-</v>
      </c>
      <c r="K115" s="199" t="str">
        <f t="shared" si="53"/>
        <v>-</v>
      </c>
      <c r="L115" s="617"/>
      <c r="M115" s="198" t="e">
        <f>RANK(K115, K$112:$K$141)</f>
        <v>#VALUE!</v>
      </c>
      <c r="N115" s="635"/>
      <c r="O115" s="635"/>
      <c r="P115" s="416"/>
      <c r="Q115" s="416"/>
      <c r="R115" s="416"/>
      <c r="S115" s="495"/>
      <c r="T115" s="645"/>
      <c r="U115" s="416"/>
      <c r="V115" s="416"/>
      <c r="W115" s="416"/>
      <c r="X115" s="495"/>
      <c r="Y115" s="645"/>
      <c r="Z115" s="416"/>
      <c r="AA115" s="416"/>
      <c r="AB115" s="416"/>
      <c r="AC115" s="495"/>
      <c r="AD115" s="645"/>
      <c r="AE115" s="416"/>
      <c r="AF115" s="416"/>
      <c r="AG115" s="416"/>
      <c r="AH115" s="495"/>
      <c r="AI115" s="645"/>
      <c r="AJ115" s="416"/>
      <c r="AK115" s="416"/>
      <c r="AL115" s="416"/>
      <c r="AM115" s="495"/>
      <c r="AN115" s="645"/>
      <c r="AO115" s="416"/>
      <c r="AP115" s="416"/>
      <c r="AQ115" s="416"/>
      <c r="AR115" s="495"/>
      <c r="AS115" s="645"/>
      <c r="AT115" s="416"/>
      <c r="AU115" s="416"/>
      <c r="AV115" s="416"/>
      <c r="AW115" s="495"/>
      <c r="AX115" s="645"/>
      <c r="AZ115" s="402" t="e">
        <f t="shared" si="49"/>
        <v>#N/A</v>
      </c>
      <c r="BA115" s="645"/>
    </row>
    <row r="116" spans="2:53">
      <c r="B116" s="643"/>
      <c r="C116" s="291">
        <v>5</v>
      </c>
      <c r="D116" s="409"/>
      <c r="E116" s="409"/>
      <c r="F116" s="409"/>
      <c r="G116" s="416"/>
      <c r="H116" s="645"/>
      <c r="I116" s="391" t="str">
        <f t="shared" si="51"/>
        <v>-</v>
      </c>
      <c r="J116" s="391" t="str">
        <f t="shared" si="52"/>
        <v>-</v>
      </c>
      <c r="K116" s="199" t="str">
        <f t="shared" si="53"/>
        <v>-</v>
      </c>
      <c r="L116" s="617"/>
      <c r="M116" s="198" t="e">
        <f>RANK(K116, K$112:$K$141)</f>
        <v>#VALUE!</v>
      </c>
      <c r="N116" s="635"/>
      <c r="O116" s="635"/>
      <c r="P116" s="416"/>
      <c r="Q116" s="416"/>
      <c r="R116" s="416"/>
      <c r="S116" s="495"/>
      <c r="T116" s="645"/>
      <c r="U116" s="416"/>
      <c r="V116" s="416"/>
      <c r="W116" s="416"/>
      <c r="X116" s="495"/>
      <c r="Y116" s="645"/>
      <c r="Z116" s="416"/>
      <c r="AA116" s="416"/>
      <c r="AB116" s="416"/>
      <c r="AC116" s="495"/>
      <c r="AD116" s="645"/>
      <c r="AE116" s="416"/>
      <c r="AF116" s="416"/>
      <c r="AG116" s="416"/>
      <c r="AH116" s="495"/>
      <c r="AI116" s="645"/>
      <c r="AJ116" s="416"/>
      <c r="AK116" s="416"/>
      <c r="AL116" s="416"/>
      <c r="AM116" s="495"/>
      <c r="AN116" s="645"/>
      <c r="AO116" s="416"/>
      <c r="AP116" s="416"/>
      <c r="AQ116" s="416"/>
      <c r="AR116" s="495"/>
      <c r="AS116" s="645"/>
      <c r="AT116" s="416"/>
      <c r="AU116" s="416"/>
      <c r="AV116" s="416"/>
      <c r="AW116" s="495"/>
      <c r="AX116" s="645"/>
      <c r="AZ116" s="402" t="e">
        <f t="shared" si="49"/>
        <v>#N/A</v>
      </c>
      <c r="BA116" s="645"/>
    </row>
    <row r="117" spans="2:53">
      <c r="B117" s="643"/>
      <c r="C117" s="291">
        <v>6</v>
      </c>
      <c r="D117" s="409"/>
      <c r="E117" s="409"/>
      <c r="F117" s="409"/>
      <c r="G117" s="416"/>
      <c r="H117" s="645"/>
      <c r="I117" s="391" t="str">
        <f t="shared" si="51"/>
        <v>-</v>
      </c>
      <c r="J117" s="391" t="str">
        <f t="shared" si="52"/>
        <v>-</v>
      </c>
      <c r="K117" s="199" t="str">
        <f t="shared" si="53"/>
        <v>-</v>
      </c>
      <c r="L117" s="617"/>
      <c r="M117" s="198" t="e">
        <f>RANK(K117, K$112:$K$141)</f>
        <v>#VALUE!</v>
      </c>
      <c r="N117" s="635"/>
      <c r="O117" s="635"/>
      <c r="P117" s="416"/>
      <c r="Q117" s="416"/>
      <c r="R117" s="416"/>
      <c r="S117" s="495"/>
      <c r="T117" s="645"/>
      <c r="U117" s="416"/>
      <c r="V117" s="416"/>
      <c r="W117" s="416"/>
      <c r="X117" s="495"/>
      <c r="Y117" s="645"/>
      <c r="Z117" s="416"/>
      <c r="AA117" s="416"/>
      <c r="AB117" s="416"/>
      <c r="AC117" s="495"/>
      <c r="AD117" s="645"/>
      <c r="AE117" s="416"/>
      <c r="AF117" s="416"/>
      <c r="AG117" s="416"/>
      <c r="AH117" s="495"/>
      <c r="AI117" s="645"/>
      <c r="AJ117" s="416"/>
      <c r="AK117" s="416"/>
      <c r="AL117" s="416"/>
      <c r="AM117" s="495"/>
      <c r="AN117" s="645"/>
      <c r="AO117" s="416"/>
      <c r="AP117" s="416"/>
      <c r="AQ117" s="416"/>
      <c r="AR117" s="495"/>
      <c r="AS117" s="645"/>
      <c r="AT117" s="416"/>
      <c r="AU117" s="416"/>
      <c r="AV117" s="416"/>
      <c r="AW117" s="495"/>
      <c r="AX117" s="645"/>
      <c r="AZ117" s="402" t="e">
        <f t="shared" si="49"/>
        <v>#N/A</v>
      </c>
      <c r="BA117" s="645"/>
    </row>
    <row r="118" spans="2:53">
      <c r="B118" s="643"/>
      <c r="C118" s="291">
        <v>7</v>
      </c>
      <c r="D118" s="409"/>
      <c r="E118" s="409"/>
      <c r="F118" s="409"/>
      <c r="G118" s="416"/>
      <c r="H118" s="645"/>
      <c r="I118" s="391" t="str">
        <f t="shared" si="51"/>
        <v>-</v>
      </c>
      <c r="J118" s="391" t="str">
        <f t="shared" si="52"/>
        <v>-</v>
      </c>
      <c r="K118" s="199" t="str">
        <f t="shared" si="53"/>
        <v>-</v>
      </c>
      <c r="L118" s="617"/>
      <c r="M118" s="198" t="e">
        <f>RANK(K118, K$112:$K$141)</f>
        <v>#VALUE!</v>
      </c>
      <c r="N118" s="635"/>
      <c r="O118" s="635"/>
      <c r="P118" s="416"/>
      <c r="Q118" s="416"/>
      <c r="R118" s="416"/>
      <c r="S118" s="495"/>
      <c r="T118" s="645"/>
      <c r="U118" s="416"/>
      <c r="V118" s="416"/>
      <c r="W118" s="416"/>
      <c r="X118" s="495"/>
      <c r="Y118" s="645"/>
      <c r="Z118" s="416"/>
      <c r="AA118" s="416"/>
      <c r="AB118" s="416"/>
      <c r="AC118" s="495"/>
      <c r="AD118" s="645"/>
      <c r="AE118" s="416"/>
      <c r="AF118" s="416"/>
      <c r="AG118" s="416"/>
      <c r="AH118" s="495"/>
      <c r="AI118" s="645"/>
      <c r="AJ118" s="416"/>
      <c r="AK118" s="416"/>
      <c r="AL118" s="416"/>
      <c r="AM118" s="495"/>
      <c r="AN118" s="645"/>
      <c r="AO118" s="416"/>
      <c r="AP118" s="416"/>
      <c r="AQ118" s="416"/>
      <c r="AR118" s="495"/>
      <c r="AS118" s="645"/>
      <c r="AT118" s="416"/>
      <c r="AU118" s="416"/>
      <c r="AV118" s="416"/>
      <c r="AW118" s="495"/>
      <c r="AX118" s="645"/>
      <c r="AZ118" s="402" t="e">
        <f t="shared" si="49"/>
        <v>#N/A</v>
      </c>
      <c r="BA118" s="645"/>
    </row>
    <row r="119" spans="2:53">
      <c r="B119" s="643"/>
      <c r="C119" s="291">
        <v>8</v>
      </c>
      <c r="D119" s="409"/>
      <c r="E119" s="409"/>
      <c r="F119" s="409"/>
      <c r="G119" s="416"/>
      <c r="H119" s="645"/>
      <c r="I119" s="391" t="str">
        <f t="shared" si="51"/>
        <v>-</v>
      </c>
      <c r="J119" s="391" t="str">
        <f t="shared" si="52"/>
        <v>-</v>
      </c>
      <c r="K119" s="199" t="str">
        <f t="shared" si="53"/>
        <v>-</v>
      </c>
      <c r="L119" s="617"/>
      <c r="M119" s="198" t="e">
        <f>RANK(K119, K$112:$K$141)</f>
        <v>#VALUE!</v>
      </c>
      <c r="N119" s="635"/>
      <c r="O119" s="635"/>
      <c r="P119" s="416"/>
      <c r="Q119" s="416"/>
      <c r="R119" s="416"/>
      <c r="S119" s="495"/>
      <c r="T119" s="645"/>
      <c r="U119" s="416"/>
      <c r="V119" s="416"/>
      <c r="W119" s="416"/>
      <c r="X119" s="495"/>
      <c r="Y119" s="645"/>
      <c r="Z119" s="416"/>
      <c r="AA119" s="416"/>
      <c r="AB119" s="416"/>
      <c r="AC119" s="495"/>
      <c r="AD119" s="645"/>
      <c r="AE119" s="416"/>
      <c r="AF119" s="416"/>
      <c r="AG119" s="416"/>
      <c r="AH119" s="495"/>
      <c r="AI119" s="645"/>
      <c r="AJ119" s="416"/>
      <c r="AK119" s="416"/>
      <c r="AL119" s="416"/>
      <c r="AM119" s="495"/>
      <c r="AN119" s="645"/>
      <c r="AO119" s="416"/>
      <c r="AP119" s="416"/>
      <c r="AQ119" s="416"/>
      <c r="AR119" s="495"/>
      <c r="AS119" s="645"/>
      <c r="AT119" s="416"/>
      <c r="AU119" s="416"/>
      <c r="AV119" s="416"/>
      <c r="AW119" s="495"/>
      <c r="AX119" s="645"/>
      <c r="AZ119" s="402" t="e">
        <f t="shared" si="49"/>
        <v>#N/A</v>
      </c>
      <c r="BA119" s="645"/>
    </row>
    <row r="120" spans="2:53">
      <c r="B120" s="643"/>
      <c r="C120" s="291">
        <v>9</v>
      </c>
      <c r="D120" s="409"/>
      <c r="E120" s="409"/>
      <c r="F120" s="409"/>
      <c r="G120" s="416"/>
      <c r="H120" s="645"/>
      <c r="I120" s="391" t="str">
        <f t="shared" si="51"/>
        <v>-</v>
      </c>
      <c r="J120" s="391" t="str">
        <f t="shared" si="52"/>
        <v>-</v>
      </c>
      <c r="K120" s="199" t="str">
        <f t="shared" si="53"/>
        <v>-</v>
      </c>
      <c r="L120" s="617"/>
      <c r="M120" s="198" t="e">
        <f>RANK(K120, K$112:$K$141)</f>
        <v>#VALUE!</v>
      </c>
      <c r="N120" s="635"/>
      <c r="O120" s="635"/>
      <c r="P120" s="416"/>
      <c r="Q120" s="416"/>
      <c r="R120" s="416"/>
      <c r="S120" s="495"/>
      <c r="T120" s="645"/>
      <c r="U120" s="416"/>
      <c r="V120" s="416"/>
      <c r="W120" s="416"/>
      <c r="X120" s="495"/>
      <c r="Y120" s="645"/>
      <c r="Z120" s="416"/>
      <c r="AA120" s="416"/>
      <c r="AB120" s="416"/>
      <c r="AC120" s="495"/>
      <c r="AD120" s="645"/>
      <c r="AE120" s="416"/>
      <c r="AF120" s="416"/>
      <c r="AG120" s="416"/>
      <c r="AH120" s="495"/>
      <c r="AI120" s="645"/>
      <c r="AJ120" s="416"/>
      <c r="AK120" s="416"/>
      <c r="AL120" s="416"/>
      <c r="AM120" s="495"/>
      <c r="AN120" s="645"/>
      <c r="AO120" s="416"/>
      <c r="AP120" s="416"/>
      <c r="AQ120" s="416"/>
      <c r="AR120" s="495"/>
      <c r="AS120" s="645"/>
      <c r="AT120" s="416"/>
      <c r="AU120" s="416"/>
      <c r="AV120" s="416"/>
      <c r="AW120" s="495"/>
      <c r="AX120" s="645"/>
      <c r="AZ120" s="402" t="e">
        <f t="shared" si="49"/>
        <v>#N/A</v>
      </c>
      <c r="BA120" s="645"/>
    </row>
    <row r="121" spans="2:53">
      <c r="B121" s="643"/>
      <c r="C121" s="291">
        <v>10</v>
      </c>
      <c r="D121" s="409"/>
      <c r="E121" s="409"/>
      <c r="F121" s="409"/>
      <c r="G121" s="416"/>
      <c r="H121" s="645"/>
      <c r="I121" s="391" t="str">
        <f t="shared" si="51"/>
        <v>-</v>
      </c>
      <c r="J121" s="391" t="str">
        <f t="shared" si="52"/>
        <v>-</v>
      </c>
      <c r="K121" s="199" t="str">
        <f t="shared" si="53"/>
        <v>-</v>
      </c>
      <c r="L121" s="617"/>
      <c r="M121" s="198" t="e">
        <f>RANK(K121, K$112:$K$141)</f>
        <v>#VALUE!</v>
      </c>
      <c r="N121" s="635"/>
      <c r="O121" s="635"/>
      <c r="P121" s="416"/>
      <c r="Q121" s="416"/>
      <c r="R121" s="416"/>
      <c r="S121" s="495"/>
      <c r="T121" s="645"/>
      <c r="U121" s="416"/>
      <c r="V121" s="416"/>
      <c r="W121" s="416"/>
      <c r="X121" s="495"/>
      <c r="Y121" s="645"/>
      <c r="Z121" s="416"/>
      <c r="AA121" s="416"/>
      <c r="AB121" s="416"/>
      <c r="AC121" s="495"/>
      <c r="AD121" s="645"/>
      <c r="AE121" s="416"/>
      <c r="AF121" s="416"/>
      <c r="AG121" s="416"/>
      <c r="AH121" s="495"/>
      <c r="AI121" s="645"/>
      <c r="AJ121" s="416"/>
      <c r="AK121" s="416"/>
      <c r="AL121" s="416"/>
      <c r="AM121" s="495"/>
      <c r="AN121" s="645"/>
      <c r="AO121" s="416"/>
      <c r="AP121" s="416"/>
      <c r="AQ121" s="416"/>
      <c r="AR121" s="495"/>
      <c r="AS121" s="645"/>
      <c r="AT121" s="416"/>
      <c r="AU121" s="416"/>
      <c r="AV121" s="416"/>
      <c r="AW121" s="495"/>
      <c r="AX121" s="645"/>
      <c r="AZ121" s="402" t="e">
        <f t="shared" si="49"/>
        <v>#N/A</v>
      </c>
      <c r="BA121" s="645"/>
    </row>
    <row r="122" spans="2:53">
      <c r="B122" s="643"/>
      <c r="C122" s="291">
        <v>11</v>
      </c>
      <c r="D122" s="409"/>
      <c r="E122" s="409"/>
      <c r="F122" s="409"/>
      <c r="G122" s="416"/>
      <c r="H122" s="645"/>
      <c r="I122" s="391" t="str">
        <f t="shared" si="51"/>
        <v>-</v>
      </c>
      <c r="J122" s="391" t="str">
        <f t="shared" si="52"/>
        <v>-</v>
      </c>
      <c r="K122" s="199" t="str">
        <f t="shared" si="53"/>
        <v>-</v>
      </c>
      <c r="L122" s="617"/>
      <c r="M122" s="198" t="e">
        <f>RANK(K122, K$112:$K$141)</f>
        <v>#VALUE!</v>
      </c>
      <c r="N122" s="635"/>
      <c r="O122" s="635"/>
      <c r="P122" s="416"/>
      <c r="Q122" s="416"/>
      <c r="R122" s="416"/>
      <c r="S122" s="495"/>
      <c r="T122" s="645"/>
      <c r="U122" s="416"/>
      <c r="V122" s="416"/>
      <c r="W122" s="416"/>
      <c r="X122" s="495"/>
      <c r="Y122" s="645"/>
      <c r="Z122" s="416"/>
      <c r="AA122" s="416"/>
      <c r="AB122" s="416"/>
      <c r="AC122" s="495"/>
      <c r="AD122" s="645"/>
      <c r="AE122" s="416"/>
      <c r="AF122" s="416"/>
      <c r="AG122" s="416"/>
      <c r="AH122" s="495"/>
      <c r="AI122" s="645"/>
      <c r="AJ122" s="416"/>
      <c r="AK122" s="416"/>
      <c r="AL122" s="416"/>
      <c r="AM122" s="495"/>
      <c r="AN122" s="645"/>
      <c r="AO122" s="416"/>
      <c r="AP122" s="416"/>
      <c r="AQ122" s="416"/>
      <c r="AR122" s="495"/>
      <c r="AS122" s="645"/>
      <c r="AT122" s="416"/>
      <c r="AU122" s="416"/>
      <c r="AV122" s="416"/>
      <c r="AW122" s="495"/>
      <c r="AX122" s="645"/>
      <c r="AZ122" s="402" t="e">
        <f t="shared" si="49"/>
        <v>#N/A</v>
      </c>
      <c r="BA122" s="645"/>
    </row>
    <row r="123" spans="2:53">
      <c r="B123" s="643"/>
      <c r="C123" s="291">
        <v>12</v>
      </c>
      <c r="D123" s="409"/>
      <c r="E123" s="409"/>
      <c r="F123" s="409"/>
      <c r="G123" s="416"/>
      <c r="H123" s="645"/>
      <c r="I123" s="391" t="str">
        <f t="shared" si="51"/>
        <v>-</v>
      </c>
      <c r="J123" s="391" t="str">
        <f t="shared" si="52"/>
        <v>-</v>
      </c>
      <c r="K123" s="199" t="str">
        <f t="shared" si="53"/>
        <v>-</v>
      </c>
      <c r="L123" s="617"/>
      <c r="M123" s="198" t="e">
        <f>RANK(K123, K$112:$K$141)</f>
        <v>#VALUE!</v>
      </c>
      <c r="N123" s="635"/>
      <c r="O123" s="635"/>
      <c r="P123" s="416"/>
      <c r="Q123" s="416"/>
      <c r="R123" s="416"/>
      <c r="S123" s="495"/>
      <c r="T123" s="645"/>
      <c r="U123" s="416"/>
      <c r="V123" s="416"/>
      <c r="W123" s="416"/>
      <c r="X123" s="495"/>
      <c r="Y123" s="645"/>
      <c r="Z123" s="416"/>
      <c r="AA123" s="416"/>
      <c r="AB123" s="416"/>
      <c r="AC123" s="495"/>
      <c r="AD123" s="645"/>
      <c r="AE123" s="416"/>
      <c r="AF123" s="416"/>
      <c r="AG123" s="416"/>
      <c r="AH123" s="495"/>
      <c r="AI123" s="645"/>
      <c r="AJ123" s="416"/>
      <c r="AK123" s="416"/>
      <c r="AL123" s="416"/>
      <c r="AM123" s="495"/>
      <c r="AN123" s="645"/>
      <c r="AO123" s="416"/>
      <c r="AP123" s="416"/>
      <c r="AQ123" s="416"/>
      <c r="AR123" s="495"/>
      <c r="AS123" s="645"/>
      <c r="AT123" s="416"/>
      <c r="AU123" s="416"/>
      <c r="AV123" s="416"/>
      <c r="AW123" s="495"/>
      <c r="AX123" s="645"/>
      <c r="AZ123" s="402" t="e">
        <f t="shared" si="49"/>
        <v>#N/A</v>
      </c>
      <c r="BA123" s="645"/>
    </row>
    <row r="124" spans="2:53">
      <c r="B124" s="643"/>
      <c r="C124" s="291">
        <v>13</v>
      </c>
      <c r="D124" s="409"/>
      <c r="E124" s="409"/>
      <c r="F124" s="409"/>
      <c r="G124" s="416"/>
      <c r="H124" s="645"/>
      <c r="I124" s="391" t="str">
        <f t="shared" si="51"/>
        <v>-</v>
      </c>
      <c r="J124" s="391" t="str">
        <f t="shared" si="52"/>
        <v>-</v>
      </c>
      <c r="K124" s="199" t="str">
        <f t="shared" si="53"/>
        <v>-</v>
      </c>
      <c r="L124" s="617"/>
      <c r="M124" s="198" t="e">
        <f>RANK(K124, K$112:$K$141)</f>
        <v>#VALUE!</v>
      </c>
      <c r="N124" s="635"/>
      <c r="O124" s="635"/>
      <c r="P124" s="416"/>
      <c r="Q124" s="416"/>
      <c r="R124" s="416"/>
      <c r="S124" s="495"/>
      <c r="T124" s="645"/>
      <c r="U124" s="416"/>
      <c r="V124" s="416"/>
      <c r="W124" s="416"/>
      <c r="X124" s="495"/>
      <c r="Y124" s="645"/>
      <c r="Z124" s="416"/>
      <c r="AA124" s="416"/>
      <c r="AB124" s="416"/>
      <c r="AC124" s="495"/>
      <c r="AD124" s="645"/>
      <c r="AE124" s="416"/>
      <c r="AF124" s="416"/>
      <c r="AG124" s="416"/>
      <c r="AH124" s="495"/>
      <c r="AI124" s="645"/>
      <c r="AJ124" s="416"/>
      <c r="AK124" s="416"/>
      <c r="AL124" s="416"/>
      <c r="AM124" s="495"/>
      <c r="AN124" s="645"/>
      <c r="AO124" s="416"/>
      <c r="AP124" s="416"/>
      <c r="AQ124" s="416"/>
      <c r="AR124" s="495"/>
      <c r="AS124" s="645"/>
      <c r="AT124" s="416"/>
      <c r="AU124" s="416"/>
      <c r="AV124" s="416"/>
      <c r="AW124" s="495"/>
      <c r="AX124" s="645"/>
      <c r="AZ124" s="402" t="e">
        <f t="shared" si="49"/>
        <v>#N/A</v>
      </c>
      <c r="BA124" s="645"/>
    </row>
    <row r="125" spans="2:53">
      <c r="B125" s="643"/>
      <c r="C125" s="291">
        <v>14</v>
      </c>
      <c r="D125" s="409"/>
      <c r="E125" s="409"/>
      <c r="F125" s="409"/>
      <c r="G125" s="416"/>
      <c r="H125" s="645"/>
      <c r="I125" s="391" t="str">
        <f t="shared" si="51"/>
        <v>-</v>
      </c>
      <c r="J125" s="391" t="str">
        <f t="shared" si="52"/>
        <v>-</v>
      </c>
      <c r="K125" s="199" t="str">
        <f t="shared" si="53"/>
        <v>-</v>
      </c>
      <c r="L125" s="617"/>
      <c r="M125" s="198" t="e">
        <f>RANK(K125, K$112:$K$141)</f>
        <v>#VALUE!</v>
      </c>
      <c r="N125" s="635"/>
      <c r="O125" s="635"/>
      <c r="P125" s="416"/>
      <c r="Q125" s="416"/>
      <c r="R125" s="416"/>
      <c r="S125" s="495"/>
      <c r="T125" s="645"/>
      <c r="U125" s="416"/>
      <c r="V125" s="416"/>
      <c r="W125" s="416"/>
      <c r="X125" s="495"/>
      <c r="Y125" s="645"/>
      <c r="Z125" s="416"/>
      <c r="AA125" s="416"/>
      <c r="AB125" s="416"/>
      <c r="AC125" s="495"/>
      <c r="AD125" s="645"/>
      <c r="AE125" s="416"/>
      <c r="AF125" s="416"/>
      <c r="AG125" s="416"/>
      <c r="AH125" s="495"/>
      <c r="AI125" s="645"/>
      <c r="AJ125" s="416"/>
      <c r="AK125" s="416"/>
      <c r="AL125" s="416"/>
      <c r="AM125" s="495"/>
      <c r="AN125" s="645"/>
      <c r="AO125" s="416"/>
      <c r="AP125" s="416"/>
      <c r="AQ125" s="416"/>
      <c r="AR125" s="495"/>
      <c r="AS125" s="645"/>
      <c r="AT125" s="416"/>
      <c r="AU125" s="416"/>
      <c r="AV125" s="416"/>
      <c r="AW125" s="495"/>
      <c r="AX125" s="645"/>
      <c r="AZ125" s="402" t="e">
        <f t="shared" si="49"/>
        <v>#N/A</v>
      </c>
      <c r="BA125" s="645"/>
    </row>
    <row r="126" spans="2:53">
      <c r="B126" s="643"/>
      <c r="C126" s="291">
        <v>15</v>
      </c>
      <c r="D126" s="409"/>
      <c r="E126" s="409"/>
      <c r="F126" s="409"/>
      <c r="G126" s="416"/>
      <c r="H126" s="645"/>
      <c r="I126" s="391" t="str">
        <f t="shared" si="51"/>
        <v>-</v>
      </c>
      <c r="J126" s="391" t="str">
        <f t="shared" si="52"/>
        <v>-</v>
      </c>
      <c r="K126" s="199" t="str">
        <f t="shared" si="53"/>
        <v>-</v>
      </c>
      <c r="L126" s="617"/>
      <c r="M126" s="198" t="e">
        <f>RANK(K126, K$112:$K$141)</f>
        <v>#VALUE!</v>
      </c>
      <c r="N126" s="635"/>
      <c r="O126" s="635"/>
      <c r="P126" s="416"/>
      <c r="Q126" s="416"/>
      <c r="R126" s="416"/>
      <c r="S126" s="495"/>
      <c r="T126" s="645"/>
      <c r="U126" s="416"/>
      <c r="V126" s="416"/>
      <c r="W126" s="416"/>
      <c r="X126" s="495"/>
      <c r="Y126" s="645"/>
      <c r="Z126" s="416"/>
      <c r="AA126" s="416"/>
      <c r="AB126" s="416"/>
      <c r="AC126" s="495"/>
      <c r="AD126" s="645"/>
      <c r="AE126" s="416"/>
      <c r="AF126" s="416"/>
      <c r="AG126" s="416"/>
      <c r="AH126" s="495"/>
      <c r="AI126" s="645"/>
      <c r="AJ126" s="416"/>
      <c r="AK126" s="416"/>
      <c r="AL126" s="416"/>
      <c r="AM126" s="495"/>
      <c r="AN126" s="645"/>
      <c r="AO126" s="416"/>
      <c r="AP126" s="416"/>
      <c r="AQ126" s="416"/>
      <c r="AR126" s="495"/>
      <c r="AS126" s="645"/>
      <c r="AT126" s="416"/>
      <c r="AU126" s="416"/>
      <c r="AV126" s="416"/>
      <c r="AW126" s="495"/>
      <c r="AX126" s="645"/>
      <c r="AZ126" s="402" t="e">
        <f t="shared" si="49"/>
        <v>#N/A</v>
      </c>
      <c r="BA126" s="645"/>
    </row>
    <row r="127" spans="2:53">
      <c r="B127" s="643"/>
      <c r="C127" s="291">
        <v>16</v>
      </c>
      <c r="D127" s="409"/>
      <c r="E127" s="409"/>
      <c r="F127" s="409"/>
      <c r="G127" s="416"/>
      <c r="H127" s="645"/>
      <c r="I127" s="391" t="str">
        <f t="shared" si="51"/>
        <v>-</v>
      </c>
      <c r="J127" s="391" t="str">
        <f t="shared" si="52"/>
        <v>-</v>
      </c>
      <c r="K127" s="199" t="str">
        <f t="shared" si="53"/>
        <v>-</v>
      </c>
      <c r="L127" s="617"/>
      <c r="M127" s="198" t="e">
        <f>RANK(K127, K$112:$K$141)</f>
        <v>#VALUE!</v>
      </c>
      <c r="N127" s="635"/>
      <c r="O127" s="635"/>
      <c r="P127" s="416"/>
      <c r="Q127" s="416"/>
      <c r="R127" s="416"/>
      <c r="S127" s="495"/>
      <c r="T127" s="645"/>
      <c r="U127" s="416"/>
      <c r="V127" s="416"/>
      <c r="W127" s="416"/>
      <c r="X127" s="495"/>
      <c r="Y127" s="645"/>
      <c r="Z127" s="416"/>
      <c r="AA127" s="416"/>
      <c r="AB127" s="416"/>
      <c r="AC127" s="495"/>
      <c r="AD127" s="645"/>
      <c r="AE127" s="416"/>
      <c r="AF127" s="416"/>
      <c r="AG127" s="416"/>
      <c r="AH127" s="495"/>
      <c r="AI127" s="645"/>
      <c r="AJ127" s="416"/>
      <c r="AK127" s="416"/>
      <c r="AL127" s="416"/>
      <c r="AM127" s="495"/>
      <c r="AN127" s="645"/>
      <c r="AO127" s="416"/>
      <c r="AP127" s="416"/>
      <c r="AQ127" s="416"/>
      <c r="AR127" s="495"/>
      <c r="AS127" s="645"/>
      <c r="AT127" s="416"/>
      <c r="AU127" s="416"/>
      <c r="AV127" s="416"/>
      <c r="AW127" s="495"/>
      <c r="AX127" s="645"/>
      <c r="AZ127" s="402" t="e">
        <f t="shared" si="49"/>
        <v>#N/A</v>
      </c>
      <c r="BA127" s="645"/>
    </row>
    <row r="128" spans="2:53">
      <c r="B128" s="643"/>
      <c r="C128" s="291">
        <v>17</v>
      </c>
      <c r="D128" s="409"/>
      <c r="E128" s="409"/>
      <c r="F128" s="409"/>
      <c r="G128" s="416"/>
      <c r="H128" s="645"/>
      <c r="I128" s="391" t="str">
        <f t="shared" si="51"/>
        <v>-</v>
      </c>
      <c r="J128" s="391" t="str">
        <f t="shared" si="52"/>
        <v>-</v>
      </c>
      <c r="K128" s="199" t="str">
        <f t="shared" si="53"/>
        <v>-</v>
      </c>
      <c r="L128" s="617"/>
      <c r="M128" s="198" t="e">
        <f>RANK(K128, K$112:$K$141)</f>
        <v>#VALUE!</v>
      </c>
      <c r="N128" s="635"/>
      <c r="O128" s="635"/>
      <c r="P128" s="416"/>
      <c r="Q128" s="416"/>
      <c r="R128" s="416"/>
      <c r="S128" s="495"/>
      <c r="T128" s="645"/>
      <c r="U128" s="416"/>
      <c r="V128" s="416"/>
      <c r="W128" s="416"/>
      <c r="X128" s="495"/>
      <c r="Y128" s="645"/>
      <c r="Z128" s="416"/>
      <c r="AA128" s="416"/>
      <c r="AB128" s="416"/>
      <c r="AC128" s="495"/>
      <c r="AD128" s="645"/>
      <c r="AE128" s="416"/>
      <c r="AF128" s="416"/>
      <c r="AG128" s="416"/>
      <c r="AH128" s="495"/>
      <c r="AI128" s="645"/>
      <c r="AJ128" s="416"/>
      <c r="AK128" s="416"/>
      <c r="AL128" s="416"/>
      <c r="AM128" s="495"/>
      <c r="AN128" s="645"/>
      <c r="AO128" s="416"/>
      <c r="AP128" s="416"/>
      <c r="AQ128" s="416"/>
      <c r="AR128" s="495"/>
      <c r="AS128" s="645"/>
      <c r="AT128" s="416"/>
      <c r="AU128" s="416"/>
      <c r="AV128" s="416"/>
      <c r="AW128" s="495"/>
      <c r="AX128" s="645"/>
      <c r="AZ128" s="402" t="e">
        <f t="shared" si="49"/>
        <v>#N/A</v>
      </c>
      <c r="BA128" s="645"/>
    </row>
    <row r="129" spans="2:53">
      <c r="B129" s="643"/>
      <c r="C129" s="291">
        <v>18</v>
      </c>
      <c r="D129" s="409"/>
      <c r="E129" s="409"/>
      <c r="F129" s="409"/>
      <c r="G129" s="416"/>
      <c r="H129" s="645"/>
      <c r="I129" s="391" t="str">
        <f t="shared" si="51"/>
        <v>-</v>
      </c>
      <c r="J129" s="391" t="str">
        <f t="shared" si="52"/>
        <v>-</v>
      </c>
      <c r="K129" s="199" t="str">
        <f t="shared" si="53"/>
        <v>-</v>
      </c>
      <c r="L129" s="617"/>
      <c r="M129" s="198" t="e">
        <f>RANK(K129, K$112:$K$141)</f>
        <v>#VALUE!</v>
      </c>
      <c r="N129" s="635"/>
      <c r="O129" s="635"/>
      <c r="P129" s="416"/>
      <c r="Q129" s="416"/>
      <c r="R129" s="416"/>
      <c r="S129" s="495"/>
      <c r="T129" s="645"/>
      <c r="U129" s="416"/>
      <c r="V129" s="416"/>
      <c r="W129" s="416"/>
      <c r="X129" s="495"/>
      <c r="Y129" s="645"/>
      <c r="Z129" s="416"/>
      <c r="AA129" s="416"/>
      <c r="AB129" s="416"/>
      <c r="AC129" s="495"/>
      <c r="AD129" s="645"/>
      <c r="AE129" s="416"/>
      <c r="AF129" s="416"/>
      <c r="AG129" s="416"/>
      <c r="AH129" s="495"/>
      <c r="AI129" s="645"/>
      <c r="AJ129" s="416"/>
      <c r="AK129" s="416"/>
      <c r="AL129" s="416"/>
      <c r="AM129" s="495"/>
      <c r="AN129" s="645"/>
      <c r="AO129" s="416"/>
      <c r="AP129" s="416"/>
      <c r="AQ129" s="416"/>
      <c r="AR129" s="495"/>
      <c r="AS129" s="645"/>
      <c r="AT129" s="416"/>
      <c r="AU129" s="416"/>
      <c r="AV129" s="416"/>
      <c r="AW129" s="495"/>
      <c r="AX129" s="645"/>
      <c r="AZ129" s="402" t="e">
        <f t="shared" si="49"/>
        <v>#N/A</v>
      </c>
      <c r="BA129" s="645"/>
    </row>
    <row r="130" spans="2:53">
      <c r="B130" s="643"/>
      <c r="C130" s="291">
        <v>19</v>
      </c>
      <c r="D130" s="409"/>
      <c r="E130" s="409"/>
      <c r="F130" s="409"/>
      <c r="G130" s="416"/>
      <c r="H130" s="645"/>
      <c r="I130" s="391" t="str">
        <f t="shared" si="51"/>
        <v>-</v>
      </c>
      <c r="J130" s="391" t="str">
        <f t="shared" si="52"/>
        <v>-</v>
      </c>
      <c r="K130" s="199" t="str">
        <f t="shared" si="53"/>
        <v>-</v>
      </c>
      <c r="L130" s="617"/>
      <c r="M130" s="198" t="e">
        <f>RANK(K130, K$112:$K$141)</f>
        <v>#VALUE!</v>
      </c>
      <c r="N130" s="635"/>
      <c r="O130" s="635"/>
      <c r="P130" s="416"/>
      <c r="Q130" s="416"/>
      <c r="R130" s="416"/>
      <c r="S130" s="495"/>
      <c r="T130" s="645"/>
      <c r="U130" s="416"/>
      <c r="V130" s="416"/>
      <c r="W130" s="416"/>
      <c r="X130" s="495"/>
      <c r="Y130" s="645"/>
      <c r="Z130" s="416"/>
      <c r="AA130" s="416"/>
      <c r="AB130" s="416"/>
      <c r="AC130" s="495"/>
      <c r="AD130" s="645"/>
      <c r="AE130" s="416"/>
      <c r="AF130" s="416"/>
      <c r="AG130" s="416"/>
      <c r="AH130" s="495"/>
      <c r="AI130" s="645"/>
      <c r="AJ130" s="416"/>
      <c r="AK130" s="416"/>
      <c r="AL130" s="416"/>
      <c r="AM130" s="495"/>
      <c r="AN130" s="645"/>
      <c r="AO130" s="416"/>
      <c r="AP130" s="416"/>
      <c r="AQ130" s="416"/>
      <c r="AR130" s="495"/>
      <c r="AS130" s="645"/>
      <c r="AT130" s="416"/>
      <c r="AU130" s="416"/>
      <c r="AV130" s="416"/>
      <c r="AW130" s="495"/>
      <c r="AX130" s="645"/>
      <c r="AZ130" s="402" t="e">
        <f t="shared" si="49"/>
        <v>#N/A</v>
      </c>
      <c r="BA130" s="645"/>
    </row>
    <row r="131" spans="2:53">
      <c r="B131" s="643"/>
      <c r="C131" s="291">
        <v>20</v>
      </c>
      <c r="D131" s="409"/>
      <c r="E131" s="409"/>
      <c r="F131" s="409"/>
      <c r="G131" s="416"/>
      <c r="H131" s="645"/>
      <c r="I131" s="391" t="str">
        <f t="shared" si="51"/>
        <v>-</v>
      </c>
      <c r="J131" s="391" t="str">
        <f t="shared" si="52"/>
        <v>-</v>
      </c>
      <c r="K131" s="199" t="str">
        <f t="shared" si="53"/>
        <v>-</v>
      </c>
      <c r="L131" s="617"/>
      <c r="M131" s="198" t="e">
        <f>RANK(K131, K$112:$K$141)</f>
        <v>#VALUE!</v>
      </c>
      <c r="N131" s="635"/>
      <c r="O131" s="635"/>
      <c r="P131" s="416"/>
      <c r="Q131" s="416"/>
      <c r="R131" s="416"/>
      <c r="S131" s="495"/>
      <c r="T131" s="645"/>
      <c r="U131" s="416"/>
      <c r="V131" s="416"/>
      <c r="W131" s="416"/>
      <c r="X131" s="495"/>
      <c r="Y131" s="645"/>
      <c r="Z131" s="416"/>
      <c r="AA131" s="416"/>
      <c r="AB131" s="416"/>
      <c r="AC131" s="495"/>
      <c r="AD131" s="645"/>
      <c r="AE131" s="416"/>
      <c r="AF131" s="416"/>
      <c r="AG131" s="416"/>
      <c r="AH131" s="495"/>
      <c r="AI131" s="645"/>
      <c r="AJ131" s="416"/>
      <c r="AK131" s="416"/>
      <c r="AL131" s="416"/>
      <c r="AM131" s="495"/>
      <c r="AN131" s="645"/>
      <c r="AO131" s="416"/>
      <c r="AP131" s="416"/>
      <c r="AQ131" s="416"/>
      <c r="AR131" s="495"/>
      <c r="AS131" s="645"/>
      <c r="AT131" s="416"/>
      <c r="AU131" s="416"/>
      <c r="AV131" s="416"/>
      <c r="AW131" s="495"/>
      <c r="AX131" s="645"/>
      <c r="AZ131" s="402" t="e">
        <f t="shared" si="49"/>
        <v>#N/A</v>
      </c>
      <c r="BA131" s="645"/>
    </row>
    <row r="132" spans="2:53">
      <c r="B132" s="643"/>
      <c r="C132" s="291">
        <v>21</v>
      </c>
      <c r="D132" s="412"/>
      <c r="E132" s="409"/>
      <c r="F132" s="409"/>
      <c r="G132" s="416"/>
      <c r="H132" s="645"/>
      <c r="I132" s="391" t="str">
        <f t="shared" si="51"/>
        <v>-</v>
      </c>
      <c r="J132" s="391" t="str">
        <f t="shared" si="52"/>
        <v>-</v>
      </c>
      <c r="K132" s="199" t="str">
        <f t="shared" si="53"/>
        <v>-</v>
      </c>
      <c r="L132" s="617"/>
      <c r="M132" s="198" t="e">
        <f>RANK(K132, K$112:$K$141)</f>
        <v>#VALUE!</v>
      </c>
      <c r="N132" s="635"/>
      <c r="O132" s="635"/>
      <c r="P132" s="495"/>
      <c r="Q132" s="416"/>
      <c r="R132" s="416"/>
      <c r="S132" s="495"/>
      <c r="T132" s="645"/>
      <c r="U132" s="495"/>
      <c r="V132" s="416"/>
      <c r="W132" s="416"/>
      <c r="X132" s="495"/>
      <c r="Y132" s="645"/>
      <c r="Z132" s="495"/>
      <c r="AA132" s="416"/>
      <c r="AB132" s="416"/>
      <c r="AC132" s="495"/>
      <c r="AD132" s="645"/>
      <c r="AE132" s="495"/>
      <c r="AF132" s="416"/>
      <c r="AG132" s="416"/>
      <c r="AH132" s="495"/>
      <c r="AI132" s="645"/>
      <c r="AJ132" s="495"/>
      <c r="AK132" s="416"/>
      <c r="AL132" s="416"/>
      <c r="AM132" s="495"/>
      <c r="AN132" s="645"/>
      <c r="AO132" s="495"/>
      <c r="AP132" s="416"/>
      <c r="AQ132" s="416"/>
      <c r="AR132" s="495"/>
      <c r="AS132" s="645"/>
      <c r="AT132" s="495"/>
      <c r="AU132" s="416"/>
      <c r="AV132" s="416"/>
      <c r="AW132" s="495"/>
      <c r="AX132" s="645"/>
      <c r="AZ132" s="402" t="e">
        <f t="shared" si="49"/>
        <v>#N/A</v>
      </c>
      <c r="BA132" s="645"/>
    </row>
    <row r="133" spans="2:53">
      <c r="B133" s="643"/>
      <c r="C133" s="291">
        <v>22</v>
      </c>
      <c r="D133" s="409"/>
      <c r="E133" s="409"/>
      <c r="F133" s="409"/>
      <c r="G133" s="409"/>
      <c r="H133" s="645"/>
      <c r="I133" s="391" t="str">
        <f t="shared" si="51"/>
        <v>-</v>
      </c>
      <c r="J133" s="391" t="str">
        <f t="shared" si="52"/>
        <v>-</v>
      </c>
      <c r="K133" s="199" t="str">
        <f t="shared" si="53"/>
        <v>-</v>
      </c>
      <c r="L133" s="617"/>
      <c r="M133" s="198" t="e">
        <f>RANK(K133, K$112:$K$141)</f>
        <v>#VALUE!</v>
      </c>
      <c r="N133" s="635"/>
      <c r="O133" s="635"/>
      <c r="P133" s="495"/>
      <c r="Q133" s="416"/>
      <c r="R133" s="416"/>
      <c r="S133" s="495"/>
      <c r="T133" s="645"/>
      <c r="U133" s="495"/>
      <c r="V133" s="416"/>
      <c r="W133" s="416"/>
      <c r="X133" s="495"/>
      <c r="Y133" s="645"/>
      <c r="Z133" s="495"/>
      <c r="AA133" s="416"/>
      <c r="AB133" s="416"/>
      <c r="AC133" s="495"/>
      <c r="AD133" s="645"/>
      <c r="AE133" s="495"/>
      <c r="AF133" s="416"/>
      <c r="AG133" s="416"/>
      <c r="AH133" s="495"/>
      <c r="AI133" s="645"/>
      <c r="AJ133" s="495"/>
      <c r="AK133" s="416"/>
      <c r="AL133" s="416"/>
      <c r="AM133" s="495"/>
      <c r="AN133" s="645"/>
      <c r="AO133" s="495"/>
      <c r="AP133" s="416"/>
      <c r="AQ133" s="416"/>
      <c r="AR133" s="495"/>
      <c r="AS133" s="645"/>
      <c r="AT133" s="495"/>
      <c r="AU133" s="416"/>
      <c r="AV133" s="416"/>
      <c r="AW133" s="495"/>
      <c r="AX133" s="645"/>
      <c r="AZ133" s="402" t="e">
        <f t="shared" si="49"/>
        <v>#N/A</v>
      </c>
      <c r="BA133" s="645"/>
    </row>
    <row r="134" spans="2:53">
      <c r="B134" s="643"/>
      <c r="C134" s="291">
        <v>23</v>
      </c>
      <c r="D134" s="409"/>
      <c r="E134" s="409"/>
      <c r="F134" s="409"/>
      <c r="G134" s="416"/>
      <c r="H134" s="645"/>
      <c r="I134" s="391" t="str">
        <f t="shared" si="51"/>
        <v>-</v>
      </c>
      <c r="J134" s="391" t="str">
        <f t="shared" si="52"/>
        <v>-</v>
      </c>
      <c r="K134" s="199" t="str">
        <f t="shared" si="53"/>
        <v>-</v>
      </c>
      <c r="L134" s="617"/>
      <c r="M134" s="198" t="e">
        <f>RANK(K134, K$112:$K$141)</f>
        <v>#VALUE!</v>
      </c>
      <c r="N134" s="635"/>
      <c r="O134" s="635"/>
      <c r="P134" s="495"/>
      <c r="Q134" s="416"/>
      <c r="R134" s="416"/>
      <c r="S134" s="495"/>
      <c r="T134" s="645"/>
      <c r="U134" s="495"/>
      <c r="V134" s="416"/>
      <c r="W134" s="416"/>
      <c r="X134" s="495"/>
      <c r="Y134" s="645"/>
      <c r="Z134" s="495"/>
      <c r="AA134" s="416"/>
      <c r="AB134" s="416"/>
      <c r="AC134" s="495"/>
      <c r="AD134" s="645"/>
      <c r="AE134" s="495"/>
      <c r="AF134" s="416"/>
      <c r="AG134" s="416"/>
      <c r="AH134" s="495"/>
      <c r="AI134" s="645"/>
      <c r="AJ134" s="495"/>
      <c r="AK134" s="416"/>
      <c r="AL134" s="416"/>
      <c r="AM134" s="495"/>
      <c r="AN134" s="645"/>
      <c r="AO134" s="495"/>
      <c r="AP134" s="416"/>
      <c r="AQ134" s="416"/>
      <c r="AR134" s="495"/>
      <c r="AS134" s="645"/>
      <c r="AT134" s="495"/>
      <c r="AU134" s="416"/>
      <c r="AV134" s="416"/>
      <c r="AW134" s="495"/>
      <c r="AX134" s="645"/>
      <c r="AZ134" s="402" t="e">
        <f t="shared" si="49"/>
        <v>#N/A</v>
      </c>
      <c r="BA134" s="645"/>
    </row>
    <row r="135" spans="2:53">
      <c r="B135" s="643"/>
      <c r="C135" s="291">
        <v>24</v>
      </c>
      <c r="D135" s="409"/>
      <c r="E135" s="409"/>
      <c r="F135" s="409"/>
      <c r="G135" s="416"/>
      <c r="H135" s="645"/>
      <c r="I135" s="391" t="str">
        <f t="shared" si="51"/>
        <v>-</v>
      </c>
      <c r="J135" s="391" t="str">
        <f t="shared" si="52"/>
        <v>-</v>
      </c>
      <c r="K135" s="199" t="str">
        <f t="shared" si="53"/>
        <v>-</v>
      </c>
      <c r="L135" s="617"/>
      <c r="M135" s="198" t="e">
        <f>RANK(K135, K$112:$K$141)</f>
        <v>#VALUE!</v>
      </c>
      <c r="N135" s="635"/>
      <c r="O135" s="635"/>
      <c r="P135" s="495"/>
      <c r="Q135" s="495"/>
      <c r="R135" s="495"/>
      <c r="S135" s="495"/>
      <c r="T135" s="645"/>
      <c r="U135" s="495"/>
      <c r="V135" s="495"/>
      <c r="W135" s="495"/>
      <c r="X135" s="495"/>
      <c r="Y135" s="645"/>
      <c r="Z135" s="495"/>
      <c r="AA135" s="495"/>
      <c r="AB135" s="495"/>
      <c r="AC135" s="495"/>
      <c r="AD135" s="645"/>
      <c r="AE135" s="495"/>
      <c r="AF135" s="495"/>
      <c r="AG135" s="495"/>
      <c r="AH135" s="495"/>
      <c r="AI135" s="645"/>
      <c r="AJ135" s="495"/>
      <c r="AK135" s="495"/>
      <c r="AL135" s="495"/>
      <c r="AM135" s="495"/>
      <c r="AN135" s="645"/>
      <c r="AO135" s="495"/>
      <c r="AP135" s="495"/>
      <c r="AQ135" s="495"/>
      <c r="AR135" s="495"/>
      <c r="AS135" s="645"/>
      <c r="AT135" s="495"/>
      <c r="AU135" s="495"/>
      <c r="AV135" s="495"/>
      <c r="AW135" s="495"/>
      <c r="AX135" s="645"/>
      <c r="AZ135" s="402" t="e">
        <f t="shared" si="49"/>
        <v>#N/A</v>
      </c>
      <c r="BA135" s="645"/>
    </row>
    <row r="136" spans="2:53">
      <c r="B136" s="643"/>
      <c r="C136" s="291">
        <v>25</v>
      </c>
      <c r="D136" s="409"/>
      <c r="E136" s="409"/>
      <c r="F136" s="409"/>
      <c r="G136" s="416"/>
      <c r="H136" s="645"/>
      <c r="I136" s="391" t="str">
        <f t="shared" si="51"/>
        <v>-</v>
      </c>
      <c r="J136" s="391" t="str">
        <f t="shared" si="52"/>
        <v>-</v>
      </c>
      <c r="K136" s="199" t="str">
        <f t="shared" si="53"/>
        <v>-</v>
      </c>
      <c r="L136" s="617"/>
      <c r="M136" s="198" t="e">
        <f>RANK(K136, K$112:$K$141)</f>
        <v>#VALUE!</v>
      </c>
      <c r="N136" s="635"/>
      <c r="O136" s="635"/>
      <c r="P136" s="495"/>
      <c r="Q136" s="495"/>
      <c r="R136" s="495"/>
      <c r="S136" s="495"/>
      <c r="T136" s="645"/>
      <c r="U136" s="495"/>
      <c r="V136" s="495"/>
      <c r="W136" s="495"/>
      <c r="X136" s="495"/>
      <c r="Y136" s="645"/>
      <c r="Z136" s="495"/>
      <c r="AA136" s="495"/>
      <c r="AB136" s="495"/>
      <c r="AC136" s="495"/>
      <c r="AD136" s="645"/>
      <c r="AE136" s="495"/>
      <c r="AF136" s="495"/>
      <c r="AG136" s="495"/>
      <c r="AH136" s="495"/>
      <c r="AI136" s="645"/>
      <c r="AJ136" s="495"/>
      <c r="AK136" s="495"/>
      <c r="AL136" s="495"/>
      <c r="AM136" s="495"/>
      <c r="AN136" s="645"/>
      <c r="AO136" s="495"/>
      <c r="AP136" s="495"/>
      <c r="AQ136" s="495"/>
      <c r="AR136" s="495"/>
      <c r="AS136" s="645"/>
      <c r="AT136" s="495"/>
      <c r="AU136" s="495"/>
      <c r="AV136" s="495"/>
      <c r="AW136" s="495"/>
      <c r="AX136" s="645"/>
      <c r="AZ136" s="402" t="e">
        <f t="shared" si="49"/>
        <v>#N/A</v>
      </c>
      <c r="BA136" s="645"/>
    </row>
    <row r="137" spans="2:53">
      <c r="B137" s="643"/>
      <c r="C137" s="291">
        <v>26</v>
      </c>
      <c r="D137" s="409"/>
      <c r="E137" s="409"/>
      <c r="F137" s="409"/>
      <c r="G137" s="409"/>
      <c r="H137" s="645"/>
      <c r="I137" s="391" t="str">
        <f t="shared" si="51"/>
        <v>-</v>
      </c>
      <c r="J137" s="391" t="str">
        <f t="shared" si="52"/>
        <v>-</v>
      </c>
      <c r="K137" s="199" t="str">
        <f t="shared" si="53"/>
        <v>-</v>
      </c>
      <c r="L137" s="617"/>
      <c r="M137" s="198" t="e">
        <f>RANK(K137, K$112:$K$141)</f>
        <v>#VALUE!</v>
      </c>
      <c r="N137" s="635"/>
      <c r="O137" s="635"/>
      <c r="P137" s="495"/>
      <c r="Q137" s="495"/>
      <c r="R137" s="495"/>
      <c r="S137" s="495"/>
      <c r="T137" s="645"/>
      <c r="U137" s="495"/>
      <c r="V137" s="495"/>
      <c r="W137" s="495"/>
      <c r="X137" s="495"/>
      <c r="Y137" s="645"/>
      <c r="Z137" s="495"/>
      <c r="AA137" s="495"/>
      <c r="AB137" s="495"/>
      <c r="AC137" s="495"/>
      <c r="AD137" s="645"/>
      <c r="AE137" s="495"/>
      <c r="AF137" s="495"/>
      <c r="AG137" s="495"/>
      <c r="AH137" s="495"/>
      <c r="AI137" s="645"/>
      <c r="AJ137" s="495"/>
      <c r="AK137" s="495"/>
      <c r="AL137" s="495"/>
      <c r="AM137" s="495"/>
      <c r="AN137" s="645"/>
      <c r="AO137" s="495"/>
      <c r="AP137" s="495"/>
      <c r="AQ137" s="495"/>
      <c r="AR137" s="495"/>
      <c r="AS137" s="645"/>
      <c r="AT137" s="495"/>
      <c r="AU137" s="495"/>
      <c r="AV137" s="495"/>
      <c r="AW137" s="495"/>
      <c r="AX137" s="645"/>
      <c r="AZ137" s="402" t="e">
        <f t="shared" si="49"/>
        <v>#N/A</v>
      </c>
      <c r="BA137" s="645"/>
    </row>
    <row r="138" spans="2:53">
      <c r="B138" s="643"/>
      <c r="C138" s="291">
        <v>27</v>
      </c>
      <c r="D138" s="409"/>
      <c r="E138" s="409"/>
      <c r="F138" s="409"/>
      <c r="G138" s="409"/>
      <c r="H138" s="645"/>
      <c r="I138" s="391" t="str">
        <f t="shared" si="51"/>
        <v>-</v>
      </c>
      <c r="J138" s="391" t="str">
        <f t="shared" si="52"/>
        <v>-</v>
      </c>
      <c r="K138" s="199" t="str">
        <f t="shared" si="53"/>
        <v>-</v>
      </c>
      <c r="L138" s="617"/>
      <c r="M138" s="198" t="e">
        <f>RANK(K138, K$112:$K$141)</f>
        <v>#VALUE!</v>
      </c>
      <c r="N138" s="635"/>
      <c r="O138" s="635"/>
      <c r="P138" s="495"/>
      <c r="Q138" s="495"/>
      <c r="R138" s="495"/>
      <c r="S138" s="495"/>
      <c r="T138" s="645"/>
      <c r="U138" s="495"/>
      <c r="V138" s="495"/>
      <c r="W138" s="495"/>
      <c r="X138" s="495"/>
      <c r="Y138" s="645"/>
      <c r="Z138" s="495"/>
      <c r="AA138" s="495"/>
      <c r="AB138" s="495"/>
      <c r="AC138" s="495"/>
      <c r="AD138" s="645"/>
      <c r="AE138" s="495"/>
      <c r="AF138" s="495"/>
      <c r="AG138" s="495"/>
      <c r="AH138" s="495"/>
      <c r="AI138" s="645"/>
      <c r="AJ138" s="495"/>
      <c r="AK138" s="495"/>
      <c r="AL138" s="495"/>
      <c r="AM138" s="495"/>
      <c r="AN138" s="645"/>
      <c r="AO138" s="495"/>
      <c r="AP138" s="495"/>
      <c r="AQ138" s="495"/>
      <c r="AR138" s="495"/>
      <c r="AS138" s="645"/>
      <c r="AT138" s="495"/>
      <c r="AU138" s="495"/>
      <c r="AV138" s="495"/>
      <c r="AW138" s="495"/>
      <c r="AX138" s="645"/>
      <c r="AZ138" s="402" t="e">
        <f t="shared" si="49"/>
        <v>#N/A</v>
      </c>
      <c r="BA138" s="645"/>
    </row>
    <row r="139" spans="2:53">
      <c r="B139" s="643"/>
      <c r="C139" s="291">
        <v>28</v>
      </c>
      <c r="D139" s="409"/>
      <c r="E139" s="409"/>
      <c r="F139" s="409"/>
      <c r="G139" s="409"/>
      <c r="H139" s="645"/>
      <c r="I139" s="391" t="str">
        <f t="shared" si="51"/>
        <v>-</v>
      </c>
      <c r="J139" s="391" t="str">
        <f t="shared" si="52"/>
        <v>-</v>
      </c>
      <c r="K139" s="199" t="str">
        <f t="shared" si="53"/>
        <v>-</v>
      </c>
      <c r="L139" s="617"/>
      <c r="M139" s="198" t="e">
        <f>RANK(K139, K$112:$K$141)</f>
        <v>#VALUE!</v>
      </c>
      <c r="N139" s="635"/>
      <c r="O139" s="635"/>
      <c r="P139" s="495"/>
      <c r="Q139" s="495"/>
      <c r="R139" s="495"/>
      <c r="S139" s="495"/>
      <c r="T139" s="645"/>
      <c r="U139" s="495"/>
      <c r="V139" s="495"/>
      <c r="W139" s="495"/>
      <c r="X139" s="495"/>
      <c r="Y139" s="645"/>
      <c r="Z139" s="495"/>
      <c r="AA139" s="495"/>
      <c r="AB139" s="495"/>
      <c r="AC139" s="495"/>
      <c r="AD139" s="645"/>
      <c r="AE139" s="495"/>
      <c r="AF139" s="495"/>
      <c r="AG139" s="495"/>
      <c r="AH139" s="495"/>
      <c r="AI139" s="645"/>
      <c r="AJ139" s="495"/>
      <c r="AK139" s="495"/>
      <c r="AL139" s="495"/>
      <c r="AM139" s="495"/>
      <c r="AN139" s="645"/>
      <c r="AO139" s="495"/>
      <c r="AP139" s="495"/>
      <c r="AQ139" s="495"/>
      <c r="AR139" s="495"/>
      <c r="AS139" s="645"/>
      <c r="AT139" s="495"/>
      <c r="AU139" s="495"/>
      <c r="AV139" s="495"/>
      <c r="AW139" s="495"/>
      <c r="AX139" s="645"/>
      <c r="AZ139" s="402" t="e">
        <f t="shared" si="49"/>
        <v>#N/A</v>
      </c>
      <c r="BA139" s="645"/>
    </row>
    <row r="140" spans="2:53">
      <c r="B140" s="643"/>
      <c r="C140" s="291">
        <v>29</v>
      </c>
      <c r="D140" s="409"/>
      <c r="E140" s="409"/>
      <c r="F140" s="409"/>
      <c r="G140" s="409"/>
      <c r="H140" s="645"/>
      <c r="I140" s="391" t="str">
        <f t="shared" si="51"/>
        <v>-</v>
      </c>
      <c r="J140" s="391" t="str">
        <f t="shared" si="52"/>
        <v>-</v>
      </c>
      <c r="K140" s="199" t="str">
        <f t="shared" si="53"/>
        <v>-</v>
      </c>
      <c r="L140" s="617"/>
      <c r="M140" s="198" t="e">
        <f>RANK(K140, K$112:$K$141)</f>
        <v>#VALUE!</v>
      </c>
      <c r="N140" s="635"/>
      <c r="O140" s="635"/>
      <c r="P140" s="495"/>
      <c r="Q140" s="495"/>
      <c r="R140" s="495"/>
      <c r="S140" s="495"/>
      <c r="T140" s="645"/>
      <c r="U140" s="495"/>
      <c r="V140" s="495"/>
      <c r="W140" s="495"/>
      <c r="X140" s="495"/>
      <c r="Y140" s="645"/>
      <c r="Z140" s="495"/>
      <c r="AA140" s="495"/>
      <c r="AB140" s="495"/>
      <c r="AC140" s="495"/>
      <c r="AD140" s="645"/>
      <c r="AE140" s="495"/>
      <c r="AF140" s="495"/>
      <c r="AG140" s="495"/>
      <c r="AH140" s="495"/>
      <c r="AI140" s="645"/>
      <c r="AJ140" s="495"/>
      <c r="AK140" s="495"/>
      <c r="AL140" s="495"/>
      <c r="AM140" s="495"/>
      <c r="AN140" s="645"/>
      <c r="AO140" s="495"/>
      <c r="AP140" s="495"/>
      <c r="AQ140" s="495"/>
      <c r="AR140" s="495"/>
      <c r="AS140" s="645"/>
      <c r="AT140" s="495"/>
      <c r="AU140" s="495"/>
      <c r="AV140" s="495"/>
      <c r="AW140" s="495"/>
      <c r="AX140" s="645"/>
      <c r="AZ140" s="402" t="e">
        <f t="shared" si="49"/>
        <v>#N/A</v>
      </c>
      <c r="BA140" s="645"/>
    </row>
    <row r="141" spans="2:53">
      <c r="B141" s="643"/>
      <c r="C141" s="291">
        <v>30</v>
      </c>
      <c r="D141" s="409"/>
      <c r="E141" s="409"/>
      <c r="F141" s="409"/>
      <c r="G141" s="409"/>
      <c r="H141" s="646"/>
      <c r="I141" s="391" t="str">
        <f t="shared" si="51"/>
        <v>-</v>
      </c>
      <c r="J141" s="391" t="str">
        <f t="shared" si="52"/>
        <v>-</v>
      </c>
      <c r="K141" s="199" t="str">
        <f t="shared" si="53"/>
        <v>-</v>
      </c>
      <c r="L141" s="618"/>
      <c r="M141" s="198" t="e">
        <f>RANK(K141, K$112:$K$141)</f>
        <v>#VALUE!</v>
      </c>
      <c r="N141" s="635"/>
      <c r="O141" s="635"/>
      <c r="P141" s="495"/>
      <c r="Q141" s="495"/>
      <c r="R141" s="495"/>
      <c r="S141" s="495"/>
      <c r="T141" s="646"/>
      <c r="U141" s="495"/>
      <c r="V141" s="495"/>
      <c r="W141" s="495"/>
      <c r="X141" s="495"/>
      <c r="Y141" s="646"/>
      <c r="Z141" s="495"/>
      <c r="AA141" s="495"/>
      <c r="AB141" s="495"/>
      <c r="AC141" s="495"/>
      <c r="AD141" s="646"/>
      <c r="AE141" s="495"/>
      <c r="AF141" s="495"/>
      <c r="AG141" s="495"/>
      <c r="AH141" s="495"/>
      <c r="AI141" s="646"/>
      <c r="AJ141" s="495"/>
      <c r="AK141" s="495"/>
      <c r="AL141" s="495"/>
      <c r="AM141" s="495"/>
      <c r="AN141" s="646"/>
      <c r="AO141" s="495"/>
      <c r="AP141" s="495"/>
      <c r="AQ141" s="495"/>
      <c r="AR141" s="495"/>
      <c r="AS141" s="646"/>
      <c r="AT141" s="495"/>
      <c r="AU141" s="495"/>
      <c r="AV141" s="495"/>
      <c r="AW141" s="495"/>
      <c r="AX141" s="646"/>
      <c r="AZ141" s="402" t="e">
        <f t="shared" si="49"/>
        <v>#N/A</v>
      </c>
      <c r="BA141" s="646"/>
    </row>
    <row r="142" spans="2:53" ht="15.75">
      <c r="B142" s="647" t="s">
        <v>163</v>
      </c>
      <c r="C142" s="648"/>
      <c r="D142" s="648"/>
      <c r="E142" s="648"/>
      <c r="F142" s="648"/>
      <c r="G142" s="648"/>
      <c r="H142" s="649"/>
      <c r="I142" s="207"/>
      <c r="J142" s="207"/>
      <c r="K142" s="207"/>
      <c r="L142" s="207"/>
      <c r="M142" s="206"/>
      <c r="N142" s="636" t="s">
        <v>156</v>
      </c>
      <c r="O142" s="636" t="s">
        <v>155</v>
      </c>
      <c r="P142" s="642">
        <f>P107+7</f>
        <v>46196</v>
      </c>
      <c r="Q142" s="643"/>
      <c r="R142" s="643"/>
      <c r="S142" s="643"/>
      <c r="T142" s="643"/>
      <c r="U142" s="639">
        <f>P142+1</f>
        <v>46197</v>
      </c>
      <c r="V142" s="640"/>
      <c r="W142" s="640"/>
      <c r="X142" s="640"/>
      <c r="Y142" s="641"/>
      <c r="Z142" s="639">
        <f>U142+1</f>
        <v>46198</v>
      </c>
      <c r="AA142" s="640"/>
      <c r="AB142" s="640"/>
      <c r="AC142" s="640"/>
      <c r="AD142" s="641"/>
      <c r="AE142" s="639">
        <f>Z142+1</f>
        <v>46199</v>
      </c>
      <c r="AF142" s="640"/>
      <c r="AG142" s="640"/>
      <c r="AH142" s="640"/>
      <c r="AI142" s="641"/>
      <c r="AJ142" s="639">
        <f>AE142+1</f>
        <v>46200</v>
      </c>
      <c r="AK142" s="640"/>
      <c r="AL142" s="640"/>
      <c r="AM142" s="640"/>
      <c r="AN142" s="641"/>
      <c r="AO142" s="639">
        <f>AJ142+1</f>
        <v>46201</v>
      </c>
      <c r="AP142" s="640"/>
      <c r="AQ142" s="640"/>
      <c r="AR142" s="640"/>
      <c r="AS142" s="641"/>
      <c r="AT142" s="639">
        <f>AO142+1</f>
        <v>46202</v>
      </c>
      <c r="AU142" s="640"/>
      <c r="AV142" s="640"/>
      <c r="AW142" s="640"/>
      <c r="AX142" s="641"/>
    </row>
    <row r="143" spans="2:53" ht="15.75">
      <c r="B143" s="650"/>
      <c r="C143" s="650"/>
      <c r="D143" s="650"/>
      <c r="E143" s="650"/>
      <c r="F143" s="650"/>
      <c r="G143" s="650"/>
      <c r="H143" s="650"/>
      <c r="I143" s="204"/>
      <c r="J143" s="204"/>
      <c r="K143" s="204"/>
      <c r="L143" s="204"/>
      <c r="M143" s="205"/>
      <c r="N143" s="638"/>
      <c r="O143" s="638"/>
      <c r="P143" s="642" t="s">
        <v>318</v>
      </c>
      <c r="Q143" s="643"/>
      <c r="R143" s="643"/>
      <c r="S143" s="643"/>
      <c r="T143" s="643"/>
      <c r="U143" s="642" t="s">
        <v>319</v>
      </c>
      <c r="V143" s="643"/>
      <c r="W143" s="643"/>
      <c r="X143" s="643"/>
      <c r="Y143" s="643"/>
      <c r="Z143" s="642" t="s">
        <v>320</v>
      </c>
      <c r="AA143" s="643"/>
      <c r="AB143" s="643"/>
      <c r="AC143" s="643"/>
      <c r="AD143" s="643"/>
      <c r="AE143" s="642" t="s">
        <v>321</v>
      </c>
      <c r="AF143" s="643"/>
      <c r="AG143" s="643"/>
      <c r="AH143" s="643"/>
      <c r="AI143" s="643"/>
      <c r="AJ143" s="642" t="s">
        <v>322</v>
      </c>
      <c r="AK143" s="643"/>
      <c r="AL143" s="643"/>
      <c r="AM143" s="643"/>
      <c r="AN143" s="643"/>
      <c r="AO143" s="642" t="s">
        <v>323</v>
      </c>
      <c r="AP143" s="643"/>
      <c r="AQ143" s="643"/>
      <c r="AR143" s="643"/>
      <c r="AS143" s="643"/>
      <c r="AT143" s="642" t="s">
        <v>324</v>
      </c>
      <c r="AU143" s="643"/>
      <c r="AV143" s="643"/>
      <c r="AW143" s="643"/>
      <c r="AX143" s="643"/>
    </row>
    <row r="144" spans="2:53">
      <c r="B144" s="635" t="s">
        <v>399</v>
      </c>
      <c r="C144" s="635" t="s">
        <v>400</v>
      </c>
      <c r="D144" s="635"/>
      <c r="E144" s="635" t="s">
        <v>401</v>
      </c>
      <c r="F144" s="635"/>
      <c r="G144" s="635"/>
      <c r="H144" s="651" t="s">
        <v>402</v>
      </c>
      <c r="I144" s="619" t="s">
        <v>403</v>
      </c>
      <c r="J144" s="619"/>
      <c r="K144" s="619"/>
      <c r="L144" s="620" t="s">
        <v>402</v>
      </c>
      <c r="M144" s="626" t="s">
        <v>404</v>
      </c>
      <c r="N144" s="635"/>
      <c r="O144" s="635" t="s">
        <v>405</v>
      </c>
      <c r="P144" s="632" t="s">
        <v>406</v>
      </c>
      <c r="Q144" s="633"/>
      <c r="R144" s="633"/>
      <c r="S144" s="634"/>
      <c r="T144" s="635" t="s">
        <v>402</v>
      </c>
      <c r="U144" s="632" t="s">
        <v>406</v>
      </c>
      <c r="V144" s="633"/>
      <c r="W144" s="633"/>
      <c r="X144" s="634"/>
      <c r="Y144" s="635" t="s">
        <v>402</v>
      </c>
      <c r="Z144" s="632" t="s">
        <v>406</v>
      </c>
      <c r="AA144" s="633"/>
      <c r="AB144" s="633"/>
      <c r="AC144" s="634"/>
      <c r="AD144" s="635" t="s">
        <v>402</v>
      </c>
      <c r="AE144" s="632" t="s">
        <v>406</v>
      </c>
      <c r="AF144" s="633"/>
      <c r="AG144" s="633"/>
      <c r="AH144" s="634"/>
      <c r="AI144" s="635" t="s">
        <v>402</v>
      </c>
      <c r="AJ144" s="632" t="s">
        <v>406</v>
      </c>
      <c r="AK144" s="633"/>
      <c r="AL144" s="633"/>
      <c r="AM144" s="634"/>
      <c r="AN144" s="635" t="s">
        <v>402</v>
      </c>
      <c r="AO144" s="632" t="s">
        <v>406</v>
      </c>
      <c r="AP144" s="633"/>
      <c r="AQ144" s="633"/>
      <c r="AR144" s="634"/>
      <c r="AS144" s="635" t="s">
        <v>402</v>
      </c>
      <c r="AT144" s="632" t="s">
        <v>406</v>
      </c>
      <c r="AU144" s="633"/>
      <c r="AV144" s="633"/>
      <c r="AW144" s="634"/>
      <c r="AX144" s="635" t="s">
        <v>402</v>
      </c>
      <c r="BA144" s="635" t="s">
        <v>371</v>
      </c>
    </row>
    <row r="145" spans="2:53">
      <c r="B145" s="635"/>
      <c r="C145" s="635"/>
      <c r="D145" s="635"/>
      <c r="E145" s="635" t="s">
        <v>407</v>
      </c>
      <c r="F145" s="635"/>
      <c r="G145" s="635"/>
      <c r="H145" s="652"/>
      <c r="I145" s="619" t="s">
        <v>407</v>
      </c>
      <c r="J145" s="619"/>
      <c r="K145" s="619"/>
      <c r="L145" s="621"/>
      <c r="M145" s="627"/>
      <c r="N145" s="635"/>
      <c r="O145" s="635"/>
      <c r="P145" s="632" t="s">
        <v>408</v>
      </c>
      <c r="Q145" s="633"/>
      <c r="R145" s="633"/>
      <c r="S145" s="634"/>
      <c r="T145" s="635"/>
      <c r="U145" s="632" t="s">
        <v>408</v>
      </c>
      <c r="V145" s="633"/>
      <c r="W145" s="633"/>
      <c r="X145" s="634"/>
      <c r="Y145" s="635"/>
      <c r="Z145" s="632" t="s">
        <v>408</v>
      </c>
      <c r="AA145" s="633"/>
      <c r="AB145" s="633"/>
      <c r="AC145" s="634"/>
      <c r="AD145" s="635"/>
      <c r="AE145" s="632" t="s">
        <v>408</v>
      </c>
      <c r="AF145" s="633"/>
      <c r="AG145" s="633"/>
      <c r="AH145" s="634"/>
      <c r="AI145" s="635"/>
      <c r="AJ145" s="632" t="s">
        <v>408</v>
      </c>
      <c r="AK145" s="633"/>
      <c r="AL145" s="633"/>
      <c r="AM145" s="634"/>
      <c r="AN145" s="635"/>
      <c r="AO145" s="632" t="s">
        <v>408</v>
      </c>
      <c r="AP145" s="633"/>
      <c r="AQ145" s="633"/>
      <c r="AR145" s="634"/>
      <c r="AS145" s="635"/>
      <c r="AT145" s="632" t="s">
        <v>408</v>
      </c>
      <c r="AU145" s="633"/>
      <c r="AV145" s="633"/>
      <c r="AW145" s="634"/>
      <c r="AX145" s="635"/>
      <c r="BA145" s="635"/>
    </row>
    <row r="146" spans="2:53">
      <c r="B146" s="635"/>
      <c r="C146" s="635"/>
      <c r="D146" s="635"/>
      <c r="E146" s="284" t="s">
        <v>409</v>
      </c>
      <c r="F146" s="284" t="s">
        <v>410</v>
      </c>
      <c r="G146" s="284" t="s">
        <v>411</v>
      </c>
      <c r="H146" s="653"/>
      <c r="I146" s="285" t="s">
        <v>409</v>
      </c>
      <c r="J146" s="285" t="s">
        <v>410</v>
      </c>
      <c r="K146" s="285" t="s">
        <v>411</v>
      </c>
      <c r="L146" s="622"/>
      <c r="M146" s="628"/>
      <c r="N146" s="635"/>
      <c r="O146" s="635"/>
      <c r="P146" s="284" t="s">
        <v>409</v>
      </c>
      <c r="Q146" s="284" t="s">
        <v>410</v>
      </c>
      <c r="R146" s="284" t="s">
        <v>411</v>
      </c>
      <c r="S146" s="284" t="s">
        <v>404</v>
      </c>
      <c r="T146" s="635"/>
      <c r="U146" s="284" t="s">
        <v>409</v>
      </c>
      <c r="V146" s="284" t="s">
        <v>410</v>
      </c>
      <c r="W146" s="284" t="s">
        <v>411</v>
      </c>
      <c r="X146" s="284" t="s">
        <v>404</v>
      </c>
      <c r="Y146" s="635"/>
      <c r="Z146" s="284" t="s">
        <v>409</v>
      </c>
      <c r="AA146" s="284" t="s">
        <v>410</v>
      </c>
      <c r="AB146" s="284" t="s">
        <v>411</v>
      </c>
      <c r="AC146" s="284" t="s">
        <v>404</v>
      </c>
      <c r="AD146" s="635"/>
      <c r="AE146" s="284" t="s">
        <v>409</v>
      </c>
      <c r="AF146" s="284" t="s">
        <v>410</v>
      </c>
      <c r="AG146" s="284" t="s">
        <v>411</v>
      </c>
      <c r="AH146" s="284" t="s">
        <v>404</v>
      </c>
      <c r="AI146" s="635"/>
      <c r="AJ146" s="284" t="s">
        <v>409</v>
      </c>
      <c r="AK146" s="284" t="s">
        <v>410</v>
      </c>
      <c r="AL146" s="284" t="s">
        <v>411</v>
      </c>
      <c r="AM146" s="284" t="s">
        <v>404</v>
      </c>
      <c r="AN146" s="635"/>
      <c r="AO146" s="284" t="s">
        <v>409</v>
      </c>
      <c r="AP146" s="284" t="s">
        <v>410</v>
      </c>
      <c r="AQ146" s="284" t="s">
        <v>411</v>
      </c>
      <c r="AR146" s="284" t="s">
        <v>404</v>
      </c>
      <c r="AS146" s="635"/>
      <c r="AT146" s="284" t="s">
        <v>409</v>
      </c>
      <c r="AU146" s="284" t="s">
        <v>410</v>
      </c>
      <c r="AV146" s="284" t="s">
        <v>411</v>
      </c>
      <c r="AW146" s="284" t="s">
        <v>404</v>
      </c>
      <c r="AX146" s="635"/>
      <c r="AZ146" s="403" t="s">
        <v>372</v>
      </c>
      <c r="BA146" s="635"/>
    </row>
    <row r="147" spans="2:53">
      <c r="B147" s="643" t="s">
        <v>150</v>
      </c>
      <c r="C147" s="283">
        <v>1</v>
      </c>
      <c r="D147" s="409" t="s">
        <v>337</v>
      </c>
      <c r="E147" s="409">
        <v>3</v>
      </c>
      <c r="F147" s="409">
        <v>3200</v>
      </c>
      <c r="G147" s="416">
        <v>1066.6666666666667</v>
      </c>
      <c r="H147" s="644">
        <f>AVERAGE(G147:G176)</f>
        <v>1066.6666666666667</v>
      </c>
      <c r="I147" s="391" t="str">
        <f>IFERROR(AVERAGE(P147,U147,Z147,AE147,AJ147,AO147,AT147),"-")</f>
        <v>-</v>
      </c>
      <c r="J147" s="391" t="str">
        <f>IFERROR(AVERAGE(Q147,V147,AA147,AF147,AK147,AP147,AU147),"-")</f>
        <v>-</v>
      </c>
      <c r="K147" s="199" t="str">
        <f>IFERROR(AVERAGE(R147,W147,AB147,AG147,AL147,AQ147,AV147),"-")</f>
        <v>-</v>
      </c>
      <c r="L147" s="616" t="str">
        <f>IFERROR(AVERAGE(K147:K176),"-")</f>
        <v>-</v>
      </c>
      <c r="M147" s="198" t="e">
        <f>RANK(K147, K$147:$K$176)</f>
        <v>#VALUE!</v>
      </c>
      <c r="N147" s="635"/>
      <c r="O147" s="635"/>
      <c r="P147" s="490"/>
      <c r="Q147" s="416"/>
      <c r="R147" s="416"/>
      <c r="S147" s="490"/>
      <c r="T147" s="644"/>
      <c r="U147" s="490"/>
      <c r="V147" s="416"/>
      <c r="W147" s="416"/>
      <c r="X147" s="490"/>
      <c r="Y147" s="644"/>
      <c r="Z147" s="490"/>
      <c r="AA147" s="416"/>
      <c r="AB147" s="416"/>
      <c r="AC147" s="490"/>
      <c r="AD147" s="644"/>
      <c r="AE147" s="490"/>
      <c r="AF147" s="416"/>
      <c r="AG147" s="416"/>
      <c r="AH147" s="490"/>
      <c r="AI147" s="644"/>
      <c r="AJ147" s="490"/>
      <c r="AK147" s="416"/>
      <c r="AL147" s="416"/>
      <c r="AM147" s="490"/>
      <c r="AN147" s="644"/>
      <c r="AO147" s="490"/>
      <c r="AP147" s="416"/>
      <c r="AQ147" s="416"/>
      <c r="AR147" s="490"/>
      <c r="AS147" s="644"/>
      <c r="AT147" s="490"/>
      <c r="AU147" s="416"/>
      <c r="AV147" s="416"/>
      <c r="AW147" s="490"/>
      <c r="AX147" s="644"/>
      <c r="AZ147" s="402" t="e">
        <f t="shared" ref="AZ147:AZ176" si="54">RANK(AY147, AY$147:AY$176)</f>
        <v>#N/A</v>
      </c>
      <c r="BA147" s="644" t="e">
        <f t="shared" ref="BA147" si="55">AVERAGE(AY147:AY176)</f>
        <v>#DIV/0!</v>
      </c>
    </row>
    <row r="148" spans="2:53">
      <c r="B148" s="643"/>
      <c r="C148" s="283">
        <v>2</v>
      </c>
      <c r="D148" s="408"/>
      <c r="E148" s="409"/>
      <c r="F148" s="409"/>
      <c r="G148" s="416"/>
      <c r="H148" s="645"/>
      <c r="I148" s="391" t="str">
        <f t="shared" ref="I148:I176" si="56">IFERROR(AVERAGE(P148,U148,Z148,AE148,AJ148,AO148,AT148),"-")</f>
        <v>-</v>
      </c>
      <c r="J148" s="391" t="str">
        <f t="shared" ref="J148:J176" si="57">IFERROR(AVERAGE(Q148,V148,AA148,AF148,AK148,AP148,AU148),"-")</f>
        <v>-</v>
      </c>
      <c r="K148" s="199" t="str">
        <f t="shared" ref="K148:K176" si="58">IFERROR(AVERAGE(R148,W148,AB148,AG148,AL148,AQ148,AV148),"-")</f>
        <v>-</v>
      </c>
      <c r="L148" s="617"/>
      <c r="M148" s="198" t="e">
        <f>RANK(K148, K$147:$K$176)</f>
        <v>#VALUE!</v>
      </c>
      <c r="N148" s="635"/>
      <c r="O148" s="635"/>
      <c r="P148" s="490"/>
      <c r="Q148" s="416"/>
      <c r="R148" s="416"/>
      <c r="S148" s="490"/>
      <c r="T148" s="645"/>
      <c r="U148" s="490"/>
      <c r="V148" s="416"/>
      <c r="W148" s="416"/>
      <c r="X148" s="490"/>
      <c r="Y148" s="645"/>
      <c r="Z148" s="490"/>
      <c r="AA148" s="416"/>
      <c r="AB148" s="416"/>
      <c r="AC148" s="490"/>
      <c r="AD148" s="645"/>
      <c r="AE148" s="490"/>
      <c r="AF148" s="416"/>
      <c r="AG148" s="416"/>
      <c r="AH148" s="490"/>
      <c r="AI148" s="645"/>
      <c r="AJ148" s="490"/>
      <c r="AK148" s="416"/>
      <c r="AL148" s="416"/>
      <c r="AM148" s="490"/>
      <c r="AN148" s="645"/>
      <c r="AO148" s="490"/>
      <c r="AP148" s="416"/>
      <c r="AQ148" s="416"/>
      <c r="AR148" s="490"/>
      <c r="AS148" s="645"/>
      <c r="AT148" s="490"/>
      <c r="AU148" s="416"/>
      <c r="AV148" s="416"/>
      <c r="AW148" s="490"/>
      <c r="AX148" s="645"/>
      <c r="AZ148" s="402" t="e">
        <f t="shared" si="54"/>
        <v>#N/A</v>
      </c>
      <c r="BA148" s="645"/>
    </row>
    <row r="149" spans="2:53">
      <c r="B149" s="643"/>
      <c r="C149" s="283">
        <v>3</v>
      </c>
      <c r="D149" s="409"/>
      <c r="E149" s="409"/>
      <c r="F149" s="409"/>
      <c r="G149" s="416"/>
      <c r="H149" s="645"/>
      <c r="I149" s="391" t="str">
        <f t="shared" si="56"/>
        <v>-</v>
      </c>
      <c r="J149" s="391" t="str">
        <f t="shared" si="57"/>
        <v>-</v>
      </c>
      <c r="K149" s="199" t="str">
        <f t="shared" si="58"/>
        <v>-</v>
      </c>
      <c r="L149" s="617"/>
      <c r="M149" s="198" t="e">
        <f>RANK(K149, K$147:$K$176)</f>
        <v>#VALUE!</v>
      </c>
      <c r="N149" s="635"/>
      <c r="O149" s="635"/>
      <c r="P149" s="490"/>
      <c r="Q149" s="416"/>
      <c r="R149" s="416"/>
      <c r="S149" s="490"/>
      <c r="T149" s="645"/>
      <c r="U149" s="490"/>
      <c r="V149" s="416"/>
      <c r="W149" s="416"/>
      <c r="X149" s="490"/>
      <c r="Y149" s="645"/>
      <c r="Z149" s="490"/>
      <c r="AA149" s="416"/>
      <c r="AB149" s="416"/>
      <c r="AC149" s="490"/>
      <c r="AD149" s="645"/>
      <c r="AE149" s="490"/>
      <c r="AF149" s="416"/>
      <c r="AG149" s="416"/>
      <c r="AH149" s="490"/>
      <c r="AI149" s="645"/>
      <c r="AJ149" s="490"/>
      <c r="AK149" s="416"/>
      <c r="AL149" s="416"/>
      <c r="AM149" s="490"/>
      <c r="AN149" s="645"/>
      <c r="AO149" s="490"/>
      <c r="AP149" s="416"/>
      <c r="AQ149" s="416"/>
      <c r="AR149" s="490"/>
      <c r="AS149" s="645"/>
      <c r="AT149" s="490"/>
      <c r="AU149" s="416"/>
      <c r="AV149" s="416"/>
      <c r="AW149" s="490"/>
      <c r="AX149" s="645"/>
      <c r="AZ149" s="402" t="e">
        <f t="shared" si="54"/>
        <v>#N/A</v>
      </c>
      <c r="BA149" s="645"/>
    </row>
    <row r="150" spans="2:53">
      <c r="B150" s="643"/>
      <c r="C150" s="283">
        <v>4</v>
      </c>
      <c r="D150" s="409"/>
      <c r="E150" s="409"/>
      <c r="F150" s="409"/>
      <c r="G150" s="416"/>
      <c r="H150" s="645"/>
      <c r="I150" s="391" t="str">
        <f t="shared" si="56"/>
        <v>-</v>
      </c>
      <c r="J150" s="391" t="str">
        <f t="shared" si="57"/>
        <v>-</v>
      </c>
      <c r="K150" s="199" t="str">
        <f t="shared" si="58"/>
        <v>-</v>
      </c>
      <c r="L150" s="617"/>
      <c r="M150" s="198" t="e">
        <f>RANK(K150, K$147:$K$176)</f>
        <v>#VALUE!</v>
      </c>
      <c r="N150" s="635"/>
      <c r="O150" s="635"/>
      <c r="P150" s="490"/>
      <c r="Q150" s="416"/>
      <c r="R150" s="416"/>
      <c r="S150" s="490"/>
      <c r="T150" s="645"/>
      <c r="U150" s="490"/>
      <c r="V150" s="416"/>
      <c r="W150" s="416"/>
      <c r="X150" s="490"/>
      <c r="Y150" s="645"/>
      <c r="Z150" s="490"/>
      <c r="AA150" s="416"/>
      <c r="AB150" s="416"/>
      <c r="AC150" s="490"/>
      <c r="AD150" s="645"/>
      <c r="AE150" s="490"/>
      <c r="AF150" s="416"/>
      <c r="AG150" s="416"/>
      <c r="AH150" s="490"/>
      <c r="AI150" s="645"/>
      <c r="AJ150" s="490"/>
      <c r="AK150" s="416"/>
      <c r="AL150" s="416"/>
      <c r="AM150" s="490"/>
      <c r="AN150" s="645"/>
      <c r="AO150" s="490"/>
      <c r="AP150" s="416"/>
      <c r="AQ150" s="416"/>
      <c r="AR150" s="490"/>
      <c r="AS150" s="645"/>
      <c r="AT150" s="490"/>
      <c r="AU150" s="416"/>
      <c r="AV150" s="416"/>
      <c r="AW150" s="490"/>
      <c r="AX150" s="645"/>
      <c r="AZ150" s="402" t="e">
        <f t="shared" si="54"/>
        <v>#N/A</v>
      </c>
      <c r="BA150" s="645"/>
    </row>
    <row r="151" spans="2:53">
      <c r="B151" s="643"/>
      <c r="C151" s="283">
        <v>5</v>
      </c>
      <c r="D151" s="409"/>
      <c r="E151" s="409"/>
      <c r="F151" s="409"/>
      <c r="G151" s="416"/>
      <c r="H151" s="645"/>
      <c r="I151" s="391" t="str">
        <f t="shared" si="56"/>
        <v>-</v>
      </c>
      <c r="J151" s="391" t="str">
        <f t="shared" si="57"/>
        <v>-</v>
      </c>
      <c r="K151" s="199" t="str">
        <f t="shared" si="58"/>
        <v>-</v>
      </c>
      <c r="L151" s="617"/>
      <c r="M151" s="198" t="e">
        <f>RANK(K151, K$147:$K$176)</f>
        <v>#VALUE!</v>
      </c>
      <c r="N151" s="635"/>
      <c r="O151" s="635"/>
      <c r="P151" s="490"/>
      <c r="Q151" s="416"/>
      <c r="R151" s="416"/>
      <c r="S151" s="490"/>
      <c r="T151" s="645"/>
      <c r="U151" s="490"/>
      <c r="V151" s="416"/>
      <c r="W151" s="416"/>
      <c r="X151" s="490"/>
      <c r="Y151" s="645"/>
      <c r="Z151" s="490"/>
      <c r="AA151" s="416"/>
      <c r="AB151" s="416"/>
      <c r="AC151" s="490"/>
      <c r="AD151" s="645"/>
      <c r="AE151" s="490"/>
      <c r="AF151" s="416"/>
      <c r="AG151" s="416"/>
      <c r="AH151" s="490"/>
      <c r="AI151" s="645"/>
      <c r="AJ151" s="490"/>
      <c r="AK151" s="416"/>
      <c r="AL151" s="416"/>
      <c r="AM151" s="490"/>
      <c r="AN151" s="645"/>
      <c r="AO151" s="490"/>
      <c r="AP151" s="416"/>
      <c r="AQ151" s="416"/>
      <c r="AR151" s="490"/>
      <c r="AS151" s="645"/>
      <c r="AT151" s="490"/>
      <c r="AU151" s="416"/>
      <c r="AV151" s="416"/>
      <c r="AW151" s="490"/>
      <c r="AX151" s="645"/>
      <c r="AZ151" s="402" t="e">
        <f t="shared" si="54"/>
        <v>#N/A</v>
      </c>
      <c r="BA151" s="645"/>
    </row>
    <row r="152" spans="2:53">
      <c r="B152" s="643"/>
      <c r="C152" s="283">
        <v>6</v>
      </c>
      <c r="D152" s="409"/>
      <c r="E152" s="409"/>
      <c r="F152" s="409"/>
      <c r="G152" s="416"/>
      <c r="H152" s="645"/>
      <c r="I152" s="391" t="str">
        <f t="shared" si="56"/>
        <v>-</v>
      </c>
      <c r="J152" s="391" t="str">
        <f t="shared" si="57"/>
        <v>-</v>
      </c>
      <c r="K152" s="199" t="str">
        <f t="shared" si="58"/>
        <v>-</v>
      </c>
      <c r="L152" s="617"/>
      <c r="M152" s="198" t="e">
        <f>RANK(K152, K$147:$K$176)</f>
        <v>#VALUE!</v>
      </c>
      <c r="N152" s="635"/>
      <c r="O152" s="635"/>
      <c r="P152" s="490"/>
      <c r="Q152" s="416"/>
      <c r="R152" s="416"/>
      <c r="S152" s="490"/>
      <c r="T152" s="645"/>
      <c r="U152" s="490"/>
      <c r="V152" s="416"/>
      <c r="W152" s="416"/>
      <c r="X152" s="490"/>
      <c r="Y152" s="645"/>
      <c r="Z152" s="490"/>
      <c r="AA152" s="416"/>
      <c r="AB152" s="416"/>
      <c r="AC152" s="490"/>
      <c r="AD152" s="645"/>
      <c r="AE152" s="490"/>
      <c r="AF152" s="416"/>
      <c r="AG152" s="416"/>
      <c r="AH152" s="490"/>
      <c r="AI152" s="645"/>
      <c r="AJ152" s="490"/>
      <c r="AK152" s="416"/>
      <c r="AL152" s="416"/>
      <c r="AM152" s="490"/>
      <c r="AN152" s="645"/>
      <c r="AO152" s="490"/>
      <c r="AP152" s="416"/>
      <c r="AQ152" s="416"/>
      <c r="AR152" s="490"/>
      <c r="AS152" s="645"/>
      <c r="AT152" s="490"/>
      <c r="AU152" s="416"/>
      <c r="AV152" s="416"/>
      <c r="AW152" s="490"/>
      <c r="AX152" s="645"/>
      <c r="AZ152" s="402" t="e">
        <f t="shared" si="54"/>
        <v>#N/A</v>
      </c>
      <c r="BA152" s="645"/>
    </row>
    <row r="153" spans="2:53">
      <c r="B153" s="643"/>
      <c r="C153" s="283">
        <v>7</v>
      </c>
      <c r="D153" s="409"/>
      <c r="E153" s="409"/>
      <c r="F153" s="409"/>
      <c r="G153" s="416"/>
      <c r="H153" s="645"/>
      <c r="I153" s="391" t="str">
        <f t="shared" si="56"/>
        <v>-</v>
      </c>
      <c r="J153" s="391" t="str">
        <f t="shared" si="57"/>
        <v>-</v>
      </c>
      <c r="K153" s="199" t="str">
        <f t="shared" si="58"/>
        <v>-</v>
      </c>
      <c r="L153" s="617"/>
      <c r="M153" s="198" t="e">
        <f>RANK(K153, K$147:$K$176)</f>
        <v>#VALUE!</v>
      </c>
      <c r="N153" s="635"/>
      <c r="O153" s="635"/>
      <c r="P153" s="490"/>
      <c r="Q153" s="416"/>
      <c r="R153" s="416"/>
      <c r="S153" s="490"/>
      <c r="T153" s="645"/>
      <c r="U153" s="490"/>
      <c r="V153" s="416"/>
      <c r="W153" s="416"/>
      <c r="X153" s="490"/>
      <c r="Y153" s="645"/>
      <c r="Z153" s="490"/>
      <c r="AA153" s="416"/>
      <c r="AB153" s="416"/>
      <c r="AC153" s="490"/>
      <c r="AD153" s="645"/>
      <c r="AE153" s="490"/>
      <c r="AF153" s="416"/>
      <c r="AG153" s="416"/>
      <c r="AH153" s="490"/>
      <c r="AI153" s="645"/>
      <c r="AJ153" s="490"/>
      <c r="AK153" s="416"/>
      <c r="AL153" s="416"/>
      <c r="AM153" s="490"/>
      <c r="AN153" s="645"/>
      <c r="AO153" s="490"/>
      <c r="AP153" s="416"/>
      <c r="AQ153" s="416"/>
      <c r="AR153" s="490"/>
      <c r="AS153" s="645"/>
      <c r="AT153" s="490"/>
      <c r="AU153" s="416"/>
      <c r="AV153" s="416"/>
      <c r="AW153" s="490"/>
      <c r="AX153" s="645"/>
      <c r="AZ153" s="402" t="e">
        <f t="shared" si="54"/>
        <v>#N/A</v>
      </c>
      <c r="BA153" s="645"/>
    </row>
    <row r="154" spans="2:53">
      <c r="B154" s="643"/>
      <c r="C154" s="283">
        <v>8</v>
      </c>
      <c r="D154" s="409"/>
      <c r="E154" s="409"/>
      <c r="F154" s="409"/>
      <c r="G154" s="416"/>
      <c r="H154" s="645"/>
      <c r="I154" s="391" t="str">
        <f t="shared" si="56"/>
        <v>-</v>
      </c>
      <c r="J154" s="391" t="str">
        <f t="shared" si="57"/>
        <v>-</v>
      </c>
      <c r="K154" s="199" t="str">
        <f t="shared" si="58"/>
        <v>-</v>
      </c>
      <c r="L154" s="617"/>
      <c r="M154" s="198" t="e">
        <f>RANK(K154, K$147:$K$176)</f>
        <v>#VALUE!</v>
      </c>
      <c r="N154" s="635"/>
      <c r="O154" s="635"/>
      <c r="P154" s="490"/>
      <c r="Q154" s="416"/>
      <c r="R154" s="416"/>
      <c r="S154" s="490"/>
      <c r="T154" s="645"/>
      <c r="U154" s="490"/>
      <c r="V154" s="416"/>
      <c r="W154" s="416"/>
      <c r="X154" s="490"/>
      <c r="Y154" s="645"/>
      <c r="Z154" s="490"/>
      <c r="AA154" s="416"/>
      <c r="AB154" s="416"/>
      <c r="AC154" s="490"/>
      <c r="AD154" s="645"/>
      <c r="AE154" s="490"/>
      <c r="AF154" s="416"/>
      <c r="AG154" s="416"/>
      <c r="AH154" s="490"/>
      <c r="AI154" s="645"/>
      <c r="AJ154" s="490"/>
      <c r="AK154" s="416"/>
      <c r="AL154" s="416"/>
      <c r="AM154" s="490"/>
      <c r="AN154" s="645"/>
      <c r="AO154" s="490"/>
      <c r="AP154" s="416"/>
      <c r="AQ154" s="416"/>
      <c r="AR154" s="490"/>
      <c r="AS154" s="645"/>
      <c r="AT154" s="490"/>
      <c r="AU154" s="416"/>
      <c r="AV154" s="416"/>
      <c r="AW154" s="490"/>
      <c r="AX154" s="645"/>
      <c r="AZ154" s="402" t="e">
        <f t="shared" si="54"/>
        <v>#N/A</v>
      </c>
      <c r="BA154" s="645"/>
    </row>
    <row r="155" spans="2:53">
      <c r="B155" s="643"/>
      <c r="C155" s="283">
        <v>9</v>
      </c>
      <c r="D155" s="409"/>
      <c r="E155" s="409"/>
      <c r="F155" s="409"/>
      <c r="G155" s="416"/>
      <c r="H155" s="645"/>
      <c r="I155" s="391" t="str">
        <f t="shared" si="56"/>
        <v>-</v>
      </c>
      <c r="J155" s="391" t="str">
        <f t="shared" si="57"/>
        <v>-</v>
      </c>
      <c r="K155" s="199" t="str">
        <f t="shared" si="58"/>
        <v>-</v>
      </c>
      <c r="L155" s="617"/>
      <c r="M155" s="198" t="e">
        <f>RANK(K155, K$147:$K$176)</f>
        <v>#VALUE!</v>
      </c>
      <c r="N155" s="635"/>
      <c r="O155" s="635"/>
      <c r="P155" s="490"/>
      <c r="Q155" s="416"/>
      <c r="R155" s="416"/>
      <c r="S155" s="490"/>
      <c r="T155" s="645"/>
      <c r="U155" s="490"/>
      <c r="V155" s="416"/>
      <c r="W155" s="416"/>
      <c r="X155" s="490"/>
      <c r="Y155" s="645"/>
      <c r="Z155" s="490"/>
      <c r="AA155" s="416"/>
      <c r="AB155" s="416"/>
      <c r="AC155" s="490"/>
      <c r="AD155" s="645"/>
      <c r="AE155" s="490"/>
      <c r="AF155" s="416"/>
      <c r="AG155" s="416"/>
      <c r="AH155" s="490"/>
      <c r="AI155" s="645"/>
      <c r="AJ155" s="490"/>
      <c r="AK155" s="416"/>
      <c r="AL155" s="416"/>
      <c r="AM155" s="490"/>
      <c r="AN155" s="645"/>
      <c r="AO155" s="490"/>
      <c r="AP155" s="416"/>
      <c r="AQ155" s="416"/>
      <c r="AR155" s="490"/>
      <c r="AS155" s="645"/>
      <c r="AT155" s="490"/>
      <c r="AU155" s="416"/>
      <c r="AV155" s="416"/>
      <c r="AW155" s="490"/>
      <c r="AX155" s="645"/>
      <c r="AZ155" s="402" t="e">
        <f t="shared" si="54"/>
        <v>#N/A</v>
      </c>
      <c r="BA155" s="645"/>
    </row>
    <row r="156" spans="2:53">
      <c r="B156" s="643"/>
      <c r="C156" s="283">
        <v>10</v>
      </c>
      <c r="D156" s="409"/>
      <c r="E156" s="409"/>
      <c r="F156" s="409"/>
      <c r="G156" s="416"/>
      <c r="H156" s="645"/>
      <c r="I156" s="391" t="str">
        <f t="shared" si="56"/>
        <v>-</v>
      </c>
      <c r="J156" s="391" t="str">
        <f t="shared" si="57"/>
        <v>-</v>
      </c>
      <c r="K156" s="199" t="str">
        <f t="shared" si="58"/>
        <v>-</v>
      </c>
      <c r="L156" s="617"/>
      <c r="M156" s="198" t="e">
        <f>RANK(K156, K$147:$K$176)</f>
        <v>#VALUE!</v>
      </c>
      <c r="N156" s="635"/>
      <c r="O156" s="635"/>
      <c r="P156" s="490"/>
      <c r="Q156" s="416"/>
      <c r="R156" s="416"/>
      <c r="S156" s="490"/>
      <c r="T156" s="645"/>
      <c r="U156" s="490"/>
      <c r="V156" s="416"/>
      <c r="W156" s="416"/>
      <c r="X156" s="490"/>
      <c r="Y156" s="645"/>
      <c r="Z156" s="490"/>
      <c r="AA156" s="416"/>
      <c r="AB156" s="416"/>
      <c r="AC156" s="490"/>
      <c r="AD156" s="645"/>
      <c r="AE156" s="490"/>
      <c r="AF156" s="416"/>
      <c r="AG156" s="416"/>
      <c r="AH156" s="490"/>
      <c r="AI156" s="645"/>
      <c r="AJ156" s="490"/>
      <c r="AK156" s="416"/>
      <c r="AL156" s="416"/>
      <c r="AM156" s="490"/>
      <c r="AN156" s="645"/>
      <c r="AO156" s="490"/>
      <c r="AP156" s="416"/>
      <c r="AQ156" s="416"/>
      <c r="AR156" s="490"/>
      <c r="AS156" s="645"/>
      <c r="AT156" s="490"/>
      <c r="AU156" s="416"/>
      <c r="AV156" s="416"/>
      <c r="AW156" s="490"/>
      <c r="AX156" s="645"/>
      <c r="AZ156" s="402" t="e">
        <f t="shared" si="54"/>
        <v>#N/A</v>
      </c>
      <c r="BA156" s="645"/>
    </row>
    <row r="157" spans="2:53">
      <c r="B157" s="643"/>
      <c r="C157" s="283">
        <v>11</v>
      </c>
      <c r="D157" s="409"/>
      <c r="E157" s="409"/>
      <c r="F157" s="409"/>
      <c r="G157" s="416"/>
      <c r="H157" s="645"/>
      <c r="I157" s="391" t="str">
        <f t="shared" si="56"/>
        <v>-</v>
      </c>
      <c r="J157" s="391" t="str">
        <f t="shared" si="57"/>
        <v>-</v>
      </c>
      <c r="K157" s="199" t="str">
        <f t="shared" si="58"/>
        <v>-</v>
      </c>
      <c r="L157" s="617"/>
      <c r="M157" s="198" t="e">
        <f>RANK(K157, K$147:$K$176)</f>
        <v>#VALUE!</v>
      </c>
      <c r="N157" s="635"/>
      <c r="O157" s="635"/>
      <c r="P157" s="490"/>
      <c r="Q157" s="416"/>
      <c r="R157" s="416"/>
      <c r="S157" s="490"/>
      <c r="T157" s="645"/>
      <c r="U157" s="490"/>
      <c r="V157" s="416"/>
      <c r="W157" s="416"/>
      <c r="X157" s="490"/>
      <c r="Y157" s="645"/>
      <c r="Z157" s="490"/>
      <c r="AA157" s="416"/>
      <c r="AB157" s="416"/>
      <c r="AC157" s="490"/>
      <c r="AD157" s="645"/>
      <c r="AE157" s="490"/>
      <c r="AF157" s="416"/>
      <c r="AG157" s="416"/>
      <c r="AH157" s="490"/>
      <c r="AI157" s="645"/>
      <c r="AJ157" s="490"/>
      <c r="AK157" s="416"/>
      <c r="AL157" s="416"/>
      <c r="AM157" s="490"/>
      <c r="AN157" s="645"/>
      <c r="AO157" s="490"/>
      <c r="AP157" s="416"/>
      <c r="AQ157" s="416"/>
      <c r="AR157" s="490"/>
      <c r="AS157" s="645"/>
      <c r="AT157" s="490"/>
      <c r="AU157" s="416"/>
      <c r="AV157" s="416"/>
      <c r="AW157" s="490"/>
      <c r="AX157" s="645"/>
      <c r="AZ157" s="402" t="e">
        <f t="shared" si="54"/>
        <v>#N/A</v>
      </c>
      <c r="BA157" s="645"/>
    </row>
    <row r="158" spans="2:53">
      <c r="B158" s="643"/>
      <c r="C158" s="283">
        <v>12</v>
      </c>
      <c r="D158" s="409"/>
      <c r="E158" s="409"/>
      <c r="F158" s="409"/>
      <c r="G158" s="416"/>
      <c r="H158" s="645"/>
      <c r="I158" s="391" t="str">
        <f t="shared" si="56"/>
        <v>-</v>
      </c>
      <c r="J158" s="391" t="str">
        <f t="shared" si="57"/>
        <v>-</v>
      </c>
      <c r="K158" s="199" t="str">
        <f t="shared" si="58"/>
        <v>-</v>
      </c>
      <c r="L158" s="617"/>
      <c r="M158" s="198" t="e">
        <f>RANK(K158, K$147:$K$176)</f>
        <v>#VALUE!</v>
      </c>
      <c r="N158" s="635"/>
      <c r="O158" s="635"/>
      <c r="P158" s="490"/>
      <c r="Q158" s="416"/>
      <c r="R158" s="416"/>
      <c r="S158" s="490"/>
      <c r="T158" s="645"/>
      <c r="U158" s="490"/>
      <c r="V158" s="416"/>
      <c r="W158" s="416"/>
      <c r="X158" s="490"/>
      <c r="Y158" s="645"/>
      <c r="Z158" s="490"/>
      <c r="AA158" s="416"/>
      <c r="AB158" s="416"/>
      <c r="AC158" s="490"/>
      <c r="AD158" s="645"/>
      <c r="AE158" s="490"/>
      <c r="AF158" s="416"/>
      <c r="AG158" s="416"/>
      <c r="AH158" s="490"/>
      <c r="AI158" s="645"/>
      <c r="AJ158" s="490"/>
      <c r="AK158" s="416"/>
      <c r="AL158" s="416"/>
      <c r="AM158" s="490"/>
      <c r="AN158" s="645"/>
      <c r="AO158" s="490"/>
      <c r="AP158" s="416"/>
      <c r="AQ158" s="416"/>
      <c r="AR158" s="490"/>
      <c r="AS158" s="645"/>
      <c r="AT158" s="490"/>
      <c r="AU158" s="416"/>
      <c r="AV158" s="416"/>
      <c r="AW158" s="490"/>
      <c r="AX158" s="645"/>
      <c r="AZ158" s="402" t="e">
        <f t="shared" si="54"/>
        <v>#N/A</v>
      </c>
      <c r="BA158" s="645"/>
    </row>
    <row r="159" spans="2:53">
      <c r="B159" s="643"/>
      <c r="C159" s="283">
        <v>13</v>
      </c>
      <c r="D159" s="409"/>
      <c r="E159" s="409"/>
      <c r="F159" s="409"/>
      <c r="G159" s="416"/>
      <c r="H159" s="645"/>
      <c r="I159" s="391" t="str">
        <f t="shared" si="56"/>
        <v>-</v>
      </c>
      <c r="J159" s="391" t="str">
        <f t="shared" si="57"/>
        <v>-</v>
      </c>
      <c r="K159" s="199" t="str">
        <f t="shared" si="58"/>
        <v>-</v>
      </c>
      <c r="L159" s="617"/>
      <c r="M159" s="198" t="e">
        <f>RANK(K159, K$147:$K$176)</f>
        <v>#VALUE!</v>
      </c>
      <c r="N159" s="635"/>
      <c r="O159" s="635"/>
      <c r="P159" s="490"/>
      <c r="Q159" s="416"/>
      <c r="R159" s="416"/>
      <c r="S159" s="490"/>
      <c r="T159" s="645"/>
      <c r="U159" s="490"/>
      <c r="V159" s="416"/>
      <c r="W159" s="416"/>
      <c r="X159" s="490"/>
      <c r="Y159" s="645"/>
      <c r="Z159" s="490"/>
      <c r="AA159" s="416"/>
      <c r="AB159" s="416"/>
      <c r="AC159" s="490"/>
      <c r="AD159" s="645"/>
      <c r="AE159" s="490"/>
      <c r="AF159" s="416"/>
      <c r="AG159" s="416"/>
      <c r="AH159" s="490"/>
      <c r="AI159" s="645"/>
      <c r="AJ159" s="490"/>
      <c r="AK159" s="416"/>
      <c r="AL159" s="416"/>
      <c r="AM159" s="490"/>
      <c r="AN159" s="645"/>
      <c r="AO159" s="490"/>
      <c r="AP159" s="416"/>
      <c r="AQ159" s="416"/>
      <c r="AR159" s="490"/>
      <c r="AS159" s="645"/>
      <c r="AT159" s="490"/>
      <c r="AU159" s="416"/>
      <c r="AV159" s="416"/>
      <c r="AW159" s="490"/>
      <c r="AX159" s="645"/>
      <c r="AZ159" s="402" t="e">
        <f t="shared" si="54"/>
        <v>#N/A</v>
      </c>
      <c r="BA159" s="645"/>
    </row>
    <row r="160" spans="2:53">
      <c r="B160" s="643"/>
      <c r="C160" s="283">
        <v>14</v>
      </c>
      <c r="D160" s="409"/>
      <c r="E160" s="409"/>
      <c r="F160" s="409"/>
      <c r="G160" s="416"/>
      <c r="H160" s="645"/>
      <c r="I160" s="391" t="str">
        <f t="shared" si="56"/>
        <v>-</v>
      </c>
      <c r="J160" s="391" t="str">
        <f t="shared" si="57"/>
        <v>-</v>
      </c>
      <c r="K160" s="199" t="str">
        <f t="shared" si="58"/>
        <v>-</v>
      </c>
      <c r="L160" s="617"/>
      <c r="M160" s="198" t="e">
        <f>RANK(K160, K$147:$K$176)</f>
        <v>#VALUE!</v>
      </c>
      <c r="N160" s="635"/>
      <c r="O160" s="635"/>
      <c r="P160" s="490"/>
      <c r="Q160" s="416"/>
      <c r="R160" s="416"/>
      <c r="S160" s="490"/>
      <c r="T160" s="645"/>
      <c r="U160" s="490"/>
      <c r="V160" s="416"/>
      <c r="W160" s="416"/>
      <c r="X160" s="490"/>
      <c r="Y160" s="645"/>
      <c r="Z160" s="490"/>
      <c r="AA160" s="416"/>
      <c r="AB160" s="416"/>
      <c r="AC160" s="490"/>
      <c r="AD160" s="645"/>
      <c r="AE160" s="490"/>
      <c r="AF160" s="416"/>
      <c r="AG160" s="416"/>
      <c r="AH160" s="490"/>
      <c r="AI160" s="645"/>
      <c r="AJ160" s="490"/>
      <c r="AK160" s="416"/>
      <c r="AL160" s="416"/>
      <c r="AM160" s="490"/>
      <c r="AN160" s="645"/>
      <c r="AO160" s="490"/>
      <c r="AP160" s="416"/>
      <c r="AQ160" s="416"/>
      <c r="AR160" s="490"/>
      <c r="AS160" s="645"/>
      <c r="AT160" s="490"/>
      <c r="AU160" s="416"/>
      <c r="AV160" s="416"/>
      <c r="AW160" s="490"/>
      <c r="AX160" s="645"/>
      <c r="AZ160" s="402" t="e">
        <f t="shared" si="54"/>
        <v>#N/A</v>
      </c>
      <c r="BA160" s="645"/>
    </row>
    <row r="161" spans="2:53">
      <c r="B161" s="643"/>
      <c r="C161" s="283">
        <v>15</v>
      </c>
      <c r="D161" s="409"/>
      <c r="E161" s="409"/>
      <c r="F161" s="409"/>
      <c r="G161" s="416"/>
      <c r="H161" s="645"/>
      <c r="I161" s="391" t="str">
        <f t="shared" si="56"/>
        <v>-</v>
      </c>
      <c r="J161" s="391" t="str">
        <f t="shared" si="57"/>
        <v>-</v>
      </c>
      <c r="K161" s="199" t="str">
        <f t="shared" si="58"/>
        <v>-</v>
      </c>
      <c r="L161" s="617"/>
      <c r="M161" s="198" t="e">
        <f>RANK(K161, K$147:$K$176)</f>
        <v>#VALUE!</v>
      </c>
      <c r="N161" s="635"/>
      <c r="O161" s="635"/>
      <c r="P161" s="490"/>
      <c r="Q161" s="416"/>
      <c r="R161" s="416"/>
      <c r="S161" s="490"/>
      <c r="T161" s="645"/>
      <c r="U161" s="490"/>
      <c r="V161" s="416"/>
      <c r="W161" s="416"/>
      <c r="X161" s="490"/>
      <c r="Y161" s="645"/>
      <c r="Z161" s="490"/>
      <c r="AA161" s="416"/>
      <c r="AB161" s="416"/>
      <c r="AC161" s="490"/>
      <c r="AD161" s="645"/>
      <c r="AE161" s="490"/>
      <c r="AF161" s="416"/>
      <c r="AG161" s="416"/>
      <c r="AH161" s="490"/>
      <c r="AI161" s="645"/>
      <c r="AJ161" s="490"/>
      <c r="AK161" s="416"/>
      <c r="AL161" s="416"/>
      <c r="AM161" s="490"/>
      <c r="AN161" s="645"/>
      <c r="AO161" s="490"/>
      <c r="AP161" s="416"/>
      <c r="AQ161" s="416"/>
      <c r="AR161" s="490"/>
      <c r="AS161" s="645"/>
      <c r="AT161" s="490"/>
      <c r="AU161" s="416"/>
      <c r="AV161" s="416"/>
      <c r="AW161" s="490"/>
      <c r="AX161" s="645"/>
      <c r="AZ161" s="402" t="e">
        <f t="shared" si="54"/>
        <v>#N/A</v>
      </c>
      <c r="BA161" s="645"/>
    </row>
    <row r="162" spans="2:53">
      <c r="B162" s="643"/>
      <c r="C162" s="283">
        <v>16</v>
      </c>
      <c r="D162" s="409"/>
      <c r="E162" s="409"/>
      <c r="F162" s="409"/>
      <c r="G162" s="416"/>
      <c r="H162" s="645"/>
      <c r="I162" s="391" t="str">
        <f t="shared" si="56"/>
        <v>-</v>
      </c>
      <c r="J162" s="391" t="str">
        <f t="shared" si="57"/>
        <v>-</v>
      </c>
      <c r="K162" s="199" t="str">
        <f t="shared" si="58"/>
        <v>-</v>
      </c>
      <c r="L162" s="617"/>
      <c r="M162" s="198" t="e">
        <f>RANK(K162, K$147:$K$176)</f>
        <v>#VALUE!</v>
      </c>
      <c r="N162" s="635"/>
      <c r="O162" s="635"/>
      <c r="P162" s="490"/>
      <c r="Q162" s="416"/>
      <c r="R162" s="416"/>
      <c r="S162" s="490"/>
      <c r="T162" s="645"/>
      <c r="U162" s="490"/>
      <c r="V162" s="416"/>
      <c r="W162" s="416"/>
      <c r="X162" s="490"/>
      <c r="Y162" s="645"/>
      <c r="Z162" s="490"/>
      <c r="AA162" s="416"/>
      <c r="AB162" s="416"/>
      <c r="AC162" s="490"/>
      <c r="AD162" s="645"/>
      <c r="AE162" s="490"/>
      <c r="AF162" s="416"/>
      <c r="AG162" s="416"/>
      <c r="AH162" s="490"/>
      <c r="AI162" s="645"/>
      <c r="AJ162" s="490"/>
      <c r="AK162" s="416"/>
      <c r="AL162" s="416"/>
      <c r="AM162" s="490"/>
      <c r="AN162" s="645"/>
      <c r="AO162" s="490"/>
      <c r="AP162" s="416"/>
      <c r="AQ162" s="416"/>
      <c r="AR162" s="490"/>
      <c r="AS162" s="645"/>
      <c r="AT162" s="490"/>
      <c r="AU162" s="416"/>
      <c r="AV162" s="416"/>
      <c r="AW162" s="490"/>
      <c r="AX162" s="645"/>
      <c r="AZ162" s="402" t="e">
        <f t="shared" si="54"/>
        <v>#N/A</v>
      </c>
      <c r="BA162" s="645"/>
    </row>
    <row r="163" spans="2:53">
      <c r="B163" s="643"/>
      <c r="C163" s="283">
        <v>17</v>
      </c>
      <c r="D163" s="409"/>
      <c r="E163" s="409"/>
      <c r="F163" s="409"/>
      <c r="G163" s="416"/>
      <c r="H163" s="645"/>
      <c r="I163" s="391" t="str">
        <f t="shared" si="56"/>
        <v>-</v>
      </c>
      <c r="J163" s="391" t="str">
        <f t="shared" si="57"/>
        <v>-</v>
      </c>
      <c r="K163" s="199" t="str">
        <f t="shared" si="58"/>
        <v>-</v>
      </c>
      <c r="L163" s="617"/>
      <c r="M163" s="198" t="e">
        <f>RANK(K163, K$147:$K$176)</f>
        <v>#VALUE!</v>
      </c>
      <c r="N163" s="635"/>
      <c r="O163" s="635"/>
      <c r="P163" s="490"/>
      <c r="Q163" s="416"/>
      <c r="R163" s="416"/>
      <c r="S163" s="490"/>
      <c r="T163" s="645"/>
      <c r="U163" s="490"/>
      <c r="V163" s="416"/>
      <c r="W163" s="416"/>
      <c r="X163" s="490"/>
      <c r="Y163" s="645"/>
      <c r="Z163" s="490"/>
      <c r="AA163" s="416"/>
      <c r="AB163" s="416"/>
      <c r="AC163" s="490"/>
      <c r="AD163" s="645"/>
      <c r="AE163" s="490"/>
      <c r="AF163" s="416"/>
      <c r="AG163" s="416"/>
      <c r="AH163" s="490"/>
      <c r="AI163" s="645"/>
      <c r="AJ163" s="490"/>
      <c r="AK163" s="416"/>
      <c r="AL163" s="416"/>
      <c r="AM163" s="490"/>
      <c r="AN163" s="645"/>
      <c r="AO163" s="490"/>
      <c r="AP163" s="416"/>
      <c r="AQ163" s="416"/>
      <c r="AR163" s="490"/>
      <c r="AS163" s="645"/>
      <c r="AT163" s="490"/>
      <c r="AU163" s="416"/>
      <c r="AV163" s="416"/>
      <c r="AW163" s="490"/>
      <c r="AX163" s="645"/>
      <c r="AZ163" s="402" t="e">
        <f t="shared" si="54"/>
        <v>#N/A</v>
      </c>
      <c r="BA163" s="645"/>
    </row>
    <row r="164" spans="2:53">
      <c r="B164" s="643"/>
      <c r="C164" s="283">
        <v>18</v>
      </c>
      <c r="D164" s="409"/>
      <c r="E164" s="409"/>
      <c r="F164" s="409"/>
      <c r="G164" s="416"/>
      <c r="H164" s="645"/>
      <c r="I164" s="391" t="str">
        <f t="shared" si="56"/>
        <v>-</v>
      </c>
      <c r="J164" s="391" t="str">
        <f t="shared" si="57"/>
        <v>-</v>
      </c>
      <c r="K164" s="199" t="str">
        <f t="shared" si="58"/>
        <v>-</v>
      </c>
      <c r="L164" s="617"/>
      <c r="M164" s="198" t="e">
        <f>RANK(K164, K$147:$K$176)</f>
        <v>#VALUE!</v>
      </c>
      <c r="N164" s="635"/>
      <c r="O164" s="635"/>
      <c r="P164" s="490"/>
      <c r="Q164" s="416"/>
      <c r="R164" s="416"/>
      <c r="S164" s="490"/>
      <c r="T164" s="645"/>
      <c r="U164" s="490"/>
      <c r="V164" s="416"/>
      <c r="W164" s="416"/>
      <c r="X164" s="490"/>
      <c r="Y164" s="645"/>
      <c r="Z164" s="490"/>
      <c r="AA164" s="416"/>
      <c r="AB164" s="416"/>
      <c r="AC164" s="490"/>
      <c r="AD164" s="645"/>
      <c r="AE164" s="490"/>
      <c r="AF164" s="416"/>
      <c r="AG164" s="416"/>
      <c r="AH164" s="490"/>
      <c r="AI164" s="645"/>
      <c r="AJ164" s="490"/>
      <c r="AK164" s="416"/>
      <c r="AL164" s="416"/>
      <c r="AM164" s="490"/>
      <c r="AN164" s="645"/>
      <c r="AO164" s="490"/>
      <c r="AP164" s="416"/>
      <c r="AQ164" s="416"/>
      <c r="AR164" s="490"/>
      <c r="AS164" s="645"/>
      <c r="AT164" s="490"/>
      <c r="AU164" s="416"/>
      <c r="AV164" s="416"/>
      <c r="AW164" s="490"/>
      <c r="AX164" s="645"/>
      <c r="AZ164" s="402" t="e">
        <f t="shared" si="54"/>
        <v>#N/A</v>
      </c>
      <c r="BA164" s="645"/>
    </row>
    <row r="165" spans="2:53">
      <c r="B165" s="643"/>
      <c r="C165" s="283">
        <v>19</v>
      </c>
      <c r="D165" s="409"/>
      <c r="E165" s="409"/>
      <c r="F165" s="409"/>
      <c r="G165" s="416"/>
      <c r="H165" s="645"/>
      <c r="I165" s="391" t="str">
        <f t="shared" si="56"/>
        <v>-</v>
      </c>
      <c r="J165" s="391" t="str">
        <f t="shared" si="57"/>
        <v>-</v>
      </c>
      <c r="K165" s="199" t="str">
        <f t="shared" si="58"/>
        <v>-</v>
      </c>
      <c r="L165" s="617"/>
      <c r="M165" s="198" t="e">
        <f>RANK(K165, K$147:$K$176)</f>
        <v>#VALUE!</v>
      </c>
      <c r="N165" s="635"/>
      <c r="O165" s="635"/>
      <c r="P165" s="490"/>
      <c r="Q165" s="416"/>
      <c r="R165" s="416"/>
      <c r="S165" s="490"/>
      <c r="T165" s="645"/>
      <c r="U165" s="490"/>
      <c r="V165" s="416"/>
      <c r="W165" s="416"/>
      <c r="X165" s="490"/>
      <c r="Y165" s="645"/>
      <c r="Z165" s="490"/>
      <c r="AA165" s="416"/>
      <c r="AB165" s="416"/>
      <c r="AC165" s="490"/>
      <c r="AD165" s="645"/>
      <c r="AE165" s="490"/>
      <c r="AF165" s="416"/>
      <c r="AG165" s="416"/>
      <c r="AH165" s="490"/>
      <c r="AI165" s="645"/>
      <c r="AJ165" s="490"/>
      <c r="AK165" s="416"/>
      <c r="AL165" s="416"/>
      <c r="AM165" s="490"/>
      <c r="AN165" s="645"/>
      <c r="AO165" s="490"/>
      <c r="AP165" s="416"/>
      <c r="AQ165" s="416"/>
      <c r="AR165" s="490"/>
      <c r="AS165" s="645"/>
      <c r="AT165" s="490"/>
      <c r="AU165" s="416"/>
      <c r="AV165" s="416"/>
      <c r="AW165" s="490"/>
      <c r="AX165" s="645"/>
      <c r="AZ165" s="402" t="e">
        <f t="shared" si="54"/>
        <v>#N/A</v>
      </c>
      <c r="BA165" s="645"/>
    </row>
    <row r="166" spans="2:53">
      <c r="B166" s="643"/>
      <c r="C166" s="283">
        <v>20</v>
      </c>
      <c r="D166" s="409"/>
      <c r="E166" s="409"/>
      <c r="F166" s="409"/>
      <c r="G166" s="416"/>
      <c r="H166" s="645"/>
      <c r="I166" s="391" t="str">
        <f t="shared" si="56"/>
        <v>-</v>
      </c>
      <c r="J166" s="391" t="str">
        <f t="shared" si="57"/>
        <v>-</v>
      </c>
      <c r="K166" s="199" t="str">
        <f t="shared" si="58"/>
        <v>-</v>
      </c>
      <c r="L166" s="617"/>
      <c r="M166" s="198" t="e">
        <f>RANK(K166, K$147:$K$176)</f>
        <v>#VALUE!</v>
      </c>
      <c r="N166" s="635"/>
      <c r="O166" s="635"/>
      <c r="P166" s="490"/>
      <c r="Q166" s="416"/>
      <c r="R166" s="416"/>
      <c r="S166" s="490"/>
      <c r="T166" s="645"/>
      <c r="U166" s="490"/>
      <c r="V166" s="416"/>
      <c r="W166" s="416"/>
      <c r="X166" s="490"/>
      <c r="Y166" s="645"/>
      <c r="Z166" s="490"/>
      <c r="AA166" s="416"/>
      <c r="AB166" s="416"/>
      <c r="AC166" s="490"/>
      <c r="AD166" s="645"/>
      <c r="AE166" s="490"/>
      <c r="AF166" s="416"/>
      <c r="AG166" s="416"/>
      <c r="AH166" s="490"/>
      <c r="AI166" s="645"/>
      <c r="AJ166" s="490"/>
      <c r="AK166" s="416"/>
      <c r="AL166" s="416"/>
      <c r="AM166" s="490"/>
      <c r="AN166" s="645"/>
      <c r="AO166" s="490"/>
      <c r="AP166" s="416"/>
      <c r="AQ166" s="416"/>
      <c r="AR166" s="490"/>
      <c r="AS166" s="645"/>
      <c r="AT166" s="490"/>
      <c r="AU166" s="416"/>
      <c r="AV166" s="416"/>
      <c r="AW166" s="490"/>
      <c r="AX166" s="645"/>
      <c r="AZ166" s="402" t="e">
        <f t="shared" si="54"/>
        <v>#N/A</v>
      </c>
      <c r="BA166" s="645"/>
    </row>
    <row r="167" spans="2:53">
      <c r="B167" s="643"/>
      <c r="C167" s="283">
        <v>21</v>
      </c>
      <c r="D167" s="412"/>
      <c r="E167" s="409"/>
      <c r="F167" s="409"/>
      <c r="G167" s="416"/>
      <c r="H167" s="645"/>
      <c r="I167" s="391" t="str">
        <f t="shared" si="56"/>
        <v>-</v>
      </c>
      <c r="J167" s="391" t="str">
        <f t="shared" si="57"/>
        <v>-</v>
      </c>
      <c r="K167" s="199" t="str">
        <f t="shared" si="58"/>
        <v>-</v>
      </c>
      <c r="L167" s="617"/>
      <c r="M167" s="198" t="e">
        <f>RANK(K167, K$147:$K$176)</f>
        <v>#VALUE!</v>
      </c>
      <c r="N167" s="635"/>
      <c r="O167" s="635"/>
      <c r="P167" s="490"/>
      <c r="Q167" s="416"/>
      <c r="R167" s="416"/>
      <c r="S167" s="490"/>
      <c r="T167" s="645"/>
      <c r="U167" s="490"/>
      <c r="V167" s="416"/>
      <c r="W167" s="416"/>
      <c r="X167" s="490"/>
      <c r="Y167" s="645"/>
      <c r="Z167" s="490"/>
      <c r="AA167" s="416"/>
      <c r="AB167" s="416"/>
      <c r="AC167" s="490"/>
      <c r="AD167" s="645"/>
      <c r="AE167" s="490"/>
      <c r="AF167" s="416"/>
      <c r="AG167" s="416"/>
      <c r="AH167" s="490"/>
      <c r="AI167" s="645"/>
      <c r="AJ167" s="490"/>
      <c r="AK167" s="416"/>
      <c r="AL167" s="416"/>
      <c r="AM167" s="490"/>
      <c r="AN167" s="645"/>
      <c r="AO167" s="490"/>
      <c r="AP167" s="416"/>
      <c r="AQ167" s="416"/>
      <c r="AR167" s="490"/>
      <c r="AS167" s="645"/>
      <c r="AT167" s="490"/>
      <c r="AU167" s="416"/>
      <c r="AV167" s="416"/>
      <c r="AW167" s="490"/>
      <c r="AX167" s="645"/>
      <c r="AZ167" s="402" t="e">
        <f t="shared" si="54"/>
        <v>#N/A</v>
      </c>
      <c r="BA167" s="645"/>
    </row>
    <row r="168" spans="2:53">
      <c r="B168" s="643"/>
      <c r="C168" s="283">
        <v>22</v>
      </c>
      <c r="D168" s="409"/>
      <c r="E168" s="409"/>
      <c r="F168" s="409"/>
      <c r="G168" s="416"/>
      <c r="H168" s="645"/>
      <c r="I168" s="391" t="str">
        <f t="shared" si="56"/>
        <v>-</v>
      </c>
      <c r="J168" s="391" t="str">
        <f t="shared" si="57"/>
        <v>-</v>
      </c>
      <c r="K168" s="199" t="str">
        <f t="shared" si="58"/>
        <v>-</v>
      </c>
      <c r="L168" s="617"/>
      <c r="M168" s="198" t="e">
        <f>RANK(K168, K$147:$K$176)</f>
        <v>#VALUE!</v>
      </c>
      <c r="N168" s="635"/>
      <c r="O168" s="635"/>
      <c r="P168" s="490"/>
      <c r="Q168" s="416"/>
      <c r="R168" s="416"/>
      <c r="S168" s="490"/>
      <c r="T168" s="645"/>
      <c r="U168" s="490"/>
      <c r="V168" s="416"/>
      <c r="W168" s="416"/>
      <c r="X168" s="490"/>
      <c r="Y168" s="645"/>
      <c r="Z168" s="490"/>
      <c r="AA168" s="416"/>
      <c r="AB168" s="416"/>
      <c r="AC168" s="490"/>
      <c r="AD168" s="645"/>
      <c r="AE168" s="490"/>
      <c r="AF168" s="416"/>
      <c r="AG168" s="416"/>
      <c r="AH168" s="490"/>
      <c r="AI168" s="645"/>
      <c r="AJ168" s="490"/>
      <c r="AK168" s="416"/>
      <c r="AL168" s="416"/>
      <c r="AM168" s="490"/>
      <c r="AN168" s="645"/>
      <c r="AO168" s="490"/>
      <c r="AP168" s="416"/>
      <c r="AQ168" s="416"/>
      <c r="AR168" s="490"/>
      <c r="AS168" s="645"/>
      <c r="AT168" s="490"/>
      <c r="AU168" s="416"/>
      <c r="AV168" s="416"/>
      <c r="AW168" s="490"/>
      <c r="AX168" s="645"/>
      <c r="AZ168" s="402" t="e">
        <f t="shared" si="54"/>
        <v>#N/A</v>
      </c>
      <c r="BA168" s="645"/>
    </row>
    <row r="169" spans="2:53">
      <c r="B169" s="643"/>
      <c r="C169" s="283">
        <v>23</v>
      </c>
      <c r="D169" s="409"/>
      <c r="E169" s="409"/>
      <c r="F169" s="409"/>
      <c r="G169" s="416"/>
      <c r="H169" s="645"/>
      <c r="I169" s="391" t="str">
        <f t="shared" si="56"/>
        <v>-</v>
      </c>
      <c r="J169" s="391" t="str">
        <f t="shared" si="57"/>
        <v>-</v>
      </c>
      <c r="K169" s="199" t="str">
        <f t="shared" si="58"/>
        <v>-</v>
      </c>
      <c r="L169" s="617"/>
      <c r="M169" s="198" t="e">
        <f>RANK(K169, K$147:$K$176)</f>
        <v>#VALUE!</v>
      </c>
      <c r="N169" s="635"/>
      <c r="O169" s="635"/>
      <c r="P169" s="490"/>
      <c r="Q169" s="416"/>
      <c r="R169" s="416"/>
      <c r="S169" s="490"/>
      <c r="T169" s="645"/>
      <c r="U169" s="490"/>
      <c r="V169" s="416"/>
      <c r="W169" s="416"/>
      <c r="X169" s="490"/>
      <c r="Y169" s="645"/>
      <c r="Z169" s="490"/>
      <c r="AA169" s="416"/>
      <c r="AB169" s="416"/>
      <c r="AC169" s="490"/>
      <c r="AD169" s="645"/>
      <c r="AE169" s="490"/>
      <c r="AF169" s="416"/>
      <c r="AG169" s="416"/>
      <c r="AH169" s="490"/>
      <c r="AI169" s="645"/>
      <c r="AJ169" s="490"/>
      <c r="AK169" s="416"/>
      <c r="AL169" s="416"/>
      <c r="AM169" s="490"/>
      <c r="AN169" s="645"/>
      <c r="AO169" s="490"/>
      <c r="AP169" s="416"/>
      <c r="AQ169" s="416"/>
      <c r="AR169" s="490"/>
      <c r="AS169" s="645"/>
      <c r="AT169" s="490"/>
      <c r="AU169" s="416"/>
      <c r="AV169" s="416"/>
      <c r="AW169" s="490"/>
      <c r="AX169" s="645"/>
      <c r="AZ169" s="402" t="e">
        <f t="shared" si="54"/>
        <v>#N/A</v>
      </c>
      <c r="BA169" s="645"/>
    </row>
    <row r="170" spans="2:53">
      <c r="B170" s="643"/>
      <c r="C170" s="283">
        <v>24</v>
      </c>
      <c r="D170" s="409"/>
      <c r="E170" s="409"/>
      <c r="F170" s="409"/>
      <c r="G170" s="416"/>
      <c r="H170" s="645"/>
      <c r="I170" s="391" t="str">
        <f t="shared" si="56"/>
        <v>-</v>
      </c>
      <c r="J170" s="391" t="str">
        <f t="shared" si="57"/>
        <v>-</v>
      </c>
      <c r="K170" s="199" t="str">
        <f t="shared" si="58"/>
        <v>-</v>
      </c>
      <c r="L170" s="617"/>
      <c r="M170" s="198" t="e">
        <f>RANK(K170, K$147:$K$176)</f>
        <v>#VALUE!</v>
      </c>
      <c r="N170" s="635"/>
      <c r="O170" s="635"/>
      <c r="P170" s="490"/>
      <c r="Q170" s="416"/>
      <c r="R170" s="416"/>
      <c r="S170" s="490"/>
      <c r="T170" s="645"/>
      <c r="U170" s="490"/>
      <c r="V170" s="416"/>
      <c r="W170" s="416"/>
      <c r="X170" s="490"/>
      <c r="Y170" s="645"/>
      <c r="Z170" s="490"/>
      <c r="AA170" s="416"/>
      <c r="AB170" s="416"/>
      <c r="AC170" s="490"/>
      <c r="AD170" s="645"/>
      <c r="AE170" s="490"/>
      <c r="AF170" s="416"/>
      <c r="AG170" s="416"/>
      <c r="AH170" s="490"/>
      <c r="AI170" s="645"/>
      <c r="AJ170" s="490"/>
      <c r="AK170" s="416"/>
      <c r="AL170" s="416"/>
      <c r="AM170" s="490"/>
      <c r="AN170" s="645"/>
      <c r="AO170" s="490"/>
      <c r="AP170" s="416"/>
      <c r="AQ170" s="416"/>
      <c r="AR170" s="490"/>
      <c r="AS170" s="645"/>
      <c r="AT170" s="490"/>
      <c r="AU170" s="416"/>
      <c r="AV170" s="416"/>
      <c r="AW170" s="490"/>
      <c r="AX170" s="645"/>
      <c r="AZ170" s="402" t="e">
        <f t="shared" si="54"/>
        <v>#N/A</v>
      </c>
      <c r="BA170" s="645"/>
    </row>
    <row r="171" spans="2:53">
      <c r="B171" s="643"/>
      <c r="C171" s="283">
        <v>25</v>
      </c>
      <c r="D171" s="409"/>
      <c r="E171" s="409"/>
      <c r="F171" s="409"/>
      <c r="G171" s="416"/>
      <c r="H171" s="645"/>
      <c r="I171" s="391" t="str">
        <f t="shared" si="56"/>
        <v>-</v>
      </c>
      <c r="J171" s="391" t="str">
        <f t="shared" si="57"/>
        <v>-</v>
      </c>
      <c r="K171" s="199" t="str">
        <f t="shared" si="58"/>
        <v>-</v>
      </c>
      <c r="L171" s="617"/>
      <c r="M171" s="198" t="e">
        <f>RANK(K171, K$147:$K$176)</f>
        <v>#VALUE!</v>
      </c>
      <c r="N171" s="635"/>
      <c r="O171" s="635"/>
      <c r="P171" s="490"/>
      <c r="Q171" s="416"/>
      <c r="R171" s="416"/>
      <c r="S171" s="490"/>
      <c r="T171" s="645"/>
      <c r="U171" s="490"/>
      <c r="V171" s="416"/>
      <c r="W171" s="416"/>
      <c r="X171" s="490"/>
      <c r="Y171" s="645"/>
      <c r="Z171" s="490"/>
      <c r="AA171" s="416"/>
      <c r="AB171" s="416"/>
      <c r="AC171" s="490"/>
      <c r="AD171" s="645"/>
      <c r="AE171" s="490"/>
      <c r="AF171" s="416"/>
      <c r="AG171" s="416"/>
      <c r="AH171" s="490"/>
      <c r="AI171" s="645"/>
      <c r="AJ171" s="490"/>
      <c r="AK171" s="416"/>
      <c r="AL171" s="416"/>
      <c r="AM171" s="490"/>
      <c r="AN171" s="645"/>
      <c r="AO171" s="490"/>
      <c r="AP171" s="416"/>
      <c r="AQ171" s="416"/>
      <c r="AR171" s="490"/>
      <c r="AS171" s="645"/>
      <c r="AT171" s="490"/>
      <c r="AU171" s="416"/>
      <c r="AV171" s="416"/>
      <c r="AW171" s="490"/>
      <c r="AX171" s="645"/>
      <c r="AZ171" s="402" t="e">
        <f t="shared" si="54"/>
        <v>#N/A</v>
      </c>
      <c r="BA171" s="645"/>
    </row>
    <row r="172" spans="2:53">
      <c r="B172" s="643"/>
      <c r="C172" s="283">
        <v>26</v>
      </c>
      <c r="D172" s="409"/>
      <c r="E172" s="409"/>
      <c r="F172" s="409"/>
      <c r="G172" s="409"/>
      <c r="H172" s="645"/>
      <c r="I172" s="391" t="str">
        <f t="shared" si="56"/>
        <v>-</v>
      </c>
      <c r="J172" s="391" t="str">
        <f t="shared" si="57"/>
        <v>-</v>
      </c>
      <c r="K172" s="199" t="str">
        <f t="shared" si="58"/>
        <v>-</v>
      </c>
      <c r="L172" s="617"/>
      <c r="M172" s="198" t="e">
        <f>RANK(K172, K$147:$K$176)</f>
        <v>#VALUE!</v>
      </c>
      <c r="N172" s="635"/>
      <c r="O172" s="635"/>
      <c r="P172" s="490"/>
      <c r="Q172" s="416"/>
      <c r="R172" s="416"/>
      <c r="S172" s="490"/>
      <c r="T172" s="645"/>
      <c r="U172" s="490"/>
      <c r="V172" s="416"/>
      <c r="W172" s="416"/>
      <c r="X172" s="490"/>
      <c r="Y172" s="645"/>
      <c r="Z172" s="490"/>
      <c r="AA172" s="416"/>
      <c r="AB172" s="416"/>
      <c r="AC172" s="490"/>
      <c r="AD172" s="645"/>
      <c r="AE172" s="490"/>
      <c r="AF172" s="416"/>
      <c r="AG172" s="416"/>
      <c r="AH172" s="490"/>
      <c r="AI172" s="645"/>
      <c r="AJ172" s="490"/>
      <c r="AK172" s="416"/>
      <c r="AL172" s="416"/>
      <c r="AM172" s="490"/>
      <c r="AN172" s="645"/>
      <c r="AO172" s="490"/>
      <c r="AP172" s="416"/>
      <c r="AQ172" s="416"/>
      <c r="AR172" s="490"/>
      <c r="AS172" s="645"/>
      <c r="AT172" s="490"/>
      <c r="AU172" s="416"/>
      <c r="AV172" s="416"/>
      <c r="AW172" s="490"/>
      <c r="AX172" s="645"/>
      <c r="AZ172" s="402" t="e">
        <f t="shared" si="54"/>
        <v>#N/A</v>
      </c>
      <c r="BA172" s="645"/>
    </row>
    <row r="173" spans="2:53">
      <c r="B173" s="643"/>
      <c r="C173" s="283">
        <v>27</v>
      </c>
      <c r="D173" s="409"/>
      <c r="E173" s="409"/>
      <c r="F173" s="409"/>
      <c r="G173" s="409"/>
      <c r="H173" s="645"/>
      <c r="I173" s="391" t="str">
        <f t="shared" si="56"/>
        <v>-</v>
      </c>
      <c r="J173" s="391" t="str">
        <f t="shared" si="57"/>
        <v>-</v>
      </c>
      <c r="K173" s="199" t="str">
        <f t="shared" si="58"/>
        <v>-</v>
      </c>
      <c r="L173" s="617"/>
      <c r="M173" s="198" t="e">
        <f>RANK(K173, K$147:$K$176)</f>
        <v>#VALUE!</v>
      </c>
      <c r="N173" s="635"/>
      <c r="O173" s="635"/>
      <c r="P173" s="490"/>
      <c r="Q173" s="416"/>
      <c r="R173" s="416"/>
      <c r="S173" s="490"/>
      <c r="T173" s="645"/>
      <c r="U173" s="490"/>
      <c r="V173" s="416"/>
      <c r="W173" s="416"/>
      <c r="X173" s="490"/>
      <c r="Y173" s="645"/>
      <c r="Z173" s="490"/>
      <c r="AA173" s="416"/>
      <c r="AB173" s="416"/>
      <c r="AC173" s="490"/>
      <c r="AD173" s="645"/>
      <c r="AE173" s="490"/>
      <c r="AF173" s="416"/>
      <c r="AG173" s="416"/>
      <c r="AH173" s="490"/>
      <c r="AI173" s="645"/>
      <c r="AJ173" s="490"/>
      <c r="AK173" s="416"/>
      <c r="AL173" s="416"/>
      <c r="AM173" s="490"/>
      <c r="AN173" s="645"/>
      <c r="AO173" s="490"/>
      <c r="AP173" s="416"/>
      <c r="AQ173" s="416"/>
      <c r="AR173" s="490"/>
      <c r="AS173" s="645"/>
      <c r="AT173" s="490"/>
      <c r="AU173" s="416"/>
      <c r="AV173" s="416"/>
      <c r="AW173" s="490"/>
      <c r="AX173" s="645"/>
      <c r="AZ173" s="402" t="e">
        <f t="shared" si="54"/>
        <v>#N/A</v>
      </c>
      <c r="BA173" s="645"/>
    </row>
    <row r="174" spans="2:53">
      <c r="B174" s="643"/>
      <c r="C174" s="283">
        <v>28</v>
      </c>
      <c r="D174" s="409"/>
      <c r="E174" s="409"/>
      <c r="F174" s="409"/>
      <c r="G174" s="409"/>
      <c r="H174" s="645"/>
      <c r="I174" s="391" t="str">
        <f t="shared" si="56"/>
        <v>-</v>
      </c>
      <c r="J174" s="391" t="str">
        <f t="shared" si="57"/>
        <v>-</v>
      </c>
      <c r="K174" s="199" t="str">
        <f t="shared" si="58"/>
        <v>-</v>
      </c>
      <c r="L174" s="617"/>
      <c r="M174" s="198" t="e">
        <f>RANK(K174, K$147:$K$176)</f>
        <v>#VALUE!</v>
      </c>
      <c r="N174" s="635"/>
      <c r="O174" s="635"/>
      <c r="P174" s="490"/>
      <c r="Q174" s="416"/>
      <c r="R174" s="416"/>
      <c r="S174" s="490"/>
      <c r="T174" s="645"/>
      <c r="U174" s="490"/>
      <c r="V174" s="416"/>
      <c r="W174" s="416"/>
      <c r="X174" s="490"/>
      <c r="Y174" s="645"/>
      <c r="Z174" s="490"/>
      <c r="AA174" s="416"/>
      <c r="AB174" s="416"/>
      <c r="AC174" s="490"/>
      <c r="AD174" s="645"/>
      <c r="AE174" s="490"/>
      <c r="AF174" s="416"/>
      <c r="AG174" s="416"/>
      <c r="AH174" s="490"/>
      <c r="AI174" s="645"/>
      <c r="AJ174" s="490"/>
      <c r="AK174" s="416"/>
      <c r="AL174" s="416"/>
      <c r="AM174" s="490"/>
      <c r="AN174" s="645"/>
      <c r="AO174" s="490"/>
      <c r="AP174" s="416"/>
      <c r="AQ174" s="416"/>
      <c r="AR174" s="490"/>
      <c r="AS174" s="645"/>
      <c r="AT174" s="490"/>
      <c r="AU174" s="416"/>
      <c r="AV174" s="416"/>
      <c r="AW174" s="490"/>
      <c r="AX174" s="645"/>
      <c r="AZ174" s="402" t="e">
        <f t="shared" si="54"/>
        <v>#N/A</v>
      </c>
      <c r="BA174" s="645"/>
    </row>
    <row r="175" spans="2:53">
      <c r="B175" s="643"/>
      <c r="C175" s="283">
        <v>29</v>
      </c>
      <c r="D175" s="409"/>
      <c r="E175" s="409"/>
      <c r="F175" s="409"/>
      <c r="G175" s="409"/>
      <c r="H175" s="645"/>
      <c r="I175" s="391" t="str">
        <f t="shared" si="56"/>
        <v>-</v>
      </c>
      <c r="J175" s="391" t="str">
        <f t="shared" si="57"/>
        <v>-</v>
      </c>
      <c r="K175" s="199" t="str">
        <f t="shared" si="58"/>
        <v>-</v>
      </c>
      <c r="L175" s="617"/>
      <c r="M175" s="198" t="e">
        <f>RANK(K175, K$147:$K$176)</f>
        <v>#VALUE!</v>
      </c>
      <c r="N175" s="635"/>
      <c r="O175" s="635"/>
      <c r="P175" s="490"/>
      <c r="Q175" s="416"/>
      <c r="R175" s="416"/>
      <c r="S175" s="490"/>
      <c r="T175" s="645"/>
      <c r="U175" s="490"/>
      <c r="V175" s="416"/>
      <c r="W175" s="416"/>
      <c r="X175" s="490"/>
      <c r="Y175" s="645"/>
      <c r="Z175" s="490"/>
      <c r="AA175" s="416"/>
      <c r="AB175" s="416"/>
      <c r="AC175" s="490"/>
      <c r="AD175" s="645"/>
      <c r="AE175" s="490"/>
      <c r="AF175" s="416"/>
      <c r="AG175" s="416"/>
      <c r="AH175" s="490"/>
      <c r="AI175" s="645"/>
      <c r="AJ175" s="490"/>
      <c r="AK175" s="416"/>
      <c r="AL175" s="416"/>
      <c r="AM175" s="490"/>
      <c r="AN175" s="645"/>
      <c r="AO175" s="490"/>
      <c r="AP175" s="416"/>
      <c r="AQ175" s="416"/>
      <c r="AR175" s="490"/>
      <c r="AS175" s="645"/>
      <c r="AT175" s="490"/>
      <c r="AU175" s="416"/>
      <c r="AV175" s="416"/>
      <c r="AW175" s="490"/>
      <c r="AX175" s="645"/>
      <c r="AZ175" s="402" t="e">
        <f t="shared" si="54"/>
        <v>#N/A</v>
      </c>
      <c r="BA175" s="645"/>
    </row>
    <row r="176" spans="2:53">
      <c r="B176" s="643"/>
      <c r="C176" s="283">
        <v>30</v>
      </c>
      <c r="D176" s="409"/>
      <c r="E176" s="409"/>
      <c r="F176" s="409"/>
      <c r="G176" s="409"/>
      <c r="H176" s="646"/>
      <c r="I176" s="391" t="str">
        <f t="shared" si="56"/>
        <v>-</v>
      </c>
      <c r="J176" s="391" t="str">
        <f t="shared" si="57"/>
        <v>-</v>
      </c>
      <c r="K176" s="199" t="str">
        <f t="shared" si="58"/>
        <v>-</v>
      </c>
      <c r="L176" s="618"/>
      <c r="M176" s="198" t="e">
        <f>RANK(K176, K$147:$K$176)</f>
        <v>#VALUE!</v>
      </c>
      <c r="N176" s="635"/>
      <c r="O176" s="635"/>
      <c r="P176" s="490"/>
      <c r="Q176" s="416"/>
      <c r="R176" s="416"/>
      <c r="S176" s="490"/>
      <c r="T176" s="646"/>
      <c r="U176" s="490"/>
      <c r="V176" s="416"/>
      <c r="W176" s="416"/>
      <c r="X176" s="490"/>
      <c r="Y176" s="646"/>
      <c r="Z176" s="490"/>
      <c r="AA176" s="416"/>
      <c r="AB176" s="416"/>
      <c r="AC176" s="490"/>
      <c r="AD176" s="646"/>
      <c r="AE176" s="490"/>
      <c r="AF176" s="416"/>
      <c r="AG176" s="416"/>
      <c r="AH176" s="490"/>
      <c r="AI176" s="646"/>
      <c r="AJ176" s="490"/>
      <c r="AK176" s="416"/>
      <c r="AL176" s="416"/>
      <c r="AM176" s="490"/>
      <c r="AN176" s="646"/>
      <c r="AO176" s="490"/>
      <c r="AP176" s="416"/>
      <c r="AQ176" s="416"/>
      <c r="AR176" s="490"/>
      <c r="AS176" s="646"/>
      <c r="AT176" s="490"/>
      <c r="AU176" s="416"/>
      <c r="AV176" s="416"/>
      <c r="AW176" s="490"/>
      <c r="AX176" s="646"/>
      <c r="AZ176" s="402" t="e">
        <f t="shared" si="54"/>
        <v>#N/A</v>
      </c>
      <c r="BA176" s="646"/>
    </row>
    <row r="177" spans="2:53" ht="15.75">
      <c r="B177" s="647" t="s">
        <v>163</v>
      </c>
      <c r="C177" s="648"/>
      <c r="D177" s="648"/>
      <c r="E177" s="648"/>
      <c r="F177" s="648"/>
      <c r="G177" s="648"/>
      <c r="H177" s="649"/>
      <c r="I177" s="207"/>
      <c r="J177" s="207"/>
      <c r="K177" s="207"/>
      <c r="L177" s="207"/>
      <c r="M177" s="206"/>
      <c r="N177" s="636" t="s">
        <v>156</v>
      </c>
      <c r="O177" s="636" t="s">
        <v>105</v>
      </c>
      <c r="P177" s="642">
        <f>P142+7</f>
        <v>46203</v>
      </c>
      <c r="Q177" s="643"/>
      <c r="R177" s="643"/>
      <c r="S177" s="643"/>
      <c r="T177" s="643"/>
      <c r="U177" s="639">
        <f>P177+1</f>
        <v>46204</v>
      </c>
      <c r="V177" s="640"/>
      <c r="W177" s="640"/>
      <c r="X177" s="640"/>
      <c r="Y177" s="641"/>
      <c r="Z177" s="639">
        <f>U177+1</f>
        <v>46205</v>
      </c>
      <c r="AA177" s="640"/>
      <c r="AB177" s="640"/>
      <c r="AC177" s="640"/>
      <c r="AD177" s="641"/>
      <c r="AE177" s="639">
        <f>Z177+1</f>
        <v>46206</v>
      </c>
      <c r="AF177" s="640"/>
      <c r="AG177" s="640"/>
      <c r="AH177" s="640"/>
      <c r="AI177" s="641"/>
      <c r="AJ177" s="639">
        <f>AE177+1</f>
        <v>46207</v>
      </c>
      <c r="AK177" s="640"/>
      <c r="AL177" s="640"/>
      <c r="AM177" s="640"/>
      <c r="AN177" s="641"/>
      <c r="AO177" s="639">
        <f>AJ177+1</f>
        <v>46208</v>
      </c>
      <c r="AP177" s="640"/>
      <c r="AQ177" s="640"/>
      <c r="AR177" s="640"/>
      <c r="AS177" s="641"/>
      <c r="AT177" s="639">
        <f>AO177+1</f>
        <v>46209</v>
      </c>
      <c r="AU177" s="640"/>
      <c r="AV177" s="640"/>
      <c r="AW177" s="640"/>
      <c r="AX177" s="641"/>
    </row>
    <row r="178" spans="2:53" ht="15.75">
      <c r="B178" s="650"/>
      <c r="C178" s="650"/>
      <c r="D178" s="650"/>
      <c r="E178" s="650"/>
      <c r="F178" s="650"/>
      <c r="G178" s="650"/>
      <c r="H178" s="650"/>
      <c r="I178" s="204"/>
      <c r="J178" s="204"/>
      <c r="K178" s="204"/>
      <c r="L178" s="204"/>
      <c r="M178" s="205"/>
      <c r="N178" s="638"/>
      <c r="O178" s="638"/>
      <c r="P178" s="642" t="s">
        <v>158</v>
      </c>
      <c r="Q178" s="643"/>
      <c r="R178" s="643"/>
      <c r="S178" s="643"/>
      <c r="T178" s="643"/>
      <c r="U178" s="642" t="s">
        <v>114</v>
      </c>
      <c r="V178" s="643"/>
      <c r="W178" s="643"/>
      <c r="X178" s="643"/>
      <c r="Y178" s="643"/>
      <c r="Z178" s="642" t="s">
        <v>159</v>
      </c>
      <c r="AA178" s="643"/>
      <c r="AB178" s="643"/>
      <c r="AC178" s="643"/>
      <c r="AD178" s="643"/>
      <c r="AE178" s="642" t="s">
        <v>157</v>
      </c>
      <c r="AF178" s="643"/>
      <c r="AG178" s="643"/>
      <c r="AH178" s="643"/>
      <c r="AI178" s="643"/>
      <c r="AJ178" s="642" t="s">
        <v>160</v>
      </c>
      <c r="AK178" s="643"/>
      <c r="AL178" s="643"/>
      <c r="AM178" s="643"/>
      <c r="AN178" s="643"/>
      <c r="AO178" s="642" t="s">
        <v>115</v>
      </c>
      <c r="AP178" s="643"/>
      <c r="AQ178" s="643"/>
      <c r="AR178" s="643"/>
      <c r="AS178" s="643"/>
      <c r="AT178" s="642" t="s">
        <v>162</v>
      </c>
      <c r="AU178" s="643"/>
      <c r="AV178" s="643"/>
      <c r="AW178" s="643"/>
      <c r="AX178" s="643"/>
    </row>
    <row r="179" spans="2:53">
      <c r="B179" s="635" t="s">
        <v>154</v>
      </c>
      <c r="C179" s="635" t="s">
        <v>384</v>
      </c>
      <c r="D179" s="635"/>
      <c r="E179" s="635" t="s">
        <v>375</v>
      </c>
      <c r="F179" s="635"/>
      <c r="G179" s="635"/>
      <c r="H179" s="651" t="s">
        <v>371</v>
      </c>
      <c r="I179" s="635" t="s">
        <v>376</v>
      </c>
      <c r="J179" s="635"/>
      <c r="K179" s="635"/>
      <c r="L179" s="651" t="s">
        <v>371</v>
      </c>
      <c r="M179" s="636" t="s">
        <v>372</v>
      </c>
      <c r="N179" s="635"/>
      <c r="O179" s="635" t="s">
        <v>377</v>
      </c>
      <c r="P179" s="632" t="s">
        <v>373</v>
      </c>
      <c r="Q179" s="633"/>
      <c r="R179" s="633"/>
      <c r="S179" s="634"/>
      <c r="T179" s="635" t="s">
        <v>371</v>
      </c>
      <c r="U179" s="632" t="s">
        <v>373</v>
      </c>
      <c r="V179" s="633"/>
      <c r="W179" s="633"/>
      <c r="X179" s="634"/>
      <c r="Y179" s="635" t="s">
        <v>371</v>
      </c>
      <c r="Z179" s="632" t="s">
        <v>373</v>
      </c>
      <c r="AA179" s="633"/>
      <c r="AB179" s="633"/>
      <c r="AC179" s="634"/>
      <c r="AD179" s="635" t="s">
        <v>371</v>
      </c>
      <c r="AE179" s="632" t="s">
        <v>373</v>
      </c>
      <c r="AF179" s="633"/>
      <c r="AG179" s="633"/>
      <c r="AH179" s="634"/>
      <c r="AI179" s="635" t="s">
        <v>371</v>
      </c>
      <c r="AJ179" s="632" t="s">
        <v>373</v>
      </c>
      <c r="AK179" s="633"/>
      <c r="AL179" s="633"/>
      <c r="AM179" s="634"/>
      <c r="AN179" s="635" t="s">
        <v>371</v>
      </c>
      <c r="AO179" s="632" t="s">
        <v>373</v>
      </c>
      <c r="AP179" s="633"/>
      <c r="AQ179" s="633"/>
      <c r="AR179" s="634"/>
      <c r="AS179" s="635" t="s">
        <v>371</v>
      </c>
      <c r="AT179" s="669" t="s">
        <v>373</v>
      </c>
      <c r="AU179" s="670"/>
      <c r="AV179" s="670"/>
      <c r="AW179" s="671"/>
      <c r="AX179" s="672" t="s">
        <v>371</v>
      </c>
      <c r="BA179" s="672" t="s">
        <v>371</v>
      </c>
    </row>
    <row r="180" spans="2:53">
      <c r="B180" s="635"/>
      <c r="C180" s="635"/>
      <c r="D180" s="635"/>
      <c r="E180" s="635" t="s">
        <v>378</v>
      </c>
      <c r="F180" s="635"/>
      <c r="G180" s="635"/>
      <c r="H180" s="652"/>
      <c r="I180" s="635" t="s">
        <v>378</v>
      </c>
      <c r="J180" s="635"/>
      <c r="K180" s="635"/>
      <c r="L180" s="652"/>
      <c r="M180" s="637"/>
      <c r="N180" s="635"/>
      <c r="O180" s="635"/>
      <c r="P180" s="632" t="s">
        <v>379</v>
      </c>
      <c r="Q180" s="633"/>
      <c r="R180" s="633"/>
      <c r="S180" s="634"/>
      <c r="T180" s="635"/>
      <c r="U180" s="632" t="s">
        <v>379</v>
      </c>
      <c r="V180" s="633"/>
      <c r="W180" s="633"/>
      <c r="X180" s="634"/>
      <c r="Y180" s="635"/>
      <c r="Z180" s="632" t="s">
        <v>379</v>
      </c>
      <c r="AA180" s="633"/>
      <c r="AB180" s="633"/>
      <c r="AC180" s="634"/>
      <c r="AD180" s="635"/>
      <c r="AE180" s="632" t="s">
        <v>379</v>
      </c>
      <c r="AF180" s="633"/>
      <c r="AG180" s="633"/>
      <c r="AH180" s="634"/>
      <c r="AI180" s="635"/>
      <c r="AJ180" s="632" t="s">
        <v>379</v>
      </c>
      <c r="AK180" s="633"/>
      <c r="AL180" s="633"/>
      <c r="AM180" s="634"/>
      <c r="AN180" s="635"/>
      <c r="AO180" s="632" t="s">
        <v>379</v>
      </c>
      <c r="AP180" s="633"/>
      <c r="AQ180" s="633"/>
      <c r="AR180" s="634"/>
      <c r="AS180" s="635"/>
      <c r="AT180" s="669" t="s">
        <v>379</v>
      </c>
      <c r="AU180" s="670"/>
      <c r="AV180" s="670"/>
      <c r="AW180" s="671"/>
      <c r="AX180" s="672"/>
      <c r="BA180" s="672"/>
    </row>
    <row r="181" spans="2:53">
      <c r="B181" s="635"/>
      <c r="C181" s="635"/>
      <c r="D181" s="635"/>
      <c r="E181" s="360" t="s">
        <v>380</v>
      </c>
      <c r="F181" s="360" t="s">
        <v>381</v>
      </c>
      <c r="G181" s="360" t="s">
        <v>382</v>
      </c>
      <c r="H181" s="653"/>
      <c r="I181" s="360" t="s">
        <v>380</v>
      </c>
      <c r="J181" s="360" t="s">
        <v>381</v>
      </c>
      <c r="K181" s="360" t="s">
        <v>382</v>
      </c>
      <c r="L181" s="653"/>
      <c r="M181" s="638"/>
      <c r="N181" s="635"/>
      <c r="O181" s="635"/>
      <c r="P181" s="360" t="s">
        <v>380</v>
      </c>
      <c r="Q181" s="360" t="s">
        <v>381</v>
      </c>
      <c r="R181" s="360" t="s">
        <v>382</v>
      </c>
      <c r="S181" s="360" t="s">
        <v>372</v>
      </c>
      <c r="T181" s="635"/>
      <c r="U181" s="360" t="s">
        <v>380</v>
      </c>
      <c r="V181" s="360" t="s">
        <v>381</v>
      </c>
      <c r="W181" s="360" t="s">
        <v>382</v>
      </c>
      <c r="X181" s="360" t="s">
        <v>372</v>
      </c>
      <c r="Y181" s="635"/>
      <c r="Z181" s="360" t="s">
        <v>380</v>
      </c>
      <c r="AA181" s="360" t="s">
        <v>381</v>
      </c>
      <c r="AB181" s="360" t="s">
        <v>382</v>
      </c>
      <c r="AC181" s="360" t="s">
        <v>372</v>
      </c>
      <c r="AD181" s="635"/>
      <c r="AE181" s="360" t="s">
        <v>380</v>
      </c>
      <c r="AF181" s="360" t="s">
        <v>381</v>
      </c>
      <c r="AG181" s="360" t="s">
        <v>382</v>
      </c>
      <c r="AH181" s="360" t="s">
        <v>372</v>
      </c>
      <c r="AI181" s="635"/>
      <c r="AJ181" s="360" t="s">
        <v>380</v>
      </c>
      <c r="AK181" s="360" t="s">
        <v>381</v>
      </c>
      <c r="AL181" s="360" t="s">
        <v>382</v>
      </c>
      <c r="AM181" s="360" t="s">
        <v>372</v>
      </c>
      <c r="AN181" s="635"/>
      <c r="AO181" s="360" t="s">
        <v>380</v>
      </c>
      <c r="AP181" s="360" t="s">
        <v>381</v>
      </c>
      <c r="AQ181" s="360" t="s">
        <v>382</v>
      </c>
      <c r="AR181" s="360" t="s">
        <v>372</v>
      </c>
      <c r="AS181" s="635"/>
      <c r="AT181" s="362" t="s">
        <v>380</v>
      </c>
      <c r="AU181" s="362" t="s">
        <v>381</v>
      </c>
      <c r="AV181" s="362" t="s">
        <v>382</v>
      </c>
      <c r="AW181" s="362" t="s">
        <v>372</v>
      </c>
      <c r="AX181" s="672"/>
      <c r="AZ181" s="404" t="s">
        <v>372</v>
      </c>
      <c r="BA181" s="672"/>
    </row>
    <row r="182" spans="2:53">
      <c r="B182" s="667" t="s">
        <v>493</v>
      </c>
      <c r="C182" s="363">
        <v>1</v>
      </c>
      <c r="D182" s="389"/>
      <c r="E182" s="389"/>
      <c r="F182" s="389"/>
      <c r="G182" s="181"/>
      <c r="H182" s="679" t="e">
        <f>AVERAGE(G182:G211)</f>
        <v>#DIV/0!</v>
      </c>
      <c r="I182" s="391" t="str">
        <f>IFERROR(AVERAGE(P182,U182,Z182,AE182,AJ182,AO182,AT182),"-")</f>
        <v>-</v>
      </c>
      <c r="J182" s="391" t="str">
        <f>IFERROR(AVERAGE(Q182,V182,AA182,AF182,AK182,AP182,AU182),"-")</f>
        <v>-</v>
      </c>
      <c r="K182" s="199" t="str">
        <f>IFERROR(AVERAGE(R182,W182,AB182,AG182,AL182,AQ182,AV182),"-")</f>
        <v>-</v>
      </c>
      <c r="L182" s="616" t="str">
        <f>IFERROR(AVERAGE(K182:K211),"-")</f>
        <v>-</v>
      </c>
      <c r="M182" s="364" t="e">
        <f>RANK(K182, K$182:$K$211)</f>
        <v>#VALUE!</v>
      </c>
      <c r="N182" s="635"/>
      <c r="O182" s="635"/>
      <c r="P182" s="181"/>
      <c r="Q182" s="181"/>
      <c r="R182" s="181"/>
      <c r="S182" s="363" t="e">
        <f>RANK(R182, R$112:R$141)</f>
        <v>#N/A</v>
      </c>
      <c r="T182" s="682" t="e">
        <f>AVERAGE(R182:R211)</f>
        <v>#DIV/0!</v>
      </c>
      <c r="U182" s="181"/>
      <c r="V182" s="181"/>
      <c r="W182" s="181"/>
      <c r="X182" s="363" t="e">
        <f>RANK(W182, W$112:W$141)</f>
        <v>#N/A</v>
      </c>
      <c r="Y182" s="682" t="e">
        <f>AVERAGE(W182:W211)</f>
        <v>#DIV/0!</v>
      </c>
      <c r="Z182" s="181"/>
      <c r="AA182" s="181"/>
      <c r="AB182" s="181"/>
      <c r="AC182" s="363" t="e">
        <f>RANK(AB182, AB$112:AB$141)</f>
        <v>#N/A</v>
      </c>
      <c r="AD182" s="682" t="e">
        <f>AVERAGE(AB182:AB211)</f>
        <v>#DIV/0!</v>
      </c>
      <c r="AE182" s="181"/>
      <c r="AF182" s="181"/>
      <c r="AG182" s="181"/>
      <c r="AH182" s="363" t="e">
        <f>RANK(AG182, AG$112:AG$141)</f>
        <v>#N/A</v>
      </c>
      <c r="AI182" s="682" t="e">
        <f>AVERAGE(AG182:AG211)</f>
        <v>#DIV/0!</v>
      </c>
      <c r="AJ182" s="181"/>
      <c r="AK182" s="181"/>
      <c r="AL182" s="181"/>
      <c r="AM182" s="363" t="e">
        <f>RANK(AL182, AL$112:AL$141)</f>
        <v>#N/A</v>
      </c>
      <c r="AN182" s="682" t="e">
        <f>AVERAGE(AL182:AL211)</f>
        <v>#DIV/0!</v>
      </c>
      <c r="AO182" s="181"/>
      <c r="AP182" s="181"/>
      <c r="AQ182" s="181"/>
      <c r="AR182" s="363" t="e">
        <f>RANK(AQ182, AQ$112:AQ$141)</f>
        <v>#N/A</v>
      </c>
      <c r="AS182" s="682" t="e">
        <f>AVERAGE(AQ182:AQ211)</f>
        <v>#DIV/0!</v>
      </c>
      <c r="AT182" s="181"/>
      <c r="AU182" s="181"/>
      <c r="AV182" s="181"/>
      <c r="AW182" s="366" t="e">
        <f>RANK(AV182, AV$112:AV$141)</f>
        <v>#N/A</v>
      </c>
      <c r="AX182" s="673" t="e">
        <f>AVERAGE(AV182:AV211)</f>
        <v>#DIV/0!</v>
      </c>
      <c r="AZ182" s="366" t="e">
        <f>RANK(AY182, AY$112:AY$141)</f>
        <v>#N/A</v>
      </c>
      <c r="BA182" s="673" t="e">
        <f>AVERAGE(AY182:AY211)</f>
        <v>#DIV/0!</v>
      </c>
    </row>
    <row r="183" spans="2:53">
      <c r="B183" s="668"/>
      <c r="C183" s="363">
        <v>2</v>
      </c>
      <c r="D183" s="393"/>
      <c r="E183" s="389"/>
      <c r="F183" s="389"/>
      <c r="G183" s="181"/>
      <c r="H183" s="680"/>
      <c r="I183" s="391" t="str">
        <f t="shared" ref="I183:I211" si="59">IFERROR(AVERAGE(P183,U183,Z183,AE183,AJ183,AO183,AT183),"-")</f>
        <v>-</v>
      </c>
      <c r="J183" s="391" t="str">
        <f t="shared" ref="J183:J211" si="60">IFERROR(AVERAGE(Q183,V183,AA183,AF183,AK183,AP183,AU183),"-")</f>
        <v>-</v>
      </c>
      <c r="K183" s="199" t="str">
        <f t="shared" ref="K183:K211" si="61">IFERROR(AVERAGE(R183,W183,AB183,AG183,AL183,AQ183,AV183),"-")</f>
        <v>-</v>
      </c>
      <c r="L183" s="617"/>
      <c r="M183" s="364" t="e">
        <f>RANK(K183, K$182:$K$211)</f>
        <v>#VALUE!</v>
      </c>
      <c r="N183" s="635"/>
      <c r="O183" s="635"/>
      <c r="P183" s="181"/>
      <c r="Q183" s="181"/>
      <c r="R183" s="181"/>
      <c r="S183" s="363" t="e">
        <f t="shared" ref="S183:S211" si="62">RANK(R183, R$112:R$141)</f>
        <v>#N/A</v>
      </c>
      <c r="T183" s="682"/>
      <c r="U183" s="181"/>
      <c r="V183" s="181"/>
      <c r="W183" s="181"/>
      <c r="X183" s="363" t="e">
        <f t="shared" ref="X183:X211" si="63">RANK(W183, W$112:W$141)</f>
        <v>#N/A</v>
      </c>
      <c r="Y183" s="682"/>
      <c r="Z183" s="181"/>
      <c r="AA183" s="181"/>
      <c r="AB183" s="181"/>
      <c r="AC183" s="363" t="e">
        <f t="shared" ref="AC183:AC211" si="64">RANK(AB183, AB$112:AB$141)</f>
        <v>#N/A</v>
      </c>
      <c r="AD183" s="682"/>
      <c r="AE183" s="181"/>
      <c r="AF183" s="181"/>
      <c r="AG183" s="181"/>
      <c r="AH183" s="363" t="e">
        <f t="shared" ref="AH183:AH211" si="65">RANK(AG183, AG$112:AG$141)</f>
        <v>#N/A</v>
      </c>
      <c r="AI183" s="682"/>
      <c r="AJ183" s="181"/>
      <c r="AK183" s="181"/>
      <c r="AL183" s="181"/>
      <c r="AM183" s="363" t="e">
        <f t="shared" ref="AM183:AM211" si="66">RANK(AL183, AL$112:AL$141)</f>
        <v>#N/A</v>
      </c>
      <c r="AN183" s="682"/>
      <c r="AO183" s="181"/>
      <c r="AP183" s="181"/>
      <c r="AQ183" s="181"/>
      <c r="AR183" s="363" t="e">
        <f t="shared" ref="AR183:AR211" si="67">RANK(AQ183, AQ$112:AQ$141)</f>
        <v>#N/A</v>
      </c>
      <c r="AS183" s="682"/>
      <c r="AT183" s="181"/>
      <c r="AU183" s="181"/>
      <c r="AV183" s="181"/>
      <c r="AW183" s="366" t="e">
        <f t="shared" ref="AW183:AW211" si="68">RANK(AV183, AV$112:AV$141)</f>
        <v>#N/A</v>
      </c>
      <c r="AX183" s="673"/>
      <c r="AZ183" s="366" t="e">
        <f t="shared" ref="AZ183:AZ211" si="69">RANK(AY183, AY$112:AY$141)</f>
        <v>#N/A</v>
      </c>
      <c r="BA183" s="673"/>
    </row>
    <row r="184" spans="2:53">
      <c r="B184" s="668"/>
      <c r="C184" s="363">
        <v>3</v>
      </c>
      <c r="D184" s="389"/>
      <c r="E184" s="389"/>
      <c r="F184" s="389"/>
      <c r="G184" s="181"/>
      <c r="H184" s="680"/>
      <c r="I184" s="391" t="str">
        <f t="shared" si="59"/>
        <v>-</v>
      </c>
      <c r="J184" s="391" t="str">
        <f t="shared" si="60"/>
        <v>-</v>
      </c>
      <c r="K184" s="199" t="str">
        <f t="shared" si="61"/>
        <v>-</v>
      </c>
      <c r="L184" s="617"/>
      <c r="M184" s="364" t="e">
        <f>RANK(K184, K$182:$K$211)</f>
        <v>#VALUE!</v>
      </c>
      <c r="N184" s="635"/>
      <c r="O184" s="635"/>
      <c r="P184" s="181"/>
      <c r="Q184" s="181"/>
      <c r="R184" s="181"/>
      <c r="S184" s="363" t="e">
        <f t="shared" si="62"/>
        <v>#N/A</v>
      </c>
      <c r="T184" s="682"/>
      <c r="U184" s="181"/>
      <c r="V184" s="181"/>
      <c r="W184" s="181"/>
      <c r="X184" s="363" t="e">
        <f t="shared" si="63"/>
        <v>#N/A</v>
      </c>
      <c r="Y184" s="682"/>
      <c r="Z184" s="181"/>
      <c r="AA184" s="181"/>
      <c r="AB184" s="181"/>
      <c r="AC184" s="363" t="e">
        <f t="shared" si="64"/>
        <v>#N/A</v>
      </c>
      <c r="AD184" s="682"/>
      <c r="AE184" s="181"/>
      <c r="AF184" s="181"/>
      <c r="AG184" s="181"/>
      <c r="AH184" s="363" t="e">
        <f t="shared" si="65"/>
        <v>#N/A</v>
      </c>
      <c r="AI184" s="682"/>
      <c r="AJ184" s="181"/>
      <c r="AK184" s="181"/>
      <c r="AL184" s="181"/>
      <c r="AM184" s="363" t="e">
        <f t="shared" si="66"/>
        <v>#N/A</v>
      </c>
      <c r="AN184" s="682"/>
      <c r="AO184" s="181"/>
      <c r="AP184" s="181"/>
      <c r="AQ184" s="181"/>
      <c r="AR184" s="363" t="e">
        <f t="shared" si="67"/>
        <v>#N/A</v>
      </c>
      <c r="AS184" s="682"/>
      <c r="AT184" s="181"/>
      <c r="AU184" s="181"/>
      <c r="AV184" s="181"/>
      <c r="AW184" s="366" t="e">
        <f t="shared" si="68"/>
        <v>#N/A</v>
      </c>
      <c r="AX184" s="673"/>
      <c r="AZ184" s="366" t="e">
        <f t="shared" si="69"/>
        <v>#N/A</v>
      </c>
      <c r="BA184" s="673"/>
    </row>
    <row r="185" spans="2:53">
      <c r="B185" s="668"/>
      <c r="C185" s="363">
        <v>4</v>
      </c>
      <c r="D185" s="389"/>
      <c r="E185" s="389"/>
      <c r="F185" s="389"/>
      <c r="G185" s="181"/>
      <c r="H185" s="680"/>
      <c r="I185" s="391" t="str">
        <f t="shared" si="59"/>
        <v>-</v>
      </c>
      <c r="J185" s="391" t="str">
        <f t="shared" si="60"/>
        <v>-</v>
      </c>
      <c r="K185" s="199" t="str">
        <f t="shared" si="61"/>
        <v>-</v>
      </c>
      <c r="L185" s="617"/>
      <c r="M185" s="364" t="e">
        <f>RANK(K185, K$182:$K$211)</f>
        <v>#VALUE!</v>
      </c>
      <c r="N185" s="635"/>
      <c r="O185" s="635"/>
      <c r="P185" s="181"/>
      <c r="Q185" s="181"/>
      <c r="R185" s="181"/>
      <c r="S185" s="363" t="e">
        <f t="shared" si="62"/>
        <v>#N/A</v>
      </c>
      <c r="T185" s="682"/>
      <c r="U185" s="181"/>
      <c r="V185" s="181"/>
      <c r="W185" s="181"/>
      <c r="X185" s="363" t="e">
        <f t="shared" si="63"/>
        <v>#N/A</v>
      </c>
      <c r="Y185" s="682"/>
      <c r="Z185" s="181"/>
      <c r="AA185" s="181"/>
      <c r="AB185" s="181"/>
      <c r="AC185" s="363" t="e">
        <f t="shared" si="64"/>
        <v>#N/A</v>
      </c>
      <c r="AD185" s="682"/>
      <c r="AE185" s="181"/>
      <c r="AF185" s="181"/>
      <c r="AG185" s="181"/>
      <c r="AH185" s="363" t="e">
        <f t="shared" si="65"/>
        <v>#N/A</v>
      </c>
      <c r="AI185" s="682"/>
      <c r="AJ185" s="181"/>
      <c r="AK185" s="181"/>
      <c r="AL185" s="181"/>
      <c r="AM185" s="363" t="e">
        <f t="shared" si="66"/>
        <v>#N/A</v>
      </c>
      <c r="AN185" s="682"/>
      <c r="AO185" s="181"/>
      <c r="AP185" s="181"/>
      <c r="AQ185" s="181"/>
      <c r="AR185" s="363" t="e">
        <f t="shared" si="67"/>
        <v>#N/A</v>
      </c>
      <c r="AS185" s="682"/>
      <c r="AT185" s="181"/>
      <c r="AU185" s="181"/>
      <c r="AV185" s="181"/>
      <c r="AW185" s="366" t="e">
        <f t="shared" si="68"/>
        <v>#N/A</v>
      </c>
      <c r="AX185" s="673"/>
      <c r="AZ185" s="366" t="e">
        <f t="shared" si="69"/>
        <v>#N/A</v>
      </c>
      <c r="BA185" s="673"/>
    </row>
    <row r="186" spans="2:53">
      <c r="B186" s="668"/>
      <c r="C186" s="363">
        <v>5</v>
      </c>
      <c r="D186" s="389"/>
      <c r="E186" s="389"/>
      <c r="F186" s="389"/>
      <c r="G186" s="181"/>
      <c r="H186" s="680"/>
      <c r="I186" s="391" t="str">
        <f t="shared" si="59"/>
        <v>-</v>
      </c>
      <c r="J186" s="391" t="str">
        <f t="shared" si="60"/>
        <v>-</v>
      </c>
      <c r="K186" s="199" t="str">
        <f t="shared" si="61"/>
        <v>-</v>
      </c>
      <c r="L186" s="617"/>
      <c r="M186" s="364" t="e">
        <f>RANK(K186, K$182:$K$211)</f>
        <v>#VALUE!</v>
      </c>
      <c r="N186" s="635"/>
      <c r="O186" s="635"/>
      <c r="P186" s="181"/>
      <c r="Q186" s="181"/>
      <c r="R186" s="181"/>
      <c r="S186" s="363" t="e">
        <f t="shared" si="62"/>
        <v>#N/A</v>
      </c>
      <c r="T186" s="682"/>
      <c r="U186" s="181"/>
      <c r="V186" s="181"/>
      <c r="W186" s="181"/>
      <c r="X186" s="363" t="e">
        <f t="shared" si="63"/>
        <v>#N/A</v>
      </c>
      <c r="Y186" s="682"/>
      <c r="Z186" s="181"/>
      <c r="AA186" s="181"/>
      <c r="AB186" s="181"/>
      <c r="AC186" s="363" t="e">
        <f t="shared" si="64"/>
        <v>#N/A</v>
      </c>
      <c r="AD186" s="682"/>
      <c r="AE186" s="181"/>
      <c r="AF186" s="181"/>
      <c r="AG186" s="181"/>
      <c r="AH186" s="363" t="e">
        <f t="shared" si="65"/>
        <v>#N/A</v>
      </c>
      <c r="AI186" s="682"/>
      <c r="AJ186" s="181"/>
      <c r="AK186" s="181"/>
      <c r="AL186" s="181"/>
      <c r="AM186" s="363" t="e">
        <f t="shared" si="66"/>
        <v>#N/A</v>
      </c>
      <c r="AN186" s="682"/>
      <c r="AO186" s="181"/>
      <c r="AP186" s="181"/>
      <c r="AQ186" s="181"/>
      <c r="AR186" s="363" t="e">
        <f t="shared" si="67"/>
        <v>#N/A</v>
      </c>
      <c r="AS186" s="682"/>
      <c r="AT186" s="181"/>
      <c r="AU186" s="181"/>
      <c r="AV186" s="181"/>
      <c r="AW186" s="366" t="e">
        <f t="shared" si="68"/>
        <v>#N/A</v>
      </c>
      <c r="AX186" s="673"/>
      <c r="AZ186" s="366" t="e">
        <f t="shared" si="69"/>
        <v>#N/A</v>
      </c>
      <c r="BA186" s="673"/>
    </row>
    <row r="187" spans="2:53">
      <c r="B187" s="668"/>
      <c r="C187" s="363">
        <v>6</v>
      </c>
      <c r="D187" s="389"/>
      <c r="E187" s="389"/>
      <c r="F187" s="389"/>
      <c r="G187" s="181"/>
      <c r="H187" s="680"/>
      <c r="I187" s="391" t="str">
        <f t="shared" si="59"/>
        <v>-</v>
      </c>
      <c r="J187" s="391" t="str">
        <f t="shared" si="60"/>
        <v>-</v>
      </c>
      <c r="K187" s="199" t="str">
        <f t="shared" si="61"/>
        <v>-</v>
      </c>
      <c r="L187" s="617"/>
      <c r="M187" s="364" t="e">
        <f>RANK(K187, K$182:$K$211)</f>
        <v>#VALUE!</v>
      </c>
      <c r="N187" s="635"/>
      <c r="O187" s="635"/>
      <c r="P187" s="181"/>
      <c r="Q187" s="181"/>
      <c r="R187" s="181"/>
      <c r="S187" s="363" t="e">
        <f t="shared" si="62"/>
        <v>#N/A</v>
      </c>
      <c r="T187" s="682"/>
      <c r="U187" s="181"/>
      <c r="V187" s="181"/>
      <c r="W187" s="181"/>
      <c r="X187" s="363" t="e">
        <f t="shared" si="63"/>
        <v>#N/A</v>
      </c>
      <c r="Y187" s="682"/>
      <c r="Z187" s="181"/>
      <c r="AA187" s="181"/>
      <c r="AB187" s="181"/>
      <c r="AC187" s="363" t="e">
        <f t="shared" si="64"/>
        <v>#N/A</v>
      </c>
      <c r="AD187" s="682"/>
      <c r="AE187" s="181"/>
      <c r="AF187" s="181"/>
      <c r="AG187" s="181"/>
      <c r="AH187" s="363" t="e">
        <f t="shared" si="65"/>
        <v>#N/A</v>
      </c>
      <c r="AI187" s="682"/>
      <c r="AJ187" s="181"/>
      <c r="AK187" s="181"/>
      <c r="AL187" s="181"/>
      <c r="AM187" s="363" t="e">
        <f t="shared" si="66"/>
        <v>#N/A</v>
      </c>
      <c r="AN187" s="682"/>
      <c r="AO187" s="181"/>
      <c r="AP187" s="181"/>
      <c r="AQ187" s="181"/>
      <c r="AR187" s="363" t="e">
        <f t="shared" si="67"/>
        <v>#N/A</v>
      </c>
      <c r="AS187" s="682"/>
      <c r="AT187" s="181"/>
      <c r="AU187" s="181"/>
      <c r="AV187" s="181"/>
      <c r="AW187" s="366" t="e">
        <f t="shared" si="68"/>
        <v>#N/A</v>
      </c>
      <c r="AX187" s="673"/>
      <c r="AZ187" s="366" t="e">
        <f t="shared" si="69"/>
        <v>#N/A</v>
      </c>
      <c r="BA187" s="673"/>
    </row>
    <row r="188" spans="2:53">
      <c r="B188" s="668"/>
      <c r="C188" s="363">
        <v>7</v>
      </c>
      <c r="D188" s="389"/>
      <c r="E188" s="389"/>
      <c r="F188" s="389"/>
      <c r="G188" s="181"/>
      <c r="H188" s="680"/>
      <c r="I188" s="391" t="str">
        <f t="shared" si="59"/>
        <v>-</v>
      </c>
      <c r="J188" s="391" t="str">
        <f t="shared" si="60"/>
        <v>-</v>
      </c>
      <c r="K188" s="199" t="str">
        <f t="shared" si="61"/>
        <v>-</v>
      </c>
      <c r="L188" s="617"/>
      <c r="M188" s="364" t="e">
        <f>RANK(K188, K$182:$K$211)</f>
        <v>#VALUE!</v>
      </c>
      <c r="N188" s="635"/>
      <c r="O188" s="635"/>
      <c r="P188" s="181"/>
      <c r="Q188" s="181"/>
      <c r="R188" s="181"/>
      <c r="S188" s="363" t="e">
        <f t="shared" si="62"/>
        <v>#N/A</v>
      </c>
      <c r="T188" s="682"/>
      <c r="U188" s="181"/>
      <c r="V188" s="181"/>
      <c r="W188" s="181"/>
      <c r="X188" s="363" t="e">
        <f t="shared" si="63"/>
        <v>#N/A</v>
      </c>
      <c r="Y188" s="682"/>
      <c r="Z188" s="181"/>
      <c r="AA188" s="181"/>
      <c r="AB188" s="181"/>
      <c r="AC188" s="363" t="e">
        <f t="shared" si="64"/>
        <v>#N/A</v>
      </c>
      <c r="AD188" s="682"/>
      <c r="AE188" s="181"/>
      <c r="AF188" s="181"/>
      <c r="AG188" s="181"/>
      <c r="AH188" s="363" t="e">
        <f t="shared" si="65"/>
        <v>#N/A</v>
      </c>
      <c r="AI188" s="682"/>
      <c r="AJ188" s="181"/>
      <c r="AK188" s="181"/>
      <c r="AL188" s="181"/>
      <c r="AM188" s="363" t="e">
        <f t="shared" si="66"/>
        <v>#N/A</v>
      </c>
      <c r="AN188" s="682"/>
      <c r="AO188" s="181"/>
      <c r="AP188" s="181"/>
      <c r="AQ188" s="181"/>
      <c r="AR188" s="363" t="e">
        <f t="shared" si="67"/>
        <v>#N/A</v>
      </c>
      <c r="AS188" s="682"/>
      <c r="AT188" s="181"/>
      <c r="AU188" s="181"/>
      <c r="AV188" s="181"/>
      <c r="AW188" s="366" t="e">
        <f t="shared" si="68"/>
        <v>#N/A</v>
      </c>
      <c r="AX188" s="673"/>
      <c r="AZ188" s="366" t="e">
        <f t="shared" si="69"/>
        <v>#N/A</v>
      </c>
      <c r="BA188" s="673"/>
    </row>
    <row r="189" spans="2:53">
      <c r="B189" s="668"/>
      <c r="C189" s="363">
        <v>8</v>
      </c>
      <c r="D189" s="389"/>
      <c r="E189" s="389"/>
      <c r="F189" s="389"/>
      <c r="G189" s="181"/>
      <c r="H189" s="680"/>
      <c r="I189" s="391" t="str">
        <f t="shared" si="59"/>
        <v>-</v>
      </c>
      <c r="J189" s="391" t="str">
        <f t="shared" si="60"/>
        <v>-</v>
      </c>
      <c r="K189" s="199" t="str">
        <f t="shared" si="61"/>
        <v>-</v>
      </c>
      <c r="L189" s="617"/>
      <c r="M189" s="364" t="e">
        <f>RANK(K189, K$182:$K$211)</f>
        <v>#VALUE!</v>
      </c>
      <c r="N189" s="635"/>
      <c r="O189" s="635"/>
      <c r="P189" s="181"/>
      <c r="Q189" s="181"/>
      <c r="R189" s="181"/>
      <c r="S189" s="363" t="e">
        <f t="shared" si="62"/>
        <v>#N/A</v>
      </c>
      <c r="T189" s="682"/>
      <c r="U189" s="181"/>
      <c r="V189" s="181"/>
      <c r="W189" s="181"/>
      <c r="X189" s="363" t="e">
        <f t="shared" si="63"/>
        <v>#N/A</v>
      </c>
      <c r="Y189" s="682"/>
      <c r="Z189" s="181"/>
      <c r="AA189" s="181"/>
      <c r="AB189" s="181"/>
      <c r="AC189" s="363" t="e">
        <f t="shared" si="64"/>
        <v>#N/A</v>
      </c>
      <c r="AD189" s="682"/>
      <c r="AE189" s="181"/>
      <c r="AF189" s="181"/>
      <c r="AG189" s="181"/>
      <c r="AH189" s="363" t="e">
        <f t="shared" si="65"/>
        <v>#N/A</v>
      </c>
      <c r="AI189" s="682"/>
      <c r="AJ189" s="181"/>
      <c r="AK189" s="181"/>
      <c r="AL189" s="181"/>
      <c r="AM189" s="363" t="e">
        <f t="shared" si="66"/>
        <v>#N/A</v>
      </c>
      <c r="AN189" s="682"/>
      <c r="AO189" s="181"/>
      <c r="AP189" s="181"/>
      <c r="AQ189" s="181"/>
      <c r="AR189" s="363" t="e">
        <f t="shared" si="67"/>
        <v>#N/A</v>
      </c>
      <c r="AS189" s="682"/>
      <c r="AT189" s="181"/>
      <c r="AU189" s="181"/>
      <c r="AV189" s="181"/>
      <c r="AW189" s="366" t="e">
        <f t="shared" si="68"/>
        <v>#N/A</v>
      </c>
      <c r="AX189" s="673"/>
      <c r="AZ189" s="366" t="e">
        <f t="shared" si="69"/>
        <v>#N/A</v>
      </c>
      <c r="BA189" s="673"/>
    </row>
    <row r="190" spans="2:53">
      <c r="B190" s="668"/>
      <c r="C190" s="363">
        <v>9</v>
      </c>
      <c r="D190" s="389"/>
      <c r="E190" s="389"/>
      <c r="F190" s="389"/>
      <c r="G190" s="181"/>
      <c r="H190" s="680"/>
      <c r="I190" s="391" t="str">
        <f t="shared" si="59"/>
        <v>-</v>
      </c>
      <c r="J190" s="391" t="str">
        <f t="shared" si="60"/>
        <v>-</v>
      </c>
      <c r="K190" s="199" t="str">
        <f t="shared" si="61"/>
        <v>-</v>
      </c>
      <c r="L190" s="617"/>
      <c r="M190" s="364" t="e">
        <f>RANK(K190, K$182:$K$211)</f>
        <v>#VALUE!</v>
      </c>
      <c r="N190" s="635"/>
      <c r="O190" s="635"/>
      <c r="P190" s="181"/>
      <c r="Q190" s="181"/>
      <c r="R190" s="181"/>
      <c r="S190" s="363" t="e">
        <f t="shared" si="62"/>
        <v>#N/A</v>
      </c>
      <c r="T190" s="682"/>
      <c r="U190" s="181"/>
      <c r="V190" s="181"/>
      <c r="W190" s="181"/>
      <c r="X190" s="363" t="e">
        <f t="shared" si="63"/>
        <v>#N/A</v>
      </c>
      <c r="Y190" s="682"/>
      <c r="Z190" s="181"/>
      <c r="AA190" s="181"/>
      <c r="AB190" s="181"/>
      <c r="AC190" s="363" t="e">
        <f t="shared" si="64"/>
        <v>#N/A</v>
      </c>
      <c r="AD190" s="682"/>
      <c r="AE190" s="181"/>
      <c r="AF190" s="181"/>
      <c r="AG190" s="181"/>
      <c r="AH190" s="363" t="e">
        <f t="shared" si="65"/>
        <v>#N/A</v>
      </c>
      <c r="AI190" s="682"/>
      <c r="AJ190" s="181"/>
      <c r="AK190" s="181"/>
      <c r="AL190" s="181"/>
      <c r="AM190" s="363" t="e">
        <f t="shared" si="66"/>
        <v>#N/A</v>
      </c>
      <c r="AN190" s="682"/>
      <c r="AO190" s="181"/>
      <c r="AP190" s="181"/>
      <c r="AQ190" s="181"/>
      <c r="AR190" s="363" t="e">
        <f t="shared" si="67"/>
        <v>#N/A</v>
      </c>
      <c r="AS190" s="682"/>
      <c r="AT190" s="181"/>
      <c r="AU190" s="181"/>
      <c r="AV190" s="181"/>
      <c r="AW190" s="366" t="e">
        <f t="shared" si="68"/>
        <v>#N/A</v>
      </c>
      <c r="AX190" s="673"/>
      <c r="AZ190" s="366" t="e">
        <f t="shared" si="69"/>
        <v>#N/A</v>
      </c>
      <c r="BA190" s="673"/>
    </row>
    <row r="191" spans="2:53">
      <c r="B191" s="668"/>
      <c r="C191" s="363">
        <v>10</v>
      </c>
      <c r="D191" s="389"/>
      <c r="E191" s="389"/>
      <c r="F191" s="389"/>
      <c r="G191" s="181"/>
      <c r="H191" s="680"/>
      <c r="I191" s="391" t="str">
        <f t="shared" si="59"/>
        <v>-</v>
      </c>
      <c r="J191" s="391" t="str">
        <f t="shared" si="60"/>
        <v>-</v>
      </c>
      <c r="K191" s="199" t="str">
        <f t="shared" si="61"/>
        <v>-</v>
      </c>
      <c r="L191" s="617"/>
      <c r="M191" s="364" t="e">
        <f>RANK(K191, K$182:$K$211)</f>
        <v>#VALUE!</v>
      </c>
      <c r="N191" s="635"/>
      <c r="O191" s="635"/>
      <c r="P191" s="181"/>
      <c r="Q191" s="181"/>
      <c r="R191" s="181"/>
      <c r="S191" s="363" t="e">
        <f t="shared" si="62"/>
        <v>#N/A</v>
      </c>
      <c r="T191" s="682"/>
      <c r="U191" s="181"/>
      <c r="V191" s="181"/>
      <c r="W191" s="181"/>
      <c r="X191" s="363" t="e">
        <f t="shared" si="63"/>
        <v>#N/A</v>
      </c>
      <c r="Y191" s="682"/>
      <c r="Z191" s="181"/>
      <c r="AA191" s="181"/>
      <c r="AB191" s="181"/>
      <c r="AC191" s="363" t="e">
        <f t="shared" si="64"/>
        <v>#N/A</v>
      </c>
      <c r="AD191" s="682"/>
      <c r="AE191" s="181"/>
      <c r="AF191" s="181"/>
      <c r="AG191" s="181"/>
      <c r="AH191" s="363" t="e">
        <f t="shared" si="65"/>
        <v>#N/A</v>
      </c>
      <c r="AI191" s="682"/>
      <c r="AJ191" s="181"/>
      <c r="AK191" s="181"/>
      <c r="AL191" s="181"/>
      <c r="AM191" s="363" t="e">
        <f t="shared" si="66"/>
        <v>#N/A</v>
      </c>
      <c r="AN191" s="682"/>
      <c r="AO191" s="181"/>
      <c r="AP191" s="181"/>
      <c r="AQ191" s="181"/>
      <c r="AR191" s="363" t="e">
        <f t="shared" si="67"/>
        <v>#N/A</v>
      </c>
      <c r="AS191" s="682"/>
      <c r="AT191" s="181"/>
      <c r="AU191" s="181"/>
      <c r="AV191" s="181"/>
      <c r="AW191" s="366" t="e">
        <f t="shared" si="68"/>
        <v>#N/A</v>
      </c>
      <c r="AX191" s="673"/>
      <c r="AZ191" s="366" t="e">
        <f t="shared" si="69"/>
        <v>#N/A</v>
      </c>
      <c r="BA191" s="673"/>
    </row>
    <row r="192" spans="2:53">
      <c r="B192" s="668"/>
      <c r="C192" s="363">
        <v>11</v>
      </c>
      <c r="D192" s="389"/>
      <c r="E192" s="389"/>
      <c r="F192" s="389"/>
      <c r="G192" s="181"/>
      <c r="H192" s="680"/>
      <c r="I192" s="391" t="str">
        <f t="shared" si="59"/>
        <v>-</v>
      </c>
      <c r="J192" s="391" t="str">
        <f t="shared" si="60"/>
        <v>-</v>
      </c>
      <c r="K192" s="199" t="str">
        <f t="shared" si="61"/>
        <v>-</v>
      </c>
      <c r="L192" s="617"/>
      <c r="M192" s="364" t="e">
        <f>RANK(K192, K$182:$K$211)</f>
        <v>#VALUE!</v>
      </c>
      <c r="N192" s="635"/>
      <c r="O192" s="635"/>
      <c r="P192" s="181"/>
      <c r="Q192" s="181"/>
      <c r="R192" s="181"/>
      <c r="S192" s="363" t="e">
        <f t="shared" si="62"/>
        <v>#N/A</v>
      </c>
      <c r="T192" s="682"/>
      <c r="U192" s="181"/>
      <c r="V192" s="181"/>
      <c r="W192" s="181"/>
      <c r="X192" s="363" t="e">
        <f t="shared" si="63"/>
        <v>#N/A</v>
      </c>
      <c r="Y192" s="682"/>
      <c r="Z192" s="181"/>
      <c r="AA192" s="181"/>
      <c r="AB192" s="181"/>
      <c r="AC192" s="363" t="e">
        <f t="shared" si="64"/>
        <v>#N/A</v>
      </c>
      <c r="AD192" s="682"/>
      <c r="AE192" s="181"/>
      <c r="AF192" s="181"/>
      <c r="AG192" s="181"/>
      <c r="AH192" s="363" t="e">
        <f t="shared" si="65"/>
        <v>#N/A</v>
      </c>
      <c r="AI192" s="682"/>
      <c r="AJ192" s="181"/>
      <c r="AK192" s="181"/>
      <c r="AL192" s="181"/>
      <c r="AM192" s="363" t="e">
        <f t="shared" si="66"/>
        <v>#N/A</v>
      </c>
      <c r="AN192" s="682"/>
      <c r="AO192" s="181"/>
      <c r="AP192" s="181"/>
      <c r="AQ192" s="181"/>
      <c r="AR192" s="363" t="e">
        <f t="shared" si="67"/>
        <v>#N/A</v>
      </c>
      <c r="AS192" s="682"/>
      <c r="AT192" s="181"/>
      <c r="AU192" s="181"/>
      <c r="AV192" s="181"/>
      <c r="AW192" s="366" t="e">
        <f t="shared" si="68"/>
        <v>#N/A</v>
      </c>
      <c r="AX192" s="673"/>
      <c r="AZ192" s="366" t="e">
        <f t="shared" si="69"/>
        <v>#N/A</v>
      </c>
      <c r="BA192" s="673"/>
    </row>
    <row r="193" spans="2:53">
      <c r="B193" s="668"/>
      <c r="C193" s="363">
        <v>12</v>
      </c>
      <c r="D193" s="389"/>
      <c r="E193" s="389"/>
      <c r="F193" s="389"/>
      <c r="G193" s="181"/>
      <c r="H193" s="680"/>
      <c r="I193" s="391" t="str">
        <f t="shared" si="59"/>
        <v>-</v>
      </c>
      <c r="J193" s="391" t="str">
        <f t="shared" si="60"/>
        <v>-</v>
      </c>
      <c r="K193" s="199" t="str">
        <f t="shared" si="61"/>
        <v>-</v>
      </c>
      <c r="L193" s="617"/>
      <c r="M193" s="364" t="e">
        <f>RANK(K193, K$182:$K$211)</f>
        <v>#VALUE!</v>
      </c>
      <c r="N193" s="635"/>
      <c r="O193" s="635"/>
      <c r="P193" s="181"/>
      <c r="Q193" s="181"/>
      <c r="R193" s="181"/>
      <c r="S193" s="363" t="e">
        <f t="shared" si="62"/>
        <v>#N/A</v>
      </c>
      <c r="T193" s="682"/>
      <c r="U193" s="181"/>
      <c r="V193" s="181"/>
      <c r="W193" s="181"/>
      <c r="X193" s="363" t="e">
        <f t="shared" si="63"/>
        <v>#N/A</v>
      </c>
      <c r="Y193" s="682"/>
      <c r="Z193" s="181"/>
      <c r="AA193" s="181"/>
      <c r="AB193" s="181"/>
      <c r="AC193" s="363" t="e">
        <f t="shared" si="64"/>
        <v>#N/A</v>
      </c>
      <c r="AD193" s="682"/>
      <c r="AE193" s="181"/>
      <c r="AF193" s="181"/>
      <c r="AG193" s="181"/>
      <c r="AH193" s="363" t="e">
        <f t="shared" si="65"/>
        <v>#N/A</v>
      </c>
      <c r="AI193" s="682"/>
      <c r="AJ193" s="181"/>
      <c r="AK193" s="181"/>
      <c r="AL193" s="181"/>
      <c r="AM193" s="363" t="e">
        <f t="shared" si="66"/>
        <v>#N/A</v>
      </c>
      <c r="AN193" s="682"/>
      <c r="AO193" s="181"/>
      <c r="AP193" s="181"/>
      <c r="AQ193" s="181"/>
      <c r="AR193" s="363" t="e">
        <f t="shared" si="67"/>
        <v>#N/A</v>
      </c>
      <c r="AS193" s="682"/>
      <c r="AT193" s="181"/>
      <c r="AU193" s="181"/>
      <c r="AV193" s="181"/>
      <c r="AW193" s="366" t="e">
        <f t="shared" si="68"/>
        <v>#N/A</v>
      </c>
      <c r="AX193" s="673"/>
      <c r="AZ193" s="366" t="e">
        <f t="shared" si="69"/>
        <v>#N/A</v>
      </c>
      <c r="BA193" s="673"/>
    </row>
    <row r="194" spans="2:53">
      <c r="B194" s="668"/>
      <c r="C194" s="363">
        <v>13</v>
      </c>
      <c r="D194" s="389"/>
      <c r="E194" s="389"/>
      <c r="F194" s="389"/>
      <c r="G194" s="181"/>
      <c r="H194" s="680"/>
      <c r="I194" s="391" t="str">
        <f t="shared" si="59"/>
        <v>-</v>
      </c>
      <c r="J194" s="391" t="str">
        <f t="shared" si="60"/>
        <v>-</v>
      </c>
      <c r="K194" s="199" t="str">
        <f t="shared" si="61"/>
        <v>-</v>
      </c>
      <c r="L194" s="617"/>
      <c r="M194" s="364" t="e">
        <f>RANK(K194, K$182:$K$211)</f>
        <v>#VALUE!</v>
      </c>
      <c r="N194" s="635"/>
      <c r="O194" s="635"/>
      <c r="P194" s="181"/>
      <c r="Q194" s="181"/>
      <c r="R194" s="181"/>
      <c r="S194" s="363" t="e">
        <f t="shared" si="62"/>
        <v>#N/A</v>
      </c>
      <c r="T194" s="682"/>
      <c r="U194" s="181"/>
      <c r="V194" s="181"/>
      <c r="W194" s="181"/>
      <c r="X194" s="363" t="e">
        <f t="shared" si="63"/>
        <v>#N/A</v>
      </c>
      <c r="Y194" s="682"/>
      <c r="Z194" s="181"/>
      <c r="AA194" s="181"/>
      <c r="AB194" s="181"/>
      <c r="AC194" s="363" t="e">
        <f t="shared" si="64"/>
        <v>#N/A</v>
      </c>
      <c r="AD194" s="682"/>
      <c r="AE194" s="181"/>
      <c r="AF194" s="181"/>
      <c r="AG194" s="181"/>
      <c r="AH194" s="363" t="e">
        <f t="shared" si="65"/>
        <v>#N/A</v>
      </c>
      <c r="AI194" s="682"/>
      <c r="AJ194" s="181"/>
      <c r="AK194" s="181"/>
      <c r="AL194" s="181"/>
      <c r="AM194" s="363" t="e">
        <f t="shared" si="66"/>
        <v>#N/A</v>
      </c>
      <c r="AN194" s="682"/>
      <c r="AO194" s="181"/>
      <c r="AP194" s="181"/>
      <c r="AQ194" s="181"/>
      <c r="AR194" s="363" t="e">
        <f t="shared" si="67"/>
        <v>#N/A</v>
      </c>
      <c r="AS194" s="682"/>
      <c r="AT194" s="181"/>
      <c r="AU194" s="181"/>
      <c r="AV194" s="181"/>
      <c r="AW194" s="366" t="e">
        <f t="shared" si="68"/>
        <v>#N/A</v>
      </c>
      <c r="AX194" s="673"/>
      <c r="AZ194" s="366" t="e">
        <f t="shared" si="69"/>
        <v>#N/A</v>
      </c>
      <c r="BA194" s="673"/>
    </row>
    <row r="195" spans="2:53">
      <c r="B195" s="668"/>
      <c r="C195" s="363">
        <v>14</v>
      </c>
      <c r="D195" s="389"/>
      <c r="E195" s="389"/>
      <c r="F195" s="389"/>
      <c r="G195" s="181"/>
      <c r="H195" s="680"/>
      <c r="I195" s="391" t="str">
        <f t="shared" si="59"/>
        <v>-</v>
      </c>
      <c r="J195" s="391" t="str">
        <f t="shared" si="60"/>
        <v>-</v>
      </c>
      <c r="K195" s="199" t="str">
        <f t="shared" si="61"/>
        <v>-</v>
      </c>
      <c r="L195" s="617"/>
      <c r="M195" s="364" t="e">
        <f>RANK(K195, K$182:$K$211)</f>
        <v>#VALUE!</v>
      </c>
      <c r="N195" s="635"/>
      <c r="O195" s="635"/>
      <c r="P195" s="181"/>
      <c r="Q195" s="181"/>
      <c r="R195" s="181"/>
      <c r="S195" s="363" t="e">
        <f t="shared" si="62"/>
        <v>#N/A</v>
      </c>
      <c r="T195" s="682"/>
      <c r="U195" s="181"/>
      <c r="V195" s="181"/>
      <c r="W195" s="181"/>
      <c r="X195" s="363" t="e">
        <f t="shared" si="63"/>
        <v>#N/A</v>
      </c>
      <c r="Y195" s="682"/>
      <c r="Z195" s="181"/>
      <c r="AA195" s="181"/>
      <c r="AB195" s="181"/>
      <c r="AC195" s="363" t="e">
        <f t="shared" si="64"/>
        <v>#N/A</v>
      </c>
      <c r="AD195" s="682"/>
      <c r="AE195" s="181"/>
      <c r="AF195" s="181"/>
      <c r="AG195" s="181"/>
      <c r="AH195" s="363" t="e">
        <f t="shared" si="65"/>
        <v>#N/A</v>
      </c>
      <c r="AI195" s="682"/>
      <c r="AJ195" s="181"/>
      <c r="AK195" s="181"/>
      <c r="AL195" s="181"/>
      <c r="AM195" s="363" t="e">
        <f t="shared" si="66"/>
        <v>#N/A</v>
      </c>
      <c r="AN195" s="682"/>
      <c r="AO195" s="181"/>
      <c r="AP195" s="181"/>
      <c r="AQ195" s="181"/>
      <c r="AR195" s="363" t="e">
        <f t="shared" si="67"/>
        <v>#N/A</v>
      </c>
      <c r="AS195" s="682"/>
      <c r="AT195" s="181"/>
      <c r="AU195" s="181"/>
      <c r="AV195" s="181"/>
      <c r="AW195" s="366" t="e">
        <f t="shared" si="68"/>
        <v>#N/A</v>
      </c>
      <c r="AX195" s="673"/>
      <c r="AZ195" s="366" t="e">
        <f t="shared" si="69"/>
        <v>#N/A</v>
      </c>
      <c r="BA195" s="673"/>
    </row>
    <row r="196" spans="2:53">
      <c r="B196" s="668"/>
      <c r="C196" s="363">
        <v>15</v>
      </c>
      <c r="D196" s="389"/>
      <c r="E196" s="389"/>
      <c r="F196" s="389"/>
      <c r="G196" s="181"/>
      <c r="H196" s="680"/>
      <c r="I196" s="391" t="str">
        <f t="shared" si="59"/>
        <v>-</v>
      </c>
      <c r="J196" s="391" t="str">
        <f t="shared" si="60"/>
        <v>-</v>
      </c>
      <c r="K196" s="199" t="str">
        <f t="shared" si="61"/>
        <v>-</v>
      </c>
      <c r="L196" s="617"/>
      <c r="M196" s="364" t="e">
        <f>RANK(K196, K$182:$K$211)</f>
        <v>#VALUE!</v>
      </c>
      <c r="N196" s="635"/>
      <c r="O196" s="635"/>
      <c r="P196" s="181"/>
      <c r="Q196" s="181"/>
      <c r="R196" s="181"/>
      <c r="S196" s="363" t="e">
        <f t="shared" si="62"/>
        <v>#N/A</v>
      </c>
      <c r="T196" s="682"/>
      <c r="U196" s="181"/>
      <c r="V196" s="181"/>
      <c r="W196" s="181"/>
      <c r="X196" s="363" t="e">
        <f t="shared" si="63"/>
        <v>#N/A</v>
      </c>
      <c r="Y196" s="682"/>
      <c r="Z196" s="181"/>
      <c r="AA196" s="181"/>
      <c r="AB196" s="181"/>
      <c r="AC196" s="363" t="e">
        <f t="shared" si="64"/>
        <v>#N/A</v>
      </c>
      <c r="AD196" s="682"/>
      <c r="AE196" s="181"/>
      <c r="AF196" s="181"/>
      <c r="AG196" s="181"/>
      <c r="AH196" s="363" t="e">
        <f t="shared" si="65"/>
        <v>#N/A</v>
      </c>
      <c r="AI196" s="682"/>
      <c r="AJ196" s="181"/>
      <c r="AK196" s="181"/>
      <c r="AL196" s="181"/>
      <c r="AM196" s="363" t="e">
        <f t="shared" si="66"/>
        <v>#N/A</v>
      </c>
      <c r="AN196" s="682"/>
      <c r="AO196" s="181"/>
      <c r="AP196" s="181"/>
      <c r="AQ196" s="181"/>
      <c r="AR196" s="363" t="e">
        <f t="shared" si="67"/>
        <v>#N/A</v>
      </c>
      <c r="AS196" s="682"/>
      <c r="AT196" s="181"/>
      <c r="AU196" s="181"/>
      <c r="AV196" s="181"/>
      <c r="AW196" s="366" t="e">
        <f t="shared" si="68"/>
        <v>#N/A</v>
      </c>
      <c r="AX196" s="673"/>
      <c r="AZ196" s="366" t="e">
        <f t="shared" si="69"/>
        <v>#N/A</v>
      </c>
      <c r="BA196" s="673"/>
    </row>
    <row r="197" spans="2:53">
      <c r="B197" s="668"/>
      <c r="C197" s="363">
        <v>16</v>
      </c>
      <c r="D197" s="389"/>
      <c r="E197" s="389"/>
      <c r="F197" s="389"/>
      <c r="G197" s="181"/>
      <c r="H197" s="680"/>
      <c r="I197" s="391" t="str">
        <f t="shared" si="59"/>
        <v>-</v>
      </c>
      <c r="J197" s="391" t="str">
        <f t="shared" si="60"/>
        <v>-</v>
      </c>
      <c r="K197" s="199" t="str">
        <f t="shared" si="61"/>
        <v>-</v>
      </c>
      <c r="L197" s="617"/>
      <c r="M197" s="364" t="e">
        <f>RANK(K197, K$182:$K$211)</f>
        <v>#VALUE!</v>
      </c>
      <c r="N197" s="635"/>
      <c r="O197" s="635"/>
      <c r="P197" s="181"/>
      <c r="Q197" s="181"/>
      <c r="R197" s="181"/>
      <c r="S197" s="363" t="e">
        <f t="shared" si="62"/>
        <v>#N/A</v>
      </c>
      <c r="T197" s="682"/>
      <c r="U197" s="181"/>
      <c r="V197" s="181"/>
      <c r="W197" s="181"/>
      <c r="X197" s="363" t="e">
        <f t="shared" si="63"/>
        <v>#N/A</v>
      </c>
      <c r="Y197" s="682"/>
      <c r="Z197" s="181"/>
      <c r="AA197" s="181"/>
      <c r="AB197" s="181"/>
      <c r="AC197" s="363" t="e">
        <f t="shared" si="64"/>
        <v>#N/A</v>
      </c>
      <c r="AD197" s="682"/>
      <c r="AE197" s="181"/>
      <c r="AF197" s="181"/>
      <c r="AG197" s="181"/>
      <c r="AH197" s="363" t="e">
        <f t="shared" si="65"/>
        <v>#N/A</v>
      </c>
      <c r="AI197" s="682"/>
      <c r="AJ197" s="181"/>
      <c r="AK197" s="181"/>
      <c r="AL197" s="181"/>
      <c r="AM197" s="363" t="e">
        <f t="shared" si="66"/>
        <v>#N/A</v>
      </c>
      <c r="AN197" s="682"/>
      <c r="AO197" s="181"/>
      <c r="AP197" s="181"/>
      <c r="AQ197" s="181"/>
      <c r="AR197" s="363" t="e">
        <f t="shared" si="67"/>
        <v>#N/A</v>
      </c>
      <c r="AS197" s="682"/>
      <c r="AT197" s="181"/>
      <c r="AU197" s="181"/>
      <c r="AV197" s="181"/>
      <c r="AW197" s="366" t="e">
        <f t="shared" si="68"/>
        <v>#N/A</v>
      </c>
      <c r="AX197" s="673"/>
      <c r="AZ197" s="366" t="e">
        <f t="shared" si="69"/>
        <v>#N/A</v>
      </c>
      <c r="BA197" s="673"/>
    </row>
    <row r="198" spans="2:53">
      <c r="B198" s="668"/>
      <c r="C198" s="363">
        <v>17</v>
      </c>
      <c r="D198" s="389"/>
      <c r="E198" s="389"/>
      <c r="F198" s="389"/>
      <c r="G198" s="181"/>
      <c r="H198" s="680"/>
      <c r="I198" s="391" t="str">
        <f t="shared" si="59"/>
        <v>-</v>
      </c>
      <c r="J198" s="391" t="str">
        <f t="shared" si="60"/>
        <v>-</v>
      </c>
      <c r="K198" s="199" t="str">
        <f t="shared" si="61"/>
        <v>-</v>
      </c>
      <c r="L198" s="617"/>
      <c r="M198" s="364" t="e">
        <f>RANK(K198, K$182:$K$211)</f>
        <v>#VALUE!</v>
      </c>
      <c r="N198" s="635"/>
      <c r="O198" s="635"/>
      <c r="P198" s="181"/>
      <c r="Q198" s="181"/>
      <c r="R198" s="181"/>
      <c r="S198" s="363" t="e">
        <f t="shared" si="62"/>
        <v>#N/A</v>
      </c>
      <c r="T198" s="682"/>
      <c r="U198" s="181"/>
      <c r="V198" s="181"/>
      <c r="W198" s="181"/>
      <c r="X198" s="363" t="e">
        <f t="shared" si="63"/>
        <v>#N/A</v>
      </c>
      <c r="Y198" s="682"/>
      <c r="Z198" s="181"/>
      <c r="AA198" s="181"/>
      <c r="AB198" s="181"/>
      <c r="AC198" s="363" t="e">
        <f t="shared" si="64"/>
        <v>#N/A</v>
      </c>
      <c r="AD198" s="682"/>
      <c r="AE198" s="181"/>
      <c r="AF198" s="181"/>
      <c r="AG198" s="181"/>
      <c r="AH198" s="363" t="e">
        <f t="shared" si="65"/>
        <v>#N/A</v>
      </c>
      <c r="AI198" s="682"/>
      <c r="AJ198" s="181"/>
      <c r="AK198" s="181"/>
      <c r="AL198" s="181"/>
      <c r="AM198" s="363" t="e">
        <f t="shared" si="66"/>
        <v>#N/A</v>
      </c>
      <c r="AN198" s="682"/>
      <c r="AO198" s="181"/>
      <c r="AP198" s="181"/>
      <c r="AQ198" s="181"/>
      <c r="AR198" s="363" t="e">
        <f t="shared" si="67"/>
        <v>#N/A</v>
      </c>
      <c r="AS198" s="682"/>
      <c r="AT198" s="181"/>
      <c r="AU198" s="181"/>
      <c r="AV198" s="181"/>
      <c r="AW198" s="366" t="e">
        <f t="shared" si="68"/>
        <v>#N/A</v>
      </c>
      <c r="AX198" s="673"/>
      <c r="AZ198" s="366" t="e">
        <f t="shared" si="69"/>
        <v>#N/A</v>
      </c>
      <c r="BA198" s="673"/>
    </row>
    <row r="199" spans="2:53">
      <c r="B199" s="668"/>
      <c r="C199" s="363">
        <v>18</v>
      </c>
      <c r="D199" s="389"/>
      <c r="E199" s="389"/>
      <c r="F199" s="389"/>
      <c r="G199" s="181"/>
      <c r="H199" s="680"/>
      <c r="I199" s="391" t="str">
        <f t="shared" si="59"/>
        <v>-</v>
      </c>
      <c r="J199" s="391" t="str">
        <f t="shared" si="60"/>
        <v>-</v>
      </c>
      <c r="K199" s="199" t="str">
        <f t="shared" si="61"/>
        <v>-</v>
      </c>
      <c r="L199" s="617"/>
      <c r="M199" s="364" t="e">
        <f>RANK(K199, K$182:$K$211)</f>
        <v>#VALUE!</v>
      </c>
      <c r="N199" s="635"/>
      <c r="O199" s="635"/>
      <c r="P199" s="181"/>
      <c r="Q199" s="181"/>
      <c r="R199" s="181"/>
      <c r="S199" s="363" t="e">
        <f t="shared" si="62"/>
        <v>#N/A</v>
      </c>
      <c r="T199" s="682"/>
      <c r="U199" s="181"/>
      <c r="V199" s="181"/>
      <c r="W199" s="181"/>
      <c r="X199" s="363" t="e">
        <f t="shared" si="63"/>
        <v>#N/A</v>
      </c>
      <c r="Y199" s="682"/>
      <c r="Z199" s="181"/>
      <c r="AA199" s="181"/>
      <c r="AB199" s="181"/>
      <c r="AC199" s="363" t="e">
        <f t="shared" si="64"/>
        <v>#N/A</v>
      </c>
      <c r="AD199" s="682"/>
      <c r="AE199" s="181"/>
      <c r="AF199" s="181"/>
      <c r="AG199" s="181"/>
      <c r="AH199" s="363" t="e">
        <f t="shared" si="65"/>
        <v>#N/A</v>
      </c>
      <c r="AI199" s="682"/>
      <c r="AJ199" s="181"/>
      <c r="AK199" s="181"/>
      <c r="AL199" s="181"/>
      <c r="AM199" s="363" t="e">
        <f t="shared" si="66"/>
        <v>#N/A</v>
      </c>
      <c r="AN199" s="682"/>
      <c r="AO199" s="181"/>
      <c r="AP199" s="181"/>
      <c r="AQ199" s="181"/>
      <c r="AR199" s="363" t="e">
        <f t="shared" si="67"/>
        <v>#N/A</v>
      </c>
      <c r="AS199" s="682"/>
      <c r="AT199" s="181"/>
      <c r="AU199" s="181"/>
      <c r="AV199" s="181"/>
      <c r="AW199" s="366" t="e">
        <f t="shared" si="68"/>
        <v>#N/A</v>
      </c>
      <c r="AX199" s="673"/>
      <c r="AZ199" s="366" t="e">
        <f t="shared" si="69"/>
        <v>#N/A</v>
      </c>
      <c r="BA199" s="673"/>
    </row>
    <row r="200" spans="2:53">
      <c r="B200" s="668"/>
      <c r="C200" s="363">
        <v>19</v>
      </c>
      <c r="D200" s="389"/>
      <c r="E200" s="389"/>
      <c r="F200" s="389"/>
      <c r="G200" s="181"/>
      <c r="H200" s="680"/>
      <c r="I200" s="391" t="str">
        <f t="shared" si="59"/>
        <v>-</v>
      </c>
      <c r="J200" s="391" t="str">
        <f t="shared" si="60"/>
        <v>-</v>
      </c>
      <c r="K200" s="199" t="str">
        <f t="shared" si="61"/>
        <v>-</v>
      </c>
      <c r="L200" s="617"/>
      <c r="M200" s="364" t="e">
        <f>RANK(K200, K$182:$K$211)</f>
        <v>#VALUE!</v>
      </c>
      <c r="N200" s="635"/>
      <c r="O200" s="635"/>
      <c r="P200" s="181"/>
      <c r="Q200" s="181"/>
      <c r="R200" s="181"/>
      <c r="S200" s="363" t="e">
        <f t="shared" si="62"/>
        <v>#N/A</v>
      </c>
      <c r="T200" s="682"/>
      <c r="U200" s="181"/>
      <c r="V200" s="181"/>
      <c r="W200" s="181"/>
      <c r="X200" s="363" t="e">
        <f t="shared" si="63"/>
        <v>#N/A</v>
      </c>
      <c r="Y200" s="682"/>
      <c r="Z200" s="181"/>
      <c r="AA200" s="181"/>
      <c r="AB200" s="181"/>
      <c r="AC200" s="363" t="e">
        <f t="shared" si="64"/>
        <v>#N/A</v>
      </c>
      <c r="AD200" s="682"/>
      <c r="AE200" s="181"/>
      <c r="AF200" s="181"/>
      <c r="AG200" s="181"/>
      <c r="AH200" s="363" t="e">
        <f t="shared" si="65"/>
        <v>#N/A</v>
      </c>
      <c r="AI200" s="682"/>
      <c r="AJ200" s="181"/>
      <c r="AK200" s="181"/>
      <c r="AL200" s="181"/>
      <c r="AM200" s="363" t="e">
        <f t="shared" si="66"/>
        <v>#N/A</v>
      </c>
      <c r="AN200" s="682"/>
      <c r="AO200" s="181"/>
      <c r="AP200" s="181"/>
      <c r="AQ200" s="181"/>
      <c r="AR200" s="363" t="e">
        <f t="shared" si="67"/>
        <v>#N/A</v>
      </c>
      <c r="AS200" s="682"/>
      <c r="AT200" s="181"/>
      <c r="AU200" s="181"/>
      <c r="AV200" s="181"/>
      <c r="AW200" s="366" t="e">
        <f t="shared" si="68"/>
        <v>#N/A</v>
      </c>
      <c r="AX200" s="673"/>
      <c r="AZ200" s="366" t="e">
        <f t="shared" si="69"/>
        <v>#N/A</v>
      </c>
      <c r="BA200" s="673"/>
    </row>
    <row r="201" spans="2:53">
      <c r="B201" s="668"/>
      <c r="C201" s="363">
        <v>20</v>
      </c>
      <c r="D201" s="389"/>
      <c r="E201" s="389"/>
      <c r="F201" s="389"/>
      <c r="G201" s="181"/>
      <c r="H201" s="680"/>
      <c r="I201" s="391" t="str">
        <f t="shared" si="59"/>
        <v>-</v>
      </c>
      <c r="J201" s="391" t="str">
        <f t="shared" si="60"/>
        <v>-</v>
      </c>
      <c r="K201" s="199" t="str">
        <f t="shared" si="61"/>
        <v>-</v>
      </c>
      <c r="L201" s="617"/>
      <c r="M201" s="364" t="e">
        <f>RANK(K201, K$182:$K$211)</f>
        <v>#VALUE!</v>
      </c>
      <c r="N201" s="635"/>
      <c r="O201" s="635"/>
      <c r="P201" s="181"/>
      <c r="Q201" s="181"/>
      <c r="R201" s="181"/>
      <c r="S201" s="363" t="e">
        <f t="shared" si="62"/>
        <v>#N/A</v>
      </c>
      <c r="T201" s="682"/>
      <c r="U201" s="181"/>
      <c r="V201" s="181"/>
      <c r="W201" s="181"/>
      <c r="X201" s="363" t="e">
        <f t="shared" si="63"/>
        <v>#N/A</v>
      </c>
      <c r="Y201" s="682"/>
      <c r="Z201" s="181"/>
      <c r="AA201" s="181"/>
      <c r="AB201" s="181"/>
      <c r="AC201" s="363" t="e">
        <f t="shared" si="64"/>
        <v>#N/A</v>
      </c>
      <c r="AD201" s="682"/>
      <c r="AE201" s="181"/>
      <c r="AF201" s="181"/>
      <c r="AG201" s="181"/>
      <c r="AH201" s="363" t="e">
        <f t="shared" si="65"/>
        <v>#N/A</v>
      </c>
      <c r="AI201" s="682"/>
      <c r="AJ201" s="181"/>
      <c r="AK201" s="181"/>
      <c r="AL201" s="181"/>
      <c r="AM201" s="363" t="e">
        <f t="shared" si="66"/>
        <v>#N/A</v>
      </c>
      <c r="AN201" s="682"/>
      <c r="AO201" s="181"/>
      <c r="AP201" s="181"/>
      <c r="AQ201" s="181"/>
      <c r="AR201" s="363" t="e">
        <f t="shared" si="67"/>
        <v>#N/A</v>
      </c>
      <c r="AS201" s="682"/>
      <c r="AT201" s="181"/>
      <c r="AU201" s="181"/>
      <c r="AV201" s="181"/>
      <c r="AW201" s="366" t="e">
        <f t="shared" si="68"/>
        <v>#N/A</v>
      </c>
      <c r="AX201" s="673"/>
      <c r="AZ201" s="366" t="e">
        <f t="shared" si="69"/>
        <v>#N/A</v>
      </c>
      <c r="BA201" s="673"/>
    </row>
    <row r="202" spans="2:53">
      <c r="B202" s="668"/>
      <c r="C202" s="363">
        <v>21</v>
      </c>
      <c r="D202" s="394"/>
      <c r="E202" s="389"/>
      <c r="F202" s="389"/>
      <c r="G202" s="181"/>
      <c r="H202" s="680"/>
      <c r="I202" s="391" t="str">
        <f t="shared" si="59"/>
        <v>-</v>
      </c>
      <c r="J202" s="391" t="str">
        <f t="shared" si="60"/>
        <v>-</v>
      </c>
      <c r="K202" s="199" t="str">
        <f t="shared" si="61"/>
        <v>-</v>
      </c>
      <c r="L202" s="617"/>
      <c r="M202" s="364" t="e">
        <f>RANK(K202, K$182:$K$211)</f>
        <v>#VALUE!</v>
      </c>
      <c r="N202" s="635"/>
      <c r="O202" s="635"/>
      <c r="P202" s="369"/>
      <c r="Q202" s="181"/>
      <c r="R202" s="370"/>
      <c r="S202" s="363" t="e">
        <f t="shared" si="62"/>
        <v>#N/A</v>
      </c>
      <c r="T202" s="682"/>
      <c r="U202" s="369"/>
      <c r="V202" s="181"/>
      <c r="W202" s="370"/>
      <c r="X202" s="363" t="e">
        <f t="shared" si="63"/>
        <v>#N/A</v>
      </c>
      <c r="Y202" s="682"/>
      <c r="Z202" s="369"/>
      <c r="AA202" s="181"/>
      <c r="AB202" s="370"/>
      <c r="AC202" s="363" t="e">
        <f t="shared" si="64"/>
        <v>#N/A</v>
      </c>
      <c r="AD202" s="682"/>
      <c r="AE202" s="369"/>
      <c r="AF202" s="181"/>
      <c r="AG202" s="370"/>
      <c r="AH202" s="363" t="e">
        <f t="shared" si="65"/>
        <v>#N/A</v>
      </c>
      <c r="AI202" s="682"/>
      <c r="AJ202" s="369"/>
      <c r="AK202" s="181"/>
      <c r="AL202" s="370"/>
      <c r="AM202" s="363" t="e">
        <f t="shared" si="66"/>
        <v>#N/A</v>
      </c>
      <c r="AN202" s="682"/>
      <c r="AO202" s="369"/>
      <c r="AP202" s="181"/>
      <c r="AQ202" s="370"/>
      <c r="AR202" s="363" t="e">
        <f t="shared" si="67"/>
        <v>#N/A</v>
      </c>
      <c r="AS202" s="682"/>
      <c r="AT202" s="369"/>
      <c r="AU202" s="181"/>
      <c r="AV202" s="370"/>
      <c r="AW202" s="366" t="e">
        <f t="shared" si="68"/>
        <v>#N/A</v>
      </c>
      <c r="AX202" s="673"/>
      <c r="AZ202" s="366" t="e">
        <f t="shared" si="69"/>
        <v>#N/A</v>
      </c>
      <c r="BA202" s="673"/>
    </row>
    <row r="203" spans="2:53">
      <c r="B203" s="668"/>
      <c r="C203" s="363">
        <v>22</v>
      </c>
      <c r="D203" s="389"/>
      <c r="E203" s="389"/>
      <c r="F203" s="389"/>
      <c r="G203" s="389"/>
      <c r="H203" s="680"/>
      <c r="I203" s="391" t="str">
        <f t="shared" si="59"/>
        <v>-</v>
      </c>
      <c r="J203" s="391" t="str">
        <f t="shared" si="60"/>
        <v>-</v>
      </c>
      <c r="K203" s="199" t="str">
        <f t="shared" si="61"/>
        <v>-</v>
      </c>
      <c r="L203" s="617"/>
      <c r="M203" s="364" t="e">
        <f>RANK(K203, K$182:$K$211)</f>
        <v>#VALUE!</v>
      </c>
      <c r="N203" s="635"/>
      <c r="O203" s="635"/>
      <c r="P203" s="369"/>
      <c r="Q203" s="181"/>
      <c r="R203" s="370"/>
      <c r="S203" s="363" t="e">
        <f t="shared" si="62"/>
        <v>#N/A</v>
      </c>
      <c r="T203" s="682"/>
      <c r="U203" s="369"/>
      <c r="V203" s="181"/>
      <c r="W203" s="370"/>
      <c r="X203" s="363" t="e">
        <f t="shared" si="63"/>
        <v>#N/A</v>
      </c>
      <c r="Y203" s="682"/>
      <c r="Z203" s="369"/>
      <c r="AA203" s="181"/>
      <c r="AB203" s="370"/>
      <c r="AC203" s="363" t="e">
        <f t="shared" si="64"/>
        <v>#N/A</v>
      </c>
      <c r="AD203" s="682"/>
      <c r="AE203" s="369"/>
      <c r="AF203" s="181"/>
      <c r="AG203" s="370"/>
      <c r="AH203" s="363" t="e">
        <f t="shared" si="65"/>
        <v>#N/A</v>
      </c>
      <c r="AI203" s="682"/>
      <c r="AJ203" s="369"/>
      <c r="AK203" s="181"/>
      <c r="AL203" s="370"/>
      <c r="AM203" s="363" t="e">
        <f t="shared" si="66"/>
        <v>#N/A</v>
      </c>
      <c r="AN203" s="682"/>
      <c r="AO203" s="369"/>
      <c r="AP203" s="181"/>
      <c r="AQ203" s="370"/>
      <c r="AR203" s="363" t="e">
        <f t="shared" si="67"/>
        <v>#N/A</v>
      </c>
      <c r="AS203" s="682"/>
      <c r="AT203" s="369"/>
      <c r="AU203" s="181"/>
      <c r="AV203" s="370"/>
      <c r="AW203" s="366" t="e">
        <f t="shared" si="68"/>
        <v>#N/A</v>
      </c>
      <c r="AX203" s="673"/>
      <c r="AZ203" s="366" t="e">
        <f t="shared" si="69"/>
        <v>#N/A</v>
      </c>
      <c r="BA203" s="673"/>
    </row>
    <row r="204" spans="2:53">
      <c r="B204" s="668"/>
      <c r="C204" s="363">
        <v>23</v>
      </c>
      <c r="D204" s="389"/>
      <c r="E204" s="389"/>
      <c r="F204" s="389"/>
      <c r="G204" s="389"/>
      <c r="H204" s="680"/>
      <c r="I204" s="391" t="str">
        <f t="shared" si="59"/>
        <v>-</v>
      </c>
      <c r="J204" s="391" t="str">
        <f t="shared" si="60"/>
        <v>-</v>
      </c>
      <c r="K204" s="199" t="str">
        <f t="shared" si="61"/>
        <v>-</v>
      </c>
      <c r="L204" s="617"/>
      <c r="M204" s="364" t="e">
        <f>RANK(K204, K$182:$K$211)</f>
        <v>#VALUE!</v>
      </c>
      <c r="N204" s="635"/>
      <c r="O204" s="635"/>
      <c r="P204" s="369"/>
      <c r="Q204" s="369"/>
      <c r="R204" s="370"/>
      <c r="S204" s="363" t="e">
        <f t="shared" si="62"/>
        <v>#N/A</v>
      </c>
      <c r="T204" s="682"/>
      <c r="U204" s="369"/>
      <c r="V204" s="369"/>
      <c r="W204" s="370"/>
      <c r="X204" s="363" t="e">
        <f t="shared" si="63"/>
        <v>#N/A</v>
      </c>
      <c r="Y204" s="682"/>
      <c r="Z204" s="369"/>
      <c r="AA204" s="369"/>
      <c r="AB204" s="370"/>
      <c r="AC204" s="363" t="e">
        <f t="shared" si="64"/>
        <v>#N/A</v>
      </c>
      <c r="AD204" s="682"/>
      <c r="AE204" s="369"/>
      <c r="AF204" s="369"/>
      <c r="AG204" s="370"/>
      <c r="AH204" s="363" t="e">
        <f t="shared" si="65"/>
        <v>#N/A</v>
      </c>
      <c r="AI204" s="682"/>
      <c r="AJ204" s="369"/>
      <c r="AK204" s="369"/>
      <c r="AL204" s="370"/>
      <c r="AM204" s="363" t="e">
        <f t="shared" si="66"/>
        <v>#N/A</v>
      </c>
      <c r="AN204" s="682"/>
      <c r="AO204" s="369"/>
      <c r="AP204" s="369"/>
      <c r="AQ204" s="370"/>
      <c r="AR204" s="363" t="e">
        <f t="shared" si="67"/>
        <v>#N/A</v>
      </c>
      <c r="AS204" s="682"/>
      <c r="AT204" s="369"/>
      <c r="AU204" s="369"/>
      <c r="AV204" s="370"/>
      <c r="AW204" s="366" t="e">
        <f t="shared" si="68"/>
        <v>#N/A</v>
      </c>
      <c r="AX204" s="673"/>
      <c r="AZ204" s="366" t="e">
        <f t="shared" si="69"/>
        <v>#N/A</v>
      </c>
      <c r="BA204" s="673"/>
    </row>
    <row r="205" spans="2:53">
      <c r="B205" s="668"/>
      <c r="C205" s="363">
        <v>24</v>
      </c>
      <c r="D205" s="389"/>
      <c r="E205" s="389"/>
      <c r="F205" s="389"/>
      <c r="G205" s="389"/>
      <c r="H205" s="680"/>
      <c r="I205" s="391" t="str">
        <f t="shared" si="59"/>
        <v>-</v>
      </c>
      <c r="J205" s="391" t="str">
        <f t="shared" si="60"/>
        <v>-</v>
      </c>
      <c r="K205" s="199" t="str">
        <f t="shared" si="61"/>
        <v>-</v>
      </c>
      <c r="L205" s="617"/>
      <c r="M205" s="364" t="e">
        <f>RANK(K205, K$182:$K$211)</f>
        <v>#VALUE!</v>
      </c>
      <c r="N205" s="635"/>
      <c r="O205" s="635"/>
      <c r="P205" s="369"/>
      <c r="Q205" s="369"/>
      <c r="R205" s="369"/>
      <c r="S205" s="363" t="e">
        <f t="shared" si="62"/>
        <v>#N/A</v>
      </c>
      <c r="T205" s="682"/>
      <c r="U205" s="369"/>
      <c r="V205" s="369"/>
      <c r="W205" s="369"/>
      <c r="X205" s="363" t="e">
        <f t="shared" si="63"/>
        <v>#N/A</v>
      </c>
      <c r="Y205" s="682"/>
      <c r="Z205" s="369"/>
      <c r="AA205" s="369"/>
      <c r="AB205" s="369"/>
      <c r="AC205" s="363" t="e">
        <f t="shared" si="64"/>
        <v>#N/A</v>
      </c>
      <c r="AD205" s="682"/>
      <c r="AE205" s="369"/>
      <c r="AF205" s="369"/>
      <c r="AG205" s="369"/>
      <c r="AH205" s="363" t="e">
        <f t="shared" si="65"/>
        <v>#N/A</v>
      </c>
      <c r="AI205" s="682"/>
      <c r="AJ205" s="369"/>
      <c r="AK205" s="369"/>
      <c r="AL205" s="369"/>
      <c r="AM205" s="363" t="e">
        <f t="shared" si="66"/>
        <v>#N/A</v>
      </c>
      <c r="AN205" s="682"/>
      <c r="AO205" s="369"/>
      <c r="AP205" s="369"/>
      <c r="AQ205" s="369"/>
      <c r="AR205" s="363" t="e">
        <f t="shared" si="67"/>
        <v>#N/A</v>
      </c>
      <c r="AS205" s="682"/>
      <c r="AT205" s="369"/>
      <c r="AU205" s="369"/>
      <c r="AV205" s="369"/>
      <c r="AW205" s="366" t="e">
        <f t="shared" si="68"/>
        <v>#N/A</v>
      </c>
      <c r="AX205" s="673"/>
      <c r="AZ205" s="366" t="e">
        <f t="shared" si="69"/>
        <v>#N/A</v>
      </c>
      <c r="BA205" s="673"/>
    </row>
    <row r="206" spans="2:53">
      <c r="B206" s="668"/>
      <c r="C206" s="363">
        <v>25</v>
      </c>
      <c r="D206" s="389"/>
      <c r="E206" s="389"/>
      <c r="F206" s="389"/>
      <c r="G206" s="389"/>
      <c r="H206" s="680"/>
      <c r="I206" s="391" t="str">
        <f t="shared" si="59"/>
        <v>-</v>
      </c>
      <c r="J206" s="391" t="str">
        <f t="shared" si="60"/>
        <v>-</v>
      </c>
      <c r="K206" s="199" t="str">
        <f t="shared" si="61"/>
        <v>-</v>
      </c>
      <c r="L206" s="617"/>
      <c r="M206" s="364" t="e">
        <f>RANK(K206, K$182:$K$211)</f>
        <v>#VALUE!</v>
      </c>
      <c r="N206" s="635"/>
      <c r="O206" s="635"/>
      <c r="P206" s="369"/>
      <c r="Q206" s="369"/>
      <c r="R206" s="369"/>
      <c r="S206" s="363" t="e">
        <f t="shared" si="62"/>
        <v>#N/A</v>
      </c>
      <c r="T206" s="682"/>
      <c r="U206" s="369"/>
      <c r="V206" s="369"/>
      <c r="W206" s="369"/>
      <c r="X206" s="363" t="e">
        <f t="shared" si="63"/>
        <v>#N/A</v>
      </c>
      <c r="Y206" s="682"/>
      <c r="Z206" s="369"/>
      <c r="AA206" s="369"/>
      <c r="AB206" s="369"/>
      <c r="AC206" s="363" t="e">
        <f t="shared" si="64"/>
        <v>#N/A</v>
      </c>
      <c r="AD206" s="682"/>
      <c r="AE206" s="369"/>
      <c r="AF206" s="369"/>
      <c r="AG206" s="369"/>
      <c r="AH206" s="363" t="e">
        <f t="shared" si="65"/>
        <v>#N/A</v>
      </c>
      <c r="AI206" s="682"/>
      <c r="AJ206" s="369"/>
      <c r="AK206" s="369"/>
      <c r="AL206" s="369"/>
      <c r="AM206" s="363" t="e">
        <f t="shared" si="66"/>
        <v>#N/A</v>
      </c>
      <c r="AN206" s="682"/>
      <c r="AO206" s="369"/>
      <c r="AP206" s="369"/>
      <c r="AQ206" s="369"/>
      <c r="AR206" s="363" t="e">
        <f t="shared" si="67"/>
        <v>#N/A</v>
      </c>
      <c r="AS206" s="682"/>
      <c r="AT206" s="369"/>
      <c r="AU206" s="369"/>
      <c r="AV206" s="369"/>
      <c r="AW206" s="366" t="e">
        <f t="shared" si="68"/>
        <v>#N/A</v>
      </c>
      <c r="AX206" s="673"/>
      <c r="AZ206" s="366" t="e">
        <f t="shared" si="69"/>
        <v>#N/A</v>
      </c>
      <c r="BA206" s="673"/>
    </row>
    <row r="207" spans="2:53">
      <c r="B207" s="668"/>
      <c r="C207" s="363">
        <v>26</v>
      </c>
      <c r="D207" s="389"/>
      <c r="E207" s="389"/>
      <c r="F207" s="389"/>
      <c r="G207" s="389"/>
      <c r="H207" s="680"/>
      <c r="I207" s="391" t="str">
        <f t="shared" si="59"/>
        <v>-</v>
      </c>
      <c r="J207" s="391" t="str">
        <f t="shared" si="60"/>
        <v>-</v>
      </c>
      <c r="K207" s="199" t="str">
        <f t="shared" si="61"/>
        <v>-</v>
      </c>
      <c r="L207" s="617"/>
      <c r="M207" s="364" t="e">
        <f>RANK(K207, K$182:$K$211)</f>
        <v>#VALUE!</v>
      </c>
      <c r="N207" s="635"/>
      <c r="O207" s="635"/>
      <c r="P207" s="369"/>
      <c r="Q207" s="369"/>
      <c r="R207" s="369"/>
      <c r="S207" s="363" t="e">
        <f t="shared" si="62"/>
        <v>#N/A</v>
      </c>
      <c r="T207" s="682"/>
      <c r="U207" s="369"/>
      <c r="V207" s="369"/>
      <c r="W207" s="369"/>
      <c r="X207" s="363" t="e">
        <f t="shared" si="63"/>
        <v>#N/A</v>
      </c>
      <c r="Y207" s="682"/>
      <c r="Z207" s="369"/>
      <c r="AA207" s="369"/>
      <c r="AB207" s="369"/>
      <c r="AC207" s="363" t="e">
        <f t="shared" si="64"/>
        <v>#N/A</v>
      </c>
      <c r="AD207" s="682"/>
      <c r="AE207" s="369"/>
      <c r="AF207" s="369"/>
      <c r="AG207" s="369"/>
      <c r="AH207" s="363" t="e">
        <f t="shared" si="65"/>
        <v>#N/A</v>
      </c>
      <c r="AI207" s="682"/>
      <c r="AJ207" s="369"/>
      <c r="AK207" s="369"/>
      <c r="AL207" s="369"/>
      <c r="AM207" s="363" t="e">
        <f t="shared" si="66"/>
        <v>#N/A</v>
      </c>
      <c r="AN207" s="682"/>
      <c r="AO207" s="369"/>
      <c r="AP207" s="369"/>
      <c r="AQ207" s="369"/>
      <c r="AR207" s="363" t="e">
        <f t="shared" si="67"/>
        <v>#N/A</v>
      </c>
      <c r="AS207" s="682"/>
      <c r="AT207" s="369"/>
      <c r="AU207" s="369"/>
      <c r="AV207" s="369"/>
      <c r="AW207" s="366" t="e">
        <f t="shared" si="68"/>
        <v>#N/A</v>
      </c>
      <c r="AX207" s="673"/>
      <c r="AZ207" s="366" t="e">
        <f t="shared" si="69"/>
        <v>#N/A</v>
      </c>
      <c r="BA207" s="673"/>
    </row>
    <row r="208" spans="2:53">
      <c r="B208" s="668"/>
      <c r="C208" s="363">
        <v>27</v>
      </c>
      <c r="D208" s="389"/>
      <c r="E208" s="389"/>
      <c r="F208" s="389"/>
      <c r="G208" s="389"/>
      <c r="H208" s="680"/>
      <c r="I208" s="391" t="str">
        <f t="shared" si="59"/>
        <v>-</v>
      </c>
      <c r="J208" s="391" t="str">
        <f t="shared" si="60"/>
        <v>-</v>
      </c>
      <c r="K208" s="199" t="str">
        <f t="shared" si="61"/>
        <v>-</v>
      </c>
      <c r="L208" s="617"/>
      <c r="M208" s="364" t="e">
        <f>RANK(K208, K$182:$K$211)</f>
        <v>#VALUE!</v>
      </c>
      <c r="N208" s="635"/>
      <c r="O208" s="635"/>
      <c r="P208" s="369"/>
      <c r="Q208" s="369"/>
      <c r="R208" s="369"/>
      <c r="S208" s="363" t="e">
        <f t="shared" si="62"/>
        <v>#N/A</v>
      </c>
      <c r="T208" s="682"/>
      <c r="U208" s="369"/>
      <c r="V208" s="369"/>
      <c r="W208" s="369"/>
      <c r="X208" s="363" t="e">
        <f t="shared" si="63"/>
        <v>#N/A</v>
      </c>
      <c r="Y208" s="682"/>
      <c r="Z208" s="369"/>
      <c r="AA208" s="369"/>
      <c r="AB208" s="369"/>
      <c r="AC208" s="363" t="e">
        <f t="shared" si="64"/>
        <v>#N/A</v>
      </c>
      <c r="AD208" s="682"/>
      <c r="AE208" s="369"/>
      <c r="AF208" s="369"/>
      <c r="AG208" s="369"/>
      <c r="AH208" s="363" t="e">
        <f t="shared" si="65"/>
        <v>#N/A</v>
      </c>
      <c r="AI208" s="682"/>
      <c r="AJ208" s="369"/>
      <c r="AK208" s="369"/>
      <c r="AL208" s="369"/>
      <c r="AM208" s="363" t="e">
        <f t="shared" si="66"/>
        <v>#N/A</v>
      </c>
      <c r="AN208" s="682"/>
      <c r="AO208" s="369"/>
      <c r="AP208" s="369"/>
      <c r="AQ208" s="369"/>
      <c r="AR208" s="363" t="e">
        <f t="shared" si="67"/>
        <v>#N/A</v>
      </c>
      <c r="AS208" s="682"/>
      <c r="AT208" s="369"/>
      <c r="AU208" s="369"/>
      <c r="AV208" s="369"/>
      <c r="AW208" s="366" t="e">
        <f t="shared" si="68"/>
        <v>#N/A</v>
      </c>
      <c r="AX208" s="673"/>
      <c r="AZ208" s="366" t="e">
        <f t="shared" si="69"/>
        <v>#N/A</v>
      </c>
      <c r="BA208" s="673"/>
    </row>
    <row r="209" spans="2:53">
      <c r="B209" s="668"/>
      <c r="C209" s="363">
        <v>28</v>
      </c>
      <c r="D209" s="389"/>
      <c r="E209" s="389"/>
      <c r="F209" s="389"/>
      <c r="G209" s="389"/>
      <c r="H209" s="680"/>
      <c r="I209" s="391" t="str">
        <f t="shared" si="59"/>
        <v>-</v>
      </c>
      <c r="J209" s="391" t="str">
        <f t="shared" si="60"/>
        <v>-</v>
      </c>
      <c r="K209" s="199" t="str">
        <f t="shared" si="61"/>
        <v>-</v>
      </c>
      <c r="L209" s="617"/>
      <c r="M209" s="364" t="e">
        <f>RANK(K209, K$182:$K$211)</f>
        <v>#VALUE!</v>
      </c>
      <c r="N209" s="635"/>
      <c r="O209" s="635"/>
      <c r="P209" s="369"/>
      <c r="Q209" s="369"/>
      <c r="R209" s="369"/>
      <c r="S209" s="363" t="e">
        <f t="shared" si="62"/>
        <v>#N/A</v>
      </c>
      <c r="T209" s="682"/>
      <c r="U209" s="369"/>
      <c r="V209" s="369"/>
      <c r="W209" s="369"/>
      <c r="X209" s="363" t="e">
        <f t="shared" si="63"/>
        <v>#N/A</v>
      </c>
      <c r="Y209" s="682"/>
      <c r="Z209" s="369"/>
      <c r="AA209" s="369"/>
      <c r="AB209" s="369"/>
      <c r="AC209" s="363" t="e">
        <f t="shared" si="64"/>
        <v>#N/A</v>
      </c>
      <c r="AD209" s="682"/>
      <c r="AE209" s="369"/>
      <c r="AF209" s="369"/>
      <c r="AG209" s="369"/>
      <c r="AH209" s="363" t="e">
        <f t="shared" si="65"/>
        <v>#N/A</v>
      </c>
      <c r="AI209" s="682"/>
      <c r="AJ209" s="369"/>
      <c r="AK209" s="369"/>
      <c r="AL209" s="369"/>
      <c r="AM209" s="363" t="e">
        <f t="shared" si="66"/>
        <v>#N/A</v>
      </c>
      <c r="AN209" s="682"/>
      <c r="AO209" s="369"/>
      <c r="AP209" s="369"/>
      <c r="AQ209" s="369"/>
      <c r="AR209" s="363" t="e">
        <f t="shared" si="67"/>
        <v>#N/A</v>
      </c>
      <c r="AS209" s="682"/>
      <c r="AT209" s="369"/>
      <c r="AU209" s="369"/>
      <c r="AV209" s="369"/>
      <c r="AW209" s="366" t="e">
        <f t="shared" si="68"/>
        <v>#N/A</v>
      </c>
      <c r="AX209" s="673"/>
      <c r="AZ209" s="366" t="e">
        <f t="shared" si="69"/>
        <v>#N/A</v>
      </c>
      <c r="BA209" s="673"/>
    </row>
    <row r="210" spans="2:53">
      <c r="B210" s="668"/>
      <c r="C210" s="363">
        <v>29</v>
      </c>
      <c r="D210" s="389"/>
      <c r="E210" s="389"/>
      <c r="F210" s="389"/>
      <c r="G210" s="389"/>
      <c r="H210" s="680"/>
      <c r="I210" s="391" t="str">
        <f t="shared" si="59"/>
        <v>-</v>
      </c>
      <c r="J210" s="391" t="str">
        <f t="shared" si="60"/>
        <v>-</v>
      </c>
      <c r="K210" s="199" t="str">
        <f t="shared" si="61"/>
        <v>-</v>
      </c>
      <c r="L210" s="617"/>
      <c r="M210" s="364" t="e">
        <f>RANK(K210, K$182:$K$211)</f>
        <v>#VALUE!</v>
      </c>
      <c r="N210" s="635"/>
      <c r="O210" s="635"/>
      <c r="P210" s="369"/>
      <c r="Q210" s="369"/>
      <c r="R210" s="369"/>
      <c r="S210" s="363" t="e">
        <f t="shared" si="62"/>
        <v>#N/A</v>
      </c>
      <c r="T210" s="682"/>
      <c r="U210" s="369"/>
      <c r="V210" s="369"/>
      <c r="W210" s="369"/>
      <c r="X210" s="363" t="e">
        <f t="shared" si="63"/>
        <v>#N/A</v>
      </c>
      <c r="Y210" s="682"/>
      <c r="Z210" s="369"/>
      <c r="AA210" s="369"/>
      <c r="AB210" s="369"/>
      <c r="AC210" s="363" t="e">
        <f t="shared" si="64"/>
        <v>#N/A</v>
      </c>
      <c r="AD210" s="682"/>
      <c r="AE210" s="369"/>
      <c r="AF210" s="369"/>
      <c r="AG210" s="369"/>
      <c r="AH210" s="363" t="e">
        <f t="shared" si="65"/>
        <v>#N/A</v>
      </c>
      <c r="AI210" s="682"/>
      <c r="AJ210" s="369"/>
      <c r="AK210" s="369"/>
      <c r="AL210" s="369"/>
      <c r="AM210" s="363" t="e">
        <f t="shared" si="66"/>
        <v>#N/A</v>
      </c>
      <c r="AN210" s="682"/>
      <c r="AO210" s="369"/>
      <c r="AP210" s="369"/>
      <c r="AQ210" s="369"/>
      <c r="AR210" s="363" t="e">
        <f t="shared" si="67"/>
        <v>#N/A</v>
      </c>
      <c r="AS210" s="682"/>
      <c r="AT210" s="369"/>
      <c r="AU210" s="369"/>
      <c r="AV210" s="369"/>
      <c r="AW210" s="366" t="e">
        <f t="shared" si="68"/>
        <v>#N/A</v>
      </c>
      <c r="AX210" s="673"/>
      <c r="AZ210" s="366" t="e">
        <f t="shared" si="69"/>
        <v>#N/A</v>
      </c>
      <c r="BA210" s="673"/>
    </row>
    <row r="211" spans="2:53">
      <c r="B211" s="668"/>
      <c r="C211" s="363">
        <v>30</v>
      </c>
      <c r="D211" s="389"/>
      <c r="E211" s="389"/>
      <c r="F211" s="389"/>
      <c r="G211" s="389"/>
      <c r="H211" s="680"/>
      <c r="I211" s="391" t="str">
        <f t="shared" si="59"/>
        <v>-</v>
      </c>
      <c r="J211" s="391" t="str">
        <f t="shared" si="60"/>
        <v>-</v>
      </c>
      <c r="K211" s="199" t="str">
        <f t="shared" si="61"/>
        <v>-</v>
      </c>
      <c r="L211" s="618"/>
      <c r="M211" s="364" t="e">
        <f>RANK(K211, K$182:$K$211)</f>
        <v>#VALUE!</v>
      </c>
      <c r="N211" s="635"/>
      <c r="O211" s="635"/>
      <c r="P211" s="369"/>
      <c r="Q211" s="369"/>
      <c r="R211" s="369"/>
      <c r="S211" s="363" t="e">
        <f t="shared" si="62"/>
        <v>#N/A</v>
      </c>
      <c r="T211" s="682"/>
      <c r="U211" s="369"/>
      <c r="V211" s="369"/>
      <c r="W211" s="369"/>
      <c r="X211" s="363" t="e">
        <f t="shared" si="63"/>
        <v>#N/A</v>
      </c>
      <c r="Y211" s="682"/>
      <c r="Z211" s="369"/>
      <c r="AA211" s="369"/>
      <c r="AB211" s="369"/>
      <c r="AC211" s="363" t="e">
        <f t="shared" si="64"/>
        <v>#N/A</v>
      </c>
      <c r="AD211" s="682"/>
      <c r="AE211" s="369"/>
      <c r="AF211" s="369"/>
      <c r="AG211" s="369"/>
      <c r="AH211" s="363" t="e">
        <f t="shared" si="65"/>
        <v>#N/A</v>
      </c>
      <c r="AI211" s="682"/>
      <c r="AJ211" s="369"/>
      <c r="AK211" s="369"/>
      <c r="AL211" s="369"/>
      <c r="AM211" s="363" t="e">
        <f t="shared" si="66"/>
        <v>#N/A</v>
      </c>
      <c r="AN211" s="682"/>
      <c r="AO211" s="369"/>
      <c r="AP211" s="369"/>
      <c r="AQ211" s="369"/>
      <c r="AR211" s="363" t="e">
        <f t="shared" si="67"/>
        <v>#N/A</v>
      </c>
      <c r="AS211" s="682"/>
      <c r="AT211" s="369"/>
      <c r="AU211" s="369"/>
      <c r="AV211" s="369"/>
      <c r="AW211" s="366" t="e">
        <f t="shared" si="68"/>
        <v>#N/A</v>
      </c>
      <c r="AX211" s="673"/>
      <c r="AZ211" s="366" t="e">
        <f t="shared" si="69"/>
        <v>#N/A</v>
      </c>
      <c r="BA211" s="673"/>
    </row>
    <row r="213" spans="2:53" ht="15.75">
      <c r="B213" s="674" t="s">
        <v>482</v>
      </c>
      <c r="C213" s="675"/>
      <c r="D213" s="675"/>
      <c r="E213" s="675"/>
      <c r="F213" s="675"/>
      <c r="G213" s="675"/>
      <c r="H213" s="676"/>
      <c r="I213" s="315"/>
      <c r="J213" s="315"/>
      <c r="K213" s="315"/>
      <c r="L213" s="315"/>
      <c r="M213" s="316"/>
    </row>
    <row r="214" spans="2:53" ht="15.75">
      <c r="B214" s="677"/>
      <c r="C214" s="677"/>
      <c r="D214" s="677"/>
      <c r="E214" s="677"/>
      <c r="F214" s="677"/>
      <c r="G214" s="677"/>
      <c r="H214" s="677"/>
      <c r="I214" s="317"/>
      <c r="J214" s="317"/>
      <c r="K214" s="317"/>
      <c r="L214" s="317"/>
      <c r="M214" s="318"/>
    </row>
    <row r="215" spans="2:53">
      <c r="B215" s="635" t="s">
        <v>483</v>
      </c>
      <c r="C215" s="635" t="s">
        <v>484</v>
      </c>
      <c r="D215" s="635"/>
      <c r="E215" s="635" t="s">
        <v>485</v>
      </c>
      <c r="F215" s="635"/>
      <c r="G215" s="635"/>
      <c r="H215" s="635" t="s">
        <v>486</v>
      </c>
      <c r="I215" s="678" t="s">
        <v>487</v>
      </c>
      <c r="J215" s="678"/>
      <c r="K215" s="678"/>
      <c r="L215" s="678" t="s">
        <v>486</v>
      </c>
      <c r="M215" s="678" t="s">
        <v>488</v>
      </c>
    </row>
    <row r="216" spans="2:53">
      <c r="B216" s="635"/>
      <c r="C216" s="635"/>
      <c r="D216" s="635"/>
      <c r="E216" s="635" t="s">
        <v>489</v>
      </c>
      <c r="F216" s="635"/>
      <c r="G216" s="635"/>
      <c r="H216" s="635"/>
      <c r="I216" s="678" t="s">
        <v>489</v>
      </c>
      <c r="J216" s="678"/>
      <c r="K216" s="678"/>
      <c r="L216" s="678"/>
      <c r="M216" s="678"/>
    </row>
    <row r="217" spans="2:53">
      <c r="B217" s="635"/>
      <c r="C217" s="635"/>
      <c r="D217" s="635"/>
      <c r="E217" s="312" t="s">
        <v>490</v>
      </c>
      <c r="F217" s="312" t="s">
        <v>491</v>
      </c>
      <c r="G217" s="312" t="s">
        <v>492</v>
      </c>
      <c r="H217" s="635"/>
      <c r="I217" s="319" t="s">
        <v>490</v>
      </c>
      <c r="J217" s="319" t="s">
        <v>491</v>
      </c>
      <c r="K217" s="319" t="s">
        <v>492</v>
      </c>
      <c r="L217" s="678"/>
      <c r="M217" s="678"/>
    </row>
    <row r="218" spans="2:53">
      <c r="B218" s="667" t="s">
        <v>493</v>
      </c>
      <c r="C218" s="311">
        <v>1</v>
      </c>
      <c r="D218" s="311"/>
      <c r="E218" s="311"/>
      <c r="F218" s="311"/>
      <c r="G218" s="311"/>
      <c r="H218" s="657" t="e">
        <f>AVERAGE(G218:G247)</f>
        <v>#DIV/0!</v>
      </c>
      <c r="I218" s="198" t="e">
        <f t="shared" ref="I218:K240" si="70">AVERAGEIF($D$7:$D$211,$D218,I$7:I$211)</f>
        <v>#DIV/0!</v>
      </c>
      <c r="J218" s="198" t="e">
        <f t="shared" si="70"/>
        <v>#DIV/0!</v>
      </c>
      <c r="K218" s="198" t="e">
        <f>AVERAGEIF($D$7:$D$211,$D218,K$7:K$211)</f>
        <v>#DIV/0!</v>
      </c>
      <c r="L218" s="681" t="e">
        <f>AVERAGE(K218:K247)</f>
        <v>#DIV/0!</v>
      </c>
      <c r="M218" s="198" t="e">
        <f>RANK(K218, K$218:$K$247)</f>
        <v>#DIV/0!</v>
      </c>
    </row>
    <row r="219" spans="2:53">
      <c r="B219" s="643"/>
      <c r="C219" s="311">
        <v>2</v>
      </c>
      <c r="D219" s="311"/>
      <c r="E219" s="311"/>
      <c r="F219" s="311"/>
      <c r="G219" s="380"/>
      <c r="H219" s="657"/>
      <c r="I219" s="198" t="e">
        <f t="shared" si="70"/>
        <v>#DIV/0!</v>
      </c>
      <c r="J219" s="198" t="e">
        <f t="shared" si="70"/>
        <v>#DIV/0!</v>
      </c>
      <c r="K219" s="198" t="e">
        <f t="shared" si="70"/>
        <v>#DIV/0!</v>
      </c>
      <c r="L219" s="681"/>
      <c r="M219" s="198" t="e">
        <f>RANK(K219, K$218:$K$247)</f>
        <v>#DIV/0!</v>
      </c>
    </row>
    <row r="220" spans="2:53">
      <c r="B220" s="643"/>
      <c r="C220" s="311">
        <v>3</v>
      </c>
      <c r="D220" s="311"/>
      <c r="E220" s="311"/>
      <c r="F220" s="380"/>
      <c r="G220" s="311"/>
      <c r="H220" s="657"/>
      <c r="I220" s="198" t="e">
        <f t="shared" si="70"/>
        <v>#DIV/0!</v>
      </c>
      <c r="J220" s="198" t="e">
        <f t="shared" si="70"/>
        <v>#DIV/0!</v>
      </c>
      <c r="K220" s="198" t="e">
        <f t="shared" si="70"/>
        <v>#DIV/0!</v>
      </c>
      <c r="L220" s="681"/>
      <c r="M220" s="198" t="e">
        <f>RANK(K220, K$218:$K$247)</f>
        <v>#DIV/0!</v>
      </c>
    </row>
    <row r="221" spans="2:53">
      <c r="B221" s="643"/>
      <c r="C221" s="311">
        <v>4</v>
      </c>
      <c r="D221" s="311"/>
      <c r="E221" s="311"/>
      <c r="F221" s="380"/>
      <c r="G221" s="380"/>
      <c r="H221" s="657"/>
      <c r="I221" s="198" t="e">
        <f t="shared" si="70"/>
        <v>#DIV/0!</v>
      </c>
      <c r="J221" s="198" t="e">
        <f t="shared" si="70"/>
        <v>#DIV/0!</v>
      </c>
      <c r="K221" s="198" t="e">
        <f t="shared" si="70"/>
        <v>#DIV/0!</v>
      </c>
      <c r="L221" s="681"/>
      <c r="M221" s="198" t="e">
        <f>RANK(K221, K$218:$K$247)</f>
        <v>#DIV/0!</v>
      </c>
    </row>
    <row r="222" spans="2:53">
      <c r="B222" s="643"/>
      <c r="C222" s="311">
        <v>5</v>
      </c>
      <c r="D222" s="311"/>
      <c r="E222" s="311"/>
      <c r="F222" s="380"/>
      <c r="G222" s="380"/>
      <c r="H222" s="657"/>
      <c r="I222" s="198" t="e">
        <f t="shared" si="70"/>
        <v>#DIV/0!</v>
      </c>
      <c r="J222" s="198" t="e">
        <f t="shared" si="70"/>
        <v>#DIV/0!</v>
      </c>
      <c r="K222" s="198" t="e">
        <f t="shared" si="70"/>
        <v>#DIV/0!</v>
      </c>
      <c r="L222" s="681"/>
      <c r="M222" s="198" t="e">
        <f>RANK(K222, K$218:$K$247)</f>
        <v>#DIV/0!</v>
      </c>
    </row>
    <row r="223" spans="2:53">
      <c r="B223" s="643"/>
      <c r="C223" s="311">
        <v>6</v>
      </c>
      <c r="D223" s="311"/>
      <c r="E223" s="311"/>
      <c r="F223" s="380"/>
      <c r="G223" s="380"/>
      <c r="H223" s="657"/>
      <c r="I223" s="198" t="e">
        <f t="shared" si="70"/>
        <v>#DIV/0!</v>
      </c>
      <c r="J223" s="198" t="e">
        <f t="shared" si="70"/>
        <v>#DIV/0!</v>
      </c>
      <c r="K223" s="198" t="e">
        <f t="shared" si="70"/>
        <v>#DIV/0!</v>
      </c>
      <c r="L223" s="681"/>
      <c r="M223" s="198" t="e">
        <f>RANK(K223, K$218:$K$247)</f>
        <v>#DIV/0!</v>
      </c>
    </row>
    <row r="224" spans="2:53">
      <c r="B224" s="643"/>
      <c r="C224" s="311">
        <v>7</v>
      </c>
      <c r="D224" s="379"/>
      <c r="E224" s="311"/>
      <c r="F224" s="380"/>
      <c r="G224" s="380"/>
      <c r="H224" s="657"/>
      <c r="I224" s="198" t="e">
        <f t="shared" si="70"/>
        <v>#DIV/0!</v>
      </c>
      <c r="J224" s="198" t="e">
        <f t="shared" si="70"/>
        <v>#DIV/0!</v>
      </c>
      <c r="K224" s="198" t="e">
        <f t="shared" si="70"/>
        <v>#DIV/0!</v>
      </c>
      <c r="L224" s="681"/>
      <c r="M224" s="198" t="e">
        <f>RANK(K224, K$218:$K$247)</f>
        <v>#DIV/0!</v>
      </c>
    </row>
    <row r="225" spans="2:39">
      <c r="B225" s="643"/>
      <c r="C225" s="311">
        <v>8</v>
      </c>
      <c r="D225" s="379"/>
      <c r="E225" s="311"/>
      <c r="F225" s="380"/>
      <c r="G225" s="380"/>
      <c r="H225" s="657"/>
      <c r="I225" s="198" t="e">
        <f t="shared" si="70"/>
        <v>#DIV/0!</v>
      </c>
      <c r="J225" s="198" t="e">
        <f t="shared" si="70"/>
        <v>#DIV/0!</v>
      </c>
      <c r="K225" s="198" t="e">
        <f t="shared" si="70"/>
        <v>#DIV/0!</v>
      </c>
      <c r="L225" s="681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43"/>
      <c r="C226" s="311">
        <v>9</v>
      </c>
      <c r="D226" s="311"/>
      <c r="E226" s="311"/>
      <c r="F226" s="311"/>
      <c r="G226" s="311"/>
      <c r="H226" s="657"/>
      <c r="I226" s="198" t="e">
        <f t="shared" si="70"/>
        <v>#DIV/0!</v>
      </c>
      <c r="J226" s="198" t="e">
        <f t="shared" si="70"/>
        <v>#DIV/0!</v>
      </c>
      <c r="K226" s="198" t="e">
        <f t="shared" si="70"/>
        <v>#DIV/0!</v>
      </c>
      <c r="L226" s="681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43"/>
      <c r="C227" s="311">
        <v>10</v>
      </c>
      <c r="D227" s="311"/>
      <c r="E227" s="311"/>
      <c r="F227" s="311"/>
      <c r="G227" s="311"/>
      <c r="H227" s="657"/>
      <c r="I227" s="198" t="e">
        <f t="shared" si="70"/>
        <v>#DIV/0!</v>
      </c>
      <c r="J227" s="198" t="e">
        <f t="shared" si="70"/>
        <v>#DIV/0!</v>
      </c>
      <c r="K227" s="198" t="e">
        <f t="shared" si="70"/>
        <v>#DIV/0!</v>
      </c>
      <c r="L227" s="681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43"/>
      <c r="C228" s="311">
        <v>11</v>
      </c>
      <c r="D228" s="311"/>
      <c r="E228" s="311"/>
      <c r="F228" s="311"/>
      <c r="G228" s="311"/>
      <c r="H228" s="657"/>
      <c r="I228" s="198" t="e">
        <f t="shared" si="70"/>
        <v>#DIV/0!</v>
      </c>
      <c r="J228" s="198" t="e">
        <f t="shared" si="70"/>
        <v>#DIV/0!</v>
      </c>
      <c r="K228" s="198" t="e">
        <f t="shared" si="70"/>
        <v>#DIV/0!</v>
      </c>
      <c r="L228" s="681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43"/>
      <c r="C229" s="311">
        <v>12</v>
      </c>
      <c r="D229" s="311"/>
      <c r="E229" s="311"/>
      <c r="F229" s="311"/>
      <c r="G229" s="311"/>
      <c r="H229" s="657"/>
      <c r="I229" s="198" t="e">
        <f t="shared" si="70"/>
        <v>#DIV/0!</v>
      </c>
      <c r="J229" s="198" t="e">
        <f t="shared" si="70"/>
        <v>#DIV/0!</v>
      </c>
      <c r="K229" s="198" t="e">
        <f t="shared" si="70"/>
        <v>#DIV/0!</v>
      </c>
      <c r="L229" s="681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43"/>
      <c r="C230" s="311">
        <v>13</v>
      </c>
      <c r="D230" s="311"/>
      <c r="E230" s="311"/>
      <c r="F230" s="311"/>
      <c r="G230" s="311"/>
      <c r="H230" s="657"/>
      <c r="I230" s="198" t="e">
        <f t="shared" si="70"/>
        <v>#DIV/0!</v>
      </c>
      <c r="J230" s="198" t="e">
        <f t="shared" si="70"/>
        <v>#DIV/0!</v>
      </c>
      <c r="K230" s="198" t="e">
        <f t="shared" si="70"/>
        <v>#DIV/0!</v>
      </c>
      <c r="L230" s="681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43"/>
      <c r="C231" s="311">
        <v>14</v>
      </c>
      <c r="D231" s="311"/>
      <c r="E231" s="311"/>
      <c r="F231" s="311"/>
      <c r="G231" s="311"/>
      <c r="H231" s="657"/>
      <c r="I231" s="198" t="e">
        <f t="shared" si="70"/>
        <v>#DIV/0!</v>
      </c>
      <c r="J231" s="198" t="e">
        <f t="shared" si="70"/>
        <v>#DIV/0!</v>
      </c>
      <c r="K231" s="198" t="e">
        <f t="shared" si="70"/>
        <v>#DIV/0!</v>
      </c>
      <c r="L231" s="681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43"/>
      <c r="C232" s="311">
        <v>15</v>
      </c>
      <c r="D232" s="311"/>
      <c r="E232" s="311"/>
      <c r="F232" s="311"/>
      <c r="G232" s="311"/>
      <c r="H232" s="657"/>
      <c r="I232" s="198" t="e">
        <f t="shared" si="70"/>
        <v>#DIV/0!</v>
      </c>
      <c r="J232" s="198" t="e">
        <f t="shared" si="70"/>
        <v>#DIV/0!</v>
      </c>
      <c r="K232" s="198" t="e">
        <f t="shared" si="70"/>
        <v>#DIV/0!</v>
      </c>
      <c r="L232" s="681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43"/>
      <c r="C233" s="311">
        <v>16</v>
      </c>
      <c r="D233" s="311"/>
      <c r="E233" s="311"/>
      <c r="F233" s="311"/>
      <c r="G233" s="311"/>
      <c r="H233" s="657"/>
      <c r="I233" s="198" t="e">
        <f t="shared" si="70"/>
        <v>#DIV/0!</v>
      </c>
      <c r="J233" s="198" t="e">
        <f t="shared" si="70"/>
        <v>#DIV/0!</v>
      </c>
      <c r="K233" s="198" t="e">
        <f t="shared" si="70"/>
        <v>#DIV/0!</v>
      </c>
      <c r="L233" s="681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43"/>
      <c r="C234" s="311">
        <v>17</v>
      </c>
      <c r="D234" s="311"/>
      <c r="E234" s="311"/>
      <c r="F234" s="311"/>
      <c r="G234" s="311"/>
      <c r="H234" s="657"/>
      <c r="I234" s="198" t="e">
        <f t="shared" si="70"/>
        <v>#DIV/0!</v>
      </c>
      <c r="J234" s="198" t="e">
        <f t="shared" si="70"/>
        <v>#DIV/0!</v>
      </c>
      <c r="K234" s="198" t="e">
        <f t="shared" si="70"/>
        <v>#DIV/0!</v>
      </c>
      <c r="L234" s="681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43"/>
      <c r="C235" s="311">
        <v>18</v>
      </c>
      <c r="D235" s="311"/>
      <c r="E235" s="311"/>
      <c r="F235" s="311"/>
      <c r="G235" s="311"/>
      <c r="H235" s="657"/>
      <c r="I235" s="198" t="e">
        <f t="shared" si="70"/>
        <v>#DIV/0!</v>
      </c>
      <c r="J235" s="198" t="e">
        <f t="shared" si="70"/>
        <v>#DIV/0!</v>
      </c>
      <c r="K235" s="198" t="e">
        <f t="shared" si="70"/>
        <v>#DIV/0!</v>
      </c>
      <c r="L235" s="681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43"/>
      <c r="C236" s="311">
        <v>19</v>
      </c>
      <c r="D236" s="311"/>
      <c r="E236" s="311"/>
      <c r="F236" s="311"/>
      <c r="G236" s="311"/>
      <c r="H236" s="657"/>
      <c r="I236" s="198" t="e">
        <f t="shared" si="70"/>
        <v>#DIV/0!</v>
      </c>
      <c r="J236" s="198" t="e">
        <f t="shared" si="70"/>
        <v>#DIV/0!</v>
      </c>
      <c r="K236" s="198" t="e">
        <f t="shared" si="70"/>
        <v>#DIV/0!</v>
      </c>
      <c r="L236" s="681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43"/>
      <c r="C237" s="311">
        <v>20</v>
      </c>
      <c r="D237" s="311"/>
      <c r="E237" s="311"/>
      <c r="F237" s="311"/>
      <c r="G237" s="311"/>
      <c r="H237" s="657"/>
      <c r="I237" s="198" t="e">
        <f t="shared" si="70"/>
        <v>#DIV/0!</v>
      </c>
      <c r="J237" s="198" t="e">
        <f t="shared" si="70"/>
        <v>#DIV/0!</v>
      </c>
      <c r="K237" s="198" t="e">
        <f t="shared" si="70"/>
        <v>#DIV/0!</v>
      </c>
      <c r="L237" s="681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43"/>
      <c r="C238" s="311">
        <v>21</v>
      </c>
      <c r="D238" s="311"/>
      <c r="E238" s="311"/>
      <c r="F238" s="311"/>
      <c r="G238" s="311"/>
      <c r="H238" s="657"/>
      <c r="I238" s="198" t="e">
        <f t="shared" si="70"/>
        <v>#DIV/0!</v>
      </c>
      <c r="J238" s="198" t="e">
        <f t="shared" si="70"/>
        <v>#DIV/0!</v>
      </c>
      <c r="K238" s="198" t="e">
        <f t="shared" si="70"/>
        <v>#DIV/0!</v>
      </c>
      <c r="L238" s="681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43"/>
      <c r="C239" s="311">
        <v>22</v>
      </c>
      <c r="D239" s="311"/>
      <c r="E239" s="311"/>
      <c r="F239" s="311"/>
      <c r="G239" s="311"/>
      <c r="H239" s="657"/>
      <c r="I239" s="198" t="e">
        <f t="shared" si="70"/>
        <v>#DIV/0!</v>
      </c>
      <c r="J239" s="198" t="e">
        <f t="shared" si="70"/>
        <v>#DIV/0!</v>
      </c>
      <c r="K239" s="198" t="e">
        <f t="shared" si="70"/>
        <v>#DIV/0!</v>
      </c>
      <c r="L239" s="681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43"/>
      <c r="C240" s="311">
        <v>23</v>
      </c>
      <c r="D240" s="311"/>
      <c r="E240" s="311"/>
      <c r="F240" s="311"/>
      <c r="G240" s="311"/>
      <c r="H240" s="657"/>
      <c r="I240" s="198" t="e">
        <f t="shared" si="70"/>
        <v>#DIV/0!</v>
      </c>
      <c r="J240" s="198" t="e">
        <f t="shared" si="70"/>
        <v>#DIV/0!</v>
      </c>
      <c r="K240" s="198" t="e">
        <f t="shared" si="70"/>
        <v>#DIV/0!</v>
      </c>
      <c r="L240" s="681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43"/>
      <c r="C241" s="311">
        <v>24</v>
      </c>
      <c r="D241" s="311"/>
      <c r="E241" s="311"/>
      <c r="F241" s="311"/>
      <c r="G241" s="311"/>
      <c r="H241" s="657"/>
      <c r="I241" s="198"/>
      <c r="J241" s="198"/>
      <c r="K241" s="198"/>
      <c r="L241" s="681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43"/>
      <c r="C242" s="311">
        <v>25</v>
      </c>
      <c r="D242" s="311"/>
      <c r="E242" s="311"/>
      <c r="F242" s="311"/>
      <c r="G242" s="311"/>
      <c r="H242" s="657"/>
      <c r="I242" s="198"/>
      <c r="J242" s="198"/>
      <c r="K242" s="198"/>
      <c r="L242" s="681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43"/>
      <c r="C243" s="311">
        <v>26</v>
      </c>
      <c r="D243" s="311"/>
      <c r="E243" s="311"/>
      <c r="F243" s="311"/>
      <c r="G243" s="311"/>
      <c r="H243" s="657"/>
      <c r="I243" s="198"/>
      <c r="J243" s="198"/>
      <c r="K243" s="198"/>
      <c r="L243" s="681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43"/>
      <c r="C244" s="311">
        <v>27</v>
      </c>
      <c r="D244" s="311"/>
      <c r="E244" s="311"/>
      <c r="F244" s="311"/>
      <c r="G244" s="311"/>
      <c r="H244" s="657"/>
      <c r="I244" s="198"/>
      <c r="J244" s="198"/>
      <c r="K244" s="198"/>
      <c r="L244" s="681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43"/>
      <c r="C245" s="311">
        <v>28</v>
      </c>
      <c r="D245" s="311"/>
      <c r="E245" s="311"/>
      <c r="F245" s="311"/>
      <c r="G245" s="311"/>
      <c r="H245" s="657"/>
      <c r="I245" s="198"/>
      <c r="J245" s="198"/>
      <c r="K245" s="198"/>
      <c r="L245" s="681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43"/>
      <c r="C246" s="311">
        <v>29</v>
      </c>
      <c r="D246" s="311"/>
      <c r="E246" s="311"/>
      <c r="F246" s="311"/>
      <c r="G246" s="311"/>
      <c r="H246" s="657"/>
      <c r="I246" s="198"/>
      <c r="J246" s="198"/>
      <c r="K246" s="198"/>
      <c r="L246" s="681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43"/>
      <c r="C247" s="311">
        <v>30</v>
      </c>
      <c r="D247" s="311"/>
      <c r="E247" s="311"/>
      <c r="F247" s="311"/>
      <c r="G247" s="311"/>
      <c r="H247" s="657"/>
      <c r="I247" s="198"/>
      <c r="J247" s="198"/>
      <c r="K247" s="198"/>
      <c r="L247" s="681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80" t="s">
        <v>340</v>
      </c>
      <c r="E250" s="380">
        <v>4</v>
      </c>
      <c r="F250" s="380">
        <v>2700</v>
      </c>
      <c r="G250" s="380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80" t="s">
        <v>342</v>
      </c>
      <c r="E251" s="380">
        <v>3</v>
      </c>
      <c r="F251" s="380">
        <v>2700</v>
      </c>
      <c r="G251" s="380">
        <f t="shared" ref="G251:G255" si="71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80" t="s">
        <v>343</v>
      </c>
      <c r="E252" s="380">
        <v>4</v>
      </c>
      <c r="F252" s="380">
        <v>2700</v>
      </c>
      <c r="G252" s="380">
        <f t="shared" si="71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80" t="s">
        <v>521</v>
      </c>
      <c r="E253" s="380">
        <v>4</v>
      </c>
      <c r="F253" s="380">
        <v>2700</v>
      </c>
      <c r="G253" s="380">
        <f t="shared" si="71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79" t="s">
        <v>568</v>
      </c>
      <c r="E254" s="380">
        <v>4</v>
      </c>
      <c r="F254" s="380">
        <v>2600</v>
      </c>
      <c r="G254" s="380">
        <f t="shared" si="71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79" t="s">
        <v>569</v>
      </c>
      <c r="E255" s="380">
        <v>4</v>
      </c>
      <c r="F255" s="380">
        <v>2600</v>
      </c>
      <c r="G255" s="380">
        <f t="shared" si="71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80" t="s">
        <v>340</v>
      </c>
      <c r="E257" s="380">
        <v>4</v>
      </c>
      <c r="F257" s="380">
        <v>3300</v>
      </c>
      <c r="G257" s="380">
        <f>F257/E257</f>
        <v>825</v>
      </c>
      <c r="H257" s="106">
        <v>845.8</v>
      </c>
    </row>
    <row r="258" spans="4:8" s="107" customFormat="1">
      <c r="D258" s="380" t="s">
        <v>342</v>
      </c>
      <c r="E258" s="380">
        <v>3</v>
      </c>
      <c r="F258" s="380">
        <v>3300</v>
      </c>
      <c r="G258" s="380">
        <f t="shared" ref="G258:G262" si="72">F258/E258</f>
        <v>1100</v>
      </c>
      <c r="H258" s="106"/>
    </row>
    <row r="259" spans="4:8" s="107" customFormat="1">
      <c r="D259" s="380" t="s">
        <v>343</v>
      </c>
      <c r="E259" s="380">
        <v>4</v>
      </c>
      <c r="F259" s="380">
        <v>3300</v>
      </c>
      <c r="G259" s="380">
        <f t="shared" si="72"/>
        <v>825</v>
      </c>
      <c r="H259" s="106"/>
    </row>
    <row r="260" spans="4:8" s="107" customFormat="1">
      <c r="D260" s="380" t="s">
        <v>521</v>
      </c>
      <c r="E260" s="380">
        <v>4</v>
      </c>
      <c r="F260" s="380">
        <v>3100</v>
      </c>
      <c r="G260" s="380">
        <f t="shared" si="72"/>
        <v>775</v>
      </c>
      <c r="H260" s="106"/>
    </row>
    <row r="261" spans="4:8" s="107" customFormat="1">
      <c r="D261" s="379" t="s">
        <v>568</v>
      </c>
      <c r="E261" s="380">
        <v>4</v>
      </c>
      <c r="F261" s="380">
        <v>3100</v>
      </c>
      <c r="G261" s="380">
        <f t="shared" si="72"/>
        <v>775</v>
      </c>
      <c r="H261" s="106"/>
    </row>
    <row r="262" spans="4:8" s="107" customFormat="1">
      <c r="D262" s="379" t="s">
        <v>569</v>
      </c>
      <c r="E262" s="380">
        <v>4</v>
      </c>
      <c r="F262" s="380">
        <v>3100</v>
      </c>
      <c r="G262" s="380">
        <f t="shared" si="72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4"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BA47" sqref="BA47:BA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AVERAGE(L7,L27,L47,L87,L87,L107)</f>
        <v>145.48598220229383</v>
      </c>
    </row>
    <row r="2" spans="1:53" ht="15.75">
      <c r="A2" s="81"/>
      <c r="B2" s="647" t="s">
        <v>163</v>
      </c>
      <c r="C2" s="647"/>
      <c r="D2" s="647"/>
      <c r="E2" s="647"/>
      <c r="F2" s="647"/>
      <c r="G2" s="647"/>
      <c r="H2" s="647"/>
      <c r="I2" s="292"/>
      <c r="J2" s="292"/>
      <c r="K2" s="292"/>
      <c r="L2" s="292"/>
      <c r="M2" s="196"/>
      <c r="N2" s="636" t="s">
        <v>156</v>
      </c>
      <c r="O2" s="636" t="s">
        <v>155</v>
      </c>
      <c r="P2" s="663">
        <v>46168</v>
      </c>
      <c r="Q2" s="664"/>
      <c r="R2" s="664"/>
      <c r="S2" s="664"/>
      <c r="T2" s="665"/>
      <c r="U2" s="642">
        <v>46168</v>
      </c>
      <c r="V2" s="643"/>
      <c r="W2" s="643"/>
      <c r="X2" s="643"/>
      <c r="Y2" s="643"/>
      <c r="Z2" s="642">
        <f>U2+1</f>
        <v>46169</v>
      </c>
      <c r="AA2" s="643"/>
      <c r="AB2" s="643"/>
      <c r="AC2" s="643"/>
      <c r="AD2" s="643"/>
      <c r="AE2" s="642">
        <f>Z2+1</f>
        <v>46170</v>
      </c>
      <c r="AF2" s="643"/>
      <c r="AG2" s="643"/>
      <c r="AH2" s="643"/>
      <c r="AI2" s="643"/>
      <c r="AJ2" s="642">
        <f>AE2+1</f>
        <v>46171</v>
      </c>
      <c r="AK2" s="643"/>
      <c r="AL2" s="643"/>
      <c r="AM2" s="643"/>
      <c r="AN2" s="643"/>
      <c r="AO2" s="642">
        <f>AJ2+1</f>
        <v>46172</v>
      </c>
      <c r="AP2" s="643"/>
      <c r="AQ2" s="643"/>
      <c r="AR2" s="643"/>
      <c r="AS2" s="643"/>
      <c r="AT2" s="639">
        <f>AO2+1</f>
        <v>46173</v>
      </c>
      <c r="AU2" s="640"/>
      <c r="AV2" s="640"/>
      <c r="AW2" s="640"/>
      <c r="AX2" s="641"/>
    </row>
    <row r="3" spans="1:53" ht="15.75">
      <c r="A3" s="81"/>
      <c r="B3" s="666"/>
      <c r="C3" s="666"/>
      <c r="D3" s="666"/>
      <c r="E3" s="666"/>
      <c r="F3" s="666"/>
      <c r="G3" s="666"/>
      <c r="H3" s="666"/>
      <c r="I3" s="293"/>
      <c r="J3" s="293"/>
      <c r="K3" s="293"/>
      <c r="L3" s="293"/>
      <c r="M3" s="197"/>
      <c r="N3" s="638"/>
      <c r="O3" s="638"/>
      <c r="P3" s="642" t="s">
        <v>158</v>
      </c>
      <c r="Q3" s="643"/>
      <c r="R3" s="643"/>
      <c r="S3" s="643"/>
      <c r="T3" s="643"/>
      <c r="U3" s="642" t="s">
        <v>114</v>
      </c>
      <c r="V3" s="643"/>
      <c r="W3" s="643"/>
      <c r="X3" s="643"/>
      <c r="Y3" s="643"/>
      <c r="Z3" s="642" t="s">
        <v>159</v>
      </c>
      <c r="AA3" s="643"/>
      <c r="AB3" s="643"/>
      <c r="AC3" s="643"/>
      <c r="AD3" s="643"/>
      <c r="AE3" s="642" t="s">
        <v>157</v>
      </c>
      <c r="AF3" s="643"/>
      <c r="AG3" s="643"/>
      <c r="AH3" s="643"/>
      <c r="AI3" s="643"/>
      <c r="AJ3" s="642" t="s">
        <v>160</v>
      </c>
      <c r="AK3" s="643"/>
      <c r="AL3" s="643"/>
      <c r="AM3" s="643"/>
      <c r="AN3" s="643"/>
      <c r="AO3" s="642" t="s">
        <v>115</v>
      </c>
      <c r="AP3" s="643"/>
      <c r="AQ3" s="643"/>
      <c r="AR3" s="643"/>
      <c r="AS3" s="643"/>
      <c r="AT3" s="642" t="s">
        <v>162</v>
      </c>
      <c r="AU3" s="643"/>
      <c r="AV3" s="643"/>
      <c r="AW3" s="643"/>
      <c r="AX3" s="643"/>
    </row>
    <row r="4" spans="1:53" ht="14.25">
      <c r="A4" s="81"/>
      <c r="B4" s="635" t="s">
        <v>561</v>
      </c>
      <c r="C4" s="635" t="s">
        <v>384</v>
      </c>
      <c r="D4" s="635"/>
      <c r="E4" s="635" t="s">
        <v>375</v>
      </c>
      <c r="F4" s="635"/>
      <c r="G4" s="635"/>
      <c r="H4" s="651" t="s">
        <v>371</v>
      </c>
      <c r="I4" s="619" t="s">
        <v>376</v>
      </c>
      <c r="J4" s="619"/>
      <c r="K4" s="619"/>
      <c r="L4" s="620" t="s">
        <v>371</v>
      </c>
      <c r="M4" s="626" t="s">
        <v>372</v>
      </c>
      <c r="N4" s="635"/>
      <c r="O4" s="635" t="s">
        <v>377</v>
      </c>
      <c r="P4" s="632" t="s">
        <v>373</v>
      </c>
      <c r="Q4" s="633"/>
      <c r="R4" s="633"/>
      <c r="S4" s="634"/>
      <c r="T4" s="635" t="s">
        <v>371</v>
      </c>
      <c r="U4" s="632" t="s">
        <v>373</v>
      </c>
      <c r="V4" s="633"/>
      <c r="W4" s="633"/>
      <c r="X4" s="634"/>
      <c r="Y4" s="635" t="s">
        <v>371</v>
      </c>
      <c r="Z4" s="632" t="s">
        <v>373</v>
      </c>
      <c r="AA4" s="633"/>
      <c r="AB4" s="633"/>
      <c r="AC4" s="634"/>
      <c r="AD4" s="635" t="s">
        <v>371</v>
      </c>
      <c r="AE4" s="632" t="s">
        <v>373</v>
      </c>
      <c r="AF4" s="633"/>
      <c r="AG4" s="633"/>
      <c r="AH4" s="634"/>
      <c r="AI4" s="635" t="s">
        <v>371</v>
      </c>
      <c r="AJ4" s="632" t="s">
        <v>373</v>
      </c>
      <c r="AK4" s="633"/>
      <c r="AL4" s="633"/>
      <c r="AM4" s="634"/>
      <c r="AN4" s="635" t="s">
        <v>371</v>
      </c>
      <c r="AO4" s="632" t="s">
        <v>373</v>
      </c>
      <c r="AP4" s="633"/>
      <c r="AQ4" s="633"/>
      <c r="AR4" s="634"/>
      <c r="AS4" s="635" t="s">
        <v>371</v>
      </c>
      <c r="AT4" s="632" t="s">
        <v>373</v>
      </c>
      <c r="AU4" s="633"/>
      <c r="AV4" s="633"/>
      <c r="AW4" s="634"/>
      <c r="AX4" s="635" t="s">
        <v>371</v>
      </c>
      <c r="BA4" s="635" t="s">
        <v>371</v>
      </c>
    </row>
    <row r="5" spans="1:53" ht="14.25">
      <c r="A5" s="81"/>
      <c r="B5" s="635"/>
      <c r="C5" s="635"/>
      <c r="D5" s="635"/>
      <c r="E5" s="635" t="s">
        <v>378</v>
      </c>
      <c r="F5" s="635"/>
      <c r="G5" s="635"/>
      <c r="H5" s="652"/>
      <c r="I5" s="619" t="s">
        <v>378</v>
      </c>
      <c r="J5" s="619"/>
      <c r="K5" s="619"/>
      <c r="L5" s="621"/>
      <c r="M5" s="627"/>
      <c r="N5" s="635"/>
      <c r="O5" s="635"/>
      <c r="P5" s="632" t="s">
        <v>379</v>
      </c>
      <c r="Q5" s="633"/>
      <c r="R5" s="633"/>
      <c r="S5" s="634"/>
      <c r="T5" s="635"/>
      <c r="U5" s="632" t="s">
        <v>379</v>
      </c>
      <c r="V5" s="633"/>
      <c r="W5" s="633"/>
      <c r="X5" s="634"/>
      <c r="Y5" s="635"/>
      <c r="Z5" s="632" t="s">
        <v>379</v>
      </c>
      <c r="AA5" s="633"/>
      <c r="AB5" s="633"/>
      <c r="AC5" s="634"/>
      <c r="AD5" s="635"/>
      <c r="AE5" s="632" t="s">
        <v>379</v>
      </c>
      <c r="AF5" s="633"/>
      <c r="AG5" s="633"/>
      <c r="AH5" s="634"/>
      <c r="AI5" s="635"/>
      <c r="AJ5" s="632" t="s">
        <v>379</v>
      </c>
      <c r="AK5" s="633"/>
      <c r="AL5" s="633"/>
      <c r="AM5" s="634"/>
      <c r="AN5" s="635"/>
      <c r="AO5" s="632" t="s">
        <v>379</v>
      </c>
      <c r="AP5" s="633"/>
      <c r="AQ5" s="633"/>
      <c r="AR5" s="634"/>
      <c r="AS5" s="635"/>
      <c r="AT5" s="632" t="s">
        <v>379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408" t="s">
        <v>380</v>
      </c>
      <c r="F6" s="408" t="s">
        <v>381</v>
      </c>
      <c r="G6" s="408" t="s">
        <v>382</v>
      </c>
      <c r="H6" s="653"/>
      <c r="I6" s="407" t="s">
        <v>380</v>
      </c>
      <c r="J6" s="407" t="s">
        <v>381</v>
      </c>
      <c r="K6" s="407" t="s">
        <v>382</v>
      </c>
      <c r="L6" s="622"/>
      <c r="M6" s="628"/>
      <c r="N6" s="635"/>
      <c r="O6" s="635"/>
      <c r="P6" s="408" t="s">
        <v>380</v>
      </c>
      <c r="Q6" s="408" t="s">
        <v>381</v>
      </c>
      <c r="R6" s="408" t="s">
        <v>382</v>
      </c>
      <c r="S6" s="408" t="s">
        <v>372</v>
      </c>
      <c r="T6" s="635"/>
      <c r="U6" s="408" t="s">
        <v>380</v>
      </c>
      <c r="V6" s="408" t="s">
        <v>381</v>
      </c>
      <c r="W6" s="408" t="s">
        <v>382</v>
      </c>
      <c r="X6" s="408" t="s">
        <v>372</v>
      </c>
      <c r="Y6" s="635"/>
      <c r="Z6" s="408" t="s">
        <v>380</v>
      </c>
      <c r="AA6" s="408" t="s">
        <v>381</v>
      </c>
      <c r="AB6" s="408" t="s">
        <v>382</v>
      </c>
      <c r="AC6" s="408" t="s">
        <v>372</v>
      </c>
      <c r="AD6" s="635"/>
      <c r="AE6" s="408" t="s">
        <v>380</v>
      </c>
      <c r="AF6" s="408" t="s">
        <v>381</v>
      </c>
      <c r="AG6" s="408" t="s">
        <v>382</v>
      </c>
      <c r="AH6" s="408" t="s">
        <v>372</v>
      </c>
      <c r="AI6" s="635"/>
      <c r="AJ6" s="408" t="s">
        <v>380</v>
      </c>
      <c r="AK6" s="408" t="s">
        <v>381</v>
      </c>
      <c r="AL6" s="408" t="s">
        <v>382</v>
      </c>
      <c r="AM6" s="408" t="s">
        <v>372</v>
      </c>
      <c r="AN6" s="635"/>
      <c r="AO6" s="408" t="s">
        <v>380</v>
      </c>
      <c r="AP6" s="408" t="s">
        <v>381</v>
      </c>
      <c r="AQ6" s="408" t="s">
        <v>382</v>
      </c>
      <c r="AR6" s="408" t="s">
        <v>372</v>
      </c>
      <c r="AS6" s="635"/>
      <c r="AT6" s="408" t="s">
        <v>380</v>
      </c>
      <c r="AU6" s="408" t="s">
        <v>381</v>
      </c>
      <c r="AV6" s="408" t="s">
        <v>382</v>
      </c>
      <c r="AW6" s="408" t="s">
        <v>372</v>
      </c>
      <c r="AX6" s="635"/>
      <c r="AZ6" s="403" t="s">
        <v>372</v>
      </c>
      <c r="BA6" s="635"/>
    </row>
    <row r="7" spans="1:53" ht="14.25">
      <c r="A7" s="81"/>
      <c r="B7" s="683" t="s">
        <v>562</v>
      </c>
      <c r="C7" s="409">
        <v>1</v>
      </c>
      <c r="D7" s="495" t="s">
        <v>590</v>
      </c>
      <c r="E7" s="495">
        <v>10</v>
      </c>
      <c r="F7" s="495">
        <v>1500</v>
      </c>
      <c r="G7" s="416">
        <v>150</v>
      </c>
      <c r="H7" s="685">
        <f>AVERAGE(G7:G21)</f>
        <v>130</v>
      </c>
      <c r="I7" s="413">
        <f t="shared" ref="I7:I21" si="0">IFERROR(AVERAGE(P7,U7,Z7,AE7,AJ7,AO7,AT7),"-")</f>
        <v>10</v>
      </c>
      <c r="J7" s="413">
        <f t="shared" ref="J7:J21" si="1">IFERROR(AVERAGE(Q7,V7,AA7,AF7,AK7,AP7,AU7),"-")</f>
        <v>1517.8448979591828</v>
      </c>
      <c r="K7" s="199">
        <f t="shared" ref="K7:K21" si="2">IFERROR(AVERAGE(R7,W7,AB7,AG7,AL7,AQ7,AV7),"-")</f>
        <v>151.78448979591829</v>
      </c>
      <c r="L7" s="616">
        <f>IFERROR(AVERAGE(K7:K21),"-")</f>
        <v>151.08659907552763</v>
      </c>
      <c r="M7" s="415">
        <f>RANK(K7, K$7:$K$21)</f>
        <v>1</v>
      </c>
      <c r="N7" s="635"/>
      <c r="O7" s="635"/>
      <c r="P7" s="409">
        <v>10</v>
      </c>
      <c r="Q7" s="416">
        <v>1578.0000000000016</v>
      </c>
      <c r="R7" s="416">
        <v>157.80000000000015</v>
      </c>
      <c r="S7" s="409">
        <f t="shared" ref="S7:S21" si="3">RANK(R7, R$7:R$21)</f>
        <v>1</v>
      </c>
      <c r="T7" s="682">
        <f t="shared" ref="T7" si="4">AVERAGE(R7:R21)</f>
        <v>154.24880952380963</v>
      </c>
      <c r="U7" s="495">
        <v>10</v>
      </c>
      <c r="V7" s="416">
        <v>1515.9999999999973</v>
      </c>
      <c r="W7" s="416">
        <v>151.59999999999974</v>
      </c>
      <c r="X7" s="495">
        <f t="shared" ref="X7:X21" si="5">RANK(W7, W$7:W$21)</f>
        <v>2</v>
      </c>
      <c r="Y7" s="682">
        <f t="shared" ref="Y7" si="6">AVERAGE(W7:W21)</f>
        <v>153.22380952380936</v>
      </c>
      <c r="Z7" s="495">
        <v>10</v>
      </c>
      <c r="AA7" s="416">
        <v>1548.0000000000016</v>
      </c>
      <c r="AB7" s="416">
        <v>154.80000000000015</v>
      </c>
      <c r="AC7" s="495">
        <f t="shared" ref="AC7:AC21" si="7">RANK(AB7, AB$7:AB$21)</f>
        <v>1</v>
      </c>
      <c r="AD7" s="682">
        <f t="shared" ref="AD7" si="8">AVERAGE(AB7:AB21)</f>
        <v>143.45641025641021</v>
      </c>
      <c r="AE7" s="495">
        <v>10</v>
      </c>
      <c r="AF7" s="416">
        <v>1603.2000000000003</v>
      </c>
      <c r="AG7" s="416">
        <v>160.32000000000002</v>
      </c>
      <c r="AH7" s="495">
        <f t="shared" ref="AH7:AH21" si="9">RANK(AG7, AG$7:AG$21)</f>
        <v>1</v>
      </c>
      <c r="AI7" s="682">
        <f t="shared" ref="AI7" si="10">AVERAGE(AG7:AG21)</f>
        <v>156.48914529914535</v>
      </c>
      <c r="AJ7" s="495">
        <v>10</v>
      </c>
      <c r="AK7" s="416">
        <v>1385.9999999999975</v>
      </c>
      <c r="AL7" s="416">
        <v>138.59999999999974</v>
      </c>
      <c r="AM7" s="495">
        <f t="shared" ref="AM7:AM21" si="11">RANK(AL7, AL$7:AL$21)</f>
        <v>3</v>
      </c>
      <c r="AN7" s="682">
        <f t="shared" ref="AN7" si="12">AVERAGE(AL7:AL21)</f>
        <v>148.82393162393157</v>
      </c>
      <c r="AO7" s="495">
        <v>10</v>
      </c>
      <c r="AP7" s="416">
        <v>1429.7142857142842</v>
      </c>
      <c r="AQ7" s="416">
        <v>142.97142857142842</v>
      </c>
      <c r="AR7" s="495">
        <f t="shared" ref="AR7:AR21" si="13">RANK(AQ7, AQ$7:AQ$21)</f>
        <v>3</v>
      </c>
      <c r="AS7" s="682">
        <f t="shared" ref="AS7" si="14">AVERAGE(AQ7:AQ21)</f>
        <v>148.34742063492072</v>
      </c>
      <c r="AT7" s="495">
        <v>10</v>
      </c>
      <c r="AU7" s="416">
        <v>1563.9999999999973</v>
      </c>
      <c r="AV7" s="416">
        <v>156.39999999999972</v>
      </c>
      <c r="AW7" s="495">
        <f t="shared" ref="AW7:AW21" si="15">RANK(AV7, AV$7:AV$21)</f>
        <v>1</v>
      </c>
      <c r="AX7" s="682">
        <f t="shared" ref="AX7" si="16">AVERAGE(AV7:AV21)</f>
        <v>153.01666666666662</v>
      </c>
      <c r="AZ7" s="402" t="e">
        <f t="shared" ref="AZ7:AZ21" si="17">RANK(AY7, AY$7:AY$21)</f>
        <v>#N/A</v>
      </c>
      <c r="BA7" s="682" t="e">
        <f t="shared" ref="BA7" si="18">AVERAGE(AY7:AY21)</f>
        <v>#DIV/0!</v>
      </c>
    </row>
    <row r="8" spans="1:53" ht="15" customHeight="1">
      <c r="A8" s="81"/>
      <c r="B8" s="668"/>
      <c r="C8" s="409">
        <v>2</v>
      </c>
      <c r="D8" s="495" t="s">
        <v>623</v>
      </c>
      <c r="E8" s="495">
        <v>15</v>
      </c>
      <c r="F8" s="495">
        <v>1800</v>
      </c>
      <c r="G8" s="416">
        <v>120</v>
      </c>
      <c r="H8" s="686"/>
      <c r="I8" s="413">
        <f t="shared" si="0"/>
        <v>12.142857142857142</v>
      </c>
      <c r="J8" s="413">
        <f t="shared" si="1"/>
        <v>1822.8543956043957</v>
      </c>
      <c r="K8" s="199">
        <f t="shared" si="2"/>
        <v>150.26717032967034</v>
      </c>
      <c r="L8" s="617"/>
      <c r="M8" s="415">
        <f>RANK(K8, K$7:$K$21)</f>
        <v>3</v>
      </c>
      <c r="N8" s="635"/>
      <c r="O8" s="635"/>
      <c r="P8" s="409">
        <v>12</v>
      </c>
      <c r="Q8" s="416">
        <v>1786.4999999999993</v>
      </c>
      <c r="R8" s="416">
        <v>148.87499999999994</v>
      </c>
      <c r="S8" s="409">
        <f t="shared" si="3"/>
        <v>3</v>
      </c>
      <c r="T8" s="682"/>
      <c r="U8" s="495">
        <v>12</v>
      </c>
      <c r="V8" s="416">
        <v>1817.9999999999993</v>
      </c>
      <c r="W8" s="416">
        <v>151.49999999999994</v>
      </c>
      <c r="X8" s="495">
        <f t="shared" si="5"/>
        <v>3</v>
      </c>
      <c r="Y8" s="682"/>
      <c r="Z8" s="495">
        <v>13</v>
      </c>
      <c r="AA8" s="416">
        <v>1787.9999999999975</v>
      </c>
      <c r="AB8" s="416">
        <v>137.53846153846135</v>
      </c>
      <c r="AC8" s="495">
        <f t="shared" si="7"/>
        <v>3</v>
      </c>
      <c r="AD8" s="682"/>
      <c r="AE8" s="495">
        <v>12</v>
      </c>
      <c r="AF8" s="416">
        <v>1850.7692307692328</v>
      </c>
      <c r="AG8" s="416">
        <v>154.2307692307694</v>
      </c>
      <c r="AH8" s="495">
        <f t="shared" si="9"/>
        <v>3</v>
      </c>
      <c r="AI8" s="682"/>
      <c r="AJ8" s="495">
        <v>12</v>
      </c>
      <c r="AK8" s="416">
        <v>1854.4615384615381</v>
      </c>
      <c r="AL8" s="416">
        <v>154.53846153846152</v>
      </c>
      <c r="AM8" s="495">
        <f t="shared" si="11"/>
        <v>1</v>
      </c>
      <c r="AN8" s="682"/>
      <c r="AO8" s="495">
        <v>12</v>
      </c>
      <c r="AP8" s="416">
        <v>1835.250000000003</v>
      </c>
      <c r="AQ8" s="416">
        <v>152.93750000000026</v>
      </c>
      <c r="AR8" s="495">
        <f t="shared" si="13"/>
        <v>1</v>
      </c>
      <c r="AS8" s="682"/>
      <c r="AT8" s="495">
        <v>12</v>
      </c>
      <c r="AU8" s="416">
        <v>1826.9999999999993</v>
      </c>
      <c r="AV8" s="416">
        <v>152.24999999999994</v>
      </c>
      <c r="AW8" s="495">
        <f t="shared" si="15"/>
        <v>2</v>
      </c>
      <c r="AX8" s="682"/>
      <c r="AZ8" s="402" t="e">
        <f t="shared" si="17"/>
        <v>#N/A</v>
      </c>
      <c r="BA8" s="682"/>
    </row>
    <row r="9" spans="1:53" ht="14.25">
      <c r="A9" s="81"/>
      <c r="B9" s="668"/>
      <c r="C9" s="409">
        <v>3</v>
      </c>
      <c r="D9" s="495" t="s">
        <v>624</v>
      </c>
      <c r="E9" s="495">
        <v>15</v>
      </c>
      <c r="F9" s="495">
        <v>1800</v>
      </c>
      <c r="G9" s="416">
        <v>120</v>
      </c>
      <c r="H9" s="686"/>
      <c r="I9" s="413">
        <f t="shared" si="0"/>
        <v>12.142857142857142</v>
      </c>
      <c r="J9" s="413">
        <f t="shared" si="1"/>
        <v>1834.2163265306128</v>
      </c>
      <c r="K9" s="199">
        <f t="shared" si="2"/>
        <v>151.20813710099429</v>
      </c>
      <c r="L9" s="617"/>
      <c r="M9" s="415">
        <f>RANK(K9, K$7:$K$21)</f>
        <v>2</v>
      </c>
      <c r="N9" s="635"/>
      <c r="O9" s="635"/>
      <c r="P9" s="409">
        <v>12</v>
      </c>
      <c r="Q9" s="416">
        <v>1872.8571428571449</v>
      </c>
      <c r="R9" s="416">
        <v>156.07142857142875</v>
      </c>
      <c r="S9" s="409">
        <f t="shared" si="3"/>
        <v>2</v>
      </c>
      <c r="T9" s="682"/>
      <c r="U9" s="495">
        <v>12</v>
      </c>
      <c r="V9" s="416">
        <v>1878.8571428571408</v>
      </c>
      <c r="W9" s="416">
        <v>156.57142857142841</v>
      </c>
      <c r="X9" s="495">
        <f t="shared" si="5"/>
        <v>1</v>
      </c>
      <c r="Y9" s="682"/>
      <c r="Z9" s="495">
        <v>13</v>
      </c>
      <c r="AA9" s="416">
        <v>1794.3999999999987</v>
      </c>
      <c r="AB9" s="416">
        <v>138.03076923076912</v>
      </c>
      <c r="AC9" s="495">
        <f t="shared" si="7"/>
        <v>2</v>
      </c>
      <c r="AD9" s="682"/>
      <c r="AE9" s="495">
        <v>12</v>
      </c>
      <c r="AF9" s="416">
        <v>1858.9999999999991</v>
      </c>
      <c r="AG9" s="416">
        <v>154.9166666666666</v>
      </c>
      <c r="AH9" s="495">
        <f t="shared" si="9"/>
        <v>2</v>
      </c>
      <c r="AI9" s="682"/>
      <c r="AJ9" s="495">
        <v>12</v>
      </c>
      <c r="AK9" s="416">
        <v>1840.0000000000018</v>
      </c>
      <c r="AL9" s="416">
        <v>153.33333333333348</v>
      </c>
      <c r="AM9" s="495">
        <f t="shared" si="11"/>
        <v>2</v>
      </c>
      <c r="AN9" s="682"/>
      <c r="AO9" s="495">
        <v>12</v>
      </c>
      <c r="AP9" s="416">
        <v>1789.6000000000026</v>
      </c>
      <c r="AQ9" s="416">
        <v>149.13333333333355</v>
      </c>
      <c r="AR9" s="495">
        <f t="shared" si="13"/>
        <v>2</v>
      </c>
      <c r="AS9" s="682"/>
      <c r="AT9" s="495">
        <v>12</v>
      </c>
      <c r="AU9" s="416">
        <v>1804.8000000000027</v>
      </c>
      <c r="AV9" s="416">
        <v>150.40000000000023</v>
      </c>
      <c r="AW9" s="495">
        <f t="shared" si="15"/>
        <v>3</v>
      </c>
      <c r="AX9" s="682"/>
      <c r="AZ9" s="402" t="e">
        <f t="shared" si="17"/>
        <v>#N/A</v>
      </c>
      <c r="BA9" s="682"/>
    </row>
    <row r="10" spans="1:53" ht="14.25">
      <c r="A10" s="81"/>
      <c r="B10" s="668"/>
      <c r="C10" s="409">
        <v>4</v>
      </c>
      <c r="D10" s="495"/>
      <c r="E10" s="495"/>
      <c r="F10" s="495"/>
      <c r="G10" s="416"/>
      <c r="H10" s="686"/>
      <c r="I10" s="413" t="str">
        <f t="shared" si="0"/>
        <v>-</v>
      </c>
      <c r="J10" s="413" t="str">
        <f t="shared" si="1"/>
        <v>-</v>
      </c>
      <c r="K10" s="199" t="str">
        <f t="shared" si="2"/>
        <v>-</v>
      </c>
      <c r="L10" s="617"/>
      <c r="M10" s="415" t="e">
        <f>RANK(K10, K$7:$K$21)</f>
        <v>#VALUE!</v>
      </c>
      <c r="N10" s="635"/>
      <c r="O10" s="635"/>
      <c r="P10" s="409"/>
      <c r="Q10" s="416"/>
      <c r="R10" s="416"/>
      <c r="S10" s="409" t="e">
        <f t="shared" si="3"/>
        <v>#N/A</v>
      </c>
      <c r="T10" s="682"/>
      <c r="U10" s="495"/>
      <c r="V10" s="416"/>
      <c r="W10" s="416"/>
      <c r="X10" s="495" t="e">
        <f t="shared" si="5"/>
        <v>#N/A</v>
      </c>
      <c r="Y10" s="682"/>
      <c r="Z10" s="495"/>
      <c r="AA10" s="416"/>
      <c r="AB10" s="416"/>
      <c r="AC10" s="495" t="e">
        <f t="shared" si="7"/>
        <v>#N/A</v>
      </c>
      <c r="AD10" s="682"/>
      <c r="AE10" s="495"/>
      <c r="AF10" s="416"/>
      <c r="AG10" s="416"/>
      <c r="AH10" s="495" t="e">
        <f t="shared" si="9"/>
        <v>#N/A</v>
      </c>
      <c r="AI10" s="682"/>
      <c r="AJ10" s="495"/>
      <c r="AK10" s="416"/>
      <c r="AL10" s="416"/>
      <c r="AM10" s="495" t="e">
        <f t="shared" si="11"/>
        <v>#N/A</v>
      </c>
      <c r="AN10" s="682"/>
      <c r="AO10" s="495"/>
      <c r="AP10" s="416"/>
      <c r="AQ10" s="416"/>
      <c r="AR10" s="495" t="e">
        <f t="shared" si="13"/>
        <v>#N/A</v>
      </c>
      <c r="AS10" s="682"/>
      <c r="AT10" s="495"/>
      <c r="AU10" s="416"/>
      <c r="AV10" s="416"/>
      <c r="AW10" s="495" t="e">
        <f t="shared" si="15"/>
        <v>#N/A</v>
      </c>
      <c r="AX10" s="682"/>
      <c r="AZ10" s="402" t="e">
        <f t="shared" si="17"/>
        <v>#N/A</v>
      </c>
      <c r="BA10" s="682"/>
    </row>
    <row r="11" spans="1:53" ht="14.25">
      <c r="A11" s="81"/>
      <c r="B11" s="668"/>
      <c r="C11" s="409">
        <v>5</v>
      </c>
      <c r="D11" s="495"/>
      <c r="E11" s="495"/>
      <c r="F11" s="495"/>
      <c r="G11" s="416"/>
      <c r="H11" s="686"/>
      <c r="I11" s="413" t="str">
        <f t="shared" si="0"/>
        <v>-</v>
      </c>
      <c r="J11" s="413" t="str">
        <f t="shared" si="1"/>
        <v>-</v>
      </c>
      <c r="K11" s="199" t="str">
        <f t="shared" si="2"/>
        <v>-</v>
      </c>
      <c r="L11" s="617"/>
      <c r="M11" s="415" t="e">
        <f>RANK(K11, K$7:$K$21)</f>
        <v>#VALUE!</v>
      </c>
      <c r="N11" s="635"/>
      <c r="O11" s="635"/>
      <c r="P11" s="409"/>
      <c r="Q11" s="416"/>
      <c r="R11" s="416"/>
      <c r="S11" s="409" t="e">
        <f t="shared" si="3"/>
        <v>#N/A</v>
      </c>
      <c r="T11" s="682"/>
      <c r="U11" s="495"/>
      <c r="V11" s="416"/>
      <c r="W11" s="416"/>
      <c r="X11" s="495" t="e">
        <f t="shared" si="5"/>
        <v>#N/A</v>
      </c>
      <c r="Y11" s="682"/>
      <c r="Z11" s="495"/>
      <c r="AA11" s="416"/>
      <c r="AB11" s="416"/>
      <c r="AC11" s="495" t="e">
        <f t="shared" si="7"/>
        <v>#N/A</v>
      </c>
      <c r="AD11" s="682"/>
      <c r="AE11" s="495"/>
      <c r="AF11" s="416"/>
      <c r="AG11" s="416"/>
      <c r="AH11" s="495" t="e">
        <f t="shared" si="9"/>
        <v>#N/A</v>
      </c>
      <c r="AI11" s="682"/>
      <c r="AJ11" s="495"/>
      <c r="AK11" s="416"/>
      <c r="AL11" s="416"/>
      <c r="AM11" s="495" t="e">
        <f t="shared" si="11"/>
        <v>#N/A</v>
      </c>
      <c r="AN11" s="682"/>
      <c r="AO11" s="495"/>
      <c r="AP11" s="416"/>
      <c r="AQ11" s="416"/>
      <c r="AR11" s="495" t="e">
        <f t="shared" si="13"/>
        <v>#N/A</v>
      </c>
      <c r="AS11" s="682"/>
      <c r="AT11" s="495"/>
      <c r="AU11" s="416"/>
      <c r="AV11" s="416"/>
      <c r="AW11" s="495" t="e">
        <f t="shared" si="15"/>
        <v>#N/A</v>
      </c>
      <c r="AX11" s="682"/>
      <c r="AZ11" s="402" t="e">
        <f t="shared" si="17"/>
        <v>#N/A</v>
      </c>
      <c r="BA11" s="682"/>
    </row>
    <row r="12" spans="1:53" ht="14.25">
      <c r="A12" s="81"/>
      <c r="B12" s="668"/>
      <c r="C12" s="409">
        <v>6</v>
      </c>
      <c r="D12" s="495"/>
      <c r="E12" s="495"/>
      <c r="F12" s="495"/>
      <c r="G12" s="416"/>
      <c r="H12" s="686"/>
      <c r="I12" s="413" t="str">
        <f t="shared" si="0"/>
        <v>-</v>
      </c>
      <c r="J12" s="413" t="str">
        <f t="shared" si="1"/>
        <v>-</v>
      </c>
      <c r="K12" s="199" t="str">
        <f t="shared" si="2"/>
        <v>-</v>
      </c>
      <c r="L12" s="617"/>
      <c r="M12" s="415" t="e">
        <f>RANK(K12, K$7:$K$21)</f>
        <v>#VALUE!</v>
      </c>
      <c r="N12" s="635"/>
      <c r="O12" s="635"/>
      <c r="P12" s="409"/>
      <c r="Q12" s="416"/>
      <c r="R12" s="416"/>
      <c r="S12" s="409" t="e">
        <f t="shared" si="3"/>
        <v>#N/A</v>
      </c>
      <c r="T12" s="682"/>
      <c r="U12" s="495"/>
      <c r="V12" s="416"/>
      <c r="W12" s="416"/>
      <c r="X12" s="495" t="e">
        <f t="shared" si="5"/>
        <v>#N/A</v>
      </c>
      <c r="Y12" s="682"/>
      <c r="Z12" s="495"/>
      <c r="AA12" s="416"/>
      <c r="AB12" s="416"/>
      <c r="AC12" s="495" t="e">
        <f t="shared" si="7"/>
        <v>#N/A</v>
      </c>
      <c r="AD12" s="682"/>
      <c r="AE12" s="495"/>
      <c r="AF12" s="416"/>
      <c r="AG12" s="416"/>
      <c r="AH12" s="495" t="e">
        <f t="shared" si="9"/>
        <v>#N/A</v>
      </c>
      <c r="AI12" s="682"/>
      <c r="AJ12" s="495"/>
      <c r="AK12" s="416"/>
      <c r="AL12" s="416"/>
      <c r="AM12" s="495" t="e">
        <f t="shared" si="11"/>
        <v>#N/A</v>
      </c>
      <c r="AN12" s="682"/>
      <c r="AO12" s="495"/>
      <c r="AP12" s="416"/>
      <c r="AQ12" s="416"/>
      <c r="AR12" s="495" t="e">
        <f t="shared" si="13"/>
        <v>#N/A</v>
      </c>
      <c r="AS12" s="682"/>
      <c r="AT12" s="495"/>
      <c r="AU12" s="416"/>
      <c r="AV12" s="416"/>
      <c r="AW12" s="495" t="e">
        <f t="shared" si="15"/>
        <v>#N/A</v>
      </c>
      <c r="AX12" s="682"/>
      <c r="AZ12" s="402" t="e">
        <f t="shared" si="17"/>
        <v>#N/A</v>
      </c>
      <c r="BA12" s="682"/>
    </row>
    <row r="13" spans="1:53" ht="14.25">
      <c r="A13" s="81"/>
      <c r="B13" s="668"/>
      <c r="C13" s="409">
        <v>7</v>
      </c>
      <c r="D13" s="495"/>
      <c r="E13" s="495"/>
      <c r="F13" s="495"/>
      <c r="G13" s="416"/>
      <c r="H13" s="686"/>
      <c r="I13" s="413" t="str">
        <f t="shared" si="0"/>
        <v>-</v>
      </c>
      <c r="J13" s="413" t="str">
        <f t="shared" si="1"/>
        <v>-</v>
      </c>
      <c r="K13" s="199" t="str">
        <f t="shared" si="2"/>
        <v>-</v>
      </c>
      <c r="L13" s="617"/>
      <c r="M13" s="415" t="e">
        <f>RANK(K13, K$7:$K$21)</f>
        <v>#VALUE!</v>
      </c>
      <c r="N13" s="635"/>
      <c r="O13" s="635"/>
      <c r="P13" s="409"/>
      <c r="Q13" s="416"/>
      <c r="R13" s="416"/>
      <c r="S13" s="409" t="e">
        <f t="shared" si="3"/>
        <v>#N/A</v>
      </c>
      <c r="T13" s="682"/>
      <c r="U13" s="495"/>
      <c r="V13" s="416"/>
      <c r="W13" s="416"/>
      <c r="X13" s="495" t="e">
        <f t="shared" si="5"/>
        <v>#N/A</v>
      </c>
      <c r="Y13" s="682"/>
      <c r="Z13" s="495"/>
      <c r="AA13" s="416"/>
      <c r="AB13" s="416"/>
      <c r="AC13" s="495" t="e">
        <f t="shared" si="7"/>
        <v>#N/A</v>
      </c>
      <c r="AD13" s="682"/>
      <c r="AE13" s="495"/>
      <c r="AF13" s="416"/>
      <c r="AG13" s="416"/>
      <c r="AH13" s="495" t="e">
        <f t="shared" si="9"/>
        <v>#N/A</v>
      </c>
      <c r="AI13" s="682"/>
      <c r="AJ13" s="495"/>
      <c r="AK13" s="416"/>
      <c r="AL13" s="416"/>
      <c r="AM13" s="495" t="e">
        <f t="shared" si="11"/>
        <v>#N/A</v>
      </c>
      <c r="AN13" s="682"/>
      <c r="AO13" s="495"/>
      <c r="AP13" s="416"/>
      <c r="AQ13" s="416"/>
      <c r="AR13" s="495" t="e">
        <f t="shared" si="13"/>
        <v>#N/A</v>
      </c>
      <c r="AS13" s="682"/>
      <c r="AT13" s="495"/>
      <c r="AU13" s="416"/>
      <c r="AV13" s="416"/>
      <c r="AW13" s="495" t="e">
        <f t="shared" si="15"/>
        <v>#N/A</v>
      </c>
      <c r="AX13" s="682"/>
      <c r="AZ13" s="402" t="e">
        <f t="shared" si="17"/>
        <v>#N/A</v>
      </c>
      <c r="BA13" s="682"/>
    </row>
    <row r="14" spans="1:53" ht="14.25">
      <c r="A14" s="81"/>
      <c r="B14" s="668"/>
      <c r="C14" s="409">
        <v>8</v>
      </c>
      <c r="D14" s="495"/>
      <c r="E14" s="495"/>
      <c r="F14" s="495"/>
      <c r="G14" s="416"/>
      <c r="H14" s="686"/>
      <c r="I14" s="413" t="str">
        <f t="shared" si="0"/>
        <v>-</v>
      </c>
      <c r="J14" s="413" t="str">
        <f t="shared" si="1"/>
        <v>-</v>
      </c>
      <c r="K14" s="199" t="str">
        <f t="shared" si="2"/>
        <v>-</v>
      </c>
      <c r="L14" s="617"/>
      <c r="M14" s="415" t="e">
        <f>RANK(K14, K$7:$K$21)</f>
        <v>#VALUE!</v>
      </c>
      <c r="N14" s="635"/>
      <c r="O14" s="635"/>
      <c r="P14" s="409"/>
      <c r="Q14" s="416"/>
      <c r="R14" s="416"/>
      <c r="S14" s="409" t="e">
        <f t="shared" si="3"/>
        <v>#N/A</v>
      </c>
      <c r="T14" s="682"/>
      <c r="U14" s="495"/>
      <c r="V14" s="416"/>
      <c r="W14" s="416"/>
      <c r="X14" s="495" t="e">
        <f t="shared" si="5"/>
        <v>#N/A</v>
      </c>
      <c r="Y14" s="682"/>
      <c r="Z14" s="495"/>
      <c r="AA14" s="416"/>
      <c r="AB14" s="416"/>
      <c r="AC14" s="495" t="e">
        <f t="shared" si="7"/>
        <v>#N/A</v>
      </c>
      <c r="AD14" s="682"/>
      <c r="AE14" s="495"/>
      <c r="AF14" s="416"/>
      <c r="AG14" s="416"/>
      <c r="AH14" s="495" t="e">
        <f t="shared" si="9"/>
        <v>#N/A</v>
      </c>
      <c r="AI14" s="682"/>
      <c r="AJ14" s="495"/>
      <c r="AK14" s="416"/>
      <c r="AL14" s="416"/>
      <c r="AM14" s="495" t="e">
        <f t="shared" si="11"/>
        <v>#N/A</v>
      </c>
      <c r="AN14" s="682"/>
      <c r="AO14" s="495"/>
      <c r="AP14" s="416"/>
      <c r="AQ14" s="416"/>
      <c r="AR14" s="495" t="e">
        <f t="shared" si="13"/>
        <v>#N/A</v>
      </c>
      <c r="AS14" s="682"/>
      <c r="AT14" s="495"/>
      <c r="AU14" s="416"/>
      <c r="AV14" s="416"/>
      <c r="AW14" s="495" t="e">
        <f t="shared" si="15"/>
        <v>#N/A</v>
      </c>
      <c r="AX14" s="682"/>
      <c r="AZ14" s="402" t="e">
        <f t="shared" si="17"/>
        <v>#N/A</v>
      </c>
      <c r="BA14" s="682"/>
    </row>
    <row r="15" spans="1:53" ht="14.25">
      <c r="A15" s="81"/>
      <c r="B15" s="668"/>
      <c r="C15" s="409">
        <v>9</v>
      </c>
      <c r="D15" s="495"/>
      <c r="E15" s="495"/>
      <c r="F15" s="495"/>
      <c r="G15" s="416"/>
      <c r="H15" s="686"/>
      <c r="I15" s="413" t="str">
        <f t="shared" si="0"/>
        <v>-</v>
      </c>
      <c r="J15" s="413" t="str">
        <f t="shared" si="1"/>
        <v>-</v>
      </c>
      <c r="K15" s="199" t="str">
        <f t="shared" si="2"/>
        <v>-</v>
      </c>
      <c r="L15" s="617"/>
      <c r="M15" s="415" t="e">
        <f>RANK(K15, K$7:$K$21)</f>
        <v>#VALUE!</v>
      </c>
      <c r="N15" s="635"/>
      <c r="O15" s="635"/>
      <c r="P15" s="409"/>
      <c r="Q15" s="416"/>
      <c r="R15" s="416"/>
      <c r="S15" s="409" t="e">
        <f t="shared" si="3"/>
        <v>#N/A</v>
      </c>
      <c r="T15" s="682"/>
      <c r="U15" s="495"/>
      <c r="V15" s="416"/>
      <c r="W15" s="416"/>
      <c r="X15" s="495" t="e">
        <f t="shared" si="5"/>
        <v>#N/A</v>
      </c>
      <c r="Y15" s="682"/>
      <c r="Z15" s="495"/>
      <c r="AA15" s="416"/>
      <c r="AB15" s="416"/>
      <c r="AC15" s="495" t="e">
        <f t="shared" si="7"/>
        <v>#N/A</v>
      </c>
      <c r="AD15" s="682"/>
      <c r="AE15" s="495"/>
      <c r="AF15" s="416"/>
      <c r="AG15" s="416"/>
      <c r="AH15" s="495" t="e">
        <f t="shared" si="9"/>
        <v>#N/A</v>
      </c>
      <c r="AI15" s="682"/>
      <c r="AJ15" s="495"/>
      <c r="AK15" s="416"/>
      <c r="AL15" s="416"/>
      <c r="AM15" s="495" t="e">
        <f t="shared" si="11"/>
        <v>#N/A</v>
      </c>
      <c r="AN15" s="682"/>
      <c r="AO15" s="495"/>
      <c r="AP15" s="416"/>
      <c r="AQ15" s="416"/>
      <c r="AR15" s="495" t="e">
        <f t="shared" si="13"/>
        <v>#N/A</v>
      </c>
      <c r="AS15" s="682"/>
      <c r="AT15" s="495"/>
      <c r="AU15" s="416"/>
      <c r="AV15" s="416"/>
      <c r="AW15" s="495" t="e">
        <f t="shared" si="15"/>
        <v>#N/A</v>
      </c>
      <c r="AX15" s="682"/>
      <c r="AZ15" s="402" t="e">
        <f t="shared" si="17"/>
        <v>#N/A</v>
      </c>
      <c r="BA15" s="682"/>
    </row>
    <row r="16" spans="1:53" ht="14.25">
      <c r="A16" s="81"/>
      <c r="B16" s="668"/>
      <c r="C16" s="409">
        <v>10</v>
      </c>
      <c r="D16" s="495"/>
      <c r="E16" s="495"/>
      <c r="F16" s="495"/>
      <c r="G16" s="416"/>
      <c r="H16" s="686"/>
      <c r="I16" s="413" t="str">
        <f t="shared" si="0"/>
        <v>-</v>
      </c>
      <c r="J16" s="413" t="str">
        <f t="shared" si="1"/>
        <v>-</v>
      </c>
      <c r="K16" s="199" t="str">
        <f t="shared" si="2"/>
        <v>-</v>
      </c>
      <c r="L16" s="617"/>
      <c r="M16" s="415" t="e">
        <f>RANK(K16, K$7:$K$21)</f>
        <v>#VALUE!</v>
      </c>
      <c r="N16" s="635"/>
      <c r="O16" s="635"/>
      <c r="P16" s="409"/>
      <c r="Q16" s="416"/>
      <c r="R16" s="416"/>
      <c r="S16" s="409" t="e">
        <f t="shared" si="3"/>
        <v>#N/A</v>
      </c>
      <c r="T16" s="682"/>
      <c r="U16" s="495"/>
      <c r="V16" s="416"/>
      <c r="W16" s="416"/>
      <c r="X16" s="495" t="e">
        <f t="shared" si="5"/>
        <v>#N/A</v>
      </c>
      <c r="Y16" s="682"/>
      <c r="Z16" s="495"/>
      <c r="AA16" s="416"/>
      <c r="AB16" s="416"/>
      <c r="AC16" s="495" t="e">
        <f t="shared" si="7"/>
        <v>#N/A</v>
      </c>
      <c r="AD16" s="682"/>
      <c r="AE16" s="495"/>
      <c r="AF16" s="416"/>
      <c r="AG16" s="416"/>
      <c r="AH16" s="495" t="e">
        <f t="shared" si="9"/>
        <v>#N/A</v>
      </c>
      <c r="AI16" s="682"/>
      <c r="AJ16" s="495"/>
      <c r="AK16" s="416"/>
      <c r="AL16" s="416"/>
      <c r="AM16" s="495" t="e">
        <f t="shared" si="11"/>
        <v>#N/A</v>
      </c>
      <c r="AN16" s="682"/>
      <c r="AO16" s="495"/>
      <c r="AP16" s="416"/>
      <c r="AQ16" s="416"/>
      <c r="AR16" s="495" t="e">
        <f t="shared" si="13"/>
        <v>#N/A</v>
      </c>
      <c r="AS16" s="682"/>
      <c r="AT16" s="495"/>
      <c r="AU16" s="416"/>
      <c r="AV16" s="416"/>
      <c r="AW16" s="495" t="e">
        <f t="shared" si="15"/>
        <v>#N/A</v>
      </c>
      <c r="AX16" s="682"/>
      <c r="AZ16" s="402" t="e">
        <f t="shared" si="17"/>
        <v>#N/A</v>
      </c>
      <c r="BA16" s="682"/>
    </row>
    <row r="17" spans="2:53">
      <c r="B17" s="668"/>
      <c r="C17" s="409">
        <v>11</v>
      </c>
      <c r="D17" s="495"/>
      <c r="E17" s="495"/>
      <c r="F17" s="495"/>
      <c r="G17" s="416"/>
      <c r="H17" s="686"/>
      <c r="I17" s="413" t="str">
        <f t="shared" si="0"/>
        <v>-</v>
      </c>
      <c r="J17" s="413" t="str">
        <f t="shared" si="1"/>
        <v>-</v>
      </c>
      <c r="K17" s="199" t="str">
        <f t="shared" si="2"/>
        <v>-</v>
      </c>
      <c r="L17" s="617"/>
      <c r="M17" s="415" t="e">
        <f>RANK(K17, K$7:$K$21)</f>
        <v>#VALUE!</v>
      </c>
      <c r="N17" s="635"/>
      <c r="O17" s="635"/>
      <c r="P17" s="409"/>
      <c r="Q17" s="416"/>
      <c r="R17" s="416"/>
      <c r="S17" s="409" t="e">
        <f t="shared" si="3"/>
        <v>#N/A</v>
      </c>
      <c r="T17" s="682"/>
      <c r="U17" s="495"/>
      <c r="V17" s="416"/>
      <c r="W17" s="416"/>
      <c r="X17" s="495" t="e">
        <f t="shared" si="5"/>
        <v>#N/A</v>
      </c>
      <c r="Y17" s="682"/>
      <c r="Z17" s="495"/>
      <c r="AA17" s="416"/>
      <c r="AB17" s="416"/>
      <c r="AC17" s="495" t="e">
        <f t="shared" si="7"/>
        <v>#N/A</v>
      </c>
      <c r="AD17" s="682"/>
      <c r="AE17" s="495"/>
      <c r="AF17" s="416"/>
      <c r="AG17" s="416"/>
      <c r="AH17" s="495" t="e">
        <f t="shared" si="9"/>
        <v>#N/A</v>
      </c>
      <c r="AI17" s="682"/>
      <c r="AJ17" s="495"/>
      <c r="AK17" s="416"/>
      <c r="AL17" s="416"/>
      <c r="AM17" s="495" t="e">
        <f t="shared" si="11"/>
        <v>#N/A</v>
      </c>
      <c r="AN17" s="682"/>
      <c r="AO17" s="495"/>
      <c r="AP17" s="416"/>
      <c r="AQ17" s="416"/>
      <c r="AR17" s="495" t="e">
        <f t="shared" si="13"/>
        <v>#N/A</v>
      </c>
      <c r="AS17" s="682"/>
      <c r="AT17" s="495"/>
      <c r="AU17" s="416"/>
      <c r="AV17" s="416"/>
      <c r="AW17" s="495" t="e">
        <f t="shared" si="15"/>
        <v>#N/A</v>
      </c>
      <c r="AX17" s="682"/>
      <c r="AZ17" s="402" t="e">
        <f t="shared" si="17"/>
        <v>#N/A</v>
      </c>
      <c r="BA17" s="682"/>
    </row>
    <row r="18" spans="2:53">
      <c r="B18" s="668"/>
      <c r="C18" s="409">
        <v>12</v>
      </c>
      <c r="D18" s="495"/>
      <c r="E18" s="495"/>
      <c r="F18" s="495"/>
      <c r="G18" s="416"/>
      <c r="H18" s="686"/>
      <c r="I18" s="413" t="str">
        <f t="shared" si="0"/>
        <v>-</v>
      </c>
      <c r="J18" s="413" t="str">
        <f t="shared" si="1"/>
        <v>-</v>
      </c>
      <c r="K18" s="199" t="str">
        <f t="shared" si="2"/>
        <v>-</v>
      </c>
      <c r="L18" s="617"/>
      <c r="M18" s="415" t="e">
        <f>RANK(K18, K$7:$K$21)</f>
        <v>#VALUE!</v>
      </c>
      <c r="N18" s="635"/>
      <c r="O18" s="635"/>
      <c r="P18" s="409"/>
      <c r="Q18" s="416"/>
      <c r="R18" s="416"/>
      <c r="S18" s="409" t="e">
        <f t="shared" si="3"/>
        <v>#N/A</v>
      </c>
      <c r="T18" s="682"/>
      <c r="U18" s="495"/>
      <c r="V18" s="416"/>
      <c r="W18" s="416"/>
      <c r="X18" s="495" t="e">
        <f t="shared" si="5"/>
        <v>#N/A</v>
      </c>
      <c r="Y18" s="682"/>
      <c r="Z18" s="495"/>
      <c r="AA18" s="416"/>
      <c r="AB18" s="416"/>
      <c r="AC18" s="495" t="e">
        <f t="shared" si="7"/>
        <v>#N/A</v>
      </c>
      <c r="AD18" s="682"/>
      <c r="AE18" s="495"/>
      <c r="AF18" s="416"/>
      <c r="AG18" s="416"/>
      <c r="AH18" s="495" t="e">
        <f t="shared" si="9"/>
        <v>#N/A</v>
      </c>
      <c r="AI18" s="682"/>
      <c r="AJ18" s="495"/>
      <c r="AK18" s="416"/>
      <c r="AL18" s="416"/>
      <c r="AM18" s="495" t="e">
        <f t="shared" si="11"/>
        <v>#N/A</v>
      </c>
      <c r="AN18" s="682"/>
      <c r="AO18" s="495"/>
      <c r="AP18" s="416"/>
      <c r="AQ18" s="416"/>
      <c r="AR18" s="495" t="e">
        <f t="shared" si="13"/>
        <v>#N/A</v>
      </c>
      <c r="AS18" s="682"/>
      <c r="AT18" s="495"/>
      <c r="AU18" s="416"/>
      <c r="AV18" s="416"/>
      <c r="AW18" s="495" t="e">
        <f t="shared" si="15"/>
        <v>#N/A</v>
      </c>
      <c r="AX18" s="682"/>
      <c r="AZ18" s="402" t="e">
        <f t="shared" si="17"/>
        <v>#N/A</v>
      </c>
      <c r="BA18" s="682"/>
    </row>
    <row r="19" spans="2:53">
      <c r="B19" s="668"/>
      <c r="C19" s="409">
        <v>13</v>
      </c>
      <c r="D19" s="495"/>
      <c r="E19" s="495"/>
      <c r="F19" s="495"/>
      <c r="G19" s="416"/>
      <c r="H19" s="686"/>
      <c r="I19" s="413" t="str">
        <f t="shared" si="0"/>
        <v>-</v>
      </c>
      <c r="J19" s="413" t="str">
        <f t="shared" si="1"/>
        <v>-</v>
      </c>
      <c r="K19" s="199" t="str">
        <f t="shared" si="2"/>
        <v>-</v>
      </c>
      <c r="L19" s="617"/>
      <c r="M19" s="415" t="e">
        <f>RANK(K19, K$7:$K$21)</f>
        <v>#VALUE!</v>
      </c>
      <c r="N19" s="635"/>
      <c r="O19" s="635"/>
      <c r="P19" s="409"/>
      <c r="Q19" s="416"/>
      <c r="R19" s="416"/>
      <c r="S19" s="409" t="e">
        <f t="shared" si="3"/>
        <v>#N/A</v>
      </c>
      <c r="T19" s="682"/>
      <c r="U19" s="495"/>
      <c r="V19" s="416"/>
      <c r="W19" s="416"/>
      <c r="X19" s="495" t="e">
        <f t="shared" si="5"/>
        <v>#N/A</v>
      </c>
      <c r="Y19" s="682"/>
      <c r="Z19" s="495"/>
      <c r="AA19" s="416"/>
      <c r="AB19" s="416"/>
      <c r="AC19" s="495" t="e">
        <f t="shared" si="7"/>
        <v>#N/A</v>
      </c>
      <c r="AD19" s="682"/>
      <c r="AE19" s="495"/>
      <c r="AF19" s="416"/>
      <c r="AG19" s="416"/>
      <c r="AH19" s="495" t="e">
        <f t="shared" si="9"/>
        <v>#N/A</v>
      </c>
      <c r="AI19" s="682"/>
      <c r="AJ19" s="495"/>
      <c r="AK19" s="416"/>
      <c r="AL19" s="416"/>
      <c r="AM19" s="495" t="e">
        <f t="shared" si="11"/>
        <v>#N/A</v>
      </c>
      <c r="AN19" s="682"/>
      <c r="AO19" s="495"/>
      <c r="AP19" s="416"/>
      <c r="AQ19" s="416"/>
      <c r="AR19" s="495" t="e">
        <f t="shared" si="13"/>
        <v>#N/A</v>
      </c>
      <c r="AS19" s="682"/>
      <c r="AT19" s="495"/>
      <c r="AU19" s="416"/>
      <c r="AV19" s="416"/>
      <c r="AW19" s="495" t="e">
        <f t="shared" si="15"/>
        <v>#N/A</v>
      </c>
      <c r="AX19" s="682"/>
      <c r="AZ19" s="402" t="e">
        <f t="shared" si="17"/>
        <v>#N/A</v>
      </c>
      <c r="BA19" s="682"/>
    </row>
    <row r="20" spans="2:53">
      <c r="B20" s="668"/>
      <c r="C20" s="409">
        <v>14</v>
      </c>
      <c r="D20" s="495"/>
      <c r="E20" s="495"/>
      <c r="F20" s="495"/>
      <c r="G20" s="416"/>
      <c r="H20" s="686"/>
      <c r="I20" s="413" t="str">
        <f t="shared" si="0"/>
        <v>-</v>
      </c>
      <c r="J20" s="413" t="str">
        <f t="shared" si="1"/>
        <v>-</v>
      </c>
      <c r="K20" s="199" t="str">
        <f t="shared" si="2"/>
        <v>-</v>
      </c>
      <c r="L20" s="617"/>
      <c r="M20" s="415" t="e">
        <f>RANK(K20, K$7:$K$21)</f>
        <v>#VALUE!</v>
      </c>
      <c r="N20" s="635"/>
      <c r="O20" s="635"/>
      <c r="P20" s="409"/>
      <c r="Q20" s="416"/>
      <c r="R20" s="416"/>
      <c r="S20" s="409" t="e">
        <f t="shared" si="3"/>
        <v>#N/A</v>
      </c>
      <c r="T20" s="682"/>
      <c r="U20" s="495"/>
      <c r="V20" s="416"/>
      <c r="W20" s="416"/>
      <c r="X20" s="495" t="e">
        <f t="shared" si="5"/>
        <v>#N/A</v>
      </c>
      <c r="Y20" s="682"/>
      <c r="Z20" s="495"/>
      <c r="AA20" s="416"/>
      <c r="AB20" s="416"/>
      <c r="AC20" s="495" t="e">
        <f t="shared" si="7"/>
        <v>#N/A</v>
      </c>
      <c r="AD20" s="682"/>
      <c r="AE20" s="495"/>
      <c r="AF20" s="416"/>
      <c r="AG20" s="416"/>
      <c r="AH20" s="495" t="e">
        <f t="shared" si="9"/>
        <v>#N/A</v>
      </c>
      <c r="AI20" s="682"/>
      <c r="AJ20" s="495"/>
      <c r="AK20" s="416"/>
      <c r="AL20" s="416"/>
      <c r="AM20" s="495" t="e">
        <f t="shared" si="11"/>
        <v>#N/A</v>
      </c>
      <c r="AN20" s="682"/>
      <c r="AO20" s="495"/>
      <c r="AP20" s="416"/>
      <c r="AQ20" s="416"/>
      <c r="AR20" s="495" t="e">
        <f t="shared" si="13"/>
        <v>#N/A</v>
      </c>
      <c r="AS20" s="682"/>
      <c r="AT20" s="495"/>
      <c r="AU20" s="416"/>
      <c r="AV20" s="416"/>
      <c r="AW20" s="495" t="e">
        <f t="shared" si="15"/>
        <v>#N/A</v>
      </c>
      <c r="AX20" s="682"/>
      <c r="AZ20" s="402" t="e">
        <f t="shared" si="17"/>
        <v>#N/A</v>
      </c>
      <c r="BA20" s="682"/>
    </row>
    <row r="21" spans="2:53">
      <c r="B21" s="668"/>
      <c r="C21" s="409">
        <v>15</v>
      </c>
      <c r="D21" s="495"/>
      <c r="E21" s="495"/>
      <c r="F21" s="495"/>
      <c r="G21" s="495"/>
      <c r="H21" s="687"/>
      <c r="I21" s="413" t="str">
        <f t="shared" si="0"/>
        <v>-</v>
      </c>
      <c r="J21" s="413" t="str">
        <f t="shared" si="1"/>
        <v>-</v>
      </c>
      <c r="K21" s="199" t="str">
        <f t="shared" si="2"/>
        <v>-</v>
      </c>
      <c r="L21" s="618"/>
      <c r="M21" s="415" t="e">
        <f>RANK(K21, K$7:$K$21)</f>
        <v>#VALUE!</v>
      </c>
      <c r="N21" s="635"/>
      <c r="O21" s="635"/>
      <c r="P21" s="409"/>
      <c r="Q21" s="416"/>
      <c r="R21" s="416"/>
      <c r="S21" s="409" t="e">
        <f t="shared" si="3"/>
        <v>#N/A</v>
      </c>
      <c r="T21" s="682"/>
      <c r="U21" s="497"/>
      <c r="V21" s="499"/>
      <c r="W21" s="499"/>
      <c r="X21" s="495" t="e">
        <f t="shared" si="5"/>
        <v>#N/A</v>
      </c>
      <c r="Y21" s="682"/>
      <c r="Z21" s="497"/>
      <c r="AA21" s="499"/>
      <c r="AB21" s="499"/>
      <c r="AC21" s="495" t="e">
        <f t="shared" si="7"/>
        <v>#N/A</v>
      </c>
      <c r="AD21" s="682"/>
      <c r="AE21" s="497"/>
      <c r="AF21" s="499"/>
      <c r="AG21" s="499"/>
      <c r="AH21" s="495" t="e">
        <f t="shared" si="9"/>
        <v>#N/A</v>
      </c>
      <c r="AI21" s="682"/>
      <c r="AJ21" s="497"/>
      <c r="AK21" s="499"/>
      <c r="AL21" s="499"/>
      <c r="AM21" s="495" t="e">
        <f t="shared" si="11"/>
        <v>#N/A</v>
      </c>
      <c r="AN21" s="682"/>
      <c r="AO21" s="497"/>
      <c r="AP21" s="499"/>
      <c r="AQ21" s="499"/>
      <c r="AR21" s="495" t="e">
        <f t="shared" si="13"/>
        <v>#N/A</v>
      </c>
      <c r="AS21" s="682"/>
      <c r="AT21" s="497"/>
      <c r="AU21" s="499"/>
      <c r="AV21" s="499"/>
      <c r="AW21" s="495" t="e">
        <f t="shared" si="15"/>
        <v>#N/A</v>
      </c>
      <c r="AX21" s="682"/>
      <c r="AZ21" s="402" t="e">
        <f t="shared" si="17"/>
        <v>#N/A</v>
      </c>
      <c r="BA21" s="682"/>
    </row>
    <row r="22" spans="2:53" ht="15.75">
      <c r="B22" s="661" t="s">
        <v>163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36" t="s">
        <v>156</v>
      </c>
      <c r="O22" s="636" t="s">
        <v>105</v>
      </c>
      <c r="P22" s="642">
        <f>P2+7</f>
        <v>46175</v>
      </c>
      <c r="Q22" s="643"/>
      <c r="R22" s="643"/>
      <c r="S22" s="643"/>
      <c r="T22" s="643"/>
      <c r="U22" s="639">
        <f>P22+1</f>
        <v>46176</v>
      </c>
      <c r="V22" s="640"/>
      <c r="W22" s="640"/>
      <c r="X22" s="640"/>
      <c r="Y22" s="641"/>
      <c r="Z22" s="639">
        <f>U22+1</f>
        <v>46177</v>
      </c>
      <c r="AA22" s="640"/>
      <c r="AB22" s="640"/>
      <c r="AC22" s="640"/>
      <c r="AD22" s="641"/>
      <c r="AE22" s="639">
        <f>Z22+1</f>
        <v>46178</v>
      </c>
      <c r="AF22" s="640"/>
      <c r="AG22" s="640"/>
      <c r="AH22" s="640"/>
      <c r="AI22" s="641"/>
      <c r="AJ22" s="639">
        <f>AE22+1</f>
        <v>46179</v>
      </c>
      <c r="AK22" s="640"/>
      <c r="AL22" s="640"/>
      <c r="AM22" s="640"/>
      <c r="AN22" s="641"/>
      <c r="AO22" s="639">
        <f>AJ22+1</f>
        <v>46180</v>
      </c>
      <c r="AP22" s="640"/>
      <c r="AQ22" s="640"/>
      <c r="AR22" s="640"/>
      <c r="AS22" s="641"/>
      <c r="AT22" s="639">
        <f>AO22+1</f>
        <v>46181</v>
      </c>
      <c r="AU22" s="640"/>
      <c r="AV22" s="640"/>
      <c r="AW22" s="640"/>
      <c r="AX22" s="641"/>
    </row>
    <row r="23" spans="2:53" ht="15.75">
      <c r="B23" s="650"/>
      <c r="C23" s="650"/>
      <c r="D23" s="650"/>
      <c r="E23" s="650"/>
      <c r="F23" s="650"/>
      <c r="G23" s="650"/>
      <c r="H23" s="650"/>
      <c r="I23" s="204"/>
      <c r="J23" s="204"/>
      <c r="K23" s="204"/>
      <c r="L23" s="204"/>
      <c r="M23" s="205"/>
      <c r="N23" s="638"/>
      <c r="O23" s="638"/>
      <c r="P23" s="642" t="s">
        <v>318</v>
      </c>
      <c r="Q23" s="643"/>
      <c r="R23" s="643"/>
      <c r="S23" s="643"/>
      <c r="T23" s="643"/>
      <c r="U23" s="642" t="s">
        <v>319</v>
      </c>
      <c r="V23" s="643"/>
      <c r="W23" s="643"/>
      <c r="X23" s="643"/>
      <c r="Y23" s="643"/>
      <c r="Z23" s="642" t="s">
        <v>320</v>
      </c>
      <c r="AA23" s="643"/>
      <c r="AB23" s="643"/>
      <c r="AC23" s="643"/>
      <c r="AD23" s="643"/>
      <c r="AE23" s="642" t="s">
        <v>321</v>
      </c>
      <c r="AF23" s="643"/>
      <c r="AG23" s="643"/>
      <c r="AH23" s="643"/>
      <c r="AI23" s="643"/>
      <c r="AJ23" s="642" t="s">
        <v>322</v>
      </c>
      <c r="AK23" s="643"/>
      <c r="AL23" s="643"/>
      <c r="AM23" s="643"/>
      <c r="AN23" s="643"/>
      <c r="AO23" s="642" t="s">
        <v>323</v>
      </c>
      <c r="AP23" s="643"/>
      <c r="AQ23" s="643"/>
      <c r="AR23" s="643"/>
      <c r="AS23" s="643"/>
      <c r="AT23" s="642" t="s">
        <v>324</v>
      </c>
      <c r="AU23" s="643"/>
      <c r="AV23" s="643"/>
      <c r="AW23" s="643"/>
      <c r="AX23" s="643"/>
    </row>
    <row r="24" spans="2:53">
      <c r="B24" s="635" t="s">
        <v>563</v>
      </c>
      <c r="C24" s="635" t="s">
        <v>384</v>
      </c>
      <c r="D24" s="635"/>
      <c r="E24" s="635" t="s">
        <v>375</v>
      </c>
      <c r="F24" s="635"/>
      <c r="G24" s="635"/>
      <c r="H24" s="651" t="s">
        <v>371</v>
      </c>
      <c r="I24" s="635" t="s">
        <v>376</v>
      </c>
      <c r="J24" s="635"/>
      <c r="K24" s="635"/>
      <c r="L24" s="651" t="s">
        <v>371</v>
      </c>
      <c r="M24" s="636" t="s">
        <v>372</v>
      </c>
      <c r="N24" s="635"/>
      <c r="O24" s="635" t="s">
        <v>377</v>
      </c>
      <c r="P24" s="632" t="s">
        <v>373</v>
      </c>
      <c r="Q24" s="633"/>
      <c r="R24" s="633"/>
      <c r="S24" s="634"/>
      <c r="T24" s="635" t="s">
        <v>371</v>
      </c>
      <c r="U24" s="632" t="s">
        <v>373</v>
      </c>
      <c r="V24" s="633"/>
      <c r="W24" s="633"/>
      <c r="X24" s="634"/>
      <c r="Y24" s="635" t="s">
        <v>371</v>
      </c>
      <c r="Z24" s="632" t="s">
        <v>373</v>
      </c>
      <c r="AA24" s="633"/>
      <c r="AB24" s="633"/>
      <c r="AC24" s="634"/>
      <c r="AD24" s="635" t="s">
        <v>371</v>
      </c>
      <c r="AE24" s="632" t="s">
        <v>373</v>
      </c>
      <c r="AF24" s="633"/>
      <c r="AG24" s="633"/>
      <c r="AH24" s="634"/>
      <c r="AI24" s="635" t="s">
        <v>371</v>
      </c>
      <c r="AJ24" s="632" t="s">
        <v>373</v>
      </c>
      <c r="AK24" s="633"/>
      <c r="AL24" s="633"/>
      <c r="AM24" s="634"/>
      <c r="AN24" s="635" t="s">
        <v>371</v>
      </c>
      <c r="AO24" s="632" t="s">
        <v>373</v>
      </c>
      <c r="AP24" s="633"/>
      <c r="AQ24" s="633"/>
      <c r="AR24" s="634"/>
      <c r="AS24" s="635" t="s">
        <v>371</v>
      </c>
      <c r="AT24" s="632" t="s">
        <v>373</v>
      </c>
      <c r="AU24" s="633"/>
      <c r="AV24" s="633"/>
      <c r="AW24" s="634"/>
      <c r="AX24" s="635" t="s">
        <v>371</v>
      </c>
      <c r="BA24" s="635" t="s">
        <v>371</v>
      </c>
    </row>
    <row r="25" spans="2:53">
      <c r="B25" s="635"/>
      <c r="C25" s="635"/>
      <c r="D25" s="635"/>
      <c r="E25" s="635" t="s">
        <v>378</v>
      </c>
      <c r="F25" s="635"/>
      <c r="G25" s="635"/>
      <c r="H25" s="652"/>
      <c r="I25" s="635" t="s">
        <v>378</v>
      </c>
      <c r="J25" s="635"/>
      <c r="K25" s="635"/>
      <c r="L25" s="652"/>
      <c r="M25" s="637"/>
      <c r="N25" s="635"/>
      <c r="O25" s="635"/>
      <c r="P25" s="632" t="s">
        <v>379</v>
      </c>
      <c r="Q25" s="633"/>
      <c r="R25" s="633"/>
      <c r="S25" s="634"/>
      <c r="T25" s="635"/>
      <c r="U25" s="632" t="s">
        <v>379</v>
      </c>
      <c r="V25" s="633"/>
      <c r="W25" s="633"/>
      <c r="X25" s="634"/>
      <c r="Y25" s="635"/>
      <c r="Z25" s="632" t="s">
        <v>379</v>
      </c>
      <c r="AA25" s="633"/>
      <c r="AB25" s="633"/>
      <c r="AC25" s="634"/>
      <c r="AD25" s="635"/>
      <c r="AE25" s="632" t="s">
        <v>379</v>
      </c>
      <c r="AF25" s="633"/>
      <c r="AG25" s="633"/>
      <c r="AH25" s="634"/>
      <c r="AI25" s="635"/>
      <c r="AJ25" s="632" t="s">
        <v>379</v>
      </c>
      <c r="AK25" s="633"/>
      <c r="AL25" s="633"/>
      <c r="AM25" s="634"/>
      <c r="AN25" s="635"/>
      <c r="AO25" s="632" t="s">
        <v>379</v>
      </c>
      <c r="AP25" s="633"/>
      <c r="AQ25" s="633"/>
      <c r="AR25" s="634"/>
      <c r="AS25" s="635"/>
      <c r="AT25" s="632" t="s">
        <v>379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408" t="s">
        <v>380</v>
      </c>
      <c r="F26" s="408" t="s">
        <v>381</v>
      </c>
      <c r="G26" s="408" t="s">
        <v>382</v>
      </c>
      <c r="H26" s="653"/>
      <c r="I26" s="408" t="s">
        <v>380</v>
      </c>
      <c r="J26" s="408" t="s">
        <v>381</v>
      </c>
      <c r="K26" s="408" t="s">
        <v>382</v>
      </c>
      <c r="L26" s="653"/>
      <c r="M26" s="638"/>
      <c r="N26" s="635"/>
      <c r="O26" s="635"/>
      <c r="P26" s="408" t="s">
        <v>380</v>
      </c>
      <c r="Q26" s="408" t="s">
        <v>381</v>
      </c>
      <c r="R26" s="408" t="s">
        <v>382</v>
      </c>
      <c r="S26" s="408" t="s">
        <v>372</v>
      </c>
      <c r="T26" s="635"/>
      <c r="U26" s="408" t="s">
        <v>380</v>
      </c>
      <c r="V26" s="408" t="s">
        <v>381</v>
      </c>
      <c r="W26" s="408" t="s">
        <v>382</v>
      </c>
      <c r="X26" s="408" t="s">
        <v>372</v>
      </c>
      <c r="Y26" s="635"/>
      <c r="Z26" s="408" t="s">
        <v>380</v>
      </c>
      <c r="AA26" s="408" t="s">
        <v>381</v>
      </c>
      <c r="AB26" s="408" t="s">
        <v>382</v>
      </c>
      <c r="AC26" s="408" t="s">
        <v>372</v>
      </c>
      <c r="AD26" s="635"/>
      <c r="AE26" s="408" t="s">
        <v>380</v>
      </c>
      <c r="AF26" s="408" t="s">
        <v>381</v>
      </c>
      <c r="AG26" s="408" t="s">
        <v>382</v>
      </c>
      <c r="AH26" s="408" t="s">
        <v>372</v>
      </c>
      <c r="AI26" s="635"/>
      <c r="AJ26" s="408" t="s">
        <v>380</v>
      </c>
      <c r="AK26" s="408" t="s">
        <v>381</v>
      </c>
      <c r="AL26" s="408" t="s">
        <v>382</v>
      </c>
      <c r="AM26" s="408" t="s">
        <v>372</v>
      </c>
      <c r="AN26" s="635"/>
      <c r="AO26" s="408" t="s">
        <v>380</v>
      </c>
      <c r="AP26" s="408" t="s">
        <v>381</v>
      </c>
      <c r="AQ26" s="408" t="s">
        <v>382</v>
      </c>
      <c r="AR26" s="408" t="s">
        <v>372</v>
      </c>
      <c r="AS26" s="635"/>
      <c r="AT26" s="408" t="s">
        <v>380</v>
      </c>
      <c r="AU26" s="408" t="s">
        <v>381</v>
      </c>
      <c r="AV26" s="408" t="s">
        <v>382</v>
      </c>
      <c r="AW26" s="408" t="s">
        <v>372</v>
      </c>
      <c r="AX26" s="635"/>
      <c r="AZ26" s="403" t="s">
        <v>372</v>
      </c>
      <c r="BA26" s="635"/>
    </row>
    <row r="27" spans="2:53">
      <c r="B27" s="683" t="s">
        <v>565</v>
      </c>
      <c r="C27" s="411">
        <v>1</v>
      </c>
      <c r="D27" s="495" t="s">
        <v>590</v>
      </c>
      <c r="E27" s="495">
        <v>10</v>
      </c>
      <c r="F27" s="495">
        <v>1500</v>
      </c>
      <c r="G27" s="416">
        <v>150</v>
      </c>
      <c r="H27" s="679">
        <f>AVERAGE(G27:G41)</f>
        <v>130</v>
      </c>
      <c r="I27" s="413">
        <f t="shared" ref="I27:I41" si="19">IFERROR(AVERAGE(P27,U27,Z27,AE27,AJ27,AO27,AT27),"-")</f>
        <v>10</v>
      </c>
      <c r="J27" s="413">
        <f t="shared" ref="J27:J41" si="20">IFERROR(AVERAGE(Q27,V27,AA27,AF27,AK27,AP27,AU27),"-")</f>
        <v>1602.8571428571429</v>
      </c>
      <c r="K27" s="199">
        <f t="shared" ref="K27:K41" si="21">IFERROR(AVERAGE(R27,W27,AB27,AG27,AL27,AQ27,AV27),"-")</f>
        <v>160.28571428571431</v>
      </c>
      <c r="L27" s="616">
        <f>IFERROR(AVERAGE(K27:K41),"-")</f>
        <v>147.47154413047278</v>
      </c>
      <c r="M27" s="417">
        <f>RANK(K27, K$27:$K$41)</f>
        <v>1</v>
      </c>
      <c r="N27" s="635"/>
      <c r="O27" s="635"/>
      <c r="P27" s="539">
        <v>10</v>
      </c>
      <c r="Q27" s="416">
        <v>1599.999999999997</v>
      </c>
      <c r="R27" s="416">
        <v>159.99999999999972</v>
      </c>
      <c r="S27" s="539">
        <f t="shared" ref="S27:S41" si="22">RANK(R27, R$27:R$41)</f>
        <v>1</v>
      </c>
      <c r="T27" s="644">
        <f t="shared" ref="T27" si="23">AVERAGE(R27:R41)</f>
        <v>153.07361111111118</v>
      </c>
      <c r="U27" s="539">
        <v>10</v>
      </c>
      <c r="V27" s="416">
        <v>1534.0000000000014</v>
      </c>
      <c r="W27" s="416">
        <v>153.40000000000015</v>
      </c>
      <c r="X27" s="539">
        <f t="shared" ref="X27:X41" si="24">RANK(W27, W$27:W$41)</f>
        <v>1</v>
      </c>
      <c r="Y27" s="644">
        <f t="shared" ref="Y27" si="25">AVERAGE(W27:W41)</f>
        <v>137.42976190476205</v>
      </c>
      <c r="Z27" s="539">
        <v>10</v>
      </c>
      <c r="AA27" s="416">
        <v>1508.0000000000014</v>
      </c>
      <c r="AB27" s="416">
        <v>150.80000000000013</v>
      </c>
      <c r="AC27" s="539">
        <f t="shared" ref="AC27:AC41" si="26">RANK(AB27, AB$27:AB$41)</f>
        <v>1</v>
      </c>
      <c r="AD27" s="644">
        <f t="shared" ref="AD27" si="27">AVERAGE(AB27:AB41)</f>
        <v>134.95476190476185</v>
      </c>
      <c r="AE27" s="539">
        <v>10</v>
      </c>
      <c r="AF27" s="416">
        <v>1508.0000000000014</v>
      </c>
      <c r="AG27" s="416">
        <v>150.80000000000013</v>
      </c>
      <c r="AH27" s="539">
        <f t="shared" ref="AH27:AH41" si="28">RANK(AG27, AG$27:AG$41)</f>
        <v>1</v>
      </c>
      <c r="AI27" s="644">
        <f t="shared" ref="AI27" si="29">AVERAGE(AG27:AG41)</f>
        <v>135.23369963369964</v>
      </c>
      <c r="AJ27" s="539">
        <v>10</v>
      </c>
      <c r="AK27" s="416">
        <v>1920.0000000000005</v>
      </c>
      <c r="AL27" s="416">
        <v>192.00000000000006</v>
      </c>
      <c r="AM27" s="539">
        <f t="shared" ref="AM27:AM41" si="30">RANK(AL27, AL$27:AL$41)</f>
        <v>1</v>
      </c>
      <c r="AN27" s="644">
        <f t="shared" ref="AN27" si="31">AVERAGE(AL27:AL41)</f>
        <v>165.47008547008554</v>
      </c>
      <c r="AO27" s="539">
        <v>10</v>
      </c>
      <c r="AP27" s="416">
        <v>1590.0000000000016</v>
      </c>
      <c r="AQ27" s="416">
        <v>159.00000000000017</v>
      </c>
      <c r="AR27" s="539">
        <f t="shared" ref="AR27:AR41" si="32">RANK(AQ27, AQ$27:AQ$41)</f>
        <v>1</v>
      </c>
      <c r="AS27" s="644">
        <f t="shared" ref="AS27" si="33">AVERAGE(AQ27:AQ41)</f>
        <v>153.98055555555578</v>
      </c>
      <c r="AT27" s="539">
        <v>10</v>
      </c>
      <c r="AU27" s="416">
        <v>1559.9999999999973</v>
      </c>
      <c r="AV27" s="416">
        <v>155.99999999999972</v>
      </c>
      <c r="AW27" s="539">
        <f t="shared" ref="AW27:AW41" si="34">RANK(AV27, AV$27:AV$41)</f>
        <v>1</v>
      </c>
      <c r="AX27" s="644">
        <f t="shared" ref="AX27" si="35">AVERAGE(AV27:AV41)</f>
        <v>152.15833333333339</v>
      </c>
      <c r="AY27" s="644" t="e">
        <f t="shared" ref="AY27" si="36">AVERAGE(AW27:AW41)</f>
        <v>#VALUE!</v>
      </c>
      <c r="AZ27" s="402" t="e">
        <f t="shared" ref="AZ27:AZ41" si="37">RANK(AY27, AY$27:AY$41)</f>
        <v>#VALUE!</v>
      </c>
      <c r="BA27" s="644" t="e">
        <f t="shared" ref="BA27" si="38">AVERAGE(AY27:AY41)</f>
        <v>#VALUE!</v>
      </c>
    </row>
    <row r="28" spans="2:53">
      <c r="B28" s="643"/>
      <c r="C28" s="411">
        <v>2</v>
      </c>
      <c r="D28" s="495" t="s">
        <v>623</v>
      </c>
      <c r="E28" s="495">
        <v>15</v>
      </c>
      <c r="F28" s="495">
        <v>1800</v>
      </c>
      <c r="G28" s="416">
        <v>120</v>
      </c>
      <c r="H28" s="680"/>
      <c r="I28" s="413">
        <f t="shared" si="19"/>
        <v>12.857142857142858</v>
      </c>
      <c r="J28" s="413">
        <f t="shared" si="20"/>
        <v>1799.4395604395618</v>
      </c>
      <c r="K28" s="199">
        <f t="shared" si="21"/>
        <v>140.80720172684468</v>
      </c>
      <c r="L28" s="617"/>
      <c r="M28" s="420">
        <f>RANK(K28, K$27:$K$41)</f>
        <v>3</v>
      </c>
      <c r="N28" s="635"/>
      <c r="O28" s="635"/>
      <c r="P28" s="539">
        <v>12</v>
      </c>
      <c r="Q28" s="416">
        <v>1784.2500000000027</v>
      </c>
      <c r="R28" s="416">
        <v>148.68750000000023</v>
      </c>
      <c r="S28" s="539">
        <f t="shared" si="22"/>
        <v>3</v>
      </c>
      <c r="T28" s="645"/>
      <c r="U28" s="539">
        <v>14</v>
      </c>
      <c r="V28" s="416">
        <v>1793.2500000000009</v>
      </c>
      <c r="W28" s="416">
        <v>128.08928571428578</v>
      </c>
      <c r="X28" s="539">
        <f t="shared" si="24"/>
        <v>3</v>
      </c>
      <c r="Y28" s="645"/>
      <c r="Z28" s="539">
        <v>14</v>
      </c>
      <c r="AA28" s="416">
        <v>1774.4999999999975</v>
      </c>
      <c r="AB28" s="416">
        <v>126.74999999999982</v>
      </c>
      <c r="AC28" s="539">
        <f t="shared" si="26"/>
        <v>3</v>
      </c>
      <c r="AD28" s="645"/>
      <c r="AE28" s="539">
        <v>14</v>
      </c>
      <c r="AF28" s="416">
        <v>1810.1538461538457</v>
      </c>
      <c r="AG28" s="416">
        <v>129.29670329670327</v>
      </c>
      <c r="AH28" s="539">
        <f t="shared" si="28"/>
        <v>2</v>
      </c>
      <c r="AI28" s="645"/>
      <c r="AJ28" s="539">
        <v>12</v>
      </c>
      <c r="AK28" s="416">
        <v>1788.923076923079</v>
      </c>
      <c r="AL28" s="416">
        <v>149.07692307692324</v>
      </c>
      <c r="AM28" s="539">
        <f t="shared" si="30"/>
        <v>3</v>
      </c>
      <c r="AN28" s="645"/>
      <c r="AO28" s="539">
        <v>12</v>
      </c>
      <c r="AP28" s="416">
        <v>1834.500000000003</v>
      </c>
      <c r="AQ28" s="416">
        <v>152.87500000000026</v>
      </c>
      <c r="AR28" s="539">
        <f t="shared" si="32"/>
        <v>2</v>
      </c>
      <c r="AS28" s="645"/>
      <c r="AT28" s="539">
        <v>12</v>
      </c>
      <c r="AU28" s="416">
        <v>1810.5000000000027</v>
      </c>
      <c r="AV28" s="416">
        <v>150.87500000000023</v>
      </c>
      <c r="AW28" s="539">
        <f t="shared" si="34"/>
        <v>2</v>
      </c>
      <c r="AX28" s="645"/>
      <c r="AY28" s="645"/>
      <c r="AZ28" s="402" t="e">
        <f t="shared" si="37"/>
        <v>#VALUE!</v>
      </c>
      <c r="BA28" s="645"/>
    </row>
    <row r="29" spans="2:53">
      <c r="B29" s="643"/>
      <c r="C29" s="411">
        <v>3</v>
      </c>
      <c r="D29" s="495" t="s">
        <v>624</v>
      </c>
      <c r="E29" s="495">
        <v>15</v>
      </c>
      <c r="F29" s="495">
        <v>1800</v>
      </c>
      <c r="G29" s="416">
        <v>120</v>
      </c>
      <c r="H29" s="680"/>
      <c r="I29" s="413">
        <f t="shared" si="19"/>
        <v>12.857142857142858</v>
      </c>
      <c r="J29" s="413">
        <f t="shared" si="20"/>
        <v>1805.4945054945069</v>
      </c>
      <c r="K29" s="199">
        <f t="shared" si="21"/>
        <v>141.32171637885935</v>
      </c>
      <c r="L29" s="617"/>
      <c r="M29" s="420">
        <f>RANK(K29, K$27:$K$41)</f>
        <v>2</v>
      </c>
      <c r="N29" s="635"/>
      <c r="O29" s="635"/>
      <c r="P29" s="539">
        <v>12</v>
      </c>
      <c r="Q29" s="416">
        <v>1806.4000000000028</v>
      </c>
      <c r="R29" s="416">
        <v>150.53333333333356</v>
      </c>
      <c r="S29" s="539">
        <f t="shared" si="22"/>
        <v>2</v>
      </c>
      <c r="T29" s="645"/>
      <c r="U29" s="539">
        <v>14</v>
      </c>
      <c r="V29" s="416">
        <v>1831.2000000000028</v>
      </c>
      <c r="W29" s="416">
        <v>130.80000000000021</v>
      </c>
      <c r="X29" s="539">
        <f t="shared" si="24"/>
        <v>2</v>
      </c>
      <c r="Y29" s="645"/>
      <c r="Z29" s="539">
        <v>14</v>
      </c>
      <c r="AA29" s="416">
        <v>1782.3999999999987</v>
      </c>
      <c r="AB29" s="416">
        <v>127.31428571428562</v>
      </c>
      <c r="AC29" s="539">
        <f t="shared" si="26"/>
        <v>2</v>
      </c>
      <c r="AD29" s="645"/>
      <c r="AE29" s="539">
        <v>14</v>
      </c>
      <c r="AF29" s="416">
        <v>1758.4615384615381</v>
      </c>
      <c r="AG29" s="416">
        <v>125.60439560439558</v>
      </c>
      <c r="AH29" s="539">
        <f t="shared" si="28"/>
        <v>3</v>
      </c>
      <c r="AI29" s="645"/>
      <c r="AJ29" s="539">
        <v>12</v>
      </c>
      <c r="AK29" s="416">
        <v>1863.9999999999991</v>
      </c>
      <c r="AL29" s="416">
        <v>155.33333333333326</v>
      </c>
      <c r="AM29" s="539">
        <f t="shared" si="30"/>
        <v>2</v>
      </c>
      <c r="AN29" s="645"/>
      <c r="AO29" s="539">
        <v>12</v>
      </c>
      <c r="AP29" s="416">
        <v>1800.8000000000027</v>
      </c>
      <c r="AQ29" s="416">
        <v>150.06666666666689</v>
      </c>
      <c r="AR29" s="539">
        <f t="shared" si="32"/>
        <v>3</v>
      </c>
      <c r="AS29" s="645"/>
      <c r="AT29" s="539">
        <v>12</v>
      </c>
      <c r="AU29" s="416">
        <v>1795.2000000000025</v>
      </c>
      <c r="AV29" s="416">
        <v>149.60000000000022</v>
      </c>
      <c r="AW29" s="539">
        <f t="shared" si="34"/>
        <v>3</v>
      </c>
      <c r="AX29" s="645"/>
      <c r="AY29" s="645"/>
      <c r="AZ29" s="402" t="e">
        <f t="shared" si="37"/>
        <v>#VALUE!</v>
      </c>
      <c r="BA29" s="645"/>
    </row>
    <row r="30" spans="2:53">
      <c r="B30" s="643"/>
      <c r="C30" s="411">
        <v>4</v>
      </c>
      <c r="D30" s="495"/>
      <c r="E30" s="495"/>
      <c r="F30" s="495"/>
      <c r="G30" s="416"/>
      <c r="H30" s="680"/>
      <c r="I30" s="413" t="str">
        <f t="shared" si="19"/>
        <v>-</v>
      </c>
      <c r="J30" s="413" t="str">
        <f t="shared" si="20"/>
        <v>-</v>
      </c>
      <c r="K30" s="199" t="str">
        <f t="shared" si="21"/>
        <v>-</v>
      </c>
      <c r="L30" s="617"/>
      <c r="M30" s="420" t="e">
        <f>RANK(K30, K$27:$K$41)</f>
        <v>#VALUE!</v>
      </c>
      <c r="N30" s="635"/>
      <c r="O30" s="635"/>
      <c r="P30" s="539" t="s">
        <v>615</v>
      </c>
      <c r="Q30" s="416" t="s">
        <v>615</v>
      </c>
      <c r="R30" s="416" t="s">
        <v>615</v>
      </c>
      <c r="S30" s="539" t="e">
        <f t="shared" si="22"/>
        <v>#VALUE!</v>
      </c>
      <c r="T30" s="645"/>
      <c r="U30" s="539" t="s">
        <v>615</v>
      </c>
      <c r="V30" s="416" t="s">
        <v>615</v>
      </c>
      <c r="W30" s="416" t="s">
        <v>615</v>
      </c>
      <c r="X30" s="539" t="e">
        <f t="shared" si="24"/>
        <v>#VALUE!</v>
      </c>
      <c r="Y30" s="645"/>
      <c r="Z30" s="539" t="s">
        <v>615</v>
      </c>
      <c r="AA30" s="416" t="s">
        <v>615</v>
      </c>
      <c r="AB30" s="416" t="s">
        <v>615</v>
      </c>
      <c r="AC30" s="539" t="e">
        <f t="shared" si="26"/>
        <v>#VALUE!</v>
      </c>
      <c r="AD30" s="645"/>
      <c r="AE30" s="539" t="s">
        <v>615</v>
      </c>
      <c r="AF30" s="416" t="s">
        <v>615</v>
      </c>
      <c r="AG30" s="416" t="s">
        <v>615</v>
      </c>
      <c r="AH30" s="539" t="e">
        <f t="shared" si="28"/>
        <v>#VALUE!</v>
      </c>
      <c r="AI30" s="645"/>
      <c r="AJ30" s="539" t="s">
        <v>615</v>
      </c>
      <c r="AK30" s="416" t="s">
        <v>615</v>
      </c>
      <c r="AL30" s="416" t="s">
        <v>615</v>
      </c>
      <c r="AM30" s="539" t="e">
        <f t="shared" si="30"/>
        <v>#VALUE!</v>
      </c>
      <c r="AN30" s="645"/>
      <c r="AO30" s="539" t="s">
        <v>615</v>
      </c>
      <c r="AP30" s="416" t="s">
        <v>615</v>
      </c>
      <c r="AQ30" s="416" t="s">
        <v>615</v>
      </c>
      <c r="AR30" s="539" t="e">
        <f t="shared" si="32"/>
        <v>#VALUE!</v>
      </c>
      <c r="AS30" s="645"/>
      <c r="AT30" s="539" t="s">
        <v>615</v>
      </c>
      <c r="AU30" s="416" t="s">
        <v>615</v>
      </c>
      <c r="AV30" s="416" t="s">
        <v>615</v>
      </c>
      <c r="AW30" s="539" t="e">
        <f t="shared" si="34"/>
        <v>#VALUE!</v>
      </c>
      <c r="AX30" s="645"/>
      <c r="AY30" s="645"/>
      <c r="AZ30" s="402" t="e">
        <f t="shared" si="37"/>
        <v>#VALUE!</v>
      </c>
      <c r="BA30" s="645"/>
    </row>
    <row r="31" spans="2:53">
      <c r="B31" s="643"/>
      <c r="C31" s="411">
        <v>5</v>
      </c>
      <c r="D31" s="495"/>
      <c r="E31" s="495"/>
      <c r="F31" s="495"/>
      <c r="G31" s="416"/>
      <c r="H31" s="680"/>
      <c r="I31" s="413" t="str">
        <f t="shared" si="19"/>
        <v>-</v>
      </c>
      <c r="J31" s="413" t="str">
        <f t="shared" si="20"/>
        <v>-</v>
      </c>
      <c r="K31" s="199" t="str">
        <f t="shared" si="21"/>
        <v>-</v>
      </c>
      <c r="L31" s="617"/>
      <c r="M31" s="420" t="e">
        <f>RANK(K31, K$27:$K$41)</f>
        <v>#VALUE!</v>
      </c>
      <c r="N31" s="635"/>
      <c r="O31" s="635"/>
      <c r="P31" s="539" t="s">
        <v>615</v>
      </c>
      <c r="Q31" s="416" t="s">
        <v>615</v>
      </c>
      <c r="R31" s="416" t="s">
        <v>615</v>
      </c>
      <c r="S31" s="539" t="e">
        <f t="shared" si="22"/>
        <v>#VALUE!</v>
      </c>
      <c r="T31" s="645"/>
      <c r="U31" s="539" t="s">
        <v>615</v>
      </c>
      <c r="V31" s="416" t="s">
        <v>615</v>
      </c>
      <c r="W31" s="416" t="s">
        <v>615</v>
      </c>
      <c r="X31" s="539" t="e">
        <f t="shared" si="24"/>
        <v>#VALUE!</v>
      </c>
      <c r="Y31" s="645"/>
      <c r="Z31" s="539" t="s">
        <v>615</v>
      </c>
      <c r="AA31" s="416" t="s">
        <v>615</v>
      </c>
      <c r="AB31" s="416" t="s">
        <v>615</v>
      </c>
      <c r="AC31" s="539" t="e">
        <f t="shared" si="26"/>
        <v>#VALUE!</v>
      </c>
      <c r="AD31" s="645"/>
      <c r="AE31" s="539" t="s">
        <v>615</v>
      </c>
      <c r="AF31" s="416" t="s">
        <v>615</v>
      </c>
      <c r="AG31" s="416" t="s">
        <v>615</v>
      </c>
      <c r="AH31" s="539" t="e">
        <f t="shared" si="28"/>
        <v>#VALUE!</v>
      </c>
      <c r="AI31" s="645"/>
      <c r="AJ31" s="539" t="s">
        <v>615</v>
      </c>
      <c r="AK31" s="416" t="s">
        <v>615</v>
      </c>
      <c r="AL31" s="416" t="s">
        <v>615</v>
      </c>
      <c r="AM31" s="539" t="e">
        <f t="shared" si="30"/>
        <v>#VALUE!</v>
      </c>
      <c r="AN31" s="645"/>
      <c r="AO31" s="539" t="s">
        <v>615</v>
      </c>
      <c r="AP31" s="416" t="s">
        <v>615</v>
      </c>
      <c r="AQ31" s="416" t="s">
        <v>615</v>
      </c>
      <c r="AR31" s="539" t="e">
        <f t="shared" si="32"/>
        <v>#VALUE!</v>
      </c>
      <c r="AS31" s="645"/>
      <c r="AT31" s="539" t="s">
        <v>615</v>
      </c>
      <c r="AU31" s="416" t="s">
        <v>615</v>
      </c>
      <c r="AV31" s="416" t="s">
        <v>615</v>
      </c>
      <c r="AW31" s="539" t="e">
        <f t="shared" si="34"/>
        <v>#VALUE!</v>
      </c>
      <c r="AX31" s="645"/>
      <c r="AY31" s="645"/>
      <c r="AZ31" s="402" t="e">
        <f t="shared" si="37"/>
        <v>#VALUE!</v>
      </c>
      <c r="BA31" s="645"/>
    </row>
    <row r="32" spans="2:53">
      <c r="B32" s="643"/>
      <c r="C32" s="411">
        <v>6</v>
      </c>
      <c r="D32" s="495"/>
      <c r="E32" s="495"/>
      <c r="F32" s="495"/>
      <c r="G32" s="416"/>
      <c r="H32" s="680"/>
      <c r="I32" s="413" t="str">
        <f t="shared" si="19"/>
        <v>-</v>
      </c>
      <c r="J32" s="413" t="str">
        <f t="shared" si="20"/>
        <v>-</v>
      </c>
      <c r="K32" s="199" t="str">
        <f t="shared" si="21"/>
        <v>-</v>
      </c>
      <c r="L32" s="617"/>
      <c r="M32" s="420" t="e">
        <f>RANK(K32, K$27:$K$41)</f>
        <v>#VALUE!</v>
      </c>
      <c r="N32" s="635"/>
      <c r="O32" s="635"/>
      <c r="P32" s="539" t="s">
        <v>615</v>
      </c>
      <c r="Q32" s="416" t="s">
        <v>615</v>
      </c>
      <c r="R32" s="416" t="s">
        <v>615</v>
      </c>
      <c r="S32" s="539" t="e">
        <f t="shared" si="22"/>
        <v>#VALUE!</v>
      </c>
      <c r="T32" s="645"/>
      <c r="U32" s="539" t="s">
        <v>615</v>
      </c>
      <c r="V32" s="416" t="s">
        <v>615</v>
      </c>
      <c r="W32" s="416" t="s">
        <v>615</v>
      </c>
      <c r="X32" s="539" t="e">
        <f t="shared" si="24"/>
        <v>#VALUE!</v>
      </c>
      <c r="Y32" s="645"/>
      <c r="Z32" s="539" t="s">
        <v>615</v>
      </c>
      <c r="AA32" s="416" t="s">
        <v>615</v>
      </c>
      <c r="AB32" s="416" t="s">
        <v>615</v>
      </c>
      <c r="AC32" s="539" t="e">
        <f t="shared" si="26"/>
        <v>#VALUE!</v>
      </c>
      <c r="AD32" s="645"/>
      <c r="AE32" s="539" t="s">
        <v>615</v>
      </c>
      <c r="AF32" s="416" t="s">
        <v>615</v>
      </c>
      <c r="AG32" s="416" t="s">
        <v>615</v>
      </c>
      <c r="AH32" s="539" t="e">
        <f t="shared" si="28"/>
        <v>#VALUE!</v>
      </c>
      <c r="AI32" s="645"/>
      <c r="AJ32" s="539" t="s">
        <v>615</v>
      </c>
      <c r="AK32" s="416" t="s">
        <v>615</v>
      </c>
      <c r="AL32" s="416" t="s">
        <v>615</v>
      </c>
      <c r="AM32" s="539" t="e">
        <f t="shared" si="30"/>
        <v>#VALUE!</v>
      </c>
      <c r="AN32" s="645"/>
      <c r="AO32" s="539" t="s">
        <v>615</v>
      </c>
      <c r="AP32" s="416" t="s">
        <v>615</v>
      </c>
      <c r="AQ32" s="416" t="s">
        <v>615</v>
      </c>
      <c r="AR32" s="539" t="e">
        <f t="shared" si="32"/>
        <v>#VALUE!</v>
      </c>
      <c r="AS32" s="645"/>
      <c r="AT32" s="539" t="s">
        <v>615</v>
      </c>
      <c r="AU32" s="416" t="s">
        <v>615</v>
      </c>
      <c r="AV32" s="416" t="s">
        <v>615</v>
      </c>
      <c r="AW32" s="539" t="e">
        <f t="shared" si="34"/>
        <v>#VALUE!</v>
      </c>
      <c r="AX32" s="645"/>
      <c r="AY32" s="645"/>
      <c r="AZ32" s="402" t="e">
        <f t="shared" si="37"/>
        <v>#VALUE!</v>
      </c>
      <c r="BA32" s="645"/>
    </row>
    <row r="33" spans="2:53">
      <c r="B33" s="643"/>
      <c r="C33" s="411">
        <v>7</v>
      </c>
      <c r="D33" s="495"/>
      <c r="E33" s="495"/>
      <c r="F33" s="495"/>
      <c r="G33" s="416"/>
      <c r="H33" s="680"/>
      <c r="I33" s="413" t="str">
        <f t="shared" si="19"/>
        <v>-</v>
      </c>
      <c r="J33" s="413" t="str">
        <f t="shared" si="20"/>
        <v>-</v>
      </c>
      <c r="K33" s="199" t="str">
        <f t="shared" si="21"/>
        <v>-</v>
      </c>
      <c r="L33" s="617"/>
      <c r="M33" s="420" t="e">
        <f>RANK(K33, K$27:$K$41)</f>
        <v>#VALUE!</v>
      </c>
      <c r="N33" s="635"/>
      <c r="O33" s="635"/>
      <c r="P33" s="539" t="s">
        <v>615</v>
      </c>
      <c r="Q33" s="416" t="s">
        <v>615</v>
      </c>
      <c r="R33" s="416" t="s">
        <v>615</v>
      </c>
      <c r="S33" s="539" t="e">
        <f t="shared" si="22"/>
        <v>#VALUE!</v>
      </c>
      <c r="T33" s="645"/>
      <c r="U33" s="539" t="s">
        <v>615</v>
      </c>
      <c r="V33" s="416" t="s">
        <v>615</v>
      </c>
      <c r="W33" s="416" t="s">
        <v>615</v>
      </c>
      <c r="X33" s="539" t="e">
        <f t="shared" si="24"/>
        <v>#VALUE!</v>
      </c>
      <c r="Y33" s="645"/>
      <c r="Z33" s="539" t="s">
        <v>615</v>
      </c>
      <c r="AA33" s="416" t="s">
        <v>615</v>
      </c>
      <c r="AB33" s="416" t="s">
        <v>615</v>
      </c>
      <c r="AC33" s="539" t="e">
        <f t="shared" si="26"/>
        <v>#VALUE!</v>
      </c>
      <c r="AD33" s="645"/>
      <c r="AE33" s="539" t="s">
        <v>615</v>
      </c>
      <c r="AF33" s="416" t="s">
        <v>615</v>
      </c>
      <c r="AG33" s="416" t="s">
        <v>615</v>
      </c>
      <c r="AH33" s="539" t="e">
        <f t="shared" si="28"/>
        <v>#VALUE!</v>
      </c>
      <c r="AI33" s="645"/>
      <c r="AJ33" s="539" t="s">
        <v>615</v>
      </c>
      <c r="AK33" s="416" t="s">
        <v>615</v>
      </c>
      <c r="AL33" s="416" t="s">
        <v>615</v>
      </c>
      <c r="AM33" s="539" t="e">
        <f t="shared" si="30"/>
        <v>#VALUE!</v>
      </c>
      <c r="AN33" s="645"/>
      <c r="AO33" s="539" t="s">
        <v>615</v>
      </c>
      <c r="AP33" s="416" t="s">
        <v>615</v>
      </c>
      <c r="AQ33" s="416" t="s">
        <v>615</v>
      </c>
      <c r="AR33" s="539" t="e">
        <f t="shared" si="32"/>
        <v>#VALUE!</v>
      </c>
      <c r="AS33" s="645"/>
      <c r="AT33" s="539" t="s">
        <v>615</v>
      </c>
      <c r="AU33" s="416" t="s">
        <v>615</v>
      </c>
      <c r="AV33" s="416" t="s">
        <v>615</v>
      </c>
      <c r="AW33" s="539" t="e">
        <f t="shared" si="34"/>
        <v>#VALUE!</v>
      </c>
      <c r="AX33" s="645"/>
      <c r="AY33" s="645"/>
      <c r="AZ33" s="402" t="e">
        <f t="shared" si="37"/>
        <v>#VALUE!</v>
      </c>
      <c r="BA33" s="645"/>
    </row>
    <row r="34" spans="2:53">
      <c r="B34" s="643"/>
      <c r="C34" s="411">
        <v>8</v>
      </c>
      <c r="D34" s="495"/>
      <c r="E34" s="495"/>
      <c r="F34" s="495"/>
      <c r="G34" s="416"/>
      <c r="H34" s="680"/>
      <c r="I34" s="413" t="str">
        <f t="shared" si="19"/>
        <v>-</v>
      </c>
      <c r="J34" s="413" t="str">
        <f t="shared" si="20"/>
        <v>-</v>
      </c>
      <c r="K34" s="199" t="str">
        <f t="shared" si="21"/>
        <v>-</v>
      </c>
      <c r="L34" s="617"/>
      <c r="M34" s="420" t="e">
        <f>RANK(K34, K$27:$K$41)</f>
        <v>#VALUE!</v>
      </c>
      <c r="N34" s="635"/>
      <c r="O34" s="635"/>
      <c r="P34" s="539" t="s">
        <v>615</v>
      </c>
      <c r="Q34" s="416" t="s">
        <v>615</v>
      </c>
      <c r="R34" s="416" t="s">
        <v>615</v>
      </c>
      <c r="S34" s="539" t="e">
        <f t="shared" si="22"/>
        <v>#VALUE!</v>
      </c>
      <c r="T34" s="645"/>
      <c r="U34" s="539" t="s">
        <v>615</v>
      </c>
      <c r="V34" s="416" t="s">
        <v>615</v>
      </c>
      <c r="W34" s="416" t="s">
        <v>615</v>
      </c>
      <c r="X34" s="539" t="e">
        <f t="shared" si="24"/>
        <v>#VALUE!</v>
      </c>
      <c r="Y34" s="645"/>
      <c r="Z34" s="539" t="s">
        <v>615</v>
      </c>
      <c r="AA34" s="416" t="s">
        <v>615</v>
      </c>
      <c r="AB34" s="416" t="s">
        <v>615</v>
      </c>
      <c r="AC34" s="539" t="e">
        <f t="shared" si="26"/>
        <v>#VALUE!</v>
      </c>
      <c r="AD34" s="645"/>
      <c r="AE34" s="539" t="s">
        <v>615</v>
      </c>
      <c r="AF34" s="416" t="s">
        <v>615</v>
      </c>
      <c r="AG34" s="416" t="s">
        <v>615</v>
      </c>
      <c r="AH34" s="539" t="e">
        <f t="shared" si="28"/>
        <v>#VALUE!</v>
      </c>
      <c r="AI34" s="645"/>
      <c r="AJ34" s="539" t="s">
        <v>615</v>
      </c>
      <c r="AK34" s="416" t="s">
        <v>615</v>
      </c>
      <c r="AL34" s="416" t="s">
        <v>615</v>
      </c>
      <c r="AM34" s="539" t="e">
        <f t="shared" si="30"/>
        <v>#VALUE!</v>
      </c>
      <c r="AN34" s="645"/>
      <c r="AO34" s="539" t="s">
        <v>615</v>
      </c>
      <c r="AP34" s="416" t="s">
        <v>615</v>
      </c>
      <c r="AQ34" s="416" t="s">
        <v>615</v>
      </c>
      <c r="AR34" s="539" t="e">
        <f t="shared" si="32"/>
        <v>#VALUE!</v>
      </c>
      <c r="AS34" s="645"/>
      <c r="AT34" s="539" t="s">
        <v>615</v>
      </c>
      <c r="AU34" s="416" t="s">
        <v>615</v>
      </c>
      <c r="AV34" s="416" t="s">
        <v>615</v>
      </c>
      <c r="AW34" s="539" t="e">
        <f t="shared" si="34"/>
        <v>#VALUE!</v>
      </c>
      <c r="AX34" s="645"/>
      <c r="AY34" s="645"/>
      <c r="AZ34" s="402" t="e">
        <f t="shared" si="37"/>
        <v>#VALUE!</v>
      </c>
      <c r="BA34" s="645"/>
    </row>
    <row r="35" spans="2:53">
      <c r="B35" s="643"/>
      <c r="C35" s="411">
        <v>9</v>
      </c>
      <c r="D35" s="495"/>
      <c r="E35" s="495"/>
      <c r="F35" s="495"/>
      <c r="G35" s="416"/>
      <c r="H35" s="680"/>
      <c r="I35" s="413" t="str">
        <f t="shared" si="19"/>
        <v>-</v>
      </c>
      <c r="J35" s="413" t="str">
        <f t="shared" si="20"/>
        <v>-</v>
      </c>
      <c r="K35" s="199" t="str">
        <f t="shared" si="21"/>
        <v>-</v>
      </c>
      <c r="L35" s="617"/>
      <c r="M35" s="420" t="e">
        <f>RANK(K35, K$27:$K$41)</f>
        <v>#VALUE!</v>
      </c>
      <c r="N35" s="635"/>
      <c r="O35" s="635"/>
      <c r="P35" s="539" t="s">
        <v>615</v>
      </c>
      <c r="Q35" s="416" t="s">
        <v>615</v>
      </c>
      <c r="R35" s="416" t="s">
        <v>615</v>
      </c>
      <c r="S35" s="539" t="e">
        <f t="shared" si="22"/>
        <v>#VALUE!</v>
      </c>
      <c r="T35" s="645"/>
      <c r="U35" s="539" t="s">
        <v>615</v>
      </c>
      <c r="V35" s="416" t="s">
        <v>615</v>
      </c>
      <c r="W35" s="416" t="s">
        <v>615</v>
      </c>
      <c r="X35" s="539" t="e">
        <f t="shared" si="24"/>
        <v>#VALUE!</v>
      </c>
      <c r="Y35" s="645"/>
      <c r="Z35" s="539" t="s">
        <v>615</v>
      </c>
      <c r="AA35" s="416" t="s">
        <v>615</v>
      </c>
      <c r="AB35" s="416" t="s">
        <v>615</v>
      </c>
      <c r="AC35" s="539" t="e">
        <f t="shared" si="26"/>
        <v>#VALUE!</v>
      </c>
      <c r="AD35" s="645"/>
      <c r="AE35" s="539" t="s">
        <v>615</v>
      </c>
      <c r="AF35" s="416" t="s">
        <v>615</v>
      </c>
      <c r="AG35" s="416" t="s">
        <v>615</v>
      </c>
      <c r="AH35" s="539" t="e">
        <f t="shared" si="28"/>
        <v>#VALUE!</v>
      </c>
      <c r="AI35" s="645"/>
      <c r="AJ35" s="539" t="s">
        <v>615</v>
      </c>
      <c r="AK35" s="416" t="s">
        <v>615</v>
      </c>
      <c r="AL35" s="416" t="s">
        <v>615</v>
      </c>
      <c r="AM35" s="539" t="e">
        <f t="shared" si="30"/>
        <v>#VALUE!</v>
      </c>
      <c r="AN35" s="645"/>
      <c r="AO35" s="539" t="s">
        <v>615</v>
      </c>
      <c r="AP35" s="416" t="s">
        <v>615</v>
      </c>
      <c r="AQ35" s="416" t="s">
        <v>615</v>
      </c>
      <c r="AR35" s="539" t="e">
        <f t="shared" si="32"/>
        <v>#VALUE!</v>
      </c>
      <c r="AS35" s="645"/>
      <c r="AT35" s="539" t="s">
        <v>615</v>
      </c>
      <c r="AU35" s="416" t="s">
        <v>615</v>
      </c>
      <c r="AV35" s="416" t="s">
        <v>615</v>
      </c>
      <c r="AW35" s="539" t="e">
        <f t="shared" si="34"/>
        <v>#VALUE!</v>
      </c>
      <c r="AX35" s="645"/>
      <c r="AY35" s="645"/>
      <c r="AZ35" s="402" t="e">
        <f t="shared" si="37"/>
        <v>#VALUE!</v>
      </c>
      <c r="BA35" s="645"/>
    </row>
    <row r="36" spans="2:53">
      <c r="B36" s="643"/>
      <c r="C36" s="411">
        <v>10</v>
      </c>
      <c r="D36" s="495"/>
      <c r="E36" s="495"/>
      <c r="F36" s="495"/>
      <c r="G36" s="416"/>
      <c r="H36" s="680"/>
      <c r="I36" s="413" t="str">
        <f t="shared" si="19"/>
        <v>-</v>
      </c>
      <c r="J36" s="413" t="str">
        <f t="shared" si="20"/>
        <v>-</v>
      </c>
      <c r="K36" s="199" t="str">
        <f t="shared" si="21"/>
        <v>-</v>
      </c>
      <c r="L36" s="617"/>
      <c r="M36" s="420" t="e">
        <f>RANK(K36, K$27:$K$41)</f>
        <v>#VALUE!</v>
      </c>
      <c r="N36" s="635"/>
      <c r="O36" s="635"/>
      <c r="P36" s="539" t="s">
        <v>615</v>
      </c>
      <c r="Q36" s="416" t="s">
        <v>615</v>
      </c>
      <c r="R36" s="416" t="s">
        <v>615</v>
      </c>
      <c r="S36" s="539" t="e">
        <f t="shared" si="22"/>
        <v>#VALUE!</v>
      </c>
      <c r="T36" s="645"/>
      <c r="U36" s="539" t="s">
        <v>615</v>
      </c>
      <c r="V36" s="416" t="s">
        <v>615</v>
      </c>
      <c r="W36" s="416" t="s">
        <v>615</v>
      </c>
      <c r="X36" s="539" t="e">
        <f t="shared" si="24"/>
        <v>#VALUE!</v>
      </c>
      <c r="Y36" s="645"/>
      <c r="Z36" s="539" t="s">
        <v>615</v>
      </c>
      <c r="AA36" s="416" t="s">
        <v>615</v>
      </c>
      <c r="AB36" s="416" t="s">
        <v>615</v>
      </c>
      <c r="AC36" s="539" t="e">
        <f t="shared" si="26"/>
        <v>#VALUE!</v>
      </c>
      <c r="AD36" s="645"/>
      <c r="AE36" s="539" t="s">
        <v>615</v>
      </c>
      <c r="AF36" s="416" t="s">
        <v>615</v>
      </c>
      <c r="AG36" s="416" t="s">
        <v>615</v>
      </c>
      <c r="AH36" s="539" t="e">
        <f t="shared" si="28"/>
        <v>#VALUE!</v>
      </c>
      <c r="AI36" s="645"/>
      <c r="AJ36" s="539" t="s">
        <v>615</v>
      </c>
      <c r="AK36" s="416" t="s">
        <v>615</v>
      </c>
      <c r="AL36" s="416" t="s">
        <v>615</v>
      </c>
      <c r="AM36" s="539" t="e">
        <f t="shared" si="30"/>
        <v>#VALUE!</v>
      </c>
      <c r="AN36" s="645"/>
      <c r="AO36" s="539" t="s">
        <v>615</v>
      </c>
      <c r="AP36" s="416" t="s">
        <v>615</v>
      </c>
      <c r="AQ36" s="416" t="s">
        <v>615</v>
      </c>
      <c r="AR36" s="539" t="e">
        <f t="shared" si="32"/>
        <v>#VALUE!</v>
      </c>
      <c r="AS36" s="645"/>
      <c r="AT36" s="539" t="s">
        <v>615</v>
      </c>
      <c r="AU36" s="416" t="s">
        <v>615</v>
      </c>
      <c r="AV36" s="416" t="s">
        <v>615</v>
      </c>
      <c r="AW36" s="539" t="e">
        <f t="shared" si="34"/>
        <v>#VALUE!</v>
      </c>
      <c r="AX36" s="645"/>
      <c r="AY36" s="645"/>
      <c r="AZ36" s="402" t="e">
        <f t="shared" si="37"/>
        <v>#VALUE!</v>
      </c>
      <c r="BA36" s="645"/>
    </row>
    <row r="37" spans="2:53">
      <c r="B37" s="643"/>
      <c r="C37" s="411">
        <v>11</v>
      </c>
      <c r="D37" s="495"/>
      <c r="E37" s="495"/>
      <c r="F37" s="495"/>
      <c r="G37" s="416"/>
      <c r="H37" s="680"/>
      <c r="I37" s="413" t="str">
        <f t="shared" si="19"/>
        <v>-</v>
      </c>
      <c r="J37" s="413" t="str">
        <f t="shared" si="20"/>
        <v>-</v>
      </c>
      <c r="K37" s="199" t="str">
        <f t="shared" si="21"/>
        <v>-</v>
      </c>
      <c r="L37" s="617"/>
      <c r="M37" s="420" t="e">
        <f>RANK(K37, K$27:$K$41)</f>
        <v>#VALUE!</v>
      </c>
      <c r="N37" s="635"/>
      <c r="O37" s="635"/>
      <c r="P37" s="539" t="s">
        <v>615</v>
      </c>
      <c r="Q37" s="416" t="s">
        <v>615</v>
      </c>
      <c r="R37" s="416" t="s">
        <v>615</v>
      </c>
      <c r="S37" s="539" t="e">
        <f t="shared" si="22"/>
        <v>#VALUE!</v>
      </c>
      <c r="T37" s="645"/>
      <c r="U37" s="539" t="s">
        <v>615</v>
      </c>
      <c r="V37" s="416" t="s">
        <v>615</v>
      </c>
      <c r="W37" s="416" t="s">
        <v>615</v>
      </c>
      <c r="X37" s="539" t="e">
        <f t="shared" si="24"/>
        <v>#VALUE!</v>
      </c>
      <c r="Y37" s="645"/>
      <c r="Z37" s="539" t="s">
        <v>615</v>
      </c>
      <c r="AA37" s="416" t="s">
        <v>615</v>
      </c>
      <c r="AB37" s="416" t="s">
        <v>615</v>
      </c>
      <c r="AC37" s="539" t="e">
        <f t="shared" si="26"/>
        <v>#VALUE!</v>
      </c>
      <c r="AD37" s="645"/>
      <c r="AE37" s="539" t="s">
        <v>615</v>
      </c>
      <c r="AF37" s="416" t="s">
        <v>615</v>
      </c>
      <c r="AG37" s="416" t="s">
        <v>615</v>
      </c>
      <c r="AH37" s="539" t="e">
        <f t="shared" si="28"/>
        <v>#VALUE!</v>
      </c>
      <c r="AI37" s="645"/>
      <c r="AJ37" s="539" t="s">
        <v>615</v>
      </c>
      <c r="AK37" s="416" t="s">
        <v>615</v>
      </c>
      <c r="AL37" s="416" t="s">
        <v>615</v>
      </c>
      <c r="AM37" s="539" t="e">
        <f t="shared" si="30"/>
        <v>#VALUE!</v>
      </c>
      <c r="AN37" s="645"/>
      <c r="AO37" s="539" t="s">
        <v>615</v>
      </c>
      <c r="AP37" s="416" t="s">
        <v>615</v>
      </c>
      <c r="AQ37" s="416" t="s">
        <v>615</v>
      </c>
      <c r="AR37" s="539" t="e">
        <f t="shared" si="32"/>
        <v>#VALUE!</v>
      </c>
      <c r="AS37" s="645"/>
      <c r="AT37" s="539" t="s">
        <v>615</v>
      </c>
      <c r="AU37" s="416" t="s">
        <v>615</v>
      </c>
      <c r="AV37" s="416" t="s">
        <v>615</v>
      </c>
      <c r="AW37" s="539" t="e">
        <f t="shared" si="34"/>
        <v>#VALUE!</v>
      </c>
      <c r="AX37" s="645"/>
      <c r="AY37" s="645"/>
      <c r="AZ37" s="402" t="e">
        <f t="shared" si="37"/>
        <v>#VALUE!</v>
      </c>
      <c r="BA37" s="645"/>
    </row>
    <row r="38" spans="2:53">
      <c r="B38" s="643"/>
      <c r="C38" s="411">
        <v>12</v>
      </c>
      <c r="D38" s="495"/>
      <c r="E38" s="495"/>
      <c r="F38" s="495"/>
      <c r="G38" s="416"/>
      <c r="H38" s="680"/>
      <c r="I38" s="413" t="str">
        <f t="shared" si="19"/>
        <v>-</v>
      </c>
      <c r="J38" s="413" t="str">
        <f t="shared" si="20"/>
        <v>-</v>
      </c>
      <c r="K38" s="199" t="str">
        <f t="shared" si="21"/>
        <v>-</v>
      </c>
      <c r="L38" s="617"/>
      <c r="M38" s="420" t="e">
        <f>RANK(K38, K$27:$K$41)</f>
        <v>#VALUE!</v>
      </c>
      <c r="N38" s="635"/>
      <c r="O38" s="635"/>
      <c r="P38" s="539" t="s">
        <v>615</v>
      </c>
      <c r="Q38" s="416" t="s">
        <v>615</v>
      </c>
      <c r="R38" s="416" t="s">
        <v>615</v>
      </c>
      <c r="S38" s="539" t="e">
        <f t="shared" si="22"/>
        <v>#VALUE!</v>
      </c>
      <c r="T38" s="645"/>
      <c r="U38" s="539" t="s">
        <v>615</v>
      </c>
      <c r="V38" s="416" t="s">
        <v>615</v>
      </c>
      <c r="W38" s="416" t="s">
        <v>615</v>
      </c>
      <c r="X38" s="539" t="e">
        <f t="shared" si="24"/>
        <v>#VALUE!</v>
      </c>
      <c r="Y38" s="645"/>
      <c r="Z38" s="539" t="s">
        <v>615</v>
      </c>
      <c r="AA38" s="416" t="s">
        <v>615</v>
      </c>
      <c r="AB38" s="416" t="s">
        <v>615</v>
      </c>
      <c r="AC38" s="539" t="e">
        <f t="shared" si="26"/>
        <v>#VALUE!</v>
      </c>
      <c r="AD38" s="645"/>
      <c r="AE38" s="539" t="s">
        <v>615</v>
      </c>
      <c r="AF38" s="416" t="s">
        <v>615</v>
      </c>
      <c r="AG38" s="416" t="s">
        <v>615</v>
      </c>
      <c r="AH38" s="539" t="e">
        <f t="shared" si="28"/>
        <v>#VALUE!</v>
      </c>
      <c r="AI38" s="645"/>
      <c r="AJ38" s="539" t="s">
        <v>615</v>
      </c>
      <c r="AK38" s="416" t="s">
        <v>615</v>
      </c>
      <c r="AL38" s="416" t="s">
        <v>615</v>
      </c>
      <c r="AM38" s="539" t="e">
        <f t="shared" si="30"/>
        <v>#VALUE!</v>
      </c>
      <c r="AN38" s="645"/>
      <c r="AO38" s="539" t="s">
        <v>615</v>
      </c>
      <c r="AP38" s="416" t="s">
        <v>615</v>
      </c>
      <c r="AQ38" s="416" t="s">
        <v>615</v>
      </c>
      <c r="AR38" s="539" t="e">
        <f t="shared" si="32"/>
        <v>#VALUE!</v>
      </c>
      <c r="AS38" s="645"/>
      <c r="AT38" s="539" t="s">
        <v>615</v>
      </c>
      <c r="AU38" s="416" t="s">
        <v>615</v>
      </c>
      <c r="AV38" s="416" t="s">
        <v>615</v>
      </c>
      <c r="AW38" s="539" t="e">
        <f t="shared" si="34"/>
        <v>#VALUE!</v>
      </c>
      <c r="AX38" s="645"/>
      <c r="AY38" s="645"/>
      <c r="AZ38" s="402" t="e">
        <f t="shared" si="37"/>
        <v>#VALUE!</v>
      </c>
      <c r="BA38" s="645"/>
    </row>
    <row r="39" spans="2:53">
      <c r="B39" s="643"/>
      <c r="C39" s="411">
        <v>13</v>
      </c>
      <c r="D39" s="495"/>
      <c r="E39" s="495"/>
      <c r="F39" s="495"/>
      <c r="G39" s="416"/>
      <c r="H39" s="680"/>
      <c r="I39" s="413" t="str">
        <f t="shared" si="19"/>
        <v>-</v>
      </c>
      <c r="J39" s="413" t="str">
        <f t="shared" si="20"/>
        <v>-</v>
      </c>
      <c r="K39" s="199" t="str">
        <f t="shared" si="21"/>
        <v>-</v>
      </c>
      <c r="L39" s="617"/>
      <c r="M39" s="420" t="e">
        <f>RANK(K39, K$27:$K$41)</f>
        <v>#VALUE!</v>
      </c>
      <c r="N39" s="635"/>
      <c r="O39" s="635"/>
      <c r="P39" s="539" t="s">
        <v>615</v>
      </c>
      <c r="Q39" s="416" t="s">
        <v>615</v>
      </c>
      <c r="R39" s="416" t="s">
        <v>615</v>
      </c>
      <c r="S39" s="539" t="e">
        <f t="shared" si="22"/>
        <v>#VALUE!</v>
      </c>
      <c r="T39" s="645"/>
      <c r="U39" s="539" t="s">
        <v>615</v>
      </c>
      <c r="V39" s="416" t="s">
        <v>615</v>
      </c>
      <c r="W39" s="416" t="s">
        <v>615</v>
      </c>
      <c r="X39" s="539" t="e">
        <f t="shared" si="24"/>
        <v>#VALUE!</v>
      </c>
      <c r="Y39" s="645"/>
      <c r="Z39" s="539" t="s">
        <v>615</v>
      </c>
      <c r="AA39" s="416" t="s">
        <v>615</v>
      </c>
      <c r="AB39" s="416" t="s">
        <v>615</v>
      </c>
      <c r="AC39" s="539" t="e">
        <f t="shared" si="26"/>
        <v>#VALUE!</v>
      </c>
      <c r="AD39" s="645"/>
      <c r="AE39" s="539" t="s">
        <v>615</v>
      </c>
      <c r="AF39" s="416" t="s">
        <v>615</v>
      </c>
      <c r="AG39" s="416" t="s">
        <v>615</v>
      </c>
      <c r="AH39" s="539" t="e">
        <f t="shared" si="28"/>
        <v>#VALUE!</v>
      </c>
      <c r="AI39" s="645"/>
      <c r="AJ39" s="539" t="s">
        <v>615</v>
      </c>
      <c r="AK39" s="416" t="s">
        <v>615</v>
      </c>
      <c r="AL39" s="416" t="s">
        <v>615</v>
      </c>
      <c r="AM39" s="539" t="e">
        <f t="shared" si="30"/>
        <v>#VALUE!</v>
      </c>
      <c r="AN39" s="645"/>
      <c r="AO39" s="539" t="s">
        <v>615</v>
      </c>
      <c r="AP39" s="416" t="s">
        <v>615</v>
      </c>
      <c r="AQ39" s="416" t="s">
        <v>615</v>
      </c>
      <c r="AR39" s="539" t="e">
        <f t="shared" si="32"/>
        <v>#VALUE!</v>
      </c>
      <c r="AS39" s="645"/>
      <c r="AT39" s="539" t="s">
        <v>615</v>
      </c>
      <c r="AU39" s="416" t="s">
        <v>615</v>
      </c>
      <c r="AV39" s="416" t="s">
        <v>615</v>
      </c>
      <c r="AW39" s="539" t="e">
        <f t="shared" si="34"/>
        <v>#VALUE!</v>
      </c>
      <c r="AX39" s="645"/>
      <c r="AY39" s="645"/>
      <c r="AZ39" s="402" t="e">
        <f t="shared" si="37"/>
        <v>#VALUE!</v>
      </c>
      <c r="BA39" s="645"/>
    </row>
    <row r="40" spans="2:53">
      <c r="B40" s="643"/>
      <c r="C40" s="411">
        <v>14</v>
      </c>
      <c r="D40" s="495"/>
      <c r="E40" s="495"/>
      <c r="F40" s="495"/>
      <c r="G40" s="416"/>
      <c r="H40" s="680"/>
      <c r="I40" s="413" t="str">
        <f t="shared" si="19"/>
        <v>-</v>
      </c>
      <c r="J40" s="413" t="str">
        <f t="shared" si="20"/>
        <v>-</v>
      </c>
      <c r="K40" s="199" t="str">
        <f t="shared" si="21"/>
        <v>-</v>
      </c>
      <c r="L40" s="617"/>
      <c r="M40" s="420" t="e">
        <f>RANK(K40, K$27:$K$41)</f>
        <v>#VALUE!</v>
      </c>
      <c r="N40" s="635"/>
      <c r="O40" s="635"/>
      <c r="P40" s="539" t="s">
        <v>615</v>
      </c>
      <c r="Q40" s="416" t="s">
        <v>615</v>
      </c>
      <c r="R40" s="416" t="s">
        <v>615</v>
      </c>
      <c r="S40" s="539" t="e">
        <f t="shared" si="22"/>
        <v>#VALUE!</v>
      </c>
      <c r="T40" s="645"/>
      <c r="U40" s="539" t="s">
        <v>615</v>
      </c>
      <c r="V40" s="416" t="s">
        <v>615</v>
      </c>
      <c r="W40" s="416" t="s">
        <v>615</v>
      </c>
      <c r="X40" s="539" t="e">
        <f t="shared" si="24"/>
        <v>#VALUE!</v>
      </c>
      <c r="Y40" s="645"/>
      <c r="Z40" s="539" t="s">
        <v>615</v>
      </c>
      <c r="AA40" s="416" t="s">
        <v>615</v>
      </c>
      <c r="AB40" s="416" t="s">
        <v>615</v>
      </c>
      <c r="AC40" s="539" t="e">
        <f t="shared" si="26"/>
        <v>#VALUE!</v>
      </c>
      <c r="AD40" s="645"/>
      <c r="AE40" s="539" t="s">
        <v>615</v>
      </c>
      <c r="AF40" s="416" t="s">
        <v>615</v>
      </c>
      <c r="AG40" s="416" t="s">
        <v>615</v>
      </c>
      <c r="AH40" s="539" t="e">
        <f t="shared" si="28"/>
        <v>#VALUE!</v>
      </c>
      <c r="AI40" s="645"/>
      <c r="AJ40" s="539" t="s">
        <v>615</v>
      </c>
      <c r="AK40" s="416" t="s">
        <v>615</v>
      </c>
      <c r="AL40" s="416" t="s">
        <v>615</v>
      </c>
      <c r="AM40" s="539" t="e">
        <f t="shared" si="30"/>
        <v>#VALUE!</v>
      </c>
      <c r="AN40" s="645"/>
      <c r="AO40" s="539" t="s">
        <v>615</v>
      </c>
      <c r="AP40" s="416" t="s">
        <v>615</v>
      </c>
      <c r="AQ40" s="416" t="s">
        <v>615</v>
      </c>
      <c r="AR40" s="539" t="e">
        <f t="shared" si="32"/>
        <v>#VALUE!</v>
      </c>
      <c r="AS40" s="645"/>
      <c r="AT40" s="539" t="s">
        <v>615</v>
      </c>
      <c r="AU40" s="416" t="s">
        <v>615</v>
      </c>
      <c r="AV40" s="416" t="s">
        <v>615</v>
      </c>
      <c r="AW40" s="539" t="e">
        <f t="shared" si="34"/>
        <v>#VALUE!</v>
      </c>
      <c r="AX40" s="645"/>
      <c r="AY40" s="645"/>
      <c r="AZ40" s="402" t="e">
        <f t="shared" si="37"/>
        <v>#VALUE!</v>
      </c>
      <c r="BA40" s="645"/>
    </row>
    <row r="41" spans="2:53">
      <c r="B41" s="643"/>
      <c r="C41" s="411">
        <v>15</v>
      </c>
      <c r="D41" s="495"/>
      <c r="E41" s="495"/>
      <c r="F41" s="495"/>
      <c r="G41" s="495"/>
      <c r="H41" s="684"/>
      <c r="I41" s="413" t="str">
        <f t="shared" si="19"/>
        <v>-</v>
      </c>
      <c r="J41" s="413" t="str">
        <f t="shared" si="20"/>
        <v>-</v>
      </c>
      <c r="K41" s="199" t="str">
        <f t="shared" si="21"/>
        <v>-</v>
      </c>
      <c r="L41" s="618"/>
      <c r="M41" s="420" t="e">
        <f>RANK(K41, K$27:$K$41)</f>
        <v>#VALUE!</v>
      </c>
      <c r="N41" s="635"/>
      <c r="O41" s="635"/>
      <c r="P41" s="539" t="s">
        <v>615</v>
      </c>
      <c r="Q41" s="416" t="s">
        <v>615</v>
      </c>
      <c r="R41" s="416" t="s">
        <v>615</v>
      </c>
      <c r="S41" s="539" t="e">
        <f t="shared" si="22"/>
        <v>#VALUE!</v>
      </c>
      <c r="T41" s="646"/>
      <c r="U41" s="539" t="s">
        <v>615</v>
      </c>
      <c r="V41" s="416" t="s">
        <v>615</v>
      </c>
      <c r="W41" s="416" t="s">
        <v>615</v>
      </c>
      <c r="X41" s="539" t="e">
        <f t="shared" si="24"/>
        <v>#VALUE!</v>
      </c>
      <c r="Y41" s="646"/>
      <c r="Z41" s="539" t="s">
        <v>615</v>
      </c>
      <c r="AA41" s="416" t="s">
        <v>615</v>
      </c>
      <c r="AB41" s="416" t="s">
        <v>615</v>
      </c>
      <c r="AC41" s="539" t="e">
        <f t="shared" si="26"/>
        <v>#VALUE!</v>
      </c>
      <c r="AD41" s="646"/>
      <c r="AE41" s="539" t="s">
        <v>615</v>
      </c>
      <c r="AF41" s="416" t="s">
        <v>615</v>
      </c>
      <c r="AG41" s="416" t="s">
        <v>615</v>
      </c>
      <c r="AH41" s="539" t="e">
        <f t="shared" si="28"/>
        <v>#VALUE!</v>
      </c>
      <c r="AI41" s="646"/>
      <c r="AJ41" s="539" t="s">
        <v>615</v>
      </c>
      <c r="AK41" s="416" t="s">
        <v>615</v>
      </c>
      <c r="AL41" s="416" t="s">
        <v>615</v>
      </c>
      <c r="AM41" s="539" t="e">
        <f t="shared" si="30"/>
        <v>#VALUE!</v>
      </c>
      <c r="AN41" s="646"/>
      <c r="AO41" s="539" t="s">
        <v>615</v>
      </c>
      <c r="AP41" s="416" t="s">
        <v>615</v>
      </c>
      <c r="AQ41" s="416" t="s">
        <v>615</v>
      </c>
      <c r="AR41" s="539" t="e">
        <f t="shared" si="32"/>
        <v>#VALUE!</v>
      </c>
      <c r="AS41" s="646"/>
      <c r="AT41" s="539" t="s">
        <v>615</v>
      </c>
      <c r="AU41" s="416" t="s">
        <v>615</v>
      </c>
      <c r="AV41" s="416" t="s">
        <v>615</v>
      </c>
      <c r="AW41" s="539" t="e">
        <f t="shared" si="34"/>
        <v>#VALUE!</v>
      </c>
      <c r="AX41" s="646"/>
      <c r="AY41" s="646"/>
      <c r="AZ41" s="402" t="e">
        <f t="shared" si="37"/>
        <v>#VALUE!</v>
      </c>
      <c r="BA41" s="646"/>
    </row>
    <row r="42" spans="2:53" ht="15.75">
      <c r="B42" s="661" t="s">
        <v>163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36" t="s">
        <v>156</v>
      </c>
      <c r="O42" s="636" t="s">
        <v>105</v>
      </c>
      <c r="P42" s="642">
        <f>P22+7</f>
        <v>46182</v>
      </c>
      <c r="Q42" s="643"/>
      <c r="R42" s="643"/>
      <c r="S42" s="643"/>
      <c r="T42" s="643"/>
      <c r="U42" s="639">
        <f>P42+1</f>
        <v>46183</v>
      </c>
      <c r="V42" s="640"/>
      <c r="W42" s="640"/>
      <c r="X42" s="640"/>
      <c r="Y42" s="641"/>
      <c r="Z42" s="639">
        <f>U42+1</f>
        <v>46184</v>
      </c>
      <c r="AA42" s="640"/>
      <c r="AB42" s="640"/>
      <c r="AC42" s="640"/>
      <c r="AD42" s="641"/>
      <c r="AE42" s="639">
        <f>Z42+1</f>
        <v>46185</v>
      </c>
      <c r="AF42" s="640"/>
      <c r="AG42" s="640"/>
      <c r="AH42" s="640"/>
      <c r="AI42" s="641"/>
      <c r="AJ42" s="639">
        <f>AE42+1</f>
        <v>46186</v>
      </c>
      <c r="AK42" s="640"/>
      <c r="AL42" s="640"/>
      <c r="AM42" s="640"/>
      <c r="AN42" s="641"/>
      <c r="AO42" s="639">
        <f>AJ42+1</f>
        <v>46187</v>
      </c>
      <c r="AP42" s="640"/>
      <c r="AQ42" s="640"/>
      <c r="AR42" s="640"/>
      <c r="AS42" s="641"/>
      <c r="AT42" s="639">
        <f>AO42+1</f>
        <v>46188</v>
      </c>
      <c r="AU42" s="640"/>
      <c r="AV42" s="640"/>
      <c r="AW42" s="640"/>
      <c r="AX42" s="641"/>
    </row>
    <row r="43" spans="2:53" ht="15.75">
      <c r="B43" s="650"/>
      <c r="C43" s="650"/>
      <c r="D43" s="650"/>
      <c r="E43" s="650"/>
      <c r="F43" s="650"/>
      <c r="G43" s="650"/>
      <c r="H43" s="650"/>
      <c r="I43" s="204"/>
      <c r="J43" s="204"/>
      <c r="K43" s="204"/>
      <c r="L43" s="204"/>
      <c r="M43" s="205"/>
      <c r="N43" s="638"/>
      <c r="O43" s="638"/>
      <c r="P43" s="642" t="s">
        <v>318</v>
      </c>
      <c r="Q43" s="643"/>
      <c r="R43" s="643"/>
      <c r="S43" s="643"/>
      <c r="T43" s="643"/>
      <c r="U43" s="642" t="s">
        <v>319</v>
      </c>
      <c r="V43" s="643"/>
      <c r="W43" s="643"/>
      <c r="X43" s="643"/>
      <c r="Y43" s="643"/>
      <c r="Z43" s="642" t="s">
        <v>320</v>
      </c>
      <c r="AA43" s="643"/>
      <c r="AB43" s="643"/>
      <c r="AC43" s="643"/>
      <c r="AD43" s="643"/>
      <c r="AE43" s="642" t="s">
        <v>321</v>
      </c>
      <c r="AF43" s="643"/>
      <c r="AG43" s="643"/>
      <c r="AH43" s="643"/>
      <c r="AI43" s="643"/>
      <c r="AJ43" s="642" t="s">
        <v>322</v>
      </c>
      <c r="AK43" s="643"/>
      <c r="AL43" s="643"/>
      <c r="AM43" s="643"/>
      <c r="AN43" s="643"/>
      <c r="AO43" s="642" t="s">
        <v>323</v>
      </c>
      <c r="AP43" s="643"/>
      <c r="AQ43" s="643"/>
      <c r="AR43" s="643"/>
      <c r="AS43" s="643"/>
      <c r="AT43" s="642" t="s">
        <v>324</v>
      </c>
      <c r="AU43" s="643"/>
      <c r="AV43" s="643"/>
      <c r="AW43" s="643"/>
      <c r="AX43" s="643"/>
    </row>
    <row r="44" spans="2:53">
      <c r="B44" s="635" t="s">
        <v>480</v>
      </c>
      <c r="C44" s="635" t="s">
        <v>384</v>
      </c>
      <c r="D44" s="635"/>
      <c r="E44" s="635" t="s">
        <v>375</v>
      </c>
      <c r="F44" s="635"/>
      <c r="G44" s="635"/>
      <c r="H44" s="651" t="s">
        <v>371</v>
      </c>
      <c r="I44" s="635" t="s">
        <v>376</v>
      </c>
      <c r="J44" s="635"/>
      <c r="K44" s="635"/>
      <c r="L44" s="651" t="s">
        <v>371</v>
      </c>
      <c r="M44" s="636" t="s">
        <v>372</v>
      </c>
      <c r="N44" s="635"/>
      <c r="O44" s="635" t="s">
        <v>377</v>
      </c>
      <c r="P44" s="632" t="s">
        <v>373</v>
      </c>
      <c r="Q44" s="633"/>
      <c r="R44" s="633"/>
      <c r="S44" s="634"/>
      <c r="T44" s="635" t="s">
        <v>371</v>
      </c>
      <c r="U44" s="632" t="s">
        <v>373</v>
      </c>
      <c r="V44" s="633"/>
      <c r="W44" s="633"/>
      <c r="X44" s="634"/>
      <c r="Y44" s="635" t="s">
        <v>371</v>
      </c>
      <c r="Z44" s="632" t="s">
        <v>373</v>
      </c>
      <c r="AA44" s="633"/>
      <c r="AB44" s="633"/>
      <c r="AC44" s="634"/>
      <c r="AD44" s="635" t="s">
        <v>371</v>
      </c>
      <c r="AE44" s="632" t="s">
        <v>373</v>
      </c>
      <c r="AF44" s="633"/>
      <c r="AG44" s="633"/>
      <c r="AH44" s="634"/>
      <c r="AI44" s="635" t="s">
        <v>371</v>
      </c>
      <c r="AJ44" s="632" t="s">
        <v>373</v>
      </c>
      <c r="AK44" s="633"/>
      <c r="AL44" s="633"/>
      <c r="AM44" s="634"/>
      <c r="AN44" s="635" t="s">
        <v>371</v>
      </c>
      <c r="AO44" s="632" t="s">
        <v>373</v>
      </c>
      <c r="AP44" s="633"/>
      <c r="AQ44" s="633"/>
      <c r="AR44" s="634"/>
      <c r="AS44" s="635" t="s">
        <v>371</v>
      </c>
      <c r="AT44" s="632" t="s">
        <v>373</v>
      </c>
      <c r="AU44" s="633"/>
      <c r="AV44" s="633"/>
      <c r="AW44" s="634"/>
      <c r="AX44" s="635" t="s">
        <v>371</v>
      </c>
      <c r="BA44" s="635" t="s">
        <v>371</v>
      </c>
    </row>
    <row r="45" spans="2:53">
      <c r="B45" s="635"/>
      <c r="C45" s="635"/>
      <c r="D45" s="635"/>
      <c r="E45" s="635" t="s">
        <v>378</v>
      </c>
      <c r="F45" s="635"/>
      <c r="G45" s="635"/>
      <c r="H45" s="652"/>
      <c r="I45" s="635" t="s">
        <v>378</v>
      </c>
      <c r="J45" s="635"/>
      <c r="K45" s="635"/>
      <c r="L45" s="652"/>
      <c r="M45" s="637"/>
      <c r="N45" s="635"/>
      <c r="O45" s="635"/>
      <c r="P45" s="632" t="s">
        <v>379</v>
      </c>
      <c r="Q45" s="633"/>
      <c r="R45" s="633"/>
      <c r="S45" s="634"/>
      <c r="T45" s="635"/>
      <c r="U45" s="632" t="s">
        <v>379</v>
      </c>
      <c r="V45" s="633"/>
      <c r="W45" s="633"/>
      <c r="X45" s="634"/>
      <c r="Y45" s="635"/>
      <c r="Z45" s="632" t="s">
        <v>379</v>
      </c>
      <c r="AA45" s="633"/>
      <c r="AB45" s="633"/>
      <c r="AC45" s="634"/>
      <c r="AD45" s="635"/>
      <c r="AE45" s="632" t="s">
        <v>379</v>
      </c>
      <c r="AF45" s="633"/>
      <c r="AG45" s="633"/>
      <c r="AH45" s="634"/>
      <c r="AI45" s="635"/>
      <c r="AJ45" s="632" t="s">
        <v>379</v>
      </c>
      <c r="AK45" s="633"/>
      <c r="AL45" s="633"/>
      <c r="AM45" s="634"/>
      <c r="AN45" s="635"/>
      <c r="AO45" s="632" t="s">
        <v>379</v>
      </c>
      <c r="AP45" s="633"/>
      <c r="AQ45" s="633"/>
      <c r="AR45" s="634"/>
      <c r="AS45" s="635"/>
      <c r="AT45" s="632" t="s">
        <v>379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408" t="s">
        <v>380</v>
      </c>
      <c r="F46" s="408" t="s">
        <v>381</v>
      </c>
      <c r="G46" s="408" t="s">
        <v>382</v>
      </c>
      <c r="H46" s="653"/>
      <c r="I46" s="408" t="s">
        <v>380</v>
      </c>
      <c r="J46" s="408" t="s">
        <v>381</v>
      </c>
      <c r="K46" s="408" t="s">
        <v>382</v>
      </c>
      <c r="L46" s="653"/>
      <c r="M46" s="638"/>
      <c r="N46" s="635"/>
      <c r="O46" s="635"/>
      <c r="P46" s="408" t="s">
        <v>380</v>
      </c>
      <c r="Q46" s="408" t="s">
        <v>381</v>
      </c>
      <c r="R46" s="408" t="s">
        <v>382</v>
      </c>
      <c r="S46" s="408" t="s">
        <v>372</v>
      </c>
      <c r="T46" s="635"/>
      <c r="U46" s="408" t="s">
        <v>380</v>
      </c>
      <c r="V46" s="408" t="s">
        <v>381</v>
      </c>
      <c r="W46" s="408" t="s">
        <v>382</v>
      </c>
      <c r="X46" s="408" t="s">
        <v>372</v>
      </c>
      <c r="Y46" s="635"/>
      <c r="Z46" s="408" t="s">
        <v>380</v>
      </c>
      <c r="AA46" s="408" t="s">
        <v>381</v>
      </c>
      <c r="AB46" s="408" t="s">
        <v>382</v>
      </c>
      <c r="AC46" s="408" t="s">
        <v>372</v>
      </c>
      <c r="AD46" s="635"/>
      <c r="AE46" s="408" t="s">
        <v>380</v>
      </c>
      <c r="AF46" s="408" t="s">
        <v>381</v>
      </c>
      <c r="AG46" s="408" t="s">
        <v>382</v>
      </c>
      <c r="AH46" s="408" t="s">
        <v>372</v>
      </c>
      <c r="AI46" s="635"/>
      <c r="AJ46" s="408" t="s">
        <v>380</v>
      </c>
      <c r="AK46" s="408" t="s">
        <v>381</v>
      </c>
      <c r="AL46" s="408" t="s">
        <v>382</v>
      </c>
      <c r="AM46" s="408" t="s">
        <v>372</v>
      </c>
      <c r="AN46" s="635"/>
      <c r="AO46" s="408" t="s">
        <v>380</v>
      </c>
      <c r="AP46" s="408" t="s">
        <v>381</v>
      </c>
      <c r="AQ46" s="408" t="s">
        <v>382</v>
      </c>
      <c r="AR46" s="408" t="s">
        <v>372</v>
      </c>
      <c r="AS46" s="635"/>
      <c r="AT46" s="408" t="s">
        <v>380</v>
      </c>
      <c r="AU46" s="408" t="s">
        <v>381</v>
      </c>
      <c r="AV46" s="408" t="s">
        <v>382</v>
      </c>
      <c r="AW46" s="408" t="s">
        <v>372</v>
      </c>
      <c r="AX46" s="635"/>
      <c r="AZ46" s="403" t="s">
        <v>372</v>
      </c>
      <c r="BA46" s="635"/>
    </row>
    <row r="47" spans="2:53">
      <c r="B47" s="683" t="s">
        <v>481</v>
      </c>
      <c r="C47" s="411">
        <v>1</v>
      </c>
      <c r="D47" s="495" t="s">
        <v>590</v>
      </c>
      <c r="E47" s="495">
        <v>10</v>
      </c>
      <c r="F47" s="495">
        <v>1500</v>
      </c>
      <c r="G47" s="416">
        <v>150</v>
      </c>
      <c r="H47" s="679">
        <f>AVERAGE(G47:G61)</f>
        <v>130</v>
      </c>
      <c r="I47" s="413">
        <f t="shared" ref="I47:I61" si="39">IFERROR(AVERAGE(P47,U47,Z47,AE47,AJ47,AO47,AT47),"-")</f>
        <v>10</v>
      </c>
      <c r="J47" s="413">
        <f t="shared" ref="J47:J61" si="40">IFERROR(AVERAGE(Q47,V47,AA47,AF47,AK47,AP47,AU47),"-")</f>
        <v>1425.558002148229</v>
      </c>
      <c r="K47" s="199">
        <f t="shared" ref="K47:K61" si="41">IFERROR(AVERAGE(R47,W47,AB47,AG47,AL47,AQ47,AV47),"-")</f>
        <v>142.55580021482288</v>
      </c>
      <c r="L47" s="616">
        <f>IFERROR(AVERAGE(K47:K61),"-")</f>
        <v>137.89980340088107</v>
      </c>
      <c r="M47" s="481">
        <f>RANK(K47, K$47:$K$61)</f>
        <v>1</v>
      </c>
      <c r="N47" s="635"/>
      <c r="O47" s="635"/>
      <c r="P47" s="549">
        <v>10</v>
      </c>
      <c r="Q47" s="416">
        <v>1435.2631578947357</v>
      </c>
      <c r="R47" s="416">
        <v>143.52631578947359</v>
      </c>
      <c r="S47" s="550">
        <f t="shared" ref="S47:S53" si="42">RANK(R47, R$47:R$61)</f>
        <v>1</v>
      </c>
      <c r="T47" s="644">
        <f t="shared" ref="T47" si="43">AVERAGE(R47:R61)</f>
        <v>126.1878884584488</v>
      </c>
      <c r="U47" s="549">
        <v>10</v>
      </c>
      <c r="V47" s="416">
        <v>1464.9999999999989</v>
      </c>
      <c r="W47" s="416">
        <v>146.49999999999989</v>
      </c>
      <c r="X47" s="550">
        <f t="shared" ref="X47:X53" si="44">RANK(W47, W$47:W$61)</f>
        <v>1</v>
      </c>
      <c r="Y47" s="644">
        <f t="shared" ref="Y47" si="45">AVERAGE(W47:W61)</f>
        <v>125.40330944029279</v>
      </c>
      <c r="Z47" s="549">
        <v>10</v>
      </c>
      <c r="AA47" s="416">
        <v>1510.2857142857197</v>
      </c>
      <c r="AB47" s="416">
        <v>151.02857142857198</v>
      </c>
      <c r="AC47" s="550">
        <f t="shared" ref="AC47:AC53" si="46">RANK(AB47, AB$47:AB$61)</f>
        <v>1</v>
      </c>
      <c r="AD47" s="644">
        <f t="shared" ref="AD47" si="47">AVERAGE(AB47:AB61)</f>
        <v>148.88313492063506</v>
      </c>
      <c r="AE47" s="549">
        <v>10</v>
      </c>
      <c r="AF47" s="416">
        <v>1265.1428571428619</v>
      </c>
      <c r="AG47" s="416">
        <v>126.51428571428619</v>
      </c>
      <c r="AH47" s="550">
        <f t="shared" ref="AH47:AH53" si="48">RANK(AG47, AG$47:AG$61)</f>
        <v>2</v>
      </c>
      <c r="AI47" s="644">
        <f t="shared" ref="AI47" si="49">AVERAGE(AG47:AG61)</f>
        <v>125.14781746031757</v>
      </c>
      <c r="AJ47" s="549">
        <v>10</v>
      </c>
      <c r="AK47" s="416">
        <v>1444.0000000000014</v>
      </c>
      <c r="AL47" s="416">
        <v>144.40000000000015</v>
      </c>
      <c r="AM47" s="550">
        <f t="shared" ref="AM47:AM53" si="50">RANK(AL47, AL$47:AL$61)</f>
        <v>1</v>
      </c>
      <c r="AN47" s="644">
        <f t="shared" ref="AN47" si="51">AVERAGE(AL47:AL61)</f>
        <v>143.72185592185602</v>
      </c>
      <c r="AO47" s="549">
        <v>10</v>
      </c>
      <c r="AP47" s="416">
        <v>1417.4999999999995</v>
      </c>
      <c r="AQ47" s="416">
        <v>141.74999999999994</v>
      </c>
      <c r="AR47" s="550">
        <f t="shared" ref="AR47:AR53" si="52">RANK(AQ47, AQ$47:AQ$61)</f>
        <v>3</v>
      </c>
      <c r="AS47" s="644">
        <f t="shared" ref="AS47" si="53">AVERAGE(AQ47:AQ61)</f>
        <v>144.57683982683977</v>
      </c>
      <c r="AT47" s="549">
        <v>10</v>
      </c>
      <c r="AU47" s="416">
        <v>1441.7142857142842</v>
      </c>
      <c r="AV47" s="416">
        <v>144.17142857142841</v>
      </c>
      <c r="AW47" s="550">
        <f t="shared" ref="AW47:AW53" si="54">RANK(AV47, AV$47:AV$61)</f>
        <v>3</v>
      </c>
      <c r="AX47" s="644">
        <f t="shared" ref="AX47" si="55">AVERAGE(AV47:AV61)</f>
        <v>151.37777777777762</v>
      </c>
      <c r="AZ47" s="405" t="e">
        <f t="shared" ref="AZ47:AZ53" si="56">RANK(AY47, AY$47:AY$61)</f>
        <v>#N/A</v>
      </c>
      <c r="BA47" s="644" t="e">
        <f t="shared" ref="BA47" si="57">AVERAGE(AY47:AY61)</f>
        <v>#DIV/0!</v>
      </c>
    </row>
    <row r="48" spans="2:53">
      <c r="B48" s="643"/>
      <c r="C48" s="411">
        <v>2</v>
      </c>
      <c r="D48" s="495" t="s">
        <v>623</v>
      </c>
      <c r="E48" s="495">
        <v>15</v>
      </c>
      <c r="F48" s="495">
        <v>1800</v>
      </c>
      <c r="G48" s="416">
        <v>120</v>
      </c>
      <c r="H48" s="680"/>
      <c r="I48" s="413">
        <f t="shared" si="39"/>
        <v>12.857142857142858</v>
      </c>
      <c r="J48" s="413">
        <f t="shared" si="40"/>
        <v>1722.4027842750731</v>
      </c>
      <c r="K48" s="199">
        <f t="shared" si="41"/>
        <v>135.20307939123197</v>
      </c>
      <c r="L48" s="617"/>
      <c r="M48" s="481">
        <f>RANK(K48, K$47:$K$61)</f>
        <v>3</v>
      </c>
      <c r="N48" s="635"/>
      <c r="O48" s="635"/>
      <c r="P48" s="549">
        <v>15</v>
      </c>
      <c r="Q48" s="416">
        <v>1770.3703703703713</v>
      </c>
      <c r="R48" s="416">
        <v>118.02469135802475</v>
      </c>
      <c r="S48" s="550">
        <f t="shared" si="42"/>
        <v>2</v>
      </c>
      <c r="T48" s="645"/>
      <c r="U48" s="549">
        <v>15</v>
      </c>
      <c r="V48" s="416">
        <v>1728.4337349397601</v>
      </c>
      <c r="W48" s="416">
        <v>115.22891566265068</v>
      </c>
      <c r="X48" s="550">
        <f t="shared" si="44"/>
        <v>2</v>
      </c>
      <c r="Y48" s="645"/>
      <c r="Z48" s="549">
        <v>12</v>
      </c>
      <c r="AA48" s="416">
        <v>1748.2499999999993</v>
      </c>
      <c r="AB48" s="416">
        <v>145.68749999999994</v>
      </c>
      <c r="AC48" s="550">
        <f t="shared" si="46"/>
        <v>3</v>
      </c>
      <c r="AD48" s="645"/>
      <c r="AE48" s="549">
        <v>12</v>
      </c>
      <c r="AF48" s="416">
        <v>1464.7499999999995</v>
      </c>
      <c r="AG48" s="416">
        <v>122.06249999999996</v>
      </c>
      <c r="AH48" s="550">
        <f t="shared" si="48"/>
        <v>3</v>
      </c>
      <c r="AI48" s="645"/>
      <c r="AJ48" s="549">
        <v>12</v>
      </c>
      <c r="AK48" s="416">
        <v>1732.6153846153843</v>
      </c>
      <c r="AL48" s="416">
        <v>144.38461538461536</v>
      </c>
      <c r="AM48" s="550">
        <f t="shared" si="50"/>
        <v>2</v>
      </c>
      <c r="AN48" s="645"/>
      <c r="AO48" s="549">
        <v>12</v>
      </c>
      <c r="AP48" s="416">
        <v>1769.9999999999993</v>
      </c>
      <c r="AQ48" s="416">
        <v>147.49999999999994</v>
      </c>
      <c r="AR48" s="550">
        <f t="shared" si="52"/>
        <v>1</v>
      </c>
      <c r="AS48" s="645"/>
      <c r="AT48" s="549">
        <v>12</v>
      </c>
      <c r="AU48" s="416">
        <v>1842.3999999999985</v>
      </c>
      <c r="AV48" s="416">
        <v>153.53333333333322</v>
      </c>
      <c r="AW48" s="550">
        <f t="shared" si="54"/>
        <v>2</v>
      </c>
      <c r="AX48" s="645"/>
      <c r="AZ48" s="405" t="e">
        <f t="shared" si="56"/>
        <v>#N/A</v>
      </c>
      <c r="BA48" s="645"/>
    </row>
    <row r="49" spans="2:53">
      <c r="B49" s="643"/>
      <c r="C49" s="411">
        <v>3</v>
      </c>
      <c r="D49" s="495" t="s">
        <v>624</v>
      </c>
      <c r="E49" s="495">
        <v>15</v>
      </c>
      <c r="F49" s="495">
        <v>1800</v>
      </c>
      <c r="G49" s="416">
        <v>120</v>
      </c>
      <c r="H49" s="680"/>
      <c r="I49" s="413">
        <f t="shared" si="39"/>
        <v>12.857142857142858</v>
      </c>
      <c r="J49" s="413">
        <f t="shared" si="40"/>
        <v>1730.4979403959503</v>
      </c>
      <c r="K49" s="199">
        <f t="shared" si="41"/>
        <v>135.94053059658839</v>
      </c>
      <c r="L49" s="617"/>
      <c r="M49" s="481">
        <f>RANK(K49, K$47:$K$61)</f>
        <v>2</v>
      </c>
      <c r="N49" s="635"/>
      <c r="O49" s="635"/>
      <c r="P49" s="549">
        <v>15</v>
      </c>
      <c r="Q49" s="416">
        <v>1755.1898734177205</v>
      </c>
      <c r="R49" s="416">
        <v>117.01265822784804</v>
      </c>
      <c r="S49" s="550">
        <f t="shared" si="42"/>
        <v>3</v>
      </c>
      <c r="T49" s="645"/>
      <c r="U49" s="549">
        <v>15</v>
      </c>
      <c r="V49" s="416">
        <v>1717.2151898734166</v>
      </c>
      <c r="W49" s="416">
        <v>114.48101265822778</v>
      </c>
      <c r="X49" s="550">
        <f t="shared" si="44"/>
        <v>3</v>
      </c>
      <c r="Y49" s="645"/>
      <c r="Z49" s="549">
        <v>12</v>
      </c>
      <c r="AA49" s="416">
        <v>1799.1999999999987</v>
      </c>
      <c r="AB49" s="416">
        <v>149.93333333333322</v>
      </c>
      <c r="AC49" s="550">
        <f t="shared" si="46"/>
        <v>2</v>
      </c>
      <c r="AD49" s="645"/>
      <c r="AE49" s="549">
        <v>12</v>
      </c>
      <c r="AF49" s="416">
        <v>1522.3999999999987</v>
      </c>
      <c r="AG49" s="416">
        <v>126.86666666666656</v>
      </c>
      <c r="AH49" s="550">
        <f t="shared" si="48"/>
        <v>1</v>
      </c>
      <c r="AI49" s="645"/>
      <c r="AJ49" s="549">
        <v>12</v>
      </c>
      <c r="AK49" s="416">
        <v>1708.5714285714305</v>
      </c>
      <c r="AL49" s="416">
        <v>142.38095238095255</v>
      </c>
      <c r="AM49" s="550">
        <f t="shared" si="50"/>
        <v>3</v>
      </c>
      <c r="AN49" s="645"/>
      <c r="AO49" s="549">
        <v>12</v>
      </c>
      <c r="AP49" s="416">
        <v>1733.7662337662327</v>
      </c>
      <c r="AQ49" s="416">
        <v>144.4805194805194</v>
      </c>
      <c r="AR49" s="550">
        <f t="shared" si="52"/>
        <v>2</v>
      </c>
      <c r="AS49" s="645"/>
      <c r="AT49" s="549">
        <v>12</v>
      </c>
      <c r="AU49" s="416">
        <v>1877.1428571428551</v>
      </c>
      <c r="AV49" s="416">
        <v>156.42857142857125</v>
      </c>
      <c r="AW49" s="550">
        <f t="shared" si="54"/>
        <v>1</v>
      </c>
      <c r="AX49" s="645"/>
      <c r="AZ49" s="405" t="e">
        <f t="shared" si="56"/>
        <v>#N/A</v>
      </c>
      <c r="BA49" s="645"/>
    </row>
    <row r="50" spans="2:53">
      <c r="B50" s="643"/>
      <c r="C50" s="411">
        <v>4</v>
      </c>
      <c r="D50" s="495"/>
      <c r="E50" s="495"/>
      <c r="F50" s="495"/>
      <c r="G50" s="416"/>
      <c r="H50" s="680"/>
      <c r="I50" s="413" t="str">
        <f t="shared" si="39"/>
        <v>-</v>
      </c>
      <c r="J50" s="413" t="str">
        <f t="shared" si="40"/>
        <v>-</v>
      </c>
      <c r="K50" s="199" t="str">
        <f t="shared" si="41"/>
        <v>-</v>
      </c>
      <c r="L50" s="617"/>
      <c r="M50" s="481" t="e">
        <f>RANK(K50, K$47:$K$61)</f>
        <v>#VALUE!</v>
      </c>
      <c r="N50" s="635"/>
      <c r="O50" s="635"/>
      <c r="P50" s="549" t="s">
        <v>615</v>
      </c>
      <c r="Q50" s="416" t="s">
        <v>615</v>
      </c>
      <c r="R50" s="416" t="s">
        <v>615</v>
      </c>
      <c r="S50" s="550" t="e">
        <f t="shared" si="42"/>
        <v>#VALUE!</v>
      </c>
      <c r="T50" s="645"/>
      <c r="U50" s="549" t="s">
        <v>615</v>
      </c>
      <c r="V50" s="416" t="s">
        <v>615</v>
      </c>
      <c r="W50" s="416" t="s">
        <v>615</v>
      </c>
      <c r="X50" s="550" t="e">
        <f t="shared" si="44"/>
        <v>#VALUE!</v>
      </c>
      <c r="Y50" s="645"/>
      <c r="Z50" s="549" t="s">
        <v>615</v>
      </c>
      <c r="AA50" s="416" t="s">
        <v>615</v>
      </c>
      <c r="AB50" s="416" t="s">
        <v>615</v>
      </c>
      <c r="AC50" s="550" t="e">
        <f t="shared" si="46"/>
        <v>#VALUE!</v>
      </c>
      <c r="AD50" s="645"/>
      <c r="AE50" s="549" t="s">
        <v>615</v>
      </c>
      <c r="AF50" s="416" t="s">
        <v>615</v>
      </c>
      <c r="AG50" s="416" t="s">
        <v>615</v>
      </c>
      <c r="AH50" s="550" t="e">
        <f t="shared" si="48"/>
        <v>#VALUE!</v>
      </c>
      <c r="AI50" s="645"/>
      <c r="AJ50" s="549" t="s">
        <v>615</v>
      </c>
      <c r="AK50" s="416" t="s">
        <v>615</v>
      </c>
      <c r="AL50" s="416" t="s">
        <v>615</v>
      </c>
      <c r="AM50" s="550" t="e">
        <f t="shared" si="50"/>
        <v>#VALUE!</v>
      </c>
      <c r="AN50" s="645"/>
      <c r="AO50" s="549" t="s">
        <v>615</v>
      </c>
      <c r="AP50" s="416" t="s">
        <v>615</v>
      </c>
      <c r="AQ50" s="416" t="s">
        <v>615</v>
      </c>
      <c r="AR50" s="550" t="e">
        <f t="shared" si="52"/>
        <v>#VALUE!</v>
      </c>
      <c r="AS50" s="645"/>
      <c r="AT50" s="549" t="s">
        <v>615</v>
      </c>
      <c r="AU50" s="416" t="s">
        <v>615</v>
      </c>
      <c r="AV50" s="416" t="s">
        <v>615</v>
      </c>
      <c r="AW50" s="550" t="e">
        <f t="shared" si="54"/>
        <v>#VALUE!</v>
      </c>
      <c r="AX50" s="645"/>
      <c r="AZ50" s="405" t="e">
        <f t="shared" si="56"/>
        <v>#N/A</v>
      </c>
      <c r="BA50" s="645"/>
    </row>
    <row r="51" spans="2:53">
      <c r="B51" s="643"/>
      <c r="C51" s="411">
        <v>5</v>
      </c>
      <c r="D51" s="495"/>
      <c r="E51" s="495"/>
      <c r="F51" s="495"/>
      <c r="G51" s="416"/>
      <c r="H51" s="680"/>
      <c r="I51" s="413" t="str">
        <f t="shared" si="39"/>
        <v>-</v>
      </c>
      <c r="J51" s="413" t="str">
        <f t="shared" si="40"/>
        <v>-</v>
      </c>
      <c r="K51" s="199" t="str">
        <f t="shared" si="41"/>
        <v>-</v>
      </c>
      <c r="L51" s="617"/>
      <c r="M51" s="481" t="e">
        <f>RANK(K51, K$47:$K$61)</f>
        <v>#VALUE!</v>
      </c>
      <c r="N51" s="635"/>
      <c r="O51" s="635"/>
      <c r="P51" s="549" t="s">
        <v>615</v>
      </c>
      <c r="Q51" s="416" t="s">
        <v>615</v>
      </c>
      <c r="R51" s="416" t="s">
        <v>615</v>
      </c>
      <c r="S51" s="550" t="e">
        <f t="shared" si="42"/>
        <v>#VALUE!</v>
      </c>
      <c r="T51" s="645"/>
      <c r="U51" s="549" t="s">
        <v>615</v>
      </c>
      <c r="V51" s="416" t="s">
        <v>615</v>
      </c>
      <c r="W51" s="416" t="s">
        <v>615</v>
      </c>
      <c r="X51" s="550" t="e">
        <f t="shared" si="44"/>
        <v>#VALUE!</v>
      </c>
      <c r="Y51" s="645"/>
      <c r="Z51" s="549" t="s">
        <v>615</v>
      </c>
      <c r="AA51" s="416" t="s">
        <v>615</v>
      </c>
      <c r="AB51" s="416" t="s">
        <v>615</v>
      </c>
      <c r="AC51" s="550" t="e">
        <f t="shared" si="46"/>
        <v>#VALUE!</v>
      </c>
      <c r="AD51" s="645"/>
      <c r="AE51" s="549" t="s">
        <v>615</v>
      </c>
      <c r="AF51" s="416" t="s">
        <v>615</v>
      </c>
      <c r="AG51" s="416" t="s">
        <v>615</v>
      </c>
      <c r="AH51" s="550" t="e">
        <f t="shared" si="48"/>
        <v>#VALUE!</v>
      </c>
      <c r="AI51" s="645"/>
      <c r="AJ51" s="549" t="s">
        <v>615</v>
      </c>
      <c r="AK51" s="416" t="s">
        <v>615</v>
      </c>
      <c r="AL51" s="416" t="s">
        <v>615</v>
      </c>
      <c r="AM51" s="550" t="e">
        <f t="shared" si="50"/>
        <v>#VALUE!</v>
      </c>
      <c r="AN51" s="645"/>
      <c r="AO51" s="549" t="s">
        <v>615</v>
      </c>
      <c r="AP51" s="416" t="s">
        <v>615</v>
      </c>
      <c r="AQ51" s="416" t="s">
        <v>615</v>
      </c>
      <c r="AR51" s="550" t="e">
        <f t="shared" si="52"/>
        <v>#VALUE!</v>
      </c>
      <c r="AS51" s="645"/>
      <c r="AT51" s="549" t="s">
        <v>615</v>
      </c>
      <c r="AU51" s="416" t="s">
        <v>615</v>
      </c>
      <c r="AV51" s="416" t="s">
        <v>615</v>
      </c>
      <c r="AW51" s="550" t="e">
        <f t="shared" si="54"/>
        <v>#VALUE!</v>
      </c>
      <c r="AX51" s="645"/>
      <c r="AZ51" s="405" t="e">
        <f t="shared" si="56"/>
        <v>#N/A</v>
      </c>
      <c r="BA51" s="645"/>
    </row>
    <row r="52" spans="2:53">
      <c r="B52" s="643"/>
      <c r="C52" s="411">
        <v>6</v>
      </c>
      <c r="D52" s="495"/>
      <c r="E52" s="495"/>
      <c r="F52" s="495"/>
      <c r="G52" s="416"/>
      <c r="H52" s="680"/>
      <c r="I52" s="413" t="str">
        <f t="shared" si="39"/>
        <v>-</v>
      </c>
      <c r="J52" s="413" t="str">
        <f t="shared" si="40"/>
        <v>-</v>
      </c>
      <c r="K52" s="199" t="str">
        <f t="shared" si="41"/>
        <v>-</v>
      </c>
      <c r="L52" s="617"/>
      <c r="M52" s="481" t="e">
        <f>RANK(K52, K$47:$K$61)</f>
        <v>#VALUE!</v>
      </c>
      <c r="N52" s="635"/>
      <c r="O52" s="635"/>
      <c r="P52" s="549" t="s">
        <v>615</v>
      </c>
      <c r="Q52" s="416" t="s">
        <v>615</v>
      </c>
      <c r="R52" s="416" t="s">
        <v>615</v>
      </c>
      <c r="S52" s="550" t="e">
        <f t="shared" si="42"/>
        <v>#VALUE!</v>
      </c>
      <c r="T52" s="645"/>
      <c r="U52" s="549" t="s">
        <v>615</v>
      </c>
      <c r="V52" s="416" t="s">
        <v>615</v>
      </c>
      <c r="W52" s="416" t="s">
        <v>615</v>
      </c>
      <c r="X52" s="550" t="e">
        <f t="shared" si="44"/>
        <v>#VALUE!</v>
      </c>
      <c r="Y52" s="645"/>
      <c r="Z52" s="549" t="s">
        <v>615</v>
      </c>
      <c r="AA52" s="416" t="s">
        <v>615</v>
      </c>
      <c r="AB52" s="416" t="s">
        <v>615</v>
      </c>
      <c r="AC52" s="550" t="e">
        <f t="shared" si="46"/>
        <v>#VALUE!</v>
      </c>
      <c r="AD52" s="645"/>
      <c r="AE52" s="549" t="s">
        <v>615</v>
      </c>
      <c r="AF52" s="416" t="s">
        <v>615</v>
      </c>
      <c r="AG52" s="416" t="s">
        <v>615</v>
      </c>
      <c r="AH52" s="550" t="e">
        <f t="shared" si="48"/>
        <v>#VALUE!</v>
      </c>
      <c r="AI52" s="645"/>
      <c r="AJ52" s="549" t="s">
        <v>615</v>
      </c>
      <c r="AK52" s="416" t="s">
        <v>615</v>
      </c>
      <c r="AL52" s="416" t="s">
        <v>615</v>
      </c>
      <c r="AM52" s="550" t="e">
        <f t="shared" si="50"/>
        <v>#VALUE!</v>
      </c>
      <c r="AN52" s="645"/>
      <c r="AO52" s="549" t="s">
        <v>615</v>
      </c>
      <c r="AP52" s="416" t="s">
        <v>615</v>
      </c>
      <c r="AQ52" s="416" t="s">
        <v>615</v>
      </c>
      <c r="AR52" s="550" t="e">
        <f t="shared" si="52"/>
        <v>#VALUE!</v>
      </c>
      <c r="AS52" s="645"/>
      <c r="AT52" s="549" t="s">
        <v>615</v>
      </c>
      <c r="AU52" s="416" t="s">
        <v>615</v>
      </c>
      <c r="AV52" s="416" t="s">
        <v>615</v>
      </c>
      <c r="AW52" s="550" t="e">
        <f t="shared" si="54"/>
        <v>#VALUE!</v>
      </c>
      <c r="AX52" s="645"/>
      <c r="AZ52" s="405" t="e">
        <f t="shared" si="56"/>
        <v>#N/A</v>
      </c>
      <c r="BA52" s="645"/>
    </row>
    <row r="53" spans="2:53">
      <c r="B53" s="643"/>
      <c r="C53" s="411">
        <v>7</v>
      </c>
      <c r="D53" s="495"/>
      <c r="E53" s="495"/>
      <c r="F53" s="495"/>
      <c r="G53" s="416"/>
      <c r="H53" s="680"/>
      <c r="I53" s="413" t="str">
        <f t="shared" si="39"/>
        <v>-</v>
      </c>
      <c r="J53" s="413" t="str">
        <f t="shared" si="40"/>
        <v>-</v>
      </c>
      <c r="K53" s="199" t="str">
        <f t="shared" si="41"/>
        <v>-</v>
      </c>
      <c r="L53" s="617"/>
      <c r="M53" s="481" t="e">
        <f>RANK(K53, K$47:$K$61)</f>
        <v>#VALUE!</v>
      </c>
      <c r="N53" s="635"/>
      <c r="O53" s="635"/>
      <c r="P53" s="549" t="s">
        <v>615</v>
      </c>
      <c r="Q53" s="416" t="s">
        <v>615</v>
      </c>
      <c r="R53" s="416" t="s">
        <v>615</v>
      </c>
      <c r="S53" s="550" t="e">
        <f t="shared" si="42"/>
        <v>#VALUE!</v>
      </c>
      <c r="T53" s="645"/>
      <c r="U53" s="549" t="s">
        <v>615</v>
      </c>
      <c r="V53" s="416" t="s">
        <v>615</v>
      </c>
      <c r="W53" s="416" t="s">
        <v>615</v>
      </c>
      <c r="X53" s="550" t="e">
        <f t="shared" si="44"/>
        <v>#VALUE!</v>
      </c>
      <c r="Y53" s="645"/>
      <c r="Z53" s="549" t="s">
        <v>615</v>
      </c>
      <c r="AA53" s="416" t="s">
        <v>615</v>
      </c>
      <c r="AB53" s="416" t="s">
        <v>615</v>
      </c>
      <c r="AC53" s="550" t="e">
        <f t="shared" si="46"/>
        <v>#VALUE!</v>
      </c>
      <c r="AD53" s="645"/>
      <c r="AE53" s="549" t="s">
        <v>615</v>
      </c>
      <c r="AF53" s="416" t="s">
        <v>615</v>
      </c>
      <c r="AG53" s="416" t="s">
        <v>615</v>
      </c>
      <c r="AH53" s="550" t="e">
        <f t="shared" si="48"/>
        <v>#VALUE!</v>
      </c>
      <c r="AI53" s="645"/>
      <c r="AJ53" s="549" t="s">
        <v>615</v>
      </c>
      <c r="AK53" s="416" t="s">
        <v>615</v>
      </c>
      <c r="AL53" s="416" t="s">
        <v>615</v>
      </c>
      <c r="AM53" s="550" t="e">
        <f t="shared" si="50"/>
        <v>#VALUE!</v>
      </c>
      <c r="AN53" s="645"/>
      <c r="AO53" s="549" t="s">
        <v>615</v>
      </c>
      <c r="AP53" s="416" t="s">
        <v>615</v>
      </c>
      <c r="AQ53" s="416" t="s">
        <v>615</v>
      </c>
      <c r="AR53" s="550" t="e">
        <f t="shared" si="52"/>
        <v>#VALUE!</v>
      </c>
      <c r="AS53" s="645"/>
      <c r="AT53" s="549" t="s">
        <v>615</v>
      </c>
      <c r="AU53" s="416" t="s">
        <v>615</v>
      </c>
      <c r="AV53" s="416" t="s">
        <v>615</v>
      </c>
      <c r="AW53" s="550" t="e">
        <f t="shared" si="54"/>
        <v>#VALUE!</v>
      </c>
      <c r="AX53" s="645"/>
      <c r="AZ53" s="405" t="e">
        <f t="shared" si="56"/>
        <v>#N/A</v>
      </c>
      <c r="BA53" s="645"/>
    </row>
    <row r="54" spans="2:53">
      <c r="B54" s="643"/>
      <c r="C54" s="411">
        <v>8</v>
      </c>
      <c r="D54" s="495"/>
      <c r="E54" s="495"/>
      <c r="F54" s="495"/>
      <c r="G54" s="416"/>
      <c r="H54" s="680"/>
      <c r="I54" s="413" t="str">
        <f t="shared" si="39"/>
        <v>-</v>
      </c>
      <c r="J54" s="413" t="str">
        <f t="shared" si="40"/>
        <v>-</v>
      </c>
      <c r="K54" s="199" t="str">
        <f t="shared" si="41"/>
        <v>-</v>
      </c>
      <c r="L54" s="617"/>
      <c r="M54" s="481" t="e">
        <f>RANK(K54, K$47:$K$61)</f>
        <v>#VALUE!</v>
      </c>
      <c r="N54" s="635"/>
      <c r="O54" s="635"/>
      <c r="P54" s="549" t="s">
        <v>615</v>
      </c>
      <c r="Q54" s="416" t="s">
        <v>615</v>
      </c>
      <c r="R54" s="416" t="s">
        <v>615</v>
      </c>
      <c r="S54" s="550"/>
      <c r="T54" s="645"/>
      <c r="U54" s="549" t="s">
        <v>615</v>
      </c>
      <c r="V54" s="416" t="s">
        <v>615</v>
      </c>
      <c r="W54" s="416" t="s">
        <v>615</v>
      </c>
      <c r="X54" s="550"/>
      <c r="Y54" s="645"/>
      <c r="Z54" s="549" t="s">
        <v>615</v>
      </c>
      <c r="AA54" s="416" t="s">
        <v>615</v>
      </c>
      <c r="AB54" s="416" t="s">
        <v>615</v>
      </c>
      <c r="AC54" s="550"/>
      <c r="AD54" s="645"/>
      <c r="AE54" s="549" t="s">
        <v>615</v>
      </c>
      <c r="AF54" s="416" t="s">
        <v>615</v>
      </c>
      <c r="AG54" s="416" t="s">
        <v>615</v>
      </c>
      <c r="AH54" s="550"/>
      <c r="AI54" s="645"/>
      <c r="AJ54" s="549" t="s">
        <v>615</v>
      </c>
      <c r="AK54" s="416" t="s">
        <v>615</v>
      </c>
      <c r="AL54" s="416" t="s">
        <v>615</v>
      </c>
      <c r="AM54" s="550"/>
      <c r="AN54" s="645"/>
      <c r="AO54" s="549" t="s">
        <v>615</v>
      </c>
      <c r="AP54" s="416" t="s">
        <v>615</v>
      </c>
      <c r="AQ54" s="416" t="s">
        <v>615</v>
      </c>
      <c r="AR54" s="550"/>
      <c r="AS54" s="645"/>
      <c r="AT54" s="549" t="s">
        <v>615</v>
      </c>
      <c r="AU54" s="416" t="s">
        <v>615</v>
      </c>
      <c r="AV54" s="416" t="s">
        <v>615</v>
      </c>
      <c r="AW54" s="550"/>
      <c r="AX54" s="645"/>
      <c r="AZ54" s="405"/>
      <c r="BA54" s="645"/>
    </row>
    <row r="55" spans="2:53">
      <c r="B55" s="643"/>
      <c r="C55" s="411">
        <v>9</v>
      </c>
      <c r="D55" s="495"/>
      <c r="E55" s="495"/>
      <c r="F55" s="495"/>
      <c r="G55" s="416"/>
      <c r="H55" s="680"/>
      <c r="I55" s="413" t="str">
        <f t="shared" si="39"/>
        <v>-</v>
      </c>
      <c r="J55" s="413" t="str">
        <f t="shared" si="40"/>
        <v>-</v>
      </c>
      <c r="K55" s="199" t="str">
        <f t="shared" si="41"/>
        <v>-</v>
      </c>
      <c r="L55" s="617"/>
      <c r="M55" s="481" t="e">
        <f>RANK(K55, K$47:$K$61)</f>
        <v>#VALUE!</v>
      </c>
      <c r="N55" s="635"/>
      <c r="O55" s="635"/>
      <c r="P55" s="549" t="s">
        <v>615</v>
      </c>
      <c r="Q55" s="416" t="s">
        <v>615</v>
      </c>
      <c r="R55" s="416" t="s">
        <v>615</v>
      </c>
      <c r="S55" s="550"/>
      <c r="T55" s="645"/>
      <c r="U55" s="549" t="s">
        <v>615</v>
      </c>
      <c r="V55" s="416" t="s">
        <v>615</v>
      </c>
      <c r="W55" s="416" t="s">
        <v>615</v>
      </c>
      <c r="X55" s="550"/>
      <c r="Y55" s="645"/>
      <c r="Z55" s="549" t="s">
        <v>615</v>
      </c>
      <c r="AA55" s="416" t="s">
        <v>615</v>
      </c>
      <c r="AB55" s="416" t="s">
        <v>615</v>
      </c>
      <c r="AC55" s="550"/>
      <c r="AD55" s="645"/>
      <c r="AE55" s="549" t="s">
        <v>615</v>
      </c>
      <c r="AF55" s="416" t="s">
        <v>615</v>
      </c>
      <c r="AG55" s="416" t="s">
        <v>615</v>
      </c>
      <c r="AH55" s="550"/>
      <c r="AI55" s="645"/>
      <c r="AJ55" s="549" t="s">
        <v>615</v>
      </c>
      <c r="AK55" s="416" t="s">
        <v>615</v>
      </c>
      <c r="AL55" s="416" t="s">
        <v>615</v>
      </c>
      <c r="AM55" s="550"/>
      <c r="AN55" s="645"/>
      <c r="AO55" s="549" t="s">
        <v>615</v>
      </c>
      <c r="AP55" s="416" t="s">
        <v>615</v>
      </c>
      <c r="AQ55" s="416" t="s">
        <v>615</v>
      </c>
      <c r="AR55" s="550"/>
      <c r="AS55" s="645"/>
      <c r="AT55" s="549" t="s">
        <v>615</v>
      </c>
      <c r="AU55" s="416" t="s">
        <v>615</v>
      </c>
      <c r="AV55" s="416" t="s">
        <v>615</v>
      </c>
      <c r="AW55" s="550"/>
      <c r="AX55" s="645"/>
      <c r="AZ55" s="405"/>
      <c r="BA55" s="645"/>
    </row>
    <row r="56" spans="2:53">
      <c r="B56" s="643"/>
      <c r="C56" s="411">
        <v>10</v>
      </c>
      <c r="D56" s="495"/>
      <c r="E56" s="495"/>
      <c r="F56" s="495"/>
      <c r="G56" s="416"/>
      <c r="H56" s="680"/>
      <c r="I56" s="413" t="str">
        <f t="shared" si="39"/>
        <v>-</v>
      </c>
      <c r="J56" s="413" t="str">
        <f t="shared" si="40"/>
        <v>-</v>
      </c>
      <c r="K56" s="199" t="str">
        <f t="shared" si="41"/>
        <v>-</v>
      </c>
      <c r="L56" s="617"/>
      <c r="M56" s="481" t="e">
        <f>RANK(K56, K$47:$K$61)</f>
        <v>#VALUE!</v>
      </c>
      <c r="N56" s="635"/>
      <c r="O56" s="635"/>
      <c r="P56" s="549" t="s">
        <v>615</v>
      </c>
      <c r="Q56" s="416" t="s">
        <v>615</v>
      </c>
      <c r="R56" s="416" t="s">
        <v>615</v>
      </c>
      <c r="S56" s="550"/>
      <c r="T56" s="645"/>
      <c r="U56" s="549" t="s">
        <v>615</v>
      </c>
      <c r="V56" s="416" t="s">
        <v>615</v>
      </c>
      <c r="W56" s="416" t="s">
        <v>615</v>
      </c>
      <c r="X56" s="550"/>
      <c r="Y56" s="645"/>
      <c r="Z56" s="549" t="s">
        <v>615</v>
      </c>
      <c r="AA56" s="416" t="s">
        <v>615</v>
      </c>
      <c r="AB56" s="416" t="s">
        <v>615</v>
      </c>
      <c r="AC56" s="550"/>
      <c r="AD56" s="645"/>
      <c r="AE56" s="549" t="s">
        <v>615</v>
      </c>
      <c r="AF56" s="416" t="s">
        <v>615</v>
      </c>
      <c r="AG56" s="416" t="s">
        <v>615</v>
      </c>
      <c r="AH56" s="550"/>
      <c r="AI56" s="645"/>
      <c r="AJ56" s="549" t="s">
        <v>615</v>
      </c>
      <c r="AK56" s="416" t="s">
        <v>615</v>
      </c>
      <c r="AL56" s="416" t="s">
        <v>615</v>
      </c>
      <c r="AM56" s="550"/>
      <c r="AN56" s="645"/>
      <c r="AO56" s="549" t="s">
        <v>615</v>
      </c>
      <c r="AP56" s="416" t="s">
        <v>615</v>
      </c>
      <c r="AQ56" s="416" t="s">
        <v>615</v>
      </c>
      <c r="AR56" s="550"/>
      <c r="AS56" s="645"/>
      <c r="AT56" s="549" t="s">
        <v>615</v>
      </c>
      <c r="AU56" s="416" t="s">
        <v>615</v>
      </c>
      <c r="AV56" s="416" t="s">
        <v>615</v>
      </c>
      <c r="AW56" s="550"/>
      <c r="AX56" s="645"/>
      <c r="AZ56" s="405"/>
      <c r="BA56" s="645"/>
    </row>
    <row r="57" spans="2:53">
      <c r="B57" s="643"/>
      <c r="C57" s="411">
        <v>11</v>
      </c>
      <c r="D57" s="495"/>
      <c r="E57" s="495"/>
      <c r="F57" s="495"/>
      <c r="G57" s="416"/>
      <c r="H57" s="680"/>
      <c r="I57" s="413" t="str">
        <f t="shared" si="39"/>
        <v>-</v>
      </c>
      <c r="J57" s="413" t="str">
        <f t="shared" si="40"/>
        <v>-</v>
      </c>
      <c r="K57" s="199" t="str">
        <f t="shared" si="41"/>
        <v>-</v>
      </c>
      <c r="L57" s="617"/>
      <c r="M57" s="481" t="e">
        <f>RANK(K57, K$47:$K$61)</f>
        <v>#VALUE!</v>
      </c>
      <c r="N57" s="635"/>
      <c r="O57" s="635"/>
      <c r="P57" s="549" t="s">
        <v>615</v>
      </c>
      <c r="Q57" s="416" t="s">
        <v>615</v>
      </c>
      <c r="R57" s="416" t="s">
        <v>615</v>
      </c>
      <c r="S57" s="550"/>
      <c r="T57" s="645"/>
      <c r="U57" s="549" t="s">
        <v>615</v>
      </c>
      <c r="V57" s="416" t="s">
        <v>615</v>
      </c>
      <c r="W57" s="416" t="s">
        <v>615</v>
      </c>
      <c r="X57" s="550"/>
      <c r="Y57" s="645"/>
      <c r="Z57" s="549" t="s">
        <v>615</v>
      </c>
      <c r="AA57" s="416" t="s">
        <v>615</v>
      </c>
      <c r="AB57" s="416" t="s">
        <v>615</v>
      </c>
      <c r="AC57" s="550"/>
      <c r="AD57" s="645"/>
      <c r="AE57" s="549" t="s">
        <v>615</v>
      </c>
      <c r="AF57" s="416" t="s">
        <v>615</v>
      </c>
      <c r="AG57" s="416" t="s">
        <v>615</v>
      </c>
      <c r="AH57" s="550"/>
      <c r="AI57" s="645"/>
      <c r="AJ57" s="549" t="s">
        <v>615</v>
      </c>
      <c r="AK57" s="416" t="s">
        <v>615</v>
      </c>
      <c r="AL57" s="416" t="s">
        <v>615</v>
      </c>
      <c r="AM57" s="550"/>
      <c r="AN57" s="645"/>
      <c r="AO57" s="549" t="s">
        <v>615</v>
      </c>
      <c r="AP57" s="416" t="s">
        <v>615</v>
      </c>
      <c r="AQ57" s="416" t="s">
        <v>615</v>
      </c>
      <c r="AR57" s="550"/>
      <c r="AS57" s="645"/>
      <c r="AT57" s="549" t="s">
        <v>615</v>
      </c>
      <c r="AU57" s="416" t="s">
        <v>615</v>
      </c>
      <c r="AV57" s="416" t="s">
        <v>615</v>
      </c>
      <c r="AW57" s="550"/>
      <c r="AX57" s="645"/>
      <c r="AZ57" s="405"/>
      <c r="BA57" s="645"/>
    </row>
    <row r="58" spans="2:53">
      <c r="B58" s="643"/>
      <c r="C58" s="411">
        <v>12</v>
      </c>
      <c r="D58" s="495"/>
      <c r="E58" s="495"/>
      <c r="F58" s="495"/>
      <c r="G58" s="416"/>
      <c r="H58" s="680"/>
      <c r="I58" s="413" t="str">
        <f t="shared" si="39"/>
        <v>-</v>
      </c>
      <c r="J58" s="413" t="str">
        <f t="shared" si="40"/>
        <v>-</v>
      </c>
      <c r="K58" s="199" t="str">
        <f t="shared" si="41"/>
        <v>-</v>
      </c>
      <c r="L58" s="617"/>
      <c r="M58" s="481" t="e">
        <f>RANK(K58, K$47:$K$61)</f>
        <v>#VALUE!</v>
      </c>
      <c r="N58" s="635"/>
      <c r="O58" s="635"/>
      <c r="P58" s="549" t="s">
        <v>615</v>
      </c>
      <c r="Q58" s="416" t="s">
        <v>615</v>
      </c>
      <c r="R58" s="416" t="s">
        <v>615</v>
      </c>
      <c r="S58" s="550"/>
      <c r="T58" s="645"/>
      <c r="U58" s="549" t="s">
        <v>615</v>
      </c>
      <c r="V58" s="416" t="s">
        <v>615</v>
      </c>
      <c r="W58" s="416" t="s">
        <v>615</v>
      </c>
      <c r="X58" s="550"/>
      <c r="Y58" s="645"/>
      <c r="Z58" s="549" t="s">
        <v>615</v>
      </c>
      <c r="AA58" s="416" t="s">
        <v>615</v>
      </c>
      <c r="AB58" s="416" t="s">
        <v>615</v>
      </c>
      <c r="AC58" s="550"/>
      <c r="AD58" s="645"/>
      <c r="AE58" s="549" t="s">
        <v>615</v>
      </c>
      <c r="AF58" s="416" t="s">
        <v>615</v>
      </c>
      <c r="AG58" s="416" t="s">
        <v>615</v>
      </c>
      <c r="AH58" s="550"/>
      <c r="AI58" s="645"/>
      <c r="AJ58" s="549" t="s">
        <v>615</v>
      </c>
      <c r="AK58" s="416" t="s">
        <v>615</v>
      </c>
      <c r="AL58" s="416" t="s">
        <v>615</v>
      </c>
      <c r="AM58" s="550"/>
      <c r="AN58" s="645"/>
      <c r="AO58" s="549" t="s">
        <v>615</v>
      </c>
      <c r="AP58" s="416" t="s">
        <v>615</v>
      </c>
      <c r="AQ58" s="416" t="s">
        <v>615</v>
      </c>
      <c r="AR58" s="550"/>
      <c r="AS58" s="645"/>
      <c r="AT58" s="549" t="s">
        <v>615</v>
      </c>
      <c r="AU58" s="416" t="s">
        <v>615</v>
      </c>
      <c r="AV58" s="416" t="s">
        <v>615</v>
      </c>
      <c r="AW58" s="550"/>
      <c r="AX58" s="645"/>
      <c r="AZ58" s="405"/>
      <c r="BA58" s="645"/>
    </row>
    <row r="59" spans="2:53">
      <c r="B59" s="643"/>
      <c r="C59" s="411">
        <v>13</v>
      </c>
      <c r="D59" s="495"/>
      <c r="E59" s="495"/>
      <c r="F59" s="495"/>
      <c r="G59" s="416"/>
      <c r="H59" s="680"/>
      <c r="I59" s="413" t="str">
        <f t="shared" si="39"/>
        <v>-</v>
      </c>
      <c r="J59" s="413" t="str">
        <f t="shared" si="40"/>
        <v>-</v>
      </c>
      <c r="K59" s="199" t="str">
        <f t="shared" si="41"/>
        <v>-</v>
      </c>
      <c r="L59" s="617"/>
      <c r="M59" s="481" t="e">
        <f>RANK(K59, K$47:$K$61)</f>
        <v>#VALUE!</v>
      </c>
      <c r="N59" s="635"/>
      <c r="O59" s="635"/>
      <c r="P59" s="549" t="s">
        <v>615</v>
      </c>
      <c r="Q59" s="416" t="s">
        <v>615</v>
      </c>
      <c r="R59" s="416" t="s">
        <v>615</v>
      </c>
      <c r="S59" s="550"/>
      <c r="T59" s="645"/>
      <c r="U59" s="549" t="s">
        <v>615</v>
      </c>
      <c r="V59" s="416" t="s">
        <v>615</v>
      </c>
      <c r="W59" s="416" t="s">
        <v>615</v>
      </c>
      <c r="X59" s="550"/>
      <c r="Y59" s="645"/>
      <c r="Z59" s="549" t="s">
        <v>615</v>
      </c>
      <c r="AA59" s="416" t="s">
        <v>615</v>
      </c>
      <c r="AB59" s="416" t="s">
        <v>615</v>
      </c>
      <c r="AC59" s="550"/>
      <c r="AD59" s="645"/>
      <c r="AE59" s="549" t="s">
        <v>615</v>
      </c>
      <c r="AF59" s="416" t="s">
        <v>615</v>
      </c>
      <c r="AG59" s="416" t="s">
        <v>615</v>
      </c>
      <c r="AH59" s="550"/>
      <c r="AI59" s="645"/>
      <c r="AJ59" s="549" t="s">
        <v>615</v>
      </c>
      <c r="AK59" s="416" t="s">
        <v>615</v>
      </c>
      <c r="AL59" s="416" t="s">
        <v>615</v>
      </c>
      <c r="AM59" s="550"/>
      <c r="AN59" s="645"/>
      <c r="AO59" s="549" t="s">
        <v>615</v>
      </c>
      <c r="AP59" s="416" t="s">
        <v>615</v>
      </c>
      <c r="AQ59" s="416" t="s">
        <v>615</v>
      </c>
      <c r="AR59" s="550"/>
      <c r="AS59" s="645"/>
      <c r="AT59" s="549" t="s">
        <v>615</v>
      </c>
      <c r="AU59" s="416" t="s">
        <v>615</v>
      </c>
      <c r="AV59" s="416" t="s">
        <v>615</v>
      </c>
      <c r="AW59" s="550"/>
      <c r="AX59" s="645"/>
      <c r="AZ59" s="405"/>
      <c r="BA59" s="645"/>
    </row>
    <row r="60" spans="2:53">
      <c r="B60" s="643"/>
      <c r="C60" s="411">
        <v>14</v>
      </c>
      <c r="D60" s="495"/>
      <c r="E60" s="495"/>
      <c r="F60" s="495"/>
      <c r="G60" s="416"/>
      <c r="H60" s="680"/>
      <c r="I60" s="413" t="str">
        <f t="shared" si="39"/>
        <v>-</v>
      </c>
      <c r="J60" s="413" t="str">
        <f t="shared" si="40"/>
        <v>-</v>
      </c>
      <c r="K60" s="199" t="str">
        <f t="shared" si="41"/>
        <v>-</v>
      </c>
      <c r="L60" s="617"/>
      <c r="M60" s="481" t="e">
        <f>RANK(K60, K$47:$K$61)</f>
        <v>#VALUE!</v>
      </c>
      <c r="N60" s="635"/>
      <c r="O60" s="635"/>
      <c r="P60" s="549" t="s">
        <v>615</v>
      </c>
      <c r="Q60" s="416" t="s">
        <v>615</v>
      </c>
      <c r="R60" s="416" t="s">
        <v>615</v>
      </c>
      <c r="S60" s="550"/>
      <c r="T60" s="645"/>
      <c r="U60" s="549" t="s">
        <v>615</v>
      </c>
      <c r="V60" s="416" t="s">
        <v>615</v>
      </c>
      <c r="W60" s="416" t="s">
        <v>615</v>
      </c>
      <c r="X60" s="550"/>
      <c r="Y60" s="645"/>
      <c r="Z60" s="549" t="s">
        <v>615</v>
      </c>
      <c r="AA60" s="416" t="s">
        <v>615</v>
      </c>
      <c r="AB60" s="416" t="s">
        <v>615</v>
      </c>
      <c r="AC60" s="550"/>
      <c r="AD60" s="645"/>
      <c r="AE60" s="549" t="s">
        <v>615</v>
      </c>
      <c r="AF60" s="416" t="s">
        <v>615</v>
      </c>
      <c r="AG60" s="416" t="s">
        <v>615</v>
      </c>
      <c r="AH60" s="550"/>
      <c r="AI60" s="645"/>
      <c r="AJ60" s="549" t="s">
        <v>615</v>
      </c>
      <c r="AK60" s="416" t="s">
        <v>615</v>
      </c>
      <c r="AL60" s="416" t="s">
        <v>615</v>
      </c>
      <c r="AM60" s="550"/>
      <c r="AN60" s="645"/>
      <c r="AO60" s="549" t="s">
        <v>615</v>
      </c>
      <c r="AP60" s="416" t="s">
        <v>615</v>
      </c>
      <c r="AQ60" s="416" t="s">
        <v>615</v>
      </c>
      <c r="AR60" s="550"/>
      <c r="AS60" s="645"/>
      <c r="AT60" s="549" t="s">
        <v>615</v>
      </c>
      <c r="AU60" s="416" t="s">
        <v>615</v>
      </c>
      <c r="AV60" s="416" t="s">
        <v>615</v>
      </c>
      <c r="AW60" s="550"/>
      <c r="AX60" s="645"/>
      <c r="AZ60" s="405"/>
      <c r="BA60" s="645"/>
    </row>
    <row r="61" spans="2:53">
      <c r="B61" s="643"/>
      <c r="C61" s="411">
        <v>15</v>
      </c>
      <c r="D61" s="495"/>
      <c r="E61" s="495"/>
      <c r="F61" s="495"/>
      <c r="G61" s="495"/>
      <c r="H61" s="684"/>
      <c r="I61" s="413" t="str">
        <f t="shared" si="39"/>
        <v>-</v>
      </c>
      <c r="J61" s="413" t="str">
        <f t="shared" si="40"/>
        <v>-</v>
      </c>
      <c r="K61" s="199" t="str">
        <f t="shared" si="41"/>
        <v>-</v>
      </c>
      <c r="L61" s="618"/>
      <c r="M61" s="481" t="e">
        <f>RANK(K61, K$47:$K$61)</f>
        <v>#VALUE!</v>
      </c>
      <c r="N61" s="635"/>
      <c r="O61" s="635"/>
      <c r="P61" s="549" t="s">
        <v>615</v>
      </c>
      <c r="Q61" s="416" t="s">
        <v>615</v>
      </c>
      <c r="R61" s="416" t="s">
        <v>615</v>
      </c>
      <c r="S61" s="550"/>
      <c r="T61" s="646"/>
      <c r="U61" s="549" t="s">
        <v>615</v>
      </c>
      <c r="V61" s="416" t="s">
        <v>615</v>
      </c>
      <c r="W61" s="416" t="s">
        <v>615</v>
      </c>
      <c r="X61" s="550"/>
      <c r="Y61" s="646"/>
      <c r="Z61" s="549" t="s">
        <v>615</v>
      </c>
      <c r="AA61" s="416" t="s">
        <v>615</v>
      </c>
      <c r="AB61" s="416" t="s">
        <v>615</v>
      </c>
      <c r="AC61" s="550"/>
      <c r="AD61" s="646"/>
      <c r="AE61" s="549" t="s">
        <v>615</v>
      </c>
      <c r="AF61" s="416" t="s">
        <v>615</v>
      </c>
      <c r="AG61" s="416" t="s">
        <v>615</v>
      </c>
      <c r="AH61" s="550"/>
      <c r="AI61" s="646"/>
      <c r="AJ61" s="549" t="s">
        <v>615</v>
      </c>
      <c r="AK61" s="416" t="s">
        <v>615</v>
      </c>
      <c r="AL61" s="416" t="s">
        <v>615</v>
      </c>
      <c r="AM61" s="550"/>
      <c r="AN61" s="646"/>
      <c r="AO61" s="549" t="s">
        <v>615</v>
      </c>
      <c r="AP61" s="416" t="s">
        <v>615</v>
      </c>
      <c r="AQ61" s="416" t="s">
        <v>615</v>
      </c>
      <c r="AR61" s="550"/>
      <c r="AS61" s="646"/>
      <c r="AT61" s="549" t="s">
        <v>615</v>
      </c>
      <c r="AU61" s="416" t="s">
        <v>615</v>
      </c>
      <c r="AV61" s="416" t="s">
        <v>615</v>
      </c>
      <c r="AW61" s="550"/>
      <c r="AX61" s="646"/>
      <c r="AZ61" s="405"/>
      <c r="BA61" s="646"/>
    </row>
    <row r="62" spans="2:53" ht="15.75">
      <c r="B62" s="647" t="s">
        <v>163</v>
      </c>
      <c r="C62" s="648"/>
      <c r="D62" s="648"/>
      <c r="E62" s="648"/>
      <c r="F62" s="648"/>
      <c r="G62" s="648"/>
      <c r="H62" s="649"/>
      <c r="I62" s="207"/>
      <c r="J62" s="207"/>
      <c r="K62" s="207"/>
      <c r="L62" s="207"/>
      <c r="M62" s="206"/>
      <c r="N62" s="636" t="s">
        <v>156</v>
      </c>
      <c r="O62" s="636" t="s">
        <v>105</v>
      </c>
      <c r="P62" s="642">
        <f>P42+7</f>
        <v>46189</v>
      </c>
      <c r="Q62" s="643"/>
      <c r="R62" s="643"/>
      <c r="S62" s="643"/>
      <c r="T62" s="643"/>
      <c r="U62" s="639">
        <f>P62+1</f>
        <v>46190</v>
      </c>
      <c r="V62" s="640"/>
      <c r="W62" s="640"/>
      <c r="X62" s="640"/>
      <c r="Y62" s="641"/>
      <c r="Z62" s="639">
        <f>U62+1</f>
        <v>46191</v>
      </c>
      <c r="AA62" s="640"/>
      <c r="AB62" s="640"/>
      <c r="AC62" s="640"/>
      <c r="AD62" s="641"/>
      <c r="AE62" s="639">
        <f>Z62+1</f>
        <v>46192</v>
      </c>
      <c r="AF62" s="640"/>
      <c r="AG62" s="640"/>
      <c r="AH62" s="640"/>
      <c r="AI62" s="641"/>
      <c r="AJ62" s="639">
        <f>AE62+1</f>
        <v>46193</v>
      </c>
      <c r="AK62" s="640"/>
      <c r="AL62" s="640"/>
      <c r="AM62" s="640"/>
      <c r="AN62" s="641"/>
      <c r="AO62" s="639">
        <f>AJ62+1</f>
        <v>46194</v>
      </c>
      <c r="AP62" s="640"/>
      <c r="AQ62" s="640"/>
      <c r="AR62" s="640"/>
      <c r="AS62" s="641"/>
      <c r="AT62" s="639">
        <f>AO62+1</f>
        <v>46195</v>
      </c>
      <c r="AU62" s="640"/>
      <c r="AV62" s="640"/>
      <c r="AW62" s="640"/>
      <c r="AX62" s="641"/>
    </row>
    <row r="63" spans="2:53" ht="15.75">
      <c r="B63" s="650"/>
      <c r="C63" s="650"/>
      <c r="D63" s="650"/>
      <c r="E63" s="650"/>
      <c r="F63" s="650"/>
      <c r="G63" s="650"/>
      <c r="H63" s="650"/>
      <c r="I63" s="204"/>
      <c r="J63" s="204"/>
      <c r="K63" s="204"/>
      <c r="L63" s="204"/>
      <c r="M63" s="205"/>
      <c r="N63" s="638"/>
      <c r="O63" s="638"/>
      <c r="P63" s="642" t="s">
        <v>318</v>
      </c>
      <c r="Q63" s="643"/>
      <c r="R63" s="643"/>
      <c r="S63" s="643"/>
      <c r="T63" s="643"/>
      <c r="U63" s="642" t="s">
        <v>319</v>
      </c>
      <c r="V63" s="643"/>
      <c r="W63" s="643"/>
      <c r="X63" s="643"/>
      <c r="Y63" s="643"/>
      <c r="Z63" s="642" t="s">
        <v>320</v>
      </c>
      <c r="AA63" s="643"/>
      <c r="AB63" s="643"/>
      <c r="AC63" s="643"/>
      <c r="AD63" s="643"/>
      <c r="AE63" s="642" t="s">
        <v>321</v>
      </c>
      <c r="AF63" s="643"/>
      <c r="AG63" s="643"/>
      <c r="AH63" s="643"/>
      <c r="AI63" s="643"/>
      <c r="AJ63" s="642" t="s">
        <v>322</v>
      </c>
      <c r="AK63" s="643"/>
      <c r="AL63" s="643"/>
      <c r="AM63" s="643"/>
      <c r="AN63" s="643"/>
      <c r="AO63" s="642" t="s">
        <v>323</v>
      </c>
      <c r="AP63" s="643"/>
      <c r="AQ63" s="643"/>
      <c r="AR63" s="643"/>
      <c r="AS63" s="643"/>
      <c r="AT63" s="642" t="s">
        <v>324</v>
      </c>
      <c r="AU63" s="643"/>
      <c r="AV63" s="643"/>
      <c r="AW63" s="643"/>
      <c r="AX63" s="643"/>
    </row>
    <row r="64" spans="2:53">
      <c r="B64" s="635" t="s">
        <v>374</v>
      </c>
      <c r="C64" s="635" t="s">
        <v>384</v>
      </c>
      <c r="D64" s="635"/>
      <c r="E64" s="635" t="s">
        <v>375</v>
      </c>
      <c r="F64" s="635"/>
      <c r="G64" s="635"/>
      <c r="H64" s="651" t="s">
        <v>371</v>
      </c>
      <c r="I64" s="635" t="s">
        <v>376</v>
      </c>
      <c r="J64" s="635"/>
      <c r="K64" s="635"/>
      <c r="L64" s="651" t="s">
        <v>371</v>
      </c>
      <c r="M64" s="636" t="s">
        <v>372</v>
      </c>
      <c r="N64" s="635"/>
      <c r="O64" s="635" t="s">
        <v>377</v>
      </c>
      <c r="P64" s="632" t="s">
        <v>373</v>
      </c>
      <c r="Q64" s="633"/>
      <c r="R64" s="633"/>
      <c r="S64" s="634"/>
      <c r="T64" s="635" t="s">
        <v>371</v>
      </c>
      <c r="U64" s="632" t="s">
        <v>373</v>
      </c>
      <c r="V64" s="633"/>
      <c r="W64" s="633"/>
      <c r="X64" s="634"/>
      <c r="Y64" s="635" t="s">
        <v>371</v>
      </c>
      <c r="Z64" s="632" t="s">
        <v>373</v>
      </c>
      <c r="AA64" s="633"/>
      <c r="AB64" s="633"/>
      <c r="AC64" s="634"/>
      <c r="AD64" s="635" t="s">
        <v>371</v>
      </c>
      <c r="AE64" s="632" t="s">
        <v>373</v>
      </c>
      <c r="AF64" s="633"/>
      <c r="AG64" s="633"/>
      <c r="AH64" s="634"/>
      <c r="AI64" s="635" t="s">
        <v>371</v>
      </c>
      <c r="AJ64" s="632" t="s">
        <v>373</v>
      </c>
      <c r="AK64" s="633"/>
      <c r="AL64" s="633"/>
      <c r="AM64" s="634"/>
      <c r="AN64" s="635" t="s">
        <v>371</v>
      </c>
      <c r="AO64" s="632" t="s">
        <v>373</v>
      </c>
      <c r="AP64" s="633"/>
      <c r="AQ64" s="633"/>
      <c r="AR64" s="634"/>
      <c r="AS64" s="635" t="s">
        <v>371</v>
      </c>
      <c r="AT64" s="632" t="s">
        <v>373</v>
      </c>
      <c r="AU64" s="633"/>
      <c r="AV64" s="633"/>
      <c r="AW64" s="634"/>
      <c r="AX64" s="635" t="s">
        <v>371</v>
      </c>
      <c r="BA64" s="635" t="s">
        <v>371</v>
      </c>
    </row>
    <row r="65" spans="2:53">
      <c r="B65" s="635"/>
      <c r="C65" s="635"/>
      <c r="D65" s="635"/>
      <c r="E65" s="635" t="s">
        <v>378</v>
      </c>
      <c r="F65" s="635"/>
      <c r="G65" s="635"/>
      <c r="H65" s="652"/>
      <c r="I65" s="635" t="s">
        <v>378</v>
      </c>
      <c r="J65" s="635"/>
      <c r="K65" s="635"/>
      <c r="L65" s="652"/>
      <c r="M65" s="637"/>
      <c r="N65" s="635"/>
      <c r="O65" s="635"/>
      <c r="P65" s="632" t="s">
        <v>379</v>
      </c>
      <c r="Q65" s="633"/>
      <c r="R65" s="633"/>
      <c r="S65" s="634"/>
      <c r="T65" s="635"/>
      <c r="U65" s="632" t="s">
        <v>379</v>
      </c>
      <c r="V65" s="633"/>
      <c r="W65" s="633"/>
      <c r="X65" s="634"/>
      <c r="Y65" s="635"/>
      <c r="Z65" s="632" t="s">
        <v>379</v>
      </c>
      <c r="AA65" s="633"/>
      <c r="AB65" s="633"/>
      <c r="AC65" s="634"/>
      <c r="AD65" s="635"/>
      <c r="AE65" s="632" t="s">
        <v>379</v>
      </c>
      <c r="AF65" s="633"/>
      <c r="AG65" s="633"/>
      <c r="AH65" s="634"/>
      <c r="AI65" s="635"/>
      <c r="AJ65" s="632" t="s">
        <v>379</v>
      </c>
      <c r="AK65" s="633"/>
      <c r="AL65" s="633"/>
      <c r="AM65" s="634"/>
      <c r="AN65" s="635"/>
      <c r="AO65" s="632" t="s">
        <v>379</v>
      </c>
      <c r="AP65" s="633"/>
      <c r="AQ65" s="633"/>
      <c r="AR65" s="634"/>
      <c r="AS65" s="635"/>
      <c r="AT65" s="632" t="s">
        <v>379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408" t="s">
        <v>380</v>
      </c>
      <c r="F66" s="408" t="s">
        <v>381</v>
      </c>
      <c r="G66" s="408" t="s">
        <v>382</v>
      </c>
      <c r="H66" s="653"/>
      <c r="I66" s="408" t="s">
        <v>380</v>
      </c>
      <c r="J66" s="408" t="s">
        <v>381</v>
      </c>
      <c r="K66" s="408" t="s">
        <v>382</v>
      </c>
      <c r="L66" s="653"/>
      <c r="M66" s="638"/>
      <c r="N66" s="635"/>
      <c r="O66" s="635"/>
      <c r="P66" s="408" t="s">
        <v>380</v>
      </c>
      <c r="Q66" s="408" t="s">
        <v>381</v>
      </c>
      <c r="R66" s="408" t="s">
        <v>382</v>
      </c>
      <c r="S66" s="408" t="s">
        <v>372</v>
      </c>
      <c r="T66" s="635"/>
      <c r="U66" s="408" t="s">
        <v>380</v>
      </c>
      <c r="V66" s="408" t="s">
        <v>381</v>
      </c>
      <c r="W66" s="408" t="s">
        <v>382</v>
      </c>
      <c r="X66" s="408" t="s">
        <v>372</v>
      </c>
      <c r="Y66" s="635"/>
      <c r="Z66" s="408" t="s">
        <v>380</v>
      </c>
      <c r="AA66" s="408" t="s">
        <v>381</v>
      </c>
      <c r="AB66" s="408" t="s">
        <v>382</v>
      </c>
      <c r="AC66" s="408" t="s">
        <v>372</v>
      </c>
      <c r="AD66" s="635"/>
      <c r="AE66" s="408" t="s">
        <v>380</v>
      </c>
      <c r="AF66" s="408" t="s">
        <v>381</v>
      </c>
      <c r="AG66" s="408" t="s">
        <v>382</v>
      </c>
      <c r="AH66" s="408" t="s">
        <v>372</v>
      </c>
      <c r="AI66" s="635"/>
      <c r="AJ66" s="408" t="s">
        <v>380</v>
      </c>
      <c r="AK66" s="408" t="s">
        <v>381</v>
      </c>
      <c r="AL66" s="408" t="s">
        <v>382</v>
      </c>
      <c r="AM66" s="408" t="s">
        <v>372</v>
      </c>
      <c r="AN66" s="635"/>
      <c r="AO66" s="408" t="s">
        <v>380</v>
      </c>
      <c r="AP66" s="408" t="s">
        <v>381</v>
      </c>
      <c r="AQ66" s="408" t="s">
        <v>382</v>
      </c>
      <c r="AR66" s="408" t="s">
        <v>372</v>
      </c>
      <c r="AS66" s="635"/>
      <c r="AT66" s="408" t="s">
        <v>380</v>
      </c>
      <c r="AU66" s="408" t="s">
        <v>381</v>
      </c>
      <c r="AV66" s="408" t="s">
        <v>382</v>
      </c>
      <c r="AW66" s="408" t="s">
        <v>372</v>
      </c>
      <c r="AX66" s="635"/>
      <c r="AZ66" s="403" t="s">
        <v>372</v>
      </c>
      <c r="BA66" s="635"/>
    </row>
    <row r="67" spans="2:53">
      <c r="B67" s="683" t="s">
        <v>396</v>
      </c>
      <c r="C67" s="411">
        <v>1</v>
      </c>
      <c r="D67" s="409"/>
      <c r="E67" s="409"/>
      <c r="F67" s="409"/>
      <c r="G67" s="416"/>
      <c r="H67" s="679" t="e">
        <f>AVERAGE(G67:G81)</f>
        <v>#DIV/0!</v>
      </c>
      <c r="I67" s="413" t="str">
        <f t="shared" ref="I67:I81" si="58">IFERROR(AVERAGE(P67,U67,Z67,AE67,AJ67,AO67,AT67),"-")</f>
        <v>-</v>
      </c>
      <c r="J67" s="413" t="str">
        <f t="shared" ref="J67:J81" si="59">IFERROR(AVERAGE(Q67,V67,AA67,AF67,AK67,AP67,AU67),"-")</f>
        <v>-</v>
      </c>
      <c r="K67" s="199" t="str">
        <f t="shared" ref="K67:K81" si="60">IFERROR(AVERAGE(R67,W67,AB67,AG67,AL67,AQ67,AV67),"-")</f>
        <v>-</v>
      </c>
      <c r="L67" s="616" t="str">
        <f>IFERROR(AVERAGE(K67:K81),"-")</f>
        <v>-</v>
      </c>
      <c r="M67" s="417" t="e">
        <f>RANK(K67, K$67:$K$81)</f>
        <v>#VALUE!</v>
      </c>
      <c r="N67" s="635"/>
      <c r="O67" s="635"/>
      <c r="P67" s="482"/>
      <c r="Q67" s="416"/>
      <c r="R67" s="416"/>
      <c r="S67" s="483"/>
      <c r="T67" s="644"/>
      <c r="U67" s="482"/>
      <c r="V67" s="416"/>
      <c r="W67" s="416"/>
      <c r="X67" s="483"/>
      <c r="Y67" s="644"/>
      <c r="Z67" s="482"/>
      <c r="AA67" s="416"/>
      <c r="AB67" s="416"/>
      <c r="AC67" s="483"/>
      <c r="AD67" s="644"/>
      <c r="AE67" s="482"/>
      <c r="AF67" s="416"/>
      <c r="AG67" s="416"/>
      <c r="AH67" s="483"/>
      <c r="AI67" s="644"/>
      <c r="AJ67" s="482"/>
      <c r="AK67" s="416"/>
      <c r="AL67" s="416"/>
      <c r="AM67" s="483"/>
      <c r="AN67" s="644"/>
      <c r="AO67" s="482"/>
      <c r="AP67" s="416"/>
      <c r="AQ67" s="416"/>
      <c r="AR67" s="483"/>
      <c r="AS67" s="644"/>
      <c r="AT67" s="482"/>
      <c r="AU67" s="416"/>
      <c r="AV67" s="416"/>
      <c r="AW67" s="483"/>
      <c r="AX67" s="644"/>
      <c r="AZ67" s="405" t="e">
        <f t="shared" ref="AZ67:AZ81" si="61">RANK(AY67, AY$67:AY$81)</f>
        <v>#N/A</v>
      </c>
      <c r="BA67" s="644" t="e">
        <f t="shared" ref="BA67" si="62">AVERAGE(AY67:AY81)</f>
        <v>#DIV/0!</v>
      </c>
    </row>
    <row r="68" spans="2:53">
      <c r="B68" s="643"/>
      <c r="C68" s="411">
        <v>2</v>
      </c>
      <c r="D68" s="409"/>
      <c r="E68" s="409"/>
      <c r="F68" s="409"/>
      <c r="G68" s="416"/>
      <c r="H68" s="680"/>
      <c r="I68" s="413" t="str">
        <f t="shared" si="58"/>
        <v>-</v>
      </c>
      <c r="J68" s="413" t="str">
        <f t="shared" si="59"/>
        <v>-</v>
      </c>
      <c r="K68" s="199" t="str">
        <f t="shared" si="60"/>
        <v>-</v>
      </c>
      <c r="L68" s="617"/>
      <c r="M68" s="489" t="e">
        <f>RANK(K68, K$67:$K$81)</f>
        <v>#VALUE!</v>
      </c>
      <c r="N68" s="635"/>
      <c r="O68" s="635"/>
      <c r="P68" s="482"/>
      <c r="Q68" s="416"/>
      <c r="R68" s="416"/>
      <c r="S68" s="483"/>
      <c r="T68" s="645"/>
      <c r="U68" s="482"/>
      <c r="V68" s="416"/>
      <c r="W68" s="416"/>
      <c r="X68" s="483"/>
      <c r="Y68" s="645"/>
      <c r="Z68" s="482"/>
      <c r="AA68" s="416"/>
      <c r="AB68" s="416"/>
      <c r="AC68" s="483"/>
      <c r="AD68" s="645"/>
      <c r="AE68" s="482"/>
      <c r="AF68" s="416"/>
      <c r="AG68" s="416"/>
      <c r="AH68" s="483"/>
      <c r="AI68" s="645"/>
      <c r="AJ68" s="482"/>
      <c r="AK68" s="416"/>
      <c r="AL68" s="416"/>
      <c r="AM68" s="483"/>
      <c r="AN68" s="645"/>
      <c r="AO68" s="482"/>
      <c r="AP68" s="416"/>
      <c r="AQ68" s="416"/>
      <c r="AR68" s="483"/>
      <c r="AS68" s="645"/>
      <c r="AT68" s="482"/>
      <c r="AU68" s="416"/>
      <c r="AV68" s="416"/>
      <c r="AW68" s="483"/>
      <c r="AX68" s="645"/>
      <c r="AZ68" s="405" t="e">
        <f t="shared" si="61"/>
        <v>#N/A</v>
      </c>
      <c r="BA68" s="645"/>
    </row>
    <row r="69" spans="2:53">
      <c r="B69" s="643"/>
      <c r="C69" s="411">
        <v>3</v>
      </c>
      <c r="D69" s="409"/>
      <c r="E69" s="409"/>
      <c r="F69" s="409"/>
      <c r="G69" s="416"/>
      <c r="H69" s="680"/>
      <c r="I69" s="413" t="str">
        <f t="shared" si="58"/>
        <v>-</v>
      </c>
      <c r="J69" s="413" t="str">
        <f t="shared" si="59"/>
        <v>-</v>
      </c>
      <c r="K69" s="199" t="str">
        <f t="shared" si="60"/>
        <v>-</v>
      </c>
      <c r="L69" s="617"/>
      <c r="M69" s="489" t="e">
        <f>RANK(K69, K$67:$K$81)</f>
        <v>#VALUE!</v>
      </c>
      <c r="N69" s="635"/>
      <c r="O69" s="635"/>
      <c r="P69" s="482"/>
      <c r="Q69" s="416"/>
      <c r="R69" s="416"/>
      <c r="S69" s="483"/>
      <c r="T69" s="645"/>
      <c r="U69" s="482"/>
      <c r="V69" s="416"/>
      <c r="W69" s="416"/>
      <c r="X69" s="483"/>
      <c r="Y69" s="645"/>
      <c r="Z69" s="482"/>
      <c r="AA69" s="416"/>
      <c r="AB69" s="416"/>
      <c r="AC69" s="483"/>
      <c r="AD69" s="645"/>
      <c r="AE69" s="482"/>
      <c r="AF69" s="416"/>
      <c r="AG69" s="416"/>
      <c r="AH69" s="483"/>
      <c r="AI69" s="645"/>
      <c r="AJ69" s="482"/>
      <c r="AK69" s="416"/>
      <c r="AL69" s="416"/>
      <c r="AM69" s="483"/>
      <c r="AN69" s="645"/>
      <c r="AO69" s="482"/>
      <c r="AP69" s="416"/>
      <c r="AQ69" s="416"/>
      <c r="AR69" s="483"/>
      <c r="AS69" s="645"/>
      <c r="AT69" s="482"/>
      <c r="AU69" s="416"/>
      <c r="AV69" s="416"/>
      <c r="AW69" s="483"/>
      <c r="AX69" s="645"/>
      <c r="AZ69" s="405" t="e">
        <f t="shared" si="61"/>
        <v>#N/A</v>
      </c>
      <c r="BA69" s="645"/>
    </row>
    <row r="70" spans="2:53">
      <c r="B70" s="643"/>
      <c r="C70" s="411">
        <v>4</v>
      </c>
      <c r="D70" s="409"/>
      <c r="E70" s="409"/>
      <c r="F70" s="409"/>
      <c r="G70" s="416"/>
      <c r="H70" s="680"/>
      <c r="I70" s="413" t="str">
        <f t="shared" si="58"/>
        <v>-</v>
      </c>
      <c r="J70" s="413" t="str">
        <f t="shared" si="59"/>
        <v>-</v>
      </c>
      <c r="K70" s="199" t="str">
        <f t="shared" si="60"/>
        <v>-</v>
      </c>
      <c r="L70" s="617"/>
      <c r="M70" s="489" t="e">
        <f>RANK(K70, K$67:$K$81)</f>
        <v>#VALUE!</v>
      </c>
      <c r="N70" s="635"/>
      <c r="O70" s="635"/>
      <c r="P70" s="482"/>
      <c r="Q70" s="416"/>
      <c r="R70" s="416"/>
      <c r="S70" s="483"/>
      <c r="T70" s="645"/>
      <c r="U70" s="482"/>
      <c r="V70" s="416"/>
      <c r="W70" s="416"/>
      <c r="X70" s="483"/>
      <c r="Y70" s="645"/>
      <c r="Z70" s="482"/>
      <c r="AA70" s="416"/>
      <c r="AB70" s="416"/>
      <c r="AC70" s="483"/>
      <c r="AD70" s="645"/>
      <c r="AE70" s="482"/>
      <c r="AF70" s="416"/>
      <c r="AG70" s="416"/>
      <c r="AH70" s="483"/>
      <c r="AI70" s="645"/>
      <c r="AJ70" s="482"/>
      <c r="AK70" s="416"/>
      <c r="AL70" s="416"/>
      <c r="AM70" s="483"/>
      <c r="AN70" s="645"/>
      <c r="AO70" s="482"/>
      <c r="AP70" s="416"/>
      <c r="AQ70" s="416"/>
      <c r="AR70" s="483"/>
      <c r="AS70" s="645"/>
      <c r="AT70" s="482"/>
      <c r="AU70" s="416"/>
      <c r="AV70" s="416"/>
      <c r="AW70" s="483"/>
      <c r="AX70" s="645"/>
      <c r="AZ70" s="405" t="e">
        <f t="shared" si="61"/>
        <v>#N/A</v>
      </c>
      <c r="BA70" s="645"/>
    </row>
    <row r="71" spans="2:53">
      <c r="B71" s="643"/>
      <c r="C71" s="411">
        <v>5</v>
      </c>
      <c r="D71" s="409"/>
      <c r="E71" s="409"/>
      <c r="F71" s="409"/>
      <c r="G71" s="416"/>
      <c r="H71" s="680"/>
      <c r="I71" s="413" t="str">
        <f t="shared" si="58"/>
        <v>-</v>
      </c>
      <c r="J71" s="413" t="str">
        <f t="shared" si="59"/>
        <v>-</v>
      </c>
      <c r="K71" s="199" t="str">
        <f t="shared" si="60"/>
        <v>-</v>
      </c>
      <c r="L71" s="617"/>
      <c r="M71" s="489" t="e">
        <f>RANK(K71, K$67:$K$81)</f>
        <v>#VALUE!</v>
      </c>
      <c r="N71" s="635"/>
      <c r="O71" s="635"/>
      <c r="P71" s="482"/>
      <c r="Q71" s="416"/>
      <c r="R71" s="416"/>
      <c r="S71" s="483"/>
      <c r="T71" s="645"/>
      <c r="U71" s="482"/>
      <c r="V71" s="416"/>
      <c r="W71" s="416"/>
      <c r="X71" s="483"/>
      <c r="Y71" s="645"/>
      <c r="Z71" s="482"/>
      <c r="AA71" s="416"/>
      <c r="AB71" s="416"/>
      <c r="AC71" s="483"/>
      <c r="AD71" s="645"/>
      <c r="AE71" s="482"/>
      <c r="AF71" s="416"/>
      <c r="AG71" s="416"/>
      <c r="AH71" s="483"/>
      <c r="AI71" s="645"/>
      <c r="AJ71" s="482"/>
      <c r="AK71" s="416"/>
      <c r="AL71" s="416"/>
      <c r="AM71" s="483"/>
      <c r="AN71" s="645"/>
      <c r="AO71" s="482"/>
      <c r="AP71" s="416"/>
      <c r="AQ71" s="416"/>
      <c r="AR71" s="483"/>
      <c r="AS71" s="645"/>
      <c r="AT71" s="482"/>
      <c r="AU71" s="416"/>
      <c r="AV71" s="416"/>
      <c r="AW71" s="483"/>
      <c r="AX71" s="645"/>
      <c r="AZ71" s="405" t="e">
        <f t="shared" si="61"/>
        <v>#N/A</v>
      </c>
      <c r="BA71" s="645"/>
    </row>
    <row r="72" spans="2:53">
      <c r="B72" s="643"/>
      <c r="C72" s="411">
        <v>6</v>
      </c>
      <c r="D72" s="409"/>
      <c r="E72" s="409"/>
      <c r="F72" s="409"/>
      <c r="G72" s="416"/>
      <c r="H72" s="680"/>
      <c r="I72" s="413" t="str">
        <f t="shared" si="58"/>
        <v>-</v>
      </c>
      <c r="J72" s="413" t="str">
        <f t="shared" si="59"/>
        <v>-</v>
      </c>
      <c r="K72" s="199" t="str">
        <f t="shared" si="60"/>
        <v>-</v>
      </c>
      <c r="L72" s="617"/>
      <c r="M72" s="489" t="e">
        <f>RANK(K72, K$67:$K$81)</f>
        <v>#VALUE!</v>
      </c>
      <c r="N72" s="635"/>
      <c r="O72" s="635"/>
      <c r="P72" s="482"/>
      <c r="Q72" s="416"/>
      <c r="R72" s="416"/>
      <c r="S72" s="483"/>
      <c r="T72" s="645"/>
      <c r="U72" s="482"/>
      <c r="V72" s="416"/>
      <c r="W72" s="416"/>
      <c r="X72" s="483"/>
      <c r="Y72" s="645"/>
      <c r="Z72" s="482"/>
      <c r="AA72" s="416"/>
      <c r="AB72" s="416"/>
      <c r="AC72" s="483"/>
      <c r="AD72" s="645"/>
      <c r="AE72" s="482"/>
      <c r="AF72" s="416"/>
      <c r="AG72" s="416"/>
      <c r="AH72" s="483"/>
      <c r="AI72" s="645"/>
      <c r="AJ72" s="482"/>
      <c r="AK72" s="416"/>
      <c r="AL72" s="416"/>
      <c r="AM72" s="483"/>
      <c r="AN72" s="645"/>
      <c r="AO72" s="482"/>
      <c r="AP72" s="416"/>
      <c r="AQ72" s="416"/>
      <c r="AR72" s="483"/>
      <c r="AS72" s="645"/>
      <c r="AT72" s="482"/>
      <c r="AU72" s="416"/>
      <c r="AV72" s="416"/>
      <c r="AW72" s="483"/>
      <c r="AX72" s="645"/>
      <c r="AZ72" s="405" t="e">
        <f t="shared" si="61"/>
        <v>#N/A</v>
      </c>
      <c r="BA72" s="645"/>
    </row>
    <row r="73" spans="2:53">
      <c r="B73" s="643"/>
      <c r="C73" s="411">
        <v>7</v>
      </c>
      <c r="D73" s="409"/>
      <c r="E73" s="409"/>
      <c r="F73" s="409"/>
      <c r="G73" s="416"/>
      <c r="H73" s="680"/>
      <c r="I73" s="413" t="str">
        <f t="shared" si="58"/>
        <v>-</v>
      </c>
      <c r="J73" s="413" t="str">
        <f t="shared" si="59"/>
        <v>-</v>
      </c>
      <c r="K73" s="199" t="str">
        <f t="shared" si="60"/>
        <v>-</v>
      </c>
      <c r="L73" s="617"/>
      <c r="M73" s="489" t="e">
        <f>RANK(K73, K$67:$K$81)</f>
        <v>#VALUE!</v>
      </c>
      <c r="N73" s="635"/>
      <c r="O73" s="635"/>
      <c r="P73" s="482"/>
      <c r="Q73" s="416"/>
      <c r="R73" s="416"/>
      <c r="S73" s="483"/>
      <c r="T73" s="645"/>
      <c r="U73" s="482"/>
      <c r="V73" s="416"/>
      <c r="W73" s="416"/>
      <c r="X73" s="483"/>
      <c r="Y73" s="645"/>
      <c r="Z73" s="482"/>
      <c r="AA73" s="416"/>
      <c r="AB73" s="416"/>
      <c r="AC73" s="483"/>
      <c r="AD73" s="645"/>
      <c r="AE73" s="482"/>
      <c r="AF73" s="416"/>
      <c r="AG73" s="416"/>
      <c r="AH73" s="483"/>
      <c r="AI73" s="645"/>
      <c r="AJ73" s="482"/>
      <c r="AK73" s="416"/>
      <c r="AL73" s="416"/>
      <c r="AM73" s="483"/>
      <c r="AN73" s="645"/>
      <c r="AO73" s="482"/>
      <c r="AP73" s="416"/>
      <c r="AQ73" s="416"/>
      <c r="AR73" s="483"/>
      <c r="AS73" s="645"/>
      <c r="AT73" s="482"/>
      <c r="AU73" s="416"/>
      <c r="AV73" s="416"/>
      <c r="AW73" s="483"/>
      <c r="AX73" s="645"/>
      <c r="AZ73" s="405" t="e">
        <f t="shared" si="61"/>
        <v>#N/A</v>
      </c>
      <c r="BA73" s="645"/>
    </row>
    <row r="74" spans="2:53">
      <c r="B74" s="643"/>
      <c r="C74" s="411">
        <v>8</v>
      </c>
      <c r="D74" s="409"/>
      <c r="E74" s="409"/>
      <c r="F74" s="409"/>
      <c r="G74" s="416"/>
      <c r="H74" s="680"/>
      <c r="I74" s="413" t="str">
        <f t="shared" si="58"/>
        <v>-</v>
      </c>
      <c r="J74" s="413" t="str">
        <f t="shared" si="59"/>
        <v>-</v>
      </c>
      <c r="K74" s="199" t="str">
        <f t="shared" si="60"/>
        <v>-</v>
      </c>
      <c r="L74" s="617"/>
      <c r="M74" s="489" t="e">
        <f>RANK(K74, K$67:$K$81)</f>
        <v>#VALUE!</v>
      </c>
      <c r="N74" s="635"/>
      <c r="O74" s="635"/>
      <c r="P74" s="482"/>
      <c r="Q74" s="416"/>
      <c r="R74" s="416"/>
      <c r="S74" s="483"/>
      <c r="T74" s="645"/>
      <c r="U74" s="482"/>
      <c r="V74" s="416"/>
      <c r="W74" s="416"/>
      <c r="X74" s="483"/>
      <c r="Y74" s="645"/>
      <c r="Z74" s="482"/>
      <c r="AA74" s="416"/>
      <c r="AB74" s="416"/>
      <c r="AC74" s="483"/>
      <c r="AD74" s="645"/>
      <c r="AE74" s="482"/>
      <c r="AF74" s="416"/>
      <c r="AG74" s="416"/>
      <c r="AH74" s="483"/>
      <c r="AI74" s="645"/>
      <c r="AJ74" s="482"/>
      <c r="AK74" s="416"/>
      <c r="AL74" s="416"/>
      <c r="AM74" s="483"/>
      <c r="AN74" s="645"/>
      <c r="AO74" s="482"/>
      <c r="AP74" s="416"/>
      <c r="AQ74" s="416"/>
      <c r="AR74" s="483"/>
      <c r="AS74" s="645"/>
      <c r="AT74" s="482"/>
      <c r="AU74" s="416"/>
      <c r="AV74" s="416"/>
      <c r="AW74" s="483"/>
      <c r="AX74" s="645"/>
      <c r="AZ74" s="405" t="e">
        <f t="shared" si="61"/>
        <v>#N/A</v>
      </c>
      <c r="BA74" s="645"/>
    </row>
    <row r="75" spans="2:53">
      <c r="B75" s="643"/>
      <c r="C75" s="411">
        <v>9</v>
      </c>
      <c r="D75" s="409"/>
      <c r="E75" s="409"/>
      <c r="F75" s="409"/>
      <c r="G75" s="416"/>
      <c r="H75" s="680"/>
      <c r="I75" s="413" t="str">
        <f t="shared" si="58"/>
        <v>-</v>
      </c>
      <c r="J75" s="413" t="str">
        <f t="shared" si="59"/>
        <v>-</v>
      </c>
      <c r="K75" s="199" t="str">
        <f t="shared" si="60"/>
        <v>-</v>
      </c>
      <c r="L75" s="617"/>
      <c r="M75" s="489" t="e">
        <f>RANK(K75, K$67:$K$81)</f>
        <v>#VALUE!</v>
      </c>
      <c r="N75" s="635"/>
      <c r="O75" s="635"/>
      <c r="P75" s="482"/>
      <c r="Q75" s="416"/>
      <c r="R75" s="416"/>
      <c r="S75" s="483"/>
      <c r="T75" s="645"/>
      <c r="U75" s="482"/>
      <c r="V75" s="416"/>
      <c r="W75" s="416"/>
      <c r="X75" s="483"/>
      <c r="Y75" s="645"/>
      <c r="Z75" s="482"/>
      <c r="AA75" s="416"/>
      <c r="AB75" s="416"/>
      <c r="AC75" s="483"/>
      <c r="AD75" s="645"/>
      <c r="AE75" s="482"/>
      <c r="AF75" s="416"/>
      <c r="AG75" s="416"/>
      <c r="AH75" s="483"/>
      <c r="AI75" s="645"/>
      <c r="AJ75" s="482"/>
      <c r="AK75" s="416"/>
      <c r="AL75" s="416"/>
      <c r="AM75" s="483"/>
      <c r="AN75" s="645"/>
      <c r="AO75" s="482"/>
      <c r="AP75" s="416"/>
      <c r="AQ75" s="416"/>
      <c r="AR75" s="483"/>
      <c r="AS75" s="645"/>
      <c r="AT75" s="482"/>
      <c r="AU75" s="416"/>
      <c r="AV75" s="416"/>
      <c r="AW75" s="483"/>
      <c r="AX75" s="645"/>
      <c r="AZ75" s="405" t="e">
        <f t="shared" si="61"/>
        <v>#N/A</v>
      </c>
      <c r="BA75" s="645"/>
    </row>
    <row r="76" spans="2:53">
      <c r="B76" s="643"/>
      <c r="C76" s="411">
        <v>10</v>
      </c>
      <c r="D76" s="409"/>
      <c r="E76" s="409"/>
      <c r="F76" s="409"/>
      <c r="G76" s="416"/>
      <c r="H76" s="680"/>
      <c r="I76" s="413" t="str">
        <f t="shared" si="58"/>
        <v>-</v>
      </c>
      <c r="J76" s="413" t="str">
        <f t="shared" si="59"/>
        <v>-</v>
      </c>
      <c r="K76" s="199" t="str">
        <f t="shared" si="60"/>
        <v>-</v>
      </c>
      <c r="L76" s="617"/>
      <c r="M76" s="489" t="e">
        <f>RANK(K76, K$67:$K$81)</f>
        <v>#VALUE!</v>
      </c>
      <c r="N76" s="635"/>
      <c r="O76" s="635"/>
      <c r="P76" s="482"/>
      <c r="Q76" s="416"/>
      <c r="R76" s="416"/>
      <c r="S76" s="483"/>
      <c r="T76" s="645"/>
      <c r="U76" s="482"/>
      <c r="V76" s="416"/>
      <c r="W76" s="416"/>
      <c r="X76" s="483"/>
      <c r="Y76" s="645"/>
      <c r="Z76" s="482"/>
      <c r="AA76" s="416"/>
      <c r="AB76" s="416"/>
      <c r="AC76" s="483"/>
      <c r="AD76" s="645"/>
      <c r="AE76" s="482"/>
      <c r="AF76" s="416"/>
      <c r="AG76" s="416"/>
      <c r="AH76" s="483"/>
      <c r="AI76" s="645"/>
      <c r="AJ76" s="482"/>
      <c r="AK76" s="416"/>
      <c r="AL76" s="416"/>
      <c r="AM76" s="483"/>
      <c r="AN76" s="645"/>
      <c r="AO76" s="482"/>
      <c r="AP76" s="416"/>
      <c r="AQ76" s="416"/>
      <c r="AR76" s="483"/>
      <c r="AS76" s="645"/>
      <c r="AT76" s="482"/>
      <c r="AU76" s="416"/>
      <c r="AV76" s="416"/>
      <c r="AW76" s="483"/>
      <c r="AX76" s="645"/>
      <c r="AZ76" s="405" t="e">
        <f t="shared" si="61"/>
        <v>#N/A</v>
      </c>
      <c r="BA76" s="645"/>
    </row>
    <row r="77" spans="2:53">
      <c r="B77" s="643"/>
      <c r="C77" s="411">
        <v>11</v>
      </c>
      <c r="D77" s="409"/>
      <c r="E77" s="409"/>
      <c r="F77" s="409"/>
      <c r="G77" s="416"/>
      <c r="H77" s="680"/>
      <c r="I77" s="413" t="str">
        <f t="shared" si="58"/>
        <v>-</v>
      </c>
      <c r="J77" s="413" t="str">
        <f t="shared" si="59"/>
        <v>-</v>
      </c>
      <c r="K77" s="199" t="str">
        <f t="shared" si="60"/>
        <v>-</v>
      </c>
      <c r="L77" s="617"/>
      <c r="M77" s="489" t="e">
        <f>RANK(K77, K$67:$K$81)</f>
        <v>#VALUE!</v>
      </c>
      <c r="N77" s="635"/>
      <c r="O77" s="635"/>
      <c r="P77" s="482"/>
      <c r="Q77" s="416"/>
      <c r="R77" s="416"/>
      <c r="S77" s="483"/>
      <c r="T77" s="645"/>
      <c r="U77" s="482"/>
      <c r="V77" s="416"/>
      <c r="W77" s="416"/>
      <c r="X77" s="483"/>
      <c r="Y77" s="645"/>
      <c r="Z77" s="482"/>
      <c r="AA77" s="416"/>
      <c r="AB77" s="416"/>
      <c r="AC77" s="483"/>
      <c r="AD77" s="645"/>
      <c r="AE77" s="482"/>
      <c r="AF77" s="416"/>
      <c r="AG77" s="416"/>
      <c r="AH77" s="483"/>
      <c r="AI77" s="645"/>
      <c r="AJ77" s="482"/>
      <c r="AK77" s="416"/>
      <c r="AL77" s="416"/>
      <c r="AM77" s="483"/>
      <c r="AN77" s="645"/>
      <c r="AO77" s="482"/>
      <c r="AP77" s="416"/>
      <c r="AQ77" s="416"/>
      <c r="AR77" s="483"/>
      <c r="AS77" s="645"/>
      <c r="AT77" s="482"/>
      <c r="AU77" s="416"/>
      <c r="AV77" s="416"/>
      <c r="AW77" s="483"/>
      <c r="AX77" s="645"/>
      <c r="AZ77" s="405" t="e">
        <f t="shared" si="61"/>
        <v>#N/A</v>
      </c>
      <c r="BA77" s="645"/>
    </row>
    <row r="78" spans="2:53">
      <c r="B78" s="643"/>
      <c r="C78" s="411">
        <v>12</v>
      </c>
      <c r="D78" s="409"/>
      <c r="E78" s="409"/>
      <c r="F78" s="409"/>
      <c r="G78" s="416"/>
      <c r="H78" s="680"/>
      <c r="I78" s="413" t="str">
        <f t="shared" si="58"/>
        <v>-</v>
      </c>
      <c r="J78" s="413" t="str">
        <f t="shared" si="59"/>
        <v>-</v>
      </c>
      <c r="K78" s="199" t="str">
        <f t="shared" si="60"/>
        <v>-</v>
      </c>
      <c r="L78" s="617"/>
      <c r="M78" s="489" t="e">
        <f>RANK(K78, K$67:$K$81)</f>
        <v>#VALUE!</v>
      </c>
      <c r="N78" s="635"/>
      <c r="O78" s="635"/>
      <c r="P78" s="482"/>
      <c r="Q78" s="416"/>
      <c r="R78" s="416"/>
      <c r="S78" s="483"/>
      <c r="T78" s="645"/>
      <c r="U78" s="482"/>
      <c r="V78" s="416"/>
      <c r="W78" s="416"/>
      <c r="X78" s="483"/>
      <c r="Y78" s="645"/>
      <c r="Z78" s="482"/>
      <c r="AA78" s="416"/>
      <c r="AB78" s="416"/>
      <c r="AC78" s="483"/>
      <c r="AD78" s="645"/>
      <c r="AE78" s="482"/>
      <c r="AF78" s="416"/>
      <c r="AG78" s="416"/>
      <c r="AH78" s="483"/>
      <c r="AI78" s="645"/>
      <c r="AJ78" s="482"/>
      <c r="AK78" s="416"/>
      <c r="AL78" s="416"/>
      <c r="AM78" s="483"/>
      <c r="AN78" s="645"/>
      <c r="AO78" s="482"/>
      <c r="AP78" s="416"/>
      <c r="AQ78" s="416"/>
      <c r="AR78" s="483"/>
      <c r="AS78" s="645"/>
      <c r="AT78" s="482"/>
      <c r="AU78" s="416"/>
      <c r="AV78" s="416"/>
      <c r="AW78" s="483"/>
      <c r="AX78" s="645"/>
      <c r="AZ78" s="405" t="e">
        <f t="shared" si="61"/>
        <v>#N/A</v>
      </c>
      <c r="BA78" s="645"/>
    </row>
    <row r="79" spans="2:53">
      <c r="B79" s="643"/>
      <c r="C79" s="411">
        <v>13</v>
      </c>
      <c r="D79" s="409"/>
      <c r="E79" s="409"/>
      <c r="F79" s="409"/>
      <c r="G79" s="416"/>
      <c r="H79" s="680"/>
      <c r="I79" s="413" t="str">
        <f t="shared" si="58"/>
        <v>-</v>
      </c>
      <c r="J79" s="413" t="str">
        <f t="shared" si="59"/>
        <v>-</v>
      </c>
      <c r="K79" s="199" t="str">
        <f t="shared" si="60"/>
        <v>-</v>
      </c>
      <c r="L79" s="617"/>
      <c r="M79" s="489" t="e">
        <f>RANK(K79, K$67:$K$81)</f>
        <v>#VALUE!</v>
      </c>
      <c r="N79" s="635"/>
      <c r="O79" s="635"/>
      <c r="P79" s="482"/>
      <c r="Q79" s="416"/>
      <c r="R79" s="416"/>
      <c r="S79" s="483"/>
      <c r="T79" s="645"/>
      <c r="U79" s="482"/>
      <c r="V79" s="416"/>
      <c r="W79" s="416"/>
      <c r="X79" s="483"/>
      <c r="Y79" s="645"/>
      <c r="Z79" s="482"/>
      <c r="AA79" s="416"/>
      <c r="AB79" s="416"/>
      <c r="AC79" s="483"/>
      <c r="AD79" s="645"/>
      <c r="AE79" s="482"/>
      <c r="AF79" s="416"/>
      <c r="AG79" s="416"/>
      <c r="AH79" s="483"/>
      <c r="AI79" s="645"/>
      <c r="AJ79" s="482"/>
      <c r="AK79" s="416"/>
      <c r="AL79" s="416"/>
      <c r="AM79" s="483"/>
      <c r="AN79" s="645"/>
      <c r="AO79" s="482"/>
      <c r="AP79" s="416"/>
      <c r="AQ79" s="416"/>
      <c r="AR79" s="483"/>
      <c r="AS79" s="645"/>
      <c r="AT79" s="482"/>
      <c r="AU79" s="416"/>
      <c r="AV79" s="416"/>
      <c r="AW79" s="483"/>
      <c r="AX79" s="645"/>
      <c r="AZ79" s="405" t="e">
        <f t="shared" si="61"/>
        <v>#N/A</v>
      </c>
      <c r="BA79" s="645"/>
    </row>
    <row r="80" spans="2:53">
      <c r="B80" s="643"/>
      <c r="C80" s="411">
        <v>14</v>
      </c>
      <c r="D80" s="409"/>
      <c r="E80" s="409"/>
      <c r="F80" s="409"/>
      <c r="G80" s="416"/>
      <c r="H80" s="680"/>
      <c r="I80" s="413" t="str">
        <f t="shared" si="58"/>
        <v>-</v>
      </c>
      <c r="J80" s="413" t="str">
        <f t="shared" si="59"/>
        <v>-</v>
      </c>
      <c r="K80" s="199" t="str">
        <f t="shared" si="60"/>
        <v>-</v>
      </c>
      <c r="L80" s="617"/>
      <c r="M80" s="489" t="e">
        <f>RANK(K80, K$67:$K$81)</f>
        <v>#VALUE!</v>
      </c>
      <c r="N80" s="635"/>
      <c r="O80" s="635"/>
      <c r="P80" s="482"/>
      <c r="Q80" s="416"/>
      <c r="R80" s="416"/>
      <c r="S80" s="483"/>
      <c r="T80" s="645"/>
      <c r="U80" s="482"/>
      <c r="V80" s="416"/>
      <c r="W80" s="416"/>
      <c r="X80" s="483"/>
      <c r="Y80" s="645"/>
      <c r="Z80" s="482"/>
      <c r="AA80" s="416"/>
      <c r="AB80" s="416"/>
      <c r="AC80" s="483"/>
      <c r="AD80" s="645"/>
      <c r="AE80" s="482"/>
      <c r="AF80" s="416"/>
      <c r="AG80" s="416"/>
      <c r="AH80" s="483"/>
      <c r="AI80" s="645"/>
      <c r="AJ80" s="482"/>
      <c r="AK80" s="416"/>
      <c r="AL80" s="416"/>
      <c r="AM80" s="483"/>
      <c r="AN80" s="645"/>
      <c r="AO80" s="482"/>
      <c r="AP80" s="416"/>
      <c r="AQ80" s="416"/>
      <c r="AR80" s="483"/>
      <c r="AS80" s="645"/>
      <c r="AT80" s="482"/>
      <c r="AU80" s="416"/>
      <c r="AV80" s="416"/>
      <c r="AW80" s="483"/>
      <c r="AX80" s="645"/>
      <c r="AZ80" s="405" t="e">
        <f t="shared" si="61"/>
        <v>#N/A</v>
      </c>
      <c r="BA80" s="645"/>
    </row>
    <row r="81" spans="2:53">
      <c r="B81" s="643"/>
      <c r="C81" s="411">
        <v>15</v>
      </c>
      <c r="D81" s="409"/>
      <c r="E81" s="409"/>
      <c r="F81" s="409"/>
      <c r="G81" s="409"/>
      <c r="H81" s="684"/>
      <c r="I81" s="413" t="str">
        <f t="shared" si="58"/>
        <v>-</v>
      </c>
      <c r="J81" s="413" t="str">
        <f t="shared" si="59"/>
        <v>-</v>
      </c>
      <c r="K81" s="199" t="str">
        <f t="shared" si="60"/>
        <v>-</v>
      </c>
      <c r="L81" s="618"/>
      <c r="M81" s="489" t="e">
        <f>RANK(K81, K$67:$K$81)</f>
        <v>#VALUE!</v>
      </c>
      <c r="N81" s="635"/>
      <c r="O81" s="635"/>
      <c r="P81" s="483"/>
      <c r="Q81" s="485"/>
      <c r="R81" s="485"/>
      <c r="S81" s="483"/>
      <c r="T81" s="646"/>
      <c r="U81" s="483"/>
      <c r="V81" s="485"/>
      <c r="W81" s="485"/>
      <c r="X81" s="483"/>
      <c r="Y81" s="646"/>
      <c r="Z81" s="483"/>
      <c r="AA81" s="485"/>
      <c r="AB81" s="485"/>
      <c r="AC81" s="483"/>
      <c r="AD81" s="646"/>
      <c r="AE81" s="483"/>
      <c r="AF81" s="485"/>
      <c r="AG81" s="485"/>
      <c r="AH81" s="483"/>
      <c r="AI81" s="646"/>
      <c r="AJ81" s="483"/>
      <c r="AK81" s="485"/>
      <c r="AL81" s="485"/>
      <c r="AM81" s="483"/>
      <c r="AN81" s="646"/>
      <c r="AO81" s="483"/>
      <c r="AP81" s="485"/>
      <c r="AQ81" s="485"/>
      <c r="AR81" s="483"/>
      <c r="AS81" s="646"/>
      <c r="AT81" s="483"/>
      <c r="AU81" s="485"/>
      <c r="AV81" s="485"/>
      <c r="AW81" s="483"/>
      <c r="AX81" s="646"/>
      <c r="AZ81" s="405" t="e">
        <f t="shared" si="61"/>
        <v>#N/A</v>
      </c>
      <c r="BA81" s="646"/>
    </row>
    <row r="82" spans="2:53" ht="15.75">
      <c r="B82" s="647" t="s">
        <v>163</v>
      </c>
      <c r="C82" s="648"/>
      <c r="D82" s="648"/>
      <c r="E82" s="648"/>
      <c r="F82" s="648"/>
      <c r="G82" s="648"/>
      <c r="H82" s="649"/>
      <c r="I82" s="207"/>
      <c r="J82" s="207"/>
      <c r="K82" s="207"/>
      <c r="L82" s="207"/>
      <c r="M82" s="206"/>
      <c r="N82" s="636" t="s">
        <v>156</v>
      </c>
      <c r="O82" s="636" t="s">
        <v>105</v>
      </c>
      <c r="P82" s="642">
        <f>P62+7</f>
        <v>46196</v>
      </c>
      <c r="Q82" s="643"/>
      <c r="R82" s="643"/>
      <c r="S82" s="643"/>
      <c r="T82" s="643"/>
      <c r="U82" s="639">
        <f>P82+1</f>
        <v>46197</v>
      </c>
      <c r="V82" s="640"/>
      <c r="W82" s="640"/>
      <c r="X82" s="640"/>
      <c r="Y82" s="641"/>
      <c r="Z82" s="639">
        <f>U82+1</f>
        <v>46198</v>
      </c>
      <c r="AA82" s="640"/>
      <c r="AB82" s="640"/>
      <c r="AC82" s="640"/>
      <c r="AD82" s="641"/>
      <c r="AE82" s="639">
        <f>Z82+1</f>
        <v>46199</v>
      </c>
      <c r="AF82" s="640"/>
      <c r="AG82" s="640"/>
      <c r="AH82" s="640"/>
      <c r="AI82" s="641"/>
      <c r="AJ82" s="639">
        <f>AE82+1</f>
        <v>46200</v>
      </c>
      <c r="AK82" s="640"/>
      <c r="AL82" s="640"/>
      <c r="AM82" s="640"/>
      <c r="AN82" s="641"/>
      <c r="AO82" s="639">
        <f>AJ82+1</f>
        <v>46201</v>
      </c>
      <c r="AP82" s="640"/>
      <c r="AQ82" s="640"/>
      <c r="AR82" s="640"/>
      <c r="AS82" s="641"/>
      <c r="AT82" s="639">
        <f>AO82+1</f>
        <v>46202</v>
      </c>
      <c r="AU82" s="640"/>
      <c r="AV82" s="640"/>
      <c r="AW82" s="640"/>
      <c r="AX82" s="641"/>
    </row>
    <row r="83" spans="2:53" ht="15.75">
      <c r="B83" s="650"/>
      <c r="C83" s="650"/>
      <c r="D83" s="650"/>
      <c r="E83" s="650"/>
      <c r="F83" s="650"/>
      <c r="G83" s="650"/>
      <c r="H83" s="650"/>
      <c r="I83" s="204"/>
      <c r="J83" s="204"/>
      <c r="K83" s="204"/>
      <c r="L83" s="204"/>
      <c r="M83" s="205"/>
      <c r="N83" s="638"/>
      <c r="O83" s="638"/>
      <c r="P83" s="642" t="s">
        <v>318</v>
      </c>
      <c r="Q83" s="643"/>
      <c r="R83" s="643"/>
      <c r="S83" s="643"/>
      <c r="T83" s="643"/>
      <c r="U83" s="642" t="s">
        <v>319</v>
      </c>
      <c r="V83" s="643"/>
      <c r="W83" s="643"/>
      <c r="X83" s="643"/>
      <c r="Y83" s="643"/>
      <c r="Z83" s="642" t="s">
        <v>320</v>
      </c>
      <c r="AA83" s="643"/>
      <c r="AB83" s="643"/>
      <c r="AC83" s="643"/>
      <c r="AD83" s="643"/>
      <c r="AE83" s="642" t="s">
        <v>321</v>
      </c>
      <c r="AF83" s="643"/>
      <c r="AG83" s="643"/>
      <c r="AH83" s="643"/>
      <c r="AI83" s="643"/>
      <c r="AJ83" s="642" t="s">
        <v>322</v>
      </c>
      <c r="AK83" s="643"/>
      <c r="AL83" s="643"/>
      <c r="AM83" s="643"/>
      <c r="AN83" s="643"/>
      <c r="AO83" s="642" t="s">
        <v>323</v>
      </c>
      <c r="AP83" s="643"/>
      <c r="AQ83" s="643"/>
      <c r="AR83" s="643"/>
      <c r="AS83" s="643"/>
      <c r="AT83" s="642" t="s">
        <v>324</v>
      </c>
      <c r="AU83" s="643"/>
      <c r="AV83" s="643"/>
      <c r="AW83" s="643"/>
      <c r="AX83" s="643"/>
    </row>
    <row r="84" spans="2:53">
      <c r="B84" s="635" t="s">
        <v>399</v>
      </c>
      <c r="C84" s="635" t="s">
        <v>384</v>
      </c>
      <c r="D84" s="635"/>
      <c r="E84" s="635" t="s">
        <v>375</v>
      </c>
      <c r="F84" s="635"/>
      <c r="G84" s="635"/>
      <c r="H84" s="651" t="s">
        <v>371</v>
      </c>
      <c r="I84" s="635" t="s">
        <v>376</v>
      </c>
      <c r="J84" s="635"/>
      <c r="K84" s="635"/>
      <c r="L84" s="651" t="s">
        <v>371</v>
      </c>
      <c r="M84" s="636" t="s">
        <v>372</v>
      </c>
      <c r="N84" s="635"/>
      <c r="O84" s="635" t="s">
        <v>377</v>
      </c>
      <c r="P84" s="632" t="s">
        <v>373</v>
      </c>
      <c r="Q84" s="633"/>
      <c r="R84" s="633"/>
      <c r="S84" s="634"/>
      <c r="T84" s="635" t="s">
        <v>371</v>
      </c>
      <c r="U84" s="632" t="s">
        <v>373</v>
      </c>
      <c r="V84" s="633"/>
      <c r="W84" s="633"/>
      <c r="X84" s="634"/>
      <c r="Y84" s="635" t="s">
        <v>371</v>
      </c>
      <c r="Z84" s="632" t="s">
        <v>373</v>
      </c>
      <c r="AA84" s="633"/>
      <c r="AB84" s="633"/>
      <c r="AC84" s="634"/>
      <c r="AD84" s="635" t="s">
        <v>371</v>
      </c>
      <c r="AE84" s="632" t="s">
        <v>373</v>
      </c>
      <c r="AF84" s="633"/>
      <c r="AG84" s="633"/>
      <c r="AH84" s="634"/>
      <c r="AI84" s="635" t="s">
        <v>371</v>
      </c>
      <c r="AJ84" s="632" t="s">
        <v>373</v>
      </c>
      <c r="AK84" s="633"/>
      <c r="AL84" s="633"/>
      <c r="AM84" s="634"/>
      <c r="AN84" s="635" t="s">
        <v>371</v>
      </c>
      <c r="AO84" s="632" t="s">
        <v>373</v>
      </c>
      <c r="AP84" s="633"/>
      <c r="AQ84" s="633"/>
      <c r="AR84" s="634"/>
      <c r="AS84" s="635" t="s">
        <v>371</v>
      </c>
      <c r="AT84" s="632" t="s">
        <v>373</v>
      </c>
      <c r="AU84" s="633"/>
      <c r="AV84" s="633"/>
      <c r="AW84" s="634"/>
      <c r="AX84" s="635" t="s">
        <v>371</v>
      </c>
      <c r="BA84" s="635" t="s">
        <v>371</v>
      </c>
    </row>
    <row r="85" spans="2:53">
      <c r="B85" s="635"/>
      <c r="C85" s="635"/>
      <c r="D85" s="635"/>
      <c r="E85" s="635" t="s">
        <v>378</v>
      </c>
      <c r="F85" s="635"/>
      <c r="G85" s="635"/>
      <c r="H85" s="652"/>
      <c r="I85" s="635" t="s">
        <v>378</v>
      </c>
      <c r="J85" s="635"/>
      <c r="K85" s="635"/>
      <c r="L85" s="652"/>
      <c r="M85" s="637"/>
      <c r="N85" s="635"/>
      <c r="O85" s="635"/>
      <c r="P85" s="632" t="s">
        <v>379</v>
      </c>
      <c r="Q85" s="633"/>
      <c r="R85" s="633"/>
      <c r="S85" s="634"/>
      <c r="T85" s="635"/>
      <c r="U85" s="632" t="s">
        <v>379</v>
      </c>
      <c r="V85" s="633"/>
      <c r="W85" s="633"/>
      <c r="X85" s="634"/>
      <c r="Y85" s="635"/>
      <c r="Z85" s="632" t="s">
        <v>379</v>
      </c>
      <c r="AA85" s="633"/>
      <c r="AB85" s="633"/>
      <c r="AC85" s="634"/>
      <c r="AD85" s="635"/>
      <c r="AE85" s="632" t="s">
        <v>379</v>
      </c>
      <c r="AF85" s="633"/>
      <c r="AG85" s="633"/>
      <c r="AH85" s="634"/>
      <c r="AI85" s="635"/>
      <c r="AJ85" s="632" t="s">
        <v>379</v>
      </c>
      <c r="AK85" s="633"/>
      <c r="AL85" s="633"/>
      <c r="AM85" s="634"/>
      <c r="AN85" s="635"/>
      <c r="AO85" s="632" t="s">
        <v>379</v>
      </c>
      <c r="AP85" s="633"/>
      <c r="AQ85" s="633"/>
      <c r="AR85" s="634"/>
      <c r="AS85" s="635"/>
      <c r="AT85" s="632" t="s">
        <v>379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408" t="s">
        <v>380</v>
      </c>
      <c r="F86" s="408" t="s">
        <v>381</v>
      </c>
      <c r="G86" s="408" t="s">
        <v>382</v>
      </c>
      <c r="H86" s="653"/>
      <c r="I86" s="408" t="s">
        <v>380</v>
      </c>
      <c r="J86" s="408" t="s">
        <v>381</v>
      </c>
      <c r="K86" s="408" t="s">
        <v>382</v>
      </c>
      <c r="L86" s="653"/>
      <c r="M86" s="638"/>
      <c r="N86" s="635"/>
      <c r="O86" s="635"/>
      <c r="P86" s="408" t="s">
        <v>380</v>
      </c>
      <c r="Q86" s="408" t="s">
        <v>381</v>
      </c>
      <c r="R86" s="408" t="s">
        <v>382</v>
      </c>
      <c r="S86" s="408" t="s">
        <v>372</v>
      </c>
      <c r="T86" s="635"/>
      <c r="U86" s="408" t="s">
        <v>380</v>
      </c>
      <c r="V86" s="408" t="s">
        <v>381</v>
      </c>
      <c r="W86" s="408" t="s">
        <v>382</v>
      </c>
      <c r="X86" s="408" t="s">
        <v>372</v>
      </c>
      <c r="Y86" s="635"/>
      <c r="Z86" s="408" t="s">
        <v>380</v>
      </c>
      <c r="AA86" s="408" t="s">
        <v>381</v>
      </c>
      <c r="AB86" s="408" t="s">
        <v>382</v>
      </c>
      <c r="AC86" s="408" t="s">
        <v>372</v>
      </c>
      <c r="AD86" s="635"/>
      <c r="AE86" s="408" t="s">
        <v>380</v>
      </c>
      <c r="AF86" s="408" t="s">
        <v>381</v>
      </c>
      <c r="AG86" s="408" t="s">
        <v>382</v>
      </c>
      <c r="AH86" s="408" t="s">
        <v>372</v>
      </c>
      <c r="AI86" s="635"/>
      <c r="AJ86" s="408" t="s">
        <v>380</v>
      </c>
      <c r="AK86" s="408" t="s">
        <v>381</v>
      </c>
      <c r="AL86" s="408" t="s">
        <v>382</v>
      </c>
      <c r="AM86" s="408" t="s">
        <v>372</v>
      </c>
      <c r="AN86" s="635"/>
      <c r="AO86" s="408" t="s">
        <v>380</v>
      </c>
      <c r="AP86" s="408" t="s">
        <v>381</v>
      </c>
      <c r="AQ86" s="408" t="s">
        <v>382</v>
      </c>
      <c r="AR86" s="408" t="s">
        <v>372</v>
      </c>
      <c r="AS86" s="635"/>
      <c r="AT86" s="408" t="s">
        <v>380</v>
      </c>
      <c r="AU86" s="408" t="s">
        <v>381</v>
      </c>
      <c r="AV86" s="408" t="s">
        <v>382</v>
      </c>
      <c r="AW86" s="408" t="s">
        <v>372</v>
      </c>
      <c r="AX86" s="635"/>
      <c r="AZ86" s="403" t="s">
        <v>372</v>
      </c>
      <c r="BA86" s="635"/>
    </row>
    <row r="87" spans="2:53">
      <c r="B87" s="683" t="s">
        <v>412</v>
      </c>
      <c r="C87" s="411">
        <v>1</v>
      </c>
      <c r="D87" s="409"/>
      <c r="E87" s="409"/>
      <c r="F87" s="409"/>
      <c r="G87" s="416"/>
      <c r="H87" s="679" t="e">
        <f>AVERAGE(G87:G101)</f>
        <v>#DIV/0!</v>
      </c>
      <c r="I87" s="413" t="str">
        <f t="shared" ref="I87:I101" si="63">IFERROR(AVERAGE(P87,U87,Z87,AE87,AJ87,AO87,AT87),"-")</f>
        <v>-</v>
      </c>
      <c r="J87" s="413" t="str">
        <f t="shared" ref="J87:J101" si="64">IFERROR(AVERAGE(Q87,V87,AA87,AF87,AK87,AP87,AU87),"-")</f>
        <v>-</v>
      </c>
      <c r="K87" s="199" t="str">
        <f t="shared" ref="K87:K101" si="65">IFERROR(AVERAGE(R87,W87,AB87,AG87,AL87,AQ87,AV87),"-")</f>
        <v>-</v>
      </c>
      <c r="L87" s="616" t="str">
        <f>IFERROR(AVERAGE(K87:K101),"-")</f>
        <v>-</v>
      </c>
      <c r="M87" s="417" t="e">
        <f>RANK(K87, K$107:$K$121)</f>
        <v>#VALUE!</v>
      </c>
      <c r="N87" s="635"/>
      <c r="O87" s="635"/>
      <c r="P87" s="490"/>
      <c r="Q87" s="416"/>
      <c r="R87" s="416"/>
      <c r="S87" s="490" t="e">
        <f t="shared" ref="S87:S101" si="66">RANK(R87, R$87:R$101)</f>
        <v>#N/A</v>
      </c>
      <c r="T87" s="657" t="e">
        <f t="shared" ref="T87" si="67">AVERAGE(R87:R101)</f>
        <v>#DIV/0!</v>
      </c>
      <c r="U87" s="490"/>
      <c r="V87" s="416"/>
      <c r="W87" s="416"/>
      <c r="X87" s="490"/>
      <c r="Y87" s="657"/>
      <c r="Z87" s="490"/>
      <c r="AA87" s="416"/>
      <c r="AB87" s="416"/>
      <c r="AC87" s="490"/>
      <c r="AD87" s="657"/>
      <c r="AE87" s="490"/>
      <c r="AF87" s="416"/>
      <c r="AG87" s="416"/>
      <c r="AH87" s="490"/>
      <c r="AI87" s="657"/>
      <c r="AJ87" s="490"/>
      <c r="AK87" s="416"/>
      <c r="AL87" s="416"/>
      <c r="AM87" s="490"/>
      <c r="AN87" s="657"/>
      <c r="AO87" s="490"/>
      <c r="AP87" s="416"/>
      <c r="AQ87" s="416"/>
      <c r="AR87" s="490"/>
      <c r="AS87" s="657"/>
      <c r="AT87" s="490"/>
      <c r="AU87" s="416"/>
      <c r="AV87" s="416"/>
      <c r="AW87" s="490"/>
      <c r="AX87" s="657"/>
      <c r="AZ87" s="402" t="e">
        <f t="shared" ref="AZ87:AZ101" si="68">RANK(AY87, AY$87:AY$101)</f>
        <v>#N/A</v>
      </c>
      <c r="BA87" s="657" t="e">
        <f t="shared" ref="BA87" si="69">AVERAGE(AY87:AY101)</f>
        <v>#DIV/0!</v>
      </c>
    </row>
    <row r="88" spans="2:53">
      <c r="B88" s="643"/>
      <c r="C88" s="411">
        <v>2</v>
      </c>
      <c r="D88" s="409"/>
      <c r="E88" s="409"/>
      <c r="F88" s="409"/>
      <c r="G88" s="416"/>
      <c r="H88" s="680"/>
      <c r="I88" s="413" t="str">
        <f t="shared" si="63"/>
        <v>-</v>
      </c>
      <c r="J88" s="413" t="str">
        <f t="shared" si="64"/>
        <v>-</v>
      </c>
      <c r="K88" s="199" t="str">
        <f t="shared" si="65"/>
        <v>-</v>
      </c>
      <c r="L88" s="617"/>
      <c r="M88" s="417" t="e">
        <f>RANK(K88, K$107:$K$121)</f>
        <v>#VALUE!</v>
      </c>
      <c r="N88" s="635"/>
      <c r="O88" s="635"/>
      <c r="P88" s="490"/>
      <c r="Q88" s="416"/>
      <c r="R88" s="416"/>
      <c r="S88" s="490" t="e">
        <f t="shared" si="66"/>
        <v>#N/A</v>
      </c>
      <c r="T88" s="657"/>
      <c r="U88" s="490"/>
      <c r="V88" s="416"/>
      <c r="W88" s="416"/>
      <c r="X88" s="490"/>
      <c r="Y88" s="657"/>
      <c r="Z88" s="490"/>
      <c r="AA88" s="416"/>
      <c r="AB88" s="416"/>
      <c r="AC88" s="490"/>
      <c r="AD88" s="657"/>
      <c r="AE88" s="490"/>
      <c r="AF88" s="416"/>
      <c r="AG88" s="416"/>
      <c r="AH88" s="490"/>
      <c r="AI88" s="657"/>
      <c r="AJ88" s="490"/>
      <c r="AK88" s="416"/>
      <c r="AL88" s="416"/>
      <c r="AM88" s="490"/>
      <c r="AN88" s="657"/>
      <c r="AO88" s="490"/>
      <c r="AP88" s="416"/>
      <c r="AQ88" s="416"/>
      <c r="AR88" s="490"/>
      <c r="AS88" s="657"/>
      <c r="AT88" s="490"/>
      <c r="AU88" s="416"/>
      <c r="AV88" s="416"/>
      <c r="AW88" s="490"/>
      <c r="AX88" s="657"/>
      <c r="AZ88" s="402" t="e">
        <f t="shared" si="68"/>
        <v>#N/A</v>
      </c>
      <c r="BA88" s="657"/>
    </row>
    <row r="89" spans="2:53">
      <c r="B89" s="643"/>
      <c r="C89" s="411">
        <v>3</v>
      </c>
      <c r="D89" s="409"/>
      <c r="E89" s="409"/>
      <c r="F89" s="409"/>
      <c r="G89" s="416"/>
      <c r="H89" s="680"/>
      <c r="I89" s="413" t="str">
        <f t="shared" si="63"/>
        <v>-</v>
      </c>
      <c r="J89" s="413" t="str">
        <f t="shared" si="64"/>
        <v>-</v>
      </c>
      <c r="K89" s="199" t="str">
        <f t="shared" si="65"/>
        <v>-</v>
      </c>
      <c r="L89" s="617"/>
      <c r="M89" s="417" t="e">
        <f>RANK(K89, K$107:$K$121)</f>
        <v>#VALUE!</v>
      </c>
      <c r="N89" s="635"/>
      <c r="O89" s="635"/>
      <c r="P89" s="490"/>
      <c r="Q89" s="416"/>
      <c r="R89" s="416"/>
      <c r="S89" s="490" t="e">
        <f t="shared" si="66"/>
        <v>#N/A</v>
      </c>
      <c r="T89" s="657"/>
      <c r="U89" s="490"/>
      <c r="V89" s="416"/>
      <c r="W89" s="416"/>
      <c r="X89" s="490"/>
      <c r="Y89" s="657"/>
      <c r="Z89" s="490"/>
      <c r="AA89" s="416"/>
      <c r="AB89" s="416"/>
      <c r="AC89" s="490"/>
      <c r="AD89" s="657"/>
      <c r="AE89" s="490"/>
      <c r="AF89" s="416"/>
      <c r="AG89" s="416"/>
      <c r="AH89" s="490"/>
      <c r="AI89" s="657"/>
      <c r="AJ89" s="490"/>
      <c r="AK89" s="416"/>
      <c r="AL89" s="416"/>
      <c r="AM89" s="490"/>
      <c r="AN89" s="657"/>
      <c r="AO89" s="490"/>
      <c r="AP89" s="416"/>
      <c r="AQ89" s="416"/>
      <c r="AR89" s="490"/>
      <c r="AS89" s="657"/>
      <c r="AT89" s="490"/>
      <c r="AU89" s="416"/>
      <c r="AV89" s="416"/>
      <c r="AW89" s="490"/>
      <c r="AX89" s="657"/>
      <c r="AZ89" s="402" t="e">
        <f t="shared" si="68"/>
        <v>#N/A</v>
      </c>
      <c r="BA89" s="657"/>
    </row>
    <row r="90" spans="2:53">
      <c r="B90" s="643"/>
      <c r="C90" s="411">
        <v>4</v>
      </c>
      <c r="D90" s="409"/>
      <c r="E90" s="409"/>
      <c r="F90" s="409"/>
      <c r="G90" s="416"/>
      <c r="H90" s="680"/>
      <c r="I90" s="413" t="str">
        <f t="shared" si="63"/>
        <v>-</v>
      </c>
      <c r="J90" s="413" t="str">
        <f t="shared" si="64"/>
        <v>-</v>
      </c>
      <c r="K90" s="199" t="str">
        <f t="shared" si="65"/>
        <v>-</v>
      </c>
      <c r="L90" s="617"/>
      <c r="M90" s="417" t="e">
        <f>RANK(K90, K$107:$K$121)</f>
        <v>#VALUE!</v>
      </c>
      <c r="N90" s="635"/>
      <c r="O90" s="635"/>
      <c r="P90" s="490"/>
      <c r="Q90" s="416"/>
      <c r="R90" s="416"/>
      <c r="S90" s="490" t="e">
        <f t="shared" si="66"/>
        <v>#N/A</v>
      </c>
      <c r="T90" s="657"/>
      <c r="U90" s="490"/>
      <c r="V90" s="416"/>
      <c r="W90" s="416"/>
      <c r="X90" s="490"/>
      <c r="Y90" s="657"/>
      <c r="Z90" s="490"/>
      <c r="AA90" s="416"/>
      <c r="AB90" s="416"/>
      <c r="AC90" s="490"/>
      <c r="AD90" s="657"/>
      <c r="AE90" s="490"/>
      <c r="AF90" s="416"/>
      <c r="AG90" s="416"/>
      <c r="AH90" s="490"/>
      <c r="AI90" s="657"/>
      <c r="AJ90" s="490"/>
      <c r="AK90" s="416"/>
      <c r="AL90" s="416"/>
      <c r="AM90" s="490"/>
      <c r="AN90" s="657"/>
      <c r="AO90" s="490"/>
      <c r="AP90" s="416"/>
      <c r="AQ90" s="416"/>
      <c r="AR90" s="490"/>
      <c r="AS90" s="657"/>
      <c r="AT90" s="490"/>
      <c r="AU90" s="416"/>
      <c r="AV90" s="416"/>
      <c r="AW90" s="490"/>
      <c r="AX90" s="657"/>
      <c r="AZ90" s="402" t="e">
        <f t="shared" si="68"/>
        <v>#N/A</v>
      </c>
      <c r="BA90" s="657"/>
    </row>
    <row r="91" spans="2:53">
      <c r="B91" s="643"/>
      <c r="C91" s="411">
        <v>5</v>
      </c>
      <c r="D91" s="409"/>
      <c r="E91" s="409"/>
      <c r="F91" s="409"/>
      <c r="G91" s="416"/>
      <c r="H91" s="680"/>
      <c r="I91" s="413" t="str">
        <f t="shared" si="63"/>
        <v>-</v>
      </c>
      <c r="J91" s="413" t="str">
        <f t="shared" si="64"/>
        <v>-</v>
      </c>
      <c r="K91" s="199" t="str">
        <f t="shared" si="65"/>
        <v>-</v>
      </c>
      <c r="L91" s="617"/>
      <c r="M91" s="417" t="e">
        <f>RANK(K91, K$107:$K$121)</f>
        <v>#VALUE!</v>
      </c>
      <c r="N91" s="635"/>
      <c r="O91" s="635"/>
      <c r="P91" s="490"/>
      <c r="Q91" s="416"/>
      <c r="R91" s="416"/>
      <c r="S91" s="490" t="e">
        <f t="shared" si="66"/>
        <v>#N/A</v>
      </c>
      <c r="T91" s="657"/>
      <c r="U91" s="490"/>
      <c r="V91" s="416"/>
      <c r="W91" s="416"/>
      <c r="X91" s="490"/>
      <c r="Y91" s="657"/>
      <c r="Z91" s="490"/>
      <c r="AA91" s="416"/>
      <c r="AB91" s="416"/>
      <c r="AC91" s="490"/>
      <c r="AD91" s="657"/>
      <c r="AE91" s="490"/>
      <c r="AF91" s="416"/>
      <c r="AG91" s="416"/>
      <c r="AH91" s="490"/>
      <c r="AI91" s="657"/>
      <c r="AJ91" s="490"/>
      <c r="AK91" s="416"/>
      <c r="AL91" s="416"/>
      <c r="AM91" s="490"/>
      <c r="AN91" s="657"/>
      <c r="AO91" s="490"/>
      <c r="AP91" s="416"/>
      <c r="AQ91" s="416"/>
      <c r="AR91" s="490"/>
      <c r="AS91" s="657"/>
      <c r="AT91" s="490"/>
      <c r="AU91" s="416"/>
      <c r="AV91" s="416"/>
      <c r="AW91" s="490"/>
      <c r="AX91" s="657"/>
      <c r="AZ91" s="402" t="e">
        <f t="shared" si="68"/>
        <v>#N/A</v>
      </c>
      <c r="BA91" s="657"/>
    </row>
    <row r="92" spans="2:53">
      <c r="B92" s="643"/>
      <c r="C92" s="411">
        <v>6</v>
      </c>
      <c r="D92" s="409"/>
      <c r="E92" s="409"/>
      <c r="F92" s="409"/>
      <c r="G92" s="416"/>
      <c r="H92" s="680"/>
      <c r="I92" s="413" t="str">
        <f t="shared" si="63"/>
        <v>-</v>
      </c>
      <c r="J92" s="413" t="str">
        <f t="shared" si="64"/>
        <v>-</v>
      </c>
      <c r="K92" s="199" t="str">
        <f t="shared" si="65"/>
        <v>-</v>
      </c>
      <c r="L92" s="617"/>
      <c r="M92" s="417" t="e">
        <f>RANK(K92, K$107:$K$121)</f>
        <v>#VALUE!</v>
      </c>
      <c r="N92" s="635"/>
      <c r="O92" s="635"/>
      <c r="P92" s="490"/>
      <c r="Q92" s="416"/>
      <c r="R92" s="416"/>
      <c r="S92" s="490" t="e">
        <f t="shared" si="66"/>
        <v>#N/A</v>
      </c>
      <c r="T92" s="657"/>
      <c r="U92" s="490"/>
      <c r="V92" s="416"/>
      <c r="W92" s="416"/>
      <c r="X92" s="490"/>
      <c r="Y92" s="657"/>
      <c r="Z92" s="490"/>
      <c r="AA92" s="416"/>
      <c r="AB92" s="416"/>
      <c r="AC92" s="490"/>
      <c r="AD92" s="657"/>
      <c r="AE92" s="490"/>
      <c r="AF92" s="416"/>
      <c r="AG92" s="416"/>
      <c r="AH92" s="490"/>
      <c r="AI92" s="657"/>
      <c r="AJ92" s="490"/>
      <c r="AK92" s="416"/>
      <c r="AL92" s="416"/>
      <c r="AM92" s="490"/>
      <c r="AN92" s="657"/>
      <c r="AO92" s="490"/>
      <c r="AP92" s="416"/>
      <c r="AQ92" s="416"/>
      <c r="AR92" s="490"/>
      <c r="AS92" s="657"/>
      <c r="AT92" s="490"/>
      <c r="AU92" s="416"/>
      <c r="AV92" s="416"/>
      <c r="AW92" s="490"/>
      <c r="AX92" s="657"/>
      <c r="AZ92" s="402" t="e">
        <f t="shared" si="68"/>
        <v>#N/A</v>
      </c>
      <c r="BA92" s="657"/>
    </row>
    <row r="93" spans="2:53">
      <c r="B93" s="643"/>
      <c r="C93" s="411">
        <v>7</v>
      </c>
      <c r="D93" s="409"/>
      <c r="E93" s="409"/>
      <c r="F93" s="409"/>
      <c r="G93" s="416"/>
      <c r="H93" s="680"/>
      <c r="I93" s="413" t="str">
        <f t="shared" si="63"/>
        <v>-</v>
      </c>
      <c r="J93" s="413" t="str">
        <f t="shared" si="64"/>
        <v>-</v>
      </c>
      <c r="K93" s="199" t="str">
        <f t="shared" si="65"/>
        <v>-</v>
      </c>
      <c r="L93" s="617"/>
      <c r="M93" s="417" t="e">
        <f>RANK(K93, K$107:$K$121)</f>
        <v>#VALUE!</v>
      </c>
      <c r="N93" s="635"/>
      <c r="O93" s="635"/>
      <c r="P93" s="490"/>
      <c r="Q93" s="416"/>
      <c r="R93" s="416"/>
      <c r="S93" s="490" t="e">
        <f t="shared" si="66"/>
        <v>#N/A</v>
      </c>
      <c r="T93" s="657"/>
      <c r="U93" s="490"/>
      <c r="V93" s="416"/>
      <c r="W93" s="416"/>
      <c r="X93" s="490"/>
      <c r="Y93" s="657"/>
      <c r="Z93" s="490"/>
      <c r="AA93" s="416"/>
      <c r="AB93" s="416"/>
      <c r="AC93" s="490"/>
      <c r="AD93" s="657"/>
      <c r="AE93" s="490"/>
      <c r="AF93" s="416"/>
      <c r="AG93" s="416"/>
      <c r="AH93" s="490"/>
      <c r="AI93" s="657"/>
      <c r="AJ93" s="490"/>
      <c r="AK93" s="416"/>
      <c r="AL93" s="416"/>
      <c r="AM93" s="490"/>
      <c r="AN93" s="657"/>
      <c r="AO93" s="490"/>
      <c r="AP93" s="416"/>
      <c r="AQ93" s="416"/>
      <c r="AR93" s="490"/>
      <c r="AS93" s="657"/>
      <c r="AT93" s="490"/>
      <c r="AU93" s="416"/>
      <c r="AV93" s="416"/>
      <c r="AW93" s="490"/>
      <c r="AX93" s="657"/>
      <c r="AZ93" s="402" t="e">
        <f t="shared" si="68"/>
        <v>#N/A</v>
      </c>
      <c r="BA93" s="657"/>
    </row>
    <row r="94" spans="2:53">
      <c r="B94" s="643"/>
      <c r="C94" s="411">
        <v>8</v>
      </c>
      <c r="D94" s="409"/>
      <c r="E94" s="409"/>
      <c r="F94" s="409"/>
      <c r="G94" s="416"/>
      <c r="H94" s="680"/>
      <c r="I94" s="413" t="str">
        <f t="shared" si="63"/>
        <v>-</v>
      </c>
      <c r="J94" s="413" t="str">
        <f t="shared" si="64"/>
        <v>-</v>
      </c>
      <c r="K94" s="199" t="str">
        <f t="shared" si="65"/>
        <v>-</v>
      </c>
      <c r="L94" s="617"/>
      <c r="M94" s="417" t="e">
        <f>RANK(K94, K$107:$K$121)</f>
        <v>#VALUE!</v>
      </c>
      <c r="N94" s="635"/>
      <c r="O94" s="635"/>
      <c r="P94" s="490"/>
      <c r="Q94" s="416"/>
      <c r="R94" s="416"/>
      <c r="S94" s="490" t="e">
        <f t="shared" si="66"/>
        <v>#N/A</v>
      </c>
      <c r="T94" s="657"/>
      <c r="U94" s="490"/>
      <c r="V94" s="416"/>
      <c r="W94" s="416"/>
      <c r="X94" s="490"/>
      <c r="Y94" s="657"/>
      <c r="Z94" s="490"/>
      <c r="AA94" s="416"/>
      <c r="AB94" s="416"/>
      <c r="AC94" s="490"/>
      <c r="AD94" s="657"/>
      <c r="AE94" s="490"/>
      <c r="AF94" s="416"/>
      <c r="AG94" s="416"/>
      <c r="AH94" s="490"/>
      <c r="AI94" s="657"/>
      <c r="AJ94" s="490"/>
      <c r="AK94" s="416"/>
      <c r="AL94" s="416"/>
      <c r="AM94" s="490"/>
      <c r="AN94" s="657"/>
      <c r="AO94" s="490"/>
      <c r="AP94" s="416"/>
      <c r="AQ94" s="416"/>
      <c r="AR94" s="490"/>
      <c r="AS94" s="657"/>
      <c r="AT94" s="490"/>
      <c r="AU94" s="416"/>
      <c r="AV94" s="416"/>
      <c r="AW94" s="490"/>
      <c r="AX94" s="657"/>
      <c r="AZ94" s="402" t="e">
        <f t="shared" si="68"/>
        <v>#N/A</v>
      </c>
      <c r="BA94" s="657"/>
    </row>
    <row r="95" spans="2:53">
      <c r="B95" s="643"/>
      <c r="C95" s="411">
        <v>9</v>
      </c>
      <c r="D95" s="409"/>
      <c r="E95" s="409"/>
      <c r="F95" s="409"/>
      <c r="G95" s="416"/>
      <c r="H95" s="680"/>
      <c r="I95" s="413" t="str">
        <f t="shared" si="63"/>
        <v>-</v>
      </c>
      <c r="J95" s="413" t="str">
        <f t="shared" si="64"/>
        <v>-</v>
      </c>
      <c r="K95" s="199" t="str">
        <f t="shared" si="65"/>
        <v>-</v>
      </c>
      <c r="L95" s="617"/>
      <c r="M95" s="417" t="e">
        <f>RANK(K95, K$107:$K$121)</f>
        <v>#VALUE!</v>
      </c>
      <c r="N95" s="635"/>
      <c r="O95" s="635"/>
      <c r="P95" s="490"/>
      <c r="Q95" s="416"/>
      <c r="R95" s="416"/>
      <c r="S95" s="490" t="e">
        <f t="shared" si="66"/>
        <v>#N/A</v>
      </c>
      <c r="T95" s="657"/>
      <c r="U95" s="490"/>
      <c r="V95" s="416"/>
      <c r="W95" s="416"/>
      <c r="X95" s="490"/>
      <c r="Y95" s="657"/>
      <c r="Z95" s="490"/>
      <c r="AA95" s="416"/>
      <c r="AB95" s="416"/>
      <c r="AC95" s="490"/>
      <c r="AD95" s="657"/>
      <c r="AE95" s="490"/>
      <c r="AF95" s="416"/>
      <c r="AG95" s="416"/>
      <c r="AH95" s="490"/>
      <c r="AI95" s="657"/>
      <c r="AJ95" s="490"/>
      <c r="AK95" s="416"/>
      <c r="AL95" s="416"/>
      <c r="AM95" s="490"/>
      <c r="AN95" s="657"/>
      <c r="AO95" s="490"/>
      <c r="AP95" s="416"/>
      <c r="AQ95" s="416"/>
      <c r="AR95" s="490"/>
      <c r="AS95" s="657"/>
      <c r="AT95" s="490"/>
      <c r="AU95" s="416"/>
      <c r="AV95" s="416"/>
      <c r="AW95" s="490"/>
      <c r="AX95" s="657"/>
      <c r="AZ95" s="402" t="e">
        <f t="shared" si="68"/>
        <v>#N/A</v>
      </c>
      <c r="BA95" s="657"/>
    </row>
    <row r="96" spans="2:53">
      <c r="B96" s="643"/>
      <c r="C96" s="411">
        <v>10</v>
      </c>
      <c r="D96" s="409"/>
      <c r="E96" s="409"/>
      <c r="F96" s="409"/>
      <c r="G96" s="416"/>
      <c r="H96" s="680"/>
      <c r="I96" s="413" t="str">
        <f t="shared" si="63"/>
        <v>-</v>
      </c>
      <c r="J96" s="413" t="str">
        <f t="shared" si="64"/>
        <v>-</v>
      </c>
      <c r="K96" s="199" t="str">
        <f t="shared" si="65"/>
        <v>-</v>
      </c>
      <c r="L96" s="617"/>
      <c r="M96" s="417" t="e">
        <f>RANK(K96, K$107:$K$121)</f>
        <v>#VALUE!</v>
      </c>
      <c r="N96" s="635"/>
      <c r="O96" s="635"/>
      <c r="P96" s="490"/>
      <c r="Q96" s="416"/>
      <c r="R96" s="416"/>
      <c r="S96" s="490" t="e">
        <f t="shared" si="66"/>
        <v>#N/A</v>
      </c>
      <c r="T96" s="657"/>
      <c r="U96" s="490"/>
      <c r="V96" s="416"/>
      <c r="W96" s="416"/>
      <c r="X96" s="490"/>
      <c r="Y96" s="657"/>
      <c r="Z96" s="490"/>
      <c r="AA96" s="416"/>
      <c r="AB96" s="416"/>
      <c r="AC96" s="490"/>
      <c r="AD96" s="657"/>
      <c r="AE96" s="490"/>
      <c r="AF96" s="416"/>
      <c r="AG96" s="416"/>
      <c r="AH96" s="490"/>
      <c r="AI96" s="657"/>
      <c r="AJ96" s="490"/>
      <c r="AK96" s="416"/>
      <c r="AL96" s="416"/>
      <c r="AM96" s="490"/>
      <c r="AN96" s="657"/>
      <c r="AO96" s="490"/>
      <c r="AP96" s="416"/>
      <c r="AQ96" s="416"/>
      <c r="AR96" s="490"/>
      <c r="AS96" s="657"/>
      <c r="AT96" s="490"/>
      <c r="AU96" s="416"/>
      <c r="AV96" s="416"/>
      <c r="AW96" s="490"/>
      <c r="AX96" s="657"/>
      <c r="AZ96" s="402" t="e">
        <f t="shared" si="68"/>
        <v>#N/A</v>
      </c>
      <c r="BA96" s="657"/>
    </row>
    <row r="97" spans="2:53">
      <c r="B97" s="643"/>
      <c r="C97" s="411">
        <v>11</v>
      </c>
      <c r="D97" s="409"/>
      <c r="E97" s="409"/>
      <c r="F97" s="409"/>
      <c r="G97" s="416"/>
      <c r="H97" s="680"/>
      <c r="I97" s="413" t="str">
        <f t="shared" si="63"/>
        <v>-</v>
      </c>
      <c r="J97" s="413" t="str">
        <f t="shared" si="64"/>
        <v>-</v>
      </c>
      <c r="K97" s="199" t="str">
        <f t="shared" si="65"/>
        <v>-</v>
      </c>
      <c r="L97" s="617"/>
      <c r="M97" s="417" t="e">
        <f>RANK(K97, K$107:$K$121)</f>
        <v>#VALUE!</v>
      </c>
      <c r="N97" s="635"/>
      <c r="O97" s="635"/>
      <c r="P97" s="490"/>
      <c r="Q97" s="416"/>
      <c r="R97" s="416"/>
      <c r="S97" s="490" t="e">
        <f t="shared" si="66"/>
        <v>#N/A</v>
      </c>
      <c r="T97" s="657"/>
      <c r="U97" s="490"/>
      <c r="V97" s="416"/>
      <c r="W97" s="416"/>
      <c r="X97" s="490"/>
      <c r="Y97" s="657"/>
      <c r="Z97" s="490"/>
      <c r="AA97" s="416"/>
      <c r="AB97" s="416"/>
      <c r="AC97" s="490"/>
      <c r="AD97" s="657"/>
      <c r="AE97" s="490"/>
      <c r="AF97" s="416"/>
      <c r="AG97" s="416"/>
      <c r="AH97" s="490"/>
      <c r="AI97" s="657"/>
      <c r="AJ97" s="490"/>
      <c r="AK97" s="416"/>
      <c r="AL97" s="416"/>
      <c r="AM97" s="490"/>
      <c r="AN97" s="657"/>
      <c r="AO97" s="490"/>
      <c r="AP97" s="416"/>
      <c r="AQ97" s="416"/>
      <c r="AR97" s="490"/>
      <c r="AS97" s="657"/>
      <c r="AT97" s="490"/>
      <c r="AU97" s="416"/>
      <c r="AV97" s="416"/>
      <c r="AW97" s="490"/>
      <c r="AX97" s="657"/>
      <c r="AZ97" s="402" t="e">
        <f t="shared" si="68"/>
        <v>#N/A</v>
      </c>
      <c r="BA97" s="657"/>
    </row>
    <row r="98" spans="2:53">
      <c r="B98" s="643"/>
      <c r="C98" s="411">
        <v>12</v>
      </c>
      <c r="D98" s="409"/>
      <c r="E98" s="409"/>
      <c r="F98" s="409"/>
      <c r="G98" s="416"/>
      <c r="H98" s="680"/>
      <c r="I98" s="413" t="str">
        <f t="shared" si="63"/>
        <v>-</v>
      </c>
      <c r="J98" s="413" t="str">
        <f t="shared" si="64"/>
        <v>-</v>
      </c>
      <c r="K98" s="199" t="str">
        <f t="shared" si="65"/>
        <v>-</v>
      </c>
      <c r="L98" s="617"/>
      <c r="M98" s="417" t="e">
        <f>RANK(K98, K$107:$K$121)</f>
        <v>#VALUE!</v>
      </c>
      <c r="N98" s="635"/>
      <c r="O98" s="635"/>
      <c r="P98" s="490"/>
      <c r="Q98" s="416"/>
      <c r="R98" s="416"/>
      <c r="S98" s="490" t="e">
        <f t="shared" si="66"/>
        <v>#N/A</v>
      </c>
      <c r="T98" s="657"/>
      <c r="U98" s="490"/>
      <c r="V98" s="416"/>
      <c r="W98" s="416"/>
      <c r="X98" s="490"/>
      <c r="Y98" s="657"/>
      <c r="Z98" s="490"/>
      <c r="AA98" s="416"/>
      <c r="AB98" s="416"/>
      <c r="AC98" s="490"/>
      <c r="AD98" s="657"/>
      <c r="AE98" s="490"/>
      <c r="AF98" s="416"/>
      <c r="AG98" s="416"/>
      <c r="AH98" s="490"/>
      <c r="AI98" s="657"/>
      <c r="AJ98" s="490"/>
      <c r="AK98" s="416"/>
      <c r="AL98" s="416"/>
      <c r="AM98" s="490"/>
      <c r="AN98" s="657"/>
      <c r="AO98" s="490"/>
      <c r="AP98" s="416"/>
      <c r="AQ98" s="416"/>
      <c r="AR98" s="490"/>
      <c r="AS98" s="657"/>
      <c r="AT98" s="490"/>
      <c r="AU98" s="416"/>
      <c r="AV98" s="416"/>
      <c r="AW98" s="490"/>
      <c r="AX98" s="657"/>
      <c r="AZ98" s="402" t="e">
        <f t="shared" si="68"/>
        <v>#N/A</v>
      </c>
      <c r="BA98" s="657"/>
    </row>
    <row r="99" spans="2:53">
      <c r="B99" s="643"/>
      <c r="C99" s="411">
        <v>13</v>
      </c>
      <c r="D99" s="409"/>
      <c r="E99" s="409"/>
      <c r="F99" s="409"/>
      <c r="G99" s="416"/>
      <c r="H99" s="680"/>
      <c r="I99" s="413" t="str">
        <f t="shared" si="63"/>
        <v>-</v>
      </c>
      <c r="J99" s="413" t="str">
        <f t="shared" si="64"/>
        <v>-</v>
      </c>
      <c r="K99" s="199" t="str">
        <f t="shared" si="65"/>
        <v>-</v>
      </c>
      <c r="L99" s="617"/>
      <c r="M99" s="417" t="e">
        <f>RANK(K99, K$107:$K$121)</f>
        <v>#VALUE!</v>
      </c>
      <c r="N99" s="635"/>
      <c r="O99" s="635"/>
      <c r="P99" s="490"/>
      <c r="Q99" s="416"/>
      <c r="R99" s="416"/>
      <c r="S99" s="490" t="e">
        <f t="shared" si="66"/>
        <v>#N/A</v>
      </c>
      <c r="T99" s="657"/>
      <c r="U99" s="490"/>
      <c r="V99" s="416"/>
      <c r="W99" s="416"/>
      <c r="X99" s="490"/>
      <c r="Y99" s="657"/>
      <c r="Z99" s="490"/>
      <c r="AA99" s="416"/>
      <c r="AB99" s="416"/>
      <c r="AC99" s="490"/>
      <c r="AD99" s="657"/>
      <c r="AE99" s="490"/>
      <c r="AF99" s="416"/>
      <c r="AG99" s="416"/>
      <c r="AH99" s="490"/>
      <c r="AI99" s="657"/>
      <c r="AJ99" s="490"/>
      <c r="AK99" s="416"/>
      <c r="AL99" s="416"/>
      <c r="AM99" s="490"/>
      <c r="AN99" s="657"/>
      <c r="AO99" s="490"/>
      <c r="AP99" s="416"/>
      <c r="AQ99" s="416"/>
      <c r="AR99" s="490"/>
      <c r="AS99" s="657"/>
      <c r="AT99" s="490"/>
      <c r="AU99" s="416"/>
      <c r="AV99" s="416"/>
      <c r="AW99" s="490"/>
      <c r="AX99" s="657"/>
      <c r="AZ99" s="402" t="e">
        <f t="shared" si="68"/>
        <v>#N/A</v>
      </c>
      <c r="BA99" s="657"/>
    </row>
    <row r="100" spans="2:53">
      <c r="B100" s="643"/>
      <c r="C100" s="411">
        <v>14</v>
      </c>
      <c r="D100" s="409"/>
      <c r="E100" s="409"/>
      <c r="F100" s="409"/>
      <c r="G100" s="416"/>
      <c r="H100" s="680"/>
      <c r="I100" s="413" t="str">
        <f t="shared" si="63"/>
        <v>-</v>
      </c>
      <c r="J100" s="413" t="str">
        <f t="shared" si="64"/>
        <v>-</v>
      </c>
      <c r="K100" s="199" t="str">
        <f t="shared" si="65"/>
        <v>-</v>
      </c>
      <c r="L100" s="617"/>
      <c r="M100" s="417" t="e">
        <f>RANK(K100, K$107:$K$121)</f>
        <v>#VALUE!</v>
      </c>
      <c r="N100" s="635"/>
      <c r="O100" s="635"/>
      <c r="P100" s="490"/>
      <c r="Q100" s="416"/>
      <c r="R100" s="416"/>
      <c r="S100" s="490" t="e">
        <f t="shared" si="66"/>
        <v>#N/A</v>
      </c>
      <c r="T100" s="657"/>
      <c r="U100" s="490"/>
      <c r="V100" s="416"/>
      <c r="W100" s="416"/>
      <c r="X100" s="490"/>
      <c r="Y100" s="657"/>
      <c r="Z100" s="490"/>
      <c r="AA100" s="416"/>
      <c r="AB100" s="416"/>
      <c r="AC100" s="490"/>
      <c r="AD100" s="657"/>
      <c r="AE100" s="490"/>
      <c r="AF100" s="416"/>
      <c r="AG100" s="416"/>
      <c r="AH100" s="490"/>
      <c r="AI100" s="657"/>
      <c r="AJ100" s="490"/>
      <c r="AK100" s="416"/>
      <c r="AL100" s="416"/>
      <c r="AM100" s="490"/>
      <c r="AN100" s="657"/>
      <c r="AO100" s="490"/>
      <c r="AP100" s="416"/>
      <c r="AQ100" s="416"/>
      <c r="AR100" s="490"/>
      <c r="AS100" s="657"/>
      <c r="AT100" s="490"/>
      <c r="AU100" s="416"/>
      <c r="AV100" s="416"/>
      <c r="AW100" s="490"/>
      <c r="AX100" s="657"/>
      <c r="AZ100" s="402" t="e">
        <f t="shared" si="68"/>
        <v>#N/A</v>
      </c>
      <c r="BA100" s="657"/>
    </row>
    <row r="101" spans="2:53">
      <c r="B101" s="643"/>
      <c r="C101" s="411">
        <v>15</v>
      </c>
      <c r="D101" s="409"/>
      <c r="E101" s="409"/>
      <c r="F101" s="409"/>
      <c r="G101" s="409"/>
      <c r="H101" s="684"/>
      <c r="I101" s="413" t="str">
        <f t="shared" si="63"/>
        <v>-</v>
      </c>
      <c r="J101" s="413" t="str">
        <f t="shared" si="64"/>
        <v>-</v>
      </c>
      <c r="K101" s="199" t="str">
        <f t="shared" si="65"/>
        <v>-</v>
      </c>
      <c r="L101" s="618"/>
      <c r="M101" s="417" t="e">
        <f>RANK(K101, K$107:$K$121)</f>
        <v>#VALUE!</v>
      </c>
      <c r="N101" s="635"/>
      <c r="O101" s="635"/>
      <c r="P101" s="491"/>
      <c r="Q101" s="492"/>
      <c r="R101" s="492"/>
      <c r="S101" s="490" t="e">
        <f t="shared" si="66"/>
        <v>#N/A</v>
      </c>
      <c r="T101" s="657"/>
      <c r="U101" s="491"/>
      <c r="V101" s="492"/>
      <c r="W101" s="492"/>
      <c r="X101" s="490"/>
      <c r="Y101" s="657"/>
      <c r="Z101" s="491"/>
      <c r="AA101" s="492"/>
      <c r="AB101" s="492"/>
      <c r="AC101" s="490"/>
      <c r="AD101" s="657"/>
      <c r="AE101" s="491"/>
      <c r="AF101" s="492"/>
      <c r="AG101" s="492"/>
      <c r="AH101" s="490"/>
      <c r="AI101" s="657"/>
      <c r="AJ101" s="491"/>
      <c r="AK101" s="492"/>
      <c r="AL101" s="492"/>
      <c r="AM101" s="490"/>
      <c r="AN101" s="657"/>
      <c r="AO101" s="491"/>
      <c r="AP101" s="492"/>
      <c r="AQ101" s="492"/>
      <c r="AR101" s="490"/>
      <c r="AS101" s="657"/>
      <c r="AT101" s="491"/>
      <c r="AU101" s="492"/>
      <c r="AV101" s="492"/>
      <c r="AW101" s="490"/>
      <c r="AX101" s="657"/>
      <c r="AZ101" s="402" t="e">
        <f t="shared" si="68"/>
        <v>#N/A</v>
      </c>
      <c r="BA101" s="657"/>
    </row>
    <row r="102" spans="2:53" ht="15.75">
      <c r="B102" s="647" t="s">
        <v>163</v>
      </c>
      <c r="C102" s="648"/>
      <c r="D102" s="648"/>
      <c r="E102" s="648"/>
      <c r="F102" s="648"/>
      <c r="G102" s="648"/>
      <c r="H102" s="649"/>
      <c r="I102" s="207"/>
      <c r="J102" s="207"/>
      <c r="K102" s="207"/>
      <c r="L102" s="207"/>
      <c r="M102" s="206"/>
      <c r="N102" s="636" t="s">
        <v>156</v>
      </c>
      <c r="O102" s="636" t="s">
        <v>105</v>
      </c>
      <c r="P102" s="642">
        <f>P82+7</f>
        <v>46203</v>
      </c>
      <c r="Q102" s="643"/>
      <c r="R102" s="643"/>
      <c r="S102" s="643"/>
      <c r="T102" s="643"/>
      <c r="U102" s="639">
        <f>P102+1</f>
        <v>46204</v>
      </c>
      <c r="V102" s="640"/>
      <c r="W102" s="640"/>
      <c r="X102" s="640"/>
      <c r="Y102" s="641"/>
      <c r="Z102" s="639">
        <f>U102+1</f>
        <v>46205</v>
      </c>
      <c r="AA102" s="640"/>
      <c r="AB102" s="640"/>
      <c r="AC102" s="640"/>
      <c r="AD102" s="641"/>
      <c r="AE102" s="639">
        <f>Z102+1</f>
        <v>46206</v>
      </c>
      <c r="AF102" s="640"/>
      <c r="AG102" s="640"/>
      <c r="AH102" s="640"/>
      <c r="AI102" s="641"/>
      <c r="AJ102" s="639">
        <f>AE102+1</f>
        <v>46207</v>
      </c>
      <c r="AK102" s="640"/>
      <c r="AL102" s="640"/>
      <c r="AM102" s="640"/>
      <c r="AN102" s="641"/>
      <c r="AO102" s="639">
        <f>AJ102+1</f>
        <v>46208</v>
      </c>
      <c r="AP102" s="640"/>
      <c r="AQ102" s="640"/>
      <c r="AR102" s="640"/>
      <c r="AS102" s="641"/>
      <c r="AT102" s="639">
        <f>AO102+1</f>
        <v>46209</v>
      </c>
      <c r="AU102" s="640"/>
      <c r="AV102" s="640"/>
      <c r="AW102" s="640"/>
      <c r="AX102" s="641"/>
    </row>
    <row r="103" spans="2:53" ht="15.75">
      <c r="B103" s="650"/>
      <c r="C103" s="650"/>
      <c r="D103" s="650"/>
      <c r="E103" s="650"/>
      <c r="F103" s="650"/>
      <c r="G103" s="650"/>
      <c r="H103" s="650"/>
      <c r="I103" s="204"/>
      <c r="J103" s="204"/>
      <c r="K103" s="204"/>
      <c r="L103" s="204"/>
      <c r="M103" s="205"/>
      <c r="N103" s="638"/>
      <c r="O103" s="638"/>
      <c r="P103" s="642" t="s">
        <v>158</v>
      </c>
      <c r="Q103" s="643"/>
      <c r="R103" s="643"/>
      <c r="S103" s="643"/>
      <c r="T103" s="643"/>
      <c r="U103" s="642" t="s">
        <v>114</v>
      </c>
      <c r="V103" s="643"/>
      <c r="W103" s="643"/>
      <c r="X103" s="643"/>
      <c r="Y103" s="643"/>
      <c r="Z103" s="642" t="s">
        <v>159</v>
      </c>
      <c r="AA103" s="643"/>
      <c r="AB103" s="643"/>
      <c r="AC103" s="643"/>
      <c r="AD103" s="643"/>
      <c r="AE103" s="642" t="s">
        <v>157</v>
      </c>
      <c r="AF103" s="643"/>
      <c r="AG103" s="643"/>
      <c r="AH103" s="643"/>
      <c r="AI103" s="643"/>
      <c r="AJ103" s="642" t="s">
        <v>160</v>
      </c>
      <c r="AK103" s="643"/>
      <c r="AL103" s="643"/>
      <c r="AM103" s="643"/>
      <c r="AN103" s="643"/>
      <c r="AO103" s="642" t="s">
        <v>115</v>
      </c>
      <c r="AP103" s="643"/>
      <c r="AQ103" s="643"/>
      <c r="AR103" s="643"/>
      <c r="AS103" s="643"/>
      <c r="AT103" s="642" t="s">
        <v>162</v>
      </c>
      <c r="AU103" s="643"/>
      <c r="AV103" s="643"/>
      <c r="AW103" s="643"/>
      <c r="AX103" s="643"/>
    </row>
    <row r="104" spans="2:53">
      <c r="B104" s="635" t="s">
        <v>533</v>
      </c>
      <c r="C104" s="635" t="s">
        <v>534</v>
      </c>
      <c r="D104" s="635"/>
      <c r="E104" s="635" t="s">
        <v>535</v>
      </c>
      <c r="F104" s="635"/>
      <c r="G104" s="635"/>
      <c r="H104" s="651" t="s">
        <v>536</v>
      </c>
      <c r="I104" s="635" t="s">
        <v>537</v>
      </c>
      <c r="J104" s="635"/>
      <c r="K104" s="635"/>
      <c r="L104" s="651" t="s">
        <v>536</v>
      </c>
      <c r="M104" s="636" t="s">
        <v>538</v>
      </c>
      <c r="N104" s="635"/>
      <c r="O104" s="635" t="s">
        <v>539</v>
      </c>
      <c r="P104" s="632" t="s">
        <v>540</v>
      </c>
      <c r="Q104" s="633"/>
      <c r="R104" s="633"/>
      <c r="S104" s="634"/>
      <c r="T104" s="635" t="s">
        <v>536</v>
      </c>
      <c r="U104" s="632" t="s">
        <v>540</v>
      </c>
      <c r="V104" s="633"/>
      <c r="W104" s="633"/>
      <c r="X104" s="634"/>
      <c r="Y104" s="635" t="s">
        <v>536</v>
      </c>
      <c r="Z104" s="632" t="s">
        <v>540</v>
      </c>
      <c r="AA104" s="633"/>
      <c r="AB104" s="633"/>
      <c r="AC104" s="634"/>
      <c r="AD104" s="635" t="s">
        <v>536</v>
      </c>
      <c r="AE104" s="632" t="s">
        <v>540</v>
      </c>
      <c r="AF104" s="633"/>
      <c r="AG104" s="633"/>
      <c r="AH104" s="634"/>
      <c r="AI104" s="635" t="s">
        <v>536</v>
      </c>
      <c r="AJ104" s="632" t="s">
        <v>540</v>
      </c>
      <c r="AK104" s="633"/>
      <c r="AL104" s="633"/>
      <c r="AM104" s="634"/>
      <c r="AN104" s="635" t="s">
        <v>536</v>
      </c>
      <c r="AO104" s="632" t="s">
        <v>540</v>
      </c>
      <c r="AP104" s="633"/>
      <c r="AQ104" s="633"/>
      <c r="AR104" s="634"/>
      <c r="AS104" s="635" t="s">
        <v>536</v>
      </c>
      <c r="AT104" s="632" t="s">
        <v>540</v>
      </c>
      <c r="AU104" s="633"/>
      <c r="AV104" s="633"/>
      <c r="AW104" s="634"/>
      <c r="AX104" s="635" t="s">
        <v>536</v>
      </c>
      <c r="BA104" s="635" t="s">
        <v>371</v>
      </c>
    </row>
    <row r="105" spans="2:53">
      <c r="B105" s="635"/>
      <c r="C105" s="635"/>
      <c r="D105" s="635"/>
      <c r="E105" s="635" t="s">
        <v>541</v>
      </c>
      <c r="F105" s="635"/>
      <c r="G105" s="635"/>
      <c r="H105" s="652"/>
      <c r="I105" s="635" t="s">
        <v>541</v>
      </c>
      <c r="J105" s="635"/>
      <c r="K105" s="635"/>
      <c r="L105" s="652"/>
      <c r="M105" s="637"/>
      <c r="N105" s="635"/>
      <c r="O105" s="635"/>
      <c r="P105" s="632" t="s">
        <v>542</v>
      </c>
      <c r="Q105" s="633"/>
      <c r="R105" s="633"/>
      <c r="S105" s="634"/>
      <c r="T105" s="635"/>
      <c r="U105" s="632" t="s">
        <v>542</v>
      </c>
      <c r="V105" s="633"/>
      <c r="W105" s="633"/>
      <c r="X105" s="634"/>
      <c r="Y105" s="635"/>
      <c r="Z105" s="632" t="s">
        <v>542</v>
      </c>
      <c r="AA105" s="633"/>
      <c r="AB105" s="633"/>
      <c r="AC105" s="634"/>
      <c r="AD105" s="635"/>
      <c r="AE105" s="632" t="s">
        <v>542</v>
      </c>
      <c r="AF105" s="633"/>
      <c r="AG105" s="633"/>
      <c r="AH105" s="634"/>
      <c r="AI105" s="635"/>
      <c r="AJ105" s="632" t="s">
        <v>542</v>
      </c>
      <c r="AK105" s="633"/>
      <c r="AL105" s="633"/>
      <c r="AM105" s="634"/>
      <c r="AN105" s="635"/>
      <c r="AO105" s="632" t="s">
        <v>542</v>
      </c>
      <c r="AP105" s="633"/>
      <c r="AQ105" s="633"/>
      <c r="AR105" s="634"/>
      <c r="AS105" s="635"/>
      <c r="AT105" s="632" t="s">
        <v>542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60" t="s">
        <v>543</v>
      </c>
      <c r="F106" s="360" t="s">
        <v>544</v>
      </c>
      <c r="G106" s="360" t="s">
        <v>545</v>
      </c>
      <c r="H106" s="653"/>
      <c r="I106" s="360" t="s">
        <v>543</v>
      </c>
      <c r="J106" s="360" t="s">
        <v>544</v>
      </c>
      <c r="K106" s="360" t="s">
        <v>545</v>
      </c>
      <c r="L106" s="653"/>
      <c r="M106" s="638"/>
      <c r="N106" s="635"/>
      <c r="O106" s="635"/>
      <c r="P106" s="360" t="s">
        <v>543</v>
      </c>
      <c r="Q106" s="360" t="s">
        <v>544</v>
      </c>
      <c r="R106" s="360" t="s">
        <v>545</v>
      </c>
      <c r="S106" s="360" t="s">
        <v>538</v>
      </c>
      <c r="T106" s="635"/>
      <c r="U106" s="360" t="s">
        <v>543</v>
      </c>
      <c r="V106" s="360" t="s">
        <v>544</v>
      </c>
      <c r="W106" s="360" t="s">
        <v>545</v>
      </c>
      <c r="X106" s="360" t="s">
        <v>538</v>
      </c>
      <c r="Y106" s="635"/>
      <c r="Z106" s="360" t="s">
        <v>543</v>
      </c>
      <c r="AA106" s="360" t="s">
        <v>544</v>
      </c>
      <c r="AB106" s="360" t="s">
        <v>545</v>
      </c>
      <c r="AC106" s="360" t="s">
        <v>538</v>
      </c>
      <c r="AD106" s="635"/>
      <c r="AE106" s="360" t="s">
        <v>543</v>
      </c>
      <c r="AF106" s="360" t="s">
        <v>544</v>
      </c>
      <c r="AG106" s="360" t="s">
        <v>545</v>
      </c>
      <c r="AH106" s="360" t="s">
        <v>538</v>
      </c>
      <c r="AI106" s="635"/>
      <c r="AJ106" s="360" t="s">
        <v>543</v>
      </c>
      <c r="AK106" s="360" t="s">
        <v>544</v>
      </c>
      <c r="AL106" s="360" t="s">
        <v>545</v>
      </c>
      <c r="AM106" s="360" t="s">
        <v>538</v>
      </c>
      <c r="AN106" s="635"/>
      <c r="AO106" s="360" t="s">
        <v>543</v>
      </c>
      <c r="AP106" s="360" t="s">
        <v>544</v>
      </c>
      <c r="AQ106" s="360" t="s">
        <v>545</v>
      </c>
      <c r="AR106" s="360" t="s">
        <v>538</v>
      </c>
      <c r="AS106" s="635"/>
      <c r="AT106" s="360" t="s">
        <v>543</v>
      </c>
      <c r="AU106" s="360" t="s">
        <v>544</v>
      </c>
      <c r="AV106" s="360" t="s">
        <v>545</v>
      </c>
      <c r="AW106" s="360" t="s">
        <v>538</v>
      </c>
      <c r="AX106" s="635"/>
      <c r="AZ106" s="403" t="s">
        <v>372</v>
      </c>
      <c r="BA106" s="635"/>
    </row>
    <row r="107" spans="2:53">
      <c r="B107" s="683" t="s">
        <v>546</v>
      </c>
      <c r="C107" s="363">
        <v>1</v>
      </c>
      <c r="D107" s="369"/>
      <c r="E107" s="369"/>
      <c r="F107" s="369"/>
      <c r="G107" s="181"/>
      <c r="H107" s="679" t="e">
        <f>AVERAGE(G107:G121)</f>
        <v>#DIV/0!</v>
      </c>
      <c r="I107" s="391" t="str">
        <f t="shared" ref="I107:I121" si="70">IFERROR(AVERAGE(P107,U107,Z107,AE107,AJ107,AO107,AT107),"-")</f>
        <v>-</v>
      </c>
      <c r="J107" s="391" t="str">
        <f t="shared" ref="J107:J121" si="71">IFERROR(AVERAGE(Q107,V107,AA107,AF107,AK107,AP107,AU107),"-")</f>
        <v>-</v>
      </c>
      <c r="K107" s="199" t="str">
        <f t="shared" ref="K107:K121" si="72">IFERROR(AVERAGE(R107,W107,AB107,AG107,AL107,AQ107,AV107),"-")</f>
        <v>-</v>
      </c>
      <c r="L107" s="616" t="str">
        <f>IFERROR(AVERAGE(K107:K121),"-")</f>
        <v>-</v>
      </c>
      <c r="M107" s="364" t="e">
        <f>RANK(K107, K$107:$K$121)</f>
        <v>#VALUE!</v>
      </c>
      <c r="N107" s="635"/>
      <c r="O107" s="635"/>
      <c r="P107" s="181"/>
      <c r="Q107" s="181"/>
      <c r="R107" s="370"/>
      <c r="S107" s="363" t="e">
        <f t="shared" ref="S107:S121" si="73">RANK(R107, R$81:R$87)</f>
        <v>#N/A</v>
      </c>
      <c r="T107" s="682" t="e">
        <f>AVERAGE(R107:R121)</f>
        <v>#DIV/0!</v>
      </c>
      <c r="U107" s="181"/>
      <c r="V107" s="181"/>
      <c r="W107" s="370"/>
      <c r="X107" s="363" t="e">
        <f t="shared" ref="X107:X121" si="74">RANK(W107, W$81:W$87)</f>
        <v>#N/A</v>
      </c>
      <c r="Y107" s="682" t="e">
        <f t="shared" ref="Y107" si="75">AVERAGE(W107:W121)</f>
        <v>#DIV/0!</v>
      </c>
      <c r="Z107" s="181"/>
      <c r="AA107" s="181"/>
      <c r="AB107" s="370"/>
      <c r="AC107" s="363" t="e">
        <f t="shared" ref="AC107:AC121" si="76">RANK(AB107, AB$81:AB$87)</f>
        <v>#N/A</v>
      </c>
      <c r="AD107" s="682" t="e">
        <f t="shared" ref="AD107" si="77">AVERAGE(AB107:AB121)</f>
        <v>#DIV/0!</v>
      </c>
      <c r="AE107" s="181"/>
      <c r="AF107" s="181"/>
      <c r="AG107" s="370"/>
      <c r="AH107" s="363" t="e">
        <f t="shared" ref="AH107:AH121" si="78">RANK(AG107, AG$81:AG$87)</f>
        <v>#N/A</v>
      </c>
      <c r="AI107" s="682" t="e">
        <f t="shared" ref="AI107" si="79">AVERAGE(AG107:AG121)</f>
        <v>#DIV/0!</v>
      </c>
      <c r="AJ107" s="181"/>
      <c r="AK107" s="181"/>
      <c r="AL107" s="370"/>
      <c r="AM107" s="363" t="e">
        <f t="shared" ref="AM107:AM121" si="80">RANK(AL107, AL$81:AL$87)</f>
        <v>#N/A</v>
      </c>
      <c r="AN107" s="682" t="e">
        <f t="shared" ref="AN107" si="81">AVERAGE(AL107:AL121)</f>
        <v>#DIV/0!</v>
      </c>
      <c r="AO107" s="181"/>
      <c r="AP107" s="181"/>
      <c r="AQ107" s="370"/>
      <c r="AR107" s="363" t="e">
        <f t="shared" ref="AR107:AR121" si="82">RANK(AQ107, AQ$81:AQ$87)</f>
        <v>#N/A</v>
      </c>
      <c r="AS107" s="682" t="e">
        <f t="shared" ref="AS107" si="83">AVERAGE(AQ107:AQ121)</f>
        <v>#DIV/0!</v>
      </c>
      <c r="AT107" s="181"/>
      <c r="AU107" s="181"/>
      <c r="AV107" s="370"/>
      <c r="AW107" s="363" t="e">
        <f t="shared" ref="AW107:AW121" si="84">RANK(AV107, AV$81:AV$87)</f>
        <v>#N/A</v>
      </c>
      <c r="AX107" s="682" t="e">
        <f t="shared" ref="AX107" si="85">AVERAGE(AV107:AV121)</f>
        <v>#DIV/0!</v>
      </c>
      <c r="AZ107" s="405" t="e">
        <f t="shared" ref="AZ107:AZ121" si="86">RANK(AY107, AY$81:AY$87)</f>
        <v>#N/A</v>
      </c>
      <c r="BA107" s="682" t="e">
        <f t="shared" ref="BA107" si="87">AVERAGE(AY107:AY121)</f>
        <v>#DIV/0!</v>
      </c>
    </row>
    <row r="108" spans="2:53">
      <c r="B108" s="668"/>
      <c r="C108" s="363">
        <v>2</v>
      </c>
      <c r="D108" s="369"/>
      <c r="E108" s="369"/>
      <c r="F108" s="369"/>
      <c r="G108" s="181"/>
      <c r="H108" s="680"/>
      <c r="I108" s="391" t="str">
        <f t="shared" si="70"/>
        <v>-</v>
      </c>
      <c r="J108" s="391" t="str">
        <f t="shared" si="71"/>
        <v>-</v>
      </c>
      <c r="K108" s="199" t="str">
        <f t="shared" si="72"/>
        <v>-</v>
      </c>
      <c r="L108" s="617"/>
      <c r="M108" s="364" t="e">
        <f>RANK(K108, K$107:$K$121)</f>
        <v>#VALUE!</v>
      </c>
      <c r="N108" s="635"/>
      <c r="O108" s="635"/>
      <c r="P108" s="369"/>
      <c r="Q108" s="181"/>
      <c r="R108" s="370"/>
      <c r="S108" s="363" t="e">
        <f t="shared" si="73"/>
        <v>#N/A</v>
      </c>
      <c r="T108" s="682"/>
      <c r="U108" s="369"/>
      <c r="V108" s="181"/>
      <c r="W108" s="370"/>
      <c r="X108" s="363" t="e">
        <f t="shared" si="74"/>
        <v>#N/A</v>
      </c>
      <c r="Y108" s="682"/>
      <c r="Z108" s="369"/>
      <c r="AA108" s="181"/>
      <c r="AB108" s="370"/>
      <c r="AC108" s="363" t="e">
        <f t="shared" si="76"/>
        <v>#N/A</v>
      </c>
      <c r="AD108" s="682"/>
      <c r="AE108" s="369"/>
      <c r="AF108" s="181"/>
      <c r="AG108" s="370"/>
      <c r="AH108" s="363" t="e">
        <f t="shared" si="78"/>
        <v>#N/A</v>
      </c>
      <c r="AI108" s="682"/>
      <c r="AJ108" s="369"/>
      <c r="AK108" s="181"/>
      <c r="AL108" s="370"/>
      <c r="AM108" s="363" t="e">
        <f t="shared" si="80"/>
        <v>#N/A</v>
      </c>
      <c r="AN108" s="682"/>
      <c r="AO108" s="369"/>
      <c r="AP108" s="181"/>
      <c r="AQ108" s="370"/>
      <c r="AR108" s="363" t="e">
        <f t="shared" si="82"/>
        <v>#N/A</v>
      </c>
      <c r="AS108" s="682"/>
      <c r="AT108" s="369"/>
      <c r="AU108" s="181"/>
      <c r="AV108" s="370"/>
      <c r="AW108" s="363" t="e">
        <f t="shared" si="84"/>
        <v>#N/A</v>
      </c>
      <c r="AX108" s="682"/>
      <c r="AZ108" s="405" t="e">
        <f t="shared" si="86"/>
        <v>#N/A</v>
      </c>
      <c r="BA108" s="682"/>
    </row>
    <row r="109" spans="2:53">
      <c r="B109" s="668"/>
      <c r="C109" s="363">
        <v>3</v>
      </c>
      <c r="D109" s="369"/>
      <c r="E109" s="369"/>
      <c r="F109" s="369"/>
      <c r="G109" s="181"/>
      <c r="H109" s="680"/>
      <c r="I109" s="391" t="str">
        <f t="shared" si="70"/>
        <v>-</v>
      </c>
      <c r="J109" s="391" t="str">
        <f t="shared" si="71"/>
        <v>-</v>
      </c>
      <c r="K109" s="199" t="str">
        <f t="shared" si="72"/>
        <v>-</v>
      </c>
      <c r="L109" s="617"/>
      <c r="M109" s="364" t="e">
        <f>RANK(K109, K$107:$K$121)</f>
        <v>#VALUE!</v>
      </c>
      <c r="N109" s="635"/>
      <c r="O109" s="635"/>
      <c r="P109" s="369"/>
      <c r="Q109" s="181"/>
      <c r="R109" s="370"/>
      <c r="S109" s="363" t="e">
        <f t="shared" si="73"/>
        <v>#N/A</v>
      </c>
      <c r="T109" s="682"/>
      <c r="U109" s="369"/>
      <c r="V109" s="181"/>
      <c r="W109" s="370"/>
      <c r="X109" s="363" t="e">
        <f t="shared" si="74"/>
        <v>#N/A</v>
      </c>
      <c r="Y109" s="682"/>
      <c r="Z109" s="369"/>
      <c r="AA109" s="181"/>
      <c r="AB109" s="370"/>
      <c r="AC109" s="363" t="e">
        <f t="shared" si="76"/>
        <v>#N/A</v>
      </c>
      <c r="AD109" s="682"/>
      <c r="AE109" s="369"/>
      <c r="AF109" s="181"/>
      <c r="AG109" s="370"/>
      <c r="AH109" s="363" t="e">
        <f t="shared" si="78"/>
        <v>#N/A</v>
      </c>
      <c r="AI109" s="682"/>
      <c r="AJ109" s="369"/>
      <c r="AK109" s="181"/>
      <c r="AL109" s="370"/>
      <c r="AM109" s="363" t="e">
        <f t="shared" si="80"/>
        <v>#N/A</v>
      </c>
      <c r="AN109" s="682"/>
      <c r="AO109" s="369"/>
      <c r="AP109" s="181"/>
      <c r="AQ109" s="370"/>
      <c r="AR109" s="363" t="e">
        <f t="shared" si="82"/>
        <v>#N/A</v>
      </c>
      <c r="AS109" s="682"/>
      <c r="AT109" s="369"/>
      <c r="AU109" s="181"/>
      <c r="AV109" s="370"/>
      <c r="AW109" s="363" t="e">
        <f t="shared" si="84"/>
        <v>#N/A</v>
      </c>
      <c r="AX109" s="682"/>
      <c r="AZ109" s="405" t="e">
        <f t="shared" si="86"/>
        <v>#N/A</v>
      </c>
      <c r="BA109" s="682"/>
    </row>
    <row r="110" spans="2:53">
      <c r="B110" s="668"/>
      <c r="C110" s="363">
        <v>4</v>
      </c>
      <c r="D110" s="369"/>
      <c r="E110" s="369"/>
      <c r="F110" s="369"/>
      <c r="G110" s="181"/>
      <c r="H110" s="680"/>
      <c r="I110" s="391" t="str">
        <f t="shared" si="70"/>
        <v>-</v>
      </c>
      <c r="J110" s="391" t="str">
        <f t="shared" si="71"/>
        <v>-</v>
      </c>
      <c r="K110" s="199" t="str">
        <f t="shared" si="72"/>
        <v>-</v>
      </c>
      <c r="L110" s="617"/>
      <c r="M110" s="364" t="e">
        <f>RANK(K110, K$107:$K$121)</f>
        <v>#VALUE!</v>
      </c>
      <c r="N110" s="635"/>
      <c r="O110" s="635"/>
      <c r="P110" s="369"/>
      <c r="Q110" s="181"/>
      <c r="R110" s="370"/>
      <c r="S110" s="363" t="e">
        <f t="shared" si="73"/>
        <v>#N/A</v>
      </c>
      <c r="T110" s="682"/>
      <c r="U110" s="369"/>
      <c r="V110" s="181"/>
      <c r="W110" s="370"/>
      <c r="X110" s="363" t="e">
        <f t="shared" si="74"/>
        <v>#N/A</v>
      </c>
      <c r="Y110" s="682"/>
      <c r="Z110" s="369"/>
      <c r="AA110" s="181"/>
      <c r="AB110" s="370"/>
      <c r="AC110" s="363" t="e">
        <f t="shared" si="76"/>
        <v>#N/A</v>
      </c>
      <c r="AD110" s="682"/>
      <c r="AE110" s="369"/>
      <c r="AF110" s="181"/>
      <c r="AG110" s="370"/>
      <c r="AH110" s="363" t="e">
        <f t="shared" si="78"/>
        <v>#N/A</v>
      </c>
      <c r="AI110" s="682"/>
      <c r="AJ110" s="369"/>
      <c r="AK110" s="181"/>
      <c r="AL110" s="370"/>
      <c r="AM110" s="363" t="e">
        <f t="shared" si="80"/>
        <v>#N/A</v>
      </c>
      <c r="AN110" s="682"/>
      <c r="AO110" s="369"/>
      <c r="AP110" s="181"/>
      <c r="AQ110" s="370"/>
      <c r="AR110" s="363" t="e">
        <f t="shared" si="82"/>
        <v>#N/A</v>
      </c>
      <c r="AS110" s="682"/>
      <c r="AT110" s="369"/>
      <c r="AU110" s="181"/>
      <c r="AV110" s="370"/>
      <c r="AW110" s="363" t="e">
        <f t="shared" si="84"/>
        <v>#N/A</v>
      </c>
      <c r="AX110" s="682"/>
      <c r="AZ110" s="405" t="e">
        <f t="shared" si="86"/>
        <v>#N/A</v>
      </c>
      <c r="BA110" s="682"/>
    </row>
    <row r="111" spans="2:53">
      <c r="B111" s="668"/>
      <c r="C111" s="363">
        <v>5</v>
      </c>
      <c r="D111" s="369"/>
      <c r="E111" s="369"/>
      <c r="F111" s="369"/>
      <c r="G111" s="181"/>
      <c r="H111" s="680"/>
      <c r="I111" s="391" t="str">
        <f t="shared" si="70"/>
        <v>-</v>
      </c>
      <c r="J111" s="391" t="str">
        <f t="shared" si="71"/>
        <v>-</v>
      </c>
      <c r="K111" s="199" t="str">
        <f t="shared" si="72"/>
        <v>-</v>
      </c>
      <c r="L111" s="617"/>
      <c r="M111" s="364" t="e">
        <f>RANK(K111, K$107:$K$121)</f>
        <v>#VALUE!</v>
      </c>
      <c r="N111" s="635"/>
      <c r="O111" s="635"/>
      <c r="P111" s="369"/>
      <c r="Q111" s="181"/>
      <c r="R111" s="370"/>
      <c r="S111" s="363" t="e">
        <f t="shared" si="73"/>
        <v>#N/A</v>
      </c>
      <c r="T111" s="682"/>
      <c r="U111" s="369"/>
      <c r="V111" s="181"/>
      <c r="W111" s="370"/>
      <c r="X111" s="363" t="e">
        <f t="shared" si="74"/>
        <v>#N/A</v>
      </c>
      <c r="Y111" s="682"/>
      <c r="Z111" s="369"/>
      <c r="AA111" s="181"/>
      <c r="AB111" s="370"/>
      <c r="AC111" s="363" t="e">
        <f t="shared" si="76"/>
        <v>#N/A</v>
      </c>
      <c r="AD111" s="682"/>
      <c r="AE111" s="369"/>
      <c r="AF111" s="181"/>
      <c r="AG111" s="370"/>
      <c r="AH111" s="363" t="e">
        <f t="shared" si="78"/>
        <v>#N/A</v>
      </c>
      <c r="AI111" s="682"/>
      <c r="AJ111" s="369"/>
      <c r="AK111" s="181"/>
      <c r="AL111" s="370"/>
      <c r="AM111" s="363" t="e">
        <f t="shared" si="80"/>
        <v>#N/A</v>
      </c>
      <c r="AN111" s="682"/>
      <c r="AO111" s="369"/>
      <c r="AP111" s="181"/>
      <c r="AQ111" s="370"/>
      <c r="AR111" s="363" t="e">
        <f t="shared" si="82"/>
        <v>#N/A</v>
      </c>
      <c r="AS111" s="682"/>
      <c r="AT111" s="369"/>
      <c r="AU111" s="181"/>
      <c r="AV111" s="370"/>
      <c r="AW111" s="363" t="e">
        <f t="shared" si="84"/>
        <v>#N/A</v>
      </c>
      <c r="AX111" s="682"/>
      <c r="AZ111" s="405" t="e">
        <f t="shared" si="86"/>
        <v>#N/A</v>
      </c>
      <c r="BA111" s="682"/>
    </row>
    <row r="112" spans="2:53">
      <c r="B112" s="668"/>
      <c r="C112" s="363">
        <v>6</v>
      </c>
      <c r="D112" s="369"/>
      <c r="E112" s="369"/>
      <c r="F112" s="369"/>
      <c r="G112" s="181"/>
      <c r="H112" s="680"/>
      <c r="I112" s="391" t="str">
        <f t="shared" si="70"/>
        <v>-</v>
      </c>
      <c r="J112" s="391" t="str">
        <f t="shared" si="71"/>
        <v>-</v>
      </c>
      <c r="K112" s="199" t="str">
        <f t="shared" si="72"/>
        <v>-</v>
      </c>
      <c r="L112" s="617"/>
      <c r="M112" s="364" t="e">
        <f>RANK(K112, K$107:$K$121)</f>
        <v>#VALUE!</v>
      </c>
      <c r="N112" s="635"/>
      <c r="O112" s="635"/>
      <c r="P112" s="369"/>
      <c r="Q112" s="181"/>
      <c r="R112" s="370"/>
      <c r="S112" s="363" t="e">
        <f t="shared" si="73"/>
        <v>#N/A</v>
      </c>
      <c r="T112" s="682"/>
      <c r="U112" s="369"/>
      <c r="V112" s="181"/>
      <c r="W112" s="370"/>
      <c r="X112" s="363" t="e">
        <f t="shared" si="74"/>
        <v>#N/A</v>
      </c>
      <c r="Y112" s="682"/>
      <c r="Z112" s="369"/>
      <c r="AA112" s="181"/>
      <c r="AB112" s="370"/>
      <c r="AC112" s="363" t="e">
        <f t="shared" si="76"/>
        <v>#N/A</v>
      </c>
      <c r="AD112" s="682"/>
      <c r="AE112" s="369"/>
      <c r="AF112" s="181"/>
      <c r="AG112" s="370"/>
      <c r="AH112" s="363" t="e">
        <f t="shared" si="78"/>
        <v>#N/A</v>
      </c>
      <c r="AI112" s="682"/>
      <c r="AJ112" s="369"/>
      <c r="AK112" s="181"/>
      <c r="AL112" s="370"/>
      <c r="AM112" s="363" t="e">
        <f t="shared" si="80"/>
        <v>#N/A</v>
      </c>
      <c r="AN112" s="682"/>
      <c r="AO112" s="369"/>
      <c r="AP112" s="181"/>
      <c r="AQ112" s="370"/>
      <c r="AR112" s="363" t="e">
        <f t="shared" si="82"/>
        <v>#N/A</v>
      </c>
      <c r="AS112" s="682"/>
      <c r="AT112" s="369"/>
      <c r="AU112" s="181"/>
      <c r="AV112" s="370"/>
      <c r="AW112" s="363" t="e">
        <f t="shared" si="84"/>
        <v>#N/A</v>
      </c>
      <c r="AX112" s="682"/>
      <c r="AZ112" s="405" t="e">
        <f t="shared" si="86"/>
        <v>#N/A</v>
      </c>
      <c r="BA112" s="682"/>
    </row>
    <row r="113" spans="2:53">
      <c r="B113" s="668"/>
      <c r="C113" s="363">
        <v>7</v>
      </c>
      <c r="D113" s="369"/>
      <c r="E113" s="369"/>
      <c r="F113" s="369"/>
      <c r="G113" s="181"/>
      <c r="H113" s="680"/>
      <c r="I113" s="391" t="str">
        <f t="shared" si="70"/>
        <v>-</v>
      </c>
      <c r="J113" s="391" t="str">
        <f t="shared" si="71"/>
        <v>-</v>
      </c>
      <c r="K113" s="199" t="str">
        <f t="shared" si="72"/>
        <v>-</v>
      </c>
      <c r="L113" s="617"/>
      <c r="M113" s="364" t="e">
        <f>RANK(K113, K$107:$K$121)</f>
        <v>#VALUE!</v>
      </c>
      <c r="N113" s="635"/>
      <c r="O113" s="635"/>
      <c r="P113" s="369"/>
      <c r="Q113" s="181"/>
      <c r="R113" s="370"/>
      <c r="S113" s="363" t="e">
        <f t="shared" si="73"/>
        <v>#N/A</v>
      </c>
      <c r="T113" s="682"/>
      <c r="U113" s="369"/>
      <c r="V113" s="181"/>
      <c r="W113" s="370"/>
      <c r="X113" s="363" t="e">
        <f t="shared" si="74"/>
        <v>#N/A</v>
      </c>
      <c r="Y113" s="682"/>
      <c r="Z113" s="369"/>
      <c r="AA113" s="181"/>
      <c r="AB113" s="370"/>
      <c r="AC113" s="363" t="e">
        <f t="shared" si="76"/>
        <v>#N/A</v>
      </c>
      <c r="AD113" s="682"/>
      <c r="AE113" s="369"/>
      <c r="AF113" s="181"/>
      <c r="AG113" s="370"/>
      <c r="AH113" s="363" t="e">
        <f t="shared" si="78"/>
        <v>#N/A</v>
      </c>
      <c r="AI113" s="682"/>
      <c r="AJ113" s="369"/>
      <c r="AK113" s="181"/>
      <c r="AL113" s="370"/>
      <c r="AM113" s="363" t="e">
        <f t="shared" si="80"/>
        <v>#N/A</v>
      </c>
      <c r="AN113" s="682"/>
      <c r="AO113" s="369"/>
      <c r="AP113" s="181"/>
      <c r="AQ113" s="370"/>
      <c r="AR113" s="363" t="e">
        <f t="shared" si="82"/>
        <v>#N/A</v>
      </c>
      <c r="AS113" s="682"/>
      <c r="AT113" s="369"/>
      <c r="AU113" s="181"/>
      <c r="AV113" s="370"/>
      <c r="AW113" s="363" t="e">
        <f t="shared" si="84"/>
        <v>#N/A</v>
      </c>
      <c r="AX113" s="682"/>
      <c r="AZ113" s="405" t="e">
        <f t="shared" si="86"/>
        <v>#N/A</v>
      </c>
      <c r="BA113" s="682"/>
    </row>
    <row r="114" spans="2:53">
      <c r="B114" s="668"/>
      <c r="C114" s="363">
        <v>8</v>
      </c>
      <c r="D114" s="369"/>
      <c r="E114" s="369"/>
      <c r="F114" s="369"/>
      <c r="G114" s="181"/>
      <c r="H114" s="680"/>
      <c r="I114" s="391" t="str">
        <f t="shared" si="70"/>
        <v>-</v>
      </c>
      <c r="J114" s="391" t="str">
        <f t="shared" si="71"/>
        <v>-</v>
      </c>
      <c r="K114" s="199" t="str">
        <f t="shared" si="72"/>
        <v>-</v>
      </c>
      <c r="L114" s="617"/>
      <c r="M114" s="364" t="e">
        <f>RANK(K114, K$107:$K$121)</f>
        <v>#VALUE!</v>
      </c>
      <c r="N114" s="635"/>
      <c r="O114" s="635"/>
      <c r="P114" s="369"/>
      <c r="Q114" s="181"/>
      <c r="R114" s="370"/>
      <c r="S114" s="363" t="e">
        <f t="shared" si="73"/>
        <v>#N/A</v>
      </c>
      <c r="T114" s="682"/>
      <c r="U114" s="369"/>
      <c r="V114" s="181"/>
      <c r="W114" s="370"/>
      <c r="X114" s="363" t="e">
        <f t="shared" si="74"/>
        <v>#N/A</v>
      </c>
      <c r="Y114" s="682"/>
      <c r="Z114" s="369"/>
      <c r="AA114" s="181"/>
      <c r="AB114" s="370"/>
      <c r="AC114" s="363" t="e">
        <f t="shared" si="76"/>
        <v>#N/A</v>
      </c>
      <c r="AD114" s="682"/>
      <c r="AE114" s="369"/>
      <c r="AF114" s="181"/>
      <c r="AG114" s="370"/>
      <c r="AH114" s="363" t="e">
        <f t="shared" si="78"/>
        <v>#N/A</v>
      </c>
      <c r="AI114" s="682"/>
      <c r="AJ114" s="369"/>
      <c r="AK114" s="181"/>
      <c r="AL114" s="370"/>
      <c r="AM114" s="363" t="e">
        <f t="shared" si="80"/>
        <v>#N/A</v>
      </c>
      <c r="AN114" s="682"/>
      <c r="AO114" s="369"/>
      <c r="AP114" s="181"/>
      <c r="AQ114" s="370"/>
      <c r="AR114" s="363" t="e">
        <f t="shared" si="82"/>
        <v>#N/A</v>
      </c>
      <c r="AS114" s="682"/>
      <c r="AT114" s="369"/>
      <c r="AU114" s="181"/>
      <c r="AV114" s="370"/>
      <c r="AW114" s="363" t="e">
        <f t="shared" si="84"/>
        <v>#N/A</v>
      </c>
      <c r="AX114" s="682"/>
      <c r="AZ114" s="405" t="e">
        <f t="shared" si="86"/>
        <v>#N/A</v>
      </c>
      <c r="BA114" s="682"/>
    </row>
    <row r="115" spans="2:53">
      <c r="B115" s="668"/>
      <c r="C115" s="363">
        <v>9</v>
      </c>
      <c r="D115" s="369"/>
      <c r="E115" s="369"/>
      <c r="F115" s="369"/>
      <c r="G115" s="181"/>
      <c r="H115" s="680"/>
      <c r="I115" s="391" t="str">
        <f t="shared" si="70"/>
        <v>-</v>
      </c>
      <c r="J115" s="391" t="str">
        <f t="shared" si="71"/>
        <v>-</v>
      </c>
      <c r="K115" s="199" t="str">
        <f t="shared" si="72"/>
        <v>-</v>
      </c>
      <c r="L115" s="617"/>
      <c r="M115" s="364" t="e">
        <f>RANK(K115, K$107:$K$121)</f>
        <v>#VALUE!</v>
      </c>
      <c r="N115" s="635"/>
      <c r="O115" s="635"/>
      <c r="P115" s="369"/>
      <c r="Q115" s="181"/>
      <c r="R115" s="370"/>
      <c r="S115" s="363" t="e">
        <f t="shared" si="73"/>
        <v>#N/A</v>
      </c>
      <c r="T115" s="682"/>
      <c r="U115" s="369"/>
      <c r="V115" s="181"/>
      <c r="W115" s="370"/>
      <c r="X115" s="363" t="e">
        <f t="shared" si="74"/>
        <v>#N/A</v>
      </c>
      <c r="Y115" s="682"/>
      <c r="Z115" s="369"/>
      <c r="AA115" s="181"/>
      <c r="AB115" s="370"/>
      <c r="AC115" s="363" t="e">
        <f t="shared" si="76"/>
        <v>#N/A</v>
      </c>
      <c r="AD115" s="682"/>
      <c r="AE115" s="369"/>
      <c r="AF115" s="181"/>
      <c r="AG115" s="370"/>
      <c r="AH115" s="363" t="e">
        <f t="shared" si="78"/>
        <v>#N/A</v>
      </c>
      <c r="AI115" s="682"/>
      <c r="AJ115" s="369"/>
      <c r="AK115" s="181"/>
      <c r="AL115" s="370"/>
      <c r="AM115" s="363" t="e">
        <f t="shared" si="80"/>
        <v>#N/A</v>
      </c>
      <c r="AN115" s="682"/>
      <c r="AO115" s="369"/>
      <c r="AP115" s="181"/>
      <c r="AQ115" s="370"/>
      <c r="AR115" s="363" t="e">
        <f t="shared" si="82"/>
        <v>#N/A</v>
      </c>
      <c r="AS115" s="682"/>
      <c r="AT115" s="369"/>
      <c r="AU115" s="181"/>
      <c r="AV115" s="370"/>
      <c r="AW115" s="363" t="e">
        <f t="shared" si="84"/>
        <v>#N/A</v>
      </c>
      <c r="AX115" s="682"/>
      <c r="AZ115" s="405" t="e">
        <f t="shared" si="86"/>
        <v>#N/A</v>
      </c>
      <c r="BA115" s="682"/>
    </row>
    <row r="116" spans="2:53">
      <c r="B116" s="668"/>
      <c r="C116" s="363">
        <v>10</v>
      </c>
      <c r="D116" s="369"/>
      <c r="E116" s="369"/>
      <c r="F116" s="369"/>
      <c r="G116" s="181"/>
      <c r="H116" s="680"/>
      <c r="I116" s="391" t="str">
        <f t="shared" si="70"/>
        <v>-</v>
      </c>
      <c r="J116" s="391" t="str">
        <f t="shared" si="71"/>
        <v>-</v>
      </c>
      <c r="K116" s="199" t="str">
        <f t="shared" si="72"/>
        <v>-</v>
      </c>
      <c r="L116" s="617"/>
      <c r="M116" s="364" t="e">
        <f>RANK(K116, K$107:$K$121)</f>
        <v>#VALUE!</v>
      </c>
      <c r="N116" s="635"/>
      <c r="O116" s="635"/>
      <c r="P116" s="369"/>
      <c r="Q116" s="181"/>
      <c r="R116" s="370"/>
      <c r="S116" s="363" t="e">
        <f t="shared" si="73"/>
        <v>#N/A</v>
      </c>
      <c r="T116" s="682"/>
      <c r="U116" s="369"/>
      <c r="V116" s="181"/>
      <c r="W116" s="370"/>
      <c r="X116" s="363" t="e">
        <f t="shared" si="74"/>
        <v>#N/A</v>
      </c>
      <c r="Y116" s="682"/>
      <c r="Z116" s="369"/>
      <c r="AA116" s="181"/>
      <c r="AB116" s="370"/>
      <c r="AC116" s="363" t="e">
        <f t="shared" si="76"/>
        <v>#N/A</v>
      </c>
      <c r="AD116" s="682"/>
      <c r="AE116" s="369"/>
      <c r="AF116" s="181"/>
      <c r="AG116" s="370"/>
      <c r="AH116" s="363" t="e">
        <f t="shared" si="78"/>
        <v>#N/A</v>
      </c>
      <c r="AI116" s="682"/>
      <c r="AJ116" s="369"/>
      <c r="AK116" s="181"/>
      <c r="AL116" s="370"/>
      <c r="AM116" s="363" t="e">
        <f t="shared" si="80"/>
        <v>#N/A</v>
      </c>
      <c r="AN116" s="682"/>
      <c r="AO116" s="369"/>
      <c r="AP116" s="181"/>
      <c r="AQ116" s="370"/>
      <c r="AR116" s="363" t="e">
        <f t="shared" si="82"/>
        <v>#N/A</v>
      </c>
      <c r="AS116" s="682"/>
      <c r="AT116" s="369"/>
      <c r="AU116" s="181"/>
      <c r="AV116" s="370"/>
      <c r="AW116" s="363" t="e">
        <f t="shared" si="84"/>
        <v>#N/A</v>
      </c>
      <c r="AX116" s="682"/>
      <c r="AZ116" s="405" t="e">
        <f t="shared" si="86"/>
        <v>#N/A</v>
      </c>
      <c r="BA116" s="682"/>
    </row>
    <row r="117" spans="2:53">
      <c r="B117" s="668"/>
      <c r="C117" s="363">
        <v>11</v>
      </c>
      <c r="D117" s="369"/>
      <c r="E117" s="369"/>
      <c r="F117" s="369"/>
      <c r="G117" s="181"/>
      <c r="H117" s="680"/>
      <c r="I117" s="391" t="str">
        <f t="shared" si="70"/>
        <v>-</v>
      </c>
      <c r="J117" s="391" t="str">
        <f t="shared" si="71"/>
        <v>-</v>
      </c>
      <c r="K117" s="199" t="str">
        <f t="shared" si="72"/>
        <v>-</v>
      </c>
      <c r="L117" s="617"/>
      <c r="M117" s="364" t="e">
        <f>RANK(K117, K$107:$K$121)</f>
        <v>#VALUE!</v>
      </c>
      <c r="N117" s="635"/>
      <c r="O117" s="635"/>
      <c r="P117" s="369"/>
      <c r="Q117" s="369"/>
      <c r="R117" s="369"/>
      <c r="S117" s="363" t="e">
        <f t="shared" si="73"/>
        <v>#N/A</v>
      </c>
      <c r="T117" s="682"/>
      <c r="U117" s="369"/>
      <c r="V117" s="369"/>
      <c r="W117" s="369"/>
      <c r="X117" s="363" t="e">
        <f t="shared" si="74"/>
        <v>#N/A</v>
      </c>
      <c r="Y117" s="682"/>
      <c r="Z117" s="369"/>
      <c r="AA117" s="369"/>
      <c r="AB117" s="369"/>
      <c r="AC117" s="363" t="e">
        <f t="shared" si="76"/>
        <v>#N/A</v>
      </c>
      <c r="AD117" s="682"/>
      <c r="AE117" s="369"/>
      <c r="AF117" s="369"/>
      <c r="AG117" s="369"/>
      <c r="AH117" s="363" t="e">
        <f t="shared" si="78"/>
        <v>#N/A</v>
      </c>
      <c r="AI117" s="682"/>
      <c r="AJ117" s="369"/>
      <c r="AK117" s="369"/>
      <c r="AL117" s="369"/>
      <c r="AM117" s="363" t="e">
        <f t="shared" si="80"/>
        <v>#N/A</v>
      </c>
      <c r="AN117" s="682"/>
      <c r="AO117" s="369"/>
      <c r="AP117" s="369"/>
      <c r="AQ117" s="369"/>
      <c r="AR117" s="363" t="e">
        <f t="shared" si="82"/>
        <v>#N/A</v>
      </c>
      <c r="AS117" s="682"/>
      <c r="AT117" s="369"/>
      <c r="AU117" s="369"/>
      <c r="AV117" s="369"/>
      <c r="AW117" s="363" t="e">
        <f t="shared" si="84"/>
        <v>#N/A</v>
      </c>
      <c r="AX117" s="682"/>
      <c r="AZ117" s="405" t="e">
        <f t="shared" si="86"/>
        <v>#N/A</v>
      </c>
      <c r="BA117" s="682"/>
    </row>
    <row r="118" spans="2:53">
      <c r="B118" s="668"/>
      <c r="C118" s="363">
        <v>12</v>
      </c>
      <c r="D118" s="369"/>
      <c r="E118" s="369"/>
      <c r="F118" s="369"/>
      <c r="G118" s="181"/>
      <c r="H118" s="680"/>
      <c r="I118" s="391" t="str">
        <f t="shared" si="70"/>
        <v>-</v>
      </c>
      <c r="J118" s="391" t="str">
        <f t="shared" si="71"/>
        <v>-</v>
      </c>
      <c r="K118" s="199" t="str">
        <f t="shared" si="72"/>
        <v>-</v>
      </c>
      <c r="L118" s="617"/>
      <c r="M118" s="364" t="e">
        <f>RANK(K118, K$107:$K$121)</f>
        <v>#VALUE!</v>
      </c>
      <c r="N118" s="635"/>
      <c r="O118" s="635"/>
      <c r="P118" s="369"/>
      <c r="Q118" s="369"/>
      <c r="R118" s="369"/>
      <c r="S118" s="363" t="e">
        <f t="shared" si="73"/>
        <v>#N/A</v>
      </c>
      <c r="T118" s="682"/>
      <c r="U118" s="369"/>
      <c r="V118" s="369"/>
      <c r="W118" s="369"/>
      <c r="X118" s="363" t="e">
        <f t="shared" si="74"/>
        <v>#N/A</v>
      </c>
      <c r="Y118" s="682"/>
      <c r="Z118" s="369"/>
      <c r="AA118" s="369"/>
      <c r="AB118" s="369"/>
      <c r="AC118" s="363" t="e">
        <f t="shared" si="76"/>
        <v>#N/A</v>
      </c>
      <c r="AD118" s="682"/>
      <c r="AE118" s="369"/>
      <c r="AF118" s="369"/>
      <c r="AG118" s="369"/>
      <c r="AH118" s="363" t="e">
        <f t="shared" si="78"/>
        <v>#N/A</v>
      </c>
      <c r="AI118" s="682"/>
      <c r="AJ118" s="369"/>
      <c r="AK118" s="369"/>
      <c r="AL118" s="369"/>
      <c r="AM118" s="363" t="e">
        <f t="shared" si="80"/>
        <v>#N/A</v>
      </c>
      <c r="AN118" s="682"/>
      <c r="AO118" s="369"/>
      <c r="AP118" s="369"/>
      <c r="AQ118" s="369"/>
      <c r="AR118" s="363" t="e">
        <f t="shared" si="82"/>
        <v>#N/A</v>
      </c>
      <c r="AS118" s="682"/>
      <c r="AT118" s="369"/>
      <c r="AU118" s="369"/>
      <c r="AV118" s="369"/>
      <c r="AW118" s="363" t="e">
        <f t="shared" si="84"/>
        <v>#N/A</v>
      </c>
      <c r="AX118" s="682"/>
      <c r="AZ118" s="405" t="e">
        <f t="shared" si="86"/>
        <v>#N/A</v>
      </c>
      <c r="BA118" s="682"/>
    </row>
    <row r="119" spans="2:53">
      <c r="B119" s="668"/>
      <c r="C119" s="363">
        <v>13</v>
      </c>
      <c r="D119" s="369"/>
      <c r="E119" s="369"/>
      <c r="F119" s="369"/>
      <c r="G119" s="181"/>
      <c r="H119" s="680"/>
      <c r="I119" s="391" t="str">
        <f t="shared" si="70"/>
        <v>-</v>
      </c>
      <c r="J119" s="391" t="str">
        <f t="shared" si="71"/>
        <v>-</v>
      </c>
      <c r="K119" s="199" t="str">
        <f t="shared" si="72"/>
        <v>-</v>
      </c>
      <c r="L119" s="617"/>
      <c r="M119" s="364" t="e">
        <f>RANK(K119, K$107:$K$121)</f>
        <v>#VALUE!</v>
      </c>
      <c r="N119" s="635"/>
      <c r="O119" s="635"/>
      <c r="P119" s="369"/>
      <c r="Q119" s="369"/>
      <c r="R119" s="369"/>
      <c r="S119" s="363" t="e">
        <f t="shared" si="73"/>
        <v>#N/A</v>
      </c>
      <c r="T119" s="682"/>
      <c r="U119" s="369"/>
      <c r="V119" s="369"/>
      <c r="W119" s="369"/>
      <c r="X119" s="363" t="e">
        <f t="shared" si="74"/>
        <v>#N/A</v>
      </c>
      <c r="Y119" s="682"/>
      <c r="Z119" s="369"/>
      <c r="AA119" s="369"/>
      <c r="AB119" s="369"/>
      <c r="AC119" s="363" t="e">
        <f t="shared" si="76"/>
        <v>#N/A</v>
      </c>
      <c r="AD119" s="682"/>
      <c r="AE119" s="369"/>
      <c r="AF119" s="369"/>
      <c r="AG119" s="369"/>
      <c r="AH119" s="363" t="e">
        <f t="shared" si="78"/>
        <v>#N/A</v>
      </c>
      <c r="AI119" s="682"/>
      <c r="AJ119" s="369"/>
      <c r="AK119" s="369"/>
      <c r="AL119" s="369"/>
      <c r="AM119" s="363" t="e">
        <f t="shared" si="80"/>
        <v>#N/A</v>
      </c>
      <c r="AN119" s="682"/>
      <c r="AO119" s="369"/>
      <c r="AP119" s="369"/>
      <c r="AQ119" s="369"/>
      <c r="AR119" s="363" t="e">
        <f t="shared" si="82"/>
        <v>#N/A</v>
      </c>
      <c r="AS119" s="682"/>
      <c r="AT119" s="369"/>
      <c r="AU119" s="369"/>
      <c r="AV119" s="369"/>
      <c r="AW119" s="363" t="e">
        <f t="shared" si="84"/>
        <v>#N/A</v>
      </c>
      <c r="AX119" s="682"/>
      <c r="AZ119" s="405" t="e">
        <f t="shared" si="86"/>
        <v>#N/A</v>
      </c>
      <c r="BA119" s="682"/>
    </row>
    <row r="120" spans="2:53">
      <c r="B120" s="668"/>
      <c r="C120" s="363">
        <v>14</v>
      </c>
      <c r="D120" s="369"/>
      <c r="E120" s="369"/>
      <c r="F120" s="369"/>
      <c r="G120" s="181"/>
      <c r="H120" s="680"/>
      <c r="I120" s="391" t="str">
        <f t="shared" si="70"/>
        <v>-</v>
      </c>
      <c r="J120" s="391" t="str">
        <f t="shared" si="71"/>
        <v>-</v>
      </c>
      <c r="K120" s="199" t="str">
        <f t="shared" si="72"/>
        <v>-</v>
      </c>
      <c r="L120" s="617"/>
      <c r="M120" s="364" t="e">
        <f>RANK(K120, K$107:$K$121)</f>
        <v>#VALUE!</v>
      </c>
      <c r="N120" s="635"/>
      <c r="O120" s="635"/>
      <c r="P120" s="369"/>
      <c r="Q120" s="369"/>
      <c r="R120" s="369"/>
      <c r="S120" s="363" t="e">
        <f t="shared" si="73"/>
        <v>#N/A</v>
      </c>
      <c r="T120" s="682"/>
      <c r="U120" s="369"/>
      <c r="V120" s="369"/>
      <c r="W120" s="369"/>
      <c r="X120" s="363" t="e">
        <f t="shared" si="74"/>
        <v>#N/A</v>
      </c>
      <c r="Y120" s="682"/>
      <c r="Z120" s="369"/>
      <c r="AA120" s="369"/>
      <c r="AB120" s="369"/>
      <c r="AC120" s="363" t="e">
        <f t="shared" si="76"/>
        <v>#N/A</v>
      </c>
      <c r="AD120" s="682"/>
      <c r="AE120" s="369"/>
      <c r="AF120" s="369"/>
      <c r="AG120" s="369"/>
      <c r="AH120" s="363" t="e">
        <f t="shared" si="78"/>
        <v>#N/A</v>
      </c>
      <c r="AI120" s="682"/>
      <c r="AJ120" s="369"/>
      <c r="AK120" s="369"/>
      <c r="AL120" s="369"/>
      <c r="AM120" s="363" t="e">
        <f t="shared" si="80"/>
        <v>#N/A</v>
      </c>
      <c r="AN120" s="682"/>
      <c r="AO120" s="369"/>
      <c r="AP120" s="369"/>
      <c r="AQ120" s="369"/>
      <c r="AR120" s="363" t="e">
        <f t="shared" si="82"/>
        <v>#N/A</v>
      </c>
      <c r="AS120" s="682"/>
      <c r="AT120" s="369"/>
      <c r="AU120" s="369"/>
      <c r="AV120" s="369"/>
      <c r="AW120" s="363" t="e">
        <f t="shared" si="84"/>
        <v>#N/A</v>
      </c>
      <c r="AX120" s="682"/>
      <c r="AZ120" s="405" t="e">
        <f t="shared" si="86"/>
        <v>#N/A</v>
      </c>
      <c r="BA120" s="682"/>
    </row>
    <row r="121" spans="2:53">
      <c r="B121" s="668"/>
      <c r="C121" s="363">
        <v>15</v>
      </c>
      <c r="D121" s="369"/>
      <c r="E121" s="369"/>
      <c r="F121" s="369"/>
      <c r="G121" s="369"/>
      <c r="H121" s="684"/>
      <c r="I121" s="391" t="str">
        <f t="shared" si="70"/>
        <v>-</v>
      </c>
      <c r="J121" s="391" t="str">
        <f t="shared" si="71"/>
        <v>-</v>
      </c>
      <c r="K121" s="199" t="str">
        <f t="shared" si="72"/>
        <v>-</v>
      </c>
      <c r="L121" s="618"/>
      <c r="M121" s="364" t="e">
        <f>RANK(K121, K$107:$K$121)</f>
        <v>#VALUE!</v>
      </c>
      <c r="N121" s="635"/>
      <c r="O121" s="635"/>
      <c r="P121" s="363"/>
      <c r="Q121" s="364"/>
      <c r="R121" s="364"/>
      <c r="S121" s="363" t="e">
        <f t="shared" si="73"/>
        <v>#N/A</v>
      </c>
      <c r="T121" s="682"/>
      <c r="U121" s="363"/>
      <c r="V121" s="364"/>
      <c r="W121" s="364"/>
      <c r="X121" s="363" t="e">
        <f t="shared" si="74"/>
        <v>#N/A</v>
      </c>
      <c r="Y121" s="682"/>
      <c r="Z121" s="363"/>
      <c r="AA121" s="364"/>
      <c r="AB121" s="364"/>
      <c r="AC121" s="363" t="e">
        <f t="shared" si="76"/>
        <v>#N/A</v>
      </c>
      <c r="AD121" s="682"/>
      <c r="AE121" s="363"/>
      <c r="AF121" s="364"/>
      <c r="AG121" s="364"/>
      <c r="AH121" s="363" t="e">
        <f t="shared" si="78"/>
        <v>#N/A</v>
      </c>
      <c r="AI121" s="682"/>
      <c r="AJ121" s="363"/>
      <c r="AK121" s="364"/>
      <c r="AL121" s="364"/>
      <c r="AM121" s="363" t="e">
        <f t="shared" si="80"/>
        <v>#N/A</v>
      </c>
      <c r="AN121" s="682"/>
      <c r="AO121" s="363"/>
      <c r="AP121" s="364"/>
      <c r="AQ121" s="364"/>
      <c r="AR121" s="363" t="e">
        <f t="shared" si="82"/>
        <v>#N/A</v>
      </c>
      <c r="AS121" s="682"/>
      <c r="AT121" s="363"/>
      <c r="AU121" s="364"/>
      <c r="AV121" s="364"/>
      <c r="AW121" s="363" t="e">
        <f t="shared" si="84"/>
        <v>#N/A</v>
      </c>
      <c r="AX121" s="682"/>
      <c r="AZ121" s="405" t="e">
        <f t="shared" si="86"/>
        <v>#N/A</v>
      </c>
      <c r="BA121" s="682"/>
    </row>
    <row r="123" spans="2:53" ht="15.75">
      <c r="B123" s="674" t="s">
        <v>482</v>
      </c>
      <c r="C123" s="675"/>
      <c r="D123" s="675"/>
      <c r="E123" s="675"/>
      <c r="F123" s="675"/>
      <c r="G123" s="675"/>
      <c r="H123" s="676"/>
      <c r="I123" s="315"/>
      <c r="J123" s="315"/>
      <c r="K123" s="315"/>
      <c r="L123" s="315"/>
      <c r="M123" s="316"/>
    </row>
    <row r="124" spans="2:53" ht="15.75">
      <c r="B124" s="677"/>
      <c r="C124" s="677"/>
      <c r="D124" s="677"/>
      <c r="E124" s="677"/>
      <c r="F124" s="677"/>
      <c r="G124" s="677"/>
      <c r="H124" s="677"/>
      <c r="I124" s="317"/>
      <c r="J124" s="317"/>
      <c r="K124" s="317"/>
      <c r="L124" s="317"/>
      <c r="M124" s="318"/>
    </row>
    <row r="125" spans="2:53">
      <c r="B125" s="635" t="s">
        <v>483</v>
      </c>
      <c r="C125" s="635" t="s">
        <v>484</v>
      </c>
      <c r="D125" s="635"/>
      <c r="E125" s="635" t="s">
        <v>485</v>
      </c>
      <c r="F125" s="635"/>
      <c r="G125" s="635"/>
      <c r="H125" s="651" t="s">
        <v>486</v>
      </c>
      <c r="I125" s="678" t="s">
        <v>487</v>
      </c>
      <c r="J125" s="678"/>
      <c r="K125" s="678"/>
      <c r="L125" s="691" t="s">
        <v>486</v>
      </c>
      <c r="M125" s="694" t="s">
        <v>488</v>
      </c>
    </row>
    <row r="126" spans="2:53">
      <c r="B126" s="635"/>
      <c r="C126" s="635"/>
      <c r="D126" s="635"/>
      <c r="E126" s="635" t="s">
        <v>489</v>
      </c>
      <c r="F126" s="635"/>
      <c r="G126" s="635"/>
      <c r="H126" s="652"/>
      <c r="I126" s="678" t="s">
        <v>489</v>
      </c>
      <c r="J126" s="678"/>
      <c r="K126" s="678"/>
      <c r="L126" s="692"/>
      <c r="M126" s="695"/>
    </row>
    <row r="127" spans="2:53">
      <c r="B127" s="635"/>
      <c r="C127" s="635"/>
      <c r="D127" s="635"/>
      <c r="E127" s="312" t="s">
        <v>490</v>
      </c>
      <c r="F127" s="312" t="s">
        <v>491</v>
      </c>
      <c r="G127" s="312" t="s">
        <v>492</v>
      </c>
      <c r="H127" s="653"/>
      <c r="I127" s="319" t="s">
        <v>490</v>
      </c>
      <c r="J127" s="319" t="s">
        <v>491</v>
      </c>
      <c r="K127" s="319" t="s">
        <v>492</v>
      </c>
      <c r="L127" s="693"/>
      <c r="M127" s="696"/>
    </row>
    <row r="128" spans="2:53">
      <c r="B128" s="683" t="s">
        <v>494</v>
      </c>
      <c r="C128" s="311">
        <v>1</v>
      </c>
      <c r="D128" s="225"/>
      <c r="E128" s="181"/>
      <c r="F128" s="311"/>
      <c r="G128" s="314"/>
      <c r="H128" s="685" t="e">
        <f>AVERAGE(G128:G142)</f>
        <v>#DIV/0!</v>
      </c>
      <c r="I128" s="198" t="e">
        <f t="shared" ref="I128:K134" si="88">AVERAGEIF($D$7:$D$121,$D128,I$7:I$121)</f>
        <v>#DIV/0!</v>
      </c>
      <c r="J128" s="198" t="e">
        <f t="shared" si="88"/>
        <v>#DIV/0!</v>
      </c>
      <c r="K128" s="198" t="e">
        <f>AVERAGEIF($D$7:$D$121,$D128,K$7:K$121)</f>
        <v>#DIV/0!</v>
      </c>
      <c r="L128" s="688" t="e">
        <f>AVERAGE(K128:K142)</f>
        <v>#DIV/0!</v>
      </c>
      <c r="M128" s="198" t="e">
        <f>RANK(K128, K$128:$K$142)</f>
        <v>#DIV/0!</v>
      </c>
    </row>
    <row r="129" spans="2:39">
      <c r="B129" s="643"/>
      <c r="C129" s="311">
        <v>2</v>
      </c>
      <c r="D129" s="225"/>
      <c r="E129" s="181"/>
      <c r="F129" s="311"/>
      <c r="G129" s="314"/>
      <c r="H129" s="686"/>
      <c r="I129" s="198" t="e">
        <f t="shared" si="88"/>
        <v>#DIV/0!</v>
      </c>
      <c r="J129" s="198" t="e">
        <f t="shared" si="88"/>
        <v>#DIV/0!</v>
      </c>
      <c r="K129" s="198" t="e">
        <f t="shared" si="88"/>
        <v>#DIV/0!</v>
      </c>
      <c r="L129" s="689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311">
        <v>3</v>
      </c>
      <c r="D130" s="225"/>
      <c r="E130" s="181"/>
      <c r="F130" s="311"/>
      <c r="G130" s="314"/>
      <c r="H130" s="686"/>
      <c r="I130" s="198" t="e">
        <f t="shared" si="88"/>
        <v>#DIV/0!</v>
      </c>
      <c r="J130" s="198" t="e">
        <f t="shared" si="88"/>
        <v>#DIV/0!</v>
      </c>
      <c r="K130" s="198" t="e">
        <f t="shared" si="88"/>
        <v>#DIV/0!</v>
      </c>
      <c r="L130" s="689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311">
        <v>4</v>
      </c>
      <c r="D131" s="225"/>
      <c r="E131" s="181"/>
      <c r="F131" s="311"/>
      <c r="G131" s="314"/>
      <c r="H131" s="686"/>
      <c r="I131" s="198" t="e">
        <f t="shared" si="88"/>
        <v>#DIV/0!</v>
      </c>
      <c r="J131" s="198" t="e">
        <f t="shared" si="88"/>
        <v>#DIV/0!</v>
      </c>
      <c r="K131" s="198" t="e">
        <f t="shared" si="88"/>
        <v>#DIV/0!</v>
      </c>
      <c r="L131" s="689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311">
        <v>5</v>
      </c>
      <c r="D132" s="225"/>
      <c r="E132" s="181"/>
      <c r="F132" s="311"/>
      <c r="G132" s="314"/>
      <c r="H132" s="686"/>
      <c r="I132" s="198" t="e">
        <f t="shared" si="88"/>
        <v>#DIV/0!</v>
      </c>
      <c r="J132" s="198" t="e">
        <f t="shared" si="88"/>
        <v>#DIV/0!</v>
      </c>
      <c r="K132" s="198" t="e">
        <f t="shared" si="88"/>
        <v>#DIV/0!</v>
      </c>
      <c r="L132" s="689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311">
        <v>6</v>
      </c>
      <c r="D133" s="320"/>
      <c r="E133" s="181"/>
      <c r="F133" s="311"/>
      <c r="G133" s="314"/>
      <c r="H133" s="686"/>
      <c r="I133" s="198" t="e">
        <f t="shared" si="88"/>
        <v>#DIV/0!</v>
      </c>
      <c r="J133" s="198" t="e">
        <f t="shared" si="88"/>
        <v>#DIV/0!</v>
      </c>
      <c r="K133" s="198" t="e">
        <f t="shared" si="88"/>
        <v>#DIV/0!</v>
      </c>
      <c r="L133" s="689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311">
        <v>7</v>
      </c>
      <c r="D134" s="225"/>
      <c r="E134" s="181"/>
      <c r="F134" s="311"/>
      <c r="G134" s="314"/>
      <c r="H134" s="686"/>
      <c r="I134" s="198" t="e">
        <f t="shared" si="88"/>
        <v>#DIV/0!</v>
      </c>
      <c r="J134" s="198" t="e">
        <f t="shared" si="88"/>
        <v>#DIV/0!</v>
      </c>
      <c r="K134" s="198" t="e">
        <f t="shared" si="88"/>
        <v>#DIV/0!</v>
      </c>
      <c r="L134" s="689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311">
        <v>8</v>
      </c>
      <c r="D135" s="225"/>
      <c r="E135" s="181"/>
      <c r="F135" s="311"/>
      <c r="G135" s="314"/>
      <c r="H135" s="686"/>
      <c r="I135" s="198"/>
      <c r="J135" s="198"/>
      <c r="K135" s="198"/>
      <c r="L135" s="689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311">
        <v>9</v>
      </c>
      <c r="D136" s="225"/>
      <c r="E136" s="311"/>
      <c r="F136" s="311"/>
      <c r="G136" s="311"/>
      <c r="H136" s="686"/>
      <c r="I136" s="198"/>
      <c r="J136" s="198"/>
      <c r="K136" s="198"/>
      <c r="L136" s="689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311">
        <v>10</v>
      </c>
      <c r="D137" s="225"/>
      <c r="E137" s="311"/>
      <c r="F137" s="311"/>
      <c r="G137" s="311"/>
      <c r="H137" s="686"/>
      <c r="I137" s="198"/>
      <c r="J137" s="198"/>
      <c r="K137" s="198"/>
      <c r="L137" s="689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311">
        <v>11</v>
      </c>
      <c r="D138" s="225"/>
      <c r="E138" s="311"/>
      <c r="F138" s="311"/>
      <c r="G138" s="311"/>
      <c r="H138" s="686"/>
      <c r="I138" s="198"/>
      <c r="J138" s="198"/>
      <c r="K138" s="198"/>
      <c r="L138" s="689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311">
        <v>12</v>
      </c>
      <c r="D139" s="225"/>
      <c r="E139" s="311"/>
      <c r="F139" s="311"/>
      <c r="G139" s="311"/>
      <c r="H139" s="686"/>
      <c r="I139" s="198"/>
      <c r="J139" s="198"/>
      <c r="K139" s="198"/>
      <c r="L139" s="689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311">
        <v>13</v>
      </c>
      <c r="D140" s="225"/>
      <c r="E140" s="311"/>
      <c r="F140" s="311"/>
      <c r="G140" s="311"/>
      <c r="H140" s="686"/>
      <c r="I140" s="198"/>
      <c r="J140" s="198"/>
      <c r="K140" s="198"/>
      <c r="L140" s="689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311">
        <v>14</v>
      </c>
      <c r="D141" s="225"/>
      <c r="E141" s="311"/>
      <c r="F141" s="311"/>
      <c r="G141" s="311"/>
      <c r="H141" s="686"/>
      <c r="I141" s="198"/>
      <c r="J141" s="198"/>
      <c r="K141" s="198"/>
      <c r="L141" s="689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311">
        <v>15</v>
      </c>
      <c r="D142" s="225"/>
      <c r="E142" s="311"/>
      <c r="F142" s="311"/>
      <c r="G142" s="311"/>
      <c r="H142" s="687"/>
      <c r="I142" s="198"/>
      <c r="J142" s="198"/>
      <c r="K142" s="198"/>
      <c r="L142" s="690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2" zoomScale="70" zoomScaleNormal="70" workbookViewId="0">
      <pane xSplit="15" topLeftCell="P1" activePane="topRight" state="frozen"/>
      <selection activeCell="P87" sqref="P87:R101"/>
      <selection pane="topRight" activeCell="AE56" sqref="AE56:AG5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222.80935034818219</v>
      </c>
    </row>
    <row r="2" spans="1:53" ht="15.75">
      <c r="A2" s="81"/>
      <c r="B2" s="647" t="s">
        <v>163</v>
      </c>
      <c r="C2" s="647"/>
      <c r="D2" s="647"/>
      <c r="E2" s="647"/>
      <c r="F2" s="647"/>
      <c r="G2" s="647"/>
      <c r="H2" s="647"/>
      <c r="I2" s="292"/>
      <c r="J2" s="292"/>
      <c r="K2" s="292"/>
      <c r="L2" s="292"/>
      <c r="M2" s="196"/>
      <c r="N2" s="636" t="s">
        <v>156</v>
      </c>
      <c r="O2" s="636" t="s">
        <v>155</v>
      </c>
      <c r="P2" s="663">
        <v>46168</v>
      </c>
      <c r="Q2" s="664"/>
      <c r="R2" s="664"/>
      <c r="S2" s="664"/>
      <c r="T2" s="665"/>
      <c r="U2" s="642">
        <v>46168</v>
      </c>
      <c r="V2" s="643"/>
      <c r="W2" s="643"/>
      <c r="X2" s="643"/>
      <c r="Y2" s="643"/>
      <c r="Z2" s="642">
        <f>U2+1</f>
        <v>46169</v>
      </c>
      <c r="AA2" s="643"/>
      <c r="AB2" s="643"/>
      <c r="AC2" s="643"/>
      <c r="AD2" s="643"/>
      <c r="AE2" s="642">
        <f>Z2+1</f>
        <v>46170</v>
      </c>
      <c r="AF2" s="643"/>
      <c r="AG2" s="643"/>
      <c r="AH2" s="643"/>
      <c r="AI2" s="643"/>
      <c r="AJ2" s="642">
        <f>AE2+1</f>
        <v>46171</v>
      </c>
      <c r="AK2" s="643"/>
      <c r="AL2" s="643"/>
      <c r="AM2" s="643"/>
      <c r="AN2" s="643"/>
      <c r="AO2" s="642">
        <f>AJ2+1</f>
        <v>46172</v>
      </c>
      <c r="AP2" s="643"/>
      <c r="AQ2" s="643"/>
      <c r="AR2" s="643"/>
      <c r="AS2" s="643"/>
      <c r="AT2" s="639">
        <f>AO2+1</f>
        <v>46173</v>
      </c>
      <c r="AU2" s="640"/>
      <c r="AV2" s="640"/>
      <c r="AW2" s="640"/>
      <c r="AX2" s="641"/>
    </row>
    <row r="3" spans="1:53" ht="15.75">
      <c r="A3" s="81"/>
      <c r="B3" s="666"/>
      <c r="C3" s="666"/>
      <c r="D3" s="666"/>
      <c r="E3" s="666"/>
      <c r="F3" s="666"/>
      <c r="G3" s="666"/>
      <c r="H3" s="666"/>
      <c r="I3" s="293"/>
      <c r="J3" s="293"/>
      <c r="K3" s="293"/>
      <c r="L3" s="293"/>
      <c r="M3" s="197"/>
      <c r="N3" s="638"/>
      <c r="O3" s="638"/>
      <c r="P3" s="639" t="s">
        <v>158</v>
      </c>
      <c r="Q3" s="640"/>
      <c r="R3" s="640"/>
      <c r="S3" s="640"/>
      <c r="T3" s="641"/>
      <c r="U3" s="639" t="s">
        <v>114</v>
      </c>
      <c r="V3" s="640"/>
      <c r="W3" s="640"/>
      <c r="X3" s="640"/>
      <c r="Y3" s="641"/>
      <c r="Z3" s="639" t="s">
        <v>159</v>
      </c>
      <c r="AA3" s="640"/>
      <c r="AB3" s="640"/>
      <c r="AC3" s="640"/>
      <c r="AD3" s="641"/>
      <c r="AE3" s="639" t="s">
        <v>157</v>
      </c>
      <c r="AF3" s="640"/>
      <c r="AG3" s="640"/>
      <c r="AH3" s="640"/>
      <c r="AI3" s="641"/>
      <c r="AJ3" s="639" t="s">
        <v>160</v>
      </c>
      <c r="AK3" s="640"/>
      <c r="AL3" s="640"/>
      <c r="AM3" s="640"/>
      <c r="AN3" s="641"/>
      <c r="AO3" s="639" t="s">
        <v>161</v>
      </c>
      <c r="AP3" s="640"/>
      <c r="AQ3" s="640"/>
      <c r="AR3" s="640"/>
      <c r="AS3" s="641"/>
      <c r="AT3" s="639" t="s">
        <v>162</v>
      </c>
      <c r="AU3" s="640"/>
      <c r="AV3" s="640"/>
      <c r="AW3" s="640"/>
      <c r="AX3" s="641"/>
    </row>
    <row r="4" spans="1:53" ht="14.25">
      <c r="A4" s="81"/>
      <c r="B4" s="635" t="s">
        <v>154</v>
      </c>
      <c r="C4" s="635" t="s">
        <v>384</v>
      </c>
      <c r="D4" s="635"/>
      <c r="E4" s="635" t="s">
        <v>375</v>
      </c>
      <c r="F4" s="635"/>
      <c r="G4" s="635"/>
      <c r="H4" s="651" t="s">
        <v>371</v>
      </c>
      <c r="I4" s="619" t="s">
        <v>376</v>
      </c>
      <c r="J4" s="619"/>
      <c r="K4" s="619"/>
      <c r="L4" s="620" t="s">
        <v>371</v>
      </c>
      <c r="M4" s="626" t="s">
        <v>372</v>
      </c>
      <c r="N4" s="635"/>
      <c r="O4" s="635" t="s">
        <v>377</v>
      </c>
      <c r="P4" s="632" t="s">
        <v>373</v>
      </c>
      <c r="Q4" s="633"/>
      <c r="R4" s="633"/>
      <c r="S4" s="634"/>
      <c r="T4" s="635" t="s">
        <v>371</v>
      </c>
      <c r="U4" s="632" t="s">
        <v>373</v>
      </c>
      <c r="V4" s="633"/>
      <c r="W4" s="633"/>
      <c r="X4" s="634"/>
      <c r="Y4" s="635" t="s">
        <v>371</v>
      </c>
      <c r="Z4" s="632" t="s">
        <v>373</v>
      </c>
      <c r="AA4" s="633"/>
      <c r="AB4" s="633"/>
      <c r="AC4" s="634"/>
      <c r="AD4" s="635" t="s">
        <v>371</v>
      </c>
      <c r="AE4" s="632" t="s">
        <v>373</v>
      </c>
      <c r="AF4" s="633"/>
      <c r="AG4" s="633"/>
      <c r="AH4" s="634"/>
      <c r="AI4" s="635" t="s">
        <v>371</v>
      </c>
      <c r="AJ4" s="632" t="s">
        <v>373</v>
      </c>
      <c r="AK4" s="633"/>
      <c r="AL4" s="633"/>
      <c r="AM4" s="634"/>
      <c r="AN4" s="635" t="s">
        <v>371</v>
      </c>
      <c r="AO4" s="632" t="s">
        <v>373</v>
      </c>
      <c r="AP4" s="633"/>
      <c r="AQ4" s="633"/>
      <c r="AR4" s="634"/>
      <c r="AS4" s="635" t="s">
        <v>371</v>
      </c>
      <c r="AT4" s="632" t="s">
        <v>373</v>
      </c>
      <c r="AU4" s="633"/>
      <c r="AV4" s="633"/>
      <c r="AW4" s="634"/>
      <c r="AX4" s="635" t="s">
        <v>371</v>
      </c>
      <c r="BA4" s="635" t="s">
        <v>371</v>
      </c>
    </row>
    <row r="5" spans="1:53" ht="14.25">
      <c r="A5" s="81"/>
      <c r="B5" s="635"/>
      <c r="C5" s="635"/>
      <c r="D5" s="635"/>
      <c r="E5" s="635" t="s">
        <v>378</v>
      </c>
      <c r="F5" s="635"/>
      <c r="G5" s="635"/>
      <c r="H5" s="652"/>
      <c r="I5" s="619" t="s">
        <v>378</v>
      </c>
      <c r="J5" s="619"/>
      <c r="K5" s="619"/>
      <c r="L5" s="621"/>
      <c r="M5" s="627"/>
      <c r="N5" s="635"/>
      <c r="O5" s="635"/>
      <c r="P5" s="632" t="s">
        <v>379</v>
      </c>
      <c r="Q5" s="633"/>
      <c r="R5" s="633"/>
      <c r="S5" s="634"/>
      <c r="T5" s="635"/>
      <c r="U5" s="632" t="s">
        <v>379</v>
      </c>
      <c r="V5" s="633"/>
      <c r="W5" s="633"/>
      <c r="X5" s="634"/>
      <c r="Y5" s="635"/>
      <c r="Z5" s="632" t="s">
        <v>379</v>
      </c>
      <c r="AA5" s="633"/>
      <c r="AB5" s="633"/>
      <c r="AC5" s="634"/>
      <c r="AD5" s="635"/>
      <c r="AE5" s="632" t="s">
        <v>379</v>
      </c>
      <c r="AF5" s="633"/>
      <c r="AG5" s="633"/>
      <c r="AH5" s="634"/>
      <c r="AI5" s="635"/>
      <c r="AJ5" s="632" t="s">
        <v>379</v>
      </c>
      <c r="AK5" s="633"/>
      <c r="AL5" s="633"/>
      <c r="AM5" s="634"/>
      <c r="AN5" s="635"/>
      <c r="AO5" s="632" t="s">
        <v>379</v>
      </c>
      <c r="AP5" s="633"/>
      <c r="AQ5" s="633"/>
      <c r="AR5" s="634"/>
      <c r="AS5" s="635"/>
      <c r="AT5" s="632" t="s">
        <v>379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408" t="s">
        <v>380</v>
      </c>
      <c r="F6" s="408" t="s">
        <v>381</v>
      </c>
      <c r="G6" s="408" t="s">
        <v>382</v>
      </c>
      <c r="H6" s="653"/>
      <c r="I6" s="407" t="s">
        <v>380</v>
      </c>
      <c r="J6" s="407" t="s">
        <v>381</v>
      </c>
      <c r="K6" s="407" t="s">
        <v>382</v>
      </c>
      <c r="L6" s="622"/>
      <c r="M6" s="628"/>
      <c r="N6" s="635"/>
      <c r="O6" s="635"/>
      <c r="P6" s="408" t="s">
        <v>380</v>
      </c>
      <c r="Q6" s="408" t="s">
        <v>381</v>
      </c>
      <c r="R6" s="408" t="s">
        <v>382</v>
      </c>
      <c r="S6" s="408" t="s">
        <v>372</v>
      </c>
      <c r="T6" s="635"/>
      <c r="U6" s="408" t="s">
        <v>380</v>
      </c>
      <c r="V6" s="408" t="s">
        <v>381</v>
      </c>
      <c r="W6" s="408" t="s">
        <v>382</v>
      </c>
      <c r="X6" s="408" t="s">
        <v>372</v>
      </c>
      <c r="Y6" s="635"/>
      <c r="Z6" s="408" t="s">
        <v>380</v>
      </c>
      <c r="AA6" s="408" t="s">
        <v>381</v>
      </c>
      <c r="AB6" s="408" t="s">
        <v>382</v>
      </c>
      <c r="AC6" s="408" t="s">
        <v>372</v>
      </c>
      <c r="AD6" s="635"/>
      <c r="AE6" s="408" t="s">
        <v>380</v>
      </c>
      <c r="AF6" s="408" t="s">
        <v>381</v>
      </c>
      <c r="AG6" s="408" t="s">
        <v>382</v>
      </c>
      <c r="AH6" s="408" t="s">
        <v>372</v>
      </c>
      <c r="AI6" s="635"/>
      <c r="AJ6" s="408" t="s">
        <v>380</v>
      </c>
      <c r="AK6" s="408" t="s">
        <v>381</v>
      </c>
      <c r="AL6" s="408" t="s">
        <v>382</v>
      </c>
      <c r="AM6" s="408" t="s">
        <v>372</v>
      </c>
      <c r="AN6" s="635"/>
      <c r="AO6" s="408" t="s">
        <v>380</v>
      </c>
      <c r="AP6" s="408" t="s">
        <v>381</v>
      </c>
      <c r="AQ6" s="408" t="s">
        <v>382</v>
      </c>
      <c r="AR6" s="408" t="s">
        <v>372</v>
      </c>
      <c r="AS6" s="635"/>
      <c r="AT6" s="408" t="s">
        <v>380</v>
      </c>
      <c r="AU6" s="408" t="s">
        <v>381</v>
      </c>
      <c r="AV6" s="408" t="s">
        <v>382</v>
      </c>
      <c r="AW6" s="408" t="s">
        <v>372</v>
      </c>
      <c r="AX6" s="635"/>
      <c r="AZ6" s="397" t="s">
        <v>372</v>
      </c>
      <c r="BA6" s="635"/>
    </row>
    <row r="7" spans="1:53" ht="14.25">
      <c r="A7" s="81"/>
      <c r="B7" s="683" t="s">
        <v>547</v>
      </c>
      <c r="C7" s="409">
        <v>1</v>
      </c>
      <c r="D7" s="367" t="s">
        <v>362</v>
      </c>
      <c r="E7" s="499">
        <v>4</v>
      </c>
      <c r="F7" s="499">
        <v>2000</v>
      </c>
      <c r="G7" s="499">
        <v>500</v>
      </c>
      <c r="H7" s="685">
        <f>AVERAGE(G7:G21)</f>
        <v>255.34006410256413</v>
      </c>
      <c r="I7" s="413">
        <f t="shared" ref="I7:I20" si="0">IFERROR(AVERAGE(P7,U7,Z7,AE7,AJ7,AO7,AT7),"-")</f>
        <v>5</v>
      </c>
      <c r="J7" s="413">
        <f t="shared" ref="J7:J20" si="1">IFERROR(AVERAGE(Q7,V7,AA7,AF7,AK7,AP7,AU7),"-")</f>
        <v>2168.4106530701765</v>
      </c>
      <c r="K7" s="199">
        <f t="shared" ref="K7:K20" si="2">IFERROR(AVERAGE(R7,W7,AB7,AG7,AL7,AQ7,AV7),"-")</f>
        <v>433.68213061403532</v>
      </c>
      <c r="L7" s="616">
        <f>IFERROR(AVERAGE(K7:K21),"-")</f>
        <v>232.06793472450235</v>
      </c>
      <c r="M7" s="415">
        <f>RANK(K7, K$7:$K$21)</f>
        <v>1</v>
      </c>
      <c r="N7" s="635"/>
      <c r="O7" s="635"/>
      <c r="P7" s="409">
        <v>5</v>
      </c>
      <c r="Q7" s="416">
        <v>2180.3076923076919</v>
      </c>
      <c r="R7" s="416">
        <v>436.06153846153836</v>
      </c>
      <c r="S7" s="411">
        <f t="shared" ref="S7:S21" si="3">RANK(R7, R$7:R$21)</f>
        <v>1</v>
      </c>
      <c r="T7" s="682">
        <f t="shared" ref="T7" si="4">AVERAGE(R7:R21)</f>
        <v>341.64821844821836</v>
      </c>
      <c r="U7" s="495">
        <v>5</v>
      </c>
      <c r="V7" s="416">
        <v>2146.0000000000005</v>
      </c>
      <c r="W7" s="416">
        <v>429.2000000000001</v>
      </c>
      <c r="X7" s="497">
        <f t="shared" ref="X7:X21" si="5">RANK(W7, W$7:W$21)</f>
        <v>2</v>
      </c>
      <c r="Y7" s="682">
        <f t="shared" ref="Y7" si="6">AVERAGE(W7:W21)</f>
        <v>232.85845743220671</v>
      </c>
      <c r="Z7" s="495">
        <v>5</v>
      </c>
      <c r="AA7" s="416">
        <v>2168.4210526315787</v>
      </c>
      <c r="AB7" s="416">
        <v>433.68421052631572</v>
      </c>
      <c r="AC7" s="497">
        <f t="shared" ref="AC7:AC21" si="7">RANK(AB7, AB$7:AB$21)</f>
        <v>1</v>
      </c>
      <c r="AD7" s="682">
        <f t="shared" ref="AD7" si="8">AVERAGE(AB7:AB21)</f>
        <v>232.11226355794406</v>
      </c>
      <c r="AE7" s="495">
        <v>5</v>
      </c>
      <c r="AF7" s="416">
        <v>2188.6363636363635</v>
      </c>
      <c r="AG7" s="416">
        <v>437.72727272727269</v>
      </c>
      <c r="AH7" s="497">
        <f t="shared" ref="AH7:AH21" si="9">RANK(AG7, AG$7:AG$21)</f>
        <v>1</v>
      </c>
      <c r="AI7" s="682">
        <f t="shared" ref="AI7" si="10">AVERAGE(AG7:AG21)</f>
        <v>230.73858697426124</v>
      </c>
      <c r="AJ7" s="495">
        <v>5</v>
      </c>
      <c r="AK7" s="416">
        <v>2161.1999999999989</v>
      </c>
      <c r="AL7" s="416">
        <v>432.23999999999978</v>
      </c>
      <c r="AM7" s="497">
        <f t="shared" ref="AM7:AM21" si="11">RANK(AL7, AL$7:AL$21)</f>
        <v>1</v>
      </c>
      <c r="AN7" s="682">
        <f t="shared" ref="AN7" si="12">AVERAGE(AL7:AL21)</f>
        <v>232.35236998350189</v>
      </c>
      <c r="AO7" s="495">
        <v>5</v>
      </c>
      <c r="AP7" s="416">
        <v>2146.9565217391305</v>
      </c>
      <c r="AQ7" s="416">
        <v>429.39130434782612</v>
      </c>
      <c r="AR7" s="497">
        <f t="shared" ref="AR7:AR21" si="13">RANK(AQ7, AQ$7:AQ$21)</f>
        <v>1</v>
      </c>
      <c r="AS7" s="682">
        <f t="shared" ref="AS7" si="14">AVERAGE(AQ7:AQ21)</f>
        <v>231.41886432840658</v>
      </c>
      <c r="AT7" s="495">
        <v>5</v>
      </c>
      <c r="AU7" s="416">
        <v>2187.3529411764703</v>
      </c>
      <c r="AV7" s="416">
        <v>437.47058823529403</v>
      </c>
      <c r="AW7" s="497">
        <f t="shared" ref="AW7:AW21" si="15">RANK(AV7, AV$7:AV$21)</f>
        <v>1</v>
      </c>
      <c r="AX7" s="682">
        <f t="shared" ref="AX7" si="16">AVERAGE(AV7:AV21)</f>
        <v>232.15772886855427</v>
      </c>
      <c r="AZ7" s="399" t="e">
        <f t="shared" ref="AZ7:AZ21" si="17">RANK(AY7, AY$7:AY$21)</f>
        <v>#N/A</v>
      </c>
      <c r="BA7" s="682" t="e">
        <f t="shared" ref="BA7" si="18">AVERAGE(AY7:AY21)</f>
        <v>#DIV/0!</v>
      </c>
    </row>
    <row r="8" spans="1:53" ht="15" customHeight="1">
      <c r="A8" s="81"/>
      <c r="B8" s="668"/>
      <c r="C8" s="409">
        <v>2</v>
      </c>
      <c r="D8" s="367" t="s">
        <v>438</v>
      </c>
      <c r="E8" s="499">
        <v>4</v>
      </c>
      <c r="F8" s="499">
        <v>2000</v>
      </c>
      <c r="G8" s="499">
        <v>500</v>
      </c>
      <c r="H8" s="686"/>
      <c r="I8" s="413">
        <f t="shared" si="0"/>
        <v>5</v>
      </c>
      <c r="J8" s="413">
        <f t="shared" si="1"/>
        <v>2143.2779604745965</v>
      </c>
      <c r="K8" s="199">
        <f t="shared" si="2"/>
        <v>428.65559209491914</v>
      </c>
      <c r="L8" s="617"/>
      <c r="M8" s="415">
        <f>RANK(K8, K$7:$K$21)</f>
        <v>2</v>
      </c>
      <c r="N8" s="635"/>
      <c r="O8" s="635"/>
      <c r="P8" s="409">
        <v>5</v>
      </c>
      <c r="Q8" s="416">
        <v>2159.9999999999991</v>
      </c>
      <c r="R8" s="416">
        <v>431.99999999999983</v>
      </c>
      <c r="S8" s="411">
        <f t="shared" si="3"/>
        <v>2</v>
      </c>
      <c r="T8" s="682"/>
      <c r="U8" s="495">
        <v>5</v>
      </c>
      <c r="V8" s="416">
        <v>2162.0338983050847</v>
      </c>
      <c r="W8" s="416">
        <v>432.40677966101691</v>
      </c>
      <c r="X8" s="497">
        <f t="shared" si="5"/>
        <v>1</v>
      </c>
      <c r="Y8" s="682"/>
      <c r="Z8" s="495">
        <v>5</v>
      </c>
      <c r="AA8" s="416">
        <v>2124.2105263157891</v>
      </c>
      <c r="AB8" s="416">
        <v>424.8421052631578</v>
      </c>
      <c r="AC8" s="497">
        <f t="shared" si="7"/>
        <v>2</v>
      </c>
      <c r="AD8" s="682"/>
      <c r="AE8" s="495">
        <v>5</v>
      </c>
      <c r="AF8" s="416">
        <v>2108</v>
      </c>
      <c r="AG8" s="416">
        <v>421.6</v>
      </c>
      <c r="AH8" s="497">
        <f t="shared" si="9"/>
        <v>2</v>
      </c>
      <c r="AI8" s="682"/>
      <c r="AJ8" s="495">
        <v>5</v>
      </c>
      <c r="AK8" s="416">
        <v>2151.428571428572</v>
      </c>
      <c r="AL8" s="416">
        <v>430.28571428571439</v>
      </c>
      <c r="AM8" s="497">
        <f t="shared" si="11"/>
        <v>2</v>
      </c>
      <c r="AN8" s="682"/>
      <c r="AO8" s="495">
        <v>5</v>
      </c>
      <c r="AP8" s="416">
        <v>2130.909090909091</v>
      </c>
      <c r="AQ8" s="416">
        <v>426.18181818181819</v>
      </c>
      <c r="AR8" s="497">
        <f t="shared" si="13"/>
        <v>2</v>
      </c>
      <c r="AS8" s="682"/>
      <c r="AT8" s="495">
        <v>5</v>
      </c>
      <c r="AU8" s="416">
        <v>2166.3636363636374</v>
      </c>
      <c r="AV8" s="416">
        <v>433.27272727272748</v>
      </c>
      <c r="AW8" s="497">
        <f t="shared" si="15"/>
        <v>2</v>
      </c>
      <c r="AX8" s="682"/>
      <c r="AZ8" s="399" t="e">
        <f t="shared" si="17"/>
        <v>#N/A</v>
      </c>
      <c r="BA8" s="682"/>
    </row>
    <row r="9" spans="1:53" ht="14.25">
      <c r="A9" s="81"/>
      <c r="B9" s="668"/>
      <c r="C9" s="409">
        <v>3</v>
      </c>
      <c r="D9" s="367" t="s">
        <v>363</v>
      </c>
      <c r="E9" s="499">
        <v>12</v>
      </c>
      <c r="F9" s="499">
        <v>2118</v>
      </c>
      <c r="G9" s="499">
        <v>176.5</v>
      </c>
      <c r="H9" s="686"/>
      <c r="I9" s="413">
        <f t="shared" si="0"/>
        <v>12</v>
      </c>
      <c r="J9" s="413">
        <f t="shared" si="1"/>
        <v>1877.4268202230394</v>
      </c>
      <c r="K9" s="199">
        <f t="shared" si="2"/>
        <v>156.45223501858661</v>
      </c>
      <c r="L9" s="617"/>
      <c r="M9" s="415">
        <f>RANK(K9, K$7:$K$21)</f>
        <v>6</v>
      </c>
      <c r="N9" s="635"/>
      <c r="O9" s="635"/>
      <c r="P9" s="409">
        <v>12</v>
      </c>
      <c r="Q9" s="416">
        <v>1882.5974025974026</v>
      </c>
      <c r="R9" s="416">
        <v>156.88311688311688</v>
      </c>
      <c r="S9" s="411">
        <f t="shared" si="3"/>
        <v>3</v>
      </c>
      <c r="T9" s="682"/>
      <c r="U9" s="495">
        <v>12</v>
      </c>
      <c r="V9" s="416">
        <v>1888.2857142857147</v>
      </c>
      <c r="W9" s="416">
        <v>157.35714285714289</v>
      </c>
      <c r="X9" s="497">
        <f t="shared" si="5"/>
        <v>6</v>
      </c>
      <c r="Y9" s="682"/>
      <c r="Z9" s="495">
        <v>12</v>
      </c>
      <c r="AA9" s="416">
        <v>1887.3529411764707</v>
      </c>
      <c r="AB9" s="416">
        <v>157.27941176470588</v>
      </c>
      <c r="AC9" s="497">
        <f t="shared" si="7"/>
        <v>6</v>
      </c>
      <c r="AD9" s="682"/>
      <c r="AE9" s="495">
        <v>12</v>
      </c>
      <c r="AF9" s="416">
        <v>1856.0000000000005</v>
      </c>
      <c r="AG9" s="416">
        <v>154.66666666666671</v>
      </c>
      <c r="AH9" s="497">
        <f t="shared" si="9"/>
        <v>7</v>
      </c>
      <c r="AI9" s="682"/>
      <c r="AJ9" s="495">
        <v>12</v>
      </c>
      <c r="AK9" s="416">
        <v>1860.9090909090919</v>
      </c>
      <c r="AL9" s="416">
        <v>155.07575757575765</v>
      </c>
      <c r="AM9" s="497">
        <f t="shared" si="11"/>
        <v>7</v>
      </c>
      <c r="AN9" s="682"/>
      <c r="AO9" s="495">
        <v>12</v>
      </c>
      <c r="AP9" s="416">
        <v>1874.2500000000011</v>
      </c>
      <c r="AQ9" s="416">
        <v>156.18750000000009</v>
      </c>
      <c r="AR9" s="497">
        <f t="shared" si="13"/>
        <v>6</v>
      </c>
      <c r="AS9" s="682"/>
      <c r="AT9" s="495">
        <v>12</v>
      </c>
      <c r="AU9" s="416">
        <v>1892.5925925925931</v>
      </c>
      <c r="AV9" s="416">
        <v>157.71604938271608</v>
      </c>
      <c r="AW9" s="497">
        <f t="shared" si="15"/>
        <v>6</v>
      </c>
      <c r="AX9" s="682"/>
      <c r="AZ9" s="399" t="e">
        <f t="shared" si="17"/>
        <v>#N/A</v>
      </c>
      <c r="BA9" s="682"/>
    </row>
    <row r="10" spans="1:53" ht="14.25">
      <c r="A10" s="81"/>
      <c r="B10" s="668"/>
      <c r="C10" s="409">
        <v>4</v>
      </c>
      <c r="D10" s="367" t="s">
        <v>591</v>
      </c>
      <c r="E10" s="499">
        <v>13</v>
      </c>
      <c r="F10" s="499">
        <v>2250</v>
      </c>
      <c r="G10" s="499">
        <v>173.07692307692307</v>
      </c>
      <c r="H10" s="686"/>
      <c r="I10" s="413">
        <f t="shared" si="0"/>
        <v>13</v>
      </c>
      <c r="J10" s="413">
        <f t="shared" si="1"/>
        <v>2210.7371946001376</v>
      </c>
      <c r="K10" s="199">
        <f t="shared" si="2"/>
        <v>170.05670727693368</v>
      </c>
      <c r="L10" s="617"/>
      <c r="M10" s="415">
        <f>RANK(K10, K$7:$K$21)</f>
        <v>5</v>
      </c>
      <c r="N10" s="635"/>
      <c r="O10" s="635"/>
      <c r="P10" s="409"/>
      <c r="Q10" s="416"/>
      <c r="R10" s="416"/>
      <c r="S10" s="411" t="e">
        <f t="shared" si="3"/>
        <v>#N/A</v>
      </c>
      <c r="T10" s="682"/>
      <c r="U10" s="495">
        <v>13</v>
      </c>
      <c r="V10" s="416">
        <v>2223.78947368421</v>
      </c>
      <c r="W10" s="416">
        <v>171.06072874493924</v>
      </c>
      <c r="X10" s="497">
        <f t="shared" si="5"/>
        <v>4</v>
      </c>
      <c r="Y10" s="682"/>
      <c r="Z10" s="495">
        <v>13</v>
      </c>
      <c r="AA10" s="416">
        <v>2205.348837209302</v>
      </c>
      <c r="AB10" s="416">
        <v>169.64221824686939</v>
      </c>
      <c r="AC10" s="497">
        <f t="shared" si="7"/>
        <v>5</v>
      </c>
      <c r="AD10" s="682"/>
      <c r="AE10" s="495">
        <v>13</v>
      </c>
      <c r="AF10" s="416">
        <v>2187.341772151899</v>
      </c>
      <c r="AG10" s="416">
        <v>168.25705939629992</v>
      </c>
      <c r="AH10" s="497">
        <f t="shared" si="9"/>
        <v>5</v>
      </c>
      <c r="AI10" s="682"/>
      <c r="AJ10" s="495">
        <v>13</v>
      </c>
      <c r="AK10" s="416">
        <v>2233.7349397590365</v>
      </c>
      <c r="AL10" s="416">
        <v>171.82576459684896</v>
      </c>
      <c r="AM10" s="497">
        <f t="shared" si="11"/>
        <v>4</v>
      </c>
      <c r="AN10" s="682"/>
      <c r="AO10" s="495">
        <v>13</v>
      </c>
      <c r="AP10" s="416">
        <v>2228.8235294117649</v>
      </c>
      <c r="AQ10" s="416">
        <v>171.447963800905</v>
      </c>
      <c r="AR10" s="497">
        <f t="shared" si="13"/>
        <v>5</v>
      </c>
      <c r="AS10" s="682"/>
      <c r="AT10" s="495">
        <v>13</v>
      </c>
      <c r="AU10" s="416">
        <v>2185.3846153846157</v>
      </c>
      <c r="AV10" s="416">
        <v>168.10650887573968</v>
      </c>
      <c r="AW10" s="497">
        <f t="shared" si="15"/>
        <v>5</v>
      </c>
      <c r="AX10" s="682"/>
      <c r="AZ10" s="399" t="e">
        <f t="shared" si="17"/>
        <v>#N/A</v>
      </c>
      <c r="BA10" s="682"/>
    </row>
    <row r="11" spans="1:53" ht="14.25">
      <c r="A11" s="81"/>
      <c r="B11" s="668"/>
      <c r="C11" s="409">
        <v>5</v>
      </c>
      <c r="D11" s="367" t="s">
        <v>364</v>
      </c>
      <c r="E11" s="499">
        <v>13</v>
      </c>
      <c r="F11" s="499">
        <v>2250</v>
      </c>
      <c r="G11" s="499">
        <v>173.07692307692307</v>
      </c>
      <c r="H11" s="686"/>
      <c r="I11" s="413">
        <f t="shared" si="0"/>
        <v>13</v>
      </c>
      <c r="J11" s="413">
        <f t="shared" si="1"/>
        <v>2212.7318706575857</v>
      </c>
      <c r="K11" s="199">
        <f t="shared" si="2"/>
        <v>170.21014389673741</v>
      </c>
      <c r="L11" s="617"/>
      <c r="M11" s="415">
        <f>RANK(K11, K$7:$K$21)</f>
        <v>4</v>
      </c>
      <c r="N11" s="635"/>
      <c r="O11" s="635"/>
      <c r="P11" s="409"/>
      <c r="Q11" s="416"/>
      <c r="R11" s="416"/>
      <c r="S11" s="411" t="e">
        <f t="shared" si="3"/>
        <v>#N/A</v>
      </c>
      <c r="T11" s="682"/>
      <c r="U11" s="495">
        <v>13</v>
      </c>
      <c r="V11" s="416">
        <v>2217.5257731958759</v>
      </c>
      <c r="W11" s="416">
        <v>170.578905630452</v>
      </c>
      <c r="X11" s="497">
        <f t="shared" si="5"/>
        <v>5</v>
      </c>
      <c r="Y11" s="682"/>
      <c r="Z11" s="495">
        <v>13</v>
      </c>
      <c r="AA11" s="416">
        <v>2213.7931034482754</v>
      </c>
      <c r="AB11" s="416">
        <v>170.29177718832887</v>
      </c>
      <c r="AC11" s="497">
        <f t="shared" si="7"/>
        <v>4</v>
      </c>
      <c r="AD11" s="682"/>
      <c r="AE11" s="495">
        <v>13</v>
      </c>
      <c r="AF11" s="416">
        <v>2196.9230769230767</v>
      </c>
      <c r="AG11" s="416">
        <v>168.99408284023667</v>
      </c>
      <c r="AH11" s="497">
        <f t="shared" si="9"/>
        <v>4</v>
      </c>
      <c r="AI11" s="682"/>
      <c r="AJ11" s="495">
        <v>13</v>
      </c>
      <c r="AK11" s="416">
        <v>2213.1034482758628</v>
      </c>
      <c r="AL11" s="416">
        <v>170.23872679045098</v>
      </c>
      <c r="AM11" s="497">
        <f t="shared" si="11"/>
        <v>5</v>
      </c>
      <c r="AN11" s="682"/>
      <c r="AO11" s="495">
        <v>13</v>
      </c>
      <c r="AP11" s="416">
        <v>2234.8571428571431</v>
      </c>
      <c r="AQ11" s="416">
        <v>171.91208791208794</v>
      </c>
      <c r="AR11" s="497">
        <f t="shared" si="13"/>
        <v>4</v>
      </c>
      <c r="AS11" s="682"/>
      <c r="AT11" s="495">
        <v>13</v>
      </c>
      <c r="AU11" s="416">
        <v>2200.1886792452824</v>
      </c>
      <c r="AV11" s="416">
        <v>169.24528301886787</v>
      </c>
      <c r="AW11" s="497">
        <f t="shared" si="15"/>
        <v>4</v>
      </c>
      <c r="AX11" s="682"/>
      <c r="AZ11" s="399" t="e">
        <f t="shared" si="17"/>
        <v>#N/A</v>
      </c>
      <c r="BA11" s="682"/>
    </row>
    <row r="12" spans="1:53" ht="14.25">
      <c r="A12" s="81"/>
      <c r="B12" s="668"/>
      <c r="C12" s="409">
        <v>6</v>
      </c>
      <c r="D12" s="367" t="s">
        <v>365</v>
      </c>
      <c r="E12" s="499">
        <v>10</v>
      </c>
      <c r="F12" s="499">
        <v>2769</v>
      </c>
      <c r="G12" s="499">
        <v>276.89999999999998</v>
      </c>
      <c r="H12" s="686"/>
      <c r="I12" s="413">
        <f t="shared" si="0"/>
        <v>10</v>
      </c>
      <c r="J12" s="413">
        <f t="shared" si="1"/>
        <v>2455.0606780738199</v>
      </c>
      <c r="K12" s="199">
        <f t="shared" si="2"/>
        <v>245.50606780738198</v>
      </c>
      <c r="L12" s="617"/>
      <c r="M12" s="415">
        <f>RANK(K12, K$7:$K$21)</f>
        <v>3</v>
      </c>
      <c r="N12" s="635"/>
      <c r="O12" s="635"/>
      <c r="P12" s="409"/>
      <c r="Q12" s="416"/>
      <c r="R12" s="416"/>
      <c r="S12" s="411" t="e">
        <f t="shared" si="3"/>
        <v>#N/A</v>
      </c>
      <c r="T12" s="682"/>
      <c r="U12" s="495">
        <v>10</v>
      </c>
      <c r="V12" s="416">
        <v>2507.3846153846152</v>
      </c>
      <c r="W12" s="416">
        <v>250.73846153846154</v>
      </c>
      <c r="X12" s="497">
        <f t="shared" si="5"/>
        <v>3</v>
      </c>
      <c r="Y12" s="682"/>
      <c r="Z12" s="495">
        <v>10</v>
      </c>
      <c r="AA12" s="416">
        <v>2512.9824561403502</v>
      </c>
      <c r="AB12" s="416">
        <v>251.29824561403501</v>
      </c>
      <c r="AC12" s="497">
        <f t="shared" si="7"/>
        <v>3</v>
      </c>
      <c r="AD12" s="682"/>
      <c r="AE12" s="495">
        <v>10</v>
      </c>
      <c r="AF12" s="416">
        <v>2399.2857142857138</v>
      </c>
      <c r="AG12" s="416">
        <v>239.92857142857139</v>
      </c>
      <c r="AH12" s="497">
        <f t="shared" si="9"/>
        <v>3</v>
      </c>
      <c r="AI12" s="682"/>
      <c r="AJ12" s="495">
        <v>10</v>
      </c>
      <c r="AK12" s="416">
        <v>2453.1736526946097</v>
      </c>
      <c r="AL12" s="416">
        <v>245.31736526946096</v>
      </c>
      <c r="AM12" s="497">
        <f t="shared" si="11"/>
        <v>3</v>
      </c>
      <c r="AN12" s="682"/>
      <c r="AO12" s="495">
        <v>10</v>
      </c>
      <c r="AP12" s="416">
        <v>2426.9538461538455</v>
      </c>
      <c r="AQ12" s="416">
        <v>242.69538461538454</v>
      </c>
      <c r="AR12" s="497">
        <f t="shared" si="13"/>
        <v>3</v>
      </c>
      <c r="AS12" s="682"/>
      <c r="AT12" s="495">
        <v>10</v>
      </c>
      <c r="AU12" s="416">
        <v>2430.5837837837844</v>
      </c>
      <c r="AV12" s="416">
        <v>243.05837837837845</v>
      </c>
      <c r="AW12" s="497">
        <f t="shared" si="15"/>
        <v>3</v>
      </c>
      <c r="AX12" s="682"/>
      <c r="AZ12" s="399" t="e">
        <f t="shared" si="17"/>
        <v>#N/A</v>
      </c>
      <c r="BA12" s="682"/>
    </row>
    <row r="13" spans="1:53" ht="14.25">
      <c r="A13" s="81"/>
      <c r="B13" s="668"/>
      <c r="C13" s="409">
        <v>7</v>
      </c>
      <c r="D13" s="367" t="s">
        <v>361</v>
      </c>
      <c r="E13" s="499">
        <v>18</v>
      </c>
      <c r="F13" s="499">
        <v>1200</v>
      </c>
      <c r="G13" s="499">
        <v>66.666666666666671</v>
      </c>
      <c r="H13" s="686"/>
      <c r="I13" s="413">
        <f t="shared" si="0"/>
        <v>13</v>
      </c>
      <c r="J13" s="413">
        <f t="shared" si="1"/>
        <v>1244.4904970760238</v>
      </c>
      <c r="K13" s="199">
        <f t="shared" si="2"/>
        <v>95.730038236617204</v>
      </c>
      <c r="L13" s="617"/>
      <c r="M13" s="415">
        <f>RANK(K13, K$7:$K$21)</f>
        <v>8</v>
      </c>
      <c r="N13" s="635"/>
      <c r="O13" s="635"/>
      <c r="P13" s="409"/>
      <c r="Q13" s="416"/>
      <c r="R13" s="416"/>
      <c r="S13" s="411" t="e">
        <f t="shared" si="3"/>
        <v>#N/A</v>
      </c>
      <c r="T13" s="682"/>
      <c r="U13" s="495">
        <v>13</v>
      </c>
      <c r="V13" s="416">
        <v>1226.6666666666665</v>
      </c>
      <c r="W13" s="416">
        <v>94.358974358974351</v>
      </c>
      <c r="X13" s="497">
        <f t="shared" si="5"/>
        <v>8</v>
      </c>
      <c r="Y13" s="682"/>
      <c r="Z13" s="495">
        <v>13</v>
      </c>
      <c r="AA13" s="416">
        <v>1206.0000000000007</v>
      </c>
      <c r="AB13" s="416">
        <v>92.769230769230816</v>
      </c>
      <c r="AC13" s="497">
        <f t="shared" si="7"/>
        <v>8</v>
      </c>
      <c r="AD13" s="682"/>
      <c r="AE13" s="495">
        <v>13</v>
      </c>
      <c r="AF13" s="416">
        <v>1272.0000000000005</v>
      </c>
      <c r="AG13" s="416">
        <v>97.846153846153882</v>
      </c>
      <c r="AH13" s="497">
        <f t="shared" si="9"/>
        <v>8</v>
      </c>
      <c r="AI13" s="682"/>
      <c r="AJ13" s="495">
        <v>13</v>
      </c>
      <c r="AK13" s="416">
        <v>1251.7500000000007</v>
      </c>
      <c r="AL13" s="416">
        <v>96.28846153846159</v>
      </c>
      <c r="AM13" s="497">
        <f t="shared" si="11"/>
        <v>8</v>
      </c>
      <c r="AN13" s="682"/>
      <c r="AO13" s="495">
        <v>13</v>
      </c>
      <c r="AP13" s="416">
        <v>1284</v>
      </c>
      <c r="AQ13" s="416">
        <v>98.769230769230774</v>
      </c>
      <c r="AR13" s="497">
        <f t="shared" si="13"/>
        <v>8</v>
      </c>
      <c r="AS13" s="682"/>
      <c r="AT13" s="495">
        <v>13</v>
      </c>
      <c r="AU13" s="416">
        <v>1226.526315789474</v>
      </c>
      <c r="AV13" s="416">
        <v>94.348178137651843</v>
      </c>
      <c r="AW13" s="497">
        <f t="shared" si="15"/>
        <v>8</v>
      </c>
      <c r="AX13" s="682"/>
      <c r="AZ13" s="399" t="e">
        <f t="shared" si="17"/>
        <v>#N/A</v>
      </c>
      <c r="BA13" s="682"/>
    </row>
    <row r="14" spans="1:53" ht="14.25">
      <c r="A14" s="81"/>
      <c r="B14" s="668"/>
      <c r="C14" s="409">
        <v>8</v>
      </c>
      <c r="D14" s="367" t="s">
        <v>531</v>
      </c>
      <c r="E14" s="499">
        <v>12</v>
      </c>
      <c r="F14" s="499">
        <v>2118</v>
      </c>
      <c r="G14" s="499">
        <v>176.5</v>
      </c>
      <c r="H14" s="686"/>
      <c r="I14" s="413">
        <f t="shared" si="0"/>
        <v>12</v>
      </c>
      <c r="J14" s="413">
        <f t="shared" si="1"/>
        <v>1875.0067542096883</v>
      </c>
      <c r="K14" s="199">
        <f t="shared" si="2"/>
        <v>156.25056285080737</v>
      </c>
      <c r="L14" s="617"/>
      <c r="M14" s="415">
        <f>RANK(K14, K$7:$K$21)</f>
        <v>7</v>
      </c>
      <c r="N14" s="635"/>
      <c r="O14" s="635"/>
      <c r="P14" s="409"/>
      <c r="Q14" s="416"/>
      <c r="R14" s="416"/>
      <c r="S14" s="411" t="e">
        <f t="shared" si="3"/>
        <v>#N/A</v>
      </c>
      <c r="T14" s="682"/>
      <c r="U14" s="495">
        <v>12</v>
      </c>
      <c r="V14" s="416">
        <v>1885.9999999999991</v>
      </c>
      <c r="W14" s="416">
        <v>157.1666666666666</v>
      </c>
      <c r="X14" s="497">
        <f t="shared" si="5"/>
        <v>7</v>
      </c>
      <c r="Y14" s="682"/>
      <c r="Z14" s="495">
        <v>12</v>
      </c>
      <c r="AA14" s="416">
        <v>1885.0909090909076</v>
      </c>
      <c r="AB14" s="416">
        <v>157.09090909090898</v>
      </c>
      <c r="AC14" s="497">
        <f t="shared" si="7"/>
        <v>7</v>
      </c>
      <c r="AD14" s="682"/>
      <c r="AE14" s="495">
        <v>12</v>
      </c>
      <c r="AF14" s="416">
        <v>1882.6666666666665</v>
      </c>
      <c r="AG14" s="416">
        <v>156.88888888888889</v>
      </c>
      <c r="AH14" s="497">
        <f t="shared" si="9"/>
        <v>6</v>
      </c>
      <c r="AI14" s="682"/>
      <c r="AJ14" s="495">
        <v>12</v>
      </c>
      <c r="AK14" s="416">
        <v>1890.5660377358502</v>
      </c>
      <c r="AL14" s="416">
        <v>157.54716981132086</v>
      </c>
      <c r="AM14" s="497">
        <f t="shared" si="11"/>
        <v>6</v>
      </c>
      <c r="AN14" s="682"/>
      <c r="AO14" s="495">
        <v>12</v>
      </c>
      <c r="AP14" s="416">
        <v>1857.1875000000009</v>
      </c>
      <c r="AQ14" s="416">
        <v>154.76562500000009</v>
      </c>
      <c r="AR14" s="497">
        <f t="shared" si="13"/>
        <v>7</v>
      </c>
      <c r="AS14" s="682"/>
      <c r="AT14" s="495">
        <v>12</v>
      </c>
      <c r="AU14" s="416">
        <v>1848.529411764707</v>
      </c>
      <c r="AV14" s="416">
        <v>154.04411764705893</v>
      </c>
      <c r="AW14" s="497">
        <f t="shared" si="15"/>
        <v>7</v>
      </c>
      <c r="AX14" s="682"/>
      <c r="AZ14" s="399" t="e">
        <f t="shared" si="17"/>
        <v>#N/A</v>
      </c>
      <c r="BA14" s="682"/>
    </row>
    <row r="15" spans="1:53" ht="14.25">
      <c r="A15" s="81"/>
      <c r="B15" s="668"/>
      <c r="C15" s="409">
        <v>9</v>
      </c>
      <c r="D15" s="367"/>
      <c r="E15" s="499"/>
      <c r="F15" s="499"/>
      <c r="G15" s="499"/>
      <c r="H15" s="686"/>
      <c r="I15" s="413" t="str">
        <f t="shared" si="0"/>
        <v>-</v>
      </c>
      <c r="J15" s="413" t="str">
        <f t="shared" si="1"/>
        <v>-</v>
      </c>
      <c r="K15" s="199" t="str">
        <f t="shared" si="2"/>
        <v>-</v>
      </c>
      <c r="L15" s="617"/>
      <c r="M15" s="415" t="e">
        <f>RANK(K15, K$7:$K$21)</f>
        <v>#VALUE!</v>
      </c>
      <c r="N15" s="635"/>
      <c r="O15" s="635"/>
      <c r="P15" s="409"/>
      <c r="Q15" s="416"/>
      <c r="R15" s="416"/>
      <c r="S15" s="411" t="e">
        <f t="shared" si="3"/>
        <v>#N/A</v>
      </c>
      <c r="T15" s="682"/>
      <c r="U15" s="495"/>
      <c r="V15" s="416"/>
      <c r="W15" s="416"/>
      <c r="X15" s="497" t="e">
        <f t="shared" si="5"/>
        <v>#N/A</v>
      </c>
      <c r="Y15" s="682"/>
      <c r="Z15" s="495"/>
      <c r="AA15" s="416"/>
      <c r="AB15" s="416"/>
      <c r="AC15" s="497" t="e">
        <f t="shared" si="7"/>
        <v>#N/A</v>
      </c>
      <c r="AD15" s="682"/>
      <c r="AE15" s="495"/>
      <c r="AF15" s="416"/>
      <c r="AG15" s="416"/>
      <c r="AH15" s="497" t="e">
        <f t="shared" si="9"/>
        <v>#N/A</v>
      </c>
      <c r="AI15" s="682"/>
      <c r="AJ15" s="495"/>
      <c r="AK15" s="416"/>
      <c r="AL15" s="416"/>
      <c r="AM15" s="497" t="e">
        <f t="shared" si="11"/>
        <v>#N/A</v>
      </c>
      <c r="AN15" s="682"/>
      <c r="AO15" s="495"/>
      <c r="AP15" s="416"/>
      <c r="AQ15" s="416"/>
      <c r="AR15" s="497" t="e">
        <f t="shared" si="13"/>
        <v>#N/A</v>
      </c>
      <c r="AS15" s="682"/>
      <c r="AT15" s="495"/>
      <c r="AU15" s="416"/>
      <c r="AV15" s="416"/>
      <c r="AW15" s="497" t="e">
        <f t="shared" si="15"/>
        <v>#N/A</v>
      </c>
      <c r="AX15" s="682"/>
      <c r="AZ15" s="399" t="e">
        <f t="shared" si="17"/>
        <v>#N/A</v>
      </c>
      <c r="BA15" s="682"/>
    </row>
    <row r="16" spans="1:53" ht="14.25">
      <c r="A16" s="81"/>
      <c r="B16" s="668"/>
      <c r="C16" s="409">
        <v>10</v>
      </c>
      <c r="D16" s="367"/>
      <c r="E16" s="499"/>
      <c r="F16" s="499"/>
      <c r="G16" s="499"/>
      <c r="H16" s="686"/>
      <c r="I16" s="413" t="str">
        <f t="shared" si="0"/>
        <v>-</v>
      </c>
      <c r="J16" s="413" t="str">
        <f t="shared" si="1"/>
        <v>-</v>
      </c>
      <c r="K16" s="199" t="str">
        <f t="shared" si="2"/>
        <v>-</v>
      </c>
      <c r="L16" s="617"/>
      <c r="M16" s="415" t="e">
        <f>RANK(K16, K$7:$K$21)</f>
        <v>#VALUE!</v>
      </c>
      <c r="N16" s="635"/>
      <c r="O16" s="635"/>
      <c r="P16" s="409"/>
      <c r="Q16" s="416"/>
      <c r="R16" s="416"/>
      <c r="S16" s="411" t="e">
        <f t="shared" si="3"/>
        <v>#N/A</v>
      </c>
      <c r="T16" s="682"/>
      <c r="U16" s="495"/>
      <c r="V16" s="416"/>
      <c r="W16" s="416"/>
      <c r="X16" s="497" t="e">
        <f t="shared" si="5"/>
        <v>#N/A</v>
      </c>
      <c r="Y16" s="682"/>
      <c r="Z16" s="495"/>
      <c r="AA16" s="416"/>
      <c r="AB16" s="416"/>
      <c r="AC16" s="497" t="e">
        <f t="shared" si="7"/>
        <v>#N/A</v>
      </c>
      <c r="AD16" s="682"/>
      <c r="AE16" s="495"/>
      <c r="AF16" s="416"/>
      <c r="AG16" s="416"/>
      <c r="AH16" s="497" t="e">
        <f t="shared" si="9"/>
        <v>#N/A</v>
      </c>
      <c r="AI16" s="682"/>
      <c r="AJ16" s="495"/>
      <c r="AK16" s="416"/>
      <c r="AL16" s="416"/>
      <c r="AM16" s="497" t="e">
        <f t="shared" si="11"/>
        <v>#N/A</v>
      </c>
      <c r="AN16" s="682"/>
      <c r="AO16" s="495"/>
      <c r="AP16" s="416"/>
      <c r="AQ16" s="416"/>
      <c r="AR16" s="497" t="e">
        <f t="shared" si="13"/>
        <v>#N/A</v>
      </c>
      <c r="AS16" s="682"/>
      <c r="AT16" s="495"/>
      <c r="AU16" s="416"/>
      <c r="AV16" s="416"/>
      <c r="AW16" s="497" t="e">
        <f t="shared" si="15"/>
        <v>#N/A</v>
      </c>
      <c r="AX16" s="682"/>
      <c r="AZ16" s="399" t="e">
        <f t="shared" si="17"/>
        <v>#N/A</v>
      </c>
      <c r="BA16" s="682"/>
    </row>
    <row r="17" spans="2:53">
      <c r="B17" s="668"/>
      <c r="C17" s="409">
        <v>11</v>
      </c>
      <c r="D17" s="367"/>
      <c r="E17" s="499"/>
      <c r="F17" s="499"/>
      <c r="G17" s="499"/>
      <c r="H17" s="686"/>
      <c r="I17" s="413" t="str">
        <f t="shared" si="0"/>
        <v>-</v>
      </c>
      <c r="J17" s="413" t="str">
        <f t="shared" si="1"/>
        <v>-</v>
      </c>
      <c r="K17" s="199" t="str">
        <f t="shared" si="2"/>
        <v>-</v>
      </c>
      <c r="L17" s="617"/>
      <c r="M17" s="415" t="e">
        <f>RANK(K17, K$7:$K$21)</f>
        <v>#VALUE!</v>
      </c>
      <c r="N17" s="635"/>
      <c r="O17" s="635"/>
      <c r="P17" s="409"/>
      <c r="Q17" s="416"/>
      <c r="R17" s="416"/>
      <c r="S17" s="411" t="e">
        <f t="shared" si="3"/>
        <v>#N/A</v>
      </c>
      <c r="T17" s="682"/>
      <c r="U17" s="495"/>
      <c r="V17" s="416"/>
      <c r="W17" s="416"/>
      <c r="X17" s="497" t="e">
        <f t="shared" si="5"/>
        <v>#N/A</v>
      </c>
      <c r="Y17" s="682"/>
      <c r="Z17" s="495"/>
      <c r="AA17" s="416"/>
      <c r="AB17" s="416"/>
      <c r="AC17" s="497" t="e">
        <f t="shared" si="7"/>
        <v>#N/A</v>
      </c>
      <c r="AD17" s="682"/>
      <c r="AE17" s="495"/>
      <c r="AF17" s="416"/>
      <c r="AG17" s="416"/>
      <c r="AH17" s="497" t="e">
        <f t="shared" si="9"/>
        <v>#N/A</v>
      </c>
      <c r="AI17" s="682"/>
      <c r="AJ17" s="495"/>
      <c r="AK17" s="416"/>
      <c r="AL17" s="416"/>
      <c r="AM17" s="497" t="e">
        <f t="shared" si="11"/>
        <v>#N/A</v>
      </c>
      <c r="AN17" s="682"/>
      <c r="AO17" s="495"/>
      <c r="AP17" s="416"/>
      <c r="AQ17" s="416"/>
      <c r="AR17" s="497" t="e">
        <f t="shared" si="13"/>
        <v>#N/A</v>
      </c>
      <c r="AS17" s="682"/>
      <c r="AT17" s="495"/>
      <c r="AU17" s="416"/>
      <c r="AV17" s="416"/>
      <c r="AW17" s="497" t="e">
        <f t="shared" si="15"/>
        <v>#N/A</v>
      </c>
      <c r="AX17" s="682"/>
      <c r="AZ17" s="399" t="e">
        <f t="shared" si="17"/>
        <v>#N/A</v>
      </c>
      <c r="BA17" s="682"/>
    </row>
    <row r="18" spans="2:53">
      <c r="B18" s="668"/>
      <c r="C18" s="409">
        <v>12</v>
      </c>
      <c r="D18" s="367"/>
      <c r="E18" s="499"/>
      <c r="F18" s="499"/>
      <c r="G18" s="499"/>
      <c r="H18" s="686"/>
      <c r="I18" s="413" t="str">
        <f t="shared" si="0"/>
        <v>-</v>
      </c>
      <c r="J18" s="413" t="str">
        <f t="shared" si="1"/>
        <v>-</v>
      </c>
      <c r="K18" s="199" t="str">
        <f t="shared" si="2"/>
        <v>-</v>
      </c>
      <c r="L18" s="617"/>
      <c r="M18" s="415" t="e">
        <f>RANK(K18, K$7:$K$21)</f>
        <v>#VALUE!</v>
      </c>
      <c r="N18" s="635"/>
      <c r="O18" s="635"/>
      <c r="P18" s="409"/>
      <c r="Q18" s="416"/>
      <c r="R18" s="416"/>
      <c r="S18" s="411" t="e">
        <f t="shared" si="3"/>
        <v>#N/A</v>
      </c>
      <c r="T18" s="682"/>
      <c r="U18" s="495"/>
      <c r="V18" s="416"/>
      <c r="W18" s="416"/>
      <c r="X18" s="497" t="e">
        <f t="shared" si="5"/>
        <v>#N/A</v>
      </c>
      <c r="Y18" s="682"/>
      <c r="Z18" s="495"/>
      <c r="AA18" s="416"/>
      <c r="AB18" s="416"/>
      <c r="AC18" s="497" t="e">
        <f t="shared" si="7"/>
        <v>#N/A</v>
      </c>
      <c r="AD18" s="682"/>
      <c r="AE18" s="495"/>
      <c r="AF18" s="416"/>
      <c r="AG18" s="416"/>
      <c r="AH18" s="497" t="e">
        <f t="shared" si="9"/>
        <v>#N/A</v>
      </c>
      <c r="AI18" s="682"/>
      <c r="AJ18" s="495"/>
      <c r="AK18" s="416"/>
      <c r="AL18" s="416"/>
      <c r="AM18" s="497" t="e">
        <f t="shared" si="11"/>
        <v>#N/A</v>
      </c>
      <c r="AN18" s="682"/>
      <c r="AO18" s="495"/>
      <c r="AP18" s="416"/>
      <c r="AQ18" s="416"/>
      <c r="AR18" s="497" t="e">
        <f t="shared" si="13"/>
        <v>#N/A</v>
      </c>
      <c r="AS18" s="682"/>
      <c r="AT18" s="495"/>
      <c r="AU18" s="416"/>
      <c r="AV18" s="416"/>
      <c r="AW18" s="497" t="e">
        <f t="shared" si="15"/>
        <v>#N/A</v>
      </c>
      <c r="AX18" s="682"/>
      <c r="AZ18" s="399" t="e">
        <f t="shared" si="17"/>
        <v>#N/A</v>
      </c>
      <c r="BA18" s="682"/>
    </row>
    <row r="19" spans="2:53">
      <c r="B19" s="668"/>
      <c r="C19" s="409">
        <v>13</v>
      </c>
      <c r="D19" s="367"/>
      <c r="E19" s="499"/>
      <c r="F19" s="499"/>
      <c r="G19" s="499"/>
      <c r="H19" s="686"/>
      <c r="I19" s="413" t="str">
        <f t="shared" si="0"/>
        <v>-</v>
      </c>
      <c r="J19" s="413" t="str">
        <f t="shared" si="1"/>
        <v>-</v>
      </c>
      <c r="K19" s="199" t="str">
        <f t="shared" si="2"/>
        <v>-</v>
      </c>
      <c r="L19" s="617"/>
      <c r="M19" s="415" t="e">
        <f>RANK(K19, K$7:$K$21)</f>
        <v>#VALUE!</v>
      </c>
      <c r="N19" s="635"/>
      <c r="O19" s="635"/>
      <c r="P19" s="409"/>
      <c r="Q19" s="416"/>
      <c r="R19" s="416"/>
      <c r="S19" s="411" t="e">
        <f t="shared" si="3"/>
        <v>#N/A</v>
      </c>
      <c r="T19" s="682"/>
      <c r="U19" s="495"/>
      <c r="V19" s="416"/>
      <c r="W19" s="416"/>
      <c r="X19" s="497" t="e">
        <f t="shared" si="5"/>
        <v>#N/A</v>
      </c>
      <c r="Y19" s="682"/>
      <c r="Z19" s="495"/>
      <c r="AA19" s="416"/>
      <c r="AB19" s="416"/>
      <c r="AC19" s="497" t="e">
        <f t="shared" si="7"/>
        <v>#N/A</v>
      </c>
      <c r="AD19" s="682"/>
      <c r="AE19" s="495"/>
      <c r="AF19" s="416"/>
      <c r="AG19" s="416"/>
      <c r="AH19" s="497" t="e">
        <f t="shared" si="9"/>
        <v>#N/A</v>
      </c>
      <c r="AI19" s="682"/>
      <c r="AJ19" s="495"/>
      <c r="AK19" s="416"/>
      <c r="AL19" s="416"/>
      <c r="AM19" s="497" t="e">
        <f t="shared" si="11"/>
        <v>#N/A</v>
      </c>
      <c r="AN19" s="682"/>
      <c r="AO19" s="495"/>
      <c r="AP19" s="416"/>
      <c r="AQ19" s="416"/>
      <c r="AR19" s="497" t="e">
        <f t="shared" si="13"/>
        <v>#N/A</v>
      </c>
      <c r="AS19" s="682"/>
      <c r="AT19" s="495"/>
      <c r="AU19" s="416"/>
      <c r="AV19" s="416"/>
      <c r="AW19" s="497" t="e">
        <f t="shared" si="15"/>
        <v>#N/A</v>
      </c>
      <c r="AX19" s="682"/>
      <c r="AZ19" s="399" t="e">
        <f t="shared" si="17"/>
        <v>#N/A</v>
      </c>
      <c r="BA19" s="682"/>
    </row>
    <row r="20" spans="2:53">
      <c r="B20" s="668"/>
      <c r="C20" s="409">
        <v>14</v>
      </c>
      <c r="D20" s="367"/>
      <c r="E20" s="499"/>
      <c r="F20" s="499"/>
      <c r="G20" s="499"/>
      <c r="H20" s="686"/>
      <c r="I20" s="413" t="str">
        <f t="shared" si="0"/>
        <v>-</v>
      </c>
      <c r="J20" s="413" t="str">
        <f t="shared" si="1"/>
        <v>-</v>
      </c>
      <c r="K20" s="199" t="str">
        <f t="shared" si="2"/>
        <v>-</v>
      </c>
      <c r="L20" s="617"/>
      <c r="M20" s="415" t="e">
        <f>RANK(K20, K$7:$K$21)</f>
        <v>#VALUE!</v>
      </c>
      <c r="N20" s="635"/>
      <c r="O20" s="635"/>
      <c r="P20" s="409"/>
      <c r="Q20" s="416"/>
      <c r="R20" s="416"/>
      <c r="S20" s="411" t="e">
        <f t="shared" si="3"/>
        <v>#N/A</v>
      </c>
      <c r="T20" s="682"/>
      <c r="U20" s="495"/>
      <c r="V20" s="416"/>
      <c r="W20" s="416"/>
      <c r="X20" s="497" t="e">
        <f t="shared" si="5"/>
        <v>#N/A</v>
      </c>
      <c r="Y20" s="682"/>
      <c r="Z20" s="495"/>
      <c r="AA20" s="416"/>
      <c r="AB20" s="416"/>
      <c r="AC20" s="497" t="e">
        <f t="shared" si="7"/>
        <v>#N/A</v>
      </c>
      <c r="AD20" s="682"/>
      <c r="AE20" s="495"/>
      <c r="AF20" s="416"/>
      <c r="AG20" s="416"/>
      <c r="AH20" s="497" t="e">
        <f t="shared" si="9"/>
        <v>#N/A</v>
      </c>
      <c r="AI20" s="682"/>
      <c r="AJ20" s="495"/>
      <c r="AK20" s="416"/>
      <c r="AL20" s="416"/>
      <c r="AM20" s="497" t="e">
        <f t="shared" si="11"/>
        <v>#N/A</v>
      </c>
      <c r="AN20" s="682"/>
      <c r="AO20" s="495"/>
      <c r="AP20" s="416"/>
      <c r="AQ20" s="416"/>
      <c r="AR20" s="497" t="e">
        <f t="shared" si="13"/>
        <v>#N/A</v>
      </c>
      <c r="AS20" s="682"/>
      <c r="AT20" s="495"/>
      <c r="AU20" s="416"/>
      <c r="AV20" s="416"/>
      <c r="AW20" s="497" t="e">
        <f t="shared" si="15"/>
        <v>#N/A</v>
      </c>
      <c r="AX20" s="682"/>
      <c r="AZ20" s="399" t="e">
        <f t="shared" si="17"/>
        <v>#N/A</v>
      </c>
      <c r="BA20" s="682"/>
    </row>
    <row r="21" spans="2:53">
      <c r="B21" s="668"/>
      <c r="C21" s="409">
        <v>15</v>
      </c>
      <c r="D21" s="367"/>
      <c r="E21" s="499"/>
      <c r="F21" s="499"/>
      <c r="G21" s="499"/>
      <c r="H21" s="687"/>
      <c r="I21" s="417"/>
      <c r="J21" s="417"/>
      <c r="K21" s="414"/>
      <c r="L21" s="618"/>
      <c r="M21" s="415" t="e">
        <f>RANK(K21, K$7:$K$21)</f>
        <v>#N/A</v>
      </c>
      <c r="N21" s="635"/>
      <c r="O21" s="635"/>
      <c r="P21" s="409"/>
      <c r="Q21" s="416"/>
      <c r="R21" s="416"/>
      <c r="S21" s="411" t="e">
        <f t="shared" si="3"/>
        <v>#N/A</v>
      </c>
      <c r="T21" s="682"/>
      <c r="U21" s="495"/>
      <c r="V21" s="416"/>
      <c r="W21" s="416"/>
      <c r="X21" s="497" t="e">
        <f t="shared" si="5"/>
        <v>#N/A</v>
      </c>
      <c r="Y21" s="682"/>
      <c r="Z21" s="495"/>
      <c r="AA21" s="416"/>
      <c r="AB21" s="416"/>
      <c r="AC21" s="497" t="e">
        <f t="shared" si="7"/>
        <v>#N/A</v>
      </c>
      <c r="AD21" s="682"/>
      <c r="AE21" s="495"/>
      <c r="AF21" s="416"/>
      <c r="AG21" s="416"/>
      <c r="AH21" s="497" t="e">
        <f t="shared" si="9"/>
        <v>#N/A</v>
      </c>
      <c r="AI21" s="682"/>
      <c r="AJ21" s="495"/>
      <c r="AK21" s="416"/>
      <c r="AL21" s="416"/>
      <c r="AM21" s="497" t="e">
        <f t="shared" si="11"/>
        <v>#N/A</v>
      </c>
      <c r="AN21" s="682"/>
      <c r="AO21" s="495"/>
      <c r="AP21" s="416"/>
      <c r="AQ21" s="416"/>
      <c r="AR21" s="497" t="e">
        <f t="shared" si="13"/>
        <v>#N/A</v>
      </c>
      <c r="AS21" s="682"/>
      <c r="AT21" s="495"/>
      <c r="AU21" s="416"/>
      <c r="AV21" s="416"/>
      <c r="AW21" s="497" t="e">
        <f t="shared" si="15"/>
        <v>#N/A</v>
      </c>
      <c r="AX21" s="682"/>
      <c r="AZ21" s="399" t="e">
        <f t="shared" si="17"/>
        <v>#N/A</v>
      </c>
      <c r="BA21" s="682"/>
    </row>
    <row r="22" spans="2:53" ht="15.75">
      <c r="B22" s="661" t="s">
        <v>163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36" t="s">
        <v>156</v>
      </c>
      <c r="O22" s="636" t="s">
        <v>105</v>
      </c>
      <c r="P22" s="642">
        <f>P2+7</f>
        <v>46175</v>
      </c>
      <c r="Q22" s="643"/>
      <c r="R22" s="643"/>
      <c r="S22" s="643"/>
      <c r="T22" s="643"/>
      <c r="U22" s="639">
        <f>P22+1</f>
        <v>46176</v>
      </c>
      <c r="V22" s="640"/>
      <c r="W22" s="640"/>
      <c r="X22" s="640"/>
      <c r="Y22" s="641"/>
      <c r="Z22" s="639">
        <f>U22+1</f>
        <v>46177</v>
      </c>
      <c r="AA22" s="640"/>
      <c r="AB22" s="640"/>
      <c r="AC22" s="640"/>
      <c r="AD22" s="641"/>
      <c r="AE22" s="639">
        <f>Z22+1</f>
        <v>46178</v>
      </c>
      <c r="AF22" s="640"/>
      <c r="AG22" s="640"/>
      <c r="AH22" s="640"/>
      <c r="AI22" s="641"/>
      <c r="AJ22" s="639">
        <f>AE22+1</f>
        <v>46179</v>
      </c>
      <c r="AK22" s="640"/>
      <c r="AL22" s="640"/>
      <c r="AM22" s="640"/>
      <c r="AN22" s="641"/>
      <c r="AO22" s="639">
        <f>AJ22+1</f>
        <v>46180</v>
      </c>
      <c r="AP22" s="640"/>
      <c r="AQ22" s="640"/>
      <c r="AR22" s="640"/>
      <c r="AS22" s="641"/>
      <c r="AT22" s="639">
        <f>AO22+1</f>
        <v>46181</v>
      </c>
      <c r="AU22" s="640"/>
      <c r="AV22" s="640"/>
      <c r="AW22" s="640"/>
      <c r="AX22" s="641"/>
    </row>
    <row r="23" spans="2:53" ht="15.75">
      <c r="B23" s="650"/>
      <c r="C23" s="650"/>
      <c r="D23" s="650"/>
      <c r="E23" s="650"/>
      <c r="F23" s="650"/>
      <c r="G23" s="650"/>
      <c r="H23" s="650"/>
      <c r="I23" s="204"/>
      <c r="J23" s="204"/>
      <c r="K23" s="204"/>
      <c r="L23" s="204"/>
      <c r="M23" s="205"/>
      <c r="N23" s="638"/>
      <c r="O23" s="638"/>
      <c r="P23" s="642" t="s">
        <v>318</v>
      </c>
      <c r="Q23" s="643"/>
      <c r="R23" s="643"/>
      <c r="S23" s="643"/>
      <c r="T23" s="643"/>
      <c r="U23" s="642" t="s">
        <v>319</v>
      </c>
      <c r="V23" s="643"/>
      <c r="W23" s="643"/>
      <c r="X23" s="643"/>
      <c r="Y23" s="643"/>
      <c r="Z23" s="642" t="s">
        <v>320</v>
      </c>
      <c r="AA23" s="643"/>
      <c r="AB23" s="643"/>
      <c r="AC23" s="643"/>
      <c r="AD23" s="643"/>
      <c r="AE23" s="642" t="s">
        <v>321</v>
      </c>
      <c r="AF23" s="643"/>
      <c r="AG23" s="643"/>
      <c r="AH23" s="643"/>
      <c r="AI23" s="643"/>
      <c r="AJ23" s="642" t="s">
        <v>322</v>
      </c>
      <c r="AK23" s="643"/>
      <c r="AL23" s="643"/>
      <c r="AM23" s="643"/>
      <c r="AN23" s="643"/>
      <c r="AO23" s="642" t="s">
        <v>323</v>
      </c>
      <c r="AP23" s="643"/>
      <c r="AQ23" s="643"/>
      <c r="AR23" s="643"/>
      <c r="AS23" s="643"/>
      <c r="AT23" s="642" t="s">
        <v>324</v>
      </c>
      <c r="AU23" s="643"/>
      <c r="AV23" s="643"/>
      <c r="AW23" s="643"/>
      <c r="AX23" s="643"/>
    </row>
    <row r="24" spans="2:53">
      <c r="B24" s="635" t="s">
        <v>374</v>
      </c>
      <c r="C24" s="635" t="s">
        <v>384</v>
      </c>
      <c r="D24" s="635"/>
      <c r="E24" s="635" t="s">
        <v>375</v>
      </c>
      <c r="F24" s="635"/>
      <c r="G24" s="635"/>
      <c r="H24" s="651" t="s">
        <v>371</v>
      </c>
      <c r="I24" s="635" t="s">
        <v>376</v>
      </c>
      <c r="J24" s="635"/>
      <c r="K24" s="635"/>
      <c r="L24" s="651" t="s">
        <v>371</v>
      </c>
      <c r="M24" s="636" t="s">
        <v>372</v>
      </c>
      <c r="N24" s="635"/>
      <c r="O24" s="635" t="s">
        <v>377</v>
      </c>
      <c r="P24" s="632" t="s">
        <v>373</v>
      </c>
      <c r="Q24" s="633"/>
      <c r="R24" s="633"/>
      <c r="S24" s="634"/>
      <c r="T24" s="635" t="s">
        <v>371</v>
      </c>
      <c r="U24" s="632" t="s">
        <v>373</v>
      </c>
      <c r="V24" s="633"/>
      <c r="W24" s="633"/>
      <c r="X24" s="634"/>
      <c r="Y24" s="635" t="s">
        <v>371</v>
      </c>
      <c r="Z24" s="632" t="s">
        <v>373</v>
      </c>
      <c r="AA24" s="633"/>
      <c r="AB24" s="633"/>
      <c r="AC24" s="634"/>
      <c r="AD24" s="635" t="s">
        <v>371</v>
      </c>
      <c r="AE24" s="632" t="s">
        <v>373</v>
      </c>
      <c r="AF24" s="633"/>
      <c r="AG24" s="633"/>
      <c r="AH24" s="634"/>
      <c r="AI24" s="635" t="s">
        <v>371</v>
      </c>
      <c r="AJ24" s="632" t="s">
        <v>373</v>
      </c>
      <c r="AK24" s="633"/>
      <c r="AL24" s="633"/>
      <c r="AM24" s="634"/>
      <c r="AN24" s="635" t="s">
        <v>371</v>
      </c>
      <c r="AO24" s="632" t="s">
        <v>373</v>
      </c>
      <c r="AP24" s="633"/>
      <c r="AQ24" s="633"/>
      <c r="AR24" s="634"/>
      <c r="AS24" s="635" t="s">
        <v>371</v>
      </c>
      <c r="AT24" s="632" t="s">
        <v>373</v>
      </c>
      <c r="AU24" s="633"/>
      <c r="AV24" s="633"/>
      <c r="AW24" s="634"/>
      <c r="AX24" s="635" t="s">
        <v>371</v>
      </c>
      <c r="BA24" s="635" t="s">
        <v>564</v>
      </c>
    </row>
    <row r="25" spans="2:53">
      <c r="B25" s="635"/>
      <c r="C25" s="635"/>
      <c r="D25" s="635"/>
      <c r="E25" s="635" t="s">
        <v>378</v>
      </c>
      <c r="F25" s="635"/>
      <c r="G25" s="635"/>
      <c r="H25" s="652"/>
      <c r="I25" s="635" t="s">
        <v>378</v>
      </c>
      <c r="J25" s="635"/>
      <c r="K25" s="635"/>
      <c r="L25" s="652"/>
      <c r="M25" s="637"/>
      <c r="N25" s="635"/>
      <c r="O25" s="635"/>
      <c r="P25" s="632" t="s">
        <v>379</v>
      </c>
      <c r="Q25" s="633"/>
      <c r="R25" s="633"/>
      <c r="S25" s="634"/>
      <c r="T25" s="635"/>
      <c r="U25" s="632" t="s">
        <v>379</v>
      </c>
      <c r="V25" s="633"/>
      <c r="W25" s="633"/>
      <c r="X25" s="634"/>
      <c r="Y25" s="635"/>
      <c r="Z25" s="632" t="s">
        <v>379</v>
      </c>
      <c r="AA25" s="633"/>
      <c r="AB25" s="633"/>
      <c r="AC25" s="634"/>
      <c r="AD25" s="635"/>
      <c r="AE25" s="632" t="s">
        <v>379</v>
      </c>
      <c r="AF25" s="633"/>
      <c r="AG25" s="633"/>
      <c r="AH25" s="634"/>
      <c r="AI25" s="635"/>
      <c r="AJ25" s="632" t="s">
        <v>379</v>
      </c>
      <c r="AK25" s="633"/>
      <c r="AL25" s="633"/>
      <c r="AM25" s="634"/>
      <c r="AN25" s="635"/>
      <c r="AO25" s="632" t="s">
        <v>379</v>
      </c>
      <c r="AP25" s="633"/>
      <c r="AQ25" s="633"/>
      <c r="AR25" s="634"/>
      <c r="AS25" s="635"/>
      <c r="AT25" s="632" t="s">
        <v>379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408" t="s">
        <v>380</v>
      </c>
      <c r="F26" s="408" t="s">
        <v>381</v>
      </c>
      <c r="G26" s="408" t="s">
        <v>382</v>
      </c>
      <c r="H26" s="653"/>
      <c r="I26" s="408" t="s">
        <v>380</v>
      </c>
      <c r="J26" s="408" t="s">
        <v>381</v>
      </c>
      <c r="K26" s="408" t="s">
        <v>382</v>
      </c>
      <c r="L26" s="653"/>
      <c r="M26" s="638"/>
      <c r="N26" s="635"/>
      <c r="O26" s="635"/>
      <c r="P26" s="408" t="s">
        <v>380</v>
      </c>
      <c r="Q26" s="408" t="s">
        <v>381</v>
      </c>
      <c r="R26" s="408" t="s">
        <v>382</v>
      </c>
      <c r="S26" s="408" t="s">
        <v>372</v>
      </c>
      <c r="T26" s="635"/>
      <c r="U26" s="408" t="s">
        <v>380</v>
      </c>
      <c r="V26" s="408" t="s">
        <v>381</v>
      </c>
      <c r="W26" s="408" t="s">
        <v>382</v>
      </c>
      <c r="X26" s="408" t="s">
        <v>372</v>
      </c>
      <c r="Y26" s="635"/>
      <c r="Z26" s="408" t="s">
        <v>380</v>
      </c>
      <c r="AA26" s="408" t="s">
        <v>381</v>
      </c>
      <c r="AB26" s="408" t="s">
        <v>382</v>
      </c>
      <c r="AC26" s="408" t="s">
        <v>372</v>
      </c>
      <c r="AD26" s="635"/>
      <c r="AE26" s="408" t="s">
        <v>380</v>
      </c>
      <c r="AF26" s="408" t="s">
        <v>381</v>
      </c>
      <c r="AG26" s="408" t="s">
        <v>382</v>
      </c>
      <c r="AH26" s="408" t="s">
        <v>372</v>
      </c>
      <c r="AI26" s="635"/>
      <c r="AJ26" s="408" t="s">
        <v>380</v>
      </c>
      <c r="AK26" s="408" t="s">
        <v>381</v>
      </c>
      <c r="AL26" s="408" t="s">
        <v>382</v>
      </c>
      <c r="AM26" s="408" t="s">
        <v>372</v>
      </c>
      <c r="AN26" s="635"/>
      <c r="AO26" s="408" t="s">
        <v>380</v>
      </c>
      <c r="AP26" s="408" t="s">
        <v>381</v>
      </c>
      <c r="AQ26" s="408" t="s">
        <v>382</v>
      </c>
      <c r="AR26" s="408" t="s">
        <v>372</v>
      </c>
      <c r="AS26" s="635"/>
      <c r="AT26" s="408" t="s">
        <v>380</v>
      </c>
      <c r="AU26" s="408" t="s">
        <v>381</v>
      </c>
      <c r="AV26" s="408" t="s">
        <v>382</v>
      </c>
      <c r="AW26" s="408" t="s">
        <v>372</v>
      </c>
      <c r="AX26" s="635"/>
      <c r="AZ26" s="397" t="s">
        <v>372</v>
      </c>
      <c r="BA26" s="635"/>
    </row>
    <row r="27" spans="2:53">
      <c r="B27" s="683" t="s">
        <v>383</v>
      </c>
      <c r="C27" s="411">
        <v>1</v>
      </c>
      <c r="D27" s="367" t="s">
        <v>362</v>
      </c>
      <c r="E27" s="499">
        <v>4</v>
      </c>
      <c r="F27" s="499">
        <v>2000</v>
      </c>
      <c r="G27" s="499">
        <v>500</v>
      </c>
      <c r="H27" s="679">
        <f>AVERAGE(G27:G41)</f>
        <v>255.34006410256413</v>
      </c>
      <c r="I27" s="413">
        <f t="shared" ref="I27:I40" si="19">IFERROR(AVERAGE(P27,U27,Z27,AE27,AJ27,AO27,AT27),"-")</f>
        <v>5</v>
      </c>
      <c r="J27" s="413">
        <f t="shared" ref="J27:J40" si="20">IFERROR(AVERAGE(Q27,V27,AA27,AF27,AK27,AP27,AU27),"-")</f>
        <v>2114.1394458951909</v>
      </c>
      <c r="K27" s="199">
        <f t="shared" ref="K27:K40" si="21">IFERROR(AVERAGE(R27,W27,AB27,AG27,AL27,AQ27,AV27),"-")</f>
        <v>422.82788917903821</v>
      </c>
      <c r="L27" s="616">
        <f>IFERROR(AVERAGE(K27:K41),"-")</f>
        <v>229.24447085258544</v>
      </c>
      <c r="M27" s="417">
        <f>RANK(K27, K$27:$K$41)</f>
        <v>2</v>
      </c>
      <c r="N27" s="635"/>
      <c r="O27" s="635"/>
      <c r="P27" s="539">
        <v>5</v>
      </c>
      <c r="Q27" s="416">
        <v>2150.7692307692305</v>
      </c>
      <c r="R27" s="416">
        <v>430.15384615384608</v>
      </c>
      <c r="S27" s="539">
        <f t="shared" ref="S27:S41" si="22">RANK(R27, R$27:R$41)</f>
        <v>1</v>
      </c>
      <c r="T27" s="644">
        <f t="shared" ref="T27" si="23">AVERAGE(R27:R41)</f>
        <v>229.70331748786055</v>
      </c>
      <c r="U27" s="539">
        <v>5</v>
      </c>
      <c r="V27" s="416">
        <v>2103.1034482758623</v>
      </c>
      <c r="W27" s="416">
        <v>420.62068965517244</v>
      </c>
      <c r="X27" s="539">
        <f t="shared" ref="X27:X41" si="24">RANK(W27, W$27:W$41)</f>
        <v>2</v>
      </c>
      <c r="Y27" s="644">
        <f t="shared" ref="Y27" si="25">AVERAGE(W27:W41)</f>
        <v>228.73350576371709</v>
      </c>
      <c r="Z27" s="539">
        <v>5</v>
      </c>
      <c r="AA27" s="416">
        <v>2095.4716981132069</v>
      </c>
      <c r="AB27" s="416">
        <v>419.09433962264137</v>
      </c>
      <c r="AC27" s="539">
        <f t="shared" ref="AC27:AC41" si="26">RANK(AB27, AB$27:AB$41)</f>
        <v>2</v>
      </c>
      <c r="AD27" s="644">
        <f t="shared" ref="AD27" si="27">AVERAGE(AB27:AB41)</f>
        <v>230.12321779219667</v>
      </c>
      <c r="AE27" s="539">
        <v>5</v>
      </c>
      <c r="AF27" s="416">
        <v>2138.0487804878039</v>
      </c>
      <c r="AG27" s="416">
        <v>427.60975609756076</v>
      </c>
      <c r="AH27" s="539">
        <f t="shared" ref="AH27:AH41" si="28">RANK(AG27, AG$27:AG$41)</f>
        <v>1</v>
      </c>
      <c r="AI27" s="644">
        <f t="shared" ref="AI27" si="29">AVERAGE(AG27:AG41)</f>
        <v>230.42807232952524</v>
      </c>
      <c r="AJ27" s="539">
        <v>5</v>
      </c>
      <c r="AK27" s="416">
        <v>2107.3469387755108</v>
      </c>
      <c r="AL27" s="416">
        <v>421.46938775510216</v>
      </c>
      <c r="AM27" s="539">
        <f t="shared" ref="AM27:AM41" si="30">RANK(AL27, AL$27:AL$41)</f>
        <v>2</v>
      </c>
      <c r="AN27" s="644">
        <f t="shared" ref="AN27" si="31">AVERAGE(AL27:AL41)</f>
        <v>229.10715964059474</v>
      </c>
      <c r="AO27" s="539">
        <v>5</v>
      </c>
      <c r="AP27" s="416">
        <v>2107.7142857142862</v>
      </c>
      <c r="AQ27" s="416">
        <v>421.54285714285726</v>
      </c>
      <c r="AR27" s="539">
        <f t="shared" ref="AR27:AR41" si="32">RANK(AQ27, AQ$27:AQ$41)</f>
        <v>2</v>
      </c>
      <c r="AS27" s="644">
        <f t="shared" ref="AS27" si="33">AVERAGE(AQ27:AQ41)</f>
        <v>228.76402623002792</v>
      </c>
      <c r="AT27" s="539">
        <v>5</v>
      </c>
      <c r="AU27" s="416">
        <v>2096.521739130435</v>
      </c>
      <c r="AV27" s="416">
        <v>419.304347826087</v>
      </c>
      <c r="AW27" s="539">
        <f t="shared" ref="AW27:AW41" si="34">RANK(AV27, AV$27:AV$41)</f>
        <v>2</v>
      </c>
      <c r="AX27" s="644">
        <f t="shared" ref="AX27" si="35">AVERAGE(AV27:AV41)</f>
        <v>227.85199672417582</v>
      </c>
      <c r="AZ27" s="398" t="e">
        <f t="shared" ref="AZ27:AZ41" si="36">RANK(AY27, AY$27:AY$41)</f>
        <v>#N/A</v>
      </c>
      <c r="BA27" s="644" t="e">
        <f t="shared" ref="BA27" si="37">AVERAGE(AY27:AY41)</f>
        <v>#DIV/0!</v>
      </c>
    </row>
    <row r="28" spans="2:53">
      <c r="B28" s="643"/>
      <c r="C28" s="411">
        <v>2</v>
      </c>
      <c r="D28" s="367" t="s">
        <v>438</v>
      </c>
      <c r="E28" s="499">
        <v>4</v>
      </c>
      <c r="F28" s="499">
        <v>2000</v>
      </c>
      <c r="G28" s="499">
        <v>500</v>
      </c>
      <c r="H28" s="680"/>
      <c r="I28" s="413">
        <f t="shared" si="19"/>
        <v>5</v>
      </c>
      <c r="J28" s="413">
        <f t="shared" si="20"/>
        <v>2118.6463662899355</v>
      </c>
      <c r="K28" s="199">
        <f t="shared" si="21"/>
        <v>423.72927325798707</v>
      </c>
      <c r="L28" s="617"/>
      <c r="M28" s="420">
        <f>RANK(K28, K$27:$K$41)</f>
        <v>1</v>
      </c>
      <c r="N28" s="635"/>
      <c r="O28" s="635"/>
      <c r="P28" s="539">
        <v>5</v>
      </c>
      <c r="Q28" s="416">
        <v>2103.7499999999995</v>
      </c>
      <c r="R28" s="416">
        <v>420.74999999999989</v>
      </c>
      <c r="S28" s="539">
        <f t="shared" si="22"/>
        <v>2</v>
      </c>
      <c r="T28" s="645"/>
      <c r="U28" s="539">
        <v>5</v>
      </c>
      <c r="V28" s="416">
        <v>2120.3571428571431</v>
      </c>
      <c r="W28" s="416">
        <v>424.07142857142861</v>
      </c>
      <c r="X28" s="539">
        <f t="shared" si="24"/>
        <v>1</v>
      </c>
      <c r="Y28" s="645"/>
      <c r="Z28" s="539">
        <v>5</v>
      </c>
      <c r="AA28" s="416">
        <v>2121.9230769230762</v>
      </c>
      <c r="AB28" s="416">
        <v>424.38461538461524</v>
      </c>
      <c r="AC28" s="539">
        <f t="shared" si="26"/>
        <v>1</v>
      </c>
      <c r="AD28" s="645"/>
      <c r="AE28" s="539">
        <v>5</v>
      </c>
      <c r="AF28" s="416">
        <v>2093.0232558139528</v>
      </c>
      <c r="AG28" s="416">
        <v>418.60465116279056</v>
      </c>
      <c r="AH28" s="539">
        <f t="shared" si="28"/>
        <v>2</v>
      </c>
      <c r="AI28" s="645"/>
      <c r="AJ28" s="539">
        <v>5</v>
      </c>
      <c r="AK28" s="416">
        <v>2112.2448979591845</v>
      </c>
      <c r="AL28" s="416">
        <v>422.44897959183692</v>
      </c>
      <c r="AM28" s="539">
        <f t="shared" si="30"/>
        <v>1</v>
      </c>
      <c r="AN28" s="645"/>
      <c r="AO28" s="539">
        <v>5</v>
      </c>
      <c r="AP28" s="416">
        <v>2130.4761904761899</v>
      </c>
      <c r="AQ28" s="416">
        <v>426.09523809523796</v>
      </c>
      <c r="AR28" s="539">
        <f t="shared" si="32"/>
        <v>1</v>
      </c>
      <c r="AS28" s="645"/>
      <c r="AT28" s="539">
        <v>5</v>
      </c>
      <c r="AU28" s="416">
        <v>2148.7500000000009</v>
      </c>
      <c r="AV28" s="416">
        <v>429.75000000000017</v>
      </c>
      <c r="AW28" s="539">
        <f t="shared" si="34"/>
        <v>1</v>
      </c>
      <c r="AX28" s="645"/>
      <c r="AZ28" s="398" t="e">
        <f t="shared" si="36"/>
        <v>#N/A</v>
      </c>
      <c r="BA28" s="645"/>
    </row>
    <row r="29" spans="2:53">
      <c r="B29" s="643"/>
      <c r="C29" s="411">
        <v>3</v>
      </c>
      <c r="D29" s="367" t="s">
        <v>363</v>
      </c>
      <c r="E29" s="499">
        <v>12</v>
      </c>
      <c r="F29" s="499">
        <v>2118</v>
      </c>
      <c r="G29" s="499">
        <v>176.5</v>
      </c>
      <c r="H29" s="680"/>
      <c r="I29" s="413">
        <f t="shared" si="19"/>
        <v>12</v>
      </c>
      <c r="J29" s="413">
        <f t="shared" si="20"/>
        <v>1891.9425165467978</v>
      </c>
      <c r="K29" s="199">
        <f t="shared" si="21"/>
        <v>157.66187637889976</v>
      </c>
      <c r="L29" s="617"/>
      <c r="M29" s="420">
        <f>RANK(K29, K$27:$K$41)</f>
        <v>6</v>
      </c>
      <c r="N29" s="635"/>
      <c r="O29" s="635"/>
      <c r="P29" s="539">
        <v>12</v>
      </c>
      <c r="Q29" s="416">
        <v>1898.6301369863008</v>
      </c>
      <c r="R29" s="416">
        <v>158.21917808219175</v>
      </c>
      <c r="S29" s="539">
        <f t="shared" si="22"/>
        <v>6</v>
      </c>
      <c r="T29" s="645"/>
      <c r="U29" s="539">
        <v>12</v>
      </c>
      <c r="V29" s="416">
        <v>1902.7272727272727</v>
      </c>
      <c r="W29" s="416">
        <v>158.56060606060606</v>
      </c>
      <c r="X29" s="539">
        <f t="shared" si="24"/>
        <v>6</v>
      </c>
      <c r="Y29" s="645"/>
      <c r="Z29" s="539">
        <v>12</v>
      </c>
      <c r="AA29" s="416">
        <v>1882.1538461538457</v>
      </c>
      <c r="AB29" s="416">
        <v>156.84615384615381</v>
      </c>
      <c r="AC29" s="539">
        <f t="shared" si="26"/>
        <v>7</v>
      </c>
      <c r="AD29" s="645"/>
      <c r="AE29" s="539">
        <v>12</v>
      </c>
      <c r="AF29" s="416">
        <v>1910.6896551724139</v>
      </c>
      <c r="AG29" s="416">
        <v>159.22413793103451</v>
      </c>
      <c r="AH29" s="539">
        <f t="shared" si="28"/>
        <v>6</v>
      </c>
      <c r="AI29" s="645"/>
      <c r="AJ29" s="539">
        <v>12</v>
      </c>
      <c r="AK29" s="416">
        <v>1885.0746268656717</v>
      </c>
      <c r="AL29" s="416">
        <v>157.08955223880596</v>
      </c>
      <c r="AM29" s="539">
        <f t="shared" si="30"/>
        <v>6</v>
      </c>
      <c r="AN29" s="645"/>
      <c r="AO29" s="539">
        <v>12</v>
      </c>
      <c r="AP29" s="416">
        <v>1875.4909090909086</v>
      </c>
      <c r="AQ29" s="416">
        <v>156.29090909090905</v>
      </c>
      <c r="AR29" s="539">
        <f t="shared" si="32"/>
        <v>6</v>
      </c>
      <c r="AS29" s="645"/>
      <c r="AT29" s="539">
        <v>12</v>
      </c>
      <c r="AU29" s="416">
        <v>1888.8311688311687</v>
      </c>
      <c r="AV29" s="416">
        <v>157.40259740259739</v>
      </c>
      <c r="AW29" s="539">
        <f t="shared" si="34"/>
        <v>6</v>
      </c>
      <c r="AX29" s="645"/>
      <c r="AZ29" s="398" t="e">
        <f t="shared" si="36"/>
        <v>#N/A</v>
      </c>
      <c r="BA29" s="645"/>
    </row>
    <row r="30" spans="2:53">
      <c r="B30" s="643"/>
      <c r="C30" s="411">
        <v>4</v>
      </c>
      <c r="D30" s="367" t="s">
        <v>591</v>
      </c>
      <c r="E30" s="499">
        <v>13</v>
      </c>
      <c r="F30" s="499">
        <v>2250</v>
      </c>
      <c r="G30" s="499">
        <v>173.07692307692307</v>
      </c>
      <c r="H30" s="680"/>
      <c r="I30" s="413">
        <f t="shared" si="19"/>
        <v>13</v>
      </c>
      <c r="J30" s="413">
        <f t="shared" si="20"/>
        <v>2184.4289443170774</v>
      </c>
      <c r="K30" s="199">
        <f t="shared" si="21"/>
        <v>168.03299571669825</v>
      </c>
      <c r="L30" s="617"/>
      <c r="M30" s="420">
        <f>RANK(K30, K$27:$K$41)</f>
        <v>5</v>
      </c>
      <c r="N30" s="635"/>
      <c r="O30" s="635"/>
      <c r="P30" s="539">
        <v>13</v>
      </c>
      <c r="Q30" s="416">
        <v>2186.6666666666661</v>
      </c>
      <c r="R30" s="416">
        <v>168.20512820512815</v>
      </c>
      <c r="S30" s="539">
        <f t="shared" si="22"/>
        <v>4</v>
      </c>
      <c r="T30" s="645"/>
      <c r="U30" s="539">
        <v>13</v>
      </c>
      <c r="V30" s="416">
        <v>2162.5806451612898</v>
      </c>
      <c r="W30" s="416">
        <v>166.3523573200992</v>
      </c>
      <c r="X30" s="539">
        <f t="shared" si="24"/>
        <v>5</v>
      </c>
      <c r="Y30" s="645"/>
      <c r="Z30" s="539">
        <v>13</v>
      </c>
      <c r="AA30" s="416">
        <v>2200.0000000000005</v>
      </c>
      <c r="AB30" s="416">
        <v>169.23076923076925</v>
      </c>
      <c r="AC30" s="539">
        <f t="shared" si="26"/>
        <v>5</v>
      </c>
      <c r="AD30" s="645"/>
      <c r="AE30" s="539">
        <v>13</v>
      </c>
      <c r="AF30" s="416">
        <v>2219.1999999999994</v>
      </c>
      <c r="AG30" s="416">
        <v>170.70769230769227</v>
      </c>
      <c r="AH30" s="539">
        <f t="shared" si="28"/>
        <v>4</v>
      </c>
      <c r="AI30" s="645"/>
      <c r="AJ30" s="539">
        <v>13</v>
      </c>
      <c r="AK30" s="416">
        <v>2191.0344827586205</v>
      </c>
      <c r="AL30" s="416">
        <v>168.54111405835542</v>
      </c>
      <c r="AM30" s="539">
        <f t="shared" si="30"/>
        <v>5</v>
      </c>
      <c r="AN30" s="645"/>
      <c r="AO30" s="539">
        <v>13</v>
      </c>
      <c r="AP30" s="416">
        <v>2182.4299065420564</v>
      </c>
      <c r="AQ30" s="416">
        <v>167.8792235801582</v>
      </c>
      <c r="AR30" s="539">
        <f t="shared" si="32"/>
        <v>4</v>
      </c>
      <c r="AS30" s="645"/>
      <c r="AT30" s="539">
        <v>13</v>
      </c>
      <c r="AU30" s="416">
        <v>2149.090909090909</v>
      </c>
      <c r="AV30" s="416">
        <v>165.31468531468531</v>
      </c>
      <c r="AW30" s="539">
        <f t="shared" si="34"/>
        <v>4</v>
      </c>
      <c r="AX30" s="645"/>
      <c r="AZ30" s="398" t="e">
        <f t="shared" si="36"/>
        <v>#N/A</v>
      </c>
      <c r="BA30" s="645"/>
    </row>
    <row r="31" spans="2:53">
      <c r="B31" s="643"/>
      <c r="C31" s="411">
        <v>5</v>
      </c>
      <c r="D31" s="367" t="s">
        <v>364</v>
      </c>
      <c r="E31" s="499">
        <v>13</v>
      </c>
      <c r="F31" s="499">
        <v>2250</v>
      </c>
      <c r="G31" s="499">
        <v>173.07692307692307</v>
      </c>
      <c r="H31" s="680"/>
      <c r="I31" s="413">
        <f t="shared" si="19"/>
        <v>13</v>
      </c>
      <c r="J31" s="413">
        <f t="shared" si="20"/>
        <v>2185.0190200502552</v>
      </c>
      <c r="K31" s="199">
        <f t="shared" si="21"/>
        <v>168.07838615771192</v>
      </c>
      <c r="L31" s="617"/>
      <c r="M31" s="420">
        <f>RANK(K31, K$27:$K$41)</f>
        <v>4</v>
      </c>
      <c r="N31" s="635"/>
      <c r="O31" s="635"/>
      <c r="P31" s="539">
        <v>13</v>
      </c>
      <c r="Q31" s="416">
        <v>2179.4285714285716</v>
      </c>
      <c r="R31" s="416">
        <v>167.64835164835165</v>
      </c>
      <c r="S31" s="539">
        <f t="shared" si="22"/>
        <v>5</v>
      </c>
      <c r="T31" s="645"/>
      <c r="U31" s="539">
        <v>13</v>
      </c>
      <c r="V31" s="416">
        <v>2185.16129032258</v>
      </c>
      <c r="W31" s="416">
        <v>168.08933002481385</v>
      </c>
      <c r="X31" s="539">
        <f t="shared" si="24"/>
        <v>4</v>
      </c>
      <c r="Y31" s="645"/>
      <c r="Z31" s="539">
        <v>13</v>
      </c>
      <c r="AA31" s="416">
        <v>2206.5882352941185</v>
      </c>
      <c r="AB31" s="416">
        <v>169.73755656108602</v>
      </c>
      <c r="AC31" s="539">
        <f t="shared" si="26"/>
        <v>4</v>
      </c>
      <c r="AD31" s="645"/>
      <c r="AE31" s="539">
        <v>13</v>
      </c>
      <c r="AF31" s="416">
        <v>2189.9999999999995</v>
      </c>
      <c r="AG31" s="416">
        <v>168.46153846153842</v>
      </c>
      <c r="AH31" s="539">
        <f t="shared" si="28"/>
        <v>5</v>
      </c>
      <c r="AI31" s="645"/>
      <c r="AJ31" s="539">
        <v>13</v>
      </c>
      <c r="AK31" s="416">
        <v>2210.3448275862065</v>
      </c>
      <c r="AL31" s="416">
        <v>170.02652519893897</v>
      </c>
      <c r="AM31" s="539">
        <f t="shared" si="30"/>
        <v>4</v>
      </c>
      <c r="AN31" s="645"/>
      <c r="AO31" s="539">
        <v>13</v>
      </c>
      <c r="AP31" s="416">
        <v>2180.3669724770648</v>
      </c>
      <c r="AQ31" s="416">
        <v>167.72053634438959</v>
      </c>
      <c r="AR31" s="539">
        <f t="shared" si="32"/>
        <v>5</v>
      </c>
      <c r="AS31" s="645"/>
      <c r="AT31" s="539">
        <v>13</v>
      </c>
      <c r="AU31" s="416">
        <v>2143.2432432432433</v>
      </c>
      <c r="AV31" s="416">
        <v>164.86486486486487</v>
      </c>
      <c r="AW31" s="539">
        <f t="shared" si="34"/>
        <v>5</v>
      </c>
      <c r="AX31" s="645"/>
      <c r="AZ31" s="398" t="e">
        <f t="shared" si="36"/>
        <v>#N/A</v>
      </c>
      <c r="BA31" s="645"/>
    </row>
    <row r="32" spans="2:53">
      <c r="B32" s="643"/>
      <c r="C32" s="411">
        <v>6</v>
      </c>
      <c r="D32" s="367" t="s">
        <v>365</v>
      </c>
      <c r="E32" s="499">
        <v>10</v>
      </c>
      <c r="F32" s="499">
        <v>2769</v>
      </c>
      <c r="G32" s="499">
        <v>276.89999999999998</v>
      </c>
      <c r="H32" s="680"/>
      <c r="I32" s="413">
        <f t="shared" si="19"/>
        <v>10</v>
      </c>
      <c r="J32" s="413">
        <f t="shared" si="20"/>
        <v>2431.7904243428784</v>
      </c>
      <c r="K32" s="199">
        <f t="shared" si="21"/>
        <v>243.17904243428782</v>
      </c>
      <c r="L32" s="617"/>
      <c r="M32" s="420">
        <f>RANK(K32, K$27:$K$41)</f>
        <v>3</v>
      </c>
      <c r="N32" s="635"/>
      <c r="O32" s="635"/>
      <c r="P32" s="539">
        <v>10</v>
      </c>
      <c r="Q32" s="416">
        <v>2405.0879999999993</v>
      </c>
      <c r="R32" s="416">
        <v>240.50879999999992</v>
      </c>
      <c r="S32" s="539">
        <f t="shared" si="22"/>
        <v>3</v>
      </c>
      <c r="T32" s="645"/>
      <c r="U32" s="539">
        <v>10</v>
      </c>
      <c r="V32" s="416">
        <v>2417.7345132743362</v>
      </c>
      <c r="W32" s="416">
        <v>241.77345132743363</v>
      </c>
      <c r="X32" s="539">
        <f t="shared" si="24"/>
        <v>3</v>
      </c>
      <c r="Y32" s="645"/>
      <c r="Z32" s="539">
        <v>10</v>
      </c>
      <c r="AA32" s="416">
        <v>2492.3076923076937</v>
      </c>
      <c r="AB32" s="416">
        <v>249.23076923076937</v>
      </c>
      <c r="AC32" s="539">
        <f t="shared" si="26"/>
        <v>3</v>
      </c>
      <c r="AD32" s="645"/>
      <c r="AE32" s="539">
        <v>10</v>
      </c>
      <c r="AF32" s="416">
        <v>2501.7599999999993</v>
      </c>
      <c r="AG32" s="416">
        <v>250.17599999999993</v>
      </c>
      <c r="AH32" s="539">
        <f t="shared" si="28"/>
        <v>3</v>
      </c>
      <c r="AI32" s="645"/>
      <c r="AJ32" s="539">
        <v>10</v>
      </c>
      <c r="AK32" s="416">
        <v>2439.7402597402606</v>
      </c>
      <c r="AL32" s="416">
        <v>243.97402597402606</v>
      </c>
      <c r="AM32" s="539">
        <f t="shared" si="30"/>
        <v>3</v>
      </c>
      <c r="AN32" s="645"/>
      <c r="AO32" s="539">
        <v>10</v>
      </c>
      <c r="AP32" s="416">
        <v>2405.4285714285706</v>
      </c>
      <c r="AQ32" s="416">
        <v>240.54285714285706</v>
      </c>
      <c r="AR32" s="539">
        <f t="shared" si="32"/>
        <v>3</v>
      </c>
      <c r="AS32" s="645"/>
      <c r="AT32" s="539">
        <v>10</v>
      </c>
      <c r="AU32" s="416">
        <v>2360.4739336492894</v>
      </c>
      <c r="AV32" s="416">
        <v>236.04739336492895</v>
      </c>
      <c r="AW32" s="539">
        <f t="shared" si="34"/>
        <v>3</v>
      </c>
      <c r="AX32" s="645"/>
      <c r="AZ32" s="398" t="e">
        <f t="shared" si="36"/>
        <v>#N/A</v>
      </c>
      <c r="BA32" s="645"/>
    </row>
    <row r="33" spans="2:53">
      <c r="B33" s="643"/>
      <c r="C33" s="411">
        <v>7</v>
      </c>
      <c r="D33" s="367" t="s">
        <v>361</v>
      </c>
      <c r="E33" s="499">
        <v>18</v>
      </c>
      <c r="F33" s="499">
        <v>1200</v>
      </c>
      <c r="G33" s="499">
        <v>66.666666666666671</v>
      </c>
      <c r="H33" s="680"/>
      <c r="I33" s="413">
        <f t="shared" si="19"/>
        <v>13</v>
      </c>
      <c r="J33" s="413">
        <f t="shared" si="20"/>
        <v>1226.1063551736486</v>
      </c>
      <c r="K33" s="199">
        <f t="shared" si="21"/>
        <v>94.315873474896051</v>
      </c>
      <c r="L33" s="617"/>
      <c r="M33" s="420">
        <f>RANK(K33, K$27:$K$41)</f>
        <v>8</v>
      </c>
      <c r="N33" s="635"/>
      <c r="O33" s="635"/>
      <c r="P33" s="539">
        <v>13</v>
      </c>
      <c r="Q33" s="539">
        <v>1233.0000000000002</v>
      </c>
      <c r="R33" s="416">
        <v>94.846153846153868</v>
      </c>
      <c r="S33" s="539">
        <f t="shared" si="22"/>
        <v>8</v>
      </c>
      <c r="T33" s="645"/>
      <c r="U33" s="539">
        <v>13</v>
      </c>
      <c r="V33" s="416">
        <v>1214.6666666666665</v>
      </c>
      <c r="W33" s="416">
        <v>93.435897435897431</v>
      </c>
      <c r="X33" s="539">
        <f t="shared" si="24"/>
        <v>8</v>
      </c>
      <c r="Y33" s="645"/>
      <c r="Z33" s="539">
        <v>13</v>
      </c>
      <c r="AA33" s="539">
        <v>1232</v>
      </c>
      <c r="AB33" s="416">
        <v>94.769230769230774</v>
      </c>
      <c r="AC33" s="539">
        <f t="shared" si="26"/>
        <v>8</v>
      </c>
      <c r="AD33" s="645"/>
      <c r="AE33" s="539">
        <v>13</v>
      </c>
      <c r="AF33" s="416">
        <v>1203.2000000000005</v>
      </c>
      <c r="AG33" s="416">
        <v>92.553846153846195</v>
      </c>
      <c r="AH33" s="539">
        <f t="shared" si="28"/>
        <v>8</v>
      </c>
      <c r="AI33" s="645"/>
      <c r="AJ33" s="539">
        <v>13</v>
      </c>
      <c r="AK33" s="416">
        <v>1224.7500000000007</v>
      </c>
      <c r="AL33" s="416">
        <v>94.21153846153851</v>
      </c>
      <c r="AM33" s="539">
        <f t="shared" si="30"/>
        <v>8</v>
      </c>
      <c r="AN33" s="645"/>
      <c r="AO33" s="539">
        <v>13</v>
      </c>
      <c r="AP33" s="416">
        <v>1230.2857142857144</v>
      </c>
      <c r="AQ33" s="416">
        <v>94.637362637362656</v>
      </c>
      <c r="AR33" s="539">
        <f t="shared" si="32"/>
        <v>8</v>
      </c>
      <c r="AS33" s="645"/>
      <c r="AT33" s="539">
        <v>13</v>
      </c>
      <c r="AU33" s="416">
        <v>1244.8421052631581</v>
      </c>
      <c r="AV33" s="416">
        <v>95.75708502024294</v>
      </c>
      <c r="AW33" s="539">
        <f t="shared" si="34"/>
        <v>8</v>
      </c>
      <c r="AX33" s="645"/>
      <c r="AZ33" s="398" t="e">
        <f t="shared" si="36"/>
        <v>#N/A</v>
      </c>
      <c r="BA33" s="645"/>
    </row>
    <row r="34" spans="2:53">
      <c r="B34" s="643"/>
      <c r="C34" s="411">
        <v>8</v>
      </c>
      <c r="D34" s="367" t="s">
        <v>531</v>
      </c>
      <c r="E34" s="499">
        <v>12</v>
      </c>
      <c r="F34" s="499">
        <v>2118</v>
      </c>
      <c r="G34" s="499">
        <v>176.5</v>
      </c>
      <c r="H34" s="680"/>
      <c r="I34" s="413">
        <f t="shared" si="19"/>
        <v>12</v>
      </c>
      <c r="J34" s="413">
        <f t="shared" si="20"/>
        <v>1873.5651626539741</v>
      </c>
      <c r="K34" s="199">
        <f t="shared" si="21"/>
        <v>156.13043022116452</v>
      </c>
      <c r="L34" s="617"/>
      <c r="M34" s="420">
        <f>RANK(K34, K$27:$K$41)</f>
        <v>7</v>
      </c>
      <c r="N34" s="635"/>
      <c r="O34" s="635"/>
      <c r="P34" s="539">
        <v>12</v>
      </c>
      <c r="Q34" s="416">
        <v>1887.5409836065578</v>
      </c>
      <c r="R34" s="416">
        <v>157.29508196721315</v>
      </c>
      <c r="S34" s="539">
        <f t="shared" si="22"/>
        <v>7</v>
      </c>
      <c r="T34" s="645"/>
      <c r="U34" s="539">
        <v>12</v>
      </c>
      <c r="V34" s="416">
        <v>1883.57142857143</v>
      </c>
      <c r="W34" s="416">
        <v>156.96428571428584</v>
      </c>
      <c r="X34" s="539">
        <f t="shared" si="24"/>
        <v>7</v>
      </c>
      <c r="Y34" s="645"/>
      <c r="Z34" s="539">
        <v>12</v>
      </c>
      <c r="AA34" s="416">
        <v>1892.3076923076917</v>
      </c>
      <c r="AB34" s="416">
        <v>157.69230769230765</v>
      </c>
      <c r="AC34" s="539">
        <f t="shared" si="26"/>
        <v>6</v>
      </c>
      <c r="AD34" s="645"/>
      <c r="AE34" s="539">
        <v>12</v>
      </c>
      <c r="AF34" s="416">
        <v>1873.0434782608713</v>
      </c>
      <c r="AG34" s="416">
        <v>156.08695652173927</v>
      </c>
      <c r="AH34" s="539">
        <f t="shared" si="28"/>
        <v>7</v>
      </c>
      <c r="AI34" s="645"/>
      <c r="AJ34" s="539">
        <v>12</v>
      </c>
      <c r="AK34" s="416">
        <v>1861.1538461538473</v>
      </c>
      <c r="AL34" s="416">
        <v>155.09615384615395</v>
      </c>
      <c r="AM34" s="539">
        <f t="shared" si="30"/>
        <v>7</v>
      </c>
      <c r="AN34" s="645"/>
      <c r="AO34" s="539">
        <v>12</v>
      </c>
      <c r="AP34" s="416">
        <v>1864.83870967742</v>
      </c>
      <c r="AQ34" s="416">
        <v>155.40322580645167</v>
      </c>
      <c r="AR34" s="539">
        <f t="shared" si="32"/>
        <v>7</v>
      </c>
      <c r="AS34" s="645"/>
      <c r="AT34" s="539">
        <v>12</v>
      </c>
      <c r="AU34" s="416">
        <v>1852.5000000000009</v>
      </c>
      <c r="AV34" s="416">
        <v>154.37500000000009</v>
      </c>
      <c r="AW34" s="539">
        <f t="shared" si="34"/>
        <v>7</v>
      </c>
      <c r="AX34" s="645"/>
      <c r="AZ34" s="398" t="e">
        <f t="shared" si="36"/>
        <v>#N/A</v>
      </c>
      <c r="BA34" s="645"/>
    </row>
    <row r="35" spans="2:53">
      <c r="B35" s="643"/>
      <c r="C35" s="411">
        <v>9</v>
      </c>
      <c r="D35" s="367"/>
      <c r="E35" s="499"/>
      <c r="F35" s="499"/>
      <c r="G35" s="499"/>
      <c r="H35" s="680"/>
      <c r="I35" s="413" t="str">
        <f t="shared" si="19"/>
        <v>-</v>
      </c>
      <c r="J35" s="413" t="str">
        <f t="shared" si="20"/>
        <v>-</v>
      </c>
      <c r="K35" s="199" t="str">
        <f t="shared" si="21"/>
        <v>-</v>
      </c>
      <c r="L35" s="617"/>
      <c r="M35" s="420" t="e">
        <f>RANK(K35, K$27:$K$41)</f>
        <v>#VALUE!</v>
      </c>
      <c r="N35" s="635"/>
      <c r="O35" s="635"/>
      <c r="P35" s="539" t="s">
        <v>615</v>
      </c>
      <c r="Q35" s="416" t="s">
        <v>615</v>
      </c>
      <c r="R35" s="416" t="s">
        <v>615</v>
      </c>
      <c r="S35" s="539" t="e">
        <f t="shared" si="22"/>
        <v>#VALUE!</v>
      </c>
      <c r="T35" s="645"/>
      <c r="U35" s="539" t="s">
        <v>615</v>
      </c>
      <c r="V35" s="416" t="s">
        <v>615</v>
      </c>
      <c r="W35" s="416" t="s">
        <v>615</v>
      </c>
      <c r="X35" s="539" t="e">
        <f t="shared" si="24"/>
        <v>#VALUE!</v>
      </c>
      <c r="Y35" s="645"/>
      <c r="Z35" s="539" t="s">
        <v>615</v>
      </c>
      <c r="AA35" s="416" t="s">
        <v>615</v>
      </c>
      <c r="AB35" s="416" t="s">
        <v>615</v>
      </c>
      <c r="AC35" s="539" t="e">
        <f t="shared" si="26"/>
        <v>#VALUE!</v>
      </c>
      <c r="AD35" s="645"/>
      <c r="AE35" s="539" t="s">
        <v>615</v>
      </c>
      <c r="AF35" s="416" t="s">
        <v>615</v>
      </c>
      <c r="AG35" s="416" t="s">
        <v>615</v>
      </c>
      <c r="AH35" s="539" t="e">
        <f t="shared" si="28"/>
        <v>#VALUE!</v>
      </c>
      <c r="AI35" s="645"/>
      <c r="AJ35" s="539" t="s">
        <v>615</v>
      </c>
      <c r="AK35" s="416" t="s">
        <v>615</v>
      </c>
      <c r="AL35" s="416" t="s">
        <v>615</v>
      </c>
      <c r="AM35" s="539" t="e">
        <f t="shared" si="30"/>
        <v>#VALUE!</v>
      </c>
      <c r="AN35" s="645"/>
      <c r="AO35" s="539" t="s">
        <v>615</v>
      </c>
      <c r="AP35" s="416" t="s">
        <v>615</v>
      </c>
      <c r="AQ35" s="416" t="s">
        <v>615</v>
      </c>
      <c r="AR35" s="539" t="e">
        <f t="shared" si="32"/>
        <v>#VALUE!</v>
      </c>
      <c r="AS35" s="645"/>
      <c r="AT35" s="539" t="s">
        <v>615</v>
      </c>
      <c r="AU35" s="416" t="s">
        <v>615</v>
      </c>
      <c r="AV35" s="416" t="s">
        <v>615</v>
      </c>
      <c r="AW35" s="539" t="e">
        <f t="shared" si="34"/>
        <v>#VALUE!</v>
      </c>
      <c r="AX35" s="645"/>
      <c r="AZ35" s="398" t="e">
        <f t="shared" si="36"/>
        <v>#N/A</v>
      </c>
      <c r="BA35" s="645"/>
    </row>
    <row r="36" spans="2:53">
      <c r="B36" s="643"/>
      <c r="C36" s="411">
        <v>10</v>
      </c>
      <c r="D36" s="367"/>
      <c r="E36" s="499"/>
      <c r="F36" s="499"/>
      <c r="G36" s="499"/>
      <c r="H36" s="680"/>
      <c r="I36" s="413" t="str">
        <f t="shared" si="19"/>
        <v>-</v>
      </c>
      <c r="J36" s="413" t="str">
        <f t="shared" si="20"/>
        <v>-</v>
      </c>
      <c r="K36" s="199" t="str">
        <f t="shared" si="21"/>
        <v>-</v>
      </c>
      <c r="L36" s="617"/>
      <c r="M36" s="420" t="e">
        <f>RANK(K36, K$27:$K$41)</f>
        <v>#VALUE!</v>
      </c>
      <c r="N36" s="635"/>
      <c r="O36" s="635"/>
      <c r="P36" s="539" t="s">
        <v>615</v>
      </c>
      <c r="Q36" s="416" t="s">
        <v>615</v>
      </c>
      <c r="R36" s="416" t="s">
        <v>615</v>
      </c>
      <c r="S36" s="539" t="e">
        <f t="shared" si="22"/>
        <v>#VALUE!</v>
      </c>
      <c r="T36" s="645"/>
      <c r="U36" s="539" t="s">
        <v>615</v>
      </c>
      <c r="V36" s="416" t="s">
        <v>615</v>
      </c>
      <c r="W36" s="416" t="s">
        <v>615</v>
      </c>
      <c r="X36" s="539" t="e">
        <f t="shared" si="24"/>
        <v>#VALUE!</v>
      </c>
      <c r="Y36" s="645"/>
      <c r="Z36" s="539" t="s">
        <v>615</v>
      </c>
      <c r="AA36" s="416" t="s">
        <v>615</v>
      </c>
      <c r="AB36" s="416" t="s">
        <v>615</v>
      </c>
      <c r="AC36" s="539" t="e">
        <f t="shared" si="26"/>
        <v>#VALUE!</v>
      </c>
      <c r="AD36" s="645"/>
      <c r="AE36" s="539" t="s">
        <v>615</v>
      </c>
      <c r="AF36" s="416" t="s">
        <v>615</v>
      </c>
      <c r="AG36" s="416" t="s">
        <v>615</v>
      </c>
      <c r="AH36" s="539" t="e">
        <f t="shared" si="28"/>
        <v>#VALUE!</v>
      </c>
      <c r="AI36" s="645"/>
      <c r="AJ36" s="539" t="s">
        <v>615</v>
      </c>
      <c r="AK36" s="416" t="s">
        <v>615</v>
      </c>
      <c r="AL36" s="416" t="s">
        <v>615</v>
      </c>
      <c r="AM36" s="539" t="e">
        <f t="shared" si="30"/>
        <v>#VALUE!</v>
      </c>
      <c r="AN36" s="645"/>
      <c r="AO36" s="539" t="s">
        <v>615</v>
      </c>
      <c r="AP36" s="416" t="s">
        <v>615</v>
      </c>
      <c r="AQ36" s="416" t="s">
        <v>615</v>
      </c>
      <c r="AR36" s="539" t="e">
        <f t="shared" si="32"/>
        <v>#VALUE!</v>
      </c>
      <c r="AS36" s="645"/>
      <c r="AT36" s="539" t="s">
        <v>615</v>
      </c>
      <c r="AU36" s="416" t="s">
        <v>615</v>
      </c>
      <c r="AV36" s="416" t="s">
        <v>615</v>
      </c>
      <c r="AW36" s="539" t="e">
        <f t="shared" si="34"/>
        <v>#VALUE!</v>
      </c>
      <c r="AX36" s="645"/>
      <c r="AZ36" s="398" t="e">
        <f t="shared" si="36"/>
        <v>#N/A</v>
      </c>
      <c r="BA36" s="645"/>
    </row>
    <row r="37" spans="2:53">
      <c r="B37" s="643"/>
      <c r="C37" s="411">
        <v>11</v>
      </c>
      <c r="D37" s="367"/>
      <c r="E37" s="499"/>
      <c r="F37" s="499"/>
      <c r="G37" s="499"/>
      <c r="H37" s="680"/>
      <c r="I37" s="413" t="str">
        <f t="shared" si="19"/>
        <v>-</v>
      </c>
      <c r="J37" s="413" t="str">
        <f t="shared" si="20"/>
        <v>-</v>
      </c>
      <c r="K37" s="199" t="str">
        <f t="shared" si="21"/>
        <v>-</v>
      </c>
      <c r="L37" s="617"/>
      <c r="M37" s="420" t="e">
        <f>RANK(K37, K$27:$K$41)</f>
        <v>#VALUE!</v>
      </c>
      <c r="N37" s="635"/>
      <c r="O37" s="635"/>
      <c r="P37" s="539" t="s">
        <v>615</v>
      </c>
      <c r="Q37" s="416" t="s">
        <v>615</v>
      </c>
      <c r="R37" s="416" t="s">
        <v>615</v>
      </c>
      <c r="S37" s="539" t="e">
        <f t="shared" si="22"/>
        <v>#VALUE!</v>
      </c>
      <c r="T37" s="645"/>
      <c r="U37" s="539" t="s">
        <v>615</v>
      </c>
      <c r="V37" s="416" t="s">
        <v>615</v>
      </c>
      <c r="W37" s="416" t="s">
        <v>615</v>
      </c>
      <c r="X37" s="539" t="e">
        <f t="shared" si="24"/>
        <v>#VALUE!</v>
      </c>
      <c r="Y37" s="645"/>
      <c r="Z37" s="539" t="s">
        <v>615</v>
      </c>
      <c r="AA37" s="416" t="s">
        <v>615</v>
      </c>
      <c r="AB37" s="416" t="s">
        <v>615</v>
      </c>
      <c r="AC37" s="539" t="e">
        <f t="shared" si="26"/>
        <v>#VALUE!</v>
      </c>
      <c r="AD37" s="645"/>
      <c r="AE37" s="539" t="s">
        <v>615</v>
      </c>
      <c r="AF37" s="416" t="s">
        <v>615</v>
      </c>
      <c r="AG37" s="416" t="s">
        <v>615</v>
      </c>
      <c r="AH37" s="539" t="e">
        <f t="shared" si="28"/>
        <v>#VALUE!</v>
      </c>
      <c r="AI37" s="645"/>
      <c r="AJ37" s="539" t="s">
        <v>615</v>
      </c>
      <c r="AK37" s="416" t="s">
        <v>615</v>
      </c>
      <c r="AL37" s="416" t="s">
        <v>615</v>
      </c>
      <c r="AM37" s="539" t="e">
        <f t="shared" si="30"/>
        <v>#VALUE!</v>
      </c>
      <c r="AN37" s="645"/>
      <c r="AO37" s="539" t="s">
        <v>615</v>
      </c>
      <c r="AP37" s="416" t="s">
        <v>615</v>
      </c>
      <c r="AQ37" s="416" t="s">
        <v>615</v>
      </c>
      <c r="AR37" s="539" t="e">
        <f t="shared" si="32"/>
        <v>#VALUE!</v>
      </c>
      <c r="AS37" s="645"/>
      <c r="AT37" s="539" t="s">
        <v>615</v>
      </c>
      <c r="AU37" s="416" t="s">
        <v>615</v>
      </c>
      <c r="AV37" s="416" t="s">
        <v>615</v>
      </c>
      <c r="AW37" s="539" t="e">
        <f t="shared" si="34"/>
        <v>#VALUE!</v>
      </c>
      <c r="AX37" s="645"/>
      <c r="AZ37" s="398" t="e">
        <f t="shared" si="36"/>
        <v>#N/A</v>
      </c>
      <c r="BA37" s="645"/>
    </row>
    <row r="38" spans="2:53">
      <c r="B38" s="643"/>
      <c r="C38" s="411">
        <v>12</v>
      </c>
      <c r="D38" s="367"/>
      <c r="E38" s="499"/>
      <c r="F38" s="499"/>
      <c r="G38" s="499"/>
      <c r="H38" s="680"/>
      <c r="I38" s="413" t="str">
        <f t="shared" si="19"/>
        <v>-</v>
      </c>
      <c r="J38" s="413" t="str">
        <f t="shared" si="20"/>
        <v>-</v>
      </c>
      <c r="K38" s="199" t="str">
        <f t="shared" si="21"/>
        <v>-</v>
      </c>
      <c r="L38" s="617"/>
      <c r="M38" s="420" t="e">
        <f>RANK(K38, K$27:$K$41)</f>
        <v>#VALUE!</v>
      </c>
      <c r="N38" s="635"/>
      <c r="O38" s="635"/>
      <c r="P38" s="539" t="s">
        <v>615</v>
      </c>
      <c r="Q38" s="416" t="s">
        <v>615</v>
      </c>
      <c r="R38" s="416" t="s">
        <v>615</v>
      </c>
      <c r="S38" s="539" t="e">
        <f t="shared" si="22"/>
        <v>#VALUE!</v>
      </c>
      <c r="T38" s="645"/>
      <c r="U38" s="539" t="s">
        <v>615</v>
      </c>
      <c r="V38" s="416" t="s">
        <v>615</v>
      </c>
      <c r="W38" s="416" t="s">
        <v>615</v>
      </c>
      <c r="X38" s="539" t="e">
        <f t="shared" si="24"/>
        <v>#VALUE!</v>
      </c>
      <c r="Y38" s="645"/>
      <c r="Z38" s="539" t="s">
        <v>615</v>
      </c>
      <c r="AA38" s="416" t="s">
        <v>615</v>
      </c>
      <c r="AB38" s="416" t="s">
        <v>615</v>
      </c>
      <c r="AC38" s="539" t="e">
        <f t="shared" si="26"/>
        <v>#VALUE!</v>
      </c>
      <c r="AD38" s="645"/>
      <c r="AE38" s="539" t="s">
        <v>615</v>
      </c>
      <c r="AF38" s="416" t="s">
        <v>615</v>
      </c>
      <c r="AG38" s="416" t="s">
        <v>615</v>
      </c>
      <c r="AH38" s="539" t="e">
        <f t="shared" si="28"/>
        <v>#VALUE!</v>
      </c>
      <c r="AI38" s="645"/>
      <c r="AJ38" s="539" t="s">
        <v>615</v>
      </c>
      <c r="AK38" s="416" t="s">
        <v>615</v>
      </c>
      <c r="AL38" s="416" t="s">
        <v>615</v>
      </c>
      <c r="AM38" s="539" t="e">
        <f t="shared" si="30"/>
        <v>#VALUE!</v>
      </c>
      <c r="AN38" s="645"/>
      <c r="AO38" s="539" t="s">
        <v>615</v>
      </c>
      <c r="AP38" s="416" t="s">
        <v>615</v>
      </c>
      <c r="AQ38" s="416" t="s">
        <v>615</v>
      </c>
      <c r="AR38" s="539" t="e">
        <f t="shared" si="32"/>
        <v>#VALUE!</v>
      </c>
      <c r="AS38" s="645"/>
      <c r="AT38" s="539" t="s">
        <v>615</v>
      </c>
      <c r="AU38" s="416" t="s">
        <v>615</v>
      </c>
      <c r="AV38" s="416" t="s">
        <v>615</v>
      </c>
      <c r="AW38" s="539" t="e">
        <f t="shared" si="34"/>
        <v>#VALUE!</v>
      </c>
      <c r="AX38" s="645"/>
      <c r="AZ38" s="398" t="e">
        <f t="shared" si="36"/>
        <v>#N/A</v>
      </c>
      <c r="BA38" s="645"/>
    </row>
    <row r="39" spans="2:53">
      <c r="B39" s="643"/>
      <c r="C39" s="411">
        <v>13</v>
      </c>
      <c r="D39" s="367"/>
      <c r="E39" s="499"/>
      <c r="F39" s="499"/>
      <c r="G39" s="499"/>
      <c r="H39" s="680"/>
      <c r="I39" s="413" t="str">
        <f t="shared" si="19"/>
        <v>-</v>
      </c>
      <c r="J39" s="413" t="str">
        <f t="shared" si="20"/>
        <v>-</v>
      </c>
      <c r="K39" s="199" t="str">
        <f t="shared" si="21"/>
        <v>-</v>
      </c>
      <c r="L39" s="617"/>
      <c r="M39" s="420" t="e">
        <f>RANK(K39, K$27:$K$41)</f>
        <v>#VALUE!</v>
      </c>
      <c r="N39" s="635"/>
      <c r="O39" s="635"/>
      <c r="P39" s="539" t="s">
        <v>615</v>
      </c>
      <c r="Q39" s="416" t="s">
        <v>615</v>
      </c>
      <c r="R39" s="416" t="s">
        <v>615</v>
      </c>
      <c r="S39" s="539" t="e">
        <f t="shared" si="22"/>
        <v>#VALUE!</v>
      </c>
      <c r="T39" s="645"/>
      <c r="U39" s="539" t="s">
        <v>615</v>
      </c>
      <c r="V39" s="416" t="s">
        <v>615</v>
      </c>
      <c r="W39" s="416" t="s">
        <v>615</v>
      </c>
      <c r="X39" s="539" t="e">
        <f t="shared" si="24"/>
        <v>#VALUE!</v>
      </c>
      <c r="Y39" s="645"/>
      <c r="Z39" s="539" t="s">
        <v>615</v>
      </c>
      <c r="AA39" s="416" t="s">
        <v>615</v>
      </c>
      <c r="AB39" s="416" t="s">
        <v>615</v>
      </c>
      <c r="AC39" s="539" t="e">
        <f t="shared" si="26"/>
        <v>#VALUE!</v>
      </c>
      <c r="AD39" s="645"/>
      <c r="AE39" s="539" t="s">
        <v>615</v>
      </c>
      <c r="AF39" s="416" t="s">
        <v>615</v>
      </c>
      <c r="AG39" s="416" t="s">
        <v>615</v>
      </c>
      <c r="AH39" s="539" t="e">
        <f t="shared" si="28"/>
        <v>#VALUE!</v>
      </c>
      <c r="AI39" s="645"/>
      <c r="AJ39" s="539" t="s">
        <v>615</v>
      </c>
      <c r="AK39" s="416" t="s">
        <v>615</v>
      </c>
      <c r="AL39" s="416" t="s">
        <v>615</v>
      </c>
      <c r="AM39" s="539" t="e">
        <f t="shared" si="30"/>
        <v>#VALUE!</v>
      </c>
      <c r="AN39" s="645"/>
      <c r="AO39" s="539" t="s">
        <v>615</v>
      </c>
      <c r="AP39" s="416" t="s">
        <v>615</v>
      </c>
      <c r="AQ39" s="416" t="s">
        <v>615</v>
      </c>
      <c r="AR39" s="539" t="e">
        <f t="shared" si="32"/>
        <v>#VALUE!</v>
      </c>
      <c r="AS39" s="645"/>
      <c r="AT39" s="539" t="s">
        <v>615</v>
      </c>
      <c r="AU39" s="416" t="s">
        <v>615</v>
      </c>
      <c r="AV39" s="416" t="s">
        <v>615</v>
      </c>
      <c r="AW39" s="539" t="e">
        <f t="shared" si="34"/>
        <v>#VALUE!</v>
      </c>
      <c r="AX39" s="645"/>
      <c r="AZ39" s="398" t="e">
        <f t="shared" si="36"/>
        <v>#N/A</v>
      </c>
      <c r="BA39" s="645"/>
    </row>
    <row r="40" spans="2:53">
      <c r="B40" s="643"/>
      <c r="C40" s="411">
        <v>14</v>
      </c>
      <c r="D40" s="367"/>
      <c r="E40" s="499"/>
      <c r="F40" s="499"/>
      <c r="G40" s="499"/>
      <c r="H40" s="680"/>
      <c r="I40" s="413" t="str">
        <f t="shared" si="19"/>
        <v>-</v>
      </c>
      <c r="J40" s="413" t="str">
        <f t="shared" si="20"/>
        <v>-</v>
      </c>
      <c r="K40" s="199" t="str">
        <f t="shared" si="21"/>
        <v>-</v>
      </c>
      <c r="L40" s="617"/>
      <c r="M40" s="420" t="e">
        <f>RANK(K40, K$27:$K$41)</f>
        <v>#VALUE!</v>
      </c>
      <c r="N40" s="635"/>
      <c r="O40" s="635"/>
      <c r="P40" s="539" t="s">
        <v>615</v>
      </c>
      <c r="Q40" s="416" t="s">
        <v>615</v>
      </c>
      <c r="R40" s="416" t="s">
        <v>615</v>
      </c>
      <c r="S40" s="539" t="e">
        <f t="shared" si="22"/>
        <v>#VALUE!</v>
      </c>
      <c r="T40" s="645"/>
      <c r="U40" s="539" t="s">
        <v>615</v>
      </c>
      <c r="V40" s="416" t="s">
        <v>615</v>
      </c>
      <c r="W40" s="416" t="s">
        <v>615</v>
      </c>
      <c r="X40" s="539" t="e">
        <f t="shared" si="24"/>
        <v>#VALUE!</v>
      </c>
      <c r="Y40" s="645"/>
      <c r="Z40" s="539" t="s">
        <v>615</v>
      </c>
      <c r="AA40" s="416" t="s">
        <v>615</v>
      </c>
      <c r="AB40" s="416" t="s">
        <v>615</v>
      </c>
      <c r="AC40" s="539" t="e">
        <f t="shared" si="26"/>
        <v>#VALUE!</v>
      </c>
      <c r="AD40" s="645"/>
      <c r="AE40" s="539" t="s">
        <v>615</v>
      </c>
      <c r="AF40" s="416" t="s">
        <v>615</v>
      </c>
      <c r="AG40" s="416" t="s">
        <v>615</v>
      </c>
      <c r="AH40" s="539" t="e">
        <f t="shared" si="28"/>
        <v>#VALUE!</v>
      </c>
      <c r="AI40" s="645"/>
      <c r="AJ40" s="539" t="s">
        <v>615</v>
      </c>
      <c r="AK40" s="416" t="s">
        <v>615</v>
      </c>
      <c r="AL40" s="416" t="s">
        <v>615</v>
      </c>
      <c r="AM40" s="539" t="e">
        <f t="shared" si="30"/>
        <v>#VALUE!</v>
      </c>
      <c r="AN40" s="645"/>
      <c r="AO40" s="539" t="s">
        <v>615</v>
      </c>
      <c r="AP40" s="416" t="s">
        <v>615</v>
      </c>
      <c r="AQ40" s="416" t="s">
        <v>615</v>
      </c>
      <c r="AR40" s="539" t="e">
        <f t="shared" si="32"/>
        <v>#VALUE!</v>
      </c>
      <c r="AS40" s="645"/>
      <c r="AT40" s="539" t="s">
        <v>615</v>
      </c>
      <c r="AU40" s="416" t="s">
        <v>615</v>
      </c>
      <c r="AV40" s="416" t="s">
        <v>615</v>
      </c>
      <c r="AW40" s="539" t="e">
        <f t="shared" si="34"/>
        <v>#VALUE!</v>
      </c>
      <c r="AX40" s="645"/>
      <c r="AZ40" s="398" t="e">
        <f t="shared" si="36"/>
        <v>#N/A</v>
      </c>
      <c r="BA40" s="645"/>
    </row>
    <row r="41" spans="2:53">
      <c r="B41" s="643"/>
      <c r="C41" s="411">
        <v>15</v>
      </c>
      <c r="D41" s="367"/>
      <c r="E41" s="499"/>
      <c r="F41" s="499"/>
      <c r="G41" s="499"/>
      <c r="H41" s="684"/>
      <c r="I41" s="417"/>
      <c r="J41" s="417"/>
      <c r="K41" s="414"/>
      <c r="L41" s="618"/>
      <c r="M41" s="420" t="e">
        <f>RANK(K41, K$27:$K$41)</f>
        <v>#N/A</v>
      </c>
      <c r="N41" s="635"/>
      <c r="O41" s="635"/>
      <c r="P41" s="539" t="s">
        <v>615</v>
      </c>
      <c r="Q41" s="416" t="s">
        <v>615</v>
      </c>
      <c r="R41" s="416" t="s">
        <v>615</v>
      </c>
      <c r="S41" s="539" t="e">
        <f t="shared" si="22"/>
        <v>#VALUE!</v>
      </c>
      <c r="T41" s="646"/>
      <c r="U41" s="539" t="s">
        <v>615</v>
      </c>
      <c r="V41" s="416" t="s">
        <v>615</v>
      </c>
      <c r="W41" s="416" t="s">
        <v>615</v>
      </c>
      <c r="X41" s="539" t="e">
        <f t="shared" si="24"/>
        <v>#VALUE!</v>
      </c>
      <c r="Y41" s="646"/>
      <c r="Z41" s="539" t="s">
        <v>615</v>
      </c>
      <c r="AA41" s="416" t="s">
        <v>615</v>
      </c>
      <c r="AB41" s="416" t="s">
        <v>615</v>
      </c>
      <c r="AC41" s="539" t="e">
        <f t="shared" si="26"/>
        <v>#VALUE!</v>
      </c>
      <c r="AD41" s="646"/>
      <c r="AE41" s="539" t="s">
        <v>615</v>
      </c>
      <c r="AF41" s="416" t="s">
        <v>615</v>
      </c>
      <c r="AG41" s="416" t="s">
        <v>615</v>
      </c>
      <c r="AH41" s="539" t="e">
        <f t="shared" si="28"/>
        <v>#VALUE!</v>
      </c>
      <c r="AI41" s="646"/>
      <c r="AJ41" s="539" t="s">
        <v>615</v>
      </c>
      <c r="AK41" s="416" t="s">
        <v>615</v>
      </c>
      <c r="AL41" s="416" t="s">
        <v>615</v>
      </c>
      <c r="AM41" s="539" t="e">
        <f t="shared" si="30"/>
        <v>#VALUE!</v>
      </c>
      <c r="AN41" s="646"/>
      <c r="AO41" s="539" t="s">
        <v>615</v>
      </c>
      <c r="AP41" s="416" t="s">
        <v>615</v>
      </c>
      <c r="AQ41" s="416" t="s">
        <v>615</v>
      </c>
      <c r="AR41" s="539" t="e">
        <f t="shared" si="32"/>
        <v>#VALUE!</v>
      </c>
      <c r="AS41" s="646"/>
      <c r="AT41" s="539" t="s">
        <v>615</v>
      </c>
      <c r="AU41" s="416" t="s">
        <v>615</v>
      </c>
      <c r="AV41" s="416" t="s">
        <v>615</v>
      </c>
      <c r="AW41" s="539" t="e">
        <f t="shared" si="34"/>
        <v>#VALUE!</v>
      </c>
      <c r="AX41" s="646"/>
      <c r="AZ41" s="398" t="e">
        <f t="shared" si="36"/>
        <v>#N/A</v>
      </c>
      <c r="BA41" s="646"/>
    </row>
    <row r="42" spans="2:53" ht="15.75">
      <c r="B42" s="661" t="s">
        <v>163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36" t="s">
        <v>156</v>
      </c>
      <c r="O42" s="636" t="s">
        <v>105</v>
      </c>
      <c r="P42" s="642">
        <f>P22+7</f>
        <v>46182</v>
      </c>
      <c r="Q42" s="643"/>
      <c r="R42" s="643"/>
      <c r="S42" s="643"/>
      <c r="T42" s="643"/>
      <c r="U42" s="639">
        <f>P42+1</f>
        <v>46183</v>
      </c>
      <c r="V42" s="640"/>
      <c r="W42" s="640"/>
      <c r="X42" s="640"/>
      <c r="Y42" s="641"/>
      <c r="Z42" s="639">
        <f>U42+1</f>
        <v>46184</v>
      </c>
      <c r="AA42" s="640"/>
      <c r="AB42" s="640"/>
      <c r="AC42" s="640"/>
      <c r="AD42" s="641"/>
      <c r="AE42" s="639">
        <f>Z42+1</f>
        <v>46185</v>
      </c>
      <c r="AF42" s="640"/>
      <c r="AG42" s="640"/>
      <c r="AH42" s="640"/>
      <c r="AI42" s="641"/>
      <c r="AJ42" s="639">
        <f>AE42+1</f>
        <v>46186</v>
      </c>
      <c r="AK42" s="640"/>
      <c r="AL42" s="640"/>
      <c r="AM42" s="640"/>
      <c r="AN42" s="641"/>
      <c r="AO42" s="639">
        <f>AJ42+1</f>
        <v>46187</v>
      </c>
      <c r="AP42" s="640"/>
      <c r="AQ42" s="640"/>
      <c r="AR42" s="640"/>
      <c r="AS42" s="641"/>
      <c r="AT42" s="639">
        <f>AO42+1</f>
        <v>46188</v>
      </c>
      <c r="AU42" s="640"/>
      <c r="AV42" s="640"/>
      <c r="AW42" s="640"/>
      <c r="AX42" s="641"/>
    </row>
    <row r="43" spans="2:53" ht="15.75">
      <c r="B43" s="650"/>
      <c r="C43" s="650"/>
      <c r="D43" s="650"/>
      <c r="E43" s="650"/>
      <c r="F43" s="650"/>
      <c r="G43" s="650"/>
      <c r="H43" s="650"/>
      <c r="I43" s="204"/>
      <c r="J43" s="204"/>
      <c r="K43" s="204"/>
      <c r="L43" s="204"/>
      <c r="M43" s="205"/>
      <c r="N43" s="638"/>
      <c r="O43" s="638"/>
      <c r="P43" s="642" t="s">
        <v>318</v>
      </c>
      <c r="Q43" s="643"/>
      <c r="R43" s="643"/>
      <c r="S43" s="643"/>
      <c r="T43" s="643"/>
      <c r="U43" s="642" t="s">
        <v>319</v>
      </c>
      <c r="V43" s="643"/>
      <c r="W43" s="643"/>
      <c r="X43" s="643"/>
      <c r="Y43" s="643"/>
      <c r="Z43" s="642" t="s">
        <v>320</v>
      </c>
      <c r="AA43" s="643"/>
      <c r="AB43" s="643"/>
      <c r="AC43" s="643"/>
      <c r="AD43" s="643"/>
      <c r="AE43" s="642" t="s">
        <v>321</v>
      </c>
      <c r="AF43" s="643"/>
      <c r="AG43" s="643"/>
      <c r="AH43" s="643"/>
      <c r="AI43" s="643"/>
      <c r="AJ43" s="642" t="s">
        <v>322</v>
      </c>
      <c r="AK43" s="643"/>
      <c r="AL43" s="643"/>
      <c r="AM43" s="643"/>
      <c r="AN43" s="643"/>
      <c r="AO43" s="642" t="s">
        <v>323</v>
      </c>
      <c r="AP43" s="643"/>
      <c r="AQ43" s="643"/>
      <c r="AR43" s="643"/>
      <c r="AS43" s="643"/>
      <c r="AT43" s="642" t="s">
        <v>324</v>
      </c>
      <c r="AU43" s="643"/>
      <c r="AV43" s="643"/>
      <c r="AW43" s="643"/>
      <c r="AX43" s="643"/>
    </row>
    <row r="44" spans="2:53">
      <c r="B44" s="635" t="s">
        <v>374</v>
      </c>
      <c r="C44" s="635" t="s">
        <v>384</v>
      </c>
      <c r="D44" s="635"/>
      <c r="E44" s="635" t="s">
        <v>375</v>
      </c>
      <c r="F44" s="635"/>
      <c r="G44" s="635"/>
      <c r="H44" s="651" t="s">
        <v>371</v>
      </c>
      <c r="I44" s="635" t="s">
        <v>376</v>
      </c>
      <c r="J44" s="635"/>
      <c r="K44" s="635"/>
      <c r="L44" s="651" t="s">
        <v>371</v>
      </c>
      <c r="M44" s="636" t="s">
        <v>372</v>
      </c>
      <c r="N44" s="635"/>
      <c r="O44" s="635" t="s">
        <v>377</v>
      </c>
      <c r="P44" s="632" t="s">
        <v>373</v>
      </c>
      <c r="Q44" s="633"/>
      <c r="R44" s="633"/>
      <c r="S44" s="634"/>
      <c r="T44" s="635" t="s">
        <v>371</v>
      </c>
      <c r="U44" s="632" t="s">
        <v>373</v>
      </c>
      <c r="V44" s="633"/>
      <c r="W44" s="633"/>
      <c r="X44" s="634"/>
      <c r="Y44" s="635" t="s">
        <v>371</v>
      </c>
      <c r="Z44" s="632" t="s">
        <v>373</v>
      </c>
      <c r="AA44" s="633"/>
      <c r="AB44" s="633"/>
      <c r="AC44" s="634"/>
      <c r="AD44" s="635" t="s">
        <v>371</v>
      </c>
      <c r="AE44" s="632" t="s">
        <v>373</v>
      </c>
      <c r="AF44" s="633"/>
      <c r="AG44" s="633"/>
      <c r="AH44" s="634"/>
      <c r="AI44" s="635" t="s">
        <v>371</v>
      </c>
      <c r="AJ44" s="632" t="s">
        <v>373</v>
      </c>
      <c r="AK44" s="633"/>
      <c r="AL44" s="633"/>
      <c r="AM44" s="634"/>
      <c r="AN44" s="635" t="s">
        <v>371</v>
      </c>
      <c r="AO44" s="632" t="s">
        <v>373</v>
      </c>
      <c r="AP44" s="633"/>
      <c r="AQ44" s="633"/>
      <c r="AR44" s="634"/>
      <c r="AS44" s="635" t="s">
        <v>371</v>
      </c>
      <c r="AT44" s="632" t="s">
        <v>373</v>
      </c>
      <c r="AU44" s="633"/>
      <c r="AV44" s="633"/>
      <c r="AW44" s="634"/>
      <c r="AX44" s="635" t="s">
        <v>371</v>
      </c>
      <c r="BA44" s="635" t="s">
        <v>371</v>
      </c>
    </row>
    <row r="45" spans="2:53">
      <c r="B45" s="635"/>
      <c r="C45" s="635"/>
      <c r="D45" s="635"/>
      <c r="E45" s="635" t="s">
        <v>378</v>
      </c>
      <c r="F45" s="635"/>
      <c r="G45" s="635"/>
      <c r="H45" s="652"/>
      <c r="I45" s="635" t="s">
        <v>378</v>
      </c>
      <c r="J45" s="635"/>
      <c r="K45" s="635"/>
      <c r="L45" s="652"/>
      <c r="M45" s="637"/>
      <c r="N45" s="635"/>
      <c r="O45" s="635"/>
      <c r="P45" s="632" t="s">
        <v>379</v>
      </c>
      <c r="Q45" s="633"/>
      <c r="R45" s="633"/>
      <c r="S45" s="634"/>
      <c r="T45" s="635"/>
      <c r="U45" s="632" t="s">
        <v>379</v>
      </c>
      <c r="V45" s="633"/>
      <c r="W45" s="633"/>
      <c r="X45" s="634"/>
      <c r="Y45" s="635"/>
      <c r="Z45" s="632" t="s">
        <v>379</v>
      </c>
      <c r="AA45" s="633"/>
      <c r="AB45" s="633"/>
      <c r="AC45" s="634"/>
      <c r="AD45" s="635"/>
      <c r="AE45" s="632" t="s">
        <v>379</v>
      </c>
      <c r="AF45" s="633"/>
      <c r="AG45" s="633"/>
      <c r="AH45" s="634"/>
      <c r="AI45" s="635"/>
      <c r="AJ45" s="632" t="s">
        <v>379</v>
      </c>
      <c r="AK45" s="633"/>
      <c r="AL45" s="633"/>
      <c r="AM45" s="634"/>
      <c r="AN45" s="635"/>
      <c r="AO45" s="632" t="s">
        <v>379</v>
      </c>
      <c r="AP45" s="633"/>
      <c r="AQ45" s="633"/>
      <c r="AR45" s="634"/>
      <c r="AS45" s="635"/>
      <c r="AT45" s="632" t="s">
        <v>379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408" t="s">
        <v>380</v>
      </c>
      <c r="F46" s="408" t="s">
        <v>381</v>
      </c>
      <c r="G46" s="408" t="s">
        <v>382</v>
      </c>
      <c r="H46" s="653"/>
      <c r="I46" s="408" t="s">
        <v>380</v>
      </c>
      <c r="J46" s="408" t="s">
        <v>381</v>
      </c>
      <c r="K46" s="408" t="s">
        <v>382</v>
      </c>
      <c r="L46" s="653"/>
      <c r="M46" s="638"/>
      <c r="N46" s="635"/>
      <c r="O46" s="635"/>
      <c r="P46" s="408" t="s">
        <v>380</v>
      </c>
      <c r="Q46" s="408" t="s">
        <v>381</v>
      </c>
      <c r="R46" s="408" t="s">
        <v>382</v>
      </c>
      <c r="S46" s="408" t="s">
        <v>372</v>
      </c>
      <c r="T46" s="635"/>
      <c r="U46" s="408" t="s">
        <v>380</v>
      </c>
      <c r="V46" s="408" t="s">
        <v>381</v>
      </c>
      <c r="W46" s="408" t="s">
        <v>382</v>
      </c>
      <c r="X46" s="408" t="s">
        <v>372</v>
      </c>
      <c r="Y46" s="635"/>
      <c r="Z46" s="408" t="s">
        <v>380</v>
      </c>
      <c r="AA46" s="408" t="s">
        <v>381</v>
      </c>
      <c r="AB46" s="408" t="s">
        <v>382</v>
      </c>
      <c r="AC46" s="408" t="s">
        <v>372</v>
      </c>
      <c r="AD46" s="635"/>
      <c r="AE46" s="408" t="s">
        <v>380</v>
      </c>
      <c r="AF46" s="408" t="s">
        <v>381</v>
      </c>
      <c r="AG46" s="408" t="s">
        <v>382</v>
      </c>
      <c r="AH46" s="408" t="s">
        <v>372</v>
      </c>
      <c r="AI46" s="635"/>
      <c r="AJ46" s="408" t="s">
        <v>380</v>
      </c>
      <c r="AK46" s="408" t="s">
        <v>381</v>
      </c>
      <c r="AL46" s="408" t="s">
        <v>382</v>
      </c>
      <c r="AM46" s="408" t="s">
        <v>372</v>
      </c>
      <c r="AN46" s="635"/>
      <c r="AO46" s="408" t="s">
        <v>380</v>
      </c>
      <c r="AP46" s="408" t="s">
        <v>381</v>
      </c>
      <c r="AQ46" s="408" t="s">
        <v>382</v>
      </c>
      <c r="AR46" s="408" t="s">
        <v>372</v>
      </c>
      <c r="AS46" s="635"/>
      <c r="AT46" s="408" t="s">
        <v>380</v>
      </c>
      <c r="AU46" s="408" t="s">
        <v>381</v>
      </c>
      <c r="AV46" s="408" t="s">
        <v>382</v>
      </c>
      <c r="AW46" s="408" t="s">
        <v>372</v>
      </c>
      <c r="AX46" s="635"/>
      <c r="AZ46" s="397" t="s">
        <v>579</v>
      </c>
      <c r="BA46" s="635"/>
    </row>
    <row r="47" spans="2:53">
      <c r="B47" s="683" t="s">
        <v>383</v>
      </c>
      <c r="C47" s="411">
        <v>1</v>
      </c>
      <c r="D47" s="367" t="s">
        <v>362</v>
      </c>
      <c r="E47" s="499">
        <v>4</v>
      </c>
      <c r="F47" s="499">
        <v>2000</v>
      </c>
      <c r="G47" s="499">
        <v>500</v>
      </c>
      <c r="H47" s="679">
        <f>AVERAGE(G47:G61)</f>
        <v>234.3814814814815</v>
      </c>
      <c r="I47" s="413">
        <f t="shared" ref="I47:I60" si="38">IFERROR(AVERAGE(P47,U47,Z47,AE47,AJ47,AO47,AT47),"-")</f>
        <v>5</v>
      </c>
      <c r="J47" s="413">
        <f t="shared" ref="J47:J60" si="39">IFERROR(AVERAGE(Q47,V47,AA47,AF47,AK47,AP47,AU47),"-")</f>
        <v>2143.8072178330826</v>
      </c>
      <c r="K47" s="199">
        <f t="shared" ref="K47:K60" si="40">IFERROR(AVERAGE(R47,W47,AB47,AG47,AL47,AQ47,AV47),"-")</f>
        <v>428.76144356661644</v>
      </c>
      <c r="L47" s="616">
        <f>IFERROR(AVERAGE(K47:K55),"-")</f>
        <v>207.11564546745879</v>
      </c>
      <c r="M47" s="481">
        <f>RANK(K47, K$47:$K$61)</f>
        <v>1</v>
      </c>
      <c r="N47" s="635"/>
      <c r="O47" s="635"/>
      <c r="P47" s="549">
        <v>5</v>
      </c>
      <c r="Q47" s="416">
        <v>2118.8059701492539</v>
      </c>
      <c r="R47" s="416">
        <v>423.7611940298508</v>
      </c>
      <c r="S47" s="549">
        <f t="shared" ref="S47:S61" si="41">RANK(R47, R$47:R$61)</f>
        <v>2</v>
      </c>
      <c r="T47" s="644">
        <f t="shared" ref="T47" si="42">AVERAGE(R47:R61)</f>
        <v>206.11763680289087</v>
      </c>
      <c r="U47" s="549">
        <v>5</v>
      </c>
      <c r="V47" s="416">
        <v>2119.6551724137935</v>
      </c>
      <c r="W47" s="416">
        <v>423.93103448275872</v>
      </c>
      <c r="X47" s="549">
        <f t="shared" ref="X47:X61" si="43">RANK(W47, W$47:W$61)</f>
        <v>1</v>
      </c>
      <c r="Y47" s="644">
        <f t="shared" ref="Y47" si="44">AVERAGE(W47:W61)</f>
        <v>205.64503420328322</v>
      </c>
      <c r="Z47" s="549">
        <v>5</v>
      </c>
      <c r="AA47" s="416">
        <v>2107.2413793103451</v>
      </c>
      <c r="AB47" s="416">
        <v>421.44827586206901</v>
      </c>
      <c r="AC47" s="549">
        <f t="shared" ref="AC47:AC61" si="45">RANK(AB47, AB$47:AB$61)</f>
        <v>2</v>
      </c>
      <c r="AD47" s="644">
        <f t="shared" ref="AD47" si="46">AVERAGE(AB47:AB61)</f>
        <v>206.02362164578827</v>
      </c>
      <c r="AE47" s="549">
        <v>5</v>
      </c>
      <c r="AF47" s="416">
        <v>2154.4186046511622</v>
      </c>
      <c r="AG47" s="416">
        <v>430.88372093023247</v>
      </c>
      <c r="AH47" s="549">
        <f t="shared" ref="AH47:AH61" si="47">RANK(AG47, AG$47:AG$61)</f>
        <v>1</v>
      </c>
      <c r="AI47" s="644">
        <f t="shared" ref="AI47" si="48">AVERAGE(AG47:AG61)</f>
        <v>206.63276326227393</v>
      </c>
      <c r="AJ47" s="549">
        <v>5</v>
      </c>
      <c r="AK47" s="416">
        <v>2172.7659574468089</v>
      </c>
      <c r="AL47" s="416">
        <v>434.55319148936178</v>
      </c>
      <c r="AM47" s="549">
        <f t="shared" ref="AM47:AM61" si="49">RANK(AL47, AL$47:AL$61)</f>
        <v>1</v>
      </c>
      <c r="AN47" s="644">
        <f t="shared" ref="AN47" si="50">AVERAGE(AL47:AL61)</f>
        <v>208.32180959296414</v>
      </c>
      <c r="AO47" s="549">
        <v>5</v>
      </c>
      <c r="AP47" s="416">
        <v>2146.6666666666661</v>
      </c>
      <c r="AQ47" s="416">
        <v>429.3333333333332</v>
      </c>
      <c r="AR47" s="549">
        <f t="shared" ref="AR47:AR61" si="51">RANK(AQ47, AQ$47:AQ$61)</f>
        <v>1</v>
      </c>
      <c r="AS47" s="644">
        <f t="shared" ref="AS47" si="52">AVERAGE(AQ47:AQ61)</f>
        <v>207.28865074311778</v>
      </c>
      <c r="AT47" s="557">
        <f>IFERROR(VLOOKUP($D47,[1]晉欣4度C0615!$D$5:$O$999,10,0),"")</f>
        <v>5</v>
      </c>
      <c r="AU47" s="558">
        <f>IFERROR(VLOOKUP($D47,[1]晉欣4度C0615!$D$5:$O$999,11,0),"")</f>
        <v>2187.0967741935474</v>
      </c>
      <c r="AV47" s="558">
        <f>IFERROR(VLOOKUP($D47,[1]晉欣4度C0615!$D$5:$O$999,12,0),"")</f>
        <v>437.41935483870947</v>
      </c>
      <c r="AW47" s="549">
        <f t="shared" ref="AW47:AW61" si="53">RANK(AV47, AV$47:AV$61)</f>
        <v>1</v>
      </c>
      <c r="AX47" s="644">
        <f t="shared" ref="AX47" si="54">AVERAGE(AV47:AV61)</f>
        <v>209.78000202189344</v>
      </c>
      <c r="AZ47" s="398" t="e">
        <f t="shared" ref="AZ47:AZ61" si="55">RANK(AY47, AY$47:AY$61)</f>
        <v>#N/A</v>
      </c>
      <c r="BA47" s="644" t="e">
        <f t="shared" ref="BA47" si="56">AVERAGE(AY47:AY61)</f>
        <v>#DIV/0!</v>
      </c>
    </row>
    <row r="48" spans="2:53">
      <c r="B48" s="643"/>
      <c r="C48" s="411">
        <v>2</v>
      </c>
      <c r="D48" s="367" t="s">
        <v>438</v>
      </c>
      <c r="E48" s="499">
        <v>4</v>
      </c>
      <c r="F48" s="499">
        <v>2000</v>
      </c>
      <c r="G48" s="499">
        <v>500</v>
      </c>
      <c r="H48" s="680"/>
      <c r="I48" s="413">
        <f t="shared" si="38"/>
        <v>5</v>
      </c>
      <c r="J48" s="413">
        <f t="shared" si="39"/>
        <v>2131.7982925785732</v>
      </c>
      <c r="K48" s="199">
        <f t="shared" si="40"/>
        <v>426.35965851571473</v>
      </c>
      <c r="L48" s="617"/>
      <c r="M48" s="481">
        <f>RANK(K48, K$47:$K$61)</f>
        <v>2</v>
      </c>
      <c r="N48" s="635"/>
      <c r="O48" s="635"/>
      <c r="P48" s="549">
        <v>5</v>
      </c>
      <c r="Q48" s="416">
        <v>2129.9999999999995</v>
      </c>
      <c r="R48" s="416">
        <v>425.99999999999989</v>
      </c>
      <c r="S48" s="549">
        <f t="shared" si="41"/>
        <v>1</v>
      </c>
      <c r="T48" s="645"/>
      <c r="U48" s="549">
        <v>5</v>
      </c>
      <c r="V48" s="416">
        <v>2118.2142857142858</v>
      </c>
      <c r="W48" s="416">
        <v>423.64285714285717</v>
      </c>
      <c r="X48" s="549">
        <f t="shared" si="43"/>
        <v>2</v>
      </c>
      <c r="Y48" s="645"/>
      <c r="Z48" s="549">
        <v>5</v>
      </c>
      <c r="AA48" s="416">
        <v>2140</v>
      </c>
      <c r="AB48" s="416">
        <v>428</v>
      </c>
      <c r="AC48" s="549">
        <f t="shared" si="45"/>
        <v>1</v>
      </c>
      <c r="AD48" s="645"/>
      <c r="AE48" s="549">
        <v>5</v>
      </c>
      <c r="AF48" s="416">
        <v>2112.5581395348836</v>
      </c>
      <c r="AG48" s="416">
        <v>422.51162790697674</v>
      </c>
      <c r="AH48" s="549">
        <f t="shared" si="47"/>
        <v>2</v>
      </c>
      <c r="AI48" s="645"/>
      <c r="AJ48" s="549">
        <v>5</v>
      </c>
      <c r="AK48" s="416">
        <v>2118.3673469387759</v>
      </c>
      <c r="AL48" s="416">
        <v>423.67346938775518</v>
      </c>
      <c r="AM48" s="549">
        <f t="shared" si="49"/>
        <v>2</v>
      </c>
      <c r="AN48" s="645"/>
      <c r="AO48" s="549">
        <v>5</v>
      </c>
      <c r="AP48" s="416">
        <v>2127.9310344827591</v>
      </c>
      <c r="AQ48" s="416">
        <v>425.5862068965518</v>
      </c>
      <c r="AR48" s="549">
        <f t="shared" si="51"/>
        <v>2</v>
      </c>
      <c r="AS48" s="645"/>
      <c r="AT48" s="557">
        <f>IFERROR(VLOOKUP($D48,[1]晉欣4度C0615!$D$5:$O$999,10,0),"")</f>
        <v>5</v>
      </c>
      <c r="AU48" s="558">
        <f>IFERROR(VLOOKUP($D48,[1]晉欣4度C0615!$D$5:$O$999,11,0),"")</f>
        <v>2175.5172413793107</v>
      </c>
      <c r="AV48" s="558">
        <f>IFERROR(VLOOKUP($D48,[1]晉欣4度C0615!$D$5:$O$999,12,0),"")</f>
        <v>435.10344827586215</v>
      </c>
      <c r="AW48" s="549">
        <f t="shared" si="53"/>
        <v>2</v>
      </c>
      <c r="AX48" s="645"/>
      <c r="AZ48" s="398" t="e">
        <f t="shared" si="55"/>
        <v>#N/A</v>
      </c>
      <c r="BA48" s="645"/>
    </row>
    <row r="49" spans="2:53">
      <c r="B49" s="643"/>
      <c r="C49" s="411">
        <v>3</v>
      </c>
      <c r="D49" s="367" t="s">
        <v>363</v>
      </c>
      <c r="E49" s="499">
        <v>12</v>
      </c>
      <c r="F49" s="499">
        <v>2118</v>
      </c>
      <c r="G49" s="499">
        <v>176.5</v>
      </c>
      <c r="H49" s="680"/>
      <c r="I49" s="413">
        <f t="shared" si="38"/>
        <v>12</v>
      </c>
      <c r="J49" s="413">
        <f t="shared" si="39"/>
        <v>1885.9439094462009</v>
      </c>
      <c r="K49" s="199">
        <f t="shared" si="40"/>
        <v>157.1619924538501</v>
      </c>
      <c r="L49" s="617"/>
      <c r="M49" s="481">
        <f>RANK(K49, K$47:$K$61)</f>
        <v>7</v>
      </c>
      <c r="N49" s="635"/>
      <c r="O49" s="635"/>
      <c r="P49" s="549">
        <v>12</v>
      </c>
      <c r="Q49" s="416">
        <v>1917.6315789473681</v>
      </c>
      <c r="R49" s="416">
        <v>159.80263157894734</v>
      </c>
      <c r="S49" s="549">
        <f t="shared" si="41"/>
        <v>6</v>
      </c>
      <c r="T49" s="645"/>
      <c r="U49" s="549">
        <v>12</v>
      </c>
      <c r="V49" s="416">
        <v>1880.9090909090908</v>
      </c>
      <c r="W49" s="416">
        <v>156.74242424242422</v>
      </c>
      <c r="X49" s="549">
        <f t="shared" si="43"/>
        <v>6</v>
      </c>
      <c r="Y49" s="645"/>
      <c r="Z49" s="549">
        <v>12</v>
      </c>
      <c r="AA49" s="416">
        <v>1873.913043478261</v>
      </c>
      <c r="AB49" s="416">
        <v>156.15942028985509</v>
      </c>
      <c r="AC49" s="549">
        <f t="shared" si="45"/>
        <v>7</v>
      </c>
      <c r="AD49" s="645"/>
      <c r="AE49" s="549">
        <v>12</v>
      </c>
      <c r="AF49" s="416">
        <v>1899.0000000000005</v>
      </c>
      <c r="AG49" s="416">
        <v>158.25000000000003</v>
      </c>
      <c r="AH49" s="549">
        <f t="shared" si="47"/>
        <v>7</v>
      </c>
      <c r="AI49" s="645"/>
      <c r="AJ49" s="549">
        <v>12</v>
      </c>
      <c r="AK49" s="416">
        <v>1867.1641791044776</v>
      </c>
      <c r="AL49" s="416">
        <v>155.59701492537314</v>
      </c>
      <c r="AM49" s="549">
        <f t="shared" si="49"/>
        <v>7</v>
      </c>
      <c r="AN49" s="645"/>
      <c r="AO49" s="549">
        <v>12</v>
      </c>
      <c r="AP49" s="416">
        <v>1875.7894736842102</v>
      </c>
      <c r="AQ49" s="416">
        <v>156.31578947368419</v>
      </c>
      <c r="AR49" s="549">
        <f t="shared" si="51"/>
        <v>6</v>
      </c>
      <c r="AS49" s="645"/>
      <c r="AT49" s="557">
        <f>IFERROR(VLOOKUP($D49,[1]晉欣4度C0615!$D$5:$O$999,10,0),"")</f>
        <v>12</v>
      </c>
      <c r="AU49" s="558">
        <f>IFERROR(VLOOKUP($D49,[1]晉欣4度C0615!$D$5:$O$999,11,0),"")</f>
        <v>1887.1999999999996</v>
      </c>
      <c r="AV49" s="558">
        <f>IFERROR(VLOOKUP($D49,[1]晉欣4度C0615!$D$5:$O$999,12,0),"")</f>
        <v>157.26666666666662</v>
      </c>
      <c r="AW49" s="549">
        <f t="shared" si="53"/>
        <v>6</v>
      </c>
      <c r="AX49" s="645"/>
      <c r="AZ49" s="398" t="e">
        <f t="shared" si="55"/>
        <v>#N/A</v>
      </c>
      <c r="BA49" s="645"/>
    </row>
    <row r="50" spans="2:53">
      <c r="B50" s="643"/>
      <c r="C50" s="411">
        <v>4</v>
      </c>
      <c r="D50" s="367" t="s">
        <v>591</v>
      </c>
      <c r="E50" s="499">
        <v>13</v>
      </c>
      <c r="F50" s="499">
        <v>2250</v>
      </c>
      <c r="G50" s="499">
        <v>173.1</v>
      </c>
      <c r="H50" s="680"/>
      <c r="I50" s="413">
        <f t="shared" si="38"/>
        <v>13</v>
      </c>
      <c r="J50" s="413">
        <f t="shared" si="39"/>
        <v>2137.6915431904413</v>
      </c>
      <c r="K50" s="199">
        <f t="shared" si="40"/>
        <v>164.43781101464933</v>
      </c>
      <c r="L50" s="617"/>
      <c r="M50" s="481">
        <f>RANK(K50, K$47:$K$61)</f>
        <v>4</v>
      </c>
      <c r="N50" s="635"/>
      <c r="O50" s="635"/>
      <c r="P50" s="549">
        <v>13</v>
      </c>
      <c r="Q50" s="416">
        <v>2124.5714285714289</v>
      </c>
      <c r="R50" s="416">
        <v>163.42857142857144</v>
      </c>
      <c r="S50" s="549">
        <f t="shared" si="41"/>
        <v>5</v>
      </c>
      <c r="T50" s="645"/>
      <c r="U50" s="549">
        <v>13</v>
      </c>
      <c r="V50" s="416">
        <v>2152.1739130434785</v>
      </c>
      <c r="W50" s="416">
        <v>165.55183946488296</v>
      </c>
      <c r="X50" s="549">
        <f t="shared" si="43"/>
        <v>4</v>
      </c>
      <c r="Y50" s="645"/>
      <c r="Z50" s="549">
        <v>13</v>
      </c>
      <c r="AA50" s="416">
        <v>2118.7096774193542</v>
      </c>
      <c r="AB50" s="416">
        <v>162.97766749379647</v>
      </c>
      <c r="AC50" s="549">
        <f t="shared" si="45"/>
        <v>4</v>
      </c>
      <c r="AD50" s="645"/>
      <c r="AE50" s="549">
        <v>13</v>
      </c>
      <c r="AF50" s="416">
        <v>2160.0000000000005</v>
      </c>
      <c r="AG50" s="416">
        <v>166.15384615384619</v>
      </c>
      <c r="AH50" s="549">
        <f t="shared" si="47"/>
        <v>4</v>
      </c>
      <c r="AI50" s="645"/>
      <c r="AJ50" s="549">
        <v>13</v>
      </c>
      <c r="AK50" s="416">
        <v>2124.782608695652</v>
      </c>
      <c r="AL50" s="416">
        <v>163.44481605351169</v>
      </c>
      <c r="AM50" s="549">
        <f t="shared" si="49"/>
        <v>5</v>
      </c>
      <c r="AN50" s="645"/>
      <c r="AO50" s="549">
        <v>13</v>
      </c>
      <c r="AP50" s="416">
        <v>2113.8888888888891</v>
      </c>
      <c r="AQ50" s="416">
        <v>162.60683760683762</v>
      </c>
      <c r="AR50" s="549">
        <f t="shared" si="51"/>
        <v>5</v>
      </c>
      <c r="AS50" s="645"/>
      <c r="AT50" s="557">
        <f>IFERROR(VLOOKUP($D50,[1]晉欣4度C0615!$D$5:$O$999,10,0),"")</f>
        <v>13</v>
      </c>
      <c r="AU50" s="558">
        <f>IFERROR(VLOOKUP($D50,[1]晉欣4度C0615!$D$5:$O$999,11,0),"")</f>
        <v>2169.7142857142858</v>
      </c>
      <c r="AV50" s="558">
        <f>IFERROR(VLOOKUP($D50,[1]晉欣4度C0615!$D$5:$O$999,12,0),"")</f>
        <v>166.90109890109892</v>
      </c>
      <c r="AW50" s="549">
        <f t="shared" si="53"/>
        <v>4</v>
      </c>
      <c r="AX50" s="645"/>
      <c r="AZ50" s="398" t="e">
        <f t="shared" si="55"/>
        <v>#N/A</v>
      </c>
      <c r="BA50" s="645"/>
    </row>
    <row r="51" spans="2:53">
      <c r="B51" s="643"/>
      <c r="C51" s="411">
        <v>5</v>
      </c>
      <c r="D51" s="367" t="s">
        <v>364</v>
      </c>
      <c r="E51" s="499">
        <v>13</v>
      </c>
      <c r="F51" s="499">
        <v>2250</v>
      </c>
      <c r="G51" s="499">
        <v>173.1</v>
      </c>
      <c r="H51" s="680"/>
      <c r="I51" s="413">
        <f t="shared" si="38"/>
        <v>13</v>
      </c>
      <c r="J51" s="413">
        <f t="shared" si="39"/>
        <v>2125.4433553190051</v>
      </c>
      <c r="K51" s="199">
        <f t="shared" si="40"/>
        <v>163.4956427168465</v>
      </c>
      <c r="L51" s="617"/>
      <c r="M51" s="481">
        <f>RANK(K51, K$47:$K$61)</f>
        <v>5</v>
      </c>
      <c r="N51" s="635"/>
      <c r="O51" s="635"/>
      <c r="P51" s="549">
        <v>13</v>
      </c>
      <c r="Q51" s="416">
        <v>2126.8571428571431</v>
      </c>
      <c r="R51" s="416">
        <v>163.60439560439562</v>
      </c>
      <c r="S51" s="549">
        <f t="shared" si="41"/>
        <v>4</v>
      </c>
      <c r="T51" s="645"/>
      <c r="U51" s="549">
        <v>13</v>
      </c>
      <c r="V51" s="416">
        <v>2120.21052631579</v>
      </c>
      <c r="W51" s="416">
        <v>163.09311740890692</v>
      </c>
      <c r="X51" s="549">
        <f t="shared" si="43"/>
        <v>5</v>
      </c>
      <c r="Y51" s="645"/>
      <c r="Z51" s="549">
        <v>13</v>
      </c>
      <c r="AA51" s="416">
        <v>2114.8453608247419</v>
      </c>
      <c r="AB51" s="416">
        <v>162.680412371134</v>
      </c>
      <c r="AC51" s="549">
        <f t="shared" si="45"/>
        <v>5</v>
      </c>
      <c r="AD51" s="645"/>
      <c r="AE51" s="549">
        <v>13</v>
      </c>
      <c r="AF51" s="416">
        <v>2115.9493670886077</v>
      </c>
      <c r="AG51" s="416">
        <v>162.7653359298929</v>
      </c>
      <c r="AH51" s="549">
        <f t="shared" si="47"/>
        <v>5</v>
      </c>
      <c r="AI51" s="645"/>
      <c r="AJ51" s="549">
        <v>13</v>
      </c>
      <c r="AK51" s="416">
        <v>2123.333333333333</v>
      </c>
      <c r="AL51" s="416">
        <v>163.33333333333331</v>
      </c>
      <c r="AM51" s="549">
        <f t="shared" si="49"/>
        <v>6</v>
      </c>
      <c r="AN51" s="645"/>
      <c r="AO51" s="549">
        <v>13</v>
      </c>
      <c r="AP51" s="416">
        <v>2143.0188679245284</v>
      </c>
      <c r="AQ51" s="416">
        <v>164.84760522496373</v>
      </c>
      <c r="AR51" s="549">
        <f t="shared" si="51"/>
        <v>4</v>
      </c>
      <c r="AS51" s="645"/>
      <c r="AT51" s="557">
        <f>IFERROR(VLOOKUP($D51,[1]晉欣4度C0615!$D$5:$O$999,10,0),"")</f>
        <v>13</v>
      </c>
      <c r="AU51" s="558">
        <f>IFERROR(VLOOKUP($D51,[1]晉欣4度C0615!$D$5:$O$999,11,0),"")</f>
        <v>2133.8888888888896</v>
      </c>
      <c r="AV51" s="558">
        <f>IFERROR(VLOOKUP($D51,[1]晉欣4度C0615!$D$5:$O$999,12,0),"")</f>
        <v>164.14529914529919</v>
      </c>
      <c r="AW51" s="549">
        <f t="shared" si="53"/>
        <v>5</v>
      </c>
      <c r="AX51" s="645"/>
      <c r="AZ51" s="398" t="e">
        <f t="shared" si="55"/>
        <v>#N/A</v>
      </c>
      <c r="BA51" s="645"/>
    </row>
    <row r="52" spans="2:53">
      <c r="B52" s="643"/>
      <c r="C52" s="411">
        <v>6</v>
      </c>
      <c r="D52" s="367" t="s">
        <v>365</v>
      </c>
      <c r="E52" s="499">
        <v>10</v>
      </c>
      <c r="F52" s="499">
        <v>2769</v>
      </c>
      <c r="G52" s="499">
        <v>276.89999999999998</v>
      </c>
      <c r="H52" s="680"/>
      <c r="I52" s="413">
        <f t="shared" si="38"/>
        <v>10</v>
      </c>
      <c r="J52" s="413">
        <f t="shared" si="39"/>
        <v>2331.4913021660764</v>
      </c>
      <c r="K52" s="199">
        <f t="shared" si="40"/>
        <v>233.1491302166076</v>
      </c>
      <c r="L52" s="617"/>
      <c r="M52" s="481">
        <f>RANK(K52, K$47:$K$61)</f>
        <v>3</v>
      </c>
      <c r="N52" s="635"/>
      <c r="O52" s="635"/>
      <c r="P52" s="549">
        <v>10</v>
      </c>
      <c r="Q52" s="416">
        <v>2317.645161290322</v>
      </c>
      <c r="R52" s="416">
        <v>231.76451612903219</v>
      </c>
      <c r="S52" s="549">
        <f t="shared" si="41"/>
        <v>3</v>
      </c>
      <c r="T52" s="645"/>
      <c r="U52" s="549">
        <v>10</v>
      </c>
      <c r="V52" s="416">
        <v>2299.7999999999988</v>
      </c>
      <c r="W52" s="416">
        <v>229.97999999999988</v>
      </c>
      <c r="X52" s="549">
        <f t="shared" si="43"/>
        <v>3</v>
      </c>
      <c r="Y52" s="645"/>
      <c r="Z52" s="549">
        <v>10</v>
      </c>
      <c r="AA52" s="416">
        <v>2319.3818181818165</v>
      </c>
      <c r="AB52" s="416">
        <v>231.93818181818165</v>
      </c>
      <c r="AC52" s="549">
        <f t="shared" si="45"/>
        <v>3</v>
      </c>
      <c r="AD52" s="645"/>
      <c r="AE52" s="549">
        <v>10</v>
      </c>
      <c r="AF52" s="416">
        <v>2263.695652173913</v>
      </c>
      <c r="AG52" s="416">
        <v>226.36956521739131</v>
      </c>
      <c r="AH52" s="549">
        <f t="shared" si="47"/>
        <v>3</v>
      </c>
      <c r="AI52" s="645"/>
      <c r="AJ52" s="549">
        <v>10</v>
      </c>
      <c r="AK52" s="416">
        <v>2346.5934065934066</v>
      </c>
      <c r="AL52" s="416">
        <v>234.65934065934067</v>
      </c>
      <c r="AM52" s="549">
        <f t="shared" si="49"/>
        <v>3</v>
      </c>
      <c r="AN52" s="645"/>
      <c r="AO52" s="549">
        <v>10</v>
      </c>
      <c r="AP52" s="416">
        <v>2389.2923076923071</v>
      </c>
      <c r="AQ52" s="416">
        <v>238.92923076923071</v>
      </c>
      <c r="AR52" s="549">
        <f t="shared" si="51"/>
        <v>3</v>
      </c>
      <c r="AS52" s="645"/>
      <c r="AT52" s="557">
        <f>IFERROR(VLOOKUP($D52,[1]晉欣4度C0615!$D$5:$O$999,10,0),"")</f>
        <v>10</v>
      </c>
      <c r="AU52" s="558">
        <f>IFERROR(VLOOKUP($D52,[1]晉欣4度C0615!$D$5:$O$999,11,0),"")</f>
        <v>2384.0307692307688</v>
      </c>
      <c r="AV52" s="558">
        <f>IFERROR(VLOOKUP($D52,[1]晉欣4度C0615!$D$5:$O$999,12,0),"")</f>
        <v>238.40307692307687</v>
      </c>
      <c r="AW52" s="549">
        <f t="shared" si="53"/>
        <v>3</v>
      </c>
      <c r="AX52" s="645"/>
      <c r="AZ52" s="398" t="e">
        <f t="shared" si="55"/>
        <v>#N/A</v>
      </c>
      <c r="BA52" s="645"/>
    </row>
    <row r="53" spans="2:53">
      <c r="B53" s="643"/>
      <c r="C53" s="411">
        <v>7</v>
      </c>
      <c r="D53" s="367" t="s">
        <v>361</v>
      </c>
      <c r="E53" s="499">
        <v>18</v>
      </c>
      <c r="F53" s="499">
        <v>1200</v>
      </c>
      <c r="G53" s="499">
        <v>66.666666666666671</v>
      </c>
      <c r="H53" s="680"/>
      <c r="I53" s="413">
        <f t="shared" si="38"/>
        <v>18</v>
      </c>
      <c r="J53" s="413">
        <f t="shared" si="39"/>
        <v>1150.9575202197559</v>
      </c>
      <c r="K53" s="199">
        <f t="shared" si="40"/>
        <v>63.942084456653099</v>
      </c>
      <c r="L53" s="617"/>
      <c r="M53" s="481">
        <f>RANK(K53, K$47:$K$61)</f>
        <v>9</v>
      </c>
      <c r="N53" s="635"/>
      <c r="O53" s="635"/>
      <c r="P53" s="549">
        <v>18</v>
      </c>
      <c r="Q53" s="416">
        <v>1161.4678899082576</v>
      </c>
      <c r="R53" s="416">
        <v>64.525993883792083</v>
      </c>
      <c r="S53" s="549">
        <f t="shared" si="41"/>
        <v>9</v>
      </c>
      <c r="T53" s="645"/>
      <c r="U53" s="549">
        <v>18</v>
      </c>
      <c r="V53" s="416">
        <v>1157.0526315789466</v>
      </c>
      <c r="W53" s="416">
        <v>64.280701754385916</v>
      </c>
      <c r="X53" s="549">
        <f t="shared" si="43"/>
        <v>9</v>
      </c>
      <c r="Y53" s="645"/>
      <c r="Z53" s="549">
        <v>18</v>
      </c>
      <c r="AA53" s="416">
        <v>1165.1999999999994</v>
      </c>
      <c r="AB53" s="416">
        <v>64.733333333333292</v>
      </c>
      <c r="AC53" s="549">
        <f t="shared" si="45"/>
        <v>9</v>
      </c>
      <c r="AD53" s="645"/>
      <c r="AE53" s="549">
        <v>18</v>
      </c>
      <c r="AF53" s="416">
        <v>1140.7407407407413</v>
      </c>
      <c r="AG53" s="416">
        <v>63.374485596707849</v>
      </c>
      <c r="AH53" s="549">
        <f t="shared" si="47"/>
        <v>9</v>
      </c>
      <c r="AI53" s="645"/>
      <c r="AJ53" s="549">
        <v>18</v>
      </c>
      <c r="AK53" s="416">
        <v>1137.2413793103447</v>
      </c>
      <c r="AL53" s="416">
        <v>63.180076628352481</v>
      </c>
      <c r="AM53" s="549">
        <f t="shared" si="49"/>
        <v>9</v>
      </c>
      <c r="AN53" s="645"/>
      <c r="AO53" s="549">
        <v>18</v>
      </c>
      <c r="AP53" s="416">
        <v>1162.5000000000009</v>
      </c>
      <c r="AQ53" s="416">
        <v>64.583333333333385</v>
      </c>
      <c r="AR53" s="549">
        <f t="shared" si="51"/>
        <v>9</v>
      </c>
      <c r="AS53" s="645"/>
      <c r="AT53" s="557">
        <f>IFERROR(VLOOKUP($D53,[1]晉欣4度C0615!$D$5:$O$999,10,0),"")</f>
        <v>18</v>
      </c>
      <c r="AU53" s="558">
        <f>IFERROR(VLOOKUP($D53,[1]晉欣4度C0615!$D$5:$O$999,11,0),"")</f>
        <v>1132.5000000000007</v>
      </c>
      <c r="AV53" s="558">
        <f>IFERROR(VLOOKUP($D53,[1]晉欣4度C0615!$D$5:$O$999,12,0),"")</f>
        <v>62.916666666666707</v>
      </c>
      <c r="AW53" s="549">
        <f t="shared" si="53"/>
        <v>9</v>
      </c>
      <c r="AX53" s="645"/>
      <c r="AZ53" s="398" t="e">
        <f t="shared" si="55"/>
        <v>#N/A</v>
      </c>
      <c r="BA53" s="645"/>
    </row>
    <row r="54" spans="2:53">
      <c r="B54" s="643"/>
      <c r="C54" s="411">
        <v>8</v>
      </c>
      <c r="D54" s="367" t="s">
        <v>531</v>
      </c>
      <c r="E54" s="499">
        <v>12</v>
      </c>
      <c r="F54" s="499">
        <v>2118</v>
      </c>
      <c r="G54" s="499">
        <v>176.5</v>
      </c>
      <c r="H54" s="680"/>
      <c r="I54" s="413">
        <f t="shared" si="38"/>
        <v>12</v>
      </c>
      <c r="J54" s="413">
        <f t="shared" si="39"/>
        <v>1897.713183303031</v>
      </c>
      <c r="K54" s="199">
        <f t="shared" si="40"/>
        <v>158.14276527525257</v>
      </c>
      <c r="L54" s="617"/>
      <c r="M54" s="481">
        <f>RANK(K54, K$47:$K$61)</f>
        <v>6</v>
      </c>
      <c r="N54" s="635"/>
      <c r="O54" s="635"/>
      <c r="P54" s="549">
        <v>12</v>
      </c>
      <c r="Q54" s="416">
        <v>1857.1428571428578</v>
      </c>
      <c r="R54" s="416">
        <v>154.76190476190482</v>
      </c>
      <c r="S54" s="549">
        <f t="shared" si="41"/>
        <v>7</v>
      </c>
      <c r="T54" s="645"/>
      <c r="U54" s="549">
        <v>12</v>
      </c>
      <c r="V54" s="416">
        <v>1869.9999999999998</v>
      </c>
      <c r="W54" s="416">
        <v>155.83333333333331</v>
      </c>
      <c r="X54" s="549">
        <f t="shared" si="43"/>
        <v>7</v>
      </c>
      <c r="Y54" s="645"/>
      <c r="Z54" s="549">
        <v>12</v>
      </c>
      <c r="AA54" s="416">
        <v>1876.8421052631579</v>
      </c>
      <c r="AB54" s="416">
        <v>156.40350877192984</v>
      </c>
      <c r="AC54" s="549">
        <f t="shared" si="45"/>
        <v>6</v>
      </c>
      <c r="AD54" s="645"/>
      <c r="AE54" s="549">
        <v>12</v>
      </c>
      <c r="AF54" s="416">
        <v>1912.1739130434783</v>
      </c>
      <c r="AG54" s="416">
        <v>159.34782608695653</v>
      </c>
      <c r="AH54" s="549">
        <f t="shared" si="47"/>
        <v>6</v>
      </c>
      <c r="AI54" s="645"/>
      <c r="AJ54" s="549">
        <v>12</v>
      </c>
      <c r="AK54" s="416">
        <v>2021.2500000000005</v>
      </c>
      <c r="AL54" s="416">
        <v>168.43750000000003</v>
      </c>
      <c r="AM54" s="549">
        <f t="shared" si="49"/>
        <v>4</v>
      </c>
      <c r="AN54" s="645"/>
      <c r="AO54" s="549">
        <v>12</v>
      </c>
      <c r="AP54" s="416">
        <v>1864.210526315791</v>
      </c>
      <c r="AQ54" s="416">
        <v>155.35087719298258</v>
      </c>
      <c r="AR54" s="549">
        <f t="shared" si="51"/>
        <v>7</v>
      </c>
      <c r="AS54" s="645"/>
      <c r="AT54" s="557">
        <f>IFERROR(VLOOKUP($D54,[1]晉欣4度C0615!$D$5:$O$999,10,0),"")</f>
        <v>12</v>
      </c>
      <c r="AU54" s="558">
        <f>IFERROR(VLOOKUP($D54,[1]晉欣4度C0615!$D$5:$O$999,11,0),"")</f>
        <v>1882.3728813559314</v>
      </c>
      <c r="AV54" s="558">
        <f>IFERROR(VLOOKUP($D54,[1]晉欣4度C0615!$D$5:$O$999,12,0),"")</f>
        <v>156.86440677966095</v>
      </c>
      <c r="AW54" s="549">
        <f t="shared" si="53"/>
        <v>7</v>
      </c>
      <c r="AX54" s="645"/>
      <c r="AZ54" s="398" t="e">
        <f t="shared" si="55"/>
        <v>#N/A</v>
      </c>
      <c r="BA54" s="645"/>
    </row>
    <row r="55" spans="2:53">
      <c r="B55" s="643"/>
      <c r="C55" s="411">
        <v>9</v>
      </c>
      <c r="D55" s="367" t="s">
        <v>794</v>
      </c>
      <c r="E55" s="499">
        <v>18</v>
      </c>
      <c r="F55" s="499">
        <v>1200</v>
      </c>
      <c r="G55" s="499">
        <v>66.666666666666671</v>
      </c>
      <c r="H55" s="680"/>
      <c r="I55" s="413">
        <f t="shared" si="38"/>
        <v>18</v>
      </c>
      <c r="J55" s="413">
        <f t="shared" si="39"/>
        <v>1234.6250578368999</v>
      </c>
      <c r="K55" s="199">
        <f t="shared" si="40"/>
        <v>68.590280990938865</v>
      </c>
      <c r="L55" s="617"/>
      <c r="M55" s="481">
        <f>RANK(K55, K$47:$K$61)</f>
        <v>8</v>
      </c>
      <c r="N55" s="635"/>
      <c r="O55" s="635"/>
      <c r="P55" s="556">
        <v>18</v>
      </c>
      <c r="Q55" s="416">
        <v>1213.3714285714284</v>
      </c>
      <c r="R55" s="416">
        <v>67.409523809523805</v>
      </c>
      <c r="S55" s="549">
        <f t="shared" si="41"/>
        <v>8</v>
      </c>
      <c r="T55" s="645"/>
      <c r="U55" s="556">
        <v>18</v>
      </c>
      <c r="V55" s="416">
        <v>1219.4999999999995</v>
      </c>
      <c r="W55" s="416">
        <v>67.749999999999972</v>
      </c>
      <c r="X55" s="549">
        <f t="shared" si="43"/>
        <v>8</v>
      </c>
      <c r="Y55" s="645"/>
      <c r="Z55" s="556">
        <v>18</v>
      </c>
      <c r="AA55" s="416">
        <v>1257.6923076923074</v>
      </c>
      <c r="AB55" s="416">
        <v>69.871794871794862</v>
      </c>
      <c r="AC55" s="549">
        <f t="shared" si="45"/>
        <v>8</v>
      </c>
      <c r="AD55" s="645"/>
      <c r="AE55" s="556">
        <v>18</v>
      </c>
      <c r="AF55" s="416">
        <v>1260.6923076923074</v>
      </c>
      <c r="AG55" s="416">
        <v>70.038461538461519</v>
      </c>
      <c r="AH55" s="549">
        <f t="shared" si="47"/>
        <v>8</v>
      </c>
      <c r="AI55" s="645"/>
      <c r="AJ55" s="556">
        <v>18</v>
      </c>
      <c r="AK55" s="416">
        <v>1224.3157894736842</v>
      </c>
      <c r="AL55" s="416">
        <v>68.017543859649123</v>
      </c>
      <c r="AM55" s="549">
        <f t="shared" si="49"/>
        <v>8</v>
      </c>
      <c r="AN55" s="645"/>
      <c r="AO55" s="556">
        <v>18</v>
      </c>
      <c r="AP55" s="416">
        <v>1224.8035714285713</v>
      </c>
      <c r="AQ55" s="416">
        <v>68.044642857142847</v>
      </c>
      <c r="AR55" s="549">
        <f t="shared" si="51"/>
        <v>8</v>
      </c>
      <c r="AS55" s="645"/>
      <c r="AT55" s="557">
        <f>IFERROR(VLOOKUP($D55,[2]晉欣18度C0615!$D$5:$S$999,7,0),"")</f>
        <v>18</v>
      </c>
      <c r="AU55" s="558">
        <f>IFERROR(VLOOKUP($D55,[2]晉欣18度C0615!$D$5:$S$999,8,0),"")</f>
        <v>1242.0000000000005</v>
      </c>
      <c r="AV55" s="558">
        <f>IFERROR(VLOOKUP($D55,[2]晉欣18度C0615!$D$5:$S$999,9,0),"")</f>
        <v>69.000000000000028</v>
      </c>
      <c r="AW55" s="549">
        <f t="shared" si="53"/>
        <v>8</v>
      </c>
      <c r="AX55" s="645"/>
      <c r="AZ55" s="398" t="e">
        <f t="shared" si="55"/>
        <v>#N/A</v>
      </c>
      <c r="BA55" s="645"/>
    </row>
    <row r="56" spans="2:53">
      <c r="B56" s="643"/>
      <c r="C56" s="411">
        <v>10</v>
      </c>
      <c r="D56" s="367"/>
      <c r="E56" s="499"/>
      <c r="F56" s="499"/>
      <c r="G56" s="499"/>
      <c r="H56" s="680"/>
      <c r="I56" s="413" t="str">
        <f t="shared" si="38"/>
        <v>-</v>
      </c>
      <c r="J56" s="413" t="str">
        <f t="shared" si="39"/>
        <v>-</v>
      </c>
      <c r="K56" s="199" t="str">
        <f t="shared" si="40"/>
        <v>-</v>
      </c>
      <c r="L56" s="617"/>
      <c r="M56" s="481" t="e">
        <f>RANK(K56, K$47:$K$61)</f>
        <v>#VALUE!</v>
      </c>
      <c r="N56" s="635"/>
      <c r="O56" s="635"/>
      <c r="P56" s="556" t="s">
        <v>615</v>
      </c>
      <c r="Q56" s="416" t="s">
        <v>615</v>
      </c>
      <c r="R56" s="416" t="s">
        <v>615</v>
      </c>
      <c r="S56" s="549" t="e">
        <f t="shared" si="41"/>
        <v>#VALUE!</v>
      </c>
      <c r="T56" s="645"/>
      <c r="U56" s="556" t="s">
        <v>615</v>
      </c>
      <c r="V56" s="416" t="s">
        <v>615</v>
      </c>
      <c r="W56" s="416" t="s">
        <v>615</v>
      </c>
      <c r="X56" s="549" t="e">
        <f t="shared" si="43"/>
        <v>#VALUE!</v>
      </c>
      <c r="Y56" s="645"/>
      <c r="Z56" s="556" t="s">
        <v>615</v>
      </c>
      <c r="AA56" s="416" t="s">
        <v>615</v>
      </c>
      <c r="AB56" s="416" t="s">
        <v>615</v>
      </c>
      <c r="AC56" s="549" t="e">
        <f t="shared" si="45"/>
        <v>#VALUE!</v>
      </c>
      <c r="AD56" s="645"/>
      <c r="AE56" s="549"/>
      <c r="AF56" s="416"/>
      <c r="AG56" s="416"/>
      <c r="AH56" s="549" t="e">
        <f t="shared" si="47"/>
        <v>#N/A</v>
      </c>
      <c r="AI56" s="645"/>
      <c r="AJ56" s="556" t="s">
        <v>615</v>
      </c>
      <c r="AK56" s="416" t="s">
        <v>615</v>
      </c>
      <c r="AL56" s="416" t="s">
        <v>615</v>
      </c>
      <c r="AM56" s="549" t="e">
        <f t="shared" si="49"/>
        <v>#VALUE!</v>
      </c>
      <c r="AN56" s="645"/>
      <c r="AO56" s="556" t="s">
        <v>615</v>
      </c>
      <c r="AP56" s="416" t="s">
        <v>615</v>
      </c>
      <c r="AQ56" s="416" t="s">
        <v>615</v>
      </c>
      <c r="AR56" s="549" t="e">
        <f t="shared" si="51"/>
        <v>#VALUE!</v>
      </c>
      <c r="AS56" s="645"/>
      <c r="AT56" s="557"/>
      <c r="AU56" s="558"/>
      <c r="AV56" s="558"/>
      <c r="AW56" s="549" t="e">
        <f t="shared" si="53"/>
        <v>#N/A</v>
      </c>
      <c r="AX56" s="645"/>
      <c r="AZ56" s="398" t="e">
        <f t="shared" si="55"/>
        <v>#N/A</v>
      </c>
      <c r="BA56" s="645"/>
    </row>
    <row r="57" spans="2:53">
      <c r="B57" s="643"/>
      <c r="C57" s="411">
        <v>11</v>
      </c>
      <c r="D57" s="367"/>
      <c r="E57" s="499"/>
      <c r="F57" s="499"/>
      <c r="G57" s="499"/>
      <c r="H57" s="680"/>
      <c r="I57" s="413" t="str">
        <f t="shared" si="38"/>
        <v>-</v>
      </c>
      <c r="J57" s="413" t="str">
        <f t="shared" si="39"/>
        <v>-</v>
      </c>
      <c r="K57" s="199" t="str">
        <f t="shared" si="40"/>
        <v>-</v>
      </c>
      <c r="L57" s="617"/>
      <c r="M57" s="481" t="e">
        <f>RANK(K57, K$47:$K$61)</f>
        <v>#VALUE!</v>
      </c>
      <c r="N57" s="635"/>
      <c r="O57" s="635"/>
      <c r="P57" s="549" t="s">
        <v>615</v>
      </c>
      <c r="Q57" s="416" t="s">
        <v>615</v>
      </c>
      <c r="R57" s="416" t="s">
        <v>615</v>
      </c>
      <c r="S57" s="549" t="e">
        <f t="shared" si="41"/>
        <v>#VALUE!</v>
      </c>
      <c r="T57" s="645"/>
      <c r="U57" s="549" t="s">
        <v>615</v>
      </c>
      <c r="V57" s="416" t="s">
        <v>615</v>
      </c>
      <c r="W57" s="416" t="s">
        <v>615</v>
      </c>
      <c r="X57" s="549" t="e">
        <f t="shared" si="43"/>
        <v>#VALUE!</v>
      </c>
      <c r="Y57" s="645"/>
      <c r="Z57" s="549" t="s">
        <v>615</v>
      </c>
      <c r="AA57" s="416" t="s">
        <v>615</v>
      </c>
      <c r="AB57" s="416" t="s">
        <v>615</v>
      </c>
      <c r="AC57" s="549" t="e">
        <f t="shared" si="45"/>
        <v>#VALUE!</v>
      </c>
      <c r="AD57" s="645"/>
      <c r="AE57" s="549" t="s">
        <v>615</v>
      </c>
      <c r="AF57" s="416" t="s">
        <v>615</v>
      </c>
      <c r="AG57" s="416" t="s">
        <v>615</v>
      </c>
      <c r="AH57" s="549" t="e">
        <f t="shared" si="47"/>
        <v>#VALUE!</v>
      </c>
      <c r="AI57" s="645"/>
      <c r="AJ57" s="549" t="s">
        <v>615</v>
      </c>
      <c r="AK57" s="416" t="s">
        <v>615</v>
      </c>
      <c r="AL57" s="416" t="s">
        <v>615</v>
      </c>
      <c r="AM57" s="549" t="e">
        <f t="shared" si="49"/>
        <v>#VALUE!</v>
      </c>
      <c r="AN57" s="645"/>
      <c r="AO57" s="549" t="s">
        <v>615</v>
      </c>
      <c r="AP57" s="416" t="s">
        <v>615</v>
      </c>
      <c r="AQ57" s="416" t="s">
        <v>615</v>
      </c>
      <c r="AR57" s="549" t="e">
        <f t="shared" si="51"/>
        <v>#VALUE!</v>
      </c>
      <c r="AS57" s="645"/>
      <c r="AT57" s="557" t="str">
        <f>IFERROR(VLOOKUP($D57,[1]晉欣4度C0615!$D$5:$O$999,10,0),"")</f>
        <v/>
      </c>
      <c r="AU57" s="558" t="str">
        <f>IFERROR(VLOOKUP($D57,[1]晉欣4度C0615!$D$5:$O$999,11,0),"")</f>
        <v/>
      </c>
      <c r="AV57" s="558" t="str">
        <f>IFERROR(VLOOKUP($D57,[1]晉欣4度C0615!$D$5:$O$999,12,0),"")</f>
        <v/>
      </c>
      <c r="AW57" s="549" t="e">
        <f t="shared" si="53"/>
        <v>#VALUE!</v>
      </c>
      <c r="AX57" s="645"/>
      <c r="AZ57" s="398" t="e">
        <f t="shared" si="55"/>
        <v>#N/A</v>
      </c>
      <c r="BA57" s="645"/>
    </row>
    <row r="58" spans="2:53">
      <c r="B58" s="643"/>
      <c r="C58" s="411">
        <v>12</v>
      </c>
      <c r="D58" s="367"/>
      <c r="E58" s="499"/>
      <c r="F58" s="499"/>
      <c r="G58" s="499"/>
      <c r="H58" s="680"/>
      <c r="I58" s="413" t="str">
        <f t="shared" si="38"/>
        <v>-</v>
      </c>
      <c r="J58" s="413" t="str">
        <f t="shared" si="39"/>
        <v>-</v>
      </c>
      <c r="K58" s="199" t="str">
        <f t="shared" si="40"/>
        <v>-</v>
      </c>
      <c r="L58" s="617"/>
      <c r="M58" s="481" t="e">
        <f>RANK(K58, K$47:$K$61)</f>
        <v>#VALUE!</v>
      </c>
      <c r="N58" s="635"/>
      <c r="O58" s="635"/>
      <c r="P58" s="549" t="s">
        <v>615</v>
      </c>
      <c r="Q58" s="416" t="s">
        <v>615</v>
      </c>
      <c r="R58" s="416" t="s">
        <v>615</v>
      </c>
      <c r="S58" s="549" t="e">
        <f t="shared" si="41"/>
        <v>#VALUE!</v>
      </c>
      <c r="T58" s="645"/>
      <c r="U58" s="549" t="s">
        <v>615</v>
      </c>
      <c r="V58" s="416" t="s">
        <v>615</v>
      </c>
      <c r="W58" s="416" t="s">
        <v>615</v>
      </c>
      <c r="X58" s="549" t="e">
        <f t="shared" si="43"/>
        <v>#VALUE!</v>
      </c>
      <c r="Y58" s="645"/>
      <c r="Z58" s="549" t="s">
        <v>615</v>
      </c>
      <c r="AA58" s="416" t="s">
        <v>615</v>
      </c>
      <c r="AB58" s="416" t="s">
        <v>615</v>
      </c>
      <c r="AC58" s="549" t="e">
        <f t="shared" si="45"/>
        <v>#VALUE!</v>
      </c>
      <c r="AD58" s="645"/>
      <c r="AE58" s="549" t="s">
        <v>615</v>
      </c>
      <c r="AF58" s="416" t="s">
        <v>615</v>
      </c>
      <c r="AG58" s="416" t="s">
        <v>615</v>
      </c>
      <c r="AH58" s="549" t="e">
        <f t="shared" si="47"/>
        <v>#VALUE!</v>
      </c>
      <c r="AI58" s="645"/>
      <c r="AJ58" s="549" t="s">
        <v>615</v>
      </c>
      <c r="AK58" s="416" t="s">
        <v>615</v>
      </c>
      <c r="AL58" s="416" t="s">
        <v>615</v>
      </c>
      <c r="AM58" s="549" t="e">
        <f t="shared" si="49"/>
        <v>#VALUE!</v>
      </c>
      <c r="AN58" s="645"/>
      <c r="AO58" s="549" t="s">
        <v>615</v>
      </c>
      <c r="AP58" s="416" t="s">
        <v>615</v>
      </c>
      <c r="AQ58" s="416" t="s">
        <v>615</v>
      </c>
      <c r="AR58" s="549" t="e">
        <f t="shared" si="51"/>
        <v>#VALUE!</v>
      </c>
      <c r="AS58" s="645"/>
      <c r="AT58" s="557" t="str">
        <f>IFERROR(VLOOKUP($D58,[1]晉欣4度C0615!$D$5:$O$999,10,0),"")</f>
        <v/>
      </c>
      <c r="AU58" s="558" t="str">
        <f>IFERROR(VLOOKUP($D58,[1]晉欣4度C0615!$D$5:$O$999,11,0),"")</f>
        <v/>
      </c>
      <c r="AV58" s="558" t="str">
        <f>IFERROR(VLOOKUP($D58,[1]晉欣4度C0615!$D$5:$O$999,12,0),"")</f>
        <v/>
      </c>
      <c r="AW58" s="549" t="e">
        <f t="shared" si="53"/>
        <v>#VALUE!</v>
      </c>
      <c r="AX58" s="645"/>
      <c r="AZ58" s="398" t="e">
        <f t="shared" si="55"/>
        <v>#N/A</v>
      </c>
      <c r="BA58" s="645"/>
    </row>
    <row r="59" spans="2:53">
      <c r="B59" s="643"/>
      <c r="C59" s="411">
        <v>13</v>
      </c>
      <c r="D59" s="367"/>
      <c r="E59" s="499"/>
      <c r="F59" s="499"/>
      <c r="G59" s="499"/>
      <c r="H59" s="680"/>
      <c r="I59" s="413" t="str">
        <f t="shared" si="38"/>
        <v>-</v>
      </c>
      <c r="J59" s="413" t="str">
        <f t="shared" si="39"/>
        <v>-</v>
      </c>
      <c r="K59" s="199" t="str">
        <f t="shared" si="40"/>
        <v>-</v>
      </c>
      <c r="L59" s="617"/>
      <c r="M59" s="481" t="e">
        <f>RANK(K59, K$47:$K$61)</f>
        <v>#VALUE!</v>
      </c>
      <c r="N59" s="635"/>
      <c r="O59" s="635"/>
      <c r="P59" s="549" t="s">
        <v>615</v>
      </c>
      <c r="Q59" s="416" t="s">
        <v>615</v>
      </c>
      <c r="R59" s="416" t="s">
        <v>615</v>
      </c>
      <c r="S59" s="549" t="e">
        <f t="shared" si="41"/>
        <v>#VALUE!</v>
      </c>
      <c r="T59" s="645"/>
      <c r="U59" s="549" t="s">
        <v>615</v>
      </c>
      <c r="V59" s="416" t="s">
        <v>615</v>
      </c>
      <c r="W59" s="416" t="s">
        <v>615</v>
      </c>
      <c r="X59" s="549" t="e">
        <f t="shared" si="43"/>
        <v>#VALUE!</v>
      </c>
      <c r="Y59" s="645"/>
      <c r="Z59" s="549" t="s">
        <v>615</v>
      </c>
      <c r="AA59" s="416" t="s">
        <v>615</v>
      </c>
      <c r="AB59" s="416" t="s">
        <v>615</v>
      </c>
      <c r="AC59" s="549" t="e">
        <f t="shared" si="45"/>
        <v>#VALUE!</v>
      </c>
      <c r="AD59" s="645"/>
      <c r="AE59" s="549" t="s">
        <v>615</v>
      </c>
      <c r="AF59" s="416" t="s">
        <v>615</v>
      </c>
      <c r="AG59" s="416" t="s">
        <v>615</v>
      </c>
      <c r="AH59" s="549" t="e">
        <f t="shared" si="47"/>
        <v>#VALUE!</v>
      </c>
      <c r="AI59" s="645"/>
      <c r="AJ59" s="549" t="s">
        <v>615</v>
      </c>
      <c r="AK59" s="416" t="s">
        <v>615</v>
      </c>
      <c r="AL59" s="416" t="s">
        <v>615</v>
      </c>
      <c r="AM59" s="549" t="e">
        <f t="shared" si="49"/>
        <v>#VALUE!</v>
      </c>
      <c r="AN59" s="645"/>
      <c r="AO59" s="549" t="s">
        <v>615</v>
      </c>
      <c r="AP59" s="416" t="s">
        <v>615</v>
      </c>
      <c r="AQ59" s="416" t="s">
        <v>615</v>
      </c>
      <c r="AR59" s="549" t="e">
        <f t="shared" si="51"/>
        <v>#VALUE!</v>
      </c>
      <c r="AS59" s="645"/>
      <c r="AT59" s="557" t="str">
        <f>IFERROR(VLOOKUP($D59,[1]晉欣4度C0615!$D$5:$O$999,10,0),"")</f>
        <v/>
      </c>
      <c r="AU59" s="558" t="str">
        <f>IFERROR(VLOOKUP($D59,[1]晉欣4度C0615!$D$5:$O$999,11,0),"")</f>
        <v/>
      </c>
      <c r="AV59" s="558" t="str">
        <f>IFERROR(VLOOKUP($D59,[1]晉欣4度C0615!$D$5:$O$999,12,0),"")</f>
        <v/>
      </c>
      <c r="AW59" s="549" t="e">
        <f t="shared" si="53"/>
        <v>#VALUE!</v>
      </c>
      <c r="AX59" s="645"/>
      <c r="AZ59" s="398" t="e">
        <f t="shared" si="55"/>
        <v>#N/A</v>
      </c>
      <c r="BA59" s="645"/>
    </row>
    <row r="60" spans="2:53">
      <c r="B60" s="643"/>
      <c r="C60" s="411">
        <v>14</v>
      </c>
      <c r="D60" s="367"/>
      <c r="E60" s="499"/>
      <c r="F60" s="499"/>
      <c r="G60" s="499"/>
      <c r="H60" s="680"/>
      <c r="I60" s="413" t="str">
        <f t="shared" si="38"/>
        <v>-</v>
      </c>
      <c r="J60" s="413" t="str">
        <f t="shared" si="39"/>
        <v>-</v>
      </c>
      <c r="K60" s="199" t="str">
        <f t="shared" si="40"/>
        <v>-</v>
      </c>
      <c r="L60" s="617"/>
      <c r="M60" s="481" t="e">
        <f>RANK(K60, K$47:$K$61)</f>
        <v>#VALUE!</v>
      </c>
      <c r="N60" s="635"/>
      <c r="O60" s="635"/>
      <c r="P60" s="549" t="s">
        <v>615</v>
      </c>
      <c r="Q60" s="416" t="s">
        <v>615</v>
      </c>
      <c r="R60" s="416" t="s">
        <v>615</v>
      </c>
      <c r="S60" s="549" t="e">
        <f t="shared" si="41"/>
        <v>#VALUE!</v>
      </c>
      <c r="T60" s="645"/>
      <c r="U60" s="549" t="s">
        <v>615</v>
      </c>
      <c r="V60" s="416" t="s">
        <v>615</v>
      </c>
      <c r="W60" s="416" t="s">
        <v>615</v>
      </c>
      <c r="X60" s="549" t="e">
        <f t="shared" si="43"/>
        <v>#VALUE!</v>
      </c>
      <c r="Y60" s="645"/>
      <c r="Z60" s="549" t="s">
        <v>615</v>
      </c>
      <c r="AA60" s="416" t="s">
        <v>615</v>
      </c>
      <c r="AB60" s="416" t="s">
        <v>615</v>
      </c>
      <c r="AC60" s="549" t="e">
        <f t="shared" si="45"/>
        <v>#VALUE!</v>
      </c>
      <c r="AD60" s="645"/>
      <c r="AE60" s="549" t="s">
        <v>615</v>
      </c>
      <c r="AF60" s="416" t="s">
        <v>615</v>
      </c>
      <c r="AG60" s="416" t="s">
        <v>615</v>
      </c>
      <c r="AH60" s="549" t="e">
        <f t="shared" si="47"/>
        <v>#VALUE!</v>
      </c>
      <c r="AI60" s="645"/>
      <c r="AJ60" s="549" t="s">
        <v>615</v>
      </c>
      <c r="AK60" s="416" t="s">
        <v>615</v>
      </c>
      <c r="AL60" s="416" t="s">
        <v>615</v>
      </c>
      <c r="AM60" s="549" t="e">
        <f t="shared" si="49"/>
        <v>#VALUE!</v>
      </c>
      <c r="AN60" s="645"/>
      <c r="AO60" s="549" t="s">
        <v>615</v>
      </c>
      <c r="AP60" s="416" t="s">
        <v>615</v>
      </c>
      <c r="AQ60" s="416" t="s">
        <v>615</v>
      </c>
      <c r="AR60" s="549" t="e">
        <f t="shared" si="51"/>
        <v>#VALUE!</v>
      </c>
      <c r="AS60" s="645"/>
      <c r="AT60" s="557" t="str">
        <f>IFERROR(VLOOKUP($D60,[1]晉欣4度C0615!$D$5:$O$999,10,0),"")</f>
        <v/>
      </c>
      <c r="AU60" s="558" t="str">
        <f>IFERROR(VLOOKUP($D60,[1]晉欣4度C0615!$D$5:$O$999,11,0),"")</f>
        <v/>
      </c>
      <c r="AV60" s="558" t="str">
        <f>IFERROR(VLOOKUP($D60,[1]晉欣4度C0615!$D$5:$O$999,12,0),"")</f>
        <v/>
      </c>
      <c r="AW60" s="549" t="e">
        <f t="shared" si="53"/>
        <v>#VALUE!</v>
      </c>
      <c r="AX60" s="645"/>
      <c r="AZ60" s="398" t="e">
        <f t="shared" si="55"/>
        <v>#N/A</v>
      </c>
      <c r="BA60" s="645"/>
    </row>
    <row r="61" spans="2:53">
      <c r="B61" s="643"/>
      <c r="C61" s="411">
        <v>15</v>
      </c>
      <c r="D61" s="367"/>
      <c r="E61" s="499"/>
      <c r="F61" s="499"/>
      <c r="G61" s="499"/>
      <c r="H61" s="684"/>
      <c r="I61" s="417"/>
      <c r="J61" s="417"/>
      <c r="K61" s="414"/>
      <c r="L61" s="618"/>
      <c r="M61" s="481" t="e">
        <f>RANK(K61, K$47:$K$61)</f>
        <v>#N/A</v>
      </c>
      <c r="N61" s="635"/>
      <c r="O61" s="635"/>
      <c r="P61" s="549" t="s">
        <v>615</v>
      </c>
      <c r="Q61" s="416" t="s">
        <v>615</v>
      </c>
      <c r="R61" s="416" t="s">
        <v>615</v>
      </c>
      <c r="S61" s="549" t="e">
        <f t="shared" si="41"/>
        <v>#VALUE!</v>
      </c>
      <c r="T61" s="646"/>
      <c r="U61" s="549" t="s">
        <v>615</v>
      </c>
      <c r="V61" s="416" t="s">
        <v>615</v>
      </c>
      <c r="W61" s="416" t="s">
        <v>615</v>
      </c>
      <c r="X61" s="549" t="e">
        <f t="shared" si="43"/>
        <v>#VALUE!</v>
      </c>
      <c r="Y61" s="646"/>
      <c r="Z61" s="549" t="s">
        <v>615</v>
      </c>
      <c r="AA61" s="416" t="s">
        <v>615</v>
      </c>
      <c r="AB61" s="416" t="s">
        <v>615</v>
      </c>
      <c r="AC61" s="549" t="e">
        <f t="shared" si="45"/>
        <v>#VALUE!</v>
      </c>
      <c r="AD61" s="646"/>
      <c r="AE61" s="549" t="s">
        <v>615</v>
      </c>
      <c r="AF61" s="416" t="s">
        <v>615</v>
      </c>
      <c r="AG61" s="416" t="s">
        <v>615</v>
      </c>
      <c r="AH61" s="549" t="e">
        <f t="shared" si="47"/>
        <v>#VALUE!</v>
      </c>
      <c r="AI61" s="646"/>
      <c r="AJ61" s="549" t="s">
        <v>615</v>
      </c>
      <c r="AK61" s="416" t="s">
        <v>615</v>
      </c>
      <c r="AL61" s="416" t="s">
        <v>615</v>
      </c>
      <c r="AM61" s="549" t="e">
        <f t="shared" si="49"/>
        <v>#VALUE!</v>
      </c>
      <c r="AN61" s="646"/>
      <c r="AO61" s="549" t="s">
        <v>615</v>
      </c>
      <c r="AP61" s="416" t="s">
        <v>615</v>
      </c>
      <c r="AQ61" s="416" t="s">
        <v>615</v>
      </c>
      <c r="AR61" s="549" t="e">
        <f t="shared" si="51"/>
        <v>#VALUE!</v>
      </c>
      <c r="AS61" s="646"/>
      <c r="AT61" s="557" t="str">
        <f>IFERROR(VLOOKUP($D61,[1]晉欣4度C0615!$D$5:$O$999,10,0),"")</f>
        <v/>
      </c>
      <c r="AU61" s="558" t="str">
        <f>IFERROR(VLOOKUP($D61,[1]晉欣4度C0615!$D$5:$O$999,11,0),"")</f>
        <v/>
      </c>
      <c r="AV61" s="558" t="str">
        <f>IFERROR(VLOOKUP($D61,[1]晉欣4度C0615!$D$5:$O$999,12,0),"")</f>
        <v/>
      </c>
      <c r="AW61" s="549" t="e">
        <f t="shared" si="53"/>
        <v>#VALUE!</v>
      </c>
      <c r="AX61" s="646"/>
      <c r="AZ61" s="398" t="e">
        <f t="shared" si="55"/>
        <v>#N/A</v>
      </c>
      <c r="BA61" s="646"/>
    </row>
    <row r="62" spans="2:53" ht="15.75">
      <c r="B62" s="647" t="s">
        <v>163</v>
      </c>
      <c r="C62" s="648"/>
      <c r="D62" s="648"/>
      <c r="E62" s="648"/>
      <c r="F62" s="648"/>
      <c r="G62" s="648"/>
      <c r="H62" s="649"/>
      <c r="I62" s="207"/>
      <c r="J62" s="207"/>
      <c r="K62" s="207"/>
      <c r="L62" s="207"/>
      <c r="M62" s="206"/>
      <c r="N62" s="636" t="s">
        <v>156</v>
      </c>
      <c r="O62" s="636" t="s">
        <v>105</v>
      </c>
      <c r="P62" s="642">
        <f>P42+7</f>
        <v>46189</v>
      </c>
      <c r="Q62" s="643"/>
      <c r="R62" s="643"/>
      <c r="S62" s="643"/>
      <c r="T62" s="643"/>
      <c r="U62" s="639">
        <f>P62+1</f>
        <v>46190</v>
      </c>
      <c r="V62" s="640"/>
      <c r="W62" s="640"/>
      <c r="X62" s="640"/>
      <c r="Y62" s="641"/>
      <c r="Z62" s="639">
        <f>U62+1</f>
        <v>46191</v>
      </c>
      <c r="AA62" s="640"/>
      <c r="AB62" s="640"/>
      <c r="AC62" s="640"/>
      <c r="AD62" s="641"/>
      <c r="AE62" s="639">
        <f>Z62+1</f>
        <v>46192</v>
      </c>
      <c r="AF62" s="640"/>
      <c r="AG62" s="640"/>
      <c r="AH62" s="640"/>
      <c r="AI62" s="641"/>
      <c r="AJ62" s="639">
        <f>AE62+1</f>
        <v>46193</v>
      </c>
      <c r="AK62" s="640"/>
      <c r="AL62" s="640"/>
      <c r="AM62" s="640"/>
      <c r="AN62" s="641"/>
      <c r="AO62" s="639">
        <f>AJ62+1</f>
        <v>46194</v>
      </c>
      <c r="AP62" s="640"/>
      <c r="AQ62" s="640"/>
      <c r="AR62" s="640"/>
      <c r="AS62" s="641"/>
      <c r="AT62" s="639">
        <f>AO62+1</f>
        <v>46195</v>
      </c>
      <c r="AU62" s="640"/>
      <c r="AV62" s="640"/>
      <c r="AW62" s="640"/>
      <c r="AX62" s="641"/>
    </row>
    <row r="63" spans="2:53" ht="15.75">
      <c r="B63" s="650"/>
      <c r="C63" s="650"/>
      <c r="D63" s="650"/>
      <c r="E63" s="650"/>
      <c r="F63" s="650"/>
      <c r="G63" s="650"/>
      <c r="H63" s="650"/>
      <c r="I63" s="204"/>
      <c r="J63" s="204"/>
      <c r="K63" s="204"/>
      <c r="L63" s="204"/>
      <c r="M63" s="205"/>
      <c r="N63" s="638"/>
      <c r="O63" s="638"/>
      <c r="P63" s="642" t="s">
        <v>318</v>
      </c>
      <c r="Q63" s="643"/>
      <c r="R63" s="643"/>
      <c r="S63" s="643"/>
      <c r="T63" s="643"/>
      <c r="U63" s="642" t="s">
        <v>319</v>
      </c>
      <c r="V63" s="643"/>
      <c r="W63" s="643"/>
      <c r="X63" s="643"/>
      <c r="Y63" s="643"/>
      <c r="Z63" s="642" t="s">
        <v>320</v>
      </c>
      <c r="AA63" s="643"/>
      <c r="AB63" s="643"/>
      <c r="AC63" s="643"/>
      <c r="AD63" s="643"/>
      <c r="AE63" s="642" t="s">
        <v>321</v>
      </c>
      <c r="AF63" s="643"/>
      <c r="AG63" s="643"/>
      <c r="AH63" s="643"/>
      <c r="AI63" s="643"/>
      <c r="AJ63" s="642" t="s">
        <v>322</v>
      </c>
      <c r="AK63" s="643"/>
      <c r="AL63" s="643"/>
      <c r="AM63" s="643"/>
      <c r="AN63" s="643"/>
      <c r="AO63" s="642" t="s">
        <v>323</v>
      </c>
      <c r="AP63" s="643"/>
      <c r="AQ63" s="643"/>
      <c r="AR63" s="643"/>
      <c r="AS63" s="643"/>
      <c r="AT63" s="642" t="s">
        <v>324</v>
      </c>
      <c r="AU63" s="643"/>
      <c r="AV63" s="643"/>
      <c r="AW63" s="643"/>
      <c r="AX63" s="643"/>
    </row>
    <row r="64" spans="2:53">
      <c r="B64" s="635" t="s">
        <v>374</v>
      </c>
      <c r="C64" s="635" t="s">
        <v>384</v>
      </c>
      <c r="D64" s="635"/>
      <c r="E64" s="635" t="s">
        <v>375</v>
      </c>
      <c r="F64" s="635"/>
      <c r="G64" s="635"/>
      <c r="H64" s="651" t="s">
        <v>371</v>
      </c>
      <c r="I64" s="635" t="s">
        <v>376</v>
      </c>
      <c r="J64" s="635"/>
      <c r="K64" s="635"/>
      <c r="L64" s="651" t="s">
        <v>371</v>
      </c>
      <c r="M64" s="636" t="s">
        <v>372</v>
      </c>
      <c r="N64" s="635"/>
      <c r="O64" s="635" t="s">
        <v>377</v>
      </c>
      <c r="P64" s="632" t="s">
        <v>373</v>
      </c>
      <c r="Q64" s="633"/>
      <c r="R64" s="633"/>
      <c r="S64" s="634"/>
      <c r="T64" s="635" t="s">
        <v>371</v>
      </c>
      <c r="U64" s="632" t="s">
        <v>373</v>
      </c>
      <c r="V64" s="633"/>
      <c r="W64" s="633"/>
      <c r="X64" s="634"/>
      <c r="Y64" s="635" t="s">
        <v>371</v>
      </c>
      <c r="Z64" s="632" t="s">
        <v>373</v>
      </c>
      <c r="AA64" s="633"/>
      <c r="AB64" s="633"/>
      <c r="AC64" s="634"/>
      <c r="AD64" s="635" t="s">
        <v>371</v>
      </c>
      <c r="AE64" s="632" t="s">
        <v>373</v>
      </c>
      <c r="AF64" s="633"/>
      <c r="AG64" s="633"/>
      <c r="AH64" s="634"/>
      <c r="AI64" s="635" t="s">
        <v>371</v>
      </c>
      <c r="AJ64" s="632" t="s">
        <v>373</v>
      </c>
      <c r="AK64" s="633"/>
      <c r="AL64" s="633"/>
      <c r="AM64" s="634"/>
      <c r="AN64" s="635" t="s">
        <v>371</v>
      </c>
      <c r="AO64" s="632" t="s">
        <v>373</v>
      </c>
      <c r="AP64" s="633"/>
      <c r="AQ64" s="633"/>
      <c r="AR64" s="634"/>
      <c r="AS64" s="635" t="s">
        <v>371</v>
      </c>
      <c r="AT64" s="632" t="s">
        <v>373</v>
      </c>
      <c r="AU64" s="633"/>
      <c r="AV64" s="633"/>
      <c r="AW64" s="634"/>
      <c r="AX64" s="635" t="s">
        <v>371</v>
      </c>
      <c r="BA64" s="635" t="s">
        <v>371</v>
      </c>
    </row>
    <row r="65" spans="2:53">
      <c r="B65" s="635"/>
      <c r="C65" s="635"/>
      <c r="D65" s="635"/>
      <c r="E65" s="635" t="s">
        <v>378</v>
      </c>
      <c r="F65" s="635"/>
      <c r="G65" s="635"/>
      <c r="H65" s="652"/>
      <c r="I65" s="635" t="s">
        <v>378</v>
      </c>
      <c r="J65" s="635"/>
      <c r="K65" s="635"/>
      <c r="L65" s="652"/>
      <c r="M65" s="637"/>
      <c r="N65" s="635"/>
      <c r="O65" s="635"/>
      <c r="P65" s="632" t="s">
        <v>379</v>
      </c>
      <c r="Q65" s="633"/>
      <c r="R65" s="633"/>
      <c r="S65" s="634"/>
      <c r="T65" s="635"/>
      <c r="U65" s="632" t="s">
        <v>379</v>
      </c>
      <c r="V65" s="633"/>
      <c r="W65" s="633"/>
      <c r="X65" s="634"/>
      <c r="Y65" s="635"/>
      <c r="Z65" s="632" t="s">
        <v>379</v>
      </c>
      <c r="AA65" s="633"/>
      <c r="AB65" s="633"/>
      <c r="AC65" s="634"/>
      <c r="AD65" s="635"/>
      <c r="AE65" s="632" t="s">
        <v>379</v>
      </c>
      <c r="AF65" s="633"/>
      <c r="AG65" s="633"/>
      <c r="AH65" s="634"/>
      <c r="AI65" s="635"/>
      <c r="AJ65" s="632" t="s">
        <v>379</v>
      </c>
      <c r="AK65" s="633"/>
      <c r="AL65" s="633"/>
      <c r="AM65" s="634"/>
      <c r="AN65" s="635"/>
      <c r="AO65" s="632" t="s">
        <v>379</v>
      </c>
      <c r="AP65" s="633"/>
      <c r="AQ65" s="633"/>
      <c r="AR65" s="634"/>
      <c r="AS65" s="635"/>
      <c r="AT65" s="632" t="s">
        <v>379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408" t="s">
        <v>380</v>
      </c>
      <c r="F66" s="408" t="s">
        <v>381</v>
      </c>
      <c r="G66" s="408" t="s">
        <v>382</v>
      </c>
      <c r="H66" s="653"/>
      <c r="I66" s="408" t="s">
        <v>380</v>
      </c>
      <c r="J66" s="408" t="s">
        <v>381</v>
      </c>
      <c r="K66" s="408" t="s">
        <v>382</v>
      </c>
      <c r="L66" s="653"/>
      <c r="M66" s="638"/>
      <c r="N66" s="635"/>
      <c r="O66" s="635"/>
      <c r="P66" s="408" t="s">
        <v>380</v>
      </c>
      <c r="Q66" s="408" t="s">
        <v>381</v>
      </c>
      <c r="R66" s="408" t="s">
        <v>382</v>
      </c>
      <c r="S66" s="408" t="s">
        <v>372</v>
      </c>
      <c r="T66" s="635"/>
      <c r="U66" s="408" t="s">
        <v>380</v>
      </c>
      <c r="V66" s="408" t="s">
        <v>381</v>
      </c>
      <c r="W66" s="408" t="s">
        <v>382</v>
      </c>
      <c r="X66" s="408" t="s">
        <v>372</v>
      </c>
      <c r="Y66" s="635"/>
      <c r="Z66" s="408" t="s">
        <v>380</v>
      </c>
      <c r="AA66" s="408" t="s">
        <v>381</v>
      </c>
      <c r="AB66" s="408" t="s">
        <v>382</v>
      </c>
      <c r="AC66" s="408" t="s">
        <v>372</v>
      </c>
      <c r="AD66" s="635"/>
      <c r="AE66" s="408" t="s">
        <v>380</v>
      </c>
      <c r="AF66" s="408" t="s">
        <v>381</v>
      </c>
      <c r="AG66" s="408" t="s">
        <v>382</v>
      </c>
      <c r="AH66" s="408" t="s">
        <v>372</v>
      </c>
      <c r="AI66" s="635"/>
      <c r="AJ66" s="408" t="s">
        <v>380</v>
      </c>
      <c r="AK66" s="408" t="s">
        <v>381</v>
      </c>
      <c r="AL66" s="408" t="s">
        <v>382</v>
      </c>
      <c r="AM66" s="408" t="s">
        <v>372</v>
      </c>
      <c r="AN66" s="635"/>
      <c r="AO66" s="408" t="s">
        <v>380</v>
      </c>
      <c r="AP66" s="408" t="s">
        <v>381</v>
      </c>
      <c r="AQ66" s="408" t="s">
        <v>382</v>
      </c>
      <c r="AR66" s="408" t="s">
        <v>372</v>
      </c>
      <c r="AS66" s="635"/>
      <c r="AT66" s="408" t="s">
        <v>380</v>
      </c>
      <c r="AU66" s="408" t="s">
        <v>381</v>
      </c>
      <c r="AV66" s="408" t="s">
        <v>382</v>
      </c>
      <c r="AW66" s="408" t="s">
        <v>372</v>
      </c>
      <c r="AX66" s="635"/>
      <c r="AZ66" s="397" t="s">
        <v>372</v>
      </c>
      <c r="BA66" s="635"/>
    </row>
    <row r="67" spans="2:53">
      <c r="B67" s="683" t="s">
        <v>383</v>
      </c>
      <c r="C67" s="411">
        <v>1</v>
      </c>
      <c r="D67" s="367"/>
      <c r="E67" s="417"/>
      <c r="F67" s="417"/>
      <c r="G67" s="417"/>
      <c r="H67" s="679" t="e">
        <f>AVERAGE(G67:G81)</f>
        <v>#DIV/0!</v>
      </c>
      <c r="I67" s="413" t="str">
        <f t="shared" ref="I67:I80" si="57">IFERROR(AVERAGE(P67,U67,Z67,AE67,AJ67,AO67,AT67),"-")</f>
        <v>-</v>
      </c>
      <c r="J67" s="413" t="str">
        <f t="shared" ref="J67:J80" si="58">IFERROR(AVERAGE(Q67,V67,AA67,AF67,AK67,AP67,AU67),"-")</f>
        <v>-</v>
      </c>
      <c r="K67" s="199" t="str">
        <f t="shared" ref="K67:K80" si="59">IFERROR(AVERAGE(R67,W67,AB67,AG67,AL67,AQ67,AV67),"-")</f>
        <v>-</v>
      </c>
      <c r="L67" s="616" t="str">
        <f>IFERROR(AVERAGE(K67:K81),"-")</f>
        <v>-</v>
      </c>
      <c r="M67" s="417" t="e">
        <f>RANK(K67, K$67:$K$81)</f>
        <v>#VALUE!</v>
      </c>
      <c r="N67" s="635"/>
      <c r="O67" s="635"/>
      <c r="P67" s="482"/>
      <c r="Q67" s="416"/>
      <c r="R67" s="416"/>
      <c r="S67" s="482"/>
      <c r="T67" s="644"/>
      <c r="U67" s="482"/>
      <c r="V67" s="416"/>
      <c r="W67" s="416"/>
      <c r="X67" s="482"/>
      <c r="Y67" s="644"/>
      <c r="Z67" s="482"/>
      <c r="AA67" s="416"/>
      <c r="AB67" s="416"/>
      <c r="AC67" s="482"/>
      <c r="AD67" s="644"/>
      <c r="AE67" s="482"/>
      <c r="AF67" s="416"/>
      <c r="AG67" s="416"/>
      <c r="AH67" s="482"/>
      <c r="AI67" s="644"/>
      <c r="AJ67" s="482"/>
      <c r="AK67" s="416"/>
      <c r="AL67" s="416"/>
      <c r="AM67" s="482"/>
      <c r="AN67" s="644"/>
      <c r="AO67" s="482"/>
      <c r="AP67" s="416"/>
      <c r="AQ67" s="416"/>
      <c r="AR67" s="482"/>
      <c r="AS67" s="644"/>
      <c r="AT67" s="482"/>
      <c r="AU67" s="416"/>
      <c r="AV67" s="416"/>
      <c r="AW67" s="482"/>
      <c r="AX67" s="644"/>
      <c r="AZ67" s="398" t="e">
        <f t="shared" ref="AZ67:AZ81" si="60">RANK(AY67, AY$67:AY$81)</f>
        <v>#N/A</v>
      </c>
      <c r="BA67" s="644" t="e">
        <f t="shared" ref="BA67" si="61">AVERAGE(AY67:AY81)</f>
        <v>#DIV/0!</v>
      </c>
    </row>
    <row r="68" spans="2:53">
      <c r="B68" s="643"/>
      <c r="C68" s="411">
        <v>2</v>
      </c>
      <c r="D68" s="367"/>
      <c r="E68" s="417"/>
      <c r="F68" s="417"/>
      <c r="G68" s="417"/>
      <c r="H68" s="680"/>
      <c r="I68" s="413" t="str">
        <f t="shared" si="57"/>
        <v>-</v>
      </c>
      <c r="J68" s="413" t="str">
        <f t="shared" si="58"/>
        <v>-</v>
      </c>
      <c r="K68" s="199" t="str">
        <f t="shared" si="59"/>
        <v>-</v>
      </c>
      <c r="L68" s="617"/>
      <c r="M68" s="417" t="e">
        <f>RANK(K68, K$67:$K$81)</f>
        <v>#VALUE!</v>
      </c>
      <c r="N68" s="635"/>
      <c r="O68" s="635"/>
      <c r="P68" s="482"/>
      <c r="Q68" s="416"/>
      <c r="R68" s="416"/>
      <c r="S68" s="482"/>
      <c r="T68" s="645"/>
      <c r="U68" s="482"/>
      <c r="V68" s="416"/>
      <c r="W68" s="416"/>
      <c r="X68" s="482"/>
      <c r="Y68" s="645"/>
      <c r="Z68" s="482"/>
      <c r="AA68" s="416"/>
      <c r="AB68" s="416"/>
      <c r="AC68" s="482"/>
      <c r="AD68" s="645"/>
      <c r="AE68" s="482"/>
      <c r="AF68" s="416"/>
      <c r="AG68" s="416"/>
      <c r="AH68" s="482"/>
      <c r="AI68" s="645"/>
      <c r="AJ68" s="482"/>
      <c r="AK68" s="416"/>
      <c r="AL68" s="416"/>
      <c r="AM68" s="482"/>
      <c r="AN68" s="645"/>
      <c r="AO68" s="482"/>
      <c r="AP68" s="416"/>
      <c r="AQ68" s="416"/>
      <c r="AR68" s="482"/>
      <c r="AS68" s="645"/>
      <c r="AT68" s="482"/>
      <c r="AU68" s="416"/>
      <c r="AV68" s="416"/>
      <c r="AW68" s="482"/>
      <c r="AX68" s="645"/>
      <c r="AZ68" s="398" t="e">
        <f t="shared" si="60"/>
        <v>#N/A</v>
      </c>
      <c r="BA68" s="645"/>
    </row>
    <row r="69" spans="2:53">
      <c r="B69" s="643"/>
      <c r="C69" s="411">
        <v>3</v>
      </c>
      <c r="D69" s="367"/>
      <c r="E69" s="417"/>
      <c r="F69" s="417"/>
      <c r="G69" s="417"/>
      <c r="H69" s="680"/>
      <c r="I69" s="413" t="str">
        <f t="shared" si="57"/>
        <v>-</v>
      </c>
      <c r="J69" s="413" t="str">
        <f t="shared" si="58"/>
        <v>-</v>
      </c>
      <c r="K69" s="199" t="str">
        <f t="shared" si="59"/>
        <v>-</v>
      </c>
      <c r="L69" s="617"/>
      <c r="M69" s="417" t="e">
        <f>RANK(K69, K$67:$K$81)</f>
        <v>#VALUE!</v>
      </c>
      <c r="N69" s="635"/>
      <c r="O69" s="635"/>
      <c r="P69" s="482"/>
      <c r="Q69" s="416"/>
      <c r="R69" s="416"/>
      <c r="S69" s="482"/>
      <c r="T69" s="645"/>
      <c r="U69" s="482"/>
      <c r="V69" s="416"/>
      <c r="W69" s="416"/>
      <c r="X69" s="482"/>
      <c r="Y69" s="645"/>
      <c r="Z69" s="482"/>
      <c r="AA69" s="416"/>
      <c r="AB69" s="416"/>
      <c r="AC69" s="482"/>
      <c r="AD69" s="645"/>
      <c r="AE69" s="482"/>
      <c r="AF69" s="416"/>
      <c r="AG69" s="416"/>
      <c r="AH69" s="482"/>
      <c r="AI69" s="645"/>
      <c r="AJ69" s="482"/>
      <c r="AK69" s="416"/>
      <c r="AL69" s="416"/>
      <c r="AM69" s="482"/>
      <c r="AN69" s="645"/>
      <c r="AO69" s="482"/>
      <c r="AP69" s="416"/>
      <c r="AQ69" s="416"/>
      <c r="AR69" s="482"/>
      <c r="AS69" s="645"/>
      <c r="AT69" s="482"/>
      <c r="AU69" s="416"/>
      <c r="AV69" s="416"/>
      <c r="AW69" s="482"/>
      <c r="AX69" s="645"/>
      <c r="AZ69" s="398" t="e">
        <f t="shared" si="60"/>
        <v>#N/A</v>
      </c>
      <c r="BA69" s="645"/>
    </row>
    <row r="70" spans="2:53">
      <c r="B70" s="643"/>
      <c r="C70" s="411">
        <v>4</v>
      </c>
      <c r="D70" s="367"/>
      <c r="E70" s="417"/>
      <c r="F70" s="417"/>
      <c r="G70" s="417"/>
      <c r="H70" s="680"/>
      <c r="I70" s="413" t="str">
        <f t="shared" si="57"/>
        <v>-</v>
      </c>
      <c r="J70" s="413" t="str">
        <f t="shared" si="58"/>
        <v>-</v>
      </c>
      <c r="K70" s="199" t="str">
        <f t="shared" si="59"/>
        <v>-</v>
      </c>
      <c r="L70" s="617"/>
      <c r="M70" s="417" t="e">
        <f>RANK(K70, K$67:$K$81)</f>
        <v>#VALUE!</v>
      </c>
      <c r="N70" s="635"/>
      <c r="O70" s="635"/>
      <c r="P70" s="482"/>
      <c r="Q70" s="416"/>
      <c r="R70" s="416"/>
      <c r="S70" s="482"/>
      <c r="T70" s="645"/>
      <c r="U70" s="482"/>
      <c r="V70" s="416"/>
      <c r="W70" s="416"/>
      <c r="X70" s="482"/>
      <c r="Y70" s="645"/>
      <c r="Z70" s="482"/>
      <c r="AA70" s="416"/>
      <c r="AB70" s="416"/>
      <c r="AC70" s="482"/>
      <c r="AD70" s="645"/>
      <c r="AE70" s="482"/>
      <c r="AF70" s="416"/>
      <c r="AG70" s="416"/>
      <c r="AH70" s="482"/>
      <c r="AI70" s="645"/>
      <c r="AJ70" s="482"/>
      <c r="AK70" s="416"/>
      <c r="AL70" s="416"/>
      <c r="AM70" s="482"/>
      <c r="AN70" s="645"/>
      <c r="AO70" s="482"/>
      <c r="AP70" s="416"/>
      <c r="AQ70" s="416"/>
      <c r="AR70" s="482"/>
      <c r="AS70" s="645"/>
      <c r="AT70" s="482"/>
      <c r="AU70" s="416"/>
      <c r="AV70" s="416"/>
      <c r="AW70" s="482"/>
      <c r="AX70" s="645"/>
      <c r="AZ70" s="398" t="e">
        <f t="shared" si="60"/>
        <v>#N/A</v>
      </c>
      <c r="BA70" s="645"/>
    </row>
    <row r="71" spans="2:53">
      <c r="B71" s="643"/>
      <c r="C71" s="411">
        <v>5</v>
      </c>
      <c r="D71" s="367"/>
      <c r="E71" s="417"/>
      <c r="F71" s="417"/>
      <c r="G71" s="417"/>
      <c r="H71" s="680"/>
      <c r="I71" s="413" t="str">
        <f t="shared" si="57"/>
        <v>-</v>
      </c>
      <c r="J71" s="413" t="str">
        <f t="shared" si="58"/>
        <v>-</v>
      </c>
      <c r="K71" s="199" t="str">
        <f t="shared" si="59"/>
        <v>-</v>
      </c>
      <c r="L71" s="617"/>
      <c r="M71" s="417" t="e">
        <f>RANK(K71, K$67:$K$81)</f>
        <v>#VALUE!</v>
      </c>
      <c r="N71" s="635"/>
      <c r="O71" s="635"/>
      <c r="P71" s="482"/>
      <c r="Q71" s="416"/>
      <c r="R71" s="416"/>
      <c r="S71" s="482"/>
      <c r="T71" s="645"/>
      <c r="U71" s="482"/>
      <c r="V71" s="416"/>
      <c r="W71" s="416"/>
      <c r="X71" s="482"/>
      <c r="Y71" s="645"/>
      <c r="Z71" s="482"/>
      <c r="AA71" s="416"/>
      <c r="AB71" s="416"/>
      <c r="AC71" s="482"/>
      <c r="AD71" s="645"/>
      <c r="AE71" s="482"/>
      <c r="AF71" s="416"/>
      <c r="AG71" s="416"/>
      <c r="AH71" s="482"/>
      <c r="AI71" s="645"/>
      <c r="AJ71" s="482"/>
      <c r="AK71" s="416"/>
      <c r="AL71" s="416"/>
      <c r="AM71" s="482"/>
      <c r="AN71" s="645"/>
      <c r="AO71" s="482"/>
      <c r="AP71" s="416"/>
      <c r="AQ71" s="416"/>
      <c r="AR71" s="482"/>
      <c r="AS71" s="645"/>
      <c r="AT71" s="482"/>
      <c r="AU71" s="416"/>
      <c r="AV71" s="416"/>
      <c r="AW71" s="482"/>
      <c r="AX71" s="645"/>
      <c r="AZ71" s="398" t="e">
        <f t="shared" si="60"/>
        <v>#N/A</v>
      </c>
      <c r="BA71" s="645"/>
    </row>
    <row r="72" spans="2:53">
      <c r="B72" s="643"/>
      <c r="C72" s="411">
        <v>6</v>
      </c>
      <c r="D72" s="367"/>
      <c r="E72" s="417"/>
      <c r="F72" s="417"/>
      <c r="G72" s="417"/>
      <c r="H72" s="680"/>
      <c r="I72" s="413" t="str">
        <f t="shared" si="57"/>
        <v>-</v>
      </c>
      <c r="J72" s="413" t="str">
        <f t="shared" si="58"/>
        <v>-</v>
      </c>
      <c r="K72" s="199" t="str">
        <f t="shared" si="59"/>
        <v>-</v>
      </c>
      <c r="L72" s="617"/>
      <c r="M72" s="417" t="e">
        <f>RANK(K72, K$67:$K$81)</f>
        <v>#VALUE!</v>
      </c>
      <c r="N72" s="635"/>
      <c r="O72" s="635"/>
      <c r="P72" s="482"/>
      <c r="Q72" s="416"/>
      <c r="R72" s="416"/>
      <c r="S72" s="482"/>
      <c r="T72" s="645"/>
      <c r="U72" s="482"/>
      <c r="V72" s="416"/>
      <c r="W72" s="416"/>
      <c r="X72" s="482"/>
      <c r="Y72" s="645"/>
      <c r="Z72" s="482"/>
      <c r="AA72" s="416"/>
      <c r="AB72" s="416"/>
      <c r="AC72" s="482"/>
      <c r="AD72" s="645"/>
      <c r="AE72" s="482"/>
      <c r="AF72" s="416"/>
      <c r="AG72" s="416"/>
      <c r="AH72" s="482"/>
      <c r="AI72" s="645"/>
      <c r="AJ72" s="482"/>
      <c r="AK72" s="416"/>
      <c r="AL72" s="416"/>
      <c r="AM72" s="482"/>
      <c r="AN72" s="645"/>
      <c r="AO72" s="482"/>
      <c r="AP72" s="416"/>
      <c r="AQ72" s="416"/>
      <c r="AR72" s="482"/>
      <c r="AS72" s="645"/>
      <c r="AT72" s="482"/>
      <c r="AU72" s="416"/>
      <c r="AV72" s="416"/>
      <c r="AW72" s="482"/>
      <c r="AX72" s="645"/>
      <c r="AZ72" s="398" t="e">
        <f t="shared" si="60"/>
        <v>#N/A</v>
      </c>
      <c r="BA72" s="645"/>
    </row>
    <row r="73" spans="2:53">
      <c r="B73" s="643"/>
      <c r="C73" s="411">
        <v>7</v>
      </c>
      <c r="D73" s="367"/>
      <c r="E73" s="417"/>
      <c r="F73" s="417"/>
      <c r="G73" s="417"/>
      <c r="H73" s="680"/>
      <c r="I73" s="413" t="str">
        <f t="shared" si="57"/>
        <v>-</v>
      </c>
      <c r="J73" s="413" t="str">
        <f t="shared" si="58"/>
        <v>-</v>
      </c>
      <c r="K73" s="199" t="str">
        <f t="shared" si="59"/>
        <v>-</v>
      </c>
      <c r="L73" s="617"/>
      <c r="M73" s="417" t="e">
        <f>RANK(K73, K$67:$K$81)</f>
        <v>#VALUE!</v>
      </c>
      <c r="N73" s="635"/>
      <c r="O73" s="635"/>
      <c r="P73" s="482"/>
      <c r="Q73" s="416"/>
      <c r="R73" s="416"/>
      <c r="S73" s="482"/>
      <c r="T73" s="645"/>
      <c r="U73" s="482"/>
      <c r="V73" s="416"/>
      <c r="W73" s="416"/>
      <c r="X73" s="482"/>
      <c r="Y73" s="645"/>
      <c r="Z73" s="482"/>
      <c r="AA73" s="416"/>
      <c r="AB73" s="416"/>
      <c r="AC73" s="482"/>
      <c r="AD73" s="645"/>
      <c r="AE73" s="482"/>
      <c r="AF73" s="416"/>
      <c r="AG73" s="416"/>
      <c r="AH73" s="482"/>
      <c r="AI73" s="645"/>
      <c r="AJ73" s="482"/>
      <c r="AK73" s="416"/>
      <c r="AL73" s="416"/>
      <c r="AM73" s="482"/>
      <c r="AN73" s="645"/>
      <c r="AO73" s="482"/>
      <c r="AP73" s="416"/>
      <c r="AQ73" s="416"/>
      <c r="AR73" s="482"/>
      <c r="AS73" s="645"/>
      <c r="AT73" s="482"/>
      <c r="AU73" s="416"/>
      <c r="AV73" s="416"/>
      <c r="AW73" s="482"/>
      <c r="AX73" s="645"/>
      <c r="AZ73" s="398" t="e">
        <f t="shared" si="60"/>
        <v>#N/A</v>
      </c>
      <c r="BA73" s="645"/>
    </row>
    <row r="74" spans="2:53">
      <c r="B74" s="643"/>
      <c r="C74" s="411">
        <v>8</v>
      </c>
      <c r="D74" s="367"/>
      <c r="E74" s="417"/>
      <c r="F74" s="417"/>
      <c r="G74" s="417"/>
      <c r="H74" s="680"/>
      <c r="I74" s="413" t="str">
        <f t="shared" si="57"/>
        <v>-</v>
      </c>
      <c r="J74" s="413" t="str">
        <f t="shared" si="58"/>
        <v>-</v>
      </c>
      <c r="K74" s="199" t="str">
        <f t="shared" si="59"/>
        <v>-</v>
      </c>
      <c r="L74" s="617"/>
      <c r="M74" s="417" t="e">
        <f>RANK(K74, K$67:$K$81)</f>
        <v>#VALUE!</v>
      </c>
      <c r="N74" s="635"/>
      <c r="O74" s="635"/>
      <c r="P74" s="482"/>
      <c r="Q74" s="416"/>
      <c r="R74" s="416"/>
      <c r="S74" s="482"/>
      <c r="T74" s="645"/>
      <c r="U74" s="482"/>
      <c r="V74" s="416"/>
      <c r="W74" s="416"/>
      <c r="X74" s="482"/>
      <c r="Y74" s="645"/>
      <c r="Z74" s="482"/>
      <c r="AA74" s="416"/>
      <c r="AB74" s="416"/>
      <c r="AC74" s="482"/>
      <c r="AD74" s="645"/>
      <c r="AE74" s="482"/>
      <c r="AF74" s="416"/>
      <c r="AG74" s="416"/>
      <c r="AH74" s="482"/>
      <c r="AI74" s="645"/>
      <c r="AJ74" s="482"/>
      <c r="AK74" s="416"/>
      <c r="AL74" s="416"/>
      <c r="AM74" s="482"/>
      <c r="AN74" s="645"/>
      <c r="AO74" s="482"/>
      <c r="AP74" s="416"/>
      <c r="AQ74" s="416"/>
      <c r="AR74" s="482"/>
      <c r="AS74" s="645"/>
      <c r="AT74" s="482"/>
      <c r="AU74" s="416"/>
      <c r="AV74" s="416"/>
      <c r="AW74" s="482"/>
      <c r="AX74" s="645"/>
      <c r="AZ74" s="398" t="e">
        <f t="shared" si="60"/>
        <v>#N/A</v>
      </c>
      <c r="BA74" s="645"/>
    </row>
    <row r="75" spans="2:53">
      <c r="B75" s="643"/>
      <c r="C75" s="411">
        <v>9</v>
      </c>
      <c r="D75" s="367"/>
      <c r="E75" s="417"/>
      <c r="F75" s="417"/>
      <c r="G75" s="417"/>
      <c r="H75" s="680"/>
      <c r="I75" s="413" t="str">
        <f t="shared" si="57"/>
        <v>-</v>
      </c>
      <c r="J75" s="413" t="str">
        <f t="shared" si="58"/>
        <v>-</v>
      </c>
      <c r="K75" s="199" t="str">
        <f t="shared" si="59"/>
        <v>-</v>
      </c>
      <c r="L75" s="617"/>
      <c r="M75" s="417" t="e">
        <f>RANK(K75, K$67:$K$81)</f>
        <v>#VALUE!</v>
      </c>
      <c r="N75" s="635"/>
      <c r="O75" s="635"/>
      <c r="P75" s="482"/>
      <c r="Q75" s="416"/>
      <c r="R75" s="416"/>
      <c r="S75" s="482"/>
      <c r="T75" s="645"/>
      <c r="U75" s="482"/>
      <c r="V75" s="416"/>
      <c r="W75" s="416"/>
      <c r="X75" s="482"/>
      <c r="Y75" s="645"/>
      <c r="Z75" s="482"/>
      <c r="AA75" s="416"/>
      <c r="AB75" s="416"/>
      <c r="AC75" s="482"/>
      <c r="AD75" s="645"/>
      <c r="AE75" s="482"/>
      <c r="AF75" s="416"/>
      <c r="AG75" s="416"/>
      <c r="AH75" s="482"/>
      <c r="AI75" s="645"/>
      <c r="AJ75" s="482"/>
      <c r="AK75" s="416"/>
      <c r="AL75" s="416"/>
      <c r="AM75" s="482"/>
      <c r="AN75" s="645"/>
      <c r="AO75" s="482"/>
      <c r="AP75" s="416"/>
      <c r="AQ75" s="416"/>
      <c r="AR75" s="482"/>
      <c r="AS75" s="645"/>
      <c r="AT75" s="482"/>
      <c r="AU75" s="416"/>
      <c r="AV75" s="416"/>
      <c r="AW75" s="482"/>
      <c r="AX75" s="645"/>
      <c r="AZ75" s="398" t="e">
        <f t="shared" si="60"/>
        <v>#N/A</v>
      </c>
      <c r="BA75" s="645"/>
    </row>
    <row r="76" spans="2:53">
      <c r="B76" s="643"/>
      <c r="C76" s="411">
        <v>10</v>
      </c>
      <c r="D76" s="367"/>
      <c r="E76" s="417"/>
      <c r="F76" s="417"/>
      <c r="G76" s="417"/>
      <c r="H76" s="680"/>
      <c r="I76" s="413" t="str">
        <f t="shared" si="57"/>
        <v>-</v>
      </c>
      <c r="J76" s="413" t="str">
        <f t="shared" si="58"/>
        <v>-</v>
      </c>
      <c r="K76" s="199" t="str">
        <f t="shared" si="59"/>
        <v>-</v>
      </c>
      <c r="L76" s="617"/>
      <c r="M76" s="417" t="e">
        <f>RANK(K76, K$67:$K$81)</f>
        <v>#VALUE!</v>
      </c>
      <c r="N76" s="635"/>
      <c r="O76" s="635"/>
      <c r="P76" s="482"/>
      <c r="Q76" s="416"/>
      <c r="R76" s="416"/>
      <c r="S76" s="482"/>
      <c r="T76" s="645"/>
      <c r="U76" s="482"/>
      <c r="V76" s="416"/>
      <c r="W76" s="416"/>
      <c r="X76" s="482"/>
      <c r="Y76" s="645"/>
      <c r="Z76" s="482"/>
      <c r="AA76" s="416"/>
      <c r="AB76" s="416"/>
      <c r="AC76" s="482"/>
      <c r="AD76" s="645"/>
      <c r="AE76" s="482"/>
      <c r="AF76" s="416"/>
      <c r="AG76" s="416"/>
      <c r="AH76" s="482"/>
      <c r="AI76" s="645"/>
      <c r="AJ76" s="482"/>
      <c r="AK76" s="416"/>
      <c r="AL76" s="416"/>
      <c r="AM76" s="482"/>
      <c r="AN76" s="645"/>
      <c r="AO76" s="482"/>
      <c r="AP76" s="416"/>
      <c r="AQ76" s="416"/>
      <c r="AR76" s="482"/>
      <c r="AS76" s="645"/>
      <c r="AT76" s="482"/>
      <c r="AU76" s="416"/>
      <c r="AV76" s="416"/>
      <c r="AW76" s="482"/>
      <c r="AX76" s="645"/>
      <c r="AZ76" s="398" t="e">
        <f t="shared" si="60"/>
        <v>#N/A</v>
      </c>
      <c r="BA76" s="645"/>
    </row>
    <row r="77" spans="2:53">
      <c r="B77" s="643"/>
      <c r="C77" s="411">
        <v>11</v>
      </c>
      <c r="D77" s="367"/>
      <c r="E77" s="417"/>
      <c r="F77" s="417"/>
      <c r="G77" s="417"/>
      <c r="H77" s="680"/>
      <c r="I77" s="413" t="str">
        <f t="shared" si="57"/>
        <v>-</v>
      </c>
      <c r="J77" s="413" t="str">
        <f t="shared" si="58"/>
        <v>-</v>
      </c>
      <c r="K77" s="199" t="str">
        <f t="shared" si="59"/>
        <v>-</v>
      </c>
      <c r="L77" s="617"/>
      <c r="M77" s="417" t="e">
        <f>RANK(K77, K$67:$K$81)</f>
        <v>#VALUE!</v>
      </c>
      <c r="N77" s="635"/>
      <c r="O77" s="635"/>
      <c r="P77" s="482"/>
      <c r="Q77" s="416"/>
      <c r="R77" s="416"/>
      <c r="S77" s="482"/>
      <c r="T77" s="645"/>
      <c r="U77" s="482"/>
      <c r="V77" s="416"/>
      <c r="W77" s="416"/>
      <c r="X77" s="482"/>
      <c r="Y77" s="645"/>
      <c r="Z77" s="482"/>
      <c r="AA77" s="416"/>
      <c r="AB77" s="416"/>
      <c r="AC77" s="482"/>
      <c r="AD77" s="645"/>
      <c r="AE77" s="482"/>
      <c r="AF77" s="416"/>
      <c r="AG77" s="416"/>
      <c r="AH77" s="482"/>
      <c r="AI77" s="645"/>
      <c r="AJ77" s="482"/>
      <c r="AK77" s="416"/>
      <c r="AL77" s="416"/>
      <c r="AM77" s="482"/>
      <c r="AN77" s="645"/>
      <c r="AO77" s="482"/>
      <c r="AP77" s="416"/>
      <c r="AQ77" s="416"/>
      <c r="AR77" s="482"/>
      <c r="AS77" s="645"/>
      <c r="AT77" s="482"/>
      <c r="AU77" s="416"/>
      <c r="AV77" s="416"/>
      <c r="AW77" s="482"/>
      <c r="AX77" s="645"/>
      <c r="AZ77" s="398" t="e">
        <f t="shared" si="60"/>
        <v>#N/A</v>
      </c>
      <c r="BA77" s="645"/>
    </row>
    <row r="78" spans="2:53">
      <c r="B78" s="643"/>
      <c r="C78" s="411">
        <v>12</v>
      </c>
      <c r="D78" s="367"/>
      <c r="E78" s="417"/>
      <c r="F78" s="417"/>
      <c r="G78" s="417"/>
      <c r="H78" s="680"/>
      <c r="I78" s="413" t="str">
        <f t="shared" si="57"/>
        <v>-</v>
      </c>
      <c r="J78" s="413" t="str">
        <f t="shared" si="58"/>
        <v>-</v>
      </c>
      <c r="K78" s="199" t="str">
        <f t="shared" si="59"/>
        <v>-</v>
      </c>
      <c r="L78" s="617"/>
      <c r="M78" s="417" t="e">
        <f>RANK(K78, K$67:$K$81)</f>
        <v>#VALUE!</v>
      </c>
      <c r="N78" s="635"/>
      <c r="O78" s="635"/>
      <c r="P78" s="482"/>
      <c r="Q78" s="416"/>
      <c r="R78" s="416"/>
      <c r="S78" s="482"/>
      <c r="T78" s="645"/>
      <c r="U78" s="482"/>
      <c r="V78" s="416"/>
      <c r="W78" s="416"/>
      <c r="X78" s="482"/>
      <c r="Y78" s="645"/>
      <c r="Z78" s="482"/>
      <c r="AA78" s="416"/>
      <c r="AB78" s="416"/>
      <c r="AC78" s="482"/>
      <c r="AD78" s="645"/>
      <c r="AE78" s="482"/>
      <c r="AF78" s="416"/>
      <c r="AG78" s="416"/>
      <c r="AH78" s="482"/>
      <c r="AI78" s="645"/>
      <c r="AJ78" s="482"/>
      <c r="AK78" s="416"/>
      <c r="AL78" s="416"/>
      <c r="AM78" s="482"/>
      <c r="AN78" s="645"/>
      <c r="AO78" s="482"/>
      <c r="AP78" s="416"/>
      <c r="AQ78" s="416"/>
      <c r="AR78" s="482"/>
      <c r="AS78" s="645"/>
      <c r="AT78" s="482"/>
      <c r="AU78" s="416"/>
      <c r="AV78" s="416"/>
      <c r="AW78" s="482"/>
      <c r="AX78" s="645"/>
      <c r="AZ78" s="398" t="e">
        <f t="shared" si="60"/>
        <v>#N/A</v>
      </c>
      <c r="BA78" s="645"/>
    </row>
    <row r="79" spans="2:53">
      <c r="B79" s="643"/>
      <c r="C79" s="411">
        <v>13</v>
      </c>
      <c r="D79" s="367"/>
      <c r="E79" s="417"/>
      <c r="F79" s="417"/>
      <c r="G79" s="417"/>
      <c r="H79" s="680"/>
      <c r="I79" s="413" t="str">
        <f t="shared" si="57"/>
        <v>-</v>
      </c>
      <c r="J79" s="413" t="str">
        <f t="shared" si="58"/>
        <v>-</v>
      </c>
      <c r="K79" s="199" t="str">
        <f t="shared" si="59"/>
        <v>-</v>
      </c>
      <c r="L79" s="617"/>
      <c r="M79" s="417" t="e">
        <f>RANK(K79, K$67:$K$81)</f>
        <v>#VALUE!</v>
      </c>
      <c r="N79" s="635"/>
      <c r="O79" s="635"/>
      <c r="P79" s="482"/>
      <c r="Q79" s="416"/>
      <c r="R79" s="416"/>
      <c r="S79" s="482"/>
      <c r="T79" s="645"/>
      <c r="U79" s="482"/>
      <c r="V79" s="416"/>
      <c r="W79" s="416"/>
      <c r="X79" s="482"/>
      <c r="Y79" s="645"/>
      <c r="Z79" s="482"/>
      <c r="AA79" s="416"/>
      <c r="AB79" s="416"/>
      <c r="AC79" s="482"/>
      <c r="AD79" s="645"/>
      <c r="AE79" s="482"/>
      <c r="AF79" s="416"/>
      <c r="AG79" s="416"/>
      <c r="AH79" s="482"/>
      <c r="AI79" s="645"/>
      <c r="AJ79" s="482"/>
      <c r="AK79" s="416"/>
      <c r="AL79" s="416"/>
      <c r="AM79" s="482"/>
      <c r="AN79" s="645"/>
      <c r="AO79" s="482"/>
      <c r="AP79" s="416"/>
      <c r="AQ79" s="416"/>
      <c r="AR79" s="482"/>
      <c r="AS79" s="645"/>
      <c r="AT79" s="482"/>
      <c r="AU79" s="416"/>
      <c r="AV79" s="416"/>
      <c r="AW79" s="482"/>
      <c r="AX79" s="645"/>
      <c r="AZ79" s="398" t="e">
        <f t="shared" si="60"/>
        <v>#N/A</v>
      </c>
      <c r="BA79" s="645"/>
    </row>
    <row r="80" spans="2:53">
      <c r="B80" s="643"/>
      <c r="C80" s="411">
        <v>14</v>
      </c>
      <c r="D80" s="367"/>
      <c r="E80" s="417"/>
      <c r="F80" s="417"/>
      <c r="G80" s="417"/>
      <c r="H80" s="680"/>
      <c r="I80" s="413" t="str">
        <f t="shared" si="57"/>
        <v>-</v>
      </c>
      <c r="J80" s="413" t="str">
        <f t="shared" si="58"/>
        <v>-</v>
      </c>
      <c r="K80" s="199" t="str">
        <f t="shared" si="59"/>
        <v>-</v>
      </c>
      <c r="L80" s="617"/>
      <c r="M80" s="417" t="e">
        <f>RANK(K80, K$67:$K$81)</f>
        <v>#VALUE!</v>
      </c>
      <c r="N80" s="635"/>
      <c r="O80" s="635"/>
      <c r="P80" s="482"/>
      <c r="Q80" s="416"/>
      <c r="R80" s="416"/>
      <c r="S80" s="482"/>
      <c r="T80" s="645"/>
      <c r="U80" s="482"/>
      <c r="V80" s="416"/>
      <c r="W80" s="416"/>
      <c r="X80" s="482"/>
      <c r="Y80" s="645"/>
      <c r="Z80" s="482"/>
      <c r="AA80" s="416"/>
      <c r="AB80" s="416"/>
      <c r="AC80" s="482"/>
      <c r="AD80" s="645"/>
      <c r="AE80" s="482"/>
      <c r="AF80" s="416"/>
      <c r="AG80" s="416"/>
      <c r="AH80" s="482"/>
      <c r="AI80" s="645"/>
      <c r="AJ80" s="482"/>
      <c r="AK80" s="416"/>
      <c r="AL80" s="416"/>
      <c r="AM80" s="482"/>
      <c r="AN80" s="645"/>
      <c r="AO80" s="482"/>
      <c r="AP80" s="416"/>
      <c r="AQ80" s="416"/>
      <c r="AR80" s="482"/>
      <c r="AS80" s="645"/>
      <c r="AT80" s="482"/>
      <c r="AU80" s="416"/>
      <c r="AV80" s="416"/>
      <c r="AW80" s="482"/>
      <c r="AX80" s="645"/>
      <c r="AZ80" s="398" t="e">
        <f t="shared" si="60"/>
        <v>#N/A</v>
      </c>
      <c r="BA80" s="645"/>
    </row>
    <row r="81" spans="2:53">
      <c r="B81" s="643"/>
      <c r="C81" s="411">
        <v>15</v>
      </c>
      <c r="D81" s="367"/>
      <c r="E81" s="417"/>
      <c r="F81" s="417"/>
      <c r="G81" s="417"/>
      <c r="H81" s="684"/>
      <c r="I81" s="417"/>
      <c r="J81" s="417"/>
      <c r="K81" s="414"/>
      <c r="L81" s="618"/>
      <c r="M81" s="417" t="e">
        <f>RANK(K81, K$67:$K$81)</f>
        <v>#N/A</v>
      </c>
      <c r="N81" s="635"/>
      <c r="O81" s="635"/>
      <c r="P81" s="482"/>
      <c r="Q81" s="416"/>
      <c r="R81" s="416"/>
      <c r="S81" s="482"/>
      <c r="T81" s="646"/>
      <c r="U81" s="482"/>
      <c r="V81" s="416"/>
      <c r="W81" s="416"/>
      <c r="X81" s="482"/>
      <c r="Y81" s="646"/>
      <c r="Z81" s="482"/>
      <c r="AA81" s="416"/>
      <c r="AB81" s="416"/>
      <c r="AC81" s="482"/>
      <c r="AD81" s="646"/>
      <c r="AE81" s="482"/>
      <c r="AF81" s="416"/>
      <c r="AG81" s="416"/>
      <c r="AH81" s="482"/>
      <c r="AI81" s="646"/>
      <c r="AJ81" s="482"/>
      <c r="AK81" s="416"/>
      <c r="AL81" s="416"/>
      <c r="AM81" s="482"/>
      <c r="AN81" s="646"/>
      <c r="AO81" s="482"/>
      <c r="AP81" s="416"/>
      <c r="AQ81" s="416"/>
      <c r="AR81" s="482"/>
      <c r="AS81" s="646"/>
      <c r="AT81" s="482"/>
      <c r="AU81" s="416"/>
      <c r="AV81" s="416"/>
      <c r="AW81" s="482"/>
      <c r="AX81" s="646"/>
      <c r="AZ81" s="398" t="e">
        <f t="shared" si="60"/>
        <v>#N/A</v>
      </c>
      <c r="BA81" s="646"/>
    </row>
    <row r="82" spans="2:53" ht="15.75">
      <c r="B82" s="647" t="s">
        <v>163</v>
      </c>
      <c r="C82" s="648"/>
      <c r="D82" s="648"/>
      <c r="E82" s="648"/>
      <c r="F82" s="648"/>
      <c r="G82" s="648"/>
      <c r="H82" s="649"/>
      <c r="I82" s="207"/>
      <c r="J82" s="207"/>
      <c r="K82" s="207"/>
      <c r="L82" s="207"/>
      <c r="M82" s="206"/>
      <c r="N82" s="636" t="s">
        <v>156</v>
      </c>
      <c r="O82" s="636" t="s">
        <v>105</v>
      </c>
      <c r="P82" s="642">
        <f>P62+7</f>
        <v>46196</v>
      </c>
      <c r="Q82" s="643"/>
      <c r="R82" s="643"/>
      <c r="S82" s="643"/>
      <c r="T82" s="643"/>
      <c r="U82" s="639">
        <f>P82+1</f>
        <v>46197</v>
      </c>
      <c r="V82" s="640"/>
      <c r="W82" s="640"/>
      <c r="X82" s="640"/>
      <c r="Y82" s="641"/>
      <c r="Z82" s="639">
        <f>U82+1</f>
        <v>46198</v>
      </c>
      <c r="AA82" s="640"/>
      <c r="AB82" s="640"/>
      <c r="AC82" s="640"/>
      <c r="AD82" s="641"/>
      <c r="AE82" s="639">
        <f>Z82+1</f>
        <v>46199</v>
      </c>
      <c r="AF82" s="640"/>
      <c r="AG82" s="640"/>
      <c r="AH82" s="640"/>
      <c r="AI82" s="641"/>
      <c r="AJ82" s="639">
        <f>AE82+1</f>
        <v>46200</v>
      </c>
      <c r="AK82" s="640"/>
      <c r="AL82" s="640"/>
      <c r="AM82" s="640"/>
      <c r="AN82" s="641"/>
      <c r="AO82" s="639">
        <f>AJ82+1</f>
        <v>46201</v>
      </c>
      <c r="AP82" s="640"/>
      <c r="AQ82" s="640"/>
      <c r="AR82" s="640"/>
      <c r="AS82" s="641"/>
      <c r="AT82" s="639">
        <f>AO82+1</f>
        <v>46202</v>
      </c>
      <c r="AU82" s="640"/>
      <c r="AV82" s="640"/>
      <c r="AW82" s="640"/>
      <c r="AX82" s="641"/>
    </row>
    <row r="83" spans="2:53" ht="15.75">
      <c r="B83" s="650"/>
      <c r="C83" s="650"/>
      <c r="D83" s="650"/>
      <c r="E83" s="650"/>
      <c r="F83" s="650"/>
      <c r="G83" s="650"/>
      <c r="H83" s="650"/>
      <c r="I83" s="204"/>
      <c r="J83" s="204"/>
      <c r="K83" s="204"/>
      <c r="L83" s="204"/>
      <c r="M83" s="205"/>
      <c r="N83" s="638"/>
      <c r="O83" s="638"/>
      <c r="P83" s="642" t="s">
        <v>318</v>
      </c>
      <c r="Q83" s="643"/>
      <c r="R83" s="643"/>
      <c r="S83" s="643"/>
      <c r="T83" s="643"/>
      <c r="U83" s="642" t="s">
        <v>319</v>
      </c>
      <c r="V83" s="643"/>
      <c r="W83" s="643"/>
      <c r="X83" s="643"/>
      <c r="Y83" s="643"/>
      <c r="Z83" s="642" t="s">
        <v>320</v>
      </c>
      <c r="AA83" s="643"/>
      <c r="AB83" s="643"/>
      <c r="AC83" s="643"/>
      <c r="AD83" s="643"/>
      <c r="AE83" s="642" t="s">
        <v>321</v>
      </c>
      <c r="AF83" s="643"/>
      <c r="AG83" s="643"/>
      <c r="AH83" s="643"/>
      <c r="AI83" s="643"/>
      <c r="AJ83" s="642" t="s">
        <v>322</v>
      </c>
      <c r="AK83" s="643"/>
      <c r="AL83" s="643"/>
      <c r="AM83" s="643"/>
      <c r="AN83" s="643"/>
      <c r="AO83" s="642" t="s">
        <v>323</v>
      </c>
      <c r="AP83" s="643"/>
      <c r="AQ83" s="643"/>
      <c r="AR83" s="643"/>
      <c r="AS83" s="643"/>
      <c r="AT83" s="642" t="s">
        <v>324</v>
      </c>
      <c r="AU83" s="643"/>
      <c r="AV83" s="643"/>
      <c r="AW83" s="643"/>
      <c r="AX83" s="643"/>
    </row>
    <row r="84" spans="2:53">
      <c r="B84" s="635" t="s">
        <v>399</v>
      </c>
      <c r="C84" s="635" t="s">
        <v>384</v>
      </c>
      <c r="D84" s="635"/>
      <c r="E84" s="635" t="s">
        <v>375</v>
      </c>
      <c r="F84" s="635"/>
      <c r="G84" s="635"/>
      <c r="H84" s="651" t="s">
        <v>371</v>
      </c>
      <c r="I84" s="635" t="s">
        <v>376</v>
      </c>
      <c r="J84" s="635"/>
      <c r="K84" s="635"/>
      <c r="L84" s="651" t="s">
        <v>371</v>
      </c>
      <c r="M84" s="636" t="s">
        <v>372</v>
      </c>
      <c r="N84" s="635"/>
      <c r="O84" s="635" t="s">
        <v>377</v>
      </c>
      <c r="P84" s="632" t="s">
        <v>373</v>
      </c>
      <c r="Q84" s="633"/>
      <c r="R84" s="633"/>
      <c r="S84" s="634"/>
      <c r="T84" s="635" t="s">
        <v>371</v>
      </c>
      <c r="U84" s="632" t="s">
        <v>373</v>
      </c>
      <c r="V84" s="633"/>
      <c r="W84" s="633"/>
      <c r="X84" s="634"/>
      <c r="Y84" s="635" t="s">
        <v>371</v>
      </c>
      <c r="Z84" s="632" t="s">
        <v>373</v>
      </c>
      <c r="AA84" s="633"/>
      <c r="AB84" s="633"/>
      <c r="AC84" s="634"/>
      <c r="AD84" s="635" t="s">
        <v>371</v>
      </c>
      <c r="AE84" s="632" t="s">
        <v>373</v>
      </c>
      <c r="AF84" s="633"/>
      <c r="AG84" s="633"/>
      <c r="AH84" s="634"/>
      <c r="AI84" s="635" t="s">
        <v>371</v>
      </c>
      <c r="AJ84" s="632" t="s">
        <v>373</v>
      </c>
      <c r="AK84" s="633"/>
      <c r="AL84" s="633"/>
      <c r="AM84" s="634"/>
      <c r="AN84" s="635" t="s">
        <v>371</v>
      </c>
      <c r="AO84" s="632" t="s">
        <v>373</v>
      </c>
      <c r="AP84" s="633"/>
      <c r="AQ84" s="633"/>
      <c r="AR84" s="634"/>
      <c r="AS84" s="635" t="s">
        <v>371</v>
      </c>
      <c r="AT84" s="632" t="s">
        <v>373</v>
      </c>
      <c r="AU84" s="633"/>
      <c r="AV84" s="633"/>
      <c r="AW84" s="634"/>
      <c r="AX84" s="635" t="s">
        <v>371</v>
      </c>
      <c r="BA84" s="635" t="s">
        <v>371</v>
      </c>
    </row>
    <row r="85" spans="2:53">
      <c r="B85" s="635"/>
      <c r="C85" s="635"/>
      <c r="D85" s="635"/>
      <c r="E85" s="635" t="s">
        <v>378</v>
      </c>
      <c r="F85" s="635"/>
      <c r="G85" s="635"/>
      <c r="H85" s="652"/>
      <c r="I85" s="635" t="s">
        <v>378</v>
      </c>
      <c r="J85" s="635"/>
      <c r="K85" s="635"/>
      <c r="L85" s="652"/>
      <c r="M85" s="637"/>
      <c r="N85" s="635"/>
      <c r="O85" s="635"/>
      <c r="P85" s="632" t="s">
        <v>379</v>
      </c>
      <c r="Q85" s="633"/>
      <c r="R85" s="633"/>
      <c r="S85" s="634"/>
      <c r="T85" s="635"/>
      <c r="U85" s="632" t="s">
        <v>379</v>
      </c>
      <c r="V85" s="633"/>
      <c r="W85" s="633"/>
      <c r="X85" s="634"/>
      <c r="Y85" s="635"/>
      <c r="Z85" s="632" t="s">
        <v>379</v>
      </c>
      <c r="AA85" s="633"/>
      <c r="AB85" s="633"/>
      <c r="AC85" s="634"/>
      <c r="AD85" s="635"/>
      <c r="AE85" s="632" t="s">
        <v>379</v>
      </c>
      <c r="AF85" s="633"/>
      <c r="AG85" s="633"/>
      <c r="AH85" s="634"/>
      <c r="AI85" s="635"/>
      <c r="AJ85" s="632" t="s">
        <v>379</v>
      </c>
      <c r="AK85" s="633"/>
      <c r="AL85" s="633"/>
      <c r="AM85" s="634"/>
      <c r="AN85" s="635"/>
      <c r="AO85" s="632" t="s">
        <v>379</v>
      </c>
      <c r="AP85" s="633"/>
      <c r="AQ85" s="633"/>
      <c r="AR85" s="634"/>
      <c r="AS85" s="635"/>
      <c r="AT85" s="632" t="s">
        <v>379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408" t="s">
        <v>380</v>
      </c>
      <c r="F86" s="408" t="s">
        <v>381</v>
      </c>
      <c r="G86" s="408" t="s">
        <v>382</v>
      </c>
      <c r="H86" s="653"/>
      <c r="I86" s="408" t="s">
        <v>380</v>
      </c>
      <c r="J86" s="408" t="s">
        <v>381</v>
      </c>
      <c r="K86" s="408" t="s">
        <v>382</v>
      </c>
      <c r="L86" s="653"/>
      <c r="M86" s="638"/>
      <c r="N86" s="635"/>
      <c r="O86" s="635"/>
      <c r="P86" s="408" t="s">
        <v>380</v>
      </c>
      <c r="Q86" s="408" t="s">
        <v>381</v>
      </c>
      <c r="R86" s="408" t="s">
        <v>382</v>
      </c>
      <c r="S86" s="408" t="s">
        <v>372</v>
      </c>
      <c r="T86" s="635"/>
      <c r="U86" s="408" t="s">
        <v>380</v>
      </c>
      <c r="V86" s="408" t="s">
        <v>381</v>
      </c>
      <c r="W86" s="408" t="s">
        <v>382</v>
      </c>
      <c r="X86" s="408" t="s">
        <v>372</v>
      </c>
      <c r="Y86" s="635"/>
      <c r="Z86" s="408" t="s">
        <v>380</v>
      </c>
      <c r="AA86" s="408" t="s">
        <v>381</v>
      </c>
      <c r="AB86" s="408" t="s">
        <v>382</v>
      </c>
      <c r="AC86" s="408" t="s">
        <v>372</v>
      </c>
      <c r="AD86" s="635"/>
      <c r="AE86" s="408" t="s">
        <v>380</v>
      </c>
      <c r="AF86" s="408" t="s">
        <v>381</v>
      </c>
      <c r="AG86" s="408" t="s">
        <v>382</v>
      </c>
      <c r="AH86" s="408" t="s">
        <v>372</v>
      </c>
      <c r="AI86" s="635"/>
      <c r="AJ86" s="408" t="s">
        <v>380</v>
      </c>
      <c r="AK86" s="408" t="s">
        <v>381</v>
      </c>
      <c r="AL86" s="408" t="s">
        <v>382</v>
      </c>
      <c r="AM86" s="408" t="s">
        <v>372</v>
      </c>
      <c r="AN86" s="635"/>
      <c r="AO86" s="408" t="s">
        <v>380</v>
      </c>
      <c r="AP86" s="408" t="s">
        <v>381</v>
      </c>
      <c r="AQ86" s="408" t="s">
        <v>382</v>
      </c>
      <c r="AR86" s="408" t="s">
        <v>372</v>
      </c>
      <c r="AS86" s="635"/>
      <c r="AT86" s="408" t="s">
        <v>380</v>
      </c>
      <c r="AU86" s="408" t="s">
        <v>381</v>
      </c>
      <c r="AV86" s="408" t="s">
        <v>382</v>
      </c>
      <c r="AW86" s="408" t="s">
        <v>372</v>
      </c>
      <c r="AX86" s="635"/>
      <c r="AZ86" s="397" t="s">
        <v>372</v>
      </c>
      <c r="BA86" s="635"/>
    </row>
    <row r="87" spans="2:53">
      <c r="B87" s="683" t="s">
        <v>413</v>
      </c>
      <c r="C87" s="411">
        <v>1</v>
      </c>
      <c r="D87" s="367"/>
      <c r="E87" s="417"/>
      <c r="F87" s="417"/>
      <c r="G87" s="417"/>
      <c r="H87" s="679" t="e">
        <f>AVERAGE(G87:G101)</f>
        <v>#DIV/0!</v>
      </c>
      <c r="I87" s="413" t="str">
        <f t="shared" ref="I87:I100" si="62">IFERROR(AVERAGE(P87,U87,Z87,AE87,AJ87,AO87,AT87),"-")</f>
        <v>-</v>
      </c>
      <c r="J87" s="413" t="str">
        <f t="shared" ref="J87:J100" si="63">IFERROR(AVERAGE(Q87,V87,AA87,AF87,AK87,AP87,AU87),"-")</f>
        <v>-</v>
      </c>
      <c r="K87" s="199" t="str">
        <f t="shared" ref="K87:K100" si="64">IFERROR(AVERAGE(R87,W87,AB87,AG87,AL87,AQ87,AV87),"-")</f>
        <v>-</v>
      </c>
      <c r="L87" s="616" t="str">
        <f>IFERROR(AVERAGE(K87:K101),"-")</f>
        <v>-</v>
      </c>
      <c r="M87" s="417" t="e">
        <f>RANK(K87, K$87:$K$101)</f>
        <v>#VALUE!</v>
      </c>
      <c r="N87" s="635"/>
      <c r="O87" s="635"/>
      <c r="P87" s="490"/>
      <c r="Q87" s="416"/>
      <c r="R87" s="416"/>
      <c r="S87" s="490" t="e">
        <f t="shared" ref="S87:S101" si="65">RANK(R87, R$87:R$101)</f>
        <v>#N/A</v>
      </c>
      <c r="T87" s="657" t="e">
        <f t="shared" ref="T87" si="66">AVERAGE(R87:R101)</f>
        <v>#DIV/0!</v>
      </c>
      <c r="U87" s="490"/>
      <c r="V87" s="416"/>
      <c r="W87" s="416"/>
      <c r="X87" s="490"/>
      <c r="Y87" s="657"/>
      <c r="Z87" s="490"/>
      <c r="AA87" s="416"/>
      <c r="AB87" s="416"/>
      <c r="AC87" s="490"/>
      <c r="AD87" s="657"/>
      <c r="AE87" s="490"/>
      <c r="AF87" s="416"/>
      <c r="AG87" s="416"/>
      <c r="AH87" s="490"/>
      <c r="AI87" s="657"/>
      <c r="AJ87" s="490"/>
      <c r="AK87" s="416"/>
      <c r="AL87" s="416"/>
      <c r="AM87" s="490"/>
      <c r="AN87" s="657"/>
      <c r="AO87" s="490"/>
      <c r="AP87" s="416"/>
      <c r="AQ87" s="416"/>
      <c r="AR87" s="490"/>
      <c r="AS87" s="657"/>
      <c r="AT87" s="490"/>
      <c r="AU87" s="416"/>
      <c r="AV87" s="416"/>
      <c r="AW87" s="490"/>
      <c r="AX87" s="657"/>
      <c r="AZ87" s="398" t="e">
        <f t="shared" ref="AZ87:AZ101" si="67">RANK(AY87, AY$87:AY$101)</f>
        <v>#N/A</v>
      </c>
      <c r="BA87" s="657" t="e">
        <f t="shared" ref="BA87" si="68">AVERAGE(AY87:AY101)</f>
        <v>#DIV/0!</v>
      </c>
    </row>
    <row r="88" spans="2:53">
      <c r="B88" s="643"/>
      <c r="C88" s="411">
        <v>2</v>
      </c>
      <c r="D88" s="367"/>
      <c r="E88" s="417"/>
      <c r="F88" s="417"/>
      <c r="G88" s="417"/>
      <c r="H88" s="680"/>
      <c r="I88" s="413" t="str">
        <f t="shared" si="62"/>
        <v>-</v>
      </c>
      <c r="J88" s="413" t="str">
        <f t="shared" si="63"/>
        <v>-</v>
      </c>
      <c r="K88" s="199" t="str">
        <f t="shared" si="64"/>
        <v>-</v>
      </c>
      <c r="L88" s="617"/>
      <c r="M88" s="492" t="e">
        <f>RANK(K88, K$87:$K$101)</f>
        <v>#VALUE!</v>
      </c>
      <c r="N88" s="635"/>
      <c r="O88" s="635"/>
      <c r="P88" s="490"/>
      <c r="Q88" s="416"/>
      <c r="R88" s="416"/>
      <c r="S88" s="490" t="e">
        <f t="shared" si="65"/>
        <v>#N/A</v>
      </c>
      <c r="T88" s="657"/>
      <c r="U88" s="490"/>
      <c r="V88" s="416"/>
      <c r="W88" s="416"/>
      <c r="X88" s="490"/>
      <c r="Y88" s="657"/>
      <c r="Z88" s="490"/>
      <c r="AA88" s="416"/>
      <c r="AB88" s="416"/>
      <c r="AC88" s="490"/>
      <c r="AD88" s="657"/>
      <c r="AE88" s="490"/>
      <c r="AF88" s="416"/>
      <c r="AG88" s="416"/>
      <c r="AH88" s="490"/>
      <c r="AI88" s="657"/>
      <c r="AJ88" s="490"/>
      <c r="AK88" s="416"/>
      <c r="AL88" s="416"/>
      <c r="AM88" s="490"/>
      <c r="AN88" s="657"/>
      <c r="AO88" s="490"/>
      <c r="AP88" s="416"/>
      <c r="AQ88" s="416"/>
      <c r="AR88" s="490"/>
      <c r="AS88" s="657"/>
      <c r="AT88" s="490"/>
      <c r="AU88" s="416"/>
      <c r="AV88" s="416"/>
      <c r="AW88" s="490"/>
      <c r="AX88" s="657"/>
      <c r="AZ88" s="398" t="e">
        <f t="shared" si="67"/>
        <v>#N/A</v>
      </c>
      <c r="BA88" s="657"/>
    </row>
    <row r="89" spans="2:53">
      <c r="B89" s="643"/>
      <c r="C89" s="411">
        <v>3</v>
      </c>
      <c r="D89" s="367"/>
      <c r="E89" s="417"/>
      <c r="F89" s="417"/>
      <c r="G89" s="417"/>
      <c r="H89" s="680"/>
      <c r="I89" s="413" t="str">
        <f t="shared" si="62"/>
        <v>-</v>
      </c>
      <c r="J89" s="413" t="str">
        <f t="shared" si="63"/>
        <v>-</v>
      </c>
      <c r="K89" s="199" t="str">
        <f t="shared" si="64"/>
        <v>-</v>
      </c>
      <c r="L89" s="617"/>
      <c r="M89" s="492" t="e">
        <f>RANK(K89, K$87:$K$101)</f>
        <v>#VALUE!</v>
      </c>
      <c r="N89" s="635"/>
      <c r="O89" s="635"/>
      <c r="P89" s="490"/>
      <c r="Q89" s="416"/>
      <c r="R89" s="416"/>
      <c r="S89" s="490" t="e">
        <f t="shared" si="65"/>
        <v>#N/A</v>
      </c>
      <c r="T89" s="657"/>
      <c r="U89" s="490"/>
      <c r="V89" s="416"/>
      <c r="W89" s="416"/>
      <c r="X89" s="490"/>
      <c r="Y89" s="657"/>
      <c r="Z89" s="490"/>
      <c r="AA89" s="416"/>
      <c r="AB89" s="416"/>
      <c r="AC89" s="490"/>
      <c r="AD89" s="657"/>
      <c r="AE89" s="490"/>
      <c r="AF89" s="416"/>
      <c r="AG89" s="416"/>
      <c r="AH89" s="490"/>
      <c r="AI89" s="657"/>
      <c r="AJ89" s="490"/>
      <c r="AK89" s="416"/>
      <c r="AL89" s="416"/>
      <c r="AM89" s="490"/>
      <c r="AN89" s="657"/>
      <c r="AO89" s="490"/>
      <c r="AP89" s="416"/>
      <c r="AQ89" s="416"/>
      <c r="AR89" s="490"/>
      <c r="AS89" s="657"/>
      <c r="AT89" s="490"/>
      <c r="AU89" s="416"/>
      <c r="AV89" s="416"/>
      <c r="AW89" s="490"/>
      <c r="AX89" s="657"/>
      <c r="AZ89" s="398" t="e">
        <f t="shared" si="67"/>
        <v>#N/A</v>
      </c>
      <c r="BA89" s="657"/>
    </row>
    <row r="90" spans="2:53">
      <c r="B90" s="643"/>
      <c r="C90" s="411">
        <v>4</v>
      </c>
      <c r="D90" s="367"/>
      <c r="E90" s="417"/>
      <c r="F90" s="417"/>
      <c r="G90" s="417"/>
      <c r="H90" s="680"/>
      <c r="I90" s="413" t="str">
        <f t="shared" si="62"/>
        <v>-</v>
      </c>
      <c r="J90" s="413" t="str">
        <f t="shared" si="63"/>
        <v>-</v>
      </c>
      <c r="K90" s="199" t="str">
        <f t="shared" si="64"/>
        <v>-</v>
      </c>
      <c r="L90" s="617"/>
      <c r="M90" s="492" t="e">
        <f>RANK(K90, K$87:$K$101)</f>
        <v>#VALUE!</v>
      </c>
      <c r="N90" s="635"/>
      <c r="O90" s="635"/>
      <c r="P90" s="490"/>
      <c r="Q90" s="416"/>
      <c r="R90" s="416"/>
      <c r="S90" s="490" t="e">
        <f t="shared" si="65"/>
        <v>#N/A</v>
      </c>
      <c r="T90" s="657"/>
      <c r="U90" s="490"/>
      <c r="V90" s="416"/>
      <c r="W90" s="416"/>
      <c r="X90" s="490"/>
      <c r="Y90" s="657"/>
      <c r="Z90" s="490"/>
      <c r="AA90" s="416"/>
      <c r="AB90" s="416"/>
      <c r="AC90" s="490"/>
      <c r="AD90" s="657"/>
      <c r="AE90" s="490"/>
      <c r="AF90" s="416"/>
      <c r="AG90" s="416"/>
      <c r="AH90" s="490"/>
      <c r="AI90" s="657"/>
      <c r="AJ90" s="490"/>
      <c r="AK90" s="416"/>
      <c r="AL90" s="416"/>
      <c r="AM90" s="490"/>
      <c r="AN90" s="657"/>
      <c r="AO90" s="490"/>
      <c r="AP90" s="416"/>
      <c r="AQ90" s="416"/>
      <c r="AR90" s="490"/>
      <c r="AS90" s="657"/>
      <c r="AT90" s="490"/>
      <c r="AU90" s="416"/>
      <c r="AV90" s="416"/>
      <c r="AW90" s="490"/>
      <c r="AX90" s="657"/>
      <c r="AZ90" s="398" t="e">
        <f t="shared" si="67"/>
        <v>#N/A</v>
      </c>
      <c r="BA90" s="657"/>
    </row>
    <row r="91" spans="2:53">
      <c r="B91" s="643"/>
      <c r="C91" s="411">
        <v>5</v>
      </c>
      <c r="D91" s="367"/>
      <c r="E91" s="417"/>
      <c r="F91" s="417"/>
      <c r="G91" s="417"/>
      <c r="H91" s="680"/>
      <c r="I91" s="413" t="str">
        <f t="shared" si="62"/>
        <v>-</v>
      </c>
      <c r="J91" s="413" t="str">
        <f t="shared" si="63"/>
        <v>-</v>
      </c>
      <c r="K91" s="199" t="str">
        <f t="shared" si="64"/>
        <v>-</v>
      </c>
      <c r="L91" s="617"/>
      <c r="M91" s="492" t="e">
        <f>RANK(K91, K$87:$K$101)</f>
        <v>#VALUE!</v>
      </c>
      <c r="N91" s="635"/>
      <c r="O91" s="635"/>
      <c r="P91" s="490"/>
      <c r="Q91" s="416"/>
      <c r="R91" s="416"/>
      <c r="S91" s="490" t="e">
        <f t="shared" si="65"/>
        <v>#N/A</v>
      </c>
      <c r="T91" s="657"/>
      <c r="U91" s="490"/>
      <c r="V91" s="416"/>
      <c r="W91" s="416"/>
      <c r="X91" s="490"/>
      <c r="Y91" s="657"/>
      <c r="Z91" s="490"/>
      <c r="AA91" s="416"/>
      <c r="AB91" s="416"/>
      <c r="AC91" s="490"/>
      <c r="AD91" s="657"/>
      <c r="AE91" s="490"/>
      <c r="AF91" s="416"/>
      <c r="AG91" s="416"/>
      <c r="AH91" s="490"/>
      <c r="AI91" s="657"/>
      <c r="AJ91" s="490"/>
      <c r="AK91" s="416"/>
      <c r="AL91" s="416"/>
      <c r="AM91" s="490"/>
      <c r="AN91" s="657"/>
      <c r="AO91" s="490"/>
      <c r="AP91" s="416"/>
      <c r="AQ91" s="416"/>
      <c r="AR91" s="490"/>
      <c r="AS91" s="657"/>
      <c r="AT91" s="490"/>
      <c r="AU91" s="416"/>
      <c r="AV91" s="416"/>
      <c r="AW91" s="490"/>
      <c r="AX91" s="657"/>
      <c r="AZ91" s="398" t="e">
        <f t="shared" si="67"/>
        <v>#N/A</v>
      </c>
      <c r="BA91" s="657"/>
    </row>
    <row r="92" spans="2:53">
      <c r="B92" s="643"/>
      <c r="C92" s="411">
        <v>6</v>
      </c>
      <c r="D92" s="367"/>
      <c r="E92" s="417"/>
      <c r="F92" s="417"/>
      <c r="G92" s="417"/>
      <c r="H92" s="680"/>
      <c r="I92" s="413" t="str">
        <f t="shared" si="62"/>
        <v>-</v>
      </c>
      <c r="J92" s="413" t="str">
        <f t="shared" si="63"/>
        <v>-</v>
      </c>
      <c r="K92" s="199" t="str">
        <f t="shared" si="64"/>
        <v>-</v>
      </c>
      <c r="L92" s="617"/>
      <c r="M92" s="492" t="e">
        <f>RANK(K92, K$87:$K$101)</f>
        <v>#VALUE!</v>
      </c>
      <c r="N92" s="635"/>
      <c r="O92" s="635"/>
      <c r="P92" s="490"/>
      <c r="Q92" s="416"/>
      <c r="R92" s="416"/>
      <c r="S92" s="490" t="e">
        <f t="shared" si="65"/>
        <v>#N/A</v>
      </c>
      <c r="T92" s="657"/>
      <c r="U92" s="490"/>
      <c r="V92" s="416"/>
      <c r="W92" s="416"/>
      <c r="X92" s="490"/>
      <c r="Y92" s="657"/>
      <c r="Z92" s="490"/>
      <c r="AA92" s="416"/>
      <c r="AB92" s="416"/>
      <c r="AC92" s="490"/>
      <c r="AD92" s="657"/>
      <c r="AE92" s="490"/>
      <c r="AF92" s="416"/>
      <c r="AG92" s="416"/>
      <c r="AH92" s="490"/>
      <c r="AI92" s="657"/>
      <c r="AJ92" s="490"/>
      <c r="AK92" s="416"/>
      <c r="AL92" s="416"/>
      <c r="AM92" s="490"/>
      <c r="AN92" s="657"/>
      <c r="AO92" s="490"/>
      <c r="AP92" s="416"/>
      <c r="AQ92" s="416"/>
      <c r="AR92" s="490"/>
      <c r="AS92" s="657"/>
      <c r="AT92" s="490"/>
      <c r="AU92" s="416"/>
      <c r="AV92" s="416"/>
      <c r="AW92" s="490"/>
      <c r="AX92" s="657"/>
      <c r="AZ92" s="398" t="e">
        <f t="shared" si="67"/>
        <v>#N/A</v>
      </c>
      <c r="BA92" s="657"/>
    </row>
    <row r="93" spans="2:53">
      <c r="B93" s="643"/>
      <c r="C93" s="411">
        <v>7</v>
      </c>
      <c r="D93" s="367"/>
      <c r="E93" s="417"/>
      <c r="F93" s="417"/>
      <c r="G93" s="417"/>
      <c r="H93" s="680"/>
      <c r="I93" s="413" t="str">
        <f t="shared" si="62"/>
        <v>-</v>
      </c>
      <c r="J93" s="413" t="str">
        <f t="shared" si="63"/>
        <v>-</v>
      </c>
      <c r="K93" s="199" t="str">
        <f t="shared" si="64"/>
        <v>-</v>
      </c>
      <c r="L93" s="617"/>
      <c r="M93" s="492" t="e">
        <f>RANK(K93, K$87:$K$101)</f>
        <v>#VALUE!</v>
      </c>
      <c r="N93" s="635"/>
      <c r="O93" s="635"/>
      <c r="P93" s="490"/>
      <c r="Q93" s="416"/>
      <c r="R93" s="416"/>
      <c r="S93" s="490" t="e">
        <f t="shared" si="65"/>
        <v>#N/A</v>
      </c>
      <c r="T93" s="657"/>
      <c r="U93" s="490"/>
      <c r="V93" s="416"/>
      <c r="W93" s="416"/>
      <c r="X93" s="490"/>
      <c r="Y93" s="657"/>
      <c r="Z93" s="490"/>
      <c r="AA93" s="416"/>
      <c r="AB93" s="416"/>
      <c r="AC93" s="490"/>
      <c r="AD93" s="657"/>
      <c r="AE93" s="490"/>
      <c r="AF93" s="416"/>
      <c r="AG93" s="416"/>
      <c r="AH93" s="490"/>
      <c r="AI93" s="657"/>
      <c r="AJ93" s="490"/>
      <c r="AK93" s="416"/>
      <c r="AL93" s="416"/>
      <c r="AM93" s="490"/>
      <c r="AN93" s="657"/>
      <c r="AO93" s="490"/>
      <c r="AP93" s="416"/>
      <c r="AQ93" s="416"/>
      <c r="AR93" s="490"/>
      <c r="AS93" s="657"/>
      <c r="AT93" s="490"/>
      <c r="AU93" s="416"/>
      <c r="AV93" s="416"/>
      <c r="AW93" s="490"/>
      <c r="AX93" s="657"/>
      <c r="AZ93" s="398" t="e">
        <f t="shared" si="67"/>
        <v>#N/A</v>
      </c>
      <c r="BA93" s="657"/>
    </row>
    <row r="94" spans="2:53">
      <c r="B94" s="643"/>
      <c r="C94" s="411">
        <v>8</v>
      </c>
      <c r="D94" s="367"/>
      <c r="E94" s="417"/>
      <c r="F94" s="417"/>
      <c r="G94" s="417"/>
      <c r="H94" s="680"/>
      <c r="I94" s="413" t="str">
        <f t="shared" si="62"/>
        <v>-</v>
      </c>
      <c r="J94" s="413" t="str">
        <f t="shared" si="63"/>
        <v>-</v>
      </c>
      <c r="K94" s="199" t="str">
        <f t="shared" si="64"/>
        <v>-</v>
      </c>
      <c r="L94" s="617"/>
      <c r="M94" s="492" t="e">
        <f>RANK(K94, K$87:$K$101)</f>
        <v>#VALUE!</v>
      </c>
      <c r="N94" s="635"/>
      <c r="O94" s="635"/>
      <c r="P94" s="490"/>
      <c r="Q94" s="416"/>
      <c r="R94" s="416"/>
      <c r="S94" s="490" t="e">
        <f t="shared" si="65"/>
        <v>#N/A</v>
      </c>
      <c r="T94" s="657"/>
      <c r="U94" s="490"/>
      <c r="V94" s="416"/>
      <c r="W94" s="416"/>
      <c r="X94" s="490"/>
      <c r="Y94" s="657"/>
      <c r="Z94" s="490"/>
      <c r="AA94" s="416"/>
      <c r="AB94" s="416"/>
      <c r="AC94" s="490"/>
      <c r="AD94" s="657"/>
      <c r="AE94" s="490"/>
      <c r="AF94" s="416"/>
      <c r="AG94" s="416"/>
      <c r="AH94" s="490"/>
      <c r="AI94" s="657"/>
      <c r="AJ94" s="490"/>
      <c r="AK94" s="416"/>
      <c r="AL94" s="416"/>
      <c r="AM94" s="490"/>
      <c r="AN94" s="657"/>
      <c r="AO94" s="490"/>
      <c r="AP94" s="416"/>
      <c r="AQ94" s="416"/>
      <c r="AR94" s="490"/>
      <c r="AS94" s="657"/>
      <c r="AT94" s="490"/>
      <c r="AU94" s="416"/>
      <c r="AV94" s="416"/>
      <c r="AW94" s="490"/>
      <c r="AX94" s="657"/>
      <c r="AZ94" s="398" t="e">
        <f t="shared" si="67"/>
        <v>#N/A</v>
      </c>
      <c r="BA94" s="657"/>
    </row>
    <row r="95" spans="2:53">
      <c r="B95" s="643"/>
      <c r="C95" s="411">
        <v>9</v>
      </c>
      <c r="D95" s="367"/>
      <c r="E95" s="417"/>
      <c r="F95" s="417"/>
      <c r="G95" s="417"/>
      <c r="H95" s="680"/>
      <c r="I95" s="413" t="str">
        <f t="shared" si="62"/>
        <v>-</v>
      </c>
      <c r="J95" s="413" t="str">
        <f t="shared" si="63"/>
        <v>-</v>
      </c>
      <c r="K95" s="199" t="str">
        <f t="shared" si="64"/>
        <v>-</v>
      </c>
      <c r="L95" s="617"/>
      <c r="M95" s="492" t="e">
        <f>RANK(K95, K$87:$K$101)</f>
        <v>#VALUE!</v>
      </c>
      <c r="N95" s="635"/>
      <c r="O95" s="635"/>
      <c r="P95" s="490"/>
      <c r="Q95" s="416"/>
      <c r="R95" s="416"/>
      <c r="S95" s="490" t="e">
        <f t="shared" si="65"/>
        <v>#N/A</v>
      </c>
      <c r="T95" s="657"/>
      <c r="U95" s="490"/>
      <c r="V95" s="416"/>
      <c r="W95" s="416"/>
      <c r="X95" s="490"/>
      <c r="Y95" s="657"/>
      <c r="Z95" s="490"/>
      <c r="AA95" s="416"/>
      <c r="AB95" s="416"/>
      <c r="AC95" s="490"/>
      <c r="AD95" s="657"/>
      <c r="AE95" s="490"/>
      <c r="AF95" s="416"/>
      <c r="AG95" s="416"/>
      <c r="AH95" s="490"/>
      <c r="AI95" s="657"/>
      <c r="AJ95" s="490"/>
      <c r="AK95" s="416"/>
      <c r="AL95" s="416"/>
      <c r="AM95" s="490"/>
      <c r="AN95" s="657"/>
      <c r="AO95" s="490"/>
      <c r="AP95" s="416"/>
      <c r="AQ95" s="416"/>
      <c r="AR95" s="490"/>
      <c r="AS95" s="657"/>
      <c r="AT95" s="490"/>
      <c r="AU95" s="416"/>
      <c r="AV95" s="416"/>
      <c r="AW95" s="490"/>
      <c r="AX95" s="657"/>
      <c r="AZ95" s="398" t="e">
        <f t="shared" si="67"/>
        <v>#N/A</v>
      </c>
      <c r="BA95" s="657"/>
    </row>
    <row r="96" spans="2:53">
      <c r="B96" s="643"/>
      <c r="C96" s="411">
        <v>10</v>
      </c>
      <c r="D96" s="367"/>
      <c r="E96" s="417"/>
      <c r="F96" s="417"/>
      <c r="G96" s="417"/>
      <c r="H96" s="680"/>
      <c r="I96" s="413" t="str">
        <f t="shared" si="62"/>
        <v>-</v>
      </c>
      <c r="J96" s="413" t="str">
        <f t="shared" si="63"/>
        <v>-</v>
      </c>
      <c r="K96" s="199" t="str">
        <f t="shared" si="64"/>
        <v>-</v>
      </c>
      <c r="L96" s="617"/>
      <c r="M96" s="492" t="e">
        <f>RANK(K96, K$87:$K$101)</f>
        <v>#VALUE!</v>
      </c>
      <c r="N96" s="635"/>
      <c r="O96" s="635"/>
      <c r="P96" s="490"/>
      <c r="Q96" s="416"/>
      <c r="R96" s="416"/>
      <c r="S96" s="490" t="e">
        <f t="shared" si="65"/>
        <v>#N/A</v>
      </c>
      <c r="T96" s="657"/>
      <c r="U96" s="490"/>
      <c r="V96" s="416"/>
      <c r="W96" s="416"/>
      <c r="X96" s="490"/>
      <c r="Y96" s="657"/>
      <c r="Z96" s="490"/>
      <c r="AA96" s="416"/>
      <c r="AB96" s="416"/>
      <c r="AC96" s="490"/>
      <c r="AD96" s="657"/>
      <c r="AE96" s="490"/>
      <c r="AF96" s="416"/>
      <c r="AG96" s="416"/>
      <c r="AH96" s="490"/>
      <c r="AI96" s="657"/>
      <c r="AJ96" s="490"/>
      <c r="AK96" s="416"/>
      <c r="AL96" s="416"/>
      <c r="AM96" s="490"/>
      <c r="AN96" s="657"/>
      <c r="AO96" s="490"/>
      <c r="AP96" s="416"/>
      <c r="AQ96" s="416"/>
      <c r="AR96" s="490"/>
      <c r="AS96" s="657"/>
      <c r="AT96" s="490"/>
      <c r="AU96" s="416"/>
      <c r="AV96" s="416"/>
      <c r="AW96" s="490"/>
      <c r="AX96" s="657"/>
      <c r="AZ96" s="398" t="e">
        <f t="shared" si="67"/>
        <v>#N/A</v>
      </c>
      <c r="BA96" s="657"/>
    </row>
    <row r="97" spans="2:53">
      <c r="B97" s="643"/>
      <c r="C97" s="411">
        <v>11</v>
      </c>
      <c r="D97" s="367"/>
      <c r="E97" s="417"/>
      <c r="F97" s="417"/>
      <c r="G97" s="417"/>
      <c r="H97" s="680"/>
      <c r="I97" s="413" t="str">
        <f t="shared" si="62"/>
        <v>-</v>
      </c>
      <c r="J97" s="413" t="str">
        <f t="shared" si="63"/>
        <v>-</v>
      </c>
      <c r="K97" s="199" t="str">
        <f t="shared" si="64"/>
        <v>-</v>
      </c>
      <c r="L97" s="617"/>
      <c r="M97" s="492" t="e">
        <f>RANK(K97, K$87:$K$101)</f>
        <v>#VALUE!</v>
      </c>
      <c r="N97" s="635"/>
      <c r="O97" s="635"/>
      <c r="P97" s="490"/>
      <c r="Q97" s="416"/>
      <c r="R97" s="416"/>
      <c r="S97" s="490" t="e">
        <f t="shared" si="65"/>
        <v>#N/A</v>
      </c>
      <c r="T97" s="657"/>
      <c r="U97" s="490"/>
      <c r="V97" s="416"/>
      <c r="W97" s="416"/>
      <c r="X97" s="490"/>
      <c r="Y97" s="657"/>
      <c r="Z97" s="490"/>
      <c r="AA97" s="416"/>
      <c r="AB97" s="416"/>
      <c r="AC97" s="490"/>
      <c r="AD97" s="657"/>
      <c r="AE97" s="490"/>
      <c r="AF97" s="416"/>
      <c r="AG97" s="416"/>
      <c r="AH97" s="490"/>
      <c r="AI97" s="657"/>
      <c r="AJ97" s="490"/>
      <c r="AK97" s="416"/>
      <c r="AL97" s="416"/>
      <c r="AM97" s="490"/>
      <c r="AN97" s="657"/>
      <c r="AO97" s="490"/>
      <c r="AP97" s="416"/>
      <c r="AQ97" s="416"/>
      <c r="AR97" s="490"/>
      <c r="AS97" s="657"/>
      <c r="AT97" s="490"/>
      <c r="AU97" s="416"/>
      <c r="AV97" s="416"/>
      <c r="AW97" s="490"/>
      <c r="AX97" s="657"/>
      <c r="AZ97" s="398" t="e">
        <f t="shared" si="67"/>
        <v>#N/A</v>
      </c>
      <c r="BA97" s="657"/>
    </row>
    <row r="98" spans="2:53">
      <c r="B98" s="643"/>
      <c r="C98" s="411">
        <v>12</v>
      </c>
      <c r="D98" s="367"/>
      <c r="E98" s="417"/>
      <c r="F98" s="417"/>
      <c r="G98" s="417"/>
      <c r="H98" s="680"/>
      <c r="I98" s="413" t="str">
        <f t="shared" si="62"/>
        <v>-</v>
      </c>
      <c r="J98" s="413" t="str">
        <f t="shared" si="63"/>
        <v>-</v>
      </c>
      <c r="K98" s="199" t="str">
        <f t="shared" si="64"/>
        <v>-</v>
      </c>
      <c r="L98" s="617"/>
      <c r="M98" s="492" t="e">
        <f>RANK(K98, K$87:$K$101)</f>
        <v>#VALUE!</v>
      </c>
      <c r="N98" s="635"/>
      <c r="O98" s="635"/>
      <c r="P98" s="490"/>
      <c r="Q98" s="416"/>
      <c r="R98" s="416"/>
      <c r="S98" s="490" t="e">
        <f t="shared" si="65"/>
        <v>#N/A</v>
      </c>
      <c r="T98" s="657"/>
      <c r="U98" s="490"/>
      <c r="V98" s="416"/>
      <c r="W98" s="416"/>
      <c r="X98" s="490"/>
      <c r="Y98" s="657"/>
      <c r="Z98" s="490"/>
      <c r="AA98" s="416"/>
      <c r="AB98" s="416"/>
      <c r="AC98" s="490"/>
      <c r="AD98" s="657"/>
      <c r="AE98" s="490"/>
      <c r="AF98" s="416"/>
      <c r="AG98" s="416"/>
      <c r="AH98" s="490"/>
      <c r="AI98" s="657"/>
      <c r="AJ98" s="490"/>
      <c r="AK98" s="416"/>
      <c r="AL98" s="416"/>
      <c r="AM98" s="490"/>
      <c r="AN98" s="657"/>
      <c r="AO98" s="490"/>
      <c r="AP98" s="416"/>
      <c r="AQ98" s="416"/>
      <c r="AR98" s="490"/>
      <c r="AS98" s="657"/>
      <c r="AT98" s="490"/>
      <c r="AU98" s="416"/>
      <c r="AV98" s="416"/>
      <c r="AW98" s="490"/>
      <c r="AX98" s="657"/>
      <c r="AZ98" s="398" t="e">
        <f t="shared" si="67"/>
        <v>#N/A</v>
      </c>
      <c r="BA98" s="657"/>
    </row>
    <row r="99" spans="2:53">
      <c r="B99" s="643"/>
      <c r="C99" s="411">
        <v>13</v>
      </c>
      <c r="D99" s="367"/>
      <c r="E99" s="417"/>
      <c r="F99" s="417"/>
      <c r="G99" s="417"/>
      <c r="H99" s="680"/>
      <c r="I99" s="413" t="str">
        <f t="shared" si="62"/>
        <v>-</v>
      </c>
      <c r="J99" s="413" t="str">
        <f t="shared" si="63"/>
        <v>-</v>
      </c>
      <c r="K99" s="199" t="str">
        <f t="shared" si="64"/>
        <v>-</v>
      </c>
      <c r="L99" s="617"/>
      <c r="M99" s="492" t="e">
        <f>RANK(K99, K$87:$K$101)</f>
        <v>#VALUE!</v>
      </c>
      <c r="N99" s="635"/>
      <c r="O99" s="635"/>
      <c r="P99" s="490"/>
      <c r="Q99" s="416"/>
      <c r="R99" s="416"/>
      <c r="S99" s="490" t="e">
        <f t="shared" si="65"/>
        <v>#N/A</v>
      </c>
      <c r="T99" s="657"/>
      <c r="U99" s="490"/>
      <c r="V99" s="416"/>
      <c r="W99" s="416"/>
      <c r="X99" s="490"/>
      <c r="Y99" s="657"/>
      <c r="Z99" s="490"/>
      <c r="AA99" s="416"/>
      <c r="AB99" s="416"/>
      <c r="AC99" s="490"/>
      <c r="AD99" s="657"/>
      <c r="AE99" s="490"/>
      <c r="AF99" s="416"/>
      <c r="AG99" s="416"/>
      <c r="AH99" s="490"/>
      <c r="AI99" s="657"/>
      <c r="AJ99" s="490"/>
      <c r="AK99" s="416"/>
      <c r="AL99" s="416"/>
      <c r="AM99" s="490"/>
      <c r="AN99" s="657"/>
      <c r="AO99" s="490"/>
      <c r="AP99" s="416"/>
      <c r="AQ99" s="416"/>
      <c r="AR99" s="490"/>
      <c r="AS99" s="657"/>
      <c r="AT99" s="490"/>
      <c r="AU99" s="416"/>
      <c r="AV99" s="416"/>
      <c r="AW99" s="490"/>
      <c r="AX99" s="657"/>
      <c r="AZ99" s="398" t="e">
        <f t="shared" si="67"/>
        <v>#N/A</v>
      </c>
      <c r="BA99" s="657"/>
    </row>
    <row r="100" spans="2:53">
      <c r="B100" s="643"/>
      <c r="C100" s="411">
        <v>14</v>
      </c>
      <c r="D100" s="367"/>
      <c r="E100" s="417"/>
      <c r="F100" s="417"/>
      <c r="G100" s="417"/>
      <c r="H100" s="680"/>
      <c r="I100" s="413" t="str">
        <f t="shared" si="62"/>
        <v>-</v>
      </c>
      <c r="J100" s="413" t="str">
        <f t="shared" si="63"/>
        <v>-</v>
      </c>
      <c r="K100" s="199" t="str">
        <f t="shared" si="64"/>
        <v>-</v>
      </c>
      <c r="L100" s="617"/>
      <c r="M100" s="492" t="e">
        <f>RANK(K100, K$87:$K$101)</f>
        <v>#VALUE!</v>
      </c>
      <c r="N100" s="635"/>
      <c r="O100" s="635"/>
      <c r="P100" s="490"/>
      <c r="Q100" s="416"/>
      <c r="R100" s="416"/>
      <c r="S100" s="490" t="e">
        <f t="shared" si="65"/>
        <v>#N/A</v>
      </c>
      <c r="T100" s="657"/>
      <c r="U100" s="490"/>
      <c r="V100" s="416"/>
      <c r="W100" s="416"/>
      <c r="X100" s="490"/>
      <c r="Y100" s="657"/>
      <c r="Z100" s="490"/>
      <c r="AA100" s="416"/>
      <c r="AB100" s="416"/>
      <c r="AC100" s="490"/>
      <c r="AD100" s="657"/>
      <c r="AE100" s="490"/>
      <c r="AF100" s="416"/>
      <c r="AG100" s="416"/>
      <c r="AH100" s="490"/>
      <c r="AI100" s="657"/>
      <c r="AJ100" s="490"/>
      <c r="AK100" s="416"/>
      <c r="AL100" s="416"/>
      <c r="AM100" s="490"/>
      <c r="AN100" s="657"/>
      <c r="AO100" s="490"/>
      <c r="AP100" s="416"/>
      <c r="AQ100" s="416"/>
      <c r="AR100" s="490"/>
      <c r="AS100" s="657"/>
      <c r="AT100" s="490"/>
      <c r="AU100" s="416"/>
      <c r="AV100" s="416"/>
      <c r="AW100" s="490"/>
      <c r="AX100" s="657"/>
      <c r="AZ100" s="398" t="e">
        <f t="shared" si="67"/>
        <v>#N/A</v>
      </c>
      <c r="BA100" s="657"/>
    </row>
    <row r="101" spans="2:53">
      <c r="B101" s="643"/>
      <c r="C101" s="411">
        <v>15</v>
      </c>
      <c r="D101" s="367"/>
      <c r="E101" s="417"/>
      <c r="F101" s="417"/>
      <c r="G101" s="417"/>
      <c r="H101" s="684"/>
      <c r="I101" s="417"/>
      <c r="J101" s="417"/>
      <c r="K101" s="414"/>
      <c r="L101" s="618"/>
      <c r="M101" s="492" t="e">
        <f>RANK(K101, K$87:$K$101)</f>
        <v>#N/A</v>
      </c>
      <c r="N101" s="635"/>
      <c r="O101" s="635"/>
      <c r="P101" s="490"/>
      <c r="Q101" s="416"/>
      <c r="R101" s="416"/>
      <c r="S101" s="490" t="e">
        <f t="shared" si="65"/>
        <v>#N/A</v>
      </c>
      <c r="T101" s="657"/>
      <c r="U101" s="490"/>
      <c r="V101" s="416"/>
      <c r="W101" s="416"/>
      <c r="X101" s="490"/>
      <c r="Y101" s="657"/>
      <c r="Z101" s="490"/>
      <c r="AA101" s="416"/>
      <c r="AB101" s="416"/>
      <c r="AC101" s="490"/>
      <c r="AD101" s="657"/>
      <c r="AE101" s="490"/>
      <c r="AF101" s="416"/>
      <c r="AG101" s="416"/>
      <c r="AH101" s="490"/>
      <c r="AI101" s="657"/>
      <c r="AJ101" s="490"/>
      <c r="AK101" s="416"/>
      <c r="AL101" s="416"/>
      <c r="AM101" s="490"/>
      <c r="AN101" s="657"/>
      <c r="AO101" s="490"/>
      <c r="AP101" s="416"/>
      <c r="AQ101" s="416"/>
      <c r="AR101" s="490"/>
      <c r="AS101" s="657"/>
      <c r="AT101" s="490"/>
      <c r="AU101" s="416"/>
      <c r="AV101" s="416"/>
      <c r="AW101" s="490"/>
      <c r="AX101" s="657"/>
      <c r="AZ101" s="398" t="e">
        <f t="shared" si="67"/>
        <v>#N/A</v>
      </c>
      <c r="BA101" s="657"/>
    </row>
    <row r="102" spans="2:53" ht="15.75">
      <c r="B102" s="647" t="s">
        <v>163</v>
      </c>
      <c r="C102" s="648"/>
      <c r="D102" s="648"/>
      <c r="E102" s="648"/>
      <c r="F102" s="648"/>
      <c r="G102" s="648"/>
      <c r="H102" s="649"/>
      <c r="I102" s="207"/>
      <c r="J102" s="207"/>
      <c r="K102" s="207"/>
      <c r="L102" s="207"/>
      <c r="M102" s="206"/>
      <c r="N102" s="636" t="s">
        <v>156</v>
      </c>
      <c r="O102" s="636" t="s">
        <v>105</v>
      </c>
      <c r="P102" s="642">
        <f>P82+7</f>
        <v>46203</v>
      </c>
      <c r="Q102" s="643"/>
      <c r="R102" s="643"/>
      <c r="S102" s="643"/>
      <c r="T102" s="643"/>
      <c r="U102" s="639">
        <f>P102+1</f>
        <v>46204</v>
      </c>
      <c r="V102" s="640"/>
      <c r="W102" s="640"/>
      <c r="X102" s="640"/>
      <c r="Y102" s="641"/>
      <c r="Z102" s="639">
        <f>U102+1</f>
        <v>46205</v>
      </c>
      <c r="AA102" s="640"/>
      <c r="AB102" s="640"/>
      <c r="AC102" s="640"/>
      <c r="AD102" s="641"/>
      <c r="AE102" s="639">
        <f>Z102+1</f>
        <v>46206</v>
      </c>
      <c r="AF102" s="640"/>
      <c r="AG102" s="640"/>
      <c r="AH102" s="640"/>
      <c r="AI102" s="641"/>
      <c r="AJ102" s="639">
        <f>AE102+1</f>
        <v>46207</v>
      </c>
      <c r="AK102" s="640"/>
      <c r="AL102" s="640"/>
      <c r="AM102" s="640"/>
      <c r="AN102" s="641"/>
      <c r="AO102" s="639">
        <f>AJ102+1</f>
        <v>46208</v>
      </c>
      <c r="AP102" s="640"/>
      <c r="AQ102" s="640"/>
      <c r="AR102" s="640"/>
      <c r="AS102" s="641"/>
      <c r="AT102" s="639">
        <f>AO102+1</f>
        <v>46209</v>
      </c>
      <c r="AU102" s="640"/>
      <c r="AV102" s="640"/>
      <c r="AW102" s="640"/>
      <c r="AX102" s="641"/>
    </row>
    <row r="103" spans="2:53" ht="15.75">
      <c r="B103" s="650"/>
      <c r="C103" s="650"/>
      <c r="D103" s="650"/>
      <c r="E103" s="650"/>
      <c r="F103" s="650"/>
      <c r="G103" s="650"/>
      <c r="H103" s="650"/>
      <c r="I103" s="204"/>
      <c r="J103" s="204"/>
      <c r="K103" s="204"/>
      <c r="L103" s="204"/>
      <c r="M103" s="205"/>
      <c r="N103" s="638"/>
      <c r="O103" s="638"/>
      <c r="P103" s="642" t="s">
        <v>158</v>
      </c>
      <c r="Q103" s="643"/>
      <c r="R103" s="643"/>
      <c r="S103" s="643"/>
      <c r="T103" s="643"/>
      <c r="U103" s="642" t="s">
        <v>114</v>
      </c>
      <c r="V103" s="643"/>
      <c r="W103" s="643"/>
      <c r="X103" s="643"/>
      <c r="Y103" s="643"/>
      <c r="Z103" s="642" t="s">
        <v>159</v>
      </c>
      <c r="AA103" s="643"/>
      <c r="AB103" s="643"/>
      <c r="AC103" s="643"/>
      <c r="AD103" s="643"/>
      <c r="AE103" s="642" t="s">
        <v>157</v>
      </c>
      <c r="AF103" s="643"/>
      <c r="AG103" s="643"/>
      <c r="AH103" s="643"/>
      <c r="AI103" s="643"/>
      <c r="AJ103" s="642" t="s">
        <v>160</v>
      </c>
      <c r="AK103" s="643"/>
      <c r="AL103" s="643"/>
      <c r="AM103" s="643"/>
      <c r="AN103" s="643"/>
      <c r="AO103" s="642" t="s">
        <v>115</v>
      </c>
      <c r="AP103" s="643"/>
      <c r="AQ103" s="643"/>
      <c r="AR103" s="643"/>
      <c r="AS103" s="643"/>
      <c r="AT103" s="642" t="s">
        <v>162</v>
      </c>
      <c r="AU103" s="643"/>
      <c r="AV103" s="643"/>
      <c r="AW103" s="643"/>
      <c r="AX103" s="643"/>
    </row>
    <row r="104" spans="2:53">
      <c r="B104" s="635" t="s">
        <v>533</v>
      </c>
      <c r="C104" s="635" t="s">
        <v>534</v>
      </c>
      <c r="D104" s="635"/>
      <c r="E104" s="635" t="s">
        <v>535</v>
      </c>
      <c r="F104" s="635"/>
      <c r="G104" s="635"/>
      <c r="H104" s="651" t="s">
        <v>536</v>
      </c>
      <c r="I104" s="635" t="s">
        <v>537</v>
      </c>
      <c r="J104" s="635"/>
      <c r="K104" s="635"/>
      <c r="L104" s="651" t="s">
        <v>371</v>
      </c>
      <c r="M104" s="636" t="s">
        <v>538</v>
      </c>
      <c r="N104" s="635"/>
      <c r="O104" s="635" t="s">
        <v>539</v>
      </c>
      <c r="P104" s="632" t="s">
        <v>540</v>
      </c>
      <c r="Q104" s="633"/>
      <c r="R104" s="633"/>
      <c r="S104" s="634"/>
      <c r="T104" s="635" t="s">
        <v>536</v>
      </c>
      <c r="U104" s="632" t="s">
        <v>540</v>
      </c>
      <c r="V104" s="633"/>
      <c r="W104" s="633"/>
      <c r="X104" s="634"/>
      <c r="Y104" s="635" t="s">
        <v>536</v>
      </c>
      <c r="Z104" s="632" t="s">
        <v>540</v>
      </c>
      <c r="AA104" s="633"/>
      <c r="AB104" s="633"/>
      <c r="AC104" s="634"/>
      <c r="AD104" s="635" t="s">
        <v>536</v>
      </c>
      <c r="AE104" s="632" t="s">
        <v>540</v>
      </c>
      <c r="AF104" s="633"/>
      <c r="AG104" s="633"/>
      <c r="AH104" s="634"/>
      <c r="AI104" s="635" t="s">
        <v>536</v>
      </c>
      <c r="AJ104" s="632" t="s">
        <v>540</v>
      </c>
      <c r="AK104" s="633"/>
      <c r="AL104" s="633"/>
      <c r="AM104" s="634"/>
      <c r="AN104" s="635" t="s">
        <v>536</v>
      </c>
      <c r="AO104" s="632" t="s">
        <v>540</v>
      </c>
      <c r="AP104" s="633"/>
      <c r="AQ104" s="633"/>
      <c r="AR104" s="634"/>
      <c r="AS104" s="635" t="s">
        <v>536</v>
      </c>
      <c r="AT104" s="632" t="s">
        <v>540</v>
      </c>
      <c r="AU104" s="633"/>
      <c r="AV104" s="633"/>
      <c r="AW104" s="634"/>
      <c r="AX104" s="635" t="s">
        <v>536</v>
      </c>
      <c r="BA104" s="635" t="s">
        <v>371</v>
      </c>
    </row>
    <row r="105" spans="2:53">
      <c r="B105" s="635"/>
      <c r="C105" s="635"/>
      <c r="D105" s="635"/>
      <c r="E105" s="635" t="s">
        <v>541</v>
      </c>
      <c r="F105" s="635"/>
      <c r="G105" s="635"/>
      <c r="H105" s="652"/>
      <c r="I105" s="635" t="s">
        <v>541</v>
      </c>
      <c r="J105" s="635"/>
      <c r="K105" s="635"/>
      <c r="L105" s="652"/>
      <c r="M105" s="637"/>
      <c r="N105" s="635"/>
      <c r="O105" s="635"/>
      <c r="P105" s="632" t="s">
        <v>542</v>
      </c>
      <c r="Q105" s="633"/>
      <c r="R105" s="633"/>
      <c r="S105" s="634"/>
      <c r="T105" s="635"/>
      <c r="U105" s="632" t="s">
        <v>542</v>
      </c>
      <c r="V105" s="633"/>
      <c r="W105" s="633"/>
      <c r="X105" s="634"/>
      <c r="Y105" s="635"/>
      <c r="Z105" s="632" t="s">
        <v>542</v>
      </c>
      <c r="AA105" s="633"/>
      <c r="AB105" s="633"/>
      <c r="AC105" s="634"/>
      <c r="AD105" s="635"/>
      <c r="AE105" s="632" t="s">
        <v>542</v>
      </c>
      <c r="AF105" s="633"/>
      <c r="AG105" s="633"/>
      <c r="AH105" s="634"/>
      <c r="AI105" s="635"/>
      <c r="AJ105" s="632" t="s">
        <v>542</v>
      </c>
      <c r="AK105" s="633"/>
      <c r="AL105" s="633"/>
      <c r="AM105" s="634"/>
      <c r="AN105" s="635"/>
      <c r="AO105" s="632" t="s">
        <v>542</v>
      </c>
      <c r="AP105" s="633"/>
      <c r="AQ105" s="633"/>
      <c r="AR105" s="634"/>
      <c r="AS105" s="635"/>
      <c r="AT105" s="632" t="s">
        <v>542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60" t="s">
        <v>543</v>
      </c>
      <c r="F106" s="360" t="s">
        <v>544</v>
      </c>
      <c r="G106" s="360" t="s">
        <v>545</v>
      </c>
      <c r="H106" s="653"/>
      <c r="I106" s="360" t="s">
        <v>543</v>
      </c>
      <c r="J106" s="360" t="s">
        <v>544</v>
      </c>
      <c r="K106" s="360" t="s">
        <v>545</v>
      </c>
      <c r="L106" s="653"/>
      <c r="M106" s="638"/>
      <c r="N106" s="635"/>
      <c r="O106" s="635"/>
      <c r="P106" s="360" t="s">
        <v>543</v>
      </c>
      <c r="Q106" s="360" t="s">
        <v>544</v>
      </c>
      <c r="R106" s="360" t="s">
        <v>545</v>
      </c>
      <c r="S106" s="360" t="s">
        <v>538</v>
      </c>
      <c r="T106" s="635"/>
      <c r="U106" s="360" t="s">
        <v>543</v>
      </c>
      <c r="V106" s="360" t="s">
        <v>544</v>
      </c>
      <c r="W106" s="360" t="s">
        <v>545</v>
      </c>
      <c r="X106" s="360" t="s">
        <v>538</v>
      </c>
      <c r="Y106" s="635"/>
      <c r="Z106" s="360" t="s">
        <v>543</v>
      </c>
      <c r="AA106" s="360" t="s">
        <v>544</v>
      </c>
      <c r="AB106" s="360" t="s">
        <v>545</v>
      </c>
      <c r="AC106" s="360" t="s">
        <v>538</v>
      </c>
      <c r="AD106" s="635"/>
      <c r="AE106" s="360" t="s">
        <v>543</v>
      </c>
      <c r="AF106" s="360" t="s">
        <v>544</v>
      </c>
      <c r="AG106" s="360" t="s">
        <v>545</v>
      </c>
      <c r="AH106" s="360" t="s">
        <v>538</v>
      </c>
      <c r="AI106" s="635"/>
      <c r="AJ106" s="360" t="s">
        <v>543</v>
      </c>
      <c r="AK106" s="360" t="s">
        <v>544</v>
      </c>
      <c r="AL106" s="360" t="s">
        <v>545</v>
      </c>
      <c r="AM106" s="360" t="s">
        <v>538</v>
      </c>
      <c r="AN106" s="635"/>
      <c r="AO106" s="360" t="s">
        <v>543</v>
      </c>
      <c r="AP106" s="360" t="s">
        <v>544</v>
      </c>
      <c r="AQ106" s="360" t="s">
        <v>545</v>
      </c>
      <c r="AR106" s="360" t="s">
        <v>538</v>
      </c>
      <c r="AS106" s="635"/>
      <c r="AT106" s="360" t="s">
        <v>543</v>
      </c>
      <c r="AU106" s="360" t="s">
        <v>544</v>
      </c>
      <c r="AV106" s="360" t="s">
        <v>545</v>
      </c>
      <c r="AW106" s="360" t="s">
        <v>538</v>
      </c>
      <c r="AX106" s="635"/>
      <c r="AZ106" s="397" t="s">
        <v>538</v>
      </c>
      <c r="BA106" s="635"/>
    </row>
    <row r="107" spans="2:53">
      <c r="B107" s="683" t="s">
        <v>547</v>
      </c>
      <c r="C107" s="363">
        <v>1</v>
      </c>
      <c r="D107" s="367"/>
      <c r="E107" s="364"/>
      <c r="F107" s="364"/>
      <c r="G107" s="364"/>
      <c r="H107" s="679" t="e">
        <f>AVERAGE(G107:G121)</f>
        <v>#DIV/0!</v>
      </c>
      <c r="I107" s="391" t="str">
        <f t="shared" ref="I107:I120" si="69">IFERROR(AVERAGE(P107,U107,Z107,AE107,AJ107,AO107,AT107),"-")</f>
        <v>-</v>
      </c>
      <c r="J107" s="391" t="str">
        <f t="shared" ref="J107:J120" si="70">IFERROR(AVERAGE(Q107,V107,AA107,AF107,AK107,AP107,AU107),"-")</f>
        <v>-</v>
      </c>
      <c r="K107" s="199" t="str">
        <f t="shared" ref="K107:K120" si="71">IFERROR(AVERAGE(R107,W107,AB107,AG107,AL107,AQ107,AV107),"-")</f>
        <v>-</v>
      </c>
      <c r="L107" s="616" t="str">
        <f>IFERROR(AVERAGE(K107:K121),"-")</f>
        <v>-</v>
      </c>
      <c r="M107" s="364" t="e">
        <f>RANK(K107, K$67:$K$81)</f>
        <v>#VALUE!</v>
      </c>
      <c r="N107" s="635"/>
      <c r="O107" s="635"/>
      <c r="P107" s="181"/>
      <c r="Q107" s="181"/>
      <c r="R107" s="181"/>
      <c r="S107" s="363" t="e">
        <f>RANK(R107, R$67:R$81)</f>
        <v>#N/A</v>
      </c>
      <c r="T107" s="682" t="e">
        <f>AVERAGE(R107:R121)</f>
        <v>#DIV/0!</v>
      </c>
      <c r="U107" s="181"/>
      <c r="V107" s="181"/>
      <c r="W107" s="181"/>
      <c r="X107" s="363" t="e">
        <f t="shared" ref="X107:AM121" si="72">RANK(W107, W$67:W$81)</f>
        <v>#N/A</v>
      </c>
      <c r="Y107" s="682" t="e">
        <f t="shared" ref="Y107" si="73">AVERAGE(W107:W121)</f>
        <v>#DIV/0!</v>
      </c>
      <c r="Z107" s="181"/>
      <c r="AA107" s="181"/>
      <c r="AB107" s="181"/>
      <c r="AC107" s="363" t="e">
        <f t="shared" ref="AC107" si="74">RANK(AB107, AB$67:AB$81)</f>
        <v>#N/A</v>
      </c>
      <c r="AD107" s="682" t="e">
        <f t="shared" ref="AD107" si="75">AVERAGE(AB107:AB121)</f>
        <v>#DIV/0!</v>
      </c>
      <c r="AE107" s="181"/>
      <c r="AF107" s="181"/>
      <c r="AG107" s="181"/>
      <c r="AH107" s="363" t="e">
        <f t="shared" ref="AH107" si="76">RANK(AG107, AG$67:AG$81)</f>
        <v>#N/A</v>
      </c>
      <c r="AI107" s="682" t="e">
        <f t="shared" ref="AI107" si="77">AVERAGE(AG107:AG121)</f>
        <v>#DIV/0!</v>
      </c>
      <c r="AJ107" s="181"/>
      <c r="AK107" s="181"/>
      <c r="AL107" s="181"/>
      <c r="AM107" s="363" t="e">
        <f t="shared" ref="AM107" si="78">RANK(AL107, AL$67:AL$81)</f>
        <v>#N/A</v>
      </c>
      <c r="AN107" s="682" t="e">
        <f t="shared" ref="AN107" si="79">AVERAGE(AL107:AL121)</f>
        <v>#DIV/0!</v>
      </c>
      <c r="AO107" s="181"/>
      <c r="AP107" s="181"/>
      <c r="AQ107" s="181"/>
      <c r="AR107" s="363" t="e">
        <f t="shared" ref="AR107:AW121" si="80">RANK(AQ107, AQ$67:AQ$81)</f>
        <v>#N/A</v>
      </c>
      <c r="AS107" s="682" t="e">
        <f t="shared" ref="AS107" si="81">AVERAGE(AQ107:AQ121)</f>
        <v>#DIV/0!</v>
      </c>
      <c r="AT107" s="181"/>
      <c r="AU107" s="181"/>
      <c r="AV107" s="181"/>
      <c r="AW107" s="363" t="e">
        <f t="shared" ref="AW107" si="82">RANK(AV107, AV$67:AV$81)</f>
        <v>#N/A</v>
      </c>
      <c r="AX107" s="682" t="e">
        <f t="shared" ref="AX107" si="83">AVERAGE(AV107:AV121)</f>
        <v>#DIV/0!</v>
      </c>
      <c r="AZ107" s="399" t="e">
        <f t="shared" ref="AZ107:AZ121" si="84">RANK(AY107, AY$67:AY$81)</f>
        <v>#N/A</v>
      </c>
      <c r="BA107" s="682" t="e">
        <f t="shared" ref="BA107" si="85">AVERAGE(AY107:AY121)</f>
        <v>#DIV/0!</v>
      </c>
    </row>
    <row r="108" spans="2:53">
      <c r="B108" s="668"/>
      <c r="C108" s="363">
        <v>2</v>
      </c>
      <c r="D108" s="367"/>
      <c r="E108" s="364"/>
      <c r="F108" s="364"/>
      <c r="G108" s="364"/>
      <c r="H108" s="680"/>
      <c r="I108" s="391" t="str">
        <f t="shared" si="69"/>
        <v>-</v>
      </c>
      <c r="J108" s="391" t="str">
        <f t="shared" si="70"/>
        <v>-</v>
      </c>
      <c r="K108" s="199" t="str">
        <f t="shared" si="71"/>
        <v>-</v>
      </c>
      <c r="L108" s="617"/>
      <c r="M108" s="364" t="e">
        <f>RANK(K108, K$67:$K$81)</f>
        <v>#VALUE!</v>
      </c>
      <c r="N108" s="635"/>
      <c r="O108" s="635"/>
      <c r="P108" s="181"/>
      <c r="Q108" s="181"/>
      <c r="R108" s="181"/>
      <c r="S108" s="363" t="e">
        <f t="shared" ref="S108:S121" si="86">RANK(R108, R$67:R$81)</f>
        <v>#N/A</v>
      </c>
      <c r="T108" s="682"/>
      <c r="U108" s="181"/>
      <c r="V108" s="181"/>
      <c r="W108" s="181"/>
      <c r="X108" s="363" t="e">
        <f t="shared" si="72"/>
        <v>#N/A</v>
      </c>
      <c r="Y108" s="682"/>
      <c r="Z108" s="181"/>
      <c r="AA108" s="181"/>
      <c r="AB108" s="181"/>
      <c r="AC108" s="363" t="e">
        <f t="shared" si="72"/>
        <v>#N/A</v>
      </c>
      <c r="AD108" s="682"/>
      <c r="AE108" s="181"/>
      <c r="AF108" s="181"/>
      <c r="AG108" s="181"/>
      <c r="AH108" s="363" t="e">
        <f t="shared" si="72"/>
        <v>#N/A</v>
      </c>
      <c r="AI108" s="682"/>
      <c r="AJ108" s="181"/>
      <c r="AK108" s="181"/>
      <c r="AL108" s="181"/>
      <c r="AM108" s="363" t="e">
        <f t="shared" si="72"/>
        <v>#N/A</v>
      </c>
      <c r="AN108" s="682"/>
      <c r="AO108" s="181"/>
      <c r="AP108" s="181"/>
      <c r="AQ108" s="181"/>
      <c r="AR108" s="363" t="e">
        <f t="shared" si="80"/>
        <v>#N/A</v>
      </c>
      <c r="AS108" s="682"/>
      <c r="AT108" s="181"/>
      <c r="AU108" s="181"/>
      <c r="AV108" s="181"/>
      <c r="AW108" s="363" t="e">
        <f t="shared" si="80"/>
        <v>#N/A</v>
      </c>
      <c r="AX108" s="682"/>
      <c r="AZ108" s="399" t="e">
        <f t="shared" si="84"/>
        <v>#N/A</v>
      </c>
      <c r="BA108" s="682"/>
    </row>
    <row r="109" spans="2:53">
      <c r="B109" s="668"/>
      <c r="C109" s="363">
        <v>3</v>
      </c>
      <c r="D109" s="367"/>
      <c r="E109" s="364"/>
      <c r="F109" s="364"/>
      <c r="G109" s="364"/>
      <c r="H109" s="680"/>
      <c r="I109" s="391" t="str">
        <f t="shared" si="69"/>
        <v>-</v>
      </c>
      <c r="J109" s="391" t="str">
        <f t="shared" si="70"/>
        <v>-</v>
      </c>
      <c r="K109" s="199" t="str">
        <f t="shared" si="71"/>
        <v>-</v>
      </c>
      <c r="L109" s="617"/>
      <c r="M109" s="364" t="e">
        <f>RANK(K109, K$67:$K$81)</f>
        <v>#VALUE!</v>
      </c>
      <c r="N109" s="635"/>
      <c r="O109" s="635"/>
      <c r="P109" s="181"/>
      <c r="Q109" s="181"/>
      <c r="R109" s="181"/>
      <c r="S109" s="363" t="e">
        <f t="shared" si="86"/>
        <v>#N/A</v>
      </c>
      <c r="T109" s="682"/>
      <c r="U109" s="181"/>
      <c r="V109" s="181"/>
      <c r="W109" s="181"/>
      <c r="X109" s="363" t="e">
        <f t="shared" si="72"/>
        <v>#N/A</v>
      </c>
      <c r="Y109" s="682"/>
      <c r="Z109" s="181"/>
      <c r="AA109" s="181"/>
      <c r="AB109" s="181"/>
      <c r="AC109" s="363" t="e">
        <f t="shared" si="72"/>
        <v>#N/A</v>
      </c>
      <c r="AD109" s="682"/>
      <c r="AE109" s="181"/>
      <c r="AF109" s="181"/>
      <c r="AG109" s="181"/>
      <c r="AH109" s="363" t="e">
        <f t="shared" si="72"/>
        <v>#N/A</v>
      </c>
      <c r="AI109" s="682"/>
      <c r="AJ109" s="181"/>
      <c r="AK109" s="181"/>
      <c r="AL109" s="181"/>
      <c r="AM109" s="363" t="e">
        <f t="shared" si="72"/>
        <v>#N/A</v>
      </c>
      <c r="AN109" s="682"/>
      <c r="AO109" s="181"/>
      <c r="AP109" s="181"/>
      <c r="AQ109" s="181"/>
      <c r="AR109" s="363" t="e">
        <f t="shared" si="80"/>
        <v>#N/A</v>
      </c>
      <c r="AS109" s="682"/>
      <c r="AT109" s="181"/>
      <c r="AU109" s="181"/>
      <c r="AV109" s="181"/>
      <c r="AW109" s="363" t="e">
        <f t="shared" si="80"/>
        <v>#N/A</v>
      </c>
      <c r="AX109" s="682"/>
      <c r="AZ109" s="399" t="e">
        <f t="shared" si="84"/>
        <v>#N/A</v>
      </c>
      <c r="BA109" s="682"/>
    </row>
    <row r="110" spans="2:53">
      <c r="B110" s="668"/>
      <c r="C110" s="363">
        <v>4</v>
      </c>
      <c r="D110" s="367"/>
      <c r="E110" s="364"/>
      <c r="F110" s="364"/>
      <c r="G110" s="364"/>
      <c r="H110" s="680"/>
      <c r="I110" s="391" t="str">
        <f t="shared" si="69"/>
        <v>-</v>
      </c>
      <c r="J110" s="391" t="str">
        <f t="shared" si="70"/>
        <v>-</v>
      </c>
      <c r="K110" s="199" t="str">
        <f t="shared" si="71"/>
        <v>-</v>
      </c>
      <c r="L110" s="617"/>
      <c r="M110" s="364" t="e">
        <f>RANK(K110, K$67:$K$81)</f>
        <v>#VALUE!</v>
      </c>
      <c r="N110" s="635"/>
      <c r="O110" s="635"/>
      <c r="P110" s="181"/>
      <c r="Q110" s="181"/>
      <c r="R110" s="181"/>
      <c r="S110" s="363" t="e">
        <f t="shared" si="86"/>
        <v>#N/A</v>
      </c>
      <c r="T110" s="682"/>
      <c r="U110" s="181"/>
      <c r="V110" s="181"/>
      <c r="W110" s="181"/>
      <c r="X110" s="363" t="e">
        <f t="shared" si="72"/>
        <v>#N/A</v>
      </c>
      <c r="Y110" s="682"/>
      <c r="Z110" s="181"/>
      <c r="AA110" s="181"/>
      <c r="AB110" s="181"/>
      <c r="AC110" s="363" t="e">
        <f t="shared" si="72"/>
        <v>#N/A</v>
      </c>
      <c r="AD110" s="682"/>
      <c r="AE110" s="181"/>
      <c r="AF110" s="181"/>
      <c r="AG110" s="181"/>
      <c r="AH110" s="363" t="e">
        <f t="shared" si="72"/>
        <v>#N/A</v>
      </c>
      <c r="AI110" s="682"/>
      <c r="AJ110" s="181"/>
      <c r="AK110" s="181"/>
      <c r="AL110" s="181"/>
      <c r="AM110" s="363" t="e">
        <f t="shared" si="72"/>
        <v>#N/A</v>
      </c>
      <c r="AN110" s="682"/>
      <c r="AO110" s="181"/>
      <c r="AP110" s="181"/>
      <c r="AQ110" s="181"/>
      <c r="AR110" s="363" t="e">
        <f t="shared" si="80"/>
        <v>#N/A</v>
      </c>
      <c r="AS110" s="682"/>
      <c r="AT110" s="181"/>
      <c r="AU110" s="181"/>
      <c r="AV110" s="181"/>
      <c r="AW110" s="363" t="e">
        <f t="shared" si="80"/>
        <v>#N/A</v>
      </c>
      <c r="AX110" s="682"/>
      <c r="AZ110" s="399" t="e">
        <f t="shared" si="84"/>
        <v>#N/A</v>
      </c>
      <c r="BA110" s="682"/>
    </row>
    <row r="111" spans="2:53">
      <c r="B111" s="668"/>
      <c r="C111" s="363">
        <v>5</v>
      </c>
      <c r="D111" s="367"/>
      <c r="E111" s="364"/>
      <c r="F111" s="364"/>
      <c r="G111" s="364"/>
      <c r="H111" s="680"/>
      <c r="I111" s="391" t="str">
        <f t="shared" si="69"/>
        <v>-</v>
      </c>
      <c r="J111" s="391" t="str">
        <f t="shared" si="70"/>
        <v>-</v>
      </c>
      <c r="K111" s="199" t="str">
        <f t="shared" si="71"/>
        <v>-</v>
      </c>
      <c r="L111" s="617"/>
      <c r="M111" s="364" t="e">
        <f>RANK(K111, K$67:$K$81)</f>
        <v>#VALUE!</v>
      </c>
      <c r="N111" s="635"/>
      <c r="O111" s="635"/>
      <c r="P111" s="181"/>
      <c r="Q111" s="181"/>
      <c r="R111" s="181"/>
      <c r="S111" s="363" t="e">
        <f t="shared" si="86"/>
        <v>#N/A</v>
      </c>
      <c r="T111" s="682"/>
      <c r="U111" s="181"/>
      <c r="V111" s="181"/>
      <c r="W111" s="181"/>
      <c r="X111" s="363" t="e">
        <f t="shared" si="72"/>
        <v>#N/A</v>
      </c>
      <c r="Y111" s="682"/>
      <c r="Z111" s="181"/>
      <c r="AA111" s="181"/>
      <c r="AB111" s="181"/>
      <c r="AC111" s="363" t="e">
        <f t="shared" si="72"/>
        <v>#N/A</v>
      </c>
      <c r="AD111" s="682"/>
      <c r="AE111" s="181"/>
      <c r="AF111" s="181"/>
      <c r="AG111" s="181"/>
      <c r="AH111" s="363" t="e">
        <f t="shared" si="72"/>
        <v>#N/A</v>
      </c>
      <c r="AI111" s="682"/>
      <c r="AJ111" s="181"/>
      <c r="AK111" s="181"/>
      <c r="AL111" s="181"/>
      <c r="AM111" s="363" t="e">
        <f t="shared" si="72"/>
        <v>#N/A</v>
      </c>
      <c r="AN111" s="682"/>
      <c r="AO111" s="181"/>
      <c r="AP111" s="181"/>
      <c r="AQ111" s="181"/>
      <c r="AR111" s="363" t="e">
        <f t="shared" si="80"/>
        <v>#N/A</v>
      </c>
      <c r="AS111" s="682"/>
      <c r="AT111" s="181"/>
      <c r="AU111" s="181"/>
      <c r="AV111" s="181"/>
      <c r="AW111" s="363" t="e">
        <f t="shared" si="80"/>
        <v>#N/A</v>
      </c>
      <c r="AX111" s="682"/>
      <c r="AZ111" s="399" t="e">
        <f t="shared" si="84"/>
        <v>#N/A</v>
      </c>
      <c r="BA111" s="682"/>
    </row>
    <row r="112" spans="2:53">
      <c r="B112" s="668"/>
      <c r="C112" s="363">
        <v>6</v>
      </c>
      <c r="D112" s="367"/>
      <c r="E112" s="364"/>
      <c r="F112" s="364"/>
      <c r="G112" s="364"/>
      <c r="H112" s="680"/>
      <c r="I112" s="391" t="str">
        <f t="shared" si="69"/>
        <v>-</v>
      </c>
      <c r="J112" s="391" t="str">
        <f t="shared" si="70"/>
        <v>-</v>
      </c>
      <c r="K112" s="199" t="str">
        <f t="shared" si="71"/>
        <v>-</v>
      </c>
      <c r="L112" s="617"/>
      <c r="M112" s="364" t="e">
        <f>RANK(K112, K$67:$K$81)</f>
        <v>#VALUE!</v>
      </c>
      <c r="N112" s="635"/>
      <c r="O112" s="635"/>
      <c r="P112" s="181"/>
      <c r="Q112" s="181"/>
      <c r="R112" s="181"/>
      <c r="S112" s="363" t="e">
        <f t="shared" si="86"/>
        <v>#N/A</v>
      </c>
      <c r="T112" s="682"/>
      <c r="U112" s="181"/>
      <c r="V112" s="181"/>
      <c r="W112" s="181"/>
      <c r="X112" s="363" t="e">
        <f t="shared" si="72"/>
        <v>#N/A</v>
      </c>
      <c r="Y112" s="682"/>
      <c r="Z112" s="181"/>
      <c r="AA112" s="181"/>
      <c r="AB112" s="181"/>
      <c r="AC112" s="363" t="e">
        <f t="shared" si="72"/>
        <v>#N/A</v>
      </c>
      <c r="AD112" s="682"/>
      <c r="AE112" s="181"/>
      <c r="AF112" s="181"/>
      <c r="AG112" s="181"/>
      <c r="AH112" s="363" t="e">
        <f t="shared" si="72"/>
        <v>#N/A</v>
      </c>
      <c r="AI112" s="682"/>
      <c r="AJ112" s="181"/>
      <c r="AK112" s="181"/>
      <c r="AL112" s="181"/>
      <c r="AM112" s="363" t="e">
        <f t="shared" si="72"/>
        <v>#N/A</v>
      </c>
      <c r="AN112" s="682"/>
      <c r="AO112" s="181"/>
      <c r="AP112" s="181"/>
      <c r="AQ112" s="181"/>
      <c r="AR112" s="363" t="e">
        <f t="shared" si="80"/>
        <v>#N/A</v>
      </c>
      <c r="AS112" s="682"/>
      <c r="AT112" s="181"/>
      <c r="AU112" s="181"/>
      <c r="AV112" s="181"/>
      <c r="AW112" s="363" t="e">
        <f t="shared" si="80"/>
        <v>#N/A</v>
      </c>
      <c r="AX112" s="682"/>
      <c r="AZ112" s="399" t="e">
        <f t="shared" si="84"/>
        <v>#N/A</v>
      </c>
      <c r="BA112" s="682"/>
    </row>
    <row r="113" spans="2:53">
      <c r="B113" s="668"/>
      <c r="C113" s="363">
        <v>7</v>
      </c>
      <c r="D113" s="367"/>
      <c r="E113" s="364"/>
      <c r="F113" s="364"/>
      <c r="G113" s="364"/>
      <c r="H113" s="680"/>
      <c r="I113" s="391" t="str">
        <f t="shared" si="69"/>
        <v>-</v>
      </c>
      <c r="J113" s="391" t="str">
        <f t="shared" si="70"/>
        <v>-</v>
      </c>
      <c r="K113" s="199" t="str">
        <f t="shared" si="71"/>
        <v>-</v>
      </c>
      <c r="L113" s="617"/>
      <c r="M113" s="364" t="e">
        <f>RANK(K113, K$67:$K$81)</f>
        <v>#VALUE!</v>
      </c>
      <c r="N113" s="635"/>
      <c r="O113" s="635"/>
      <c r="P113" s="181"/>
      <c r="Q113" s="181"/>
      <c r="R113" s="181"/>
      <c r="S113" s="363" t="e">
        <f t="shared" si="86"/>
        <v>#N/A</v>
      </c>
      <c r="T113" s="682"/>
      <c r="U113" s="181"/>
      <c r="V113" s="181"/>
      <c r="W113" s="181"/>
      <c r="X113" s="363" t="e">
        <f t="shared" si="72"/>
        <v>#N/A</v>
      </c>
      <c r="Y113" s="682"/>
      <c r="Z113" s="181"/>
      <c r="AA113" s="181"/>
      <c r="AB113" s="181"/>
      <c r="AC113" s="363" t="e">
        <f t="shared" si="72"/>
        <v>#N/A</v>
      </c>
      <c r="AD113" s="682"/>
      <c r="AE113" s="181"/>
      <c r="AF113" s="181"/>
      <c r="AG113" s="181"/>
      <c r="AH113" s="363" t="e">
        <f t="shared" si="72"/>
        <v>#N/A</v>
      </c>
      <c r="AI113" s="682"/>
      <c r="AJ113" s="181"/>
      <c r="AK113" s="181"/>
      <c r="AL113" s="181"/>
      <c r="AM113" s="363" t="e">
        <f t="shared" si="72"/>
        <v>#N/A</v>
      </c>
      <c r="AN113" s="682"/>
      <c r="AO113" s="181"/>
      <c r="AP113" s="181"/>
      <c r="AQ113" s="181"/>
      <c r="AR113" s="363" t="e">
        <f t="shared" si="80"/>
        <v>#N/A</v>
      </c>
      <c r="AS113" s="682"/>
      <c r="AT113" s="181"/>
      <c r="AU113" s="181"/>
      <c r="AV113" s="181"/>
      <c r="AW113" s="363" t="e">
        <f t="shared" si="80"/>
        <v>#N/A</v>
      </c>
      <c r="AX113" s="682"/>
      <c r="AZ113" s="399" t="e">
        <f t="shared" si="84"/>
        <v>#N/A</v>
      </c>
      <c r="BA113" s="682"/>
    </row>
    <row r="114" spans="2:53">
      <c r="B114" s="668"/>
      <c r="C114" s="363">
        <v>8</v>
      </c>
      <c r="D114" s="367"/>
      <c r="E114" s="364"/>
      <c r="F114" s="364"/>
      <c r="G114" s="364"/>
      <c r="H114" s="680"/>
      <c r="I114" s="391" t="str">
        <f t="shared" si="69"/>
        <v>-</v>
      </c>
      <c r="J114" s="391" t="str">
        <f t="shared" si="70"/>
        <v>-</v>
      </c>
      <c r="K114" s="199" t="str">
        <f t="shared" si="71"/>
        <v>-</v>
      </c>
      <c r="L114" s="617"/>
      <c r="M114" s="364" t="e">
        <f>RANK(K114, K$67:$K$81)</f>
        <v>#VALUE!</v>
      </c>
      <c r="N114" s="635"/>
      <c r="O114" s="635"/>
      <c r="P114" s="181"/>
      <c r="Q114" s="181"/>
      <c r="R114" s="181"/>
      <c r="S114" s="363" t="e">
        <f t="shared" si="86"/>
        <v>#N/A</v>
      </c>
      <c r="T114" s="682"/>
      <c r="U114" s="181"/>
      <c r="V114" s="181"/>
      <c r="W114" s="181"/>
      <c r="X114" s="363" t="e">
        <f t="shared" si="72"/>
        <v>#N/A</v>
      </c>
      <c r="Y114" s="682"/>
      <c r="Z114" s="181"/>
      <c r="AA114" s="181"/>
      <c r="AB114" s="181"/>
      <c r="AC114" s="363" t="e">
        <f t="shared" si="72"/>
        <v>#N/A</v>
      </c>
      <c r="AD114" s="682"/>
      <c r="AE114" s="181"/>
      <c r="AF114" s="181"/>
      <c r="AG114" s="181"/>
      <c r="AH114" s="363" t="e">
        <f t="shared" si="72"/>
        <v>#N/A</v>
      </c>
      <c r="AI114" s="682"/>
      <c r="AJ114" s="181"/>
      <c r="AK114" s="181"/>
      <c r="AL114" s="181"/>
      <c r="AM114" s="363" t="e">
        <f t="shared" si="72"/>
        <v>#N/A</v>
      </c>
      <c r="AN114" s="682"/>
      <c r="AO114" s="181"/>
      <c r="AP114" s="181"/>
      <c r="AQ114" s="181"/>
      <c r="AR114" s="363" t="e">
        <f t="shared" si="80"/>
        <v>#N/A</v>
      </c>
      <c r="AS114" s="682"/>
      <c r="AT114" s="181"/>
      <c r="AU114" s="181"/>
      <c r="AV114" s="181"/>
      <c r="AW114" s="363" t="e">
        <f t="shared" si="80"/>
        <v>#N/A</v>
      </c>
      <c r="AX114" s="682"/>
      <c r="AZ114" s="399" t="e">
        <f t="shared" si="84"/>
        <v>#N/A</v>
      </c>
      <c r="BA114" s="682"/>
    </row>
    <row r="115" spans="2:53">
      <c r="B115" s="668"/>
      <c r="C115" s="363">
        <v>9</v>
      </c>
      <c r="D115" s="367"/>
      <c r="E115" s="364"/>
      <c r="F115" s="364"/>
      <c r="G115" s="364"/>
      <c r="H115" s="680"/>
      <c r="I115" s="391" t="str">
        <f t="shared" si="69"/>
        <v>-</v>
      </c>
      <c r="J115" s="391" t="str">
        <f t="shared" si="70"/>
        <v>-</v>
      </c>
      <c r="K115" s="199" t="str">
        <f t="shared" si="71"/>
        <v>-</v>
      </c>
      <c r="L115" s="617"/>
      <c r="M115" s="364" t="e">
        <f>RANK(K115, K$67:$K$81)</f>
        <v>#VALUE!</v>
      </c>
      <c r="N115" s="635"/>
      <c r="O115" s="635"/>
      <c r="P115" s="181"/>
      <c r="Q115" s="181"/>
      <c r="R115" s="181"/>
      <c r="S115" s="363" t="e">
        <f t="shared" si="86"/>
        <v>#N/A</v>
      </c>
      <c r="T115" s="682"/>
      <c r="U115" s="181"/>
      <c r="V115" s="181"/>
      <c r="W115" s="181"/>
      <c r="X115" s="363" t="e">
        <f t="shared" si="72"/>
        <v>#N/A</v>
      </c>
      <c r="Y115" s="682"/>
      <c r="Z115" s="181"/>
      <c r="AA115" s="181"/>
      <c r="AB115" s="181"/>
      <c r="AC115" s="363" t="e">
        <f t="shared" si="72"/>
        <v>#N/A</v>
      </c>
      <c r="AD115" s="682"/>
      <c r="AE115" s="181"/>
      <c r="AF115" s="181"/>
      <c r="AG115" s="181"/>
      <c r="AH115" s="363" t="e">
        <f t="shared" si="72"/>
        <v>#N/A</v>
      </c>
      <c r="AI115" s="682"/>
      <c r="AJ115" s="181"/>
      <c r="AK115" s="181"/>
      <c r="AL115" s="181"/>
      <c r="AM115" s="363" t="e">
        <f t="shared" si="72"/>
        <v>#N/A</v>
      </c>
      <c r="AN115" s="682"/>
      <c r="AO115" s="181"/>
      <c r="AP115" s="181"/>
      <c r="AQ115" s="181"/>
      <c r="AR115" s="363" t="e">
        <f t="shared" si="80"/>
        <v>#N/A</v>
      </c>
      <c r="AS115" s="682"/>
      <c r="AT115" s="181"/>
      <c r="AU115" s="181"/>
      <c r="AV115" s="181"/>
      <c r="AW115" s="363" t="e">
        <f t="shared" si="80"/>
        <v>#N/A</v>
      </c>
      <c r="AX115" s="682"/>
      <c r="AZ115" s="399" t="e">
        <f t="shared" si="84"/>
        <v>#N/A</v>
      </c>
      <c r="BA115" s="682"/>
    </row>
    <row r="116" spans="2:53">
      <c r="B116" s="668"/>
      <c r="C116" s="363">
        <v>10</v>
      </c>
      <c r="D116" s="367"/>
      <c r="E116" s="364"/>
      <c r="F116" s="364"/>
      <c r="G116" s="364"/>
      <c r="H116" s="680"/>
      <c r="I116" s="391" t="str">
        <f t="shared" si="69"/>
        <v>-</v>
      </c>
      <c r="J116" s="391" t="str">
        <f t="shared" si="70"/>
        <v>-</v>
      </c>
      <c r="K116" s="199" t="str">
        <f t="shared" si="71"/>
        <v>-</v>
      </c>
      <c r="L116" s="617"/>
      <c r="M116" s="364" t="e">
        <f>RANK(K116, K$67:$K$81)</f>
        <v>#VALUE!</v>
      </c>
      <c r="N116" s="635"/>
      <c r="O116" s="635"/>
      <c r="P116" s="181"/>
      <c r="Q116" s="181"/>
      <c r="R116" s="181"/>
      <c r="S116" s="363" t="e">
        <f t="shared" si="86"/>
        <v>#N/A</v>
      </c>
      <c r="T116" s="682"/>
      <c r="U116" s="181"/>
      <c r="V116" s="181"/>
      <c r="W116" s="181"/>
      <c r="X116" s="363" t="e">
        <f t="shared" si="72"/>
        <v>#N/A</v>
      </c>
      <c r="Y116" s="682"/>
      <c r="Z116" s="181"/>
      <c r="AA116" s="181"/>
      <c r="AB116" s="181"/>
      <c r="AC116" s="363" t="e">
        <f t="shared" si="72"/>
        <v>#N/A</v>
      </c>
      <c r="AD116" s="682"/>
      <c r="AE116" s="181"/>
      <c r="AF116" s="181"/>
      <c r="AG116" s="181"/>
      <c r="AH116" s="363" t="e">
        <f t="shared" si="72"/>
        <v>#N/A</v>
      </c>
      <c r="AI116" s="682"/>
      <c r="AJ116" s="181"/>
      <c r="AK116" s="181"/>
      <c r="AL116" s="181"/>
      <c r="AM116" s="363" t="e">
        <f t="shared" si="72"/>
        <v>#N/A</v>
      </c>
      <c r="AN116" s="682"/>
      <c r="AO116" s="181"/>
      <c r="AP116" s="181"/>
      <c r="AQ116" s="181"/>
      <c r="AR116" s="363" t="e">
        <f t="shared" si="80"/>
        <v>#N/A</v>
      </c>
      <c r="AS116" s="682"/>
      <c r="AT116" s="181"/>
      <c r="AU116" s="181"/>
      <c r="AV116" s="181"/>
      <c r="AW116" s="363" t="e">
        <f t="shared" si="80"/>
        <v>#N/A</v>
      </c>
      <c r="AX116" s="682"/>
      <c r="AZ116" s="399" t="e">
        <f t="shared" si="84"/>
        <v>#N/A</v>
      </c>
      <c r="BA116" s="682"/>
    </row>
    <row r="117" spans="2:53">
      <c r="B117" s="668"/>
      <c r="C117" s="363">
        <v>11</v>
      </c>
      <c r="D117" s="367"/>
      <c r="E117" s="364"/>
      <c r="F117" s="364"/>
      <c r="G117" s="364"/>
      <c r="H117" s="680"/>
      <c r="I117" s="391" t="str">
        <f t="shared" si="69"/>
        <v>-</v>
      </c>
      <c r="J117" s="391" t="str">
        <f t="shared" si="70"/>
        <v>-</v>
      </c>
      <c r="K117" s="199" t="str">
        <f t="shared" si="71"/>
        <v>-</v>
      </c>
      <c r="L117" s="617"/>
      <c r="M117" s="364" t="e">
        <f>RANK(K117, K$67:$K$81)</f>
        <v>#VALUE!</v>
      </c>
      <c r="N117" s="635"/>
      <c r="O117" s="635"/>
      <c r="P117" s="181"/>
      <c r="Q117" s="181"/>
      <c r="R117" s="181"/>
      <c r="S117" s="363" t="e">
        <f t="shared" si="86"/>
        <v>#N/A</v>
      </c>
      <c r="T117" s="682"/>
      <c r="U117" s="181"/>
      <c r="V117" s="181"/>
      <c r="W117" s="181"/>
      <c r="X117" s="363" t="e">
        <f t="shared" si="72"/>
        <v>#N/A</v>
      </c>
      <c r="Y117" s="682"/>
      <c r="Z117" s="181"/>
      <c r="AA117" s="181"/>
      <c r="AB117" s="181"/>
      <c r="AC117" s="363" t="e">
        <f t="shared" si="72"/>
        <v>#N/A</v>
      </c>
      <c r="AD117" s="682"/>
      <c r="AE117" s="181"/>
      <c r="AF117" s="181"/>
      <c r="AG117" s="181"/>
      <c r="AH117" s="363" t="e">
        <f t="shared" si="72"/>
        <v>#N/A</v>
      </c>
      <c r="AI117" s="682"/>
      <c r="AJ117" s="181"/>
      <c r="AK117" s="181"/>
      <c r="AL117" s="181"/>
      <c r="AM117" s="363" t="e">
        <f t="shared" si="72"/>
        <v>#N/A</v>
      </c>
      <c r="AN117" s="682"/>
      <c r="AO117" s="181"/>
      <c r="AP117" s="181"/>
      <c r="AQ117" s="181"/>
      <c r="AR117" s="363" t="e">
        <f t="shared" si="80"/>
        <v>#N/A</v>
      </c>
      <c r="AS117" s="682"/>
      <c r="AT117" s="181"/>
      <c r="AU117" s="181"/>
      <c r="AV117" s="181"/>
      <c r="AW117" s="363" t="e">
        <f t="shared" si="80"/>
        <v>#N/A</v>
      </c>
      <c r="AX117" s="682"/>
      <c r="AZ117" s="399" t="e">
        <f t="shared" si="84"/>
        <v>#N/A</v>
      </c>
      <c r="BA117" s="682"/>
    </row>
    <row r="118" spans="2:53">
      <c r="B118" s="668"/>
      <c r="C118" s="363">
        <v>12</v>
      </c>
      <c r="D118" s="367"/>
      <c r="E118" s="364"/>
      <c r="F118" s="364"/>
      <c r="G118" s="364"/>
      <c r="H118" s="680"/>
      <c r="I118" s="391" t="str">
        <f t="shared" si="69"/>
        <v>-</v>
      </c>
      <c r="J118" s="391" t="str">
        <f t="shared" si="70"/>
        <v>-</v>
      </c>
      <c r="K118" s="199" t="str">
        <f t="shared" si="71"/>
        <v>-</v>
      </c>
      <c r="L118" s="617"/>
      <c r="M118" s="364" t="e">
        <f>RANK(K118, K$67:$K$81)</f>
        <v>#VALUE!</v>
      </c>
      <c r="N118" s="635"/>
      <c r="O118" s="635"/>
      <c r="P118" s="181"/>
      <c r="Q118" s="181"/>
      <c r="R118" s="181"/>
      <c r="S118" s="363" t="e">
        <f t="shared" si="86"/>
        <v>#N/A</v>
      </c>
      <c r="T118" s="682"/>
      <c r="U118" s="181"/>
      <c r="V118" s="181"/>
      <c r="W118" s="181"/>
      <c r="X118" s="363" t="e">
        <f t="shared" si="72"/>
        <v>#N/A</v>
      </c>
      <c r="Y118" s="682"/>
      <c r="Z118" s="181"/>
      <c r="AA118" s="181"/>
      <c r="AB118" s="181"/>
      <c r="AC118" s="363" t="e">
        <f t="shared" si="72"/>
        <v>#N/A</v>
      </c>
      <c r="AD118" s="682"/>
      <c r="AE118" s="181"/>
      <c r="AF118" s="181"/>
      <c r="AG118" s="181"/>
      <c r="AH118" s="363" t="e">
        <f t="shared" si="72"/>
        <v>#N/A</v>
      </c>
      <c r="AI118" s="682"/>
      <c r="AJ118" s="181"/>
      <c r="AK118" s="181"/>
      <c r="AL118" s="181"/>
      <c r="AM118" s="363" t="e">
        <f t="shared" si="72"/>
        <v>#N/A</v>
      </c>
      <c r="AN118" s="682"/>
      <c r="AO118" s="181"/>
      <c r="AP118" s="181"/>
      <c r="AQ118" s="181"/>
      <c r="AR118" s="363" t="e">
        <f t="shared" si="80"/>
        <v>#N/A</v>
      </c>
      <c r="AS118" s="682"/>
      <c r="AT118" s="181"/>
      <c r="AU118" s="181"/>
      <c r="AV118" s="181"/>
      <c r="AW118" s="363" t="e">
        <f t="shared" si="80"/>
        <v>#N/A</v>
      </c>
      <c r="AX118" s="682"/>
      <c r="AZ118" s="399" t="e">
        <f t="shared" si="84"/>
        <v>#N/A</v>
      </c>
      <c r="BA118" s="682"/>
    </row>
    <row r="119" spans="2:53">
      <c r="B119" s="668"/>
      <c r="C119" s="363">
        <v>13</v>
      </c>
      <c r="D119" s="367"/>
      <c r="E119" s="364"/>
      <c r="F119" s="364"/>
      <c r="G119" s="364"/>
      <c r="H119" s="680"/>
      <c r="I119" s="391" t="str">
        <f t="shared" si="69"/>
        <v>-</v>
      </c>
      <c r="J119" s="391" t="str">
        <f t="shared" si="70"/>
        <v>-</v>
      </c>
      <c r="K119" s="199" t="str">
        <f t="shared" si="71"/>
        <v>-</v>
      </c>
      <c r="L119" s="617"/>
      <c r="M119" s="364" t="e">
        <f>RANK(K119, K$67:$K$81)</f>
        <v>#VALUE!</v>
      </c>
      <c r="N119" s="635"/>
      <c r="O119" s="635"/>
      <c r="P119" s="181"/>
      <c r="Q119" s="181"/>
      <c r="R119" s="181"/>
      <c r="S119" s="363" t="e">
        <f t="shared" si="86"/>
        <v>#N/A</v>
      </c>
      <c r="T119" s="682"/>
      <c r="U119" s="181"/>
      <c r="V119" s="181"/>
      <c r="W119" s="181"/>
      <c r="X119" s="363" t="e">
        <f t="shared" si="72"/>
        <v>#N/A</v>
      </c>
      <c r="Y119" s="682"/>
      <c r="Z119" s="181"/>
      <c r="AA119" s="181"/>
      <c r="AB119" s="181"/>
      <c r="AC119" s="363" t="e">
        <f t="shared" si="72"/>
        <v>#N/A</v>
      </c>
      <c r="AD119" s="682"/>
      <c r="AE119" s="181"/>
      <c r="AF119" s="181"/>
      <c r="AG119" s="181"/>
      <c r="AH119" s="363" t="e">
        <f t="shared" si="72"/>
        <v>#N/A</v>
      </c>
      <c r="AI119" s="682"/>
      <c r="AJ119" s="181"/>
      <c r="AK119" s="181"/>
      <c r="AL119" s="181"/>
      <c r="AM119" s="363" t="e">
        <f t="shared" si="72"/>
        <v>#N/A</v>
      </c>
      <c r="AN119" s="682"/>
      <c r="AO119" s="181"/>
      <c r="AP119" s="181"/>
      <c r="AQ119" s="181"/>
      <c r="AR119" s="363" t="e">
        <f t="shared" si="80"/>
        <v>#N/A</v>
      </c>
      <c r="AS119" s="682"/>
      <c r="AT119" s="181"/>
      <c r="AU119" s="181"/>
      <c r="AV119" s="181"/>
      <c r="AW119" s="363" t="e">
        <f t="shared" si="80"/>
        <v>#N/A</v>
      </c>
      <c r="AX119" s="682"/>
      <c r="AZ119" s="399" t="e">
        <f t="shared" si="84"/>
        <v>#N/A</v>
      </c>
      <c r="BA119" s="682"/>
    </row>
    <row r="120" spans="2:53">
      <c r="B120" s="668"/>
      <c r="C120" s="363">
        <v>14</v>
      </c>
      <c r="D120" s="367"/>
      <c r="E120" s="364"/>
      <c r="F120" s="364"/>
      <c r="G120" s="364"/>
      <c r="H120" s="680"/>
      <c r="I120" s="391" t="str">
        <f t="shared" si="69"/>
        <v>-</v>
      </c>
      <c r="J120" s="391" t="str">
        <f t="shared" si="70"/>
        <v>-</v>
      </c>
      <c r="K120" s="199" t="str">
        <f t="shared" si="71"/>
        <v>-</v>
      </c>
      <c r="L120" s="617"/>
      <c r="M120" s="364" t="e">
        <f>RANK(K120, K$67:$K$81)</f>
        <v>#VALUE!</v>
      </c>
      <c r="N120" s="635"/>
      <c r="O120" s="635"/>
      <c r="P120" s="181"/>
      <c r="Q120" s="181"/>
      <c r="R120" s="181"/>
      <c r="S120" s="363" t="e">
        <f t="shared" si="86"/>
        <v>#N/A</v>
      </c>
      <c r="T120" s="682"/>
      <c r="U120" s="181"/>
      <c r="V120" s="181"/>
      <c r="W120" s="181"/>
      <c r="X120" s="363" t="e">
        <f t="shared" si="72"/>
        <v>#N/A</v>
      </c>
      <c r="Y120" s="682"/>
      <c r="Z120" s="181"/>
      <c r="AA120" s="181"/>
      <c r="AB120" s="181"/>
      <c r="AC120" s="363" t="e">
        <f t="shared" si="72"/>
        <v>#N/A</v>
      </c>
      <c r="AD120" s="682"/>
      <c r="AE120" s="181"/>
      <c r="AF120" s="181"/>
      <c r="AG120" s="181"/>
      <c r="AH120" s="363" t="e">
        <f t="shared" si="72"/>
        <v>#N/A</v>
      </c>
      <c r="AI120" s="682"/>
      <c r="AJ120" s="181"/>
      <c r="AK120" s="181"/>
      <c r="AL120" s="181"/>
      <c r="AM120" s="363" t="e">
        <f t="shared" si="72"/>
        <v>#N/A</v>
      </c>
      <c r="AN120" s="682"/>
      <c r="AO120" s="181"/>
      <c r="AP120" s="181"/>
      <c r="AQ120" s="181"/>
      <c r="AR120" s="363" t="e">
        <f t="shared" si="80"/>
        <v>#N/A</v>
      </c>
      <c r="AS120" s="682"/>
      <c r="AT120" s="181"/>
      <c r="AU120" s="181"/>
      <c r="AV120" s="181"/>
      <c r="AW120" s="363" t="e">
        <f t="shared" si="80"/>
        <v>#N/A</v>
      </c>
      <c r="AX120" s="682"/>
      <c r="AZ120" s="399" t="e">
        <f t="shared" si="84"/>
        <v>#N/A</v>
      </c>
      <c r="BA120" s="682"/>
    </row>
    <row r="121" spans="2:53">
      <c r="B121" s="668"/>
      <c r="C121" s="363">
        <v>15</v>
      </c>
      <c r="D121" s="367"/>
      <c r="E121" s="364"/>
      <c r="F121" s="364"/>
      <c r="G121" s="364"/>
      <c r="H121" s="684"/>
      <c r="I121" s="396"/>
      <c r="J121" s="396"/>
      <c r="K121" s="392"/>
      <c r="L121" s="618"/>
      <c r="M121" s="364" t="e">
        <f>RANK(K121, K$67:$K$81)</f>
        <v>#N/A</v>
      </c>
      <c r="N121" s="635"/>
      <c r="O121" s="635"/>
      <c r="P121" s="181"/>
      <c r="Q121" s="181"/>
      <c r="R121" s="181"/>
      <c r="S121" s="363" t="e">
        <f t="shared" si="86"/>
        <v>#N/A</v>
      </c>
      <c r="T121" s="682"/>
      <c r="U121" s="181"/>
      <c r="V121" s="181"/>
      <c r="W121" s="181"/>
      <c r="X121" s="363" t="e">
        <f t="shared" si="72"/>
        <v>#N/A</v>
      </c>
      <c r="Y121" s="682"/>
      <c r="Z121" s="181"/>
      <c r="AA121" s="181"/>
      <c r="AB121" s="181"/>
      <c r="AC121" s="363" t="e">
        <f t="shared" si="72"/>
        <v>#N/A</v>
      </c>
      <c r="AD121" s="682"/>
      <c r="AE121" s="181"/>
      <c r="AF121" s="181"/>
      <c r="AG121" s="181"/>
      <c r="AH121" s="363" t="e">
        <f t="shared" si="72"/>
        <v>#N/A</v>
      </c>
      <c r="AI121" s="682"/>
      <c r="AJ121" s="181"/>
      <c r="AK121" s="181"/>
      <c r="AL121" s="181"/>
      <c r="AM121" s="363" t="e">
        <f t="shared" si="72"/>
        <v>#N/A</v>
      </c>
      <c r="AN121" s="682"/>
      <c r="AO121" s="181"/>
      <c r="AP121" s="181"/>
      <c r="AQ121" s="181"/>
      <c r="AR121" s="363" t="e">
        <f t="shared" si="80"/>
        <v>#N/A</v>
      </c>
      <c r="AS121" s="682"/>
      <c r="AT121" s="181"/>
      <c r="AU121" s="181"/>
      <c r="AV121" s="181"/>
      <c r="AW121" s="363" t="e">
        <f t="shared" si="80"/>
        <v>#N/A</v>
      </c>
      <c r="AX121" s="682"/>
      <c r="AZ121" s="399" t="e">
        <f t="shared" si="84"/>
        <v>#N/A</v>
      </c>
      <c r="BA121" s="682"/>
    </row>
    <row r="123" spans="2:53" ht="15.75">
      <c r="B123" s="674" t="s">
        <v>495</v>
      </c>
      <c r="C123" s="675"/>
      <c r="D123" s="675"/>
      <c r="E123" s="675"/>
      <c r="F123" s="675"/>
      <c r="G123" s="675"/>
      <c r="H123" s="676"/>
      <c r="I123" s="315"/>
      <c r="J123" s="315"/>
      <c r="K123" s="315"/>
      <c r="L123" s="315"/>
      <c r="M123" s="316"/>
    </row>
    <row r="124" spans="2:53" ht="15.75">
      <c r="B124" s="677"/>
      <c r="C124" s="677"/>
      <c r="D124" s="677"/>
      <c r="E124" s="677"/>
      <c r="F124" s="677"/>
      <c r="G124" s="677"/>
      <c r="H124" s="677"/>
      <c r="I124" s="317"/>
      <c r="J124" s="317"/>
      <c r="K124" s="317"/>
      <c r="L124" s="317"/>
      <c r="M124" s="318"/>
    </row>
    <row r="125" spans="2:53">
      <c r="B125" s="635" t="s">
        <v>154</v>
      </c>
      <c r="C125" s="635" t="s">
        <v>384</v>
      </c>
      <c r="D125" s="635"/>
      <c r="E125" s="635" t="s">
        <v>375</v>
      </c>
      <c r="F125" s="635"/>
      <c r="G125" s="635"/>
      <c r="H125" s="651" t="s">
        <v>371</v>
      </c>
      <c r="I125" s="678" t="s">
        <v>376</v>
      </c>
      <c r="J125" s="678"/>
      <c r="K125" s="678"/>
      <c r="L125" s="691" t="s">
        <v>371</v>
      </c>
      <c r="M125" s="694" t="s">
        <v>372</v>
      </c>
    </row>
    <row r="126" spans="2:53">
      <c r="B126" s="635"/>
      <c r="C126" s="635"/>
      <c r="D126" s="635"/>
      <c r="E126" s="635" t="s">
        <v>378</v>
      </c>
      <c r="F126" s="635"/>
      <c r="G126" s="635"/>
      <c r="H126" s="652"/>
      <c r="I126" s="678" t="s">
        <v>378</v>
      </c>
      <c r="J126" s="678"/>
      <c r="K126" s="678"/>
      <c r="L126" s="692"/>
      <c r="M126" s="695"/>
    </row>
    <row r="127" spans="2:53">
      <c r="B127" s="635"/>
      <c r="C127" s="635"/>
      <c r="D127" s="635"/>
      <c r="E127" s="312" t="s">
        <v>380</v>
      </c>
      <c r="F127" s="312" t="s">
        <v>381</v>
      </c>
      <c r="G127" s="312" t="s">
        <v>382</v>
      </c>
      <c r="H127" s="653"/>
      <c r="I127" s="319" t="s">
        <v>380</v>
      </c>
      <c r="J127" s="319" t="s">
        <v>381</v>
      </c>
      <c r="K127" s="319" t="s">
        <v>382</v>
      </c>
      <c r="L127" s="693"/>
      <c r="M127" s="696"/>
    </row>
    <row r="128" spans="2:53">
      <c r="B128" s="683" t="s">
        <v>383</v>
      </c>
      <c r="C128" s="311">
        <v>1</v>
      </c>
      <c r="D128" s="225"/>
      <c r="E128" s="181"/>
      <c r="F128" s="311"/>
      <c r="G128" s="314"/>
      <c r="H128" s="685" t="e">
        <f>AVERAGE(G128:G142)</f>
        <v>#DIV/0!</v>
      </c>
      <c r="I128" s="198" t="e">
        <f t="shared" ref="I128:J138" si="87">AVERAGEIF($D$7:$D$121,$D128,I$7:I$121)</f>
        <v>#DIV/0!</v>
      </c>
      <c r="J128" s="198" t="e">
        <f t="shared" si="87"/>
        <v>#DIV/0!</v>
      </c>
      <c r="K128" s="198" t="e">
        <f t="shared" ref="K128:K138" si="88">AVERAGEIF($D$7:$D$121,$D128,K$7:K$121)</f>
        <v>#DIV/0!</v>
      </c>
      <c r="L128" s="688" t="e">
        <f>AVERAGE(K128:K142)</f>
        <v>#DIV/0!</v>
      </c>
      <c r="M128" s="198" t="e">
        <f>RANK(K128, K$128:$K$142)</f>
        <v>#DIV/0!</v>
      </c>
    </row>
    <row r="129" spans="2:39">
      <c r="B129" s="643"/>
      <c r="C129" s="311">
        <v>2</v>
      </c>
      <c r="D129" s="225"/>
      <c r="E129" s="181"/>
      <c r="F129" s="311"/>
      <c r="G129" s="314"/>
      <c r="H129" s="686"/>
      <c r="I129" s="198" t="e">
        <f t="shared" si="87"/>
        <v>#DIV/0!</v>
      </c>
      <c r="J129" s="198" t="e">
        <f t="shared" si="87"/>
        <v>#DIV/0!</v>
      </c>
      <c r="K129" s="198" t="e">
        <f t="shared" si="88"/>
        <v>#DIV/0!</v>
      </c>
      <c r="L129" s="689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311">
        <v>3</v>
      </c>
      <c r="D130" s="225"/>
      <c r="E130" s="181"/>
      <c r="F130" s="311"/>
      <c r="G130" s="314"/>
      <c r="H130" s="686"/>
      <c r="I130" s="198" t="e">
        <f t="shared" si="87"/>
        <v>#DIV/0!</v>
      </c>
      <c r="J130" s="198" t="e">
        <f t="shared" si="87"/>
        <v>#DIV/0!</v>
      </c>
      <c r="K130" s="198" t="e">
        <f t="shared" si="88"/>
        <v>#DIV/0!</v>
      </c>
      <c r="L130" s="689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311">
        <v>4</v>
      </c>
      <c r="D131" s="225"/>
      <c r="E131" s="181"/>
      <c r="F131" s="311"/>
      <c r="G131" s="314"/>
      <c r="H131" s="686"/>
      <c r="I131" s="198" t="e">
        <f t="shared" si="87"/>
        <v>#DIV/0!</v>
      </c>
      <c r="J131" s="198" t="e">
        <f t="shared" si="87"/>
        <v>#DIV/0!</v>
      </c>
      <c r="K131" s="198" t="e">
        <f t="shared" si="88"/>
        <v>#DIV/0!</v>
      </c>
      <c r="L131" s="689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311">
        <v>5</v>
      </c>
      <c r="D132" s="225"/>
      <c r="E132" s="181"/>
      <c r="F132" s="311"/>
      <c r="G132" s="314"/>
      <c r="H132" s="686"/>
      <c r="I132" s="198" t="e">
        <f t="shared" si="87"/>
        <v>#DIV/0!</v>
      </c>
      <c r="J132" s="198" t="e">
        <f t="shared" si="87"/>
        <v>#DIV/0!</v>
      </c>
      <c r="K132" s="198" t="e">
        <f t="shared" si="88"/>
        <v>#DIV/0!</v>
      </c>
      <c r="L132" s="689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311">
        <v>6</v>
      </c>
      <c r="D133" s="320"/>
      <c r="E133" s="181"/>
      <c r="F133" s="311"/>
      <c r="G133" s="314"/>
      <c r="H133" s="686"/>
      <c r="I133" s="198" t="e">
        <f t="shared" si="87"/>
        <v>#DIV/0!</v>
      </c>
      <c r="J133" s="198" t="e">
        <f t="shared" si="87"/>
        <v>#DIV/0!</v>
      </c>
      <c r="K133" s="198" t="e">
        <f t="shared" si="88"/>
        <v>#DIV/0!</v>
      </c>
      <c r="L133" s="689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311">
        <v>7</v>
      </c>
      <c r="D134" s="225"/>
      <c r="E134" s="181"/>
      <c r="F134" s="311"/>
      <c r="G134" s="314"/>
      <c r="H134" s="686"/>
      <c r="I134" s="198" t="e">
        <f t="shared" si="87"/>
        <v>#DIV/0!</v>
      </c>
      <c r="J134" s="198" t="e">
        <f t="shared" si="87"/>
        <v>#DIV/0!</v>
      </c>
      <c r="K134" s="198" t="e">
        <f t="shared" si="88"/>
        <v>#DIV/0!</v>
      </c>
      <c r="L134" s="689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311">
        <v>8</v>
      </c>
      <c r="D135" s="225"/>
      <c r="E135" s="181"/>
      <c r="F135" s="311"/>
      <c r="G135" s="314"/>
      <c r="H135" s="686"/>
      <c r="I135" s="198" t="e">
        <f t="shared" si="87"/>
        <v>#DIV/0!</v>
      </c>
      <c r="J135" s="198" t="e">
        <f t="shared" si="87"/>
        <v>#DIV/0!</v>
      </c>
      <c r="K135" s="198" t="e">
        <f t="shared" si="88"/>
        <v>#DIV/0!</v>
      </c>
      <c r="L135" s="689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311">
        <v>9</v>
      </c>
      <c r="D136" s="225"/>
      <c r="E136" s="311"/>
      <c r="F136" s="311"/>
      <c r="G136" s="311"/>
      <c r="H136" s="686"/>
      <c r="I136" s="198" t="e">
        <f t="shared" si="87"/>
        <v>#DIV/0!</v>
      </c>
      <c r="J136" s="198" t="e">
        <f t="shared" si="87"/>
        <v>#DIV/0!</v>
      </c>
      <c r="K136" s="198" t="e">
        <f t="shared" si="88"/>
        <v>#DIV/0!</v>
      </c>
      <c r="L136" s="689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311">
        <v>10</v>
      </c>
      <c r="D137" s="225"/>
      <c r="E137" s="311"/>
      <c r="F137" s="311"/>
      <c r="G137" s="311"/>
      <c r="H137" s="686"/>
      <c r="I137" s="198" t="e">
        <f t="shared" si="87"/>
        <v>#DIV/0!</v>
      </c>
      <c r="J137" s="198" t="e">
        <f t="shared" si="87"/>
        <v>#DIV/0!</v>
      </c>
      <c r="K137" s="198" t="e">
        <f t="shared" si="88"/>
        <v>#DIV/0!</v>
      </c>
      <c r="L137" s="689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311">
        <v>11</v>
      </c>
      <c r="D138" s="225"/>
      <c r="E138" s="311"/>
      <c r="F138" s="311"/>
      <c r="G138" s="311"/>
      <c r="H138" s="686"/>
      <c r="I138" s="198" t="e">
        <f t="shared" si="87"/>
        <v>#DIV/0!</v>
      </c>
      <c r="J138" s="198" t="e">
        <f t="shared" si="87"/>
        <v>#DIV/0!</v>
      </c>
      <c r="K138" s="198" t="e">
        <f t="shared" si="88"/>
        <v>#DIV/0!</v>
      </c>
      <c r="L138" s="689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311">
        <v>12</v>
      </c>
      <c r="D139" s="225"/>
      <c r="E139" s="311"/>
      <c r="F139" s="311"/>
      <c r="G139" s="311"/>
      <c r="H139" s="686"/>
      <c r="I139" s="198"/>
      <c r="J139" s="198"/>
      <c r="K139" s="198"/>
      <c r="L139" s="689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311">
        <v>13</v>
      </c>
      <c r="D140" s="225"/>
      <c r="E140" s="311"/>
      <c r="F140" s="311"/>
      <c r="G140" s="311"/>
      <c r="H140" s="686"/>
      <c r="I140" s="198"/>
      <c r="J140" s="198"/>
      <c r="K140" s="198"/>
      <c r="L140" s="689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311">
        <v>14</v>
      </c>
      <c r="D141" s="225"/>
      <c r="E141" s="311"/>
      <c r="F141" s="311"/>
      <c r="G141" s="311"/>
      <c r="H141" s="686"/>
      <c r="I141" s="198"/>
      <c r="J141" s="198"/>
      <c r="K141" s="198"/>
      <c r="L141" s="689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311">
        <v>15</v>
      </c>
      <c r="D142" s="225"/>
      <c r="E142" s="311"/>
      <c r="F142" s="311"/>
      <c r="G142" s="311"/>
      <c r="H142" s="687"/>
      <c r="I142" s="198"/>
      <c r="J142" s="198"/>
      <c r="K142" s="198"/>
      <c r="L142" s="690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5" zoomScale="55" zoomScaleNormal="55" workbookViewId="0">
      <pane xSplit="15" topLeftCell="P1" activePane="topRight" state="frozen"/>
      <selection activeCell="P87" sqref="P87:R101"/>
      <selection pane="topRight" activeCell="T47" sqref="S47:T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115.68223933099752</v>
      </c>
    </row>
    <row r="2" spans="1:53" ht="15.75">
      <c r="A2" s="81"/>
      <c r="B2" s="647" t="s">
        <v>163</v>
      </c>
      <c r="C2" s="647"/>
      <c r="D2" s="647"/>
      <c r="E2" s="647"/>
      <c r="F2" s="647"/>
      <c r="G2" s="647"/>
      <c r="H2" s="647"/>
      <c r="I2" s="292"/>
      <c r="J2" s="292"/>
      <c r="K2" s="292"/>
      <c r="L2" s="292"/>
      <c r="M2" s="196"/>
      <c r="N2" s="636" t="s">
        <v>156</v>
      </c>
      <c r="O2" s="636" t="s">
        <v>155</v>
      </c>
      <c r="P2" s="697">
        <v>46168</v>
      </c>
      <c r="Q2" s="698"/>
      <c r="R2" s="698"/>
      <c r="S2" s="698"/>
      <c r="T2" s="699"/>
      <c r="U2" s="642">
        <v>46168</v>
      </c>
      <c r="V2" s="643"/>
      <c r="W2" s="643"/>
      <c r="X2" s="643"/>
      <c r="Y2" s="643"/>
      <c r="Z2" s="642">
        <f>U2+1</f>
        <v>46169</v>
      </c>
      <c r="AA2" s="643"/>
      <c r="AB2" s="643"/>
      <c r="AC2" s="643"/>
      <c r="AD2" s="643"/>
      <c r="AE2" s="642">
        <f>Z2+1</f>
        <v>46170</v>
      </c>
      <c r="AF2" s="643"/>
      <c r="AG2" s="643"/>
      <c r="AH2" s="643"/>
      <c r="AI2" s="643"/>
      <c r="AJ2" s="642">
        <f>AE2+1</f>
        <v>46171</v>
      </c>
      <c r="AK2" s="643"/>
      <c r="AL2" s="643"/>
      <c r="AM2" s="643"/>
      <c r="AN2" s="643"/>
      <c r="AO2" s="642">
        <f>AJ2+1</f>
        <v>46172</v>
      </c>
      <c r="AP2" s="643"/>
      <c r="AQ2" s="643"/>
      <c r="AR2" s="643"/>
      <c r="AS2" s="643"/>
      <c r="AT2" s="639">
        <f>AO2+1</f>
        <v>46173</v>
      </c>
      <c r="AU2" s="640"/>
      <c r="AV2" s="640"/>
      <c r="AW2" s="640"/>
      <c r="AX2" s="641"/>
    </row>
    <row r="3" spans="1:53" ht="15.75">
      <c r="A3" s="81"/>
      <c r="B3" s="666"/>
      <c r="C3" s="666"/>
      <c r="D3" s="666"/>
      <c r="E3" s="666"/>
      <c r="F3" s="666"/>
      <c r="G3" s="666"/>
      <c r="H3" s="666"/>
      <c r="I3" s="293"/>
      <c r="J3" s="293"/>
      <c r="K3" s="293"/>
      <c r="L3" s="293"/>
      <c r="M3" s="197"/>
      <c r="N3" s="638"/>
      <c r="O3" s="638"/>
      <c r="P3" s="639" t="s">
        <v>158</v>
      </c>
      <c r="Q3" s="640"/>
      <c r="R3" s="640"/>
      <c r="S3" s="640"/>
      <c r="T3" s="641"/>
      <c r="U3" s="639" t="s">
        <v>114</v>
      </c>
      <c r="V3" s="640"/>
      <c r="W3" s="640"/>
      <c r="X3" s="640"/>
      <c r="Y3" s="641"/>
      <c r="Z3" s="639" t="s">
        <v>159</v>
      </c>
      <c r="AA3" s="640"/>
      <c r="AB3" s="640"/>
      <c r="AC3" s="640"/>
      <c r="AD3" s="641"/>
      <c r="AE3" s="639" t="s">
        <v>157</v>
      </c>
      <c r="AF3" s="640"/>
      <c r="AG3" s="640"/>
      <c r="AH3" s="640"/>
      <c r="AI3" s="641"/>
      <c r="AJ3" s="639" t="s">
        <v>160</v>
      </c>
      <c r="AK3" s="640"/>
      <c r="AL3" s="640"/>
      <c r="AM3" s="640"/>
      <c r="AN3" s="641"/>
      <c r="AO3" s="639" t="s">
        <v>161</v>
      </c>
      <c r="AP3" s="640"/>
      <c r="AQ3" s="640"/>
      <c r="AR3" s="640"/>
      <c r="AS3" s="641"/>
      <c r="AT3" s="639" t="s">
        <v>162</v>
      </c>
      <c r="AU3" s="640"/>
      <c r="AV3" s="640"/>
      <c r="AW3" s="640"/>
      <c r="AX3" s="641"/>
    </row>
    <row r="4" spans="1:53" ht="14.25">
      <c r="A4" s="81"/>
      <c r="B4" s="635" t="s">
        <v>399</v>
      </c>
      <c r="C4" s="635" t="s">
        <v>384</v>
      </c>
      <c r="D4" s="635"/>
      <c r="E4" s="635" t="s">
        <v>375</v>
      </c>
      <c r="F4" s="635"/>
      <c r="G4" s="635"/>
      <c r="H4" s="651" t="s">
        <v>371</v>
      </c>
      <c r="I4" s="619" t="s">
        <v>376</v>
      </c>
      <c r="J4" s="619"/>
      <c r="K4" s="619"/>
      <c r="L4" s="620" t="s">
        <v>371</v>
      </c>
      <c r="M4" s="626" t="s">
        <v>372</v>
      </c>
      <c r="N4" s="635"/>
      <c r="O4" s="635" t="s">
        <v>377</v>
      </c>
      <c r="P4" s="632" t="s">
        <v>373</v>
      </c>
      <c r="Q4" s="633"/>
      <c r="R4" s="633"/>
      <c r="S4" s="634"/>
      <c r="T4" s="635" t="s">
        <v>371</v>
      </c>
      <c r="U4" s="632" t="s">
        <v>373</v>
      </c>
      <c r="V4" s="633"/>
      <c r="W4" s="633"/>
      <c r="X4" s="634"/>
      <c r="Y4" s="635" t="s">
        <v>371</v>
      </c>
      <c r="Z4" s="632" t="s">
        <v>373</v>
      </c>
      <c r="AA4" s="633"/>
      <c r="AB4" s="633"/>
      <c r="AC4" s="634"/>
      <c r="AD4" s="635" t="s">
        <v>371</v>
      </c>
      <c r="AE4" s="632" t="s">
        <v>373</v>
      </c>
      <c r="AF4" s="633"/>
      <c r="AG4" s="633"/>
      <c r="AH4" s="634"/>
      <c r="AI4" s="635" t="s">
        <v>371</v>
      </c>
      <c r="AJ4" s="632" t="s">
        <v>373</v>
      </c>
      <c r="AK4" s="633"/>
      <c r="AL4" s="633"/>
      <c r="AM4" s="634"/>
      <c r="AN4" s="635" t="s">
        <v>371</v>
      </c>
      <c r="AO4" s="632" t="s">
        <v>373</v>
      </c>
      <c r="AP4" s="633"/>
      <c r="AQ4" s="633"/>
      <c r="AR4" s="634"/>
      <c r="AS4" s="635" t="s">
        <v>371</v>
      </c>
      <c r="AT4" s="632" t="s">
        <v>373</v>
      </c>
      <c r="AU4" s="633"/>
      <c r="AV4" s="633"/>
      <c r="AW4" s="634"/>
      <c r="AX4" s="635" t="s">
        <v>371</v>
      </c>
      <c r="BA4" s="635" t="s">
        <v>371</v>
      </c>
    </row>
    <row r="5" spans="1:53" ht="14.25">
      <c r="A5" s="81"/>
      <c r="B5" s="635"/>
      <c r="C5" s="635"/>
      <c r="D5" s="635"/>
      <c r="E5" s="635" t="s">
        <v>378</v>
      </c>
      <c r="F5" s="635"/>
      <c r="G5" s="635"/>
      <c r="H5" s="652"/>
      <c r="I5" s="619" t="s">
        <v>378</v>
      </c>
      <c r="J5" s="619"/>
      <c r="K5" s="619"/>
      <c r="L5" s="621"/>
      <c r="M5" s="627"/>
      <c r="N5" s="635"/>
      <c r="O5" s="635"/>
      <c r="P5" s="632" t="s">
        <v>379</v>
      </c>
      <c r="Q5" s="633"/>
      <c r="R5" s="633"/>
      <c r="S5" s="634"/>
      <c r="T5" s="635"/>
      <c r="U5" s="632" t="s">
        <v>379</v>
      </c>
      <c r="V5" s="633"/>
      <c r="W5" s="633"/>
      <c r="X5" s="634"/>
      <c r="Y5" s="635"/>
      <c r="Z5" s="632" t="s">
        <v>379</v>
      </c>
      <c r="AA5" s="633"/>
      <c r="AB5" s="633"/>
      <c r="AC5" s="634"/>
      <c r="AD5" s="635"/>
      <c r="AE5" s="632" t="s">
        <v>379</v>
      </c>
      <c r="AF5" s="633"/>
      <c r="AG5" s="633"/>
      <c r="AH5" s="634"/>
      <c r="AI5" s="635"/>
      <c r="AJ5" s="632" t="s">
        <v>379</v>
      </c>
      <c r="AK5" s="633"/>
      <c r="AL5" s="633"/>
      <c r="AM5" s="634"/>
      <c r="AN5" s="635"/>
      <c r="AO5" s="632" t="s">
        <v>379</v>
      </c>
      <c r="AP5" s="633"/>
      <c r="AQ5" s="633"/>
      <c r="AR5" s="634"/>
      <c r="AS5" s="635"/>
      <c r="AT5" s="632" t="s">
        <v>379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408" t="s">
        <v>380</v>
      </c>
      <c r="F6" s="408" t="s">
        <v>381</v>
      </c>
      <c r="G6" s="408" t="s">
        <v>382</v>
      </c>
      <c r="H6" s="653"/>
      <c r="I6" s="407" t="s">
        <v>380</v>
      </c>
      <c r="J6" s="407" t="s">
        <v>381</v>
      </c>
      <c r="K6" s="407" t="s">
        <v>382</v>
      </c>
      <c r="L6" s="622"/>
      <c r="M6" s="628"/>
      <c r="N6" s="635"/>
      <c r="O6" s="635"/>
      <c r="P6" s="408" t="s">
        <v>380</v>
      </c>
      <c r="Q6" s="408" t="s">
        <v>381</v>
      </c>
      <c r="R6" s="408" t="s">
        <v>382</v>
      </c>
      <c r="S6" s="408" t="s">
        <v>372</v>
      </c>
      <c r="T6" s="635"/>
      <c r="U6" s="408" t="s">
        <v>380</v>
      </c>
      <c r="V6" s="408" t="s">
        <v>381</v>
      </c>
      <c r="W6" s="408" t="s">
        <v>382</v>
      </c>
      <c r="X6" s="408" t="s">
        <v>372</v>
      </c>
      <c r="Y6" s="635"/>
      <c r="Z6" s="408" t="s">
        <v>380</v>
      </c>
      <c r="AA6" s="408" t="s">
        <v>381</v>
      </c>
      <c r="AB6" s="408" t="s">
        <v>382</v>
      </c>
      <c r="AC6" s="408" t="s">
        <v>372</v>
      </c>
      <c r="AD6" s="635"/>
      <c r="AE6" s="408" t="s">
        <v>380</v>
      </c>
      <c r="AF6" s="408" t="s">
        <v>381</v>
      </c>
      <c r="AG6" s="408" t="s">
        <v>382</v>
      </c>
      <c r="AH6" s="408" t="s">
        <v>372</v>
      </c>
      <c r="AI6" s="635"/>
      <c r="AJ6" s="408" t="s">
        <v>380</v>
      </c>
      <c r="AK6" s="408" t="s">
        <v>381</v>
      </c>
      <c r="AL6" s="408" t="s">
        <v>382</v>
      </c>
      <c r="AM6" s="408" t="s">
        <v>372</v>
      </c>
      <c r="AN6" s="635"/>
      <c r="AO6" s="408" t="s">
        <v>380</v>
      </c>
      <c r="AP6" s="408" t="s">
        <v>381</v>
      </c>
      <c r="AQ6" s="408" t="s">
        <v>382</v>
      </c>
      <c r="AR6" s="408" t="s">
        <v>372</v>
      </c>
      <c r="AS6" s="635"/>
      <c r="AT6" s="408" t="s">
        <v>380</v>
      </c>
      <c r="AU6" s="408" t="s">
        <v>381</v>
      </c>
      <c r="AV6" s="408" t="s">
        <v>382</v>
      </c>
      <c r="AW6" s="408" t="s">
        <v>372</v>
      </c>
      <c r="AX6" s="635"/>
      <c r="AZ6" s="397" t="s">
        <v>372</v>
      </c>
      <c r="BA6" s="635"/>
    </row>
    <row r="7" spans="1:53" ht="14.25">
      <c r="A7" s="81"/>
      <c r="B7" s="635" t="s">
        <v>414</v>
      </c>
      <c r="C7" s="409">
        <v>1</v>
      </c>
      <c r="D7" s="225" t="s">
        <v>632</v>
      </c>
      <c r="E7" s="416">
        <v>13</v>
      </c>
      <c r="F7" s="495">
        <v>1500</v>
      </c>
      <c r="G7" s="496">
        <v>116</v>
      </c>
      <c r="H7" s="685">
        <f>AVERAGE(G7:G21)</f>
        <v>116</v>
      </c>
      <c r="I7" s="413">
        <f t="shared" ref="I7:I20" si="0">IFERROR(AVERAGE(P7,U7,Z7,AE7,AJ7,AO7,AT7),"-")</f>
        <v>12.857142857142858</v>
      </c>
      <c r="J7" s="413">
        <f t="shared" ref="J7:J20" si="1">IFERROR(AVERAGE(Q7,V7,AA7,AF7,AK7,AP7,AU7),"-")</f>
        <v>1512.5915966386551</v>
      </c>
      <c r="K7" s="199">
        <f t="shared" ref="K7:K20" si="2">IFERROR(AVERAGE(R7,W7,AB7,AG7,AL7,AQ7,AV7),"-")</f>
        <v>117.71034259857785</v>
      </c>
      <c r="L7" s="616">
        <f>IFERROR(AVERAGE(K7:K21),"-")</f>
        <v>117.71034259857785</v>
      </c>
      <c r="M7" s="415">
        <f>RANK(K7, K$7:$K$21)</f>
        <v>1</v>
      </c>
      <c r="N7" s="635"/>
      <c r="O7" s="635"/>
      <c r="P7" s="409">
        <v>13</v>
      </c>
      <c r="Q7" s="416">
        <v>1504.7999999999993</v>
      </c>
      <c r="R7" s="416">
        <v>115.7538461538461</v>
      </c>
      <c r="S7" s="409">
        <f t="shared" ref="S7:S21" si="3">RANK(R7, R$7:R$21)</f>
        <v>1</v>
      </c>
      <c r="T7" s="657">
        <f t="shared" ref="T7" si="4">AVERAGE(R7:R21)</f>
        <v>115.7538461538461</v>
      </c>
      <c r="U7" s="495">
        <v>13</v>
      </c>
      <c r="V7" s="416">
        <v>1504.2000000000005</v>
      </c>
      <c r="W7" s="416">
        <v>115.70769230769234</v>
      </c>
      <c r="X7" s="495">
        <f t="shared" ref="X7:X21" si="5">RANK(W7, W$7:W$21)</f>
        <v>1</v>
      </c>
      <c r="Y7" s="657">
        <f t="shared" ref="Y7" si="6">AVERAGE(W7:W21)</f>
        <v>115.70769230769234</v>
      </c>
      <c r="Z7" s="495">
        <v>12</v>
      </c>
      <c r="AA7" s="416">
        <v>1482</v>
      </c>
      <c r="AB7" s="416">
        <v>123.5</v>
      </c>
      <c r="AC7" s="495">
        <f t="shared" ref="AC7:AC21" si="7">RANK(AB7, AB$7:AB$21)</f>
        <v>1</v>
      </c>
      <c r="AD7" s="657">
        <f t="shared" ref="AD7" si="8">AVERAGE(AB7:AB21)</f>
        <v>123.5</v>
      </c>
      <c r="AE7" s="495">
        <v>13</v>
      </c>
      <c r="AF7" s="416">
        <v>1580.9999999999993</v>
      </c>
      <c r="AG7" s="416">
        <v>121.61538461538456</v>
      </c>
      <c r="AH7" s="495">
        <f t="shared" ref="AH7:AH21" si="9">RANK(AG7, AG$7:AG$21)</f>
        <v>1</v>
      </c>
      <c r="AI7" s="657">
        <f t="shared" ref="AI7" si="10">AVERAGE(AG7:AG21)</f>
        <v>121.61538461538456</v>
      </c>
      <c r="AJ7" s="495">
        <v>13</v>
      </c>
      <c r="AK7" s="416">
        <v>1455.1999999999989</v>
      </c>
      <c r="AL7" s="416">
        <v>111.93846153846145</v>
      </c>
      <c r="AM7" s="495">
        <f t="shared" ref="AM7:AM21" si="11">RANK(AL7, AL$7:AL$21)</f>
        <v>1</v>
      </c>
      <c r="AN7" s="657">
        <f t="shared" ref="AN7" si="12">AVERAGE(AL7:AL21)</f>
        <v>111.93846153846145</v>
      </c>
      <c r="AO7" s="495">
        <v>13</v>
      </c>
      <c r="AP7" s="416">
        <v>1516.9411764705881</v>
      </c>
      <c r="AQ7" s="416">
        <v>116.68778280542985</v>
      </c>
      <c r="AR7" s="495">
        <f t="shared" ref="AR7:AR21" si="13">RANK(AQ7, AQ$7:AQ$21)</f>
        <v>1</v>
      </c>
      <c r="AS7" s="657">
        <f t="shared" ref="AS7" si="14">AVERAGE(AQ7:AQ21)</f>
        <v>116.68778280542985</v>
      </c>
      <c r="AT7" s="495">
        <v>13</v>
      </c>
      <c r="AU7" s="416">
        <v>1544</v>
      </c>
      <c r="AV7" s="416">
        <v>118.76923076923077</v>
      </c>
      <c r="AW7" s="495">
        <f t="shared" ref="AW7:AW21" si="15">RANK(AV7, AV$7:AV$21)</f>
        <v>1</v>
      </c>
      <c r="AX7" s="657">
        <f t="shared" ref="AX7" si="16">AVERAGE(AV7:AV21)</f>
        <v>118.76923076923077</v>
      </c>
      <c r="AZ7" s="398" t="e">
        <f t="shared" ref="AZ7:AZ21" si="17">RANK(AY7, AY$7:AY$21)</f>
        <v>#N/A</v>
      </c>
      <c r="BA7" s="657" t="e">
        <f t="shared" ref="BA7" si="18">AVERAGE(AY7:AY21)</f>
        <v>#DIV/0!</v>
      </c>
    </row>
    <row r="8" spans="1:53" ht="15" customHeight="1">
      <c r="A8" s="81"/>
      <c r="B8" s="643"/>
      <c r="C8" s="409">
        <v>2</v>
      </c>
      <c r="D8" s="225"/>
      <c r="E8" s="416"/>
      <c r="F8" s="495"/>
      <c r="G8" s="496"/>
      <c r="H8" s="686"/>
      <c r="I8" s="413" t="str">
        <f t="shared" si="0"/>
        <v>-</v>
      </c>
      <c r="J8" s="413" t="str">
        <f t="shared" si="1"/>
        <v>-</v>
      </c>
      <c r="K8" s="199" t="str">
        <f t="shared" si="2"/>
        <v>-</v>
      </c>
      <c r="L8" s="617"/>
      <c r="M8" s="415" t="e">
        <f>RANK(K8, K$7:$K$21)</f>
        <v>#VALUE!</v>
      </c>
      <c r="N8" s="635"/>
      <c r="O8" s="635"/>
      <c r="P8" s="409"/>
      <c r="Q8" s="416"/>
      <c r="R8" s="416"/>
      <c r="S8" s="409" t="e">
        <f t="shared" si="3"/>
        <v>#N/A</v>
      </c>
      <c r="T8" s="657"/>
      <c r="U8" s="495"/>
      <c r="V8" s="416"/>
      <c r="W8" s="416"/>
      <c r="X8" s="495" t="e">
        <f t="shared" si="5"/>
        <v>#N/A</v>
      </c>
      <c r="Y8" s="657"/>
      <c r="Z8" s="495"/>
      <c r="AA8" s="416"/>
      <c r="AB8" s="416"/>
      <c r="AC8" s="495" t="e">
        <f t="shared" si="7"/>
        <v>#N/A</v>
      </c>
      <c r="AD8" s="657"/>
      <c r="AE8" s="495"/>
      <c r="AF8" s="416"/>
      <c r="AG8" s="416"/>
      <c r="AH8" s="495" t="e">
        <f t="shared" si="9"/>
        <v>#N/A</v>
      </c>
      <c r="AI8" s="657"/>
      <c r="AJ8" s="495"/>
      <c r="AK8" s="416"/>
      <c r="AL8" s="416"/>
      <c r="AM8" s="495" t="e">
        <f t="shared" si="11"/>
        <v>#N/A</v>
      </c>
      <c r="AN8" s="657"/>
      <c r="AO8" s="495"/>
      <c r="AP8" s="416"/>
      <c r="AQ8" s="416"/>
      <c r="AR8" s="495" t="e">
        <f t="shared" si="13"/>
        <v>#N/A</v>
      </c>
      <c r="AS8" s="657"/>
      <c r="AT8" s="495"/>
      <c r="AU8" s="416"/>
      <c r="AV8" s="416"/>
      <c r="AW8" s="495" t="e">
        <f t="shared" si="15"/>
        <v>#N/A</v>
      </c>
      <c r="AX8" s="657"/>
      <c r="AZ8" s="398" t="e">
        <f t="shared" si="17"/>
        <v>#N/A</v>
      </c>
      <c r="BA8" s="657"/>
    </row>
    <row r="9" spans="1:53" ht="14.25">
      <c r="A9" s="81"/>
      <c r="B9" s="643"/>
      <c r="C9" s="409">
        <v>3</v>
      </c>
      <c r="D9" s="225"/>
      <c r="E9" s="416"/>
      <c r="F9" s="495"/>
      <c r="G9" s="496"/>
      <c r="H9" s="686"/>
      <c r="I9" s="413" t="str">
        <f t="shared" si="0"/>
        <v>-</v>
      </c>
      <c r="J9" s="413" t="str">
        <f t="shared" si="1"/>
        <v>-</v>
      </c>
      <c r="K9" s="199" t="str">
        <f t="shared" si="2"/>
        <v>-</v>
      </c>
      <c r="L9" s="617"/>
      <c r="M9" s="415" t="e">
        <f>RANK(K9, K$7:$K$21)</f>
        <v>#VALUE!</v>
      </c>
      <c r="N9" s="635"/>
      <c r="O9" s="635"/>
      <c r="P9" s="409"/>
      <c r="Q9" s="416"/>
      <c r="R9" s="416"/>
      <c r="S9" s="409" t="e">
        <f t="shared" si="3"/>
        <v>#N/A</v>
      </c>
      <c r="T9" s="657"/>
      <c r="U9" s="495"/>
      <c r="V9" s="416"/>
      <c r="W9" s="416"/>
      <c r="X9" s="495" t="e">
        <f t="shared" si="5"/>
        <v>#N/A</v>
      </c>
      <c r="Y9" s="657"/>
      <c r="Z9" s="495"/>
      <c r="AA9" s="416"/>
      <c r="AB9" s="416"/>
      <c r="AC9" s="495" t="e">
        <f t="shared" si="7"/>
        <v>#N/A</v>
      </c>
      <c r="AD9" s="657"/>
      <c r="AE9" s="495"/>
      <c r="AF9" s="416"/>
      <c r="AG9" s="416"/>
      <c r="AH9" s="495" t="e">
        <f t="shared" si="9"/>
        <v>#N/A</v>
      </c>
      <c r="AI9" s="657"/>
      <c r="AJ9" s="495"/>
      <c r="AK9" s="416"/>
      <c r="AL9" s="416"/>
      <c r="AM9" s="495" t="e">
        <f t="shared" si="11"/>
        <v>#N/A</v>
      </c>
      <c r="AN9" s="657"/>
      <c r="AO9" s="495"/>
      <c r="AP9" s="416"/>
      <c r="AQ9" s="416"/>
      <c r="AR9" s="495" t="e">
        <f t="shared" si="13"/>
        <v>#N/A</v>
      </c>
      <c r="AS9" s="657"/>
      <c r="AT9" s="495"/>
      <c r="AU9" s="416"/>
      <c r="AV9" s="416"/>
      <c r="AW9" s="495" t="e">
        <f t="shared" si="15"/>
        <v>#N/A</v>
      </c>
      <c r="AX9" s="657"/>
      <c r="AZ9" s="398" t="e">
        <f t="shared" si="17"/>
        <v>#N/A</v>
      </c>
      <c r="BA9" s="657"/>
    </row>
    <row r="10" spans="1:53" ht="14.25">
      <c r="A10" s="81"/>
      <c r="B10" s="643"/>
      <c r="C10" s="409">
        <v>4</v>
      </c>
      <c r="D10" s="225"/>
      <c r="E10" s="416"/>
      <c r="F10" s="495"/>
      <c r="G10" s="496"/>
      <c r="H10" s="686"/>
      <c r="I10" s="413" t="str">
        <f t="shared" si="0"/>
        <v>-</v>
      </c>
      <c r="J10" s="413" t="str">
        <f t="shared" si="1"/>
        <v>-</v>
      </c>
      <c r="K10" s="199" t="str">
        <f t="shared" si="2"/>
        <v>-</v>
      </c>
      <c r="L10" s="617"/>
      <c r="M10" s="415" t="e">
        <f>RANK(K10, K$7:$K$21)</f>
        <v>#VALUE!</v>
      </c>
      <c r="N10" s="635"/>
      <c r="O10" s="635"/>
      <c r="P10" s="409"/>
      <c r="Q10" s="416"/>
      <c r="R10" s="416"/>
      <c r="S10" s="409" t="e">
        <f t="shared" si="3"/>
        <v>#N/A</v>
      </c>
      <c r="T10" s="657"/>
      <c r="U10" s="495"/>
      <c r="V10" s="416"/>
      <c r="W10" s="416"/>
      <c r="X10" s="495" t="e">
        <f t="shared" si="5"/>
        <v>#N/A</v>
      </c>
      <c r="Y10" s="657"/>
      <c r="Z10" s="495"/>
      <c r="AA10" s="416"/>
      <c r="AB10" s="416"/>
      <c r="AC10" s="495" t="e">
        <f t="shared" si="7"/>
        <v>#N/A</v>
      </c>
      <c r="AD10" s="657"/>
      <c r="AE10" s="495"/>
      <c r="AF10" s="416"/>
      <c r="AG10" s="416"/>
      <c r="AH10" s="495" t="e">
        <f t="shared" si="9"/>
        <v>#N/A</v>
      </c>
      <c r="AI10" s="657"/>
      <c r="AJ10" s="495"/>
      <c r="AK10" s="416"/>
      <c r="AL10" s="416"/>
      <c r="AM10" s="495" t="e">
        <f t="shared" si="11"/>
        <v>#N/A</v>
      </c>
      <c r="AN10" s="657"/>
      <c r="AO10" s="495"/>
      <c r="AP10" s="416"/>
      <c r="AQ10" s="416"/>
      <c r="AR10" s="495" t="e">
        <f t="shared" si="13"/>
        <v>#N/A</v>
      </c>
      <c r="AS10" s="657"/>
      <c r="AT10" s="495"/>
      <c r="AU10" s="416"/>
      <c r="AV10" s="416"/>
      <c r="AW10" s="495" t="e">
        <f t="shared" si="15"/>
        <v>#N/A</v>
      </c>
      <c r="AX10" s="657"/>
      <c r="AZ10" s="398" t="e">
        <f t="shared" si="17"/>
        <v>#N/A</v>
      </c>
      <c r="BA10" s="657"/>
    </row>
    <row r="11" spans="1:53" ht="14.25">
      <c r="A11" s="81"/>
      <c r="B11" s="643"/>
      <c r="C11" s="409">
        <v>5</v>
      </c>
      <c r="D11" s="225"/>
      <c r="E11" s="416"/>
      <c r="F11" s="495"/>
      <c r="G11" s="496"/>
      <c r="H11" s="686"/>
      <c r="I11" s="413" t="str">
        <f t="shared" si="0"/>
        <v>-</v>
      </c>
      <c r="J11" s="413" t="str">
        <f t="shared" si="1"/>
        <v>-</v>
      </c>
      <c r="K11" s="199" t="str">
        <f t="shared" si="2"/>
        <v>-</v>
      </c>
      <c r="L11" s="617"/>
      <c r="M11" s="415" t="e">
        <f>RANK(K11, K$7:$K$21)</f>
        <v>#VALUE!</v>
      </c>
      <c r="N11" s="635"/>
      <c r="O11" s="635"/>
      <c r="P11" s="409"/>
      <c r="Q11" s="416"/>
      <c r="R11" s="416"/>
      <c r="S11" s="409" t="e">
        <f t="shared" si="3"/>
        <v>#N/A</v>
      </c>
      <c r="T11" s="657"/>
      <c r="U11" s="495"/>
      <c r="V11" s="416"/>
      <c r="W11" s="416"/>
      <c r="X11" s="495" t="e">
        <f t="shared" si="5"/>
        <v>#N/A</v>
      </c>
      <c r="Y11" s="657"/>
      <c r="Z11" s="495"/>
      <c r="AA11" s="416"/>
      <c r="AB11" s="416"/>
      <c r="AC11" s="495" t="e">
        <f t="shared" si="7"/>
        <v>#N/A</v>
      </c>
      <c r="AD11" s="657"/>
      <c r="AE11" s="495"/>
      <c r="AF11" s="416"/>
      <c r="AG11" s="416"/>
      <c r="AH11" s="495" t="e">
        <f t="shared" si="9"/>
        <v>#N/A</v>
      </c>
      <c r="AI11" s="657"/>
      <c r="AJ11" s="495"/>
      <c r="AK11" s="416"/>
      <c r="AL11" s="416"/>
      <c r="AM11" s="495" t="e">
        <f t="shared" si="11"/>
        <v>#N/A</v>
      </c>
      <c r="AN11" s="657"/>
      <c r="AO11" s="495"/>
      <c r="AP11" s="416"/>
      <c r="AQ11" s="416"/>
      <c r="AR11" s="495" t="e">
        <f t="shared" si="13"/>
        <v>#N/A</v>
      </c>
      <c r="AS11" s="657"/>
      <c r="AT11" s="495"/>
      <c r="AU11" s="416"/>
      <c r="AV11" s="416"/>
      <c r="AW11" s="495" t="e">
        <f t="shared" si="15"/>
        <v>#N/A</v>
      </c>
      <c r="AX11" s="657"/>
      <c r="AZ11" s="398" t="e">
        <f t="shared" si="17"/>
        <v>#N/A</v>
      </c>
      <c r="BA11" s="657"/>
    </row>
    <row r="12" spans="1:53" ht="14.25">
      <c r="A12" s="81"/>
      <c r="B12" s="643"/>
      <c r="C12" s="409">
        <v>6</v>
      </c>
      <c r="D12" s="225"/>
      <c r="E12" s="416"/>
      <c r="F12" s="495"/>
      <c r="G12" s="496"/>
      <c r="H12" s="686"/>
      <c r="I12" s="413" t="str">
        <f t="shared" si="0"/>
        <v>-</v>
      </c>
      <c r="J12" s="413" t="str">
        <f t="shared" si="1"/>
        <v>-</v>
      </c>
      <c r="K12" s="199" t="str">
        <f t="shared" si="2"/>
        <v>-</v>
      </c>
      <c r="L12" s="617"/>
      <c r="M12" s="415" t="e">
        <f>RANK(K12, K$7:$K$21)</f>
        <v>#VALUE!</v>
      </c>
      <c r="N12" s="635"/>
      <c r="O12" s="635"/>
      <c r="P12" s="409"/>
      <c r="Q12" s="416"/>
      <c r="R12" s="416"/>
      <c r="S12" s="409" t="e">
        <f t="shared" si="3"/>
        <v>#N/A</v>
      </c>
      <c r="T12" s="657"/>
      <c r="U12" s="495"/>
      <c r="V12" s="416"/>
      <c r="W12" s="416"/>
      <c r="X12" s="495" t="e">
        <f t="shared" si="5"/>
        <v>#N/A</v>
      </c>
      <c r="Y12" s="657"/>
      <c r="Z12" s="495"/>
      <c r="AA12" s="416"/>
      <c r="AB12" s="416"/>
      <c r="AC12" s="495" t="e">
        <f t="shared" si="7"/>
        <v>#N/A</v>
      </c>
      <c r="AD12" s="657"/>
      <c r="AE12" s="495"/>
      <c r="AF12" s="416"/>
      <c r="AG12" s="416"/>
      <c r="AH12" s="495" t="e">
        <f t="shared" si="9"/>
        <v>#N/A</v>
      </c>
      <c r="AI12" s="657"/>
      <c r="AJ12" s="495"/>
      <c r="AK12" s="416"/>
      <c r="AL12" s="416"/>
      <c r="AM12" s="495" t="e">
        <f t="shared" si="11"/>
        <v>#N/A</v>
      </c>
      <c r="AN12" s="657"/>
      <c r="AO12" s="495"/>
      <c r="AP12" s="416"/>
      <c r="AQ12" s="416"/>
      <c r="AR12" s="495" t="e">
        <f t="shared" si="13"/>
        <v>#N/A</v>
      </c>
      <c r="AS12" s="657"/>
      <c r="AT12" s="495"/>
      <c r="AU12" s="416"/>
      <c r="AV12" s="416"/>
      <c r="AW12" s="495" t="e">
        <f t="shared" si="15"/>
        <v>#N/A</v>
      </c>
      <c r="AX12" s="657"/>
      <c r="AZ12" s="398" t="e">
        <f t="shared" si="17"/>
        <v>#N/A</v>
      </c>
      <c r="BA12" s="657"/>
    </row>
    <row r="13" spans="1:53" ht="14.25">
      <c r="A13" s="81"/>
      <c r="B13" s="643"/>
      <c r="C13" s="409">
        <v>7</v>
      </c>
      <c r="D13" s="225"/>
      <c r="E13" s="416"/>
      <c r="F13" s="495"/>
      <c r="G13" s="496"/>
      <c r="H13" s="686"/>
      <c r="I13" s="413" t="str">
        <f t="shared" si="0"/>
        <v>-</v>
      </c>
      <c r="J13" s="413" t="str">
        <f t="shared" si="1"/>
        <v>-</v>
      </c>
      <c r="K13" s="199" t="str">
        <f t="shared" si="2"/>
        <v>-</v>
      </c>
      <c r="L13" s="617"/>
      <c r="M13" s="415" t="e">
        <f>RANK(K13, K$7:$K$21)</f>
        <v>#VALUE!</v>
      </c>
      <c r="N13" s="635"/>
      <c r="O13" s="635"/>
      <c r="P13" s="409"/>
      <c r="Q13" s="416"/>
      <c r="R13" s="416"/>
      <c r="S13" s="409" t="e">
        <f t="shared" si="3"/>
        <v>#N/A</v>
      </c>
      <c r="T13" s="657"/>
      <c r="U13" s="495"/>
      <c r="V13" s="416"/>
      <c r="W13" s="416"/>
      <c r="X13" s="495" t="e">
        <f t="shared" si="5"/>
        <v>#N/A</v>
      </c>
      <c r="Y13" s="657"/>
      <c r="Z13" s="495"/>
      <c r="AA13" s="416"/>
      <c r="AB13" s="416"/>
      <c r="AC13" s="495" t="e">
        <f t="shared" si="7"/>
        <v>#N/A</v>
      </c>
      <c r="AD13" s="657"/>
      <c r="AE13" s="495"/>
      <c r="AF13" s="416"/>
      <c r="AG13" s="416"/>
      <c r="AH13" s="495" t="e">
        <f t="shared" si="9"/>
        <v>#N/A</v>
      </c>
      <c r="AI13" s="657"/>
      <c r="AJ13" s="495"/>
      <c r="AK13" s="416"/>
      <c r="AL13" s="416"/>
      <c r="AM13" s="495" t="e">
        <f t="shared" si="11"/>
        <v>#N/A</v>
      </c>
      <c r="AN13" s="657"/>
      <c r="AO13" s="495"/>
      <c r="AP13" s="416"/>
      <c r="AQ13" s="416"/>
      <c r="AR13" s="495" t="e">
        <f t="shared" si="13"/>
        <v>#N/A</v>
      </c>
      <c r="AS13" s="657"/>
      <c r="AT13" s="495"/>
      <c r="AU13" s="416"/>
      <c r="AV13" s="416"/>
      <c r="AW13" s="495" t="e">
        <f t="shared" si="15"/>
        <v>#N/A</v>
      </c>
      <c r="AX13" s="657"/>
      <c r="AZ13" s="398" t="e">
        <f t="shared" si="17"/>
        <v>#N/A</v>
      </c>
      <c r="BA13" s="657"/>
    </row>
    <row r="14" spans="1:53" ht="14.25">
      <c r="A14" s="81"/>
      <c r="B14" s="643"/>
      <c r="C14" s="409">
        <v>8</v>
      </c>
      <c r="D14" s="225"/>
      <c r="E14" s="416"/>
      <c r="F14" s="495"/>
      <c r="G14" s="496"/>
      <c r="H14" s="686"/>
      <c r="I14" s="413" t="str">
        <f t="shared" si="0"/>
        <v>-</v>
      </c>
      <c r="J14" s="413" t="str">
        <f t="shared" si="1"/>
        <v>-</v>
      </c>
      <c r="K14" s="199" t="str">
        <f t="shared" si="2"/>
        <v>-</v>
      </c>
      <c r="L14" s="617"/>
      <c r="M14" s="415" t="e">
        <f>RANK(K14, K$7:$K$21)</f>
        <v>#VALUE!</v>
      </c>
      <c r="N14" s="635"/>
      <c r="O14" s="635"/>
      <c r="P14" s="409"/>
      <c r="Q14" s="416"/>
      <c r="R14" s="416"/>
      <c r="S14" s="409" t="e">
        <f t="shared" si="3"/>
        <v>#N/A</v>
      </c>
      <c r="T14" s="657"/>
      <c r="U14" s="495"/>
      <c r="V14" s="416"/>
      <c r="W14" s="416"/>
      <c r="X14" s="495" t="e">
        <f t="shared" si="5"/>
        <v>#N/A</v>
      </c>
      <c r="Y14" s="657"/>
      <c r="Z14" s="495"/>
      <c r="AA14" s="416"/>
      <c r="AB14" s="416"/>
      <c r="AC14" s="495" t="e">
        <f t="shared" si="7"/>
        <v>#N/A</v>
      </c>
      <c r="AD14" s="657"/>
      <c r="AE14" s="495"/>
      <c r="AF14" s="416"/>
      <c r="AG14" s="416"/>
      <c r="AH14" s="495" t="e">
        <f t="shared" si="9"/>
        <v>#N/A</v>
      </c>
      <c r="AI14" s="657"/>
      <c r="AJ14" s="495"/>
      <c r="AK14" s="416"/>
      <c r="AL14" s="416"/>
      <c r="AM14" s="495" t="e">
        <f t="shared" si="11"/>
        <v>#N/A</v>
      </c>
      <c r="AN14" s="657"/>
      <c r="AO14" s="495"/>
      <c r="AP14" s="416"/>
      <c r="AQ14" s="416"/>
      <c r="AR14" s="495" t="e">
        <f t="shared" si="13"/>
        <v>#N/A</v>
      </c>
      <c r="AS14" s="657"/>
      <c r="AT14" s="495"/>
      <c r="AU14" s="416"/>
      <c r="AV14" s="416"/>
      <c r="AW14" s="495" t="e">
        <f t="shared" si="15"/>
        <v>#N/A</v>
      </c>
      <c r="AX14" s="657"/>
      <c r="AZ14" s="398" t="e">
        <f t="shared" si="17"/>
        <v>#N/A</v>
      </c>
      <c r="BA14" s="657"/>
    </row>
    <row r="15" spans="1:53" ht="14.25">
      <c r="A15" s="81"/>
      <c r="B15" s="643"/>
      <c r="C15" s="409">
        <v>9</v>
      </c>
      <c r="D15" s="225"/>
      <c r="E15" s="416"/>
      <c r="F15" s="495"/>
      <c r="G15" s="496"/>
      <c r="H15" s="686"/>
      <c r="I15" s="413" t="str">
        <f t="shared" si="0"/>
        <v>-</v>
      </c>
      <c r="J15" s="413" t="str">
        <f t="shared" si="1"/>
        <v>-</v>
      </c>
      <c r="K15" s="199" t="str">
        <f t="shared" si="2"/>
        <v>-</v>
      </c>
      <c r="L15" s="617"/>
      <c r="M15" s="415" t="e">
        <f>RANK(K15, K$7:$K$21)</f>
        <v>#VALUE!</v>
      </c>
      <c r="N15" s="635"/>
      <c r="O15" s="635"/>
      <c r="P15" s="409"/>
      <c r="Q15" s="416"/>
      <c r="R15" s="416"/>
      <c r="S15" s="409" t="e">
        <f t="shared" si="3"/>
        <v>#N/A</v>
      </c>
      <c r="T15" s="657"/>
      <c r="U15" s="495"/>
      <c r="V15" s="416"/>
      <c r="W15" s="416"/>
      <c r="X15" s="495" t="e">
        <f t="shared" si="5"/>
        <v>#N/A</v>
      </c>
      <c r="Y15" s="657"/>
      <c r="Z15" s="495"/>
      <c r="AA15" s="416"/>
      <c r="AB15" s="416"/>
      <c r="AC15" s="495" t="e">
        <f t="shared" si="7"/>
        <v>#N/A</v>
      </c>
      <c r="AD15" s="657"/>
      <c r="AE15" s="495"/>
      <c r="AF15" s="416"/>
      <c r="AG15" s="416"/>
      <c r="AH15" s="495" t="e">
        <f t="shared" si="9"/>
        <v>#N/A</v>
      </c>
      <c r="AI15" s="657"/>
      <c r="AJ15" s="495"/>
      <c r="AK15" s="416"/>
      <c r="AL15" s="416"/>
      <c r="AM15" s="495" t="e">
        <f t="shared" si="11"/>
        <v>#N/A</v>
      </c>
      <c r="AN15" s="657"/>
      <c r="AO15" s="495"/>
      <c r="AP15" s="416"/>
      <c r="AQ15" s="416"/>
      <c r="AR15" s="495" t="e">
        <f t="shared" si="13"/>
        <v>#N/A</v>
      </c>
      <c r="AS15" s="657"/>
      <c r="AT15" s="495"/>
      <c r="AU15" s="416"/>
      <c r="AV15" s="416"/>
      <c r="AW15" s="495" t="e">
        <f t="shared" si="15"/>
        <v>#N/A</v>
      </c>
      <c r="AX15" s="657"/>
      <c r="AZ15" s="398" t="e">
        <f t="shared" si="17"/>
        <v>#N/A</v>
      </c>
      <c r="BA15" s="657"/>
    </row>
    <row r="16" spans="1:53" ht="14.25">
      <c r="A16" s="81"/>
      <c r="B16" s="643"/>
      <c r="C16" s="409">
        <v>10</v>
      </c>
      <c r="D16" s="225"/>
      <c r="E16" s="416"/>
      <c r="F16" s="495"/>
      <c r="G16" s="496"/>
      <c r="H16" s="686"/>
      <c r="I16" s="413" t="str">
        <f t="shared" si="0"/>
        <v>-</v>
      </c>
      <c r="J16" s="413" t="str">
        <f t="shared" si="1"/>
        <v>-</v>
      </c>
      <c r="K16" s="199" t="str">
        <f t="shared" si="2"/>
        <v>-</v>
      </c>
      <c r="L16" s="617"/>
      <c r="M16" s="415" t="e">
        <f>RANK(K16, K$7:$K$21)</f>
        <v>#VALUE!</v>
      </c>
      <c r="N16" s="635"/>
      <c r="O16" s="635"/>
      <c r="P16" s="409"/>
      <c r="Q16" s="416"/>
      <c r="R16" s="416"/>
      <c r="S16" s="409" t="e">
        <f t="shared" si="3"/>
        <v>#N/A</v>
      </c>
      <c r="T16" s="657"/>
      <c r="U16" s="495"/>
      <c r="V16" s="416"/>
      <c r="W16" s="416"/>
      <c r="X16" s="495" t="e">
        <f t="shared" si="5"/>
        <v>#N/A</v>
      </c>
      <c r="Y16" s="657"/>
      <c r="Z16" s="495"/>
      <c r="AA16" s="416"/>
      <c r="AB16" s="416"/>
      <c r="AC16" s="495" t="e">
        <f t="shared" si="7"/>
        <v>#N/A</v>
      </c>
      <c r="AD16" s="657"/>
      <c r="AE16" s="495"/>
      <c r="AF16" s="416"/>
      <c r="AG16" s="416"/>
      <c r="AH16" s="495" t="e">
        <f t="shared" si="9"/>
        <v>#N/A</v>
      </c>
      <c r="AI16" s="657"/>
      <c r="AJ16" s="495"/>
      <c r="AK16" s="416"/>
      <c r="AL16" s="416"/>
      <c r="AM16" s="495" t="e">
        <f t="shared" si="11"/>
        <v>#N/A</v>
      </c>
      <c r="AN16" s="657"/>
      <c r="AO16" s="495"/>
      <c r="AP16" s="416"/>
      <c r="AQ16" s="416"/>
      <c r="AR16" s="495" t="e">
        <f t="shared" si="13"/>
        <v>#N/A</v>
      </c>
      <c r="AS16" s="657"/>
      <c r="AT16" s="495"/>
      <c r="AU16" s="416"/>
      <c r="AV16" s="416"/>
      <c r="AW16" s="495" t="e">
        <f t="shared" si="15"/>
        <v>#N/A</v>
      </c>
      <c r="AX16" s="657"/>
      <c r="AZ16" s="398" t="e">
        <f t="shared" si="17"/>
        <v>#N/A</v>
      </c>
      <c r="BA16" s="657"/>
    </row>
    <row r="17" spans="2:53">
      <c r="B17" s="643"/>
      <c r="C17" s="409">
        <v>11</v>
      </c>
      <c r="D17" s="225"/>
      <c r="E17" s="416"/>
      <c r="F17" s="495"/>
      <c r="G17" s="496"/>
      <c r="H17" s="686"/>
      <c r="I17" s="413" t="str">
        <f t="shared" si="0"/>
        <v>-</v>
      </c>
      <c r="J17" s="413" t="str">
        <f t="shared" si="1"/>
        <v>-</v>
      </c>
      <c r="K17" s="199" t="str">
        <f t="shared" si="2"/>
        <v>-</v>
      </c>
      <c r="L17" s="617"/>
      <c r="M17" s="415" t="e">
        <f>RANK(K17, K$7:$K$21)</f>
        <v>#VALUE!</v>
      </c>
      <c r="N17" s="635"/>
      <c r="O17" s="635"/>
      <c r="P17" s="409"/>
      <c r="Q17" s="416"/>
      <c r="R17" s="416"/>
      <c r="S17" s="409" t="e">
        <f t="shared" si="3"/>
        <v>#N/A</v>
      </c>
      <c r="T17" s="657"/>
      <c r="U17" s="495"/>
      <c r="V17" s="416"/>
      <c r="W17" s="416"/>
      <c r="X17" s="495" t="e">
        <f t="shared" si="5"/>
        <v>#N/A</v>
      </c>
      <c r="Y17" s="657"/>
      <c r="Z17" s="495"/>
      <c r="AA17" s="416"/>
      <c r="AB17" s="416"/>
      <c r="AC17" s="495" t="e">
        <f t="shared" si="7"/>
        <v>#N/A</v>
      </c>
      <c r="AD17" s="657"/>
      <c r="AE17" s="495"/>
      <c r="AF17" s="416"/>
      <c r="AG17" s="416"/>
      <c r="AH17" s="495" t="e">
        <f t="shared" si="9"/>
        <v>#N/A</v>
      </c>
      <c r="AI17" s="657"/>
      <c r="AJ17" s="495"/>
      <c r="AK17" s="416"/>
      <c r="AL17" s="416"/>
      <c r="AM17" s="495" t="e">
        <f t="shared" si="11"/>
        <v>#N/A</v>
      </c>
      <c r="AN17" s="657"/>
      <c r="AO17" s="495"/>
      <c r="AP17" s="416"/>
      <c r="AQ17" s="416"/>
      <c r="AR17" s="495" t="e">
        <f t="shared" si="13"/>
        <v>#N/A</v>
      </c>
      <c r="AS17" s="657"/>
      <c r="AT17" s="495"/>
      <c r="AU17" s="416"/>
      <c r="AV17" s="416"/>
      <c r="AW17" s="495" t="e">
        <f t="shared" si="15"/>
        <v>#N/A</v>
      </c>
      <c r="AX17" s="657"/>
      <c r="AZ17" s="398" t="e">
        <f t="shared" si="17"/>
        <v>#N/A</v>
      </c>
      <c r="BA17" s="657"/>
    </row>
    <row r="18" spans="2:53">
      <c r="B18" s="643"/>
      <c r="C18" s="409">
        <v>12</v>
      </c>
      <c r="D18" s="225"/>
      <c r="E18" s="416"/>
      <c r="F18" s="495"/>
      <c r="G18" s="496"/>
      <c r="H18" s="686"/>
      <c r="I18" s="413" t="str">
        <f t="shared" si="0"/>
        <v>-</v>
      </c>
      <c r="J18" s="413" t="str">
        <f t="shared" si="1"/>
        <v>-</v>
      </c>
      <c r="K18" s="199" t="str">
        <f t="shared" si="2"/>
        <v>-</v>
      </c>
      <c r="L18" s="617"/>
      <c r="M18" s="415" t="e">
        <f>RANK(K18, K$7:$K$21)</f>
        <v>#VALUE!</v>
      </c>
      <c r="N18" s="635"/>
      <c r="O18" s="635"/>
      <c r="P18" s="409"/>
      <c r="Q18" s="416"/>
      <c r="R18" s="416"/>
      <c r="S18" s="409" t="e">
        <f t="shared" si="3"/>
        <v>#N/A</v>
      </c>
      <c r="T18" s="657"/>
      <c r="U18" s="495"/>
      <c r="V18" s="416"/>
      <c r="W18" s="416"/>
      <c r="X18" s="495" t="e">
        <f t="shared" si="5"/>
        <v>#N/A</v>
      </c>
      <c r="Y18" s="657"/>
      <c r="Z18" s="495"/>
      <c r="AA18" s="416"/>
      <c r="AB18" s="416"/>
      <c r="AC18" s="495" t="e">
        <f t="shared" si="7"/>
        <v>#N/A</v>
      </c>
      <c r="AD18" s="657"/>
      <c r="AE18" s="495"/>
      <c r="AF18" s="416"/>
      <c r="AG18" s="416"/>
      <c r="AH18" s="495" t="e">
        <f t="shared" si="9"/>
        <v>#N/A</v>
      </c>
      <c r="AI18" s="657"/>
      <c r="AJ18" s="495"/>
      <c r="AK18" s="416"/>
      <c r="AL18" s="416"/>
      <c r="AM18" s="495" t="e">
        <f t="shared" si="11"/>
        <v>#N/A</v>
      </c>
      <c r="AN18" s="657"/>
      <c r="AO18" s="495"/>
      <c r="AP18" s="416"/>
      <c r="AQ18" s="416"/>
      <c r="AR18" s="495" t="e">
        <f t="shared" si="13"/>
        <v>#N/A</v>
      </c>
      <c r="AS18" s="657"/>
      <c r="AT18" s="495"/>
      <c r="AU18" s="416"/>
      <c r="AV18" s="416"/>
      <c r="AW18" s="495" t="e">
        <f t="shared" si="15"/>
        <v>#N/A</v>
      </c>
      <c r="AX18" s="657"/>
      <c r="AZ18" s="398" t="e">
        <f t="shared" si="17"/>
        <v>#N/A</v>
      </c>
      <c r="BA18" s="657"/>
    </row>
    <row r="19" spans="2:53">
      <c r="B19" s="643"/>
      <c r="C19" s="409">
        <v>13</v>
      </c>
      <c r="D19" s="225"/>
      <c r="E19" s="416"/>
      <c r="F19" s="495"/>
      <c r="G19" s="496"/>
      <c r="H19" s="686"/>
      <c r="I19" s="413" t="str">
        <f t="shared" si="0"/>
        <v>-</v>
      </c>
      <c r="J19" s="413" t="str">
        <f t="shared" si="1"/>
        <v>-</v>
      </c>
      <c r="K19" s="199" t="str">
        <f t="shared" si="2"/>
        <v>-</v>
      </c>
      <c r="L19" s="617"/>
      <c r="M19" s="415" t="e">
        <f>RANK(K19, K$7:$K$21)</f>
        <v>#VALUE!</v>
      </c>
      <c r="N19" s="635"/>
      <c r="O19" s="635"/>
      <c r="P19" s="409"/>
      <c r="Q19" s="416"/>
      <c r="R19" s="416"/>
      <c r="S19" s="409" t="e">
        <f t="shared" si="3"/>
        <v>#N/A</v>
      </c>
      <c r="T19" s="657"/>
      <c r="U19" s="495"/>
      <c r="V19" s="416"/>
      <c r="W19" s="416"/>
      <c r="X19" s="495" t="e">
        <f t="shared" si="5"/>
        <v>#N/A</v>
      </c>
      <c r="Y19" s="657"/>
      <c r="Z19" s="495"/>
      <c r="AA19" s="416"/>
      <c r="AB19" s="416"/>
      <c r="AC19" s="495" t="e">
        <f t="shared" si="7"/>
        <v>#N/A</v>
      </c>
      <c r="AD19" s="657"/>
      <c r="AE19" s="495"/>
      <c r="AF19" s="416"/>
      <c r="AG19" s="416"/>
      <c r="AH19" s="495" t="e">
        <f t="shared" si="9"/>
        <v>#N/A</v>
      </c>
      <c r="AI19" s="657"/>
      <c r="AJ19" s="495"/>
      <c r="AK19" s="416"/>
      <c r="AL19" s="416"/>
      <c r="AM19" s="495" t="e">
        <f t="shared" si="11"/>
        <v>#N/A</v>
      </c>
      <c r="AN19" s="657"/>
      <c r="AO19" s="495"/>
      <c r="AP19" s="416"/>
      <c r="AQ19" s="416"/>
      <c r="AR19" s="495" t="e">
        <f t="shared" si="13"/>
        <v>#N/A</v>
      </c>
      <c r="AS19" s="657"/>
      <c r="AT19" s="495"/>
      <c r="AU19" s="416"/>
      <c r="AV19" s="416"/>
      <c r="AW19" s="495" t="e">
        <f t="shared" si="15"/>
        <v>#N/A</v>
      </c>
      <c r="AX19" s="657"/>
      <c r="AZ19" s="398" t="e">
        <f t="shared" si="17"/>
        <v>#N/A</v>
      </c>
      <c r="BA19" s="657"/>
    </row>
    <row r="20" spans="2:53">
      <c r="B20" s="643"/>
      <c r="C20" s="409">
        <v>14</v>
      </c>
      <c r="D20" s="225"/>
      <c r="E20" s="416"/>
      <c r="F20" s="495"/>
      <c r="G20" s="496"/>
      <c r="H20" s="686"/>
      <c r="I20" s="413" t="str">
        <f t="shared" si="0"/>
        <v>-</v>
      </c>
      <c r="J20" s="413" t="str">
        <f t="shared" si="1"/>
        <v>-</v>
      </c>
      <c r="K20" s="199" t="str">
        <f t="shared" si="2"/>
        <v>-</v>
      </c>
      <c r="L20" s="617"/>
      <c r="M20" s="415" t="e">
        <f>RANK(K20, K$7:$K$21)</f>
        <v>#VALUE!</v>
      </c>
      <c r="N20" s="635"/>
      <c r="O20" s="635"/>
      <c r="P20" s="409"/>
      <c r="Q20" s="416"/>
      <c r="R20" s="416"/>
      <c r="S20" s="409" t="e">
        <f t="shared" si="3"/>
        <v>#N/A</v>
      </c>
      <c r="T20" s="657"/>
      <c r="U20" s="495"/>
      <c r="V20" s="416"/>
      <c r="W20" s="416"/>
      <c r="X20" s="495" t="e">
        <f t="shared" si="5"/>
        <v>#N/A</v>
      </c>
      <c r="Y20" s="657"/>
      <c r="Z20" s="495"/>
      <c r="AA20" s="416"/>
      <c r="AB20" s="416"/>
      <c r="AC20" s="495" t="e">
        <f t="shared" si="7"/>
        <v>#N/A</v>
      </c>
      <c r="AD20" s="657"/>
      <c r="AE20" s="495"/>
      <c r="AF20" s="416"/>
      <c r="AG20" s="416"/>
      <c r="AH20" s="495" t="e">
        <f t="shared" si="9"/>
        <v>#N/A</v>
      </c>
      <c r="AI20" s="657"/>
      <c r="AJ20" s="495"/>
      <c r="AK20" s="416"/>
      <c r="AL20" s="416"/>
      <c r="AM20" s="495" t="e">
        <f t="shared" si="11"/>
        <v>#N/A</v>
      </c>
      <c r="AN20" s="657"/>
      <c r="AO20" s="495"/>
      <c r="AP20" s="416"/>
      <c r="AQ20" s="416"/>
      <c r="AR20" s="495" t="e">
        <f t="shared" si="13"/>
        <v>#N/A</v>
      </c>
      <c r="AS20" s="657"/>
      <c r="AT20" s="495"/>
      <c r="AU20" s="416"/>
      <c r="AV20" s="416"/>
      <c r="AW20" s="495" t="e">
        <f t="shared" si="15"/>
        <v>#N/A</v>
      </c>
      <c r="AX20" s="657"/>
      <c r="AZ20" s="398" t="e">
        <f t="shared" si="17"/>
        <v>#N/A</v>
      </c>
      <c r="BA20" s="657"/>
    </row>
    <row r="21" spans="2:53">
      <c r="B21" s="643"/>
      <c r="C21" s="409">
        <v>15</v>
      </c>
      <c r="D21" s="225"/>
      <c r="E21" s="416"/>
      <c r="F21" s="495"/>
      <c r="G21" s="496"/>
      <c r="H21" s="687"/>
      <c r="I21" s="201"/>
      <c r="J21" s="201"/>
      <c r="K21" s="201"/>
      <c r="L21" s="618"/>
      <c r="M21" s="418" t="e">
        <f>RANK(K21, K$7:$K$21)</f>
        <v>#N/A</v>
      </c>
      <c r="N21" s="635"/>
      <c r="O21" s="635"/>
      <c r="P21" s="409"/>
      <c r="Q21" s="416"/>
      <c r="R21" s="416"/>
      <c r="S21" s="409" t="e">
        <f t="shared" si="3"/>
        <v>#N/A</v>
      </c>
      <c r="T21" s="657"/>
      <c r="U21" s="495"/>
      <c r="V21" s="416"/>
      <c r="W21" s="416"/>
      <c r="X21" s="495" t="e">
        <f t="shared" si="5"/>
        <v>#N/A</v>
      </c>
      <c r="Y21" s="657"/>
      <c r="Z21" s="495"/>
      <c r="AA21" s="416"/>
      <c r="AB21" s="416"/>
      <c r="AC21" s="495" t="e">
        <f t="shared" si="7"/>
        <v>#N/A</v>
      </c>
      <c r="AD21" s="657"/>
      <c r="AE21" s="495"/>
      <c r="AF21" s="416"/>
      <c r="AG21" s="416"/>
      <c r="AH21" s="495" t="e">
        <f t="shared" si="9"/>
        <v>#N/A</v>
      </c>
      <c r="AI21" s="657"/>
      <c r="AJ21" s="495"/>
      <c r="AK21" s="416"/>
      <c r="AL21" s="416"/>
      <c r="AM21" s="495" t="e">
        <f t="shared" si="11"/>
        <v>#N/A</v>
      </c>
      <c r="AN21" s="657"/>
      <c r="AO21" s="495"/>
      <c r="AP21" s="416"/>
      <c r="AQ21" s="416"/>
      <c r="AR21" s="495" t="e">
        <f t="shared" si="13"/>
        <v>#N/A</v>
      </c>
      <c r="AS21" s="657"/>
      <c r="AT21" s="495"/>
      <c r="AU21" s="416"/>
      <c r="AV21" s="416"/>
      <c r="AW21" s="495" t="e">
        <f t="shared" si="15"/>
        <v>#N/A</v>
      </c>
      <c r="AX21" s="657"/>
      <c r="AZ21" s="398" t="e">
        <f t="shared" si="17"/>
        <v>#N/A</v>
      </c>
      <c r="BA21" s="657"/>
    </row>
    <row r="22" spans="2:53" ht="15.75">
      <c r="B22" s="661" t="s">
        <v>163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36" t="s">
        <v>156</v>
      </c>
      <c r="O22" s="636" t="s">
        <v>105</v>
      </c>
      <c r="P22" s="642">
        <f>P2+7</f>
        <v>46175</v>
      </c>
      <c r="Q22" s="643"/>
      <c r="R22" s="643"/>
      <c r="S22" s="643"/>
      <c r="T22" s="643"/>
      <c r="U22" s="639">
        <f>P22+1</f>
        <v>46176</v>
      </c>
      <c r="V22" s="640"/>
      <c r="W22" s="640"/>
      <c r="X22" s="640"/>
      <c r="Y22" s="641"/>
      <c r="Z22" s="639">
        <f>U22+1</f>
        <v>46177</v>
      </c>
      <c r="AA22" s="640"/>
      <c r="AB22" s="640"/>
      <c r="AC22" s="640"/>
      <c r="AD22" s="641"/>
      <c r="AE22" s="639">
        <f>Z22+1</f>
        <v>46178</v>
      </c>
      <c r="AF22" s="640"/>
      <c r="AG22" s="640"/>
      <c r="AH22" s="640"/>
      <c r="AI22" s="641"/>
      <c r="AJ22" s="639">
        <f>AE22+1</f>
        <v>46179</v>
      </c>
      <c r="AK22" s="640"/>
      <c r="AL22" s="640"/>
      <c r="AM22" s="640"/>
      <c r="AN22" s="641"/>
      <c r="AO22" s="639">
        <f>AJ22+1</f>
        <v>46180</v>
      </c>
      <c r="AP22" s="640"/>
      <c r="AQ22" s="640"/>
      <c r="AR22" s="640"/>
      <c r="AS22" s="641"/>
      <c r="AT22" s="639">
        <f>AO22+1</f>
        <v>46181</v>
      </c>
      <c r="AU22" s="640"/>
      <c r="AV22" s="640"/>
      <c r="AW22" s="640"/>
      <c r="AX22" s="641"/>
    </row>
    <row r="23" spans="2:53" ht="15.75">
      <c r="B23" s="650"/>
      <c r="C23" s="650"/>
      <c r="D23" s="650"/>
      <c r="E23" s="650"/>
      <c r="F23" s="650"/>
      <c r="G23" s="650"/>
      <c r="H23" s="650"/>
      <c r="I23" s="204"/>
      <c r="J23" s="204"/>
      <c r="K23" s="204"/>
      <c r="L23" s="204"/>
      <c r="M23" s="205"/>
      <c r="N23" s="638"/>
      <c r="O23" s="638"/>
      <c r="P23" s="642" t="s">
        <v>318</v>
      </c>
      <c r="Q23" s="643"/>
      <c r="R23" s="643"/>
      <c r="S23" s="643"/>
      <c r="T23" s="643"/>
      <c r="U23" s="642" t="s">
        <v>319</v>
      </c>
      <c r="V23" s="643"/>
      <c r="W23" s="643"/>
      <c r="X23" s="643"/>
      <c r="Y23" s="643"/>
      <c r="Z23" s="642" t="s">
        <v>320</v>
      </c>
      <c r="AA23" s="643"/>
      <c r="AB23" s="643"/>
      <c r="AC23" s="643"/>
      <c r="AD23" s="643"/>
      <c r="AE23" s="642" t="s">
        <v>321</v>
      </c>
      <c r="AF23" s="643"/>
      <c r="AG23" s="643"/>
      <c r="AH23" s="643"/>
      <c r="AI23" s="643"/>
      <c r="AJ23" s="642" t="s">
        <v>322</v>
      </c>
      <c r="AK23" s="643"/>
      <c r="AL23" s="643"/>
      <c r="AM23" s="643"/>
      <c r="AN23" s="643"/>
      <c r="AO23" s="642" t="s">
        <v>323</v>
      </c>
      <c r="AP23" s="643"/>
      <c r="AQ23" s="643"/>
      <c r="AR23" s="643"/>
      <c r="AS23" s="643"/>
      <c r="AT23" s="642" t="s">
        <v>324</v>
      </c>
      <c r="AU23" s="643"/>
      <c r="AV23" s="643"/>
      <c r="AW23" s="643"/>
      <c r="AX23" s="643"/>
    </row>
    <row r="24" spans="2:53">
      <c r="B24" s="635" t="s">
        <v>154</v>
      </c>
      <c r="C24" s="635" t="s">
        <v>384</v>
      </c>
      <c r="D24" s="635"/>
      <c r="E24" s="635" t="s">
        <v>375</v>
      </c>
      <c r="F24" s="635"/>
      <c r="G24" s="635"/>
      <c r="H24" s="651" t="s">
        <v>371</v>
      </c>
      <c r="I24" s="619" t="s">
        <v>376</v>
      </c>
      <c r="J24" s="619"/>
      <c r="K24" s="619"/>
      <c r="L24" s="620" t="s">
        <v>371</v>
      </c>
      <c r="M24" s="626" t="s">
        <v>372</v>
      </c>
      <c r="N24" s="635"/>
      <c r="O24" s="635" t="s">
        <v>377</v>
      </c>
      <c r="P24" s="632" t="s">
        <v>373</v>
      </c>
      <c r="Q24" s="633"/>
      <c r="R24" s="633"/>
      <c r="S24" s="634"/>
      <c r="T24" s="635" t="s">
        <v>371</v>
      </c>
      <c r="U24" s="632" t="s">
        <v>373</v>
      </c>
      <c r="V24" s="633"/>
      <c r="W24" s="633"/>
      <c r="X24" s="634"/>
      <c r="Y24" s="635" t="s">
        <v>371</v>
      </c>
      <c r="Z24" s="632" t="s">
        <v>373</v>
      </c>
      <c r="AA24" s="633"/>
      <c r="AB24" s="633"/>
      <c r="AC24" s="634"/>
      <c r="AD24" s="635" t="s">
        <v>371</v>
      </c>
      <c r="AE24" s="632" t="s">
        <v>373</v>
      </c>
      <c r="AF24" s="633"/>
      <c r="AG24" s="633"/>
      <c r="AH24" s="634"/>
      <c r="AI24" s="635" t="s">
        <v>371</v>
      </c>
      <c r="AJ24" s="632" t="s">
        <v>373</v>
      </c>
      <c r="AK24" s="633"/>
      <c r="AL24" s="633"/>
      <c r="AM24" s="634"/>
      <c r="AN24" s="635" t="s">
        <v>371</v>
      </c>
      <c r="AO24" s="632" t="s">
        <v>373</v>
      </c>
      <c r="AP24" s="633"/>
      <c r="AQ24" s="633"/>
      <c r="AR24" s="634"/>
      <c r="AS24" s="635" t="s">
        <v>371</v>
      </c>
      <c r="AT24" s="632" t="s">
        <v>373</v>
      </c>
      <c r="AU24" s="633"/>
      <c r="AV24" s="633"/>
      <c r="AW24" s="634"/>
      <c r="AX24" s="635" t="s">
        <v>371</v>
      </c>
      <c r="BA24" s="635" t="s">
        <v>371</v>
      </c>
    </row>
    <row r="25" spans="2:53">
      <c r="B25" s="635"/>
      <c r="C25" s="635"/>
      <c r="D25" s="635"/>
      <c r="E25" s="635" t="s">
        <v>378</v>
      </c>
      <c r="F25" s="635"/>
      <c r="G25" s="635"/>
      <c r="H25" s="652"/>
      <c r="I25" s="619" t="s">
        <v>378</v>
      </c>
      <c r="J25" s="619"/>
      <c r="K25" s="619"/>
      <c r="L25" s="621"/>
      <c r="M25" s="627"/>
      <c r="N25" s="635"/>
      <c r="O25" s="635"/>
      <c r="P25" s="632" t="s">
        <v>379</v>
      </c>
      <c r="Q25" s="633"/>
      <c r="R25" s="633"/>
      <c r="S25" s="634"/>
      <c r="T25" s="635"/>
      <c r="U25" s="632" t="s">
        <v>379</v>
      </c>
      <c r="V25" s="633"/>
      <c r="W25" s="633"/>
      <c r="X25" s="634"/>
      <c r="Y25" s="635"/>
      <c r="Z25" s="632" t="s">
        <v>379</v>
      </c>
      <c r="AA25" s="633"/>
      <c r="AB25" s="633"/>
      <c r="AC25" s="634"/>
      <c r="AD25" s="635"/>
      <c r="AE25" s="632" t="s">
        <v>379</v>
      </c>
      <c r="AF25" s="633"/>
      <c r="AG25" s="633"/>
      <c r="AH25" s="634"/>
      <c r="AI25" s="635"/>
      <c r="AJ25" s="632" t="s">
        <v>379</v>
      </c>
      <c r="AK25" s="633"/>
      <c r="AL25" s="633"/>
      <c r="AM25" s="634"/>
      <c r="AN25" s="635"/>
      <c r="AO25" s="632" t="s">
        <v>379</v>
      </c>
      <c r="AP25" s="633"/>
      <c r="AQ25" s="633"/>
      <c r="AR25" s="634"/>
      <c r="AS25" s="635"/>
      <c r="AT25" s="632" t="s">
        <v>379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408" t="s">
        <v>380</v>
      </c>
      <c r="F26" s="408" t="s">
        <v>381</v>
      </c>
      <c r="G26" s="408" t="s">
        <v>382</v>
      </c>
      <c r="H26" s="653"/>
      <c r="I26" s="407" t="s">
        <v>380</v>
      </c>
      <c r="J26" s="407" t="s">
        <v>381</v>
      </c>
      <c r="K26" s="407" t="s">
        <v>382</v>
      </c>
      <c r="L26" s="622"/>
      <c r="M26" s="628"/>
      <c r="N26" s="635"/>
      <c r="O26" s="635"/>
      <c r="P26" s="408" t="s">
        <v>380</v>
      </c>
      <c r="Q26" s="408" t="s">
        <v>381</v>
      </c>
      <c r="R26" s="408" t="s">
        <v>382</v>
      </c>
      <c r="S26" s="408" t="s">
        <v>372</v>
      </c>
      <c r="T26" s="635"/>
      <c r="U26" s="408" t="s">
        <v>380</v>
      </c>
      <c r="V26" s="408" t="s">
        <v>381</v>
      </c>
      <c r="W26" s="408" t="s">
        <v>382</v>
      </c>
      <c r="X26" s="408" t="s">
        <v>372</v>
      </c>
      <c r="Y26" s="635"/>
      <c r="Z26" s="408" t="s">
        <v>380</v>
      </c>
      <c r="AA26" s="408" t="s">
        <v>381</v>
      </c>
      <c r="AB26" s="408" t="s">
        <v>382</v>
      </c>
      <c r="AC26" s="408" t="s">
        <v>372</v>
      </c>
      <c r="AD26" s="635"/>
      <c r="AE26" s="408" t="s">
        <v>380</v>
      </c>
      <c r="AF26" s="408" t="s">
        <v>381</v>
      </c>
      <c r="AG26" s="408" t="s">
        <v>382</v>
      </c>
      <c r="AH26" s="408" t="s">
        <v>372</v>
      </c>
      <c r="AI26" s="635"/>
      <c r="AJ26" s="408" t="s">
        <v>380</v>
      </c>
      <c r="AK26" s="408" t="s">
        <v>381</v>
      </c>
      <c r="AL26" s="408" t="s">
        <v>382</v>
      </c>
      <c r="AM26" s="408" t="s">
        <v>372</v>
      </c>
      <c r="AN26" s="635"/>
      <c r="AO26" s="408" t="s">
        <v>380</v>
      </c>
      <c r="AP26" s="408" t="s">
        <v>381</v>
      </c>
      <c r="AQ26" s="408" t="s">
        <v>382</v>
      </c>
      <c r="AR26" s="408" t="s">
        <v>372</v>
      </c>
      <c r="AS26" s="635"/>
      <c r="AT26" s="408" t="s">
        <v>380</v>
      </c>
      <c r="AU26" s="408" t="s">
        <v>381</v>
      </c>
      <c r="AV26" s="408" t="s">
        <v>382</v>
      </c>
      <c r="AW26" s="408" t="s">
        <v>372</v>
      </c>
      <c r="AX26" s="635"/>
      <c r="AZ26" s="397" t="s">
        <v>372</v>
      </c>
      <c r="BA26" s="635"/>
    </row>
    <row r="27" spans="2:53">
      <c r="B27" s="635" t="s">
        <v>385</v>
      </c>
      <c r="C27" s="409">
        <v>1</v>
      </c>
      <c r="D27" s="225" t="s">
        <v>632</v>
      </c>
      <c r="E27" s="416">
        <v>15</v>
      </c>
      <c r="F27" s="495">
        <v>1500</v>
      </c>
      <c r="G27" s="496">
        <v>100</v>
      </c>
      <c r="H27" s="685">
        <f>AVERAGE(G27:G41)</f>
        <v>100</v>
      </c>
      <c r="I27" s="413">
        <f t="shared" ref="I27:I40" si="19">IFERROR(AVERAGE(P27,U27,Z27,AE27,AJ27,AO27,AT27),"-")</f>
        <v>12.571428571428571</v>
      </c>
      <c r="J27" s="413">
        <f t="shared" ref="J27:J40" si="20">IFERROR(AVERAGE(Q27,V27,AA27,AF27,AK27,AP27,AU27),"-")</f>
        <v>1479.0336734693876</v>
      </c>
      <c r="K27" s="199">
        <f t="shared" ref="K27:K40" si="21">IFERROR(AVERAGE(R27,W27,AB27,AG27,AL27,AQ27,AV27),"-")</f>
        <v>117.78207744636315</v>
      </c>
      <c r="L27" s="616">
        <f>IFERROR(AVERAGE(K27:K41),"-")</f>
        <v>117.78207744636315</v>
      </c>
      <c r="M27" s="415">
        <f>RANK(K27, K$24:$K$41)</f>
        <v>1</v>
      </c>
      <c r="N27" s="635"/>
      <c r="O27" s="635"/>
      <c r="P27" s="539">
        <v>13</v>
      </c>
      <c r="Q27" s="416">
        <v>1463.2499999999995</v>
      </c>
      <c r="R27" s="416">
        <v>112.55769230769228</v>
      </c>
      <c r="S27" s="539">
        <f t="shared" ref="S27:S41" si="22">RANK(R27, R$27:R$41)</f>
        <v>1</v>
      </c>
      <c r="T27" s="644">
        <f t="shared" ref="T27" si="23">AVERAGE(R27:R41)</f>
        <v>112.55769230769228</v>
      </c>
      <c r="U27" s="539">
        <v>12</v>
      </c>
      <c r="V27" s="416">
        <v>1460.0000000000005</v>
      </c>
      <c r="W27" s="416">
        <v>121.6666666666667</v>
      </c>
      <c r="X27" s="539">
        <f t="shared" ref="X27:X41" si="24">RANK(W27, W$27:W$41)</f>
        <v>1</v>
      </c>
      <c r="Y27" s="644">
        <f t="shared" ref="Y27" si="25">AVERAGE(W27:W41)</f>
        <v>121.6666666666667</v>
      </c>
      <c r="Z27" s="539">
        <v>12</v>
      </c>
      <c r="AA27" s="416">
        <v>1443.2000000000005</v>
      </c>
      <c r="AB27" s="416">
        <v>120.26666666666671</v>
      </c>
      <c r="AC27" s="539">
        <f t="shared" ref="AC27:AC41" si="26">RANK(AB27, AB$27:AB$41)</f>
        <v>1</v>
      </c>
      <c r="AD27" s="644">
        <f t="shared" ref="AD27" si="27">AVERAGE(AB27:AB41)</f>
        <v>120.26666666666671</v>
      </c>
      <c r="AE27" s="539">
        <v>12</v>
      </c>
      <c r="AF27" s="416">
        <v>1476.0000000000005</v>
      </c>
      <c r="AG27" s="416">
        <v>123.00000000000004</v>
      </c>
      <c r="AH27" s="539">
        <f t="shared" ref="AH27:AH41" si="28">RANK(AG27, AG$27:AG$41)</f>
        <v>1</v>
      </c>
      <c r="AI27" s="644">
        <f t="shared" ref="AI27" si="29">AVERAGE(AG27:AG41)</f>
        <v>123.00000000000004</v>
      </c>
      <c r="AJ27" s="539">
        <v>13</v>
      </c>
      <c r="AK27" s="416">
        <v>1531.9999999999993</v>
      </c>
      <c r="AL27" s="416">
        <v>117.8461538461538</v>
      </c>
      <c r="AM27" s="539">
        <f t="shared" ref="AM27:AM41" si="30">RANK(AL27, AL$27:AL$41)</f>
        <v>1</v>
      </c>
      <c r="AN27" s="644">
        <f t="shared" ref="AN27" si="31">AVERAGE(AL27:AL41)</f>
        <v>117.8461538461538</v>
      </c>
      <c r="AO27" s="539">
        <v>13</v>
      </c>
      <c r="AP27" s="416">
        <v>1534.2857142857126</v>
      </c>
      <c r="AQ27" s="416">
        <v>118.0219780219779</v>
      </c>
      <c r="AR27" s="539">
        <f t="shared" ref="AR27:AR41" si="32">RANK(AQ27, AQ$27:AQ$41)</f>
        <v>1</v>
      </c>
      <c r="AS27" s="644">
        <f t="shared" ref="AS27" si="33">AVERAGE(AQ27:AQ41)</f>
        <v>118.0219780219779</v>
      </c>
      <c r="AT27" s="539">
        <v>13</v>
      </c>
      <c r="AU27" s="416">
        <v>1444.4999999999995</v>
      </c>
      <c r="AV27" s="416">
        <v>111.11538461538458</v>
      </c>
      <c r="AW27" s="539">
        <f t="shared" ref="AW27:AW41" si="34">RANK(AV27, AV$27:AV$41)</f>
        <v>1</v>
      </c>
      <c r="AX27" s="644">
        <f t="shared" ref="AX27" si="35">AVERAGE(AV27:AV41)</f>
        <v>111.11538461538458</v>
      </c>
      <c r="AZ27" s="398" t="e">
        <f t="shared" ref="AZ27:AZ41" si="36">RANK(AY27, AY$27:AY$41)</f>
        <v>#N/A</v>
      </c>
      <c r="BA27" s="644" t="e">
        <f t="shared" ref="BA27" si="37">AVERAGE(AY27:AY41)</f>
        <v>#DIV/0!</v>
      </c>
    </row>
    <row r="28" spans="2:53">
      <c r="B28" s="643"/>
      <c r="C28" s="409">
        <v>2</v>
      </c>
      <c r="D28" s="225"/>
      <c r="E28" s="416"/>
      <c r="F28" s="495"/>
      <c r="G28" s="496"/>
      <c r="H28" s="686"/>
      <c r="I28" s="413" t="str">
        <f t="shared" si="19"/>
        <v>-</v>
      </c>
      <c r="J28" s="413" t="str">
        <f t="shared" si="20"/>
        <v>-</v>
      </c>
      <c r="K28" s="199" t="str">
        <f t="shared" si="21"/>
        <v>-</v>
      </c>
      <c r="L28" s="617"/>
      <c r="M28" s="419" t="e">
        <f>RANK(K28, K$24:$K$41)</f>
        <v>#VALUE!</v>
      </c>
      <c r="N28" s="635"/>
      <c r="O28" s="635"/>
      <c r="P28" s="539" t="s">
        <v>615</v>
      </c>
      <c r="Q28" s="416" t="s">
        <v>615</v>
      </c>
      <c r="R28" s="416" t="s">
        <v>615</v>
      </c>
      <c r="S28" s="539" t="e">
        <f t="shared" si="22"/>
        <v>#VALUE!</v>
      </c>
      <c r="T28" s="645"/>
      <c r="U28" s="539" t="s">
        <v>615</v>
      </c>
      <c r="V28" s="416" t="s">
        <v>615</v>
      </c>
      <c r="W28" s="416" t="s">
        <v>615</v>
      </c>
      <c r="X28" s="539" t="e">
        <f t="shared" si="24"/>
        <v>#VALUE!</v>
      </c>
      <c r="Y28" s="645"/>
      <c r="Z28" s="539" t="s">
        <v>615</v>
      </c>
      <c r="AA28" s="416" t="s">
        <v>615</v>
      </c>
      <c r="AB28" s="416" t="s">
        <v>615</v>
      </c>
      <c r="AC28" s="539" t="e">
        <f t="shared" si="26"/>
        <v>#VALUE!</v>
      </c>
      <c r="AD28" s="645"/>
      <c r="AE28" s="539" t="s">
        <v>615</v>
      </c>
      <c r="AF28" s="416" t="s">
        <v>615</v>
      </c>
      <c r="AG28" s="416" t="s">
        <v>615</v>
      </c>
      <c r="AH28" s="539" t="e">
        <f t="shared" si="28"/>
        <v>#VALUE!</v>
      </c>
      <c r="AI28" s="645"/>
      <c r="AJ28" s="539" t="s">
        <v>615</v>
      </c>
      <c r="AK28" s="416" t="s">
        <v>615</v>
      </c>
      <c r="AL28" s="416" t="s">
        <v>615</v>
      </c>
      <c r="AM28" s="539" t="e">
        <f t="shared" si="30"/>
        <v>#VALUE!</v>
      </c>
      <c r="AN28" s="645"/>
      <c r="AO28" s="539" t="s">
        <v>615</v>
      </c>
      <c r="AP28" s="416" t="s">
        <v>615</v>
      </c>
      <c r="AQ28" s="416" t="s">
        <v>615</v>
      </c>
      <c r="AR28" s="539" t="e">
        <f t="shared" si="32"/>
        <v>#VALUE!</v>
      </c>
      <c r="AS28" s="645"/>
      <c r="AT28" s="539" t="s">
        <v>615</v>
      </c>
      <c r="AU28" s="416" t="s">
        <v>615</v>
      </c>
      <c r="AV28" s="416" t="s">
        <v>615</v>
      </c>
      <c r="AW28" s="539" t="e">
        <f t="shared" si="34"/>
        <v>#VALUE!</v>
      </c>
      <c r="AX28" s="645"/>
      <c r="AZ28" s="398" t="e">
        <f t="shared" si="36"/>
        <v>#N/A</v>
      </c>
      <c r="BA28" s="645"/>
    </row>
    <row r="29" spans="2:53">
      <c r="B29" s="643"/>
      <c r="C29" s="409">
        <v>3</v>
      </c>
      <c r="D29" s="225"/>
      <c r="E29" s="416"/>
      <c r="F29" s="495"/>
      <c r="G29" s="496"/>
      <c r="H29" s="686"/>
      <c r="I29" s="413" t="str">
        <f t="shared" si="19"/>
        <v>-</v>
      </c>
      <c r="J29" s="413" t="str">
        <f t="shared" si="20"/>
        <v>-</v>
      </c>
      <c r="K29" s="199" t="str">
        <f t="shared" si="21"/>
        <v>-</v>
      </c>
      <c r="L29" s="617"/>
      <c r="M29" s="419" t="e">
        <f>RANK(K29, K$24:$K$41)</f>
        <v>#VALUE!</v>
      </c>
      <c r="N29" s="635"/>
      <c r="O29" s="635"/>
      <c r="P29" s="539" t="s">
        <v>615</v>
      </c>
      <c r="Q29" s="416" t="s">
        <v>615</v>
      </c>
      <c r="R29" s="416" t="s">
        <v>615</v>
      </c>
      <c r="S29" s="539" t="e">
        <f t="shared" si="22"/>
        <v>#VALUE!</v>
      </c>
      <c r="T29" s="645"/>
      <c r="U29" s="539" t="s">
        <v>615</v>
      </c>
      <c r="V29" s="416" t="s">
        <v>615</v>
      </c>
      <c r="W29" s="416" t="s">
        <v>615</v>
      </c>
      <c r="X29" s="539" t="e">
        <f t="shared" si="24"/>
        <v>#VALUE!</v>
      </c>
      <c r="Y29" s="645"/>
      <c r="Z29" s="539" t="s">
        <v>615</v>
      </c>
      <c r="AA29" s="416" t="s">
        <v>615</v>
      </c>
      <c r="AB29" s="416" t="s">
        <v>615</v>
      </c>
      <c r="AC29" s="539" t="e">
        <f t="shared" si="26"/>
        <v>#VALUE!</v>
      </c>
      <c r="AD29" s="645"/>
      <c r="AE29" s="539" t="s">
        <v>615</v>
      </c>
      <c r="AF29" s="416" t="s">
        <v>615</v>
      </c>
      <c r="AG29" s="416" t="s">
        <v>615</v>
      </c>
      <c r="AH29" s="539" t="e">
        <f t="shared" si="28"/>
        <v>#VALUE!</v>
      </c>
      <c r="AI29" s="645"/>
      <c r="AJ29" s="539" t="s">
        <v>615</v>
      </c>
      <c r="AK29" s="416" t="s">
        <v>615</v>
      </c>
      <c r="AL29" s="416" t="s">
        <v>615</v>
      </c>
      <c r="AM29" s="539" t="e">
        <f t="shared" si="30"/>
        <v>#VALUE!</v>
      </c>
      <c r="AN29" s="645"/>
      <c r="AO29" s="539" t="s">
        <v>615</v>
      </c>
      <c r="AP29" s="416" t="s">
        <v>615</v>
      </c>
      <c r="AQ29" s="416" t="s">
        <v>615</v>
      </c>
      <c r="AR29" s="539" t="e">
        <f t="shared" si="32"/>
        <v>#VALUE!</v>
      </c>
      <c r="AS29" s="645"/>
      <c r="AT29" s="539" t="s">
        <v>615</v>
      </c>
      <c r="AU29" s="416" t="s">
        <v>615</v>
      </c>
      <c r="AV29" s="416" t="s">
        <v>615</v>
      </c>
      <c r="AW29" s="539" t="e">
        <f t="shared" si="34"/>
        <v>#VALUE!</v>
      </c>
      <c r="AX29" s="645"/>
      <c r="AZ29" s="398" t="e">
        <f t="shared" si="36"/>
        <v>#N/A</v>
      </c>
      <c r="BA29" s="645"/>
    </row>
    <row r="30" spans="2:53">
      <c r="B30" s="643"/>
      <c r="C30" s="409">
        <v>4</v>
      </c>
      <c r="D30" s="225"/>
      <c r="E30" s="416"/>
      <c r="F30" s="495"/>
      <c r="G30" s="496"/>
      <c r="H30" s="686"/>
      <c r="I30" s="413" t="str">
        <f t="shared" si="19"/>
        <v>-</v>
      </c>
      <c r="J30" s="413" t="str">
        <f t="shared" si="20"/>
        <v>-</v>
      </c>
      <c r="K30" s="199" t="str">
        <f t="shared" si="21"/>
        <v>-</v>
      </c>
      <c r="L30" s="617"/>
      <c r="M30" s="419" t="e">
        <f>RANK(K30, K$24:$K$41)</f>
        <v>#VALUE!</v>
      </c>
      <c r="N30" s="635"/>
      <c r="O30" s="635"/>
      <c r="P30" s="539" t="s">
        <v>615</v>
      </c>
      <c r="Q30" s="416" t="s">
        <v>615</v>
      </c>
      <c r="R30" s="416" t="s">
        <v>615</v>
      </c>
      <c r="S30" s="539" t="e">
        <f t="shared" si="22"/>
        <v>#VALUE!</v>
      </c>
      <c r="T30" s="645"/>
      <c r="U30" s="539" t="s">
        <v>615</v>
      </c>
      <c r="V30" s="416" t="s">
        <v>615</v>
      </c>
      <c r="W30" s="416" t="s">
        <v>615</v>
      </c>
      <c r="X30" s="539" t="e">
        <f t="shared" si="24"/>
        <v>#VALUE!</v>
      </c>
      <c r="Y30" s="645"/>
      <c r="Z30" s="539" t="s">
        <v>615</v>
      </c>
      <c r="AA30" s="416" t="s">
        <v>615</v>
      </c>
      <c r="AB30" s="416" t="s">
        <v>615</v>
      </c>
      <c r="AC30" s="539" t="e">
        <f t="shared" si="26"/>
        <v>#VALUE!</v>
      </c>
      <c r="AD30" s="645"/>
      <c r="AE30" s="539" t="s">
        <v>615</v>
      </c>
      <c r="AF30" s="416" t="s">
        <v>615</v>
      </c>
      <c r="AG30" s="416" t="s">
        <v>615</v>
      </c>
      <c r="AH30" s="539" t="e">
        <f t="shared" si="28"/>
        <v>#VALUE!</v>
      </c>
      <c r="AI30" s="645"/>
      <c r="AJ30" s="539" t="s">
        <v>615</v>
      </c>
      <c r="AK30" s="416" t="s">
        <v>615</v>
      </c>
      <c r="AL30" s="416" t="s">
        <v>615</v>
      </c>
      <c r="AM30" s="539" t="e">
        <f t="shared" si="30"/>
        <v>#VALUE!</v>
      </c>
      <c r="AN30" s="645"/>
      <c r="AO30" s="539" t="s">
        <v>615</v>
      </c>
      <c r="AP30" s="416" t="s">
        <v>615</v>
      </c>
      <c r="AQ30" s="416" t="s">
        <v>615</v>
      </c>
      <c r="AR30" s="539" t="e">
        <f t="shared" si="32"/>
        <v>#VALUE!</v>
      </c>
      <c r="AS30" s="645"/>
      <c r="AT30" s="539" t="s">
        <v>615</v>
      </c>
      <c r="AU30" s="416" t="s">
        <v>615</v>
      </c>
      <c r="AV30" s="416" t="s">
        <v>615</v>
      </c>
      <c r="AW30" s="539" t="e">
        <f t="shared" si="34"/>
        <v>#VALUE!</v>
      </c>
      <c r="AX30" s="645"/>
      <c r="AZ30" s="398" t="e">
        <f t="shared" si="36"/>
        <v>#N/A</v>
      </c>
      <c r="BA30" s="645"/>
    </row>
    <row r="31" spans="2:53">
      <c r="B31" s="643"/>
      <c r="C31" s="409">
        <v>5</v>
      </c>
      <c r="D31" s="225"/>
      <c r="E31" s="416"/>
      <c r="F31" s="495"/>
      <c r="G31" s="496"/>
      <c r="H31" s="686"/>
      <c r="I31" s="413" t="str">
        <f t="shared" si="19"/>
        <v>-</v>
      </c>
      <c r="J31" s="413" t="str">
        <f t="shared" si="20"/>
        <v>-</v>
      </c>
      <c r="K31" s="199" t="str">
        <f t="shared" si="21"/>
        <v>-</v>
      </c>
      <c r="L31" s="617"/>
      <c r="M31" s="419" t="e">
        <f>RANK(K31, K$24:$K$41)</f>
        <v>#VALUE!</v>
      </c>
      <c r="N31" s="635"/>
      <c r="O31" s="635"/>
      <c r="P31" s="539" t="s">
        <v>615</v>
      </c>
      <c r="Q31" s="416" t="s">
        <v>615</v>
      </c>
      <c r="R31" s="416" t="s">
        <v>615</v>
      </c>
      <c r="S31" s="539" t="e">
        <f t="shared" si="22"/>
        <v>#VALUE!</v>
      </c>
      <c r="T31" s="645"/>
      <c r="U31" s="539" t="s">
        <v>615</v>
      </c>
      <c r="V31" s="416" t="s">
        <v>615</v>
      </c>
      <c r="W31" s="416" t="s">
        <v>615</v>
      </c>
      <c r="X31" s="539" t="e">
        <f t="shared" si="24"/>
        <v>#VALUE!</v>
      </c>
      <c r="Y31" s="645"/>
      <c r="Z31" s="539" t="s">
        <v>615</v>
      </c>
      <c r="AA31" s="416" t="s">
        <v>615</v>
      </c>
      <c r="AB31" s="416" t="s">
        <v>615</v>
      </c>
      <c r="AC31" s="539" t="e">
        <f t="shared" si="26"/>
        <v>#VALUE!</v>
      </c>
      <c r="AD31" s="645"/>
      <c r="AE31" s="539" t="s">
        <v>615</v>
      </c>
      <c r="AF31" s="416" t="s">
        <v>615</v>
      </c>
      <c r="AG31" s="416" t="s">
        <v>615</v>
      </c>
      <c r="AH31" s="539" t="e">
        <f t="shared" si="28"/>
        <v>#VALUE!</v>
      </c>
      <c r="AI31" s="645"/>
      <c r="AJ31" s="539" t="s">
        <v>615</v>
      </c>
      <c r="AK31" s="416" t="s">
        <v>615</v>
      </c>
      <c r="AL31" s="416" t="s">
        <v>615</v>
      </c>
      <c r="AM31" s="539" t="e">
        <f t="shared" si="30"/>
        <v>#VALUE!</v>
      </c>
      <c r="AN31" s="645"/>
      <c r="AO31" s="539" t="s">
        <v>615</v>
      </c>
      <c r="AP31" s="416" t="s">
        <v>615</v>
      </c>
      <c r="AQ31" s="416" t="s">
        <v>615</v>
      </c>
      <c r="AR31" s="539" t="e">
        <f t="shared" si="32"/>
        <v>#VALUE!</v>
      </c>
      <c r="AS31" s="645"/>
      <c r="AT31" s="539" t="s">
        <v>615</v>
      </c>
      <c r="AU31" s="416" t="s">
        <v>615</v>
      </c>
      <c r="AV31" s="416" t="s">
        <v>615</v>
      </c>
      <c r="AW31" s="539" t="e">
        <f t="shared" si="34"/>
        <v>#VALUE!</v>
      </c>
      <c r="AX31" s="645"/>
      <c r="AZ31" s="398" t="e">
        <f t="shared" si="36"/>
        <v>#N/A</v>
      </c>
      <c r="BA31" s="645"/>
    </row>
    <row r="32" spans="2:53">
      <c r="B32" s="643"/>
      <c r="C32" s="409">
        <v>6</v>
      </c>
      <c r="D32" s="225"/>
      <c r="E32" s="416"/>
      <c r="F32" s="495"/>
      <c r="G32" s="496"/>
      <c r="H32" s="686"/>
      <c r="I32" s="413" t="str">
        <f t="shared" si="19"/>
        <v>-</v>
      </c>
      <c r="J32" s="413" t="str">
        <f t="shared" si="20"/>
        <v>-</v>
      </c>
      <c r="K32" s="199" t="str">
        <f t="shared" si="21"/>
        <v>-</v>
      </c>
      <c r="L32" s="617"/>
      <c r="M32" s="419" t="e">
        <f>RANK(K32, K$24:$K$41)</f>
        <v>#VALUE!</v>
      </c>
      <c r="N32" s="635"/>
      <c r="O32" s="635"/>
      <c r="P32" s="539" t="s">
        <v>615</v>
      </c>
      <c r="Q32" s="416" t="s">
        <v>615</v>
      </c>
      <c r="R32" s="416" t="s">
        <v>615</v>
      </c>
      <c r="S32" s="539" t="e">
        <f t="shared" si="22"/>
        <v>#VALUE!</v>
      </c>
      <c r="T32" s="645"/>
      <c r="U32" s="539" t="s">
        <v>615</v>
      </c>
      <c r="V32" s="416" t="s">
        <v>615</v>
      </c>
      <c r="W32" s="416" t="s">
        <v>615</v>
      </c>
      <c r="X32" s="539" t="e">
        <f t="shared" si="24"/>
        <v>#VALUE!</v>
      </c>
      <c r="Y32" s="645"/>
      <c r="Z32" s="539" t="s">
        <v>615</v>
      </c>
      <c r="AA32" s="416" t="s">
        <v>615</v>
      </c>
      <c r="AB32" s="416" t="s">
        <v>615</v>
      </c>
      <c r="AC32" s="539" t="e">
        <f t="shared" si="26"/>
        <v>#VALUE!</v>
      </c>
      <c r="AD32" s="645"/>
      <c r="AE32" s="539" t="s">
        <v>615</v>
      </c>
      <c r="AF32" s="416" t="s">
        <v>615</v>
      </c>
      <c r="AG32" s="416" t="s">
        <v>615</v>
      </c>
      <c r="AH32" s="539" t="e">
        <f t="shared" si="28"/>
        <v>#VALUE!</v>
      </c>
      <c r="AI32" s="645"/>
      <c r="AJ32" s="539" t="s">
        <v>615</v>
      </c>
      <c r="AK32" s="416" t="s">
        <v>615</v>
      </c>
      <c r="AL32" s="416" t="s">
        <v>615</v>
      </c>
      <c r="AM32" s="539" t="e">
        <f t="shared" si="30"/>
        <v>#VALUE!</v>
      </c>
      <c r="AN32" s="645"/>
      <c r="AO32" s="539" t="s">
        <v>615</v>
      </c>
      <c r="AP32" s="416" t="s">
        <v>615</v>
      </c>
      <c r="AQ32" s="416" t="s">
        <v>615</v>
      </c>
      <c r="AR32" s="539" t="e">
        <f t="shared" si="32"/>
        <v>#VALUE!</v>
      </c>
      <c r="AS32" s="645"/>
      <c r="AT32" s="539" t="s">
        <v>615</v>
      </c>
      <c r="AU32" s="416" t="s">
        <v>615</v>
      </c>
      <c r="AV32" s="416" t="s">
        <v>615</v>
      </c>
      <c r="AW32" s="539" t="e">
        <f t="shared" si="34"/>
        <v>#VALUE!</v>
      </c>
      <c r="AX32" s="645"/>
      <c r="AZ32" s="398" t="e">
        <f t="shared" si="36"/>
        <v>#N/A</v>
      </c>
      <c r="BA32" s="645"/>
    </row>
    <row r="33" spans="2:53">
      <c r="B33" s="643"/>
      <c r="C33" s="409">
        <v>7</v>
      </c>
      <c r="D33" s="225"/>
      <c r="E33" s="416"/>
      <c r="F33" s="495"/>
      <c r="G33" s="496"/>
      <c r="H33" s="686"/>
      <c r="I33" s="413" t="str">
        <f t="shared" si="19"/>
        <v>-</v>
      </c>
      <c r="J33" s="413" t="str">
        <f t="shared" si="20"/>
        <v>-</v>
      </c>
      <c r="K33" s="199" t="str">
        <f t="shared" si="21"/>
        <v>-</v>
      </c>
      <c r="L33" s="617"/>
      <c r="M33" s="419" t="e">
        <f>RANK(K33, K$24:$K$41)</f>
        <v>#VALUE!</v>
      </c>
      <c r="N33" s="635"/>
      <c r="O33" s="635"/>
      <c r="P33" s="539" t="s">
        <v>615</v>
      </c>
      <c r="Q33" s="416" t="s">
        <v>615</v>
      </c>
      <c r="R33" s="416" t="s">
        <v>615</v>
      </c>
      <c r="S33" s="539" t="e">
        <f t="shared" si="22"/>
        <v>#VALUE!</v>
      </c>
      <c r="T33" s="645"/>
      <c r="U33" s="539" t="s">
        <v>615</v>
      </c>
      <c r="V33" s="416" t="s">
        <v>615</v>
      </c>
      <c r="W33" s="416" t="s">
        <v>615</v>
      </c>
      <c r="X33" s="539" t="e">
        <f t="shared" si="24"/>
        <v>#VALUE!</v>
      </c>
      <c r="Y33" s="645"/>
      <c r="Z33" s="539" t="s">
        <v>615</v>
      </c>
      <c r="AA33" s="416" t="s">
        <v>615</v>
      </c>
      <c r="AB33" s="416" t="s">
        <v>615</v>
      </c>
      <c r="AC33" s="539" t="e">
        <f t="shared" si="26"/>
        <v>#VALUE!</v>
      </c>
      <c r="AD33" s="645"/>
      <c r="AE33" s="539" t="s">
        <v>615</v>
      </c>
      <c r="AF33" s="416" t="s">
        <v>615</v>
      </c>
      <c r="AG33" s="416" t="s">
        <v>615</v>
      </c>
      <c r="AH33" s="539" t="e">
        <f t="shared" si="28"/>
        <v>#VALUE!</v>
      </c>
      <c r="AI33" s="645"/>
      <c r="AJ33" s="539" t="s">
        <v>615</v>
      </c>
      <c r="AK33" s="416" t="s">
        <v>615</v>
      </c>
      <c r="AL33" s="416" t="s">
        <v>615</v>
      </c>
      <c r="AM33" s="539" t="e">
        <f t="shared" si="30"/>
        <v>#VALUE!</v>
      </c>
      <c r="AN33" s="645"/>
      <c r="AO33" s="539" t="s">
        <v>615</v>
      </c>
      <c r="AP33" s="416" t="s">
        <v>615</v>
      </c>
      <c r="AQ33" s="416" t="s">
        <v>615</v>
      </c>
      <c r="AR33" s="539" t="e">
        <f t="shared" si="32"/>
        <v>#VALUE!</v>
      </c>
      <c r="AS33" s="645"/>
      <c r="AT33" s="539" t="s">
        <v>615</v>
      </c>
      <c r="AU33" s="416" t="s">
        <v>615</v>
      </c>
      <c r="AV33" s="416" t="s">
        <v>615</v>
      </c>
      <c r="AW33" s="539" t="e">
        <f t="shared" si="34"/>
        <v>#VALUE!</v>
      </c>
      <c r="AX33" s="645"/>
      <c r="AZ33" s="398" t="e">
        <f t="shared" si="36"/>
        <v>#N/A</v>
      </c>
      <c r="BA33" s="645"/>
    </row>
    <row r="34" spans="2:53">
      <c r="B34" s="643"/>
      <c r="C34" s="409">
        <v>8</v>
      </c>
      <c r="D34" s="225"/>
      <c r="E34" s="416"/>
      <c r="F34" s="495"/>
      <c r="G34" s="496"/>
      <c r="H34" s="686"/>
      <c r="I34" s="413" t="str">
        <f t="shared" si="19"/>
        <v>-</v>
      </c>
      <c r="J34" s="413" t="str">
        <f t="shared" si="20"/>
        <v>-</v>
      </c>
      <c r="K34" s="199" t="str">
        <f t="shared" si="21"/>
        <v>-</v>
      </c>
      <c r="L34" s="617"/>
      <c r="M34" s="419" t="e">
        <f>RANK(K34, K$24:$K$41)</f>
        <v>#VALUE!</v>
      </c>
      <c r="N34" s="635"/>
      <c r="O34" s="635"/>
      <c r="P34" s="539" t="s">
        <v>615</v>
      </c>
      <c r="Q34" s="416" t="s">
        <v>615</v>
      </c>
      <c r="R34" s="416" t="s">
        <v>615</v>
      </c>
      <c r="S34" s="539" t="e">
        <f t="shared" si="22"/>
        <v>#VALUE!</v>
      </c>
      <c r="T34" s="645"/>
      <c r="U34" s="539" t="s">
        <v>615</v>
      </c>
      <c r="V34" s="416" t="s">
        <v>615</v>
      </c>
      <c r="W34" s="416" t="s">
        <v>615</v>
      </c>
      <c r="X34" s="539" t="e">
        <f t="shared" si="24"/>
        <v>#VALUE!</v>
      </c>
      <c r="Y34" s="645"/>
      <c r="Z34" s="539" t="s">
        <v>615</v>
      </c>
      <c r="AA34" s="416" t="s">
        <v>615</v>
      </c>
      <c r="AB34" s="416" t="s">
        <v>615</v>
      </c>
      <c r="AC34" s="539" t="e">
        <f t="shared" si="26"/>
        <v>#VALUE!</v>
      </c>
      <c r="AD34" s="645"/>
      <c r="AE34" s="539" t="s">
        <v>615</v>
      </c>
      <c r="AF34" s="416" t="s">
        <v>615</v>
      </c>
      <c r="AG34" s="416" t="s">
        <v>615</v>
      </c>
      <c r="AH34" s="539" t="e">
        <f t="shared" si="28"/>
        <v>#VALUE!</v>
      </c>
      <c r="AI34" s="645"/>
      <c r="AJ34" s="539" t="s">
        <v>615</v>
      </c>
      <c r="AK34" s="416" t="s">
        <v>615</v>
      </c>
      <c r="AL34" s="416" t="s">
        <v>615</v>
      </c>
      <c r="AM34" s="539" t="e">
        <f t="shared" si="30"/>
        <v>#VALUE!</v>
      </c>
      <c r="AN34" s="645"/>
      <c r="AO34" s="539" t="s">
        <v>615</v>
      </c>
      <c r="AP34" s="416" t="s">
        <v>615</v>
      </c>
      <c r="AQ34" s="416" t="s">
        <v>615</v>
      </c>
      <c r="AR34" s="539" t="e">
        <f t="shared" si="32"/>
        <v>#VALUE!</v>
      </c>
      <c r="AS34" s="645"/>
      <c r="AT34" s="539" t="s">
        <v>615</v>
      </c>
      <c r="AU34" s="416" t="s">
        <v>615</v>
      </c>
      <c r="AV34" s="416" t="s">
        <v>615</v>
      </c>
      <c r="AW34" s="539" t="e">
        <f t="shared" si="34"/>
        <v>#VALUE!</v>
      </c>
      <c r="AX34" s="645"/>
      <c r="AZ34" s="398" t="e">
        <f t="shared" si="36"/>
        <v>#N/A</v>
      </c>
      <c r="BA34" s="645"/>
    </row>
    <row r="35" spans="2:53">
      <c r="B35" s="643"/>
      <c r="C35" s="409">
        <v>9</v>
      </c>
      <c r="D35" s="225"/>
      <c r="E35" s="416"/>
      <c r="F35" s="495"/>
      <c r="G35" s="496"/>
      <c r="H35" s="686"/>
      <c r="I35" s="413" t="str">
        <f t="shared" si="19"/>
        <v>-</v>
      </c>
      <c r="J35" s="413" t="str">
        <f t="shared" si="20"/>
        <v>-</v>
      </c>
      <c r="K35" s="199" t="str">
        <f t="shared" si="21"/>
        <v>-</v>
      </c>
      <c r="L35" s="617"/>
      <c r="M35" s="419" t="e">
        <f>RANK(K35, K$24:$K$41)</f>
        <v>#VALUE!</v>
      </c>
      <c r="N35" s="635"/>
      <c r="O35" s="635"/>
      <c r="P35" s="539" t="s">
        <v>615</v>
      </c>
      <c r="Q35" s="416" t="s">
        <v>615</v>
      </c>
      <c r="R35" s="416" t="s">
        <v>615</v>
      </c>
      <c r="S35" s="539" t="e">
        <f t="shared" si="22"/>
        <v>#VALUE!</v>
      </c>
      <c r="T35" s="645"/>
      <c r="U35" s="539" t="s">
        <v>615</v>
      </c>
      <c r="V35" s="416" t="s">
        <v>615</v>
      </c>
      <c r="W35" s="416" t="s">
        <v>615</v>
      </c>
      <c r="X35" s="539" t="e">
        <f t="shared" si="24"/>
        <v>#VALUE!</v>
      </c>
      <c r="Y35" s="645"/>
      <c r="Z35" s="539" t="s">
        <v>615</v>
      </c>
      <c r="AA35" s="416" t="s">
        <v>615</v>
      </c>
      <c r="AB35" s="416" t="s">
        <v>615</v>
      </c>
      <c r="AC35" s="539" t="e">
        <f t="shared" si="26"/>
        <v>#VALUE!</v>
      </c>
      <c r="AD35" s="645"/>
      <c r="AE35" s="539" t="s">
        <v>615</v>
      </c>
      <c r="AF35" s="416" t="s">
        <v>615</v>
      </c>
      <c r="AG35" s="416" t="s">
        <v>615</v>
      </c>
      <c r="AH35" s="539" t="e">
        <f t="shared" si="28"/>
        <v>#VALUE!</v>
      </c>
      <c r="AI35" s="645"/>
      <c r="AJ35" s="539" t="s">
        <v>615</v>
      </c>
      <c r="AK35" s="416" t="s">
        <v>615</v>
      </c>
      <c r="AL35" s="416" t="s">
        <v>615</v>
      </c>
      <c r="AM35" s="539" t="e">
        <f t="shared" si="30"/>
        <v>#VALUE!</v>
      </c>
      <c r="AN35" s="645"/>
      <c r="AO35" s="539" t="s">
        <v>615</v>
      </c>
      <c r="AP35" s="416" t="s">
        <v>615</v>
      </c>
      <c r="AQ35" s="416" t="s">
        <v>615</v>
      </c>
      <c r="AR35" s="539" t="e">
        <f t="shared" si="32"/>
        <v>#VALUE!</v>
      </c>
      <c r="AS35" s="645"/>
      <c r="AT35" s="539" t="s">
        <v>615</v>
      </c>
      <c r="AU35" s="416" t="s">
        <v>615</v>
      </c>
      <c r="AV35" s="416" t="s">
        <v>615</v>
      </c>
      <c r="AW35" s="539" t="e">
        <f t="shared" si="34"/>
        <v>#VALUE!</v>
      </c>
      <c r="AX35" s="645"/>
      <c r="AZ35" s="398" t="e">
        <f t="shared" si="36"/>
        <v>#N/A</v>
      </c>
      <c r="BA35" s="645"/>
    </row>
    <row r="36" spans="2:53">
      <c r="B36" s="643"/>
      <c r="C36" s="409">
        <v>10</v>
      </c>
      <c r="D36" s="225"/>
      <c r="E36" s="416"/>
      <c r="F36" s="495"/>
      <c r="G36" s="496"/>
      <c r="H36" s="686"/>
      <c r="I36" s="413" t="str">
        <f t="shared" si="19"/>
        <v>-</v>
      </c>
      <c r="J36" s="413" t="str">
        <f t="shared" si="20"/>
        <v>-</v>
      </c>
      <c r="K36" s="199" t="str">
        <f t="shared" si="21"/>
        <v>-</v>
      </c>
      <c r="L36" s="617"/>
      <c r="M36" s="419" t="e">
        <f>RANK(K36, K$24:$K$41)</f>
        <v>#VALUE!</v>
      </c>
      <c r="N36" s="635"/>
      <c r="O36" s="635"/>
      <c r="P36" s="539" t="s">
        <v>615</v>
      </c>
      <c r="Q36" s="416" t="s">
        <v>615</v>
      </c>
      <c r="R36" s="416" t="s">
        <v>615</v>
      </c>
      <c r="S36" s="539" t="e">
        <f t="shared" si="22"/>
        <v>#VALUE!</v>
      </c>
      <c r="T36" s="645"/>
      <c r="U36" s="539" t="s">
        <v>615</v>
      </c>
      <c r="V36" s="416" t="s">
        <v>615</v>
      </c>
      <c r="W36" s="416" t="s">
        <v>615</v>
      </c>
      <c r="X36" s="539" t="e">
        <f t="shared" si="24"/>
        <v>#VALUE!</v>
      </c>
      <c r="Y36" s="645"/>
      <c r="Z36" s="539" t="s">
        <v>615</v>
      </c>
      <c r="AA36" s="416" t="s">
        <v>615</v>
      </c>
      <c r="AB36" s="416" t="s">
        <v>615</v>
      </c>
      <c r="AC36" s="539" t="e">
        <f t="shared" si="26"/>
        <v>#VALUE!</v>
      </c>
      <c r="AD36" s="645"/>
      <c r="AE36" s="539" t="s">
        <v>615</v>
      </c>
      <c r="AF36" s="416" t="s">
        <v>615</v>
      </c>
      <c r="AG36" s="416" t="s">
        <v>615</v>
      </c>
      <c r="AH36" s="539" t="e">
        <f t="shared" si="28"/>
        <v>#VALUE!</v>
      </c>
      <c r="AI36" s="645"/>
      <c r="AJ36" s="539" t="s">
        <v>615</v>
      </c>
      <c r="AK36" s="416" t="s">
        <v>615</v>
      </c>
      <c r="AL36" s="416" t="s">
        <v>615</v>
      </c>
      <c r="AM36" s="539" t="e">
        <f t="shared" si="30"/>
        <v>#VALUE!</v>
      </c>
      <c r="AN36" s="645"/>
      <c r="AO36" s="539" t="s">
        <v>615</v>
      </c>
      <c r="AP36" s="416" t="s">
        <v>615</v>
      </c>
      <c r="AQ36" s="416" t="s">
        <v>615</v>
      </c>
      <c r="AR36" s="539" t="e">
        <f t="shared" si="32"/>
        <v>#VALUE!</v>
      </c>
      <c r="AS36" s="645"/>
      <c r="AT36" s="539" t="s">
        <v>615</v>
      </c>
      <c r="AU36" s="416" t="s">
        <v>615</v>
      </c>
      <c r="AV36" s="416" t="s">
        <v>615</v>
      </c>
      <c r="AW36" s="539" t="e">
        <f t="shared" si="34"/>
        <v>#VALUE!</v>
      </c>
      <c r="AX36" s="645"/>
      <c r="AZ36" s="398" t="e">
        <f t="shared" si="36"/>
        <v>#N/A</v>
      </c>
      <c r="BA36" s="645"/>
    </row>
    <row r="37" spans="2:53">
      <c r="B37" s="643"/>
      <c r="C37" s="409">
        <v>11</v>
      </c>
      <c r="D37" s="225"/>
      <c r="E37" s="416"/>
      <c r="F37" s="495"/>
      <c r="G37" s="496"/>
      <c r="H37" s="686"/>
      <c r="I37" s="413" t="str">
        <f t="shared" si="19"/>
        <v>-</v>
      </c>
      <c r="J37" s="413" t="str">
        <f t="shared" si="20"/>
        <v>-</v>
      </c>
      <c r="K37" s="199" t="str">
        <f t="shared" si="21"/>
        <v>-</v>
      </c>
      <c r="L37" s="617"/>
      <c r="M37" s="419" t="e">
        <f>RANK(K37, K$24:$K$41)</f>
        <v>#VALUE!</v>
      </c>
      <c r="N37" s="635"/>
      <c r="O37" s="635"/>
      <c r="P37" s="539" t="s">
        <v>615</v>
      </c>
      <c r="Q37" s="416" t="s">
        <v>615</v>
      </c>
      <c r="R37" s="416" t="s">
        <v>615</v>
      </c>
      <c r="S37" s="539" t="e">
        <f t="shared" si="22"/>
        <v>#VALUE!</v>
      </c>
      <c r="T37" s="645"/>
      <c r="U37" s="539" t="s">
        <v>615</v>
      </c>
      <c r="V37" s="416" t="s">
        <v>615</v>
      </c>
      <c r="W37" s="416" t="s">
        <v>615</v>
      </c>
      <c r="X37" s="539" t="e">
        <f t="shared" si="24"/>
        <v>#VALUE!</v>
      </c>
      <c r="Y37" s="645"/>
      <c r="Z37" s="539" t="s">
        <v>615</v>
      </c>
      <c r="AA37" s="416" t="s">
        <v>615</v>
      </c>
      <c r="AB37" s="416" t="s">
        <v>615</v>
      </c>
      <c r="AC37" s="539" t="e">
        <f t="shared" si="26"/>
        <v>#VALUE!</v>
      </c>
      <c r="AD37" s="645"/>
      <c r="AE37" s="539" t="s">
        <v>615</v>
      </c>
      <c r="AF37" s="416" t="s">
        <v>615</v>
      </c>
      <c r="AG37" s="416" t="s">
        <v>615</v>
      </c>
      <c r="AH37" s="539" t="e">
        <f t="shared" si="28"/>
        <v>#VALUE!</v>
      </c>
      <c r="AI37" s="645"/>
      <c r="AJ37" s="539" t="s">
        <v>615</v>
      </c>
      <c r="AK37" s="416" t="s">
        <v>615</v>
      </c>
      <c r="AL37" s="416" t="s">
        <v>615</v>
      </c>
      <c r="AM37" s="539" t="e">
        <f t="shared" si="30"/>
        <v>#VALUE!</v>
      </c>
      <c r="AN37" s="645"/>
      <c r="AO37" s="539" t="s">
        <v>615</v>
      </c>
      <c r="AP37" s="416" t="s">
        <v>615</v>
      </c>
      <c r="AQ37" s="416" t="s">
        <v>615</v>
      </c>
      <c r="AR37" s="539" t="e">
        <f t="shared" si="32"/>
        <v>#VALUE!</v>
      </c>
      <c r="AS37" s="645"/>
      <c r="AT37" s="539" t="s">
        <v>615</v>
      </c>
      <c r="AU37" s="416" t="s">
        <v>615</v>
      </c>
      <c r="AV37" s="416" t="s">
        <v>615</v>
      </c>
      <c r="AW37" s="539" t="e">
        <f t="shared" si="34"/>
        <v>#VALUE!</v>
      </c>
      <c r="AX37" s="645"/>
      <c r="AZ37" s="398" t="e">
        <f t="shared" si="36"/>
        <v>#N/A</v>
      </c>
      <c r="BA37" s="645"/>
    </row>
    <row r="38" spans="2:53">
      <c r="B38" s="643"/>
      <c r="C38" s="409">
        <v>12</v>
      </c>
      <c r="D38" s="225"/>
      <c r="E38" s="416"/>
      <c r="F38" s="495"/>
      <c r="G38" s="496"/>
      <c r="H38" s="686"/>
      <c r="I38" s="413" t="str">
        <f t="shared" si="19"/>
        <v>-</v>
      </c>
      <c r="J38" s="413" t="str">
        <f t="shared" si="20"/>
        <v>-</v>
      </c>
      <c r="K38" s="199" t="str">
        <f t="shared" si="21"/>
        <v>-</v>
      </c>
      <c r="L38" s="617"/>
      <c r="M38" s="419" t="e">
        <f>RANK(K38, K$24:$K$41)</f>
        <v>#VALUE!</v>
      </c>
      <c r="N38" s="635"/>
      <c r="O38" s="635"/>
      <c r="P38" s="539" t="s">
        <v>615</v>
      </c>
      <c r="Q38" s="416" t="s">
        <v>615</v>
      </c>
      <c r="R38" s="416" t="s">
        <v>615</v>
      </c>
      <c r="S38" s="539" t="e">
        <f t="shared" si="22"/>
        <v>#VALUE!</v>
      </c>
      <c r="T38" s="645"/>
      <c r="U38" s="539" t="s">
        <v>615</v>
      </c>
      <c r="V38" s="416" t="s">
        <v>615</v>
      </c>
      <c r="W38" s="416" t="s">
        <v>615</v>
      </c>
      <c r="X38" s="539" t="e">
        <f t="shared" si="24"/>
        <v>#VALUE!</v>
      </c>
      <c r="Y38" s="645"/>
      <c r="Z38" s="539" t="s">
        <v>615</v>
      </c>
      <c r="AA38" s="416" t="s">
        <v>615</v>
      </c>
      <c r="AB38" s="416" t="s">
        <v>615</v>
      </c>
      <c r="AC38" s="539" t="e">
        <f t="shared" si="26"/>
        <v>#VALUE!</v>
      </c>
      <c r="AD38" s="645"/>
      <c r="AE38" s="539" t="s">
        <v>615</v>
      </c>
      <c r="AF38" s="416" t="s">
        <v>615</v>
      </c>
      <c r="AG38" s="416" t="s">
        <v>615</v>
      </c>
      <c r="AH38" s="539" t="e">
        <f t="shared" si="28"/>
        <v>#VALUE!</v>
      </c>
      <c r="AI38" s="645"/>
      <c r="AJ38" s="539" t="s">
        <v>615</v>
      </c>
      <c r="AK38" s="416" t="s">
        <v>615</v>
      </c>
      <c r="AL38" s="416" t="s">
        <v>615</v>
      </c>
      <c r="AM38" s="539" t="e">
        <f t="shared" si="30"/>
        <v>#VALUE!</v>
      </c>
      <c r="AN38" s="645"/>
      <c r="AO38" s="539" t="s">
        <v>615</v>
      </c>
      <c r="AP38" s="416" t="s">
        <v>615</v>
      </c>
      <c r="AQ38" s="416" t="s">
        <v>615</v>
      </c>
      <c r="AR38" s="539" t="e">
        <f t="shared" si="32"/>
        <v>#VALUE!</v>
      </c>
      <c r="AS38" s="645"/>
      <c r="AT38" s="539" t="s">
        <v>615</v>
      </c>
      <c r="AU38" s="416" t="s">
        <v>615</v>
      </c>
      <c r="AV38" s="416" t="s">
        <v>615</v>
      </c>
      <c r="AW38" s="539" t="e">
        <f t="shared" si="34"/>
        <v>#VALUE!</v>
      </c>
      <c r="AX38" s="645"/>
      <c r="AZ38" s="398" t="e">
        <f t="shared" si="36"/>
        <v>#N/A</v>
      </c>
      <c r="BA38" s="645"/>
    </row>
    <row r="39" spans="2:53">
      <c r="B39" s="643"/>
      <c r="C39" s="409">
        <v>13</v>
      </c>
      <c r="D39" s="225"/>
      <c r="E39" s="416"/>
      <c r="F39" s="495"/>
      <c r="G39" s="496"/>
      <c r="H39" s="686"/>
      <c r="I39" s="413" t="str">
        <f t="shared" si="19"/>
        <v>-</v>
      </c>
      <c r="J39" s="413" t="str">
        <f t="shared" si="20"/>
        <v>-</v>
      </c>
      <c r="K39" s="199" t="str">
        <f t="shared" si="21"/>
        <v>-</v>
      </c>
      <c r="L39" s="617"/>
      <c r="M39" s="419" t="e">
        <f>RANK(K39, K$24:$K$41)</f>
        <v>#VALUE!</v>
      </c>
      <c r="N39" s="635"/>
      <c r="O39" s="635"/>
      <c r="P39" s="539" t="s">
        <v>615</v>
      </c>
      <c r="Q39" s="416" t="s">
        <v>615</v>
      </c>
      <c r="R39" s="416" t="s">
        <v>615</v>
      </c>
      <c r="S39" s="539" t="e">
        <f t="shared" si="22"/>
        <v>#VALUE!</v>
      </c>
      <c r="T39" s="645"/>
      <c r="U39" s="539" t="s">
        <v>615</v>
      </c>
      <c r="V39" s="416" t="s">
        <v>615</v>
      </c>
      <c r="W39" s="416" t="s">
        <v>615</v>
      </c>
      <c r="X39" s="539" t="e">
        <f t="shared" si="24"/>
        <v>#VALUE!</v>
      </c>
      <c r="Y39" s="645"/>
      <c r="Z39" s="539" t="s">
        <v>615</v>
      </c>
      <c r="AA39" s="416" t="s">
        <v>615</v>
      </c>
      <c r="AB39" s="416" t="s">
        <v>615</v>
      </c>
      <c r="AC39" s="539" t="e">
        <f t="shared" si="26"/>
        <v>#VALUE!</v>
      </c>
      <c r="AD39" s="645"/>
      <c r="AE39" s="539" t="s">
        <v>615</v>
      </c>
      <c r="AF39" s="416" t="s">
        <v>615</v>
      </c>
      <c r="AG39" s="416" t="s">
        <v>615</v>
      </c>
      <c r="AH39" s="539" t="e">
        <f t="shared" si="28"/>
        <v>#VALUE!</v>
      </c>
      <c r="AI39" s="645"/>
      <c r="AJ39" s="539" t="s">
        <v>615</v>
      </c>
      <c r="AK39" s="416" t="s">
        <v>615</v>
      </c>
      <c r="AL39" s="416" t="s">
        <v>615</v>
      </c>
      <c r="AM39" s="539" t="e">
        <f t="shared" si="30"/>
        <v>#VALUE!</v>
      </c>
      <c r="AN39" s="645"/>
      <c r="AO39" s="539" t="s">
        <v>615</v>
      </c>
      <c r="AP39" s="416" t="s">
        <v>615</v>
      </c>
      <c r="AQ39" s="416" t="s">
        <v>615</v>
      </c>
      <c r="AR39" s="539" t="e">
        <f t="shared" si="32"/>
        <v>#VALUE!</v>
      </c>
      <c r="AS39" s="645"/>
      <c r="AT39" s="539" t="s">
        <v>615</v>
      </c>
      <c r="AU39" s="416" t="s">
        <v>615</v>
      </c>
      <c r="AV39" s="416" t="s">
        <v>615</v>
      </c>
      <c r="AW39" s="539" t="e">
        <f t="shared" si="34"/>
        <v>#VALUE!</v>
      </c>
      <c r="AX39" s="645"/>
      <c r="AZ39" s="398" t="e">
        <f t="shared" si="36"/>
        <v>#N/A</v>
      </c>
      <c r="BA39" s="645"/>
    </row>
    <row r="40" spans="2:53">
      <c r="B40" s="643"/>
      <c r="C40" s="409">
        <v>14</v>
      </c>
      <c r="D40" s="225"/>
      <c r="E40" s="416"/>
      <c r="F40" s="495"/>
      <c r="G40" s="496"/>
      <c r="H40" s="686"/>
      <c r="I40" s="413" t="str">
        <f t="shared" si="19"/>
        <v>-</v>
      </c>
      <c r="J40" s="413" t="str">
        <f t="shared" si="20"/>
        <v>-</v>
      </c>
      <c r="K40" s="199" t="str">
        <f t="shared" si="21"/>
        <v>-</v>
      </c>
      <c r="L40" s="617"/>
      <c r="M40" s="419" t="e">
        <f>RANK(K40, K$24:$K$41)</f>
        <v>#VALUE!</v>
      </c>
      <c r="N40" s="635"/>
      <c r="O40" s="635"/>
      <c r="P40" s="539" t="s">
        <v>615</v>
      </c>
      <c r="Q40" s="416" t="s">
        <v>615</v>
      </c>
      <c r="R40" s="416" t="s">
        <v>615</v>
      </c>
      <c r="S40" s="539" t="e">
        <f t="shared" si="22"/>
        <v>#VALUE!</v>
      </c>
      <c r="T40" s="645"/>
      <c r="U40" s="539" t="s">
        <v>615</v>
      </c>
      <c r="V40" s="416" t="s">
        <v>615</v>
      </c>
      <c r="W40" s="416" t="s">
        <v>615</v>
      </c>
      <c r="X40" s="539" t="e">
        <f t="shared" si="24"/>
        <v>#VALUE!</v>
      </c>
      <c r="Y40" s="645"/>
      <c r="Z40" s="539" t="s">
        <v>615</v>
      </c>
      <c r="AA40" s="416" t="s">
        <v>615</v>
      </c>
      <c r="AB40" s="416" t="s">
        <v>615</v>
      </c>
      <c r="AC40" s="539" t="e">
        <f t="shared" si="26"/>
        <v>#VALUE!</v>
      </c>
      <c r="AD40" s="645"/>
      <c r="AE40" s="539" t="s">
        <v>615</v>
      </c>
      <c r="AF40" s="416" t="s">
        <v>615</v>
      </c>
      <c r="AG40" s="416" t="s">
        <v>615</v>
      </c>
      <c r="AH40" s="539" t="e">
        <f t="shared" si="28"/>
        <v>#VALUE!</v>
      </c>
      <c r="AI40" s="645"/>
      <c r="AJ40" s="539" t="s">
        <v>615</v>
      </c>
      <c r="AK40" s="416" t="s">
        <v>615</v>
      </c>
      <c r="AL40" s="416" t="s">
        <v>615</v>
      </c>
      <c r="AM40" s="539" t="e">
        <f t="shared" si="30"/>
        <v>#VALUE!</v>
      </c>
      <c r="AN40" s="645"/>
      <c r="AO40" s="539" t="s">
        <v>615</v>
      </c>
      <c r="AP40" s="416" t="s">
        <v>615</v>
      </c>
      <c r="AQ40" s="416" t="s">
        <v>615</v>
      </c>
      <c r="AR40" s="539" t="e">
        <f t="shared" si="32"/>
        <v>#VALUE!</v>
      </c>
      <c r="AS40" s="645"/>
      <c r="AT40" s="539" t="s">
        <v>615</v>
      </c>
      <c r="AU40" s="416" t="s">
        <v>615</v>
      </c>
      <c r="AV40" s="416" t="s">
        <v>615</v>
      </c>
      <c r="AW40" s="539" t="e">
        <f t="shared" si="34"/>
        <v>#VALUE!</v>
      </c>
      <c r="AX40" s="645"/>
      <c r="AZ40" s="398" t="e">
        <f t="shared" si="36"/>
        <v>#N/A</v>
      </c>
      <c r="BA40" s="645"/>
    </row>
    <row r="41" spans="2:53">
      <c r="B41" s="643"/>
      <c r="C41" s="409">
        <v>15</v>
      </c>
      <c r="D41" s="225"/>
      <c r="E41" s="416"/>
      <c r="F41" s="495"/>
      <c r="G41" s="496"/>
      <c r="H41" s="687"/>
      <c r="I41" s="201"/>
      <c r="J41" s="201"/>
      <c r="K41" s="201"/>
      <c r="L41" s="618"/>
      <c r="M41" s="418" t="e">
        <f>RANK(K41, K$24:$K$41)</f>
        <v>#N/A</v>
      </c>
      <c r="N41" s="635"/>
      <c r="O41" s="635"/>
      <c r="P41" s="539" t="s">
        <v>615</v>
      </c>
      <c r="Q41" s="416" t="s">
        <v>615</v>
      </c>
      <c r="R41" s="416" t="s">
        <v>615</v>
      </c>
      <c r="S41" s="539" t="e">
        <f t="shared" si="22"/>
        <v>#VALUE!</v>
      </c>
      <c r="T41" s="646"/>
      <c r="U41" s="539" t="s">
        <v>615</v>
      </c>
      <c r="V41" s="416" t="s">
        <v>615</v>
      </c>
      <c r="W41" s="416" t="s">
        <v>615</v>
      </c>
      <c r="X41" s="539" t="e">
        <f t="shared" si="24"/>
        <v>#VALUE!</v>
      </c>
      <c r="Y41" s="646"/>
      <c r="Z41" s="539" t="s">
        <v>615</v>
      </c>
      <c r="AA41" s="416" t="s">
        <v>615</v>
      </c>
      <c r="AB41" s="416" t="s">
        <v>615</v>
      </c>
      <c r="AC41" s="539" t="e">
        <f t="shared" si="26"/>
        <v>#VALUE!</v>
      </c>
      <c r="AD41" s="646"/>
      <c r="AE41" s="539" t="s">
        <v>615</v>
      </c>
      <c r="AF41" s="416" t="s">
        <v>615</v>
      </c>
      <c r="AG41" s="416" t="s">
        <v>615</v>
      </c>
      <c r="AH41" s="539" t="e">
        <f t="shared" si="28"/>
        <v>#VALUE!</v>
      </c>
      <c r="AI41" s="646"/>
      <c r="AJ41" s="539" t="s">
        <v>615</v>
      </c>
      <c r="AK41" s="416" t="s">
        <v>615</v>
      </c>
      <c r="AL41" s="416" t="s">
        <v>615</v>
      </c>
      <c r="AM41" s="539" t="e">
        <f t="shared" si="30"/>
        <v>#VALUE!</v>
      </c>
      <c r="AN41" s="646"/>
      <c r="AO41" s="539" t="s">
        <v>615</v>
      </c>
      <c r="AP41" s="416" t="s">
        <v>615</v>
      </c>
      <c r="AQ41" s="416" t="s">
        <v>615</v>
      </c>
      <c r="AR41" s="539" t="e">
        <f t="shared" si="32"/>
        <v>#VALUE!</v>
      </c>
      <c r="AS41" s="646"/>
      <c r="AT41" s="539" t="s">
        <v>615</v>
      </c>
      <c r="AU41" s="416" t="s">
        <v>615</v>
      </c>
      <c r="AV41" s="416" t="s">
        <v>615</v>
      </c>
      <c r="AW41" s="539" t="e">
        <f t="shared" si="34"/>
        <v>#VALUE!</v>
      </c>
      <c r="AX41" s="646"/>
      <c r="AZ41" s="398" t="e">
        <f t="shared" si="36"/>
        <v>#N/A</v>
      </c>
      <c r="BA41" s="646"/>
    </row>
    <row r="42" spans="2:53" ht="15.75">
      <c r="B42" s="661" t="s">
        <v>163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36" t="s">
        <v>156</v>
      </c>
      <c r="O42" s="636" t="s">
        <v>105</v>
      </c>
      <c r="P42" s="642">
        <f>P22+7</f>
        <v>46182</v>
      </c>
      <c r="Q42" s="643"/>
      <c r="R42" s="643"/>
      <c r="S42" s="643"/>
      <c r="T42" s="643"/>
      <c r="U42" s="639">
        <f>P42+1</f>
        <v>46183</v>
      </c>
      <c r="V42" s="640"/>
      <c r="W42" s="640"/>
      <c r="X42" s="640"/>
      <c r="Y42" s="641"/>
      <c r="Z42" s="639">
        <f>U42+1</f>
        <v>46184</v>
      </c>
      <c r="AA42" s="640"/>
      <c r="AB42" s="640"/>
      <c r="AC42" s="640"/>
      <c r="AD42" s="641"/>
      <c r="AE42" s="639">
        <f>Z42+1</f>
        <v>46185</v>
      </c>
      <c r="AF42" s="640"/>
      <c r="AG42" s="640"/>
      <c r="AH42" s="640"/>
      <c r="AI42" s="641"/>
      <c r="AJ42" s="639">
        <f>AE42+1</f>
        <v>46186</v>
      </c>
      <c r="AK42" s="640"/>
      <c r="AL42" s="640"/>
      <c r="AM42" s="640"/>
      <c r="AN42" s="641"/>
      <c r="AO42" s="639">
        <f>AJ42+1</f>
        <v>46187</v>
      </c>
      <c r="AP42" s="640"/>
      <c r="AQ42" s="640"/>
      <c r="AR42" s="640"/>
      <c r="AS42" s="641"/>
      <c r="AT42" s="639">
        <f>AO42+1</f>
        <v>46188</v>
      </c>
      <c r="AU42" s="640"/>
      <c r="AV42" s="640"/>
      <c r="AW42" s="640"/>
      <c r="AX42" s="641"/>
    </row>
    <row r="43" spans="2:53" ht="15.75">
      <c r="B43" s="650"/>
      <c r="C43" s="650"/>
      <c r="D43" s="650"/>
      <c r="E43" s="650"/>
      <c r="F43" s="650"/>
      <c r="G43" s="650"/>
      <c r="H43" s="650"/>
      <c r="I43" s="204"/>
      <c r="J43" s="204"/>
      <c r="K43" s="204"/>
      <c r="L43" s="204"/>
      <c r="M43" s="205"/>
      <c r="N43" s="638"/>
      <c r="O43" s="638"/>
      <c r="P43" s="642" t="s">
        <v>318</v>
      </c>
      <c r="Q43" s="643"/>
      <c r="R43" s="643"/>
      <c r="S43" s="643"/>
      <c r="T43" s="643"/>
      <c r="U43" s="642" t="s">
        <v>319</v>
      </c>
      <c r="V43" s="643"/>
      <c r="W43" s="643"/>
      <c r="X43" s="643"/>
      <c r="Y43" s="643"/>
      <c r="Z43" s="642" t="s">
        <v>320</v>
      </c>
      <c r="AA43" s="643"/>
      <c r="AB43" s="643"/>
      <c r="AC43" s="643"/>
      <c r="AD43" s="643"/>
      <c r="AE43" s="642" t="s">
        <v>321</v>
      </c>
      <c r="AF43" s="643"/>
      <c r="AG43" s="643"/>
      <c r="AH43" s="643"/>
      <c r="AI43" s="643"/>
      <c r="AJ43" s="642" t="s">
        <v>322</v>
      </c>
      <c r="AK43" s="643"/>
      <c r="AL43" s="643"/>
      <c r="AM43" s="643"/>
      <c r="AN43" s="643"/>
      <c r="AO43" s="642" t="s">
        <v>323</v>
      </c>
      <c r="AP43" s="643"/>
      <c r="AQ43" s="643"/>
      <c r="AR43" s="643"/>
      <c r="AS43" s="643"/>
      <c r="AT43" s="642" t="s">
        <v>324</v>
      </c>
      <c r="AU43" s="643"/>
      <c r="AV43" s="643"/>
      <c r="AW43" s="643"/>
      <c r="AX43" s="643"/>
    </row>
    <row r="44" spans="2:53">
      <c r="B44" s="635" t="s">
        <v>463</v>
      </c>
      <c r="C44" s="635" t="s">
        <v>384</v>
      </c>
      <c r="D44" s="635"/>
      <c r="E44" s="635" t="s">
        <v>375</v>
      </c>
      <c r="F44" s="635"/>
      <c r="G44" s="635"/>
      <c r="H44" s="651" t="s">
        <v>371</v>
      </c>
      <c r="I44" s="619" t="s">
        <v>376</v>
      </c>
      <c r="J44" s="619"/>
      <c r="K44" s="619"/>
      <c r="L44" s="620" t="s">
        <v>371</v>
      </c>
      <c r="M44" s="626" t="s">
        <v>372</v>
      </c>
      <c r="N44" s="635"/>
      <c r="O44" s="635" t="s">
        <v>377</v>
      </c>
      <c r="P44" s="632" t="s">
        <v>373</v>
      </c>
      <c r="Q44" s="633"/>
      <c r="R44" s="633"/>
      <c r="S44" s="634"/>
      <c r="T44" s="635" t="s">
        <v>371</v>
      </c>
      <c r="U44" s="632" t="s">
        <v>373</v>
      </c>
      <c r="V44" s="633"/>
      <c r="W44" s="633"/>
      <c r="X44" s="634"/>
      <c r="Y44" s="635" t="s">
        <v>371</v>
      </c>
      <c r="Z44" s="632" t="s">
        <v>373</v>
      </c>
      <c r="AA44" s="633"/>
      <c r="AB44" s="633"/>
      <c r="AC44" s="634"/>
      <c r="AD44" s="635" t="s">
        <v>371</v>
      </c>
      <c r="AE44" s="632" t="s">
        <v>373</v>
      </c>
      <c r="AF44" s="633"/>
      <c r="AG44" s="633"/>
      <c r="AH44" s="634"/>
      <c r="AI44" s="635" t="s">
        <v>371</v>
      </c>
      <c r="AJ44" s="632" t="s">
        <v>373</v>
      </c>
      <c r="AK44" s="633"/>
      <c r="AL44" s="633"/>
      <c r="AM44" s="634"/>
      <c r="AN44" s="635" t="s">
        <v>371</v>
      </c>
      <c r="AO44" s="632" t="s">
        <v>373</v>
      </c>
      <c r="AP44" s="633"/>
      <c r="AQ44" s="633"/>
      <c r="AR44" s="634"/>
      <c r="AS44" s="635" t="s">
        <v>371</v>
      </c>
      <c r="AT44" s="632" t="s">
        <v>373</v>
      </c>
      <c r="AU44" s="633"/>
      <c r="AV44" s="633"/>
      <c r="AW44" s="634"/>
      <c r="AX44" s="635" t="s">
        <v>371</v>
      </c>
      <c r="BA44" s="635" t="s">
        <v>371</v>
      </c>
    </row>
    <row r="45" spans="2:53">
      <c r="B45" s="635"/>
      <c r="C45" s="635"/>
      <c r="D45" s="635"/>
      <c r="E45" s="635" t="s">
        <v>378</v>
      </c>
      <c r="F45" s="635"/>
      <c r="G45" s="635"/>
      <c r="H45" s="652"/>
      <c r="I45" s="619" t="s">
        <v>378</v>
      </c>
      <c r="J45" s="619"/>
      <c r="K45" s="619"/>
      <c r="L45" s="621"/>
      <c r="M45" s="627"/>
      <c r="N45" s="635"/>
      <c r="O45" s="635"/>
      <c r="P45" s="632" t="s">
        <v>379</v>
      </c>
      <c r="Q45" s="633"/>
      <c r="R45" s="633"/>
      <c r="S45" s="634"/>
      <c r="T45" s="635"/>
      <c r="U45" s="632" t="s">
        <v>379</v>
      </c>
      <c r="V45" s="633"/>
      <c r="W45" s="633"/>
      <c r="X45" s="634"/>
      <c r="Y45" s="635"/>
      <c r="Z45" s="632" t="s">
        <v>379</v>
      </c>
      <c r="AA45" s="633"/>
      <c r="AB45" s="633"/>
      <c r="AC45" s="634"/>
      <c r="AD45" s="635"/>
      <c r="AE45" s="632" t="s">
        <v>379</v>
      </c>
      <c r="AF45" s="633"/>
      <c r="AG45" s="633"/>
      <c r="AH45" s="634"/>
      <c r="AI45" s="635"/>
      <c r="AJ45" s="632" t="s">
        <v>379</v>
      </c>
      <c r="AK45" s="633"/>
      <c r="AL45" s="633"/>
      <c r="AM45" s="634"/>
      <c r="AN45" s="635"/>
      <c r="AO45" s="632" t="s">
        <v>379</v>
      </c>
      <c r="AP45" s="633"/>
      <c r="AQ45" s="633"/>
      <c r="AR45" s="634"/>
      <c r="AS45" s="635"/>
      <c r="AT45" s="632" t="s">
        <v>379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408" t="s">
        <v>380</v>
      </c>
      <c r="F46" s="408" t="s">
        <v>381</v>
      </c>
      <c r="G46" s="408" t="s">
        <v>382</v>
      </c>
      <c r="H46" s="653"/>
      <c r="I46" s="407" t="s">
        <v>380</v>
      </c>
      <c r="J46" s="407" t="s">
        <v>381</v>
      </c>
      <c r="K46" s="407" t="s">
        <v>382</v>
      </c>
      <c r="L46" s="622"/>
      <c r="M46" s="628"/>
      <c r="N46" s="635"/>
      <c r="O46" s="635"/>
      <c r="P46" s="408" t="s">
        <v>380</v>
      </c>
      <c r="Q46" s="408" t="s">
        <v>381</v>
      </c>
      <c r="R46" s="408" t="s">
        <v>382</v>
      </c>
      <c r="S46" s="408" t="s">
        <v>372</v>
      </c>
      <c r="T46" s="635"/>
      <c r="U46" s="408" t="s">
        <v>380</v>
      </c>
      <c r="V46" s="408" t="s">
        <v>381</v>
      </c>
      <c r="W46" s="408" t="s">
        <v>382</v>
      </c>
      <c r="X46" s="408" t="s">
        <v>372</v>
      </c>
      <c r="Y46" s="635"/>
      <c r="Z46" s="408" t="s">
        <v>380</v>
      </c>
      <c r="AA46" s="408" t="s">
        <v>381</v>
      </c>
      <c r="AB46" s="408" t="s">
        <v>382</v>
      </c>
      <c r="AC46" s="408" t="s">
        <v>372</v>
      </c>
      <c r="AD46" s="635"/>
      <c r="AE46" s="408" t="s">
        <v>380</v>
      </c>
      <c r="AF46" s="408" t="s">
        <v>381</v>
      </c>
      <c r="AG46" s="408" t="s">
        <v>382</v>
      </c>
      <c r="AH46" s="408" t="s">
        <v>372</v>
      </c>
      <c r="AI46" s="635"/>
      <c r="AJ46" s="408" t="s">
        <v>380</v>
      </c>
      <c r="AK46" s="408" t="s">
        <v>381</v>
      </c>
      <c r="AL46" s="408" t="s">
        <v>382</v>
      </c>
      <c r="AM46" s="408" t="s">
        <v>372</v>
      </c>
      <c r="AN46" s="635"/>
      <c r="AO46" s="408" t="s">
        <v>380</v>
      </c>
      <c r="AP46" s="408" t="s">
        <v>381</v>
      </c>
      <c r="AQ46" s="408" t="s">
        <v>382</v>
      </c>
      <c r="AR46" s="408" t="s">
        <v>372</v>
      </c>
      <c r="AS46" s="635"/>
      <c r="AT46" s="408" t="s">
        <v>380</v>
      </c>
      <c r="AU46" s="408" t="s">
        <v>381</v>
      </c>
      <c r="AV46" s="408" t="s">
        <v>382</v>
      </c>
      <c r="AW46" s="408" t="s">
        <v>372</v>
      </c>
      <c r="AX46" s="635"/>
      <c r="AZ46" s="397" t="s">
        <v>372</v>
      </c>
      <c r="BA46" s="635"/>
    </row>
    <row r="47" spans="2:53">
      <c r="B47" s="635" t="s">
        <v>476</v>
      </c>
      <c r="C47" s="409">
        <v>1</v>
      </c>
      <c r="D47" s="225" t="s">
        <v>632</v>
      </c>
      <c r="E47" s="416">
        <v>15</v>
      </c>
      <c r="F47" s="495">
        <v>1500</v>
      </c>
      <c r="G47" s="496">
        <v>100</v>
      </c>
      <c r="H47" s="685">
        <f>AVERAGE(G47:G61)</f>
        <v>100</v>
      </c>
      <c r="I47" s="413">
        <f t="shared" ref="I47:I60" si="38">IFERROR(AVERAGE(P47,U47,Z47,AE47,AJ47,AO47,AT47),"-")</f>
        <v>13</v>
      </c>
      <c r="J47" s="413">
        <f t="shared" ref="J47:J60" si="39">IFERROR(AVERAGE(Q47,V47,AA47,AF47,AK47,AP47,AU47),"-")</f>
        <v>1450.2058733246704</v>
      </c>
      <c r="K47" s="199">
        <f t="shared" ref="K47:K60" si="40">IFERROR(AVERAGE(R47,W47,AB47,AG47,AL47,AQ47,AV47),"-")</f>
        <v>111.55429794805157</v>
      </c>
      <c r="L47" s="616">
        <f>IFERROR(AVERAGE(K47:K61),"-")</f>
        <v>111.55429794805157</v>
      </c>
      <c r="M47" s="415">
        <f>RANK(K47, K$47:$K$61)</f>
        <v>1</v>
      </c>
      <c r="N47" s="635"/>
      <c r="O47" s="635"/>
      <c r="P47" s="479">
        <v>13</v>
      </c>
      <c r="Q47" s="416">
        <v>1444.6153846153854</v>
      </c>
      <c r="R47" s="416">
        <v>111.12426035502965</v>
      </c>
      <c r="S47" s="549">
        <f t="shared" ref="S47:S61" si="41">RANK(R47, R$47:R$61)</f>
        <v>1</v>
      </c>
      <c r="T47" s="644">
        <f t="shared" ref="T47" si="42">AVERAGE(R47:R61)</f>
        <v>111.12426035502965</v>
      </c>
      <c r="U47" s="479">
        <v>13</v>
      </c>
      <c r="V47" s="416">
        <v>1465.2631578947373</v>
      </c>
      <c r="W47" s="416">
        <v>112.71255060728748</v>
      </c>
      <c r="X47" s="549">
        <f t="shared" ref="X47:X61" si="43">RANK(W47, W$47:W$61)</f>
        <v>1</v>
      </c>
      <c r="Y47" s="644">
        <f t="shared" ref="Y47" si="44">AVERAGE(W47:W61)</f>
        <v>112.71255060728748</v>
      </c>
      <c r="Z47" s="549">
        <v>13</v>
      </c>
      <c r="AA47" s="416">
        <v>1511.1428571428573</v>
      </c>
      <c r="AB47" s="416">
        <v>116.24175824175826</v>
      </c>
      <c r="AC47" s="549">
        <f t="shared" ref="AC47:AC61" si="45">RANK(AB47, AB$47:AB$61)</f>
        <v>1</v>
      </c>
      <c r="AD47" s="644">
        <f t="shared" ref="AD47" si="46">AVERAGE(AB47:AB61)</f>
        <v>116.24175824175826</v>
      </c>
      <c r="AE47" s="549">
        <v>13</v>
      </c>
      <c r="AF47" s="416">
        <v>1408.7999999999981</v>
      </c>
      <c r="AG47" s="416">
        <v>108.36923076923063</v>
      </c>
      <c r="AH47" s="549">
        <f t="shared" ref="AH47:AH61" si="47">RANK(AG47, AG$47:AG$61)</f>
        <v>1</v>
      </c>
      <c r="AI47" s="644">
        <f t="shared" ref="AI47" si="48">AVERAGE(AG47:AG61)</f>
        <v>108.36923076923063</v>
      </c>
      <c r="AJ47" s="549">
        <v>13</v>
      </c>
      <c r="AK47" s="416">
        <v>1438.9090909090919</v>
      </c>
      <c r="AL47" s="416">
        <v>110.68531468531476</v>
      </c>
      <c r="AM47" s="549">
        <f t="shared" ref="AM47:AM61" si="49">RANK(AL47, AL$47:AL$61)</f>
        <v>1</v>
      </c>
      <c r="AN47" s="644">
        <f t="shared" ref="AN47" si="50">AVERAGE(AL47:AL61)</f>
        <v>110.68531468531476</v>
      </c>
      <c r="AO47" s="549">
        <v>13</v>
      </c>
      <c r="AP47" s="416">
        <v>1438.0952380952376</v>
      </c>
      <c r="AQ47" s="416">
        <v>110.62271062271058</v>
      </c>
      <c r="AR47" s="549">
        <f t="shared" ref="AR47:AR61" si="51">RANK(AQ47, AQ$47:AQ$61)</f>
        <v>1</v>
      </c>
      <c r="AS47" s="644">
        <f t="shared" ref="AS47" si="52">AVERAGE(AQ47:AQ61)</f>
        <v>110.62271062271058</v>
      </c>
      <c r="AT47" s="549">
        <v>13</v>
      </c>
      <c r="AU47" s="416">
        <v>1444.6153846153854</v>
      </c>
      <c r="AV47" s="416">
        <v>111.12426035502965</v>
      </c>
      <c r="AW47" s="549">
        <f t="shared" ref="AW47:AW61" si="53">RANK(AV47, AV$47:AV$61)</f>
        <v>1</v>
      </c>
      <c r="AX47" s="644">
        <f t="shared" ref="AX47" si="54">AVERAGE(AV47:AV61)</f>
        <v>111.12426035502965</v>
      </c>
      <c r="AZ47" s="398" t="e">
        <f t="shared" ref="AZ47:AZ61" si="55">RANK(AY47, AY$47:AY$61)</f>
        <v>#N/A</v>
      </c>
      <c r="BA47" s="644" t="e">
        <f t="shared" ref="BA47" si="56">AVERAGE(AY47:AY61)</f>
        <v>#DIV/0!</v>
      </c>
    </row>
    <row r="48" spans="2:53">
      <c r="B48" s="643"/>
      <c r="C48" s="409">
        <v>2</v>
      </c>
      <c r="D48" s="225"/>
      <c r="E48" s="416"/>
      <c r="F48" s="495"/>
      <c r="G48" s="496"/>
      <c r="H48" s="686"/>
      <c r="I48" s="413" t="str">
        <f t="shared" si="38"/>
        <v>-</v>
      </c>
      <c r="J48" s="413" t="str">
        <f t="shared" si="39"/>
        <v>-</v>
      </c>
      <c r="K48" s="199" t="str">
        <f t="shared" si="40"/>
        <v>-</v>
      </c>
      <c r="L48" s="617"/>
      <c r="M48" s="480" t="e">
        <f>RANK(K48, K$47:$K$61)</f>
        <v>#VALUE!</v>
      </c>
      <c r="N48" s="635"/>
      <c r="O48" s="635"/>
      <c r="P48" s="479"/>
      <c r="Q48" s="416"/>
      <c r="R48" s="416"/>
      <c r="S48" s="549" t="e">
        <f t="shared" si="41"/>
        <v>#N/A</v>
      </c>
      <c r="T48" s="645"/>
      <c r="U48" s="479"/>
      <c r="V48" s="416"/>
      <c r="W48" s="416"/>
      <c r="X48" s="549" t="e">
        <f t="shared" si="43"/>
        <v>#N/A</v>
      </c>
      <c r="Y48" s="645"/>
      <c r="Z48" s="549" t="s">
        <v>615</v>
      </c>
      <c r="AA48" s="416" t="s">
        <v>615</v>
      </c>
      <c r="AB48" s="416" t="s">
        <v>615</v>
      </c>
      <c r="AC48" s="549" t="e">
        <f t="shared" si="45"/>
        <v>#VALUE!</v>
      </c>
      <c r="AD48" s="645"/>
      <c r="AE48" s="549" t="s">
        <v>615</v>
      </c>
      <c r="AF48" s="416" t="s">
        <v>615</v>
      </c>
      <c r="AG48" s="416" t="s">
        <v>615</v>
      </c>
      <c r="AH48" s="549" t="e">
        <f t="shared" si="47"/>
        <v>#VALUE!</v>
      </c>
      <c r="AI48" s="645"/>
      <c r="AJ48" s="549" t="s">
        <v>615</v>
      </c>
      <c r="AK48" s="416" t="s">
        <v>615</v>
      </c>
      <c r="AL48" s="416" t="s">
        <v>615</v>
      </c>
      <c r="AM48" s="549" t="e">
        <f t="shared" si="49"/>
        <v>#VALUE!</v>
      </c>
      <c r="AN48" s="645"/>
      <c r="AO48" s="549" t="s">
        <v>615</v>
      </c>
      <c r="AP48" s="416" t="s">
        <v>615</v>
      </c>
      <c r="AQ48" s="416" t="s">
        <v>615</v>
      </c>
      <c r="AR48" s="549" t="e">
        <f t="shared" si="51"/>
        <v>#VALUE!</v>
      </c>
      <c r="AS48" s="645"/>
      <c r="AT48" s="549" t="s">
        <v>615</v>
      </c>
      <c r="AU48" s="416" t="s">
        <v>615</v>
      </c>
      <c r="AV48" s="416" t="s">
        <v>615</v>
      </c>
      <c r="AW48" s="549" t="e">
        <f t="shared" si="53"/>
        <v>#VALUE!</v>
      </c>
      <c r="AX48" s="645"/>
      <c r="AZ48" s="398" t="e">
        <f t="shared" si="55"/>
        <v>#N/A</v>
      </c>
      <c r="BA48" s="645"/>
    </row>
    <row r="49" spans="2:53">
      <c r="B49" s="643"/>
      <c r="C49" s="409">
        <v>3</v>
      </c>
      <c r="D49" s="225"/>
      <c r="E49" s="416"/>
      <c r="F49" s="495"/>
      <c r="G49" s="496"/>
      <c r="H49" s="686"/>
      <c r="I49" s="413" t="str">
        <f t="shared" si="38"/>
        <v>-</v>
      </c>
      <c r="J49" s="413" t="str">
        <f t="shared" si="39"/>
        <v>-</v>
      </c>
      <c r="K49" s="199" t="str">
        <f t="shared" si="40"/>
        <v>-</v>
      </c>
      <c r="L49" s="617"/>
      <c r="M49" s="480" t="e">
        <f>RANK(K49, K$47:$K$61)</f>
        <v>#VALUE!</v>
      </c>
      <c r="N49" s="635"/>
      <c r="O49" s="635"/>
      <c r="P49" s="479"/>
      <c r="Q49" s="416"/>
      <c r="R49" s="416"/>
      <c r="S49" s="549" t="e">
        <f t="shared" si="41"/>
        <v>#N/A</v>
      </c>
      <c r="T49" s="645"/>
      <c r="U49" s="479"/>
      <c r="V49" s="416"/>
      <c r="W49" s="416"/>
      <c r="X49" s="549" t="e">
        <f t="shared" si="43"/>
        <v>#N/A</v>
      </c>
      <c r="Y49" s="645"/>
      <c r="Z49" s="549" t="s">
        <v>615</v>
      </c>
      <c r="AA49" s="416" t="s">
        <v>615</v>
      </c>
      <c r="AB49" s="416" t="s">
        <v>615</v>
      </c>
      <c r="AC49" s="549" t="e">
        <f t="shared" si="45"/>
        <v>#VALUE!</v>
      </c>
      <c r="AD49" s="645"/>
      <c r="AE49" s="549" t="s">
        <v>615</v>
      </c>
      <c r="AF49" s="416" t="s">
        <v>615</v>
      </c>
      <c r="AG49" s="416" t="s">
        <v>615</v>
      </c>
      <c r="AH49" s="549" t="e">
        <f t="shared" si="47"/>
        <v>#VALUE!</v>
      </c>
      <c r="AI49" s="645"/>
      <c r="AJ49" s="549" t="s">
        <v>615</v>
      </c>
      <c r="AK49" s="416" t="s">
        <v>615</v>
      </c>
      <c r="AL49" s="416" t="s">
        <v>615</v>
      </c>
      <c r="AM49" s="549" t="e">
        <f t="shared" si="49"/>
        <v>#VALUE!</v>
      </c>
      <c r="AN49" s="645"/>
      <c r="AO49" s="549" t="s">
        <v>615</v>
      </c>
      <c r="AP49" s="416" t="s">
        <v>615</v>
      </c>
      <c r="AQ49" s="416" t="s">
        <v>615</v>
      </c>
      <c r="AR49" s="549" t="e">
        <f t="shared" si="51"/>
        <v>#VALUE!</v>
      </c>
      <c r="AS49" s="645"/>
      <c r="AT49" s="549" t="s">
        <v>615</v>
      </c>
      <c r="AU49" s="416" t="s">
        <v>615</v>
      </c>
      <c r="AV49" s="416" t="s">
        <v>615</v>
      </c>
      <c r="AW49" s="549" t="e">
        <f t="shared" si="53"/>
        <v>#VALUE!</v>
      </c>
      <c r="AX49" s="645"/>
      <c r="AZ49" s="398" t="e">
        <f t="shared" si="55"/>
        <v>#N/A</v>
      </c>
      <c r="BA49" s="645"/>
    </row>
    <row r="50" spans="2:53">
      <c r="B50" s="643"/>
      <c r="C50" s="409">
        <v>4</v>
      </c>
      <c r="D50" s="225"/>
      <c r="E50" s="416"/>
      <c r="F50" s="495"/>
      <c r="G50" s="496"/>
      <c r="H50" s="686"/>
      <c r="I50" s="413" t="str">
        <f t="shared" si="38"/>
        <v>-</v>
      </c>
      <c r="J50" s="413" t="str">
        <f t="shared" si="39"/>
        <v>-</v>
      </c>
      <c r="K50" s="199" t="str">
        <f t="shared" si="40"/>
        <v>-</v>
      </c>
      <c r="L50" s="617"/>
      <c r="M50" s="480" t="e">
        <f>RANK(K50, K$47:$K$61)</f>
        <v>#VALUE!</v>
      </c>
      <c r="N50" s="635"/>
      <c r="O50" s="635"/>
      <c r="P50" s="479"/>
      <c r="Q50" s="416"/>
      <c r="R50" s="416"/>
      <c r="S50" s="549" t="e">
        <f t="shared" si="41"/>
        <v>#N/A</v>
      </c>
      <c r="T50" s="645"/>
      <c r="U50" s="479"/>
      <c r="V50" s="479"/>
      <c r="W50" s="479"/>
      <c r="X50" s="549" t="e">
        <f t="shared" si="43"/>
        <v>#N/A</v>
      </c>
      <c r="Y50" s="645"/>
      <c r="Z50" s="549" t="s">
        <v>615</v>
      </c>
      <c r="AA50" s="416" t="s">
        <v>615</v>
      </c>
      <c r="AB50" s="416" t="s">
        <v>615</v>
      </c>
      <c r="AC50" s="549" t="e">
        <f t="shared" si="45"/>
        <v>#VALUE!</v>
      </c>
      <c r="AD50" s="645"/>
      <c r="AE50" s="549" t="s">
        <v>615</v>
      </c>
      <c r="AF50" s="416" t="s">
        <v>615</v>
      </c>
      <c r="AG50" s="416" t="s">
        <v>615</v>
      </c>
      <c r="AH50" s="549" t="e">
        <f t="shared" si="47"/>
        <v>#VALUE!</v>
      </c>
      <c r="AI50" s="645"/>
      <c r="AJ50" s="549" t="s">
        <v>615</v>
      </c>
      <c r="AK50" s="416" t="s">
        <v>615</v>
      </c>
      <c r="AL50" s="416" t="s">
        <v>615</v>
      </c>
      <c r="AM50" s="549" t="e">
        <f t="shared" si="49"/>
        <v>#VALUE!</v>
      </c>
      <c r="AN50" s="645"/>
      <c r="AO50" s="549" t="s">
        <v>615</v>
      </c>
      <c r="AP50" s="416" t="s">
        <v>615</v>
      </c>
      <c r="AQ50" s="416" t="s">
        <v>615</v>
      </c>
      <c r="AR50" s="549" t="e">
        <f t="shared" si="51"/>
        <v>#VALUE!</v>
      </c>
      <c r="AS50" s="645"/>
      <c r="AT50" s="549" t="s">
        <v>615</v>
      </c>
      <c r="AU50" s="416" t="s">
        <v>615</v>
      </c>
      <c r="AV50" s="416" t="s">
        <v>615</v>
      </c>
      <c r="AW50" s="549" t="e">
        <f t="shared" si="53"/>
        <v>#VALUE!</v>
      </c>
      <c r="AX50" s="645"/>
      <c r="AZ50" s="398" t="e">
        <f t="shared" si="55"/>
        <v>#N/A</v>
      </c>
      <c r="BA50" s="645"/>
    </row>
    <row r="51" spans="2:53">
      <c r="B51" s="643"/>
      <c r="C51" s="409">
        <v>5</v>
      </c>
      <c r="D51" s="225"/>
      <c r="E51" s="416"/>
      <c r="F51" s="495"/>
      <c r="G51" s="496"/>
      <c r="H51" s="686"/>
      <c r="I51" s="413" t="str">
        <f t="shared" si="38"/>
        <v>-</v>
      </c>
      <c r="J51" s="413" t="str">
        <f t="shared" si="39"/>
        <v>-</v>
      </c>
      <c r="K51" s="199" t="str">
        <f t="shared" si="40"/>
        <v>-</v>
      </c>
      <c r="L51" s="617"/>
      <c r="M51" s="480" t="e">
        <f>RANK(K51, K$47:$K$61)</f>
        <v>#VALUE!</v>
      </c>
      <c r="N51" s="635"/>
      <c r="O51" s="635"/>
      <c r="P51" s="479"/>
      <c r="Q51" s="416"/>
      <c r="R51" s="416"/>
      <c r="S51" s="549" t="e">
        <f t="shared" si="41"/>
        <v>#N/A</v>
      </c>
      <c r="T51" s="645"/>
      <c r="U51" s="479"/>
      <c r="V51" s="479"/>
      <c r="W51" s="479"/>
      <c r="X51" s="549" t="e">
        <f t="shared" si="43"/>
        <v>#N/A</v>
      </c>
      <c r="Y51" s="645"/>
      <c r="Z51" s="549" t="s">
        <v>615</v>
      </c>
      <c r="AA51" s="416" t="s">
        <v>615</v>
      </c>
      <c r="AB51" s="416" t="s">
        <v>615</v>
      </c>
      <c r="AC51" s="549" t="e">
        <f t="shared" si="45"/>
        <v>#VALUE!</v>
      </c>
      <c r="AD51" s="645"/>
      <c r="AE51" s="549" t="s">
        <v>615</v>
      </c>
      <c r="AF51" s="416" t="s">
        <v>615</v>
      </c>
      <c r="AG51" s="416" t="s">
        <v>615</v>
      </c>
      <c r="AH51" s="549" t="e">
        <f t="shared" si="47"/>
        <v>#VALUE!</v>
      </c>
      <c r="AI51" s="645"/>
      <c r="AJ51" s="549" t="s">
        <v>615</v>
      </c>
      <c r="AK51" s="416" t="s">
        <v>615</v>
      </c>
      <c r="AL51" s="416" t="s">
        <v>615</v>
      </c>
      <c r="AM51" s="549" t="e">
        <f t="shared" si="49"/>
        <v>#VALUE!</v>
      </c>
      <c r="AN51" s="645"/>
      <c r="AO51" s="549" t="s">
        <v>615</v>
      </c>
      <c r="AP51" s="416" t="s">
        <v>615</v>
      </c>
      <c r="AQ51" s="416" t="s">
        <v>615</v>
      </c>
      <c r="AR51" s="549" t="e">
        <f t="shared" si="51"/>
        <v>#VALUE!</v>
      </c>
      <c r="AS51" s="645"/>
      <c r="AT51" s="549" t="s">
        <v>615</v>
      </c>
      <c r="AU51" s="416" t="s">
        <v>615</v>
      </c>
      <c r="AV51" s="416" t="s">
        <v>615</v>
      </c>
      <c r="AW51" s="549" t="e">
        <f t="shared" si="53"/>
        <v>#VALUE!</v>
      </c>
      <c r="AX51" s="645"/>
      <c r="AZ51" s="398" t="e">
        <f t="shared" si="55"/>
        <v>#N/A</v>
      </c>
      <c r="BA51" s="645"/>
    </row>
    <row r="52" spans="2:53">
      <c r="B52" s="643"/>
      <c r="C52" s="409">
        <v>6</v>
      </c>
      <c r="D52" s="225"/>
      <c r="E52" s="416"/>
      <c r="F52" s="495"/>
      <c r="G52" s="496"/>
      <c r="H52" s="686"/>
      <c r="I52" s="413" t="str">
        <f t="shared" si="38"/>
        <v>-</v>
      </c>
      <c r="J52" s="413" t="str">
        <f t="shared" si="39"/>
        <v>-</v>
      </c>
      <c r="K52" s="199" t="str">
        <f t="shared" si="40"/>
        <v>-</v>
      </c>
      <c r="L52" s="617"/>
      <c r="M52" s="480" t="e">
        <f>RANK(K52, K$47:$K$61)</f>
        <v>#VALUE!</v>
      </c>
      <c r="N52" s="635"/>
      <c r="O52" s="635"/>
      <c r="P52" s="479"/>
      <c r="Q52" s="416"/>
      <c r="R52" s="416"/>
      <c r="S52" s="549" t="e">
        <f t="shared" si="41"/>
        <v>#N/A</v>
      </c>
      <c r="T52" s="645"/>
      <c r="U52" s="479"/>
      <c r="V52" s="479"/>
      <c r="W52" s="479"/>
      <c r="X52" s="549" t="e">
        <f t="shared" si="43"/>
        <v>#N/A</v>
      </c>
      <c r="Y52" s="645"/>
      <c r="Z52" s="549" t="s">
        <v>615</v>
      </c>
      <c r="AA52" s="416" t="s">
        <v>615</v>
      </c>
      <c r="AB52" s="416" t="s">
        <v>615</v>
      </c>
      <c r="AC52" s="549" t="e">
        <f t="shared" si="45"/>
        <v>#VALUE!</v>
      </c>
      <c r="AD52" s="645"/>
      <c r="AE52" s="549" t="s">
        <v>615</v>
      </c>
      <c r="AF52" s="416" t="s">
        <v>615</v>
      </c>
      <c r="AG52" s="416" t="s">
        <v>615</v>
      </c>
      <c r="AH52" s="549" t="e">
        <f t="shared" si="47"/>
        <v>#VALUE!</v>
      </c>
      <c r="AI52" s="645"/>
      <c r="AJ52" s="549" t="s">
        <v>615</v>
      </c>
      <c r="AK52" s="416" t="s">
        <v>615</v>
      </c>
      <c r="AL52" s="416" t="s">
        <v>615</v>
      </c>
      <c r="AM52" s="549" t="e">
        <f t="shared" si="49"/>
        <v>#VALUE!</v>
      </c>
      <c r="AN52" s="645"/>
      <c r="AO52" s="549" t="s">
        <v>615</v>
      </c>
      <c r="AP52" s="416" t="s">
        <v>615</v>
      </c>
      <c r="AQ52" s="416" t="s">
        <v>615</v>
      </c>
      <c r="AR52" s="549" t="e">
        <f t="shared" si="51"/>
        <v>#VALUE!</v>
      </c>
      <c r="AS52" s="645"/>
      <c r="AT52" s="549" t="s">
        <v>615</v>
      </c>
      <c r="AU52" s="416" t="s">
        <v>615</v>
      </c>
      <c r="AV52" s="416" t="s">
        <v>615</v>
      </c>
      <c r="AW52" s="549" t="e">
        <f t="shared" si="53"/>
        <v>#VALUE!</v>
      </c>
      <c r="AX52" s="645"/>
      <c r="AZ52" s="398" t="e">
        <f t="shared" si="55"/>
        <v>#N/A</v>
      </c>
      <c r="BA52" s="645"/>
    </row>
    <row r="53" spans="2:53">
      <c r="B53" s="643"/>
      <c r="C53" s="409">
        <v>7</v>
      </c>
      <c r="D53" s="225"/>
      <c r="E53" s="416"/>
      <c r="F53" s="495"/>
      <c r="G53" s="496"/>
      <c r="H53" s="686"/>
      <c r="I53" s="413" t="str">
        <f t="shared" si="38"/>
        <v>-</v>
      </c>
      <c r="J53" s="413" t="str">
        <f t="shared" si="39"/>
        <v>-</v>
      </c>
      <c r="K53" s="199" t="str">
        <f t="shared" si="40"/>
        <v>-</v>
      </c>
      <c r="L53" s="617"/>
      <c r="M53" s="480" t="e">
        <f>RANK(K53, K$47:$K$61)</f>
        <v>#VALUE!</v>
      </c>
      <c r="N53" s="635"/>
      <c r="O53" s="635"/>
      <c r="P53" s="479"/>
      <c r="Q53" s="416"/>
      <c r="R53" s="416"/>
      <c r="S53" s="549" t="e">
        <f t="shared" si="41"/>
        <v>#N/A</v>
      </c>
      <c r="T53" s="645"/>
      <c r="U53" s="479"/>
      <c r="V53" s="479"/>
      <c r="W53" s="479"/>
      <c r="X53" s="549" t="e">
        <f t="shared" si="43"/>
        <v>#N/A</v>
      </c>
      <c r="Y53" s="645"/>
      <c r="Z53" s="549" t="s">
        <v>615</v>
      </c>
      <c r="AA53" s="416" t="s">
        <v>615</v>
      </c>
      <c r="AB53" s="416" t="s">
        <v>615</v>
      </c>
      <c r="AC53" s="549" t="e">
        <f t="shared" si="45"/>
        <v>#VALUE!</v>
      </c>
      <c r="AD53" s="645"/>
      <c r="AE53" s="549" t="s">
        <v>615</v>
      </c>
      <c r="AF53" s="416" t="s">
        <v>615</v>
      </c>
      <c r="AG53" s="416" t="s">
        <v>615</v>
      </c>
      <c r="AH53" s="549" t="e">
        <f t="shared" si="47"/>
        <v>#VALUE!</v>
      </c>
      <c r="AI53" s="645"/>
      <c r="AJ53" s="549" t="s">
        <v>615</v>
      </c>
      <c r="AK53" s="416" t="s">
        <v>615</v>
      </c>
      <c r="AL53" s="416" t="s">
        <v>615</v>
      </c>
      <c r="AM53" s="549" t="e">
        <f t="shared" si="49"/>
        <v>#VALUE!</v>
      </c>
      <c r="AN53" s="645"/>
      <c r="AO53" s="549" t="s">
        <v>615</v>
      </c>
      <c r="AP53" s="416" t="s">
        <v>615</v>
      </c>
      <c r="AQ53" s="416" t="s">
        <v>615</v>
      </c>
      <c r="AR53" s="549" t="e">
        <f t="shared" si="51"/>
        <v>#VALUE!</v>
      </c>
      <c r="AS53" s="645"/>
      <c r="AT53" s="549" t="s">
        <v>615</v>
      </c>
      <c r="AU53" s="416" t="s">
        <v>615</v>
      </c>
      <c r="AV53" s="416" t="s">
        <v>615</v>
      </c>
      <c r="AW53" s="549" t="e">
        <f t="shared" si="53"/>
        <v>#VALUE!</v>
      </c>
      <c r="AX53" s="645"/>
      <c r="AZ53" s="398" t="e">
        <f t="shared" si="55"/>
        <v>#N/A</v>
      </c>
      <c r="BA53" s="645"/>
    </row>
    <row r="54" spans="2:53">
      <c r="B54" s="643"/>
      <c r="C54" s="409">
        <v>8</v>
      </c>
      <c r="D54" s="225"/>
      <c r="E54" s="416"/>
      <c r="F54" s="495"/>
      <c r="G54" s="496"/>
      <c r="H54" s="686"/>
      <c r="I54" s="413" t="str">
        <f t="shared" si="38"/>
        <v>-</v>
      </c>
      <c r="J54" s="413" t="str">
        <f t="shared" si="39"/>
        <v>-</v>
      </c>
      <c r="K54" s="199" t="str">
        <f t="shared" si="40"/>
        <v>-</v>
      </c>
      <c r="L54" s="617"/>
      <c r="M54" s="480" t="e">
        <f>RANK(K54, K$47:$K$61)</f>
        <v>#VALUE!</v>
      </c>
      <c r="N54" s="635"/>
      <c r="O54" s="635"/>
      <c r="P54" s="479"/>
      <c r="Q54" s="416"/>
      <c r="R54" s="416"/>
      <c r="S54" s="549" t="e">
        <f t="shared" si="41"/>
        <v>#N/A</v>
      </c>
      <c r="T54" s="645"/>
      <c r="U54" s="479"/>
      <c r="V54" s="479"/>
      <c r="W54" s="479"/>
      <c r="X54" s="549" t="e">
        <f t="shared" si="43"/>
        <v>#N/A</v>
      </c>
      <c r="Y54" s="645"/>
      <c r="Z54" s="549" t="s">
        <v>615</v>
      </c>
      <c r="AA54" s="416" t="s">
        <v>615</v>
      </c>
      <c r="AB54" s="416" t="s">
        <v>615</v>
      </c>
      <c r="AC54" s="549" t="e">
        <f t="shared" si="45"/>
        <v>#VALUE!</v>
      </c>
      <c r="AD54" s="645"/>
      <c r="AE54" s="549" t="s">
        <v>615</v>
      </c>
      <c r="AF54" s="416" t="s">
        <v>615</v>
      </c>
      <c r="AG54" s="416" t="s">
        <v>615</v>
      </c>
      <c r="AH54" s="549" t="e">
        <f t="shared" si="47"/>
        <v>#VALUE!</v>
      </c>
      <c r="AI54" s="645"/>
      <c r="AJ54" s="549" t="s">
        <v>615</v>
      </c>
      <c r="AK54" s="416" t="s">
        <v>615</v>
      </c>
      <c r="AL54" s="416" t="s">
        <v>615</v>
      </c>
      <c r="AM54" s="549" t="e">
        <f t="shared" si="49"/>
        <v>#VALUE!</v>
      </c>
      <c r="AN54" s="645"/>
      <c r="AO54" s="549" t="s">
        <v>615</v>
      </c>
      <c r="AP54" s="416" t="s">
        <v>615</v>
      </c>
      <c r="AQ54" s="416" t="s">
        <v>615</v>
      </c>
      <c r="AR54" s="549" t="e">
        <f t="shared" si="51"/>
        <v>#VALUE!</v>
      </c>
      <c r="AS54" s="645"/>
      <c r="AT54" s="549" t="s">
        <v>615</v>
      </c>
      <c r="AU54" s="416" t="s">
        <v>615</v>
      </c>
      <c r="AV54" s="416" t="s">
        <v>615</v>
      </c>
      <c r="AW54" s="549" t="e">
        <f t="shared" si="53"/>
        <v>#VALUE!</v>
      </c>
      <c r="AX54" s="645"/>
      <c r="AZ54" s="398" t="e">
        <f t="shared" si="55"/>
        <v>#N/A</v>
      </c>
      <c r="BA54" s="645"/>
    </row>
    <row r="55" spans="2:53">
      <c r="B55" s="643"/>
      <c r="C55" s="409">
        <v>9</v>
      </c>
      <c r="D55" s="225"/>
      <c r="E55" s="416"/>
      <c r="F55" s="495"/>
      <c r="G55" s="496"/>
      <c r="H55" s="686"/>
      <c r="I55" s="413" t="str">
        <f t="shared" si="38"/>
        <v>-</v>
      </c>
      <c r="J55" s="413" t="str">
        <f t="shared" si="39"/>
        <v>-</v>
      </c>
      <c r="K55" s="199" t="str">
        <f t="shared" si="40"/>
        <v>-</v>
      </c>
      <c r="L55" s="617"/>
      <c r="M55" s="480" t="e">
        <f>RANK(K55, K$47:$K$61)</f>
        <v>#VALUE!</v>
      </c>
      <c r="N55" s="635"/>
      <c r="O55" s="635"/>
      <c r="P55" s="479"/>
      <c r="Q55" s="416"/>
      <c r="R55" s="416"/>
      <c r="S55" s="549" t="e">
        <f t="shared" si="41"/>
        <v>#N/A</v>
      </c>
      <c r="T55" s="645"/>
      <c r="U55" s="479"/>
      <c r="V55" s="479"/>
      <c r="W55" s="479"/>
      <c r="X55" s="549" t="e">
        <f t="shared" si="43"/>
        <v>#N/A</v>
      </c>
      <c r="Y55" s="645"/>
      <c r="Z55" s="549" t="s">
        <v>615</v>
      </c>
      <c r="AA55" s="416" t="s">
        <v>615</v>
      </c>
      <c r="AB55" s="416" t="s">
        <v>615</v>
      </c>
      <c r="AC55" s="549" t="e">
        <f t="shared" si="45"/>
        <v>#VALUE!</v>
      </c>
      <c r="AD55" s="645"/>
      <c r="AE55" s="549" t="s">
        <v>615</v>
      </c>
      <c r="AF55" s="416" t="s">
        <v>615</v>
      </c>
      <c r="AG55" s="416" t="s">
        <v>615</v>
      </c>
      <c r="AH55" s="549" t="e">
        <f t="shared" si="47"/>
        <v>#VALUE!</v>
      </c>
      <c r="AI55" s="645"/>
      <c r="AJ55" s="549" t="s">
        <v>615</v>
      </c>
      <c r="AK55" s="416" t="s">
        <v>615</v>
      </c>
      <c r="AL55" s="416" t="s">
        <v>615</v>
      </c>
      <c r="AM55" s="549" t="e">
        <f t="shared" si="49"/>
        <v>#VALUE!</v>
      </c>
      <c r="AN55" s="645"/>
      <c r="AO55" s="549" t="s">
        <v>615</v>
      </c>
      <c r="AP55" s="416" t="s">
        <v>615</v>
      </c>
      <c r="AQ55" s="416" t="s">
        <v>615</v>
      </c>
      <c r="AR55" s="549" t="e">
        <f t="shared" si="51"/>
        <v>#VALUE!</v>
      </c>
      <c r="AS55" s="645"/>
      <c r="AT55" s="549" t="s">
        <v>615</v>
      </c>
      <c r="AU55" s="416" t="s">
        <v>615</v>
      </c>
      <c r="AV55" s="416" t="s">
        <v>615</v>
      </c>
      <c r="AW55" s="549" t="e">
        <f t="shared" si="53"/>
        <v>#VALUE!</v>
      </c>
      <c r="AX55" s="645"/>
      <c r="AZ55" s="398" t="e">
        <f t="shared" si="55"/>
        <v>#N/A</v>
      </c>
      <c r="BA55" s="645"/>
    </row>
    <row r="56" spans="2:53">
      <c r="B56" s="643"/>
      <c r="C56" s="409">
        <v>10</v>
      </c>
      <c r="D56" s="225"/>
      <c r="E56" s="416"/>
      <c r="F56" s="495"/>
      <c r="G56" s="496"/>
      <c r="H56" s="686"/>
      <c r="I56" s="413" t="str">
        <f t="shared" si="38"/>
        <v>-</v>
      </c>
      <c r="J56" s="413" t="str">
        <f t="shared" si="39"/>
        <v>-</v>
      </c>
      <c r="K56" s="199" t="str">
        <f t="shared" si="40"/>
        <v>-</v>
      </c>
      <c r="L56" s="617"/>
      <c r="M56" s="480" t="e">
        <f>RANK(K56, K$47:$K$61)</f>
        <v>#VALUE!</v>
      </c>
      <c r="N56" s="635"/>
      <c r="O56" s="635"/>
      <c r="P56" s="479"/>
      <c r="Q56" s="416"/>
      <c r="R56" s="416"/>
      <c r="S56" s="549" t="e">
        <f t="shared" si="41"/>
        <v>#N/A</v>
      </c>
      <c r="T56" s="645"/>
      <c r="U56" s="479"/>
      <c r="V56" s="479"/>
      <c r="W56" s="479"/>
      <c r="X56" s="549" t="e">
        <f t="shared" si="43"/>
        <v>#N/A</v>
      </c>
      <c r="Y56" s="645"/>
      <c r="Z56" s="549" t="s">
        <v>615</v>
      </c>
      <c r="AA56" s="416" t="s">
        <v>615</v>
      </c>
      <c r="AB56" s="416" t="s">
        <v>615</v>
      </c>
      <c r="AC56" s="549" t="e">
        <f t="shared" si="45"/>
        <v>#VALUE!</v>
      </c>
      <c r="AD56" s="645"/>
      <c r="AE56" s="549" t="s">
        <v>615</v>
      </c>
      <c r="AF56" s="416" t="s">
        <v>615</v>
      </c>
      <c r="AG56" s="416" t="s">
        <v>615</v>
      </c>
      <c r="AH56" s="549" t="e">
        <f t="shared" si="47"/>
        <v>#VALUE!</v>
      </c>
      <c r="AI56" s="645"/>
      <c r="AJ56" s="549" t="s">
        <v>615</v>
      </c>
      <c r="AK56" s="416" t="s">
        <v>615</v>
      </c>
      <c r="AL56" s="416" t="s">
        <v>615</v>
      </c>
      <c r="AM56" s="549" t="e">
        <f t="shared" si="49"/>
        <v>#VALUE!</v>
      </c>
      <c r="AN56" s="645"/>
      <c r="AO56" s="549" t="s">
        <v>615</v>
      </c>
      <c r="AP56" s="416" t="s">
        <v>615</v>
      </c>
      <c r="AQ56" s="416" t="s">
        <v>615</v>
      </c>
      <c r="AR56" s="549" t="e">
        <f t="shared" si="51"/>
        <v>#VALUE!</v>
      </c>
      <c r="AS56" s="645"/>
      <c r="AT56" s="549" t="s">
        <v>615</v>
      </c>
      <c r="AU56" s="416" t="s">
        <v>615</v>
      </c>
      <c r="AV56" s="416" t="s">
        <v>615</v>
      </c>
      <c r="AW56" s="549" t="e">
        <f t="shared" si="53"/>
        <v>#VALUE!</v>
      </c>
      <c r="AX56" s="645"/>
      <c r="AZ56" s="398" t="e">
        <f t="shared" si="55"/>
        <v>#N/A</v>
      </c>
      <c r="BA56" s="645"/>
    </row>
    <row r="57" spans="2:53">
      <c r="B57" s="643"/>
      <c r="C57" s="409">
        <v>11</v>
      </c>
      <c r="D57" s="225"/>
      <c r="E57" s="416"/>
      <c r="F57" s="495"/>
      <c r="G57" s="496"/>
      <c r="H57" s="686"/>
      <c r="I57" s="413" t="str">
        <f t="shared" si="38"/>
        <v>-</v>
      </c>
      <c r="J57" s="413" t="str">
        <f t="shared" si="39"/>
        <v>-</v>
      </c>
      <c r="K57" s="199" t="str">
        <f t="shared" si="40"/>
        <v>-</v>
      </c>
      <c r="L57" s="617"/>
      <c r="M57" s="480" t="e">
        <f>RANK(K57, K$47:$K$61)</f>
        <v>#VALUE!</v>
      </c>
      <c r="N57" s="635"/>
      <c r="O57" s="635"/>
      <c r="P57" s="479"/>
      <c r="Q57" s="416"/>
      <c r="R57" s="416"/>
      <c r="S57" s="549" t="e">
        <f t="shared" si="41"/>
        <v>#N/A</v>
      </c>
      <c r="T57" s="645"/>
      <c r="U57" s="479"/>
      <c r="V57" s="479"/>
      <c r="W57" s="479"/>
      <c r="X57" s="549" t="e">
        <f t="shared" si="43"/>
        <v>#N/A</v>
      </c>
      <c r="Y57" s="645"/>
      <c r="Z57" s="549" t="s">
        <v>615</v>
      </c>
      <c r="AA57" s="416" t="s">
        <v>615</v>
      </c>
      <c r="AB57" s="416" t="s">
        <v>615</v>
      </c>
      <c r="AC57" s="549" t="e">
        <f t="shared" si="45"/>
        <v>#VALUE!</v>
      </c>
      <c r="AD57" s="645"/>
      <c r="AE57" s="549" t="s">
        <v>615</v>
      </c>
      <c r="AF57" s="416" t="s">
        <v>615</v>
      </c>
      <c r="AG57" s="416" t="s">
        <v>615</v>
      </c>
      <c r="AH57" s="549" t="e">
        <f t="shared" si="47"/>
        <v>#VALUE!</v>
      </c>
      <c r="AI57" s="645"/>
      <c r="AJ57" s="549" t="s">
        <v>615</v>
      </c>
      <c r="AK57" s="416" t="s">
        <v>615</v>
      </c>
      <c r="AL57" s="416" t="s">
        <v>615</v>
      </c>
      <c r="AM57" s="549" t="e">
        <f t="shared" si="49"/>
        <v>#VALUE!</v>
      </c>
      <c r="AN57" s="645"/>
      <c r="AO57" s="549" t="s">
        <v>615</v>
      </c>
      <c r="AP57" s="416" t="s">
        <v>615</v>
      </c>
      <c r="AQ57" s="416" t="s">
        <v>615</v>
      </c>
      <c r="AR57" s="549" t="e">
        <f t="shared" si="51"/>
        <v>#VALUE!</v>
      </c>
      <c r="AS57" s="645"/>
      <c r="AT57" s="549" t="s">
        <v>615</v>
      </c>
      <c r="AU57" s="416" t="s">
        <v>615</v>
      </c>
      <c r="AV57" s="416" t="s">
        <v>615</v>
      </c>
      <c r="AW57" s="549" t="e">
        <f t="shared" si="53"/>
        <v>#VALUE!</v>
      </c>
      <c r="AX57" s="645"/>
      <c r="AZ57" s="398" t="e">
        <f t="shared" si="55"/>
        <v>#N/A</v>
      </c>
      <c r="BA57" s="645"/>
    </row>
    <row r="58" spans="2:53">
      <c r="B58" s="643"/>
      <c r="C58" s="409">
        <v>12</v>
      </c>
      <c r="D58" s="225"/>
      <c r="E58" s="416"/>
      <c r="F58" s="495"/>
      <c r="G58" s="496"/>
      <c r="H58" s="686"/>
      <c r="I58" s="413" t="str">
        <f t="shared" si="38"/>
        <v>-</v>
      </c>
      <c r="J58" s="413" t="str">
        <f t="shared" si="39"/>
        <v>-</v>
      </c>
      <c r="K58" s="199" t="str">
        <f t="shared" si="40"/>
        <v>-</v>
      </c>
      <c r="L58" s="617"/>
      <c r="M58" s="480" t="e">
        <f>RANK(K58, K$47:$K$61)</f>
        <v>#VALUE!</v>
      </c>
      <c r="N58" s="635"/>
      <c r="O58" s="635"/>
      <c r="P58" s="479"/>
      <c r="Q58" s="416"/>
      <c r="R58" s="416"/>
      <c r="S58" s="549" t="e">
        <f t="shared" si="41"/>
        <v>#N/A</v>
      </c>
      <c r="T58" s="645"/>
      <c r="U58" s="479"/>
      <c r="V58" s="479"/>
      <c r="W58" s="479"/>
      <c r="X58" s="549" t="e">
        <f t="shared" si="43"/>
        <v>#N/A</v>
      </c>
      <c r="Y58" s="645"/>
      <c r="Z58" s="549" t="s">
        <v>615</v>
      </c>
      <c r="AA58" s="416" t="s">
        <v>615</v>
      </c>
      <c r="AB58" s="416" t="s">
        <v>615</v>
      </c>
      <c r="AC58" s="549" t="e">
        <f t="shared" si="45"/>
        <v>#VALUE!</v>
      </c>
      <c r="AD58" s="645"/>
      <c r="AE58" s="549" t="s">
        <v>615</v>
      </c>
      <c r="AF58" s="416" t="s">
        <v>615</v>
      </c>
      <c r="AG58" s="416" t="s">
        <v>615</v>
      </c>
      <c r="AH58" s="549" t="e">
        <f t="shared" si="47"/>
        <v>#VALUE!</v>
      </c>
      <c r="AI58" s="645"/>
      <c r="AJ58" s="549" t="s">
        <v>615</v>
      </c>
      <c r="AK58" s="416" t="s">
        <v>615</v>
      </c>
      <c r="AL58" s="416" t="s">
        <v>615</v>
      </c>
      <c r="AM58" s="549" t="e">
        <f t="shared" si="49"/>
        <v>#VALUE!</v>
      </c>
      <c r="AN58" s="645"/>
      <c r="AO58" s="549" t="s">
        <v>615</v>
      </c>
      <c r="AP58" s="416" t="s">
        <v>615</v>
      </c>
      <c r="AQ58" s="416" t="s">
        <v>615</v>
      </c>
      <c r="AR58" s="549" t="e">
        <f t="shared" si="51"/>
        <v>#VALUE!</v>
      </c>
      <c r="AS58" s="645"/>
      <c r="AT58" s="549" t="s">
        <v>615</v>
      </c>
      <c r="AU58" s="416" t="s">
        <v>615</v>
      </c>
      <c r="AV58" s="416" t="s">
        <v>615</v>
      </c>
      <c r="AW58" s="549" t="e">
        <f t="shared" si="53"/>
        <v>#VALUE!</v>
      </c>
      <c r="AX58" s="645"/>
      <c r="AZ58" s="398" t="e">
        <f t="shared" si="55"/>
        <v>#N/A</v>
      </c>
      <c r="BA58" s="645"/>
    </row>
    <row r="59" spans="2:53">
      <c r="B59" s="643"/>
      <c r="C59" s="409">
        <v>13</v>
      </c>
      <c r="D59" s="225"/>
      <c r="E59" s="416"/>
      <c r="F59" s="495"/>
      <c r="G59" s="496"/>
      <c r="H59" s="686"/>
      <c r="I59" s="413" t="str">
        <f t="shared" si="38"/>
        <v>-</v>
      </c>
      <c r="J59" s="413" t="str">
        <f t="shared" si="39"/>
        <v>-</v>
      </c>
      <c r="K59" s="199" t="str">
        <f t="shared" si="40"/>
        <v>-</v>
      </c>
      <c r="L59" s="617"/>
      <c r="M59" s="480" t="e">
        <f>RANK(K59, K$47:$K$61)</f>
        <v>#VALUE!</v>
      </c>
      <c r="N59" s="635"/>
      <c r="O59" s="635"/>
      <c r="P59" s="479"/>
      <c r="Q59" s="416"/>
      <c r="R59" s="416"/>
      <c r="S59" s="549" t="e">
        <f t="shared" si="41"/>
        <v>#N/A</v>
      </c>
      <c r="T59" s="645"/>
      <c r="U59" s="479"/>
      <c r="V59" s="479"/>
      <c r="W59" s="479"/>
      <c r="X59" s="549" t="e">
        <f t="shared" si="43"/>
        <v>#N/A</v>
      </c>
      <c r="Y59" s="645"/>
      <c r="Z59" s="549" t="s">
        <v>615</v>
      </c>
      <c r="AA59" s="416" t="s">
        <v>615</v>
      </c>
      <c r="AB59" s="416" t="s">
        <v>615</v>
      </c>
      <c r="AC59" s="549" t="e">
        <f t="shared" si="45"/>
        <v>#VALUE!</v>
      </c>
      <c r="AD59" s="645"/>
      <c r="AE59" s="549" t="s">
        <v>615</v>
      </c>
      <c r="AF59" s="416" t="s">
        <v>615</v>
      </c>
      <c r="AG59" s="416" t="s">
        <v>615</v>
      </c>
      <c r="AH59" s="549" t="e">
        <f t="shared" si="47"/>
        <v>#VALUE!</v>
      </c>
      <c r="AI59" s="645"/>
      <c r="AJ59" s="549" t="s">
        <v>615</v>
      </c>
      <c r="AK59" s="416" t="s">
        <v>615</v>
      </c>
      <c r="AL59" s="416" t="s">
        <v>615</v>
      </c>
      <c r="AM59" s="549" t="e">
        <f t="shared" si="49"/>
        <v>#VALUE!</v>
      </c>
      <c r="AN59" s="645"/>
      <c r="AO59" s="549" t="s">
        <v>615</v>
      </c>
      <c r="AP59" s="416" t="s">
        <v>615</v>
      </c>
      <c r="AQ59" s="416" t="s">
        <v>615</v>
      </c>
      <c r="AR59" s="549" t="e">
        <f t="shared" si="51"/>
        <v>#VALUE!</v>
      </c>
      <c r="AS59" s="645"/>
      <c r="AT59" s="549" t="s">
        <v>615</v>
      </c>
      <c r="AU59" s="416" t="s">
        <v>615</v>
      </c>
      <c r="AV59" s="416" t="s">
        <v>615</v>
      </c>
      <c r="AW59" s="549" t="e">
        <f t="shared" si="53"/>
        <v>#VALUE!</v>
      </c>
      <c r="AX59" s="645"/>
      <c r="AZ59" s="398" t="e">
        <f t="shared" si="55"/>
        <v>#N/A</v>
      </c>
      <c r="BA59" s="645"/>
    </row>
    <row r="60" spans="2:53">
      <c r="B60" s="643"/>
      <c r="C60" s="409">
        <v>14</v>
      </c>
      <c r="D60" s="225"/>
      <c r="E60" s="416"/>
      <c r="F60" s="495"/>
      <c r="G60" s="496"/>
      <c r="H60" s="686"/>
      <c r="I60" s="413" t="str">
        <f t="shared" si="38"/>
        <v>-</v>
      </c>
      <c r="J60" s="413" t="str">
        <f t="shared" si="39"/>
        <v>-</v>
      </c>
      <c r="K60" s="199" t="str">
        <f t="shared" si="40"/>
        <v>-</v>
      </c>
      <c r="L60" s="617"/>
      <c r="M60" s="480" t="e">
        <f>RANK(K60, K$47:$K$61)</f>
        <v>#VALUE!</v>
      </c>
      <c r="N60" s="635"/>
      <c r="O60" s="635"/>
      <c r="P60" s="479"/>
      <c r="Q60" s="416"/>
      <c r="R60" s="416"/>
      <c r="S60" s="549" t="e">
        <f t="shared" si="41"/>
        <v>#N/A</v>
      </c>
      <c r="T60" s="645"/>
      <c r="U60" s="479"/>
      <c r="V60" s="479"/>
      <c r="W60" s="479"/>
      <c r="X60" s="549" t="e">
        <f t="shared" si="43"/>
        <v>#N/A</v>
      </c>
      <c r="Y60" s="645"/>
      <c r="Z60" s="549" t="s">
        <v>615</v>
      </c>
      <c r="AA60" s="416" t="s">
        <v>615</v>
      </c>
      <c r="AB60" s="416" t="s">
        <v>615</v>
      </c>
      <c r="AC60" s="549" t="e">
        <f t="shared" si="45"/>
        <v>#VALUE!</v>
      </c>
      <c r="AD60" s="645"/>
      <c r="AE60" s="549" t="s">
        <v>615</v>
      </c>
      <c r="AF60" s="416" t="s">
        <v>615</v>
      </c>
      <c r="AG60" s="416" t="s">
        <v>615</v>
      </c>
      <c r="AH60" s="549" t="e">
        <f t="shared" si="47"/>
        <v>#VALUE!</v>
      </c>
      <c r="AI60" s="645"/>
      <c r="AJ60" s="549" t="s">
        <v>615</v>
      </c>
      <c r="AK60" s="416" t="s">
        <v>615</v>
      </c>
      <c r="AL60" s="416" t="s">
        <v>615</v>
      </c>
      <c r="AM60" s="549" t="e">
        <f t="shared" si="49"/>
        <v>#VALUE!</v>
      </c>
      <c r="AN60" s="645"/>
      <c r="AO60" s="549" t="s">
        <v>615</v>
      </c>
      <c r="AP60" s="416" t="s">
        <v>615</v>
      </c>
      <c r="AQ60" s="416" t="s">
        <v>615</v>
      </c>
      <c r="AR60" s="549" t="e">
        <f t="shared" si="51"/>
        <v>#VALUE!</v>
      </c>
      <c r="AS60" s="645"/>
      <c r="AT60" s="549" t="s">
        <v>615</v>
      </c>
      <c r="AU60" s="416" t="s">
        <v>615</v>
      </c>
      <c r="AV60" s="416" t="s">
        <v>615</v>
      </c>
      <c r="AW60" s="549" t="e">
        <f t="shared" si="53"/>
        <v>#VALUE!</v>
      </c>
      <c r="AX60" s="645"/>
      <c r="AZ60" s="398" t="e">
        <f t="shared" si="55"/>
        <v>#N/A</v>
      </c>
      <c r="BA60" s="645"/>
    </row>
    <row r="61" spans="2:53">
      <c r="B61" s="643"/>
      <c r="C61" s="409">
        <v>15</v>
      </c>
      <c r="D61" s="225"/>
      <c r="E61" s="416"/>
      <c r="F61" s="495"/>
      <c r="G61" s="496"/>
      <c r="H61" s="687"/>
      <c r="I61" s="201"/>
      <c r="J61" s="201"/>
      <c r="K61" s="201"/>
      <c r="L61" s="618"/>
      <c r="M61" s="480" t="e">
        <f>RANK(K61, K$47:$K$61)</f>
        <v>#N/A</v>
      </c>
      <c r="N61" s="635"/>
      <c r="O61" s="635"/>
      <c r="P61" s="479"/>
      <c r="Q61" s="416"/>
      <c r="R61" s="416"/>
      <c r="S61" s="549" t="e">
        <f t="shared" si="41"/>
        <v>#N/A</v>
      </c>
      <c r="T61" s="646"/>
      <c r="U61" s="479"/>
      <c r="V61" s="479"/>
      <c r="W61" s="479"/>
      <c r="X61" s="549" t="e">
        <f t="shared" si="43"/>
        <v>#N/A</v>
      </c>
      <c r="Y61" s="646"/>
      <c r="Z61" s="549" t="s">
        <v>615</v>
      </c>
      <c r="AA61" s="416" t="s">
        <v>615</v>
      </c>
      <c r="AB61" s="416" t="s">
        <v>615</v>
      </c>
      <c r="AC61" s="549" t="e">
        <f t="shared" si="45"/>
        <v>#VALUE!</v>
      </c>
      <c r="AD61" s="646"/>
      <c r="AE61" s="549" t="s">
        <v>615</v>
      </c>
      <c r="AF61" s="416" t="s">
        <v>615</v>
      </c>
      <c r="AG61" s="416" t="s">
        <v>615</v>
      </c>
      <c r="AH61" s="549" t="e">
        <f t="shared" si="47"/>
        <v>#VALUE!</v>
      </c>
      <c r="AI61" s="646"/>
      <c r="AJ61" s="549" t="s">
        <v>615</v>
      </c>
      <c r="AK61" s="416" t="s">
        <v>615</v>
      </c>
      <c r="AL61" s="416" t="s">
        <v>615</v>
      </c>
      <c r="AM61" s="549" t="e">
        <f t="shared" si="49"/>
        <v>#VALUE!</v>
      </c>
      <c r="AN61" s="646"/>
      <c r="AO61" s="549" t="s">
        <v>615</v>
      </c>
      <c r="AP61" s="416" t="s">
        <v>615</v>
      </c>
      <c r="AQ61" s="416" t="s">
        <v>615</v>
      </c>
      <c r="AR61" s="549" t="e">
        <f t="shared" si="51"/>
        <v>#VALUE!</v>
      </c>
      <c r="AS61" s="646"/>
      <c r="AT61" s="549" t="s">
        <v>615</v>
      </c>
      <c r="AU61" s="416" t="s">
        <v>615</v>
      </c>
      <c r="AV61" s="416" t="s">
        <v>615</v>
      </c>
      <c r="AW61" s="549" t="e">
        <f t="shared" si="53"/>
        <v>#VALUE!</v>
      </c>
      <c r="AX61" s="646"/>
      <c r="AZ61" s="398" t="e">
        <f t="shared" si="55"/>
        <v>#N/A</v>
      </c>
      <c r="BA61" s="646"/>
    </row>
    <row r="62" spans="2:53" ht="15.75">
      <c r="B62" s="647" t="s">
        <v>163</v>
      </c>
      <c r="C62" s="648"/>
      <c r="D62" s="648"/>
      <c r="E62" s="648"/>
      <c r="F62" s="648"/>
      <c r="G62" s="648"/>
      <c r="H62" s="649"/>
      <c r="I62" s="207"/>
      <c r="J62" s="207"/>
      <c r="K62" s="207"/>
      <c r="L62" s="207"/>
      <c r="M62" s="206"/>
      <c r="N62" s="636" t="s">
        <v>156</v>
      </c>
      <c r="O62" s="636" t="s">
        <v>105</v>
      </c>
      <c r="P62" s="642">
        <f>P42+7</f>
        <v>46189</v>
      </c>
      <c r="Q62" s="643"/>
      <c r="R62" s="643"/>
      <c r="S62" s="643"/>
      <c r="T62" s="643"/>
      <c r="U62" s="639">
        <f>P62+1</f>
        <v>46190</v>
      </c>
      <c r="V62" s="640"/>
      <c r="W62" s="640"/>
      <c r="X62" s="640"/>
      <c r="Y62" s="641"/>
      <c r="Z62" s="639">
        <f>U62+1</f>
        <v>46191</v>
      </c>
      <c r="AA62" s="640"/>
      <c r="AB62" s="640"/>
      <c r="AC62" s="640"/>
      <c r="AD62" s="641"/>
      <c r="AE62" s="639">
        <f>Z62+1</f>
        <v>46192</v>
      </c>
      <c r="AF62" s="640"/>
      <c r="AG62" s="640"/>
      <c r="AH62" s="640"/>
      <c r="AI62" s="641"/>
      <c r="AJ62" s="639">
        <f>AE62+1</f>
        <v>46193</v>
      </c>
      <c r="AK62" s="640"/>
      <c r="AL62" s="640"/>
      <c r="AM62" s="640"/>
      <c r="AN62" s="641"/>
      <c r="AO62" s="639">
        <f>AJ62+1</f>
        <v>46194</v>
      </c>
      <c r="AP62" s="640"/>
      <c r="AQ62" s="640"/>
      <c r="AR62" s="640"/>
      <c r="AS62" s="641"/>
      <c r="AT62" s="639">
        <f>AO62+1</f>
        <v>46195</v>
      </c>
      <c r="AU62" s="640"/>
      <c r="AV62" s="640"/>
      <c r="AW62" s="640"/>
      <c r="AX62" s="641"/>
    </row>
    <row r="63" spans="2:53" ht="15.75">
      <c r="B63" s="650"/>
      <c r="C63" s="650"/>
      <c r="D63" s="650"/>
      <c r="E63" s="650"/>
      <c r="F63" s="650"/>
      <c r="G63" s="650"/>
      <c r="H63" s="650"/>
      <c r="I63" s="204"/>
      <c r="J63" s="204"/>
      <c r="K63" s="204"/>
      <c r="L63" s="204"/>
      <c r="M63" s="205"/>
      <c r="N63" s="638"/>
      <c r="O63" s="638"/>
      <c r="P63" s="642" t="s">
        <v>318</v>
      </c>
      <c r="Q63" s="643"/>
      <c r="R63" s="643"/>
      <c r="S63" s="643"/>
      <c r="T63" s="643"/>
      <c r="U63" s="642" t="s">
        <v>319</v>
      </c>
      <c r="V63" s="643"/>
      <c r="W63" s="643"/>
      <c r="X63" s="643"/>
      <c r="Y63" s="643"/>
      <c r="Z63" s="642" t="s">
        <v>320</v>
      </c>
      <c r="AA63" s="643"/>
      <c r="AB63" s="643"/>
      <c r="AC63" s="643"/>
      <c r="AD63" s="643"/>
      <c r="AE63" s="642" t="s">
        <v>321</v>
      </c>
      <c r="AF63" s="643"/>
      <c r="AG63" s="643"/>
      <c r="AH63" s="643"/>
      <c r="AI63" s="643"/>
      <c r="AJ63" s="642" t="s">
        <v>322</v>
      </c>
      <c r="AK63" s="643"/>
      <c r="AL63" s="643"/>
      <c r="AM63" s="643"/>
      <c r="AN63" s="643"/>
      <c r="AO63" s="642" t="s">
        <v>323</v>
      </c>
      <c r="AP63" s="643"/>
      <c r="AQ63" s="643"/>
      <c r="AR63" s="643"/>
      <c r="AS63" s="643"/>
      <c r="AT63" s="642" t="s">
        <v>324</v>
      </c>
      <c r="AU63" s="643"/>
      <c r="AV63" s="643"/>
      <c r="AW63" s="643"/>
      <c r="AX63" s="643"/>
    </row>
    <row r="64" spans="2:53">
      <c r="B64" s="635" t="s">
        <v>374</v>
      </c>
      <c r="C64" s="635" t="s">
        <v>384</v>
      </c>
      <c r="D64" s="635"/>
      <c r="E64" s="635" t="s">
        <v>375</v>
      </c>
      <c r="F64" s="635"/>
      <c r="G64" s="635"/>
      <c r="H64" s="651" t="s">
        <v>371</v>
      </c>
      <c r="I64" s="619" t="s">
        <v>376</v>
      </c>
      <c r="J64" s="619"/>
      <c r="K64" s="619"/>
      <c r="L64" s="620" t="s">
        <v>371</v>
      </c>
      <c r="M64" s="626" t="s">
        <v>372</v>
      </c>
      <c r="N64" s="635"/>
      <c r="O64" s="635" t="s">
        <v>377</v>
      </c>
      <c r="P64" s="632" t="s">
        <v>373</v>
      </c>
      <c r="Q64" s="633"/>
      <c r="R64" s="633"/>
      <c r="S64" s="634"/>
      <c r="T64" s="635" t="s">
        <v>371</v>
      </c>
      <c r="U64" s="632" t="s">
        <v>373</v>
      </c>
      <c r="V64" s="633"/>
      <c r="W64" s="633"/>
      <c r="X64" s="634"/>
      <c r="Y64" s="635" t="s">
        <v>371</v>
      </c>
      <c r="Z64" s="632" t="s">
        <v>373</v>
      </c>
      <c r="AA64" s="633"/>
      <c r="AB64" s="633"/>
      <c r="AC64" s="634"/>
      <c r="AD64" s="635" t="s">
        <v>371</v>
      </c>
      <c r="AE64" s="632" t="s">
        <v>373</v>
      </c>
      <c r="AF64" s="633"/>
      <c r="AG64" s="633"/>
      <c r="AH64" s="634"/>
      <c r="AI64" s="635" t="s">
        <v>371</v>
      </c>
      <c r="AJ64" s="632" t="s">
        <v>373</v>
      </c>
      <c r="AK64" s="633"/>
      <c r="AL64" s="633"/>
      <c r="AM64" s="634"/>
      <c r="AN64" s="635" t="s">
        <v>371</v>
      </c>
      <c r="AO64" s="632" t="s">
        <v>373</v>
      </c>
      <c r="AP64" s="633"/>
      <c r="AQ64" s="633"/>
      <c r="AR64" s="634"/>
      <c r="AS64" s="635" t="s">
        <v>371</v>
      </c>
      <c r="AT64" s="632" t="s">
        <v>373</v>
      </c>
      <c r="AU64" s="633"/>
      <c r="AV64" s="633"/>
      <c r="AW64" s="634"/>
      <c r="AX64" s="635" t="s">
        <v>371</v>
      </c>
      <c r="BA64" s="635" t="s">
        <v>371</v>
      </c>
    </row>
    <row r="65" spans="2:53">
      <c r="B65" s="635"/>
      <c r="C65" s="635"/>
      <c r="D65" s="635"/>
      <c r="E65" s="635" t="s">
        <v>378</v>
      </c>
      <c r="F65" s="635"/>
      <c r="G65" s="635"/>
      <c r="H65" s="652"/>
      <c r="I65" s="619" t="s">
        <v>378</v>
      </c>
      <c r="J65" s="619"/>
      <c r="K65" s="619"/>
      <c r="L65" s="621"/>
      <c r="M65" s="627"/>
      <c r="N65" s="635"/>
      <c r="O65" s="635"/>
      <c r="P65" s="632" t="s">
        <v>379</v>
      </c>
      <c r="Q65" s="633"/>
      <c r="R65" s="633"/>
      <c r="S65" s="634"/>
      <c r="T65" s="635"/>
      <c r="U65" s="632" t="s">
        <v>379</v>
      </c>
      <c r="V65" s="633"/>
      <c r="W65" s="633"/>
      <c r="X65" s="634"/>
      <c r="Y65" s="635"/>
      <c r="Z65" s="632" t="s">
        <v>379</v>
      </c>
      <c r="AA65" s="633"/>
      <c r="AB65" s="633"/>
      <c r="AC65" s="634"/>
      <c r="AD65" s="635"/>
      <c r="AE65" s="632" t="s">
        <v>379</v>
      </c>
      <c r="AF65" s="633"/>
      <c r="AG65" s="633"/>
      <c r="AH65" s="634"/>
      <c r="AI65" s="635"/>
      <c r="AJ65" s="632" t="s">
        <v>379</v>
      </c>
      <c r="AK65" s="633"/>
      <c r="AL65" s="633"/>
      <c r="AM65" s="634"/>
      <c r="AN65" s="635"/>
      <c r="AO65" s="632" t="s">
        <v>379</v>
      </c>
      <c r="AP65" s="633"/>
      <c r="AQ65" s="633"/>
      <c r="AR65" s="634"/>
      <c r="AS65" s="635"/>
      <c r="AT65" s="632" t="s">
        <v>379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408" t="s">
        <v>380</v>
      </c>
      <c r="F66" s="408" t="s">
        <v>381</v>
      </c>
      <c r="G66" s="408" t="s">
        <v>382</v>
      </c>
      <c r="H66" s="653"/>
      <c r="I66" s="407" t="s">
        <v>380</v>
      </c>
      <c r="J66" s="407" t="s">
        <v>381</v>
      </c>
      <c r="K66" s="407" t="s">
        <v>382</v>
      </c>
      <c r="L66" s="622"/>
      <c r="M66" s="628"/>
      <c r="N66" s="635"/>
      <c r="O66" s="635"/>
      <c r="P66" s="408" t="s">
        <v>380</v>
      </c>
      <c r="Q66" s="408" t="s">
        <v>381</v>
      </c>
      <c r="R66" s="408" t="s">
        <v>382</v>
      </c>
      <c r="S66" s="408" t="s">
        <v>372</v>
      </c>
      <c r="T66" s="635"/>
      <c r="U66" s="408" t="s">
        <v>380</v>
      </c>
      <c r="V66" s="408" t="s">
        <v>381</v>
      </c>
      <c r="W66" s="408" t="s">
        <v>382</v>
      </c>
      <c r="X66" s="408" t="s">
        <v>372</v>
      </c>
      <c r="Y66" s="635"/>
      <c r="Z66" s="408" t="s">
        <v>380</v>
      </c>
      <c r="AA66" s="408" t="s">
        <v>381</v>
      </c>
      <c r="AB66" s="408" t="s">
        <v>382</v>
      </c>
      <c r="AC66" s="408" t="s">
        <v>372</v>
      </c>
      <c r="AD66" s="635"/>
      <c r="AE66" s="408" t="s">
        <v>380</v>
      </c>
      <c r="AF66" s="408" t="s">
        <v>381</v>
      </c>
      <c r="AG66" s="408" t="s">
        <v>382</v>
      </c>
      <c r="AH66" s="408" t="s">
        <v>372</v>
      </c>
      <c r="AI66" s="635"/>
      <c r="AJ66" s="408" t="s">
        <v>380</v>
      </c>
      <c r="AK66" s="408" t="s">
        <v>381</v>
      </c>
      <c r="AL66" s="408" t="s">
        <v>382</v>
      </c>
      <c r="AM66" s="408" t="s">
        <v>372</v>
      </c>
      <c r="AN66" s="635"/>
      <c r="AO66" s="408" t="s">
        <v>380</v>
      </c>
      <c r="AP66" s="408" t="s">
        <v>381</v>
      </c>
      <c r="AQ66" s="408" t="s">
        <v>382</v>
      </c>
      <c r="AR66" s="408" t="s">
        <v>372</v>
      </c>
      <c r="AS66" s="635"/>
      <c r="AT66" s="408" t="s">
        <v>380</v>
      </c>
      <c r="AU66" s="408" t="s">
        <v>381</v>
      </c>
      <c r="AV66" s="408" t="s">
        <v>382</v>
      </c>
      <c r="AW66" s="408" t="s">
        <v>372</v>
      </c>
      <c r="AX66" s="635"/>
      <c r="AZ66" s="397" t="s">
        <v>372</v>
      </c>
      <c r="BA66" s="635"/>
    </row>
    <row r="67" spans="2:53">
      <c r="B67" s="635" t="s">
        <v>385</v>
      </c>
      <c r="C67" s="409">
        <v>1</v>
      </c>
      <c r="D67" s="225"/>
      <c r="E67" s="416"/>
      <c r="F67" s="409"/>
      <c r="G67" s="410"/>
      <c r="H67" s="685" t="e">
        <f>AVERAGE(G67:G81)</f>
        <v>#DIV/0!</v>
      </c>
      <c r="I67" s="413" t="str">
        <f t="shared" ref="I67:I80" si="57">IFERROR(AVERAGE(P67,U67,Z67,AE67,AJ67,AO67,AT67),"-")</f>
        <v>-</v>
      </c>
      <c r="J67" s="413" t="str">
        <f t="shared" ref="J67:J80" si="58">IFERROR(AVERAGE(Q67,V67,AA67,AF67,AK67,AP67,AU67),"-")</f>
        <v>-</v>
      </c>
      <c r="K67" s="199" t="str">
        <f t="shared" ref="K67:K80" si="59">IFERROR(AVERAGE(R67,W67,AB67,AG67,AL67,AQ67,AV67),"-")</f>
        <v>-</v>
      </c>
      <c r="L67" s="616" t="str">
        <f>IFERROR(AVERAGE(K67:K81),"-")</f>
        <v>-</v>
      </c>
      <c r="M67" s="415" t="e">
        <f>RANK(K67, K$67:$K$81)</f>
        <v>#VALUE!</v>
      </c>
      <c r="N67" s="635"/>
      <c r="O67" s="635"/>
      <c r="P67" s="482"/>
      <c r="Q67" s="416"/>
      <c r="R67" s="416"/>
      <c r="S67" s="482"/>
      <c r="T67" s="644"/>
      <c r="U67" s="482"/>
      <c r="V67" s="416"/>
      <c r="W67" s="416"/>
      <c r="X67" s="482"/>
      <c r="Y67" s="644"/>
      <c r="Z67" s="482"/>
      <c r="AA67" s="416"/>
      <c r="AB67" s="416"/>
      <c r="AC67" s="482"/>
      <c r="AD67" s="644"/>
      <c r="AE67" s="482"/>
      <c r="AF67" s="416"/>
      <c r="AG67" s="416"/>
      <c r="AH67" s="482"/>
      <c r="AI67" s="644"/>
      <c r="AJ67" s="482"/>
      <c r="AK67" s="416"/>
      <c r="AL67" s="416"/>
      <c r="AM67" s="482"/>
      <c r="AN67" s="644"/>
      <c r="AO67" s="482"/>
      <c r="AP67" s="416"/>
      <c r="AQ67" s="416"/>
      <c r="AR67" s="482"/>
      <c r="AS67" s="644"/>
      <c r="AT67" s="482"/>
      <c r="AU67" s="416"/>
      <c r="AV67" s="416"/>
      <c r="AW67" s="482"/>
      <c r="AX67" s="644"/>
      <c r="AZ67" s="398" t="e">
        <f t="shared" ref="AZ67:AZ81" si="60">RANK(AY67, AY$67:AY$81)</f>
        <v>#N/A</v>
      </c>
      <c r="BA67" s="644" t="e">
        <f t="shared" ref="BA67" si="61">AVERAGE(AY67:AY81)</f>
        <v>#DIV/0!</v>
      </c>
    </row>
    <row r="68" spans="2:53">
      <c r="B68" s="643"/>
      <c r="C68" s="409">
        <v>2</v>
      </c>
      <c r="D68" s="225"/>
      <c r="E68" s="416"/>
      <c r="F68" s="409"/>
      <c r="G68" s="410"/>
      <c r="H68" s="686"/>
      <c r="I68" s="413" t="str">
        <f t="shared" si="57"/>
        <v>-</v>
      </c>
      <c r="J68" s="413" t="str">
        <f t="shared" si="58"/>
        <v>-</v>
      </c>
      <c r="K68" s="199" t="str">
        <f t="shared" si="59"/>
        <v>-</v>
      </c>
      <c r="L68" s="617"/>
      <c r="M68" s="415" t="e">
        <f>RANK(K68, K$87:$K$101)</f>
        <v>#VALUE!</v>
      </c>
      <c r="N68" s="635"/>
      <c r="O68" s="635"/>
      <c r="P68" s="482"/>
      <c r="Q68" s="416"/>
      <c r="R68" s="416"/>
      <c r="S68" s="482"/>
      <c r="T68" s="645"/>
      <c r="U68" s="482"/>
      <c r="V68" s="416"/>
      <c r="W68" s="416"/>
      <c r="X68" s="482"/>
      <c r="Y68" s="645"/>
      <c r="Z68" s="482"/>
      <c r="AA68" s="416"/>
      <c r="AB68" s="416"/>
      <c r="AC68" s="482"/>
      <c r="AD68" s="645"/>
      <c r="AE68" s="482"/>
      <c r="AF68" s="416"/>
      <c r="AG68" s="416"/>
      <c r="AH68" s="482"/>
      <c r="AI68" s="645"/>
      <c r="AJ68" s="482"/>
      <c r="AK68" s="416"/>
      <c r="AL68" s="416"/>
      <c r="AM68" s="482"/>
      <c r="AN68" s="645"/>
      <c r="AO68" s="482"/>
      <c r="AP68" s="416"/>
      <c r="AQ68" s="416"/>
      <c r="AR68" s="482"/>
      <c r="AS68" s="645"/>
      <c r="AT68" s="482"/>
      <c r="AU68" s="416"/>
      <c r="AV68" s="416"/>
      <c r="AW68" s="482"/>
      <c r="AX68" s="645"/>
      <c r="AZ68" s="398" t="e">
        <f t="shared" si="60"/>
        <v>#N/A</v>
      </c>
      <c r="BA68" s="645"/>
    </row>
    <row r="69" spans="2:53">
      <c r="B69" s="643"/>
      <c r="C69" s="409">
        <v>3</v>
      </c>
      <c r="D69" s="225"/>
      <c r="E69" s="416"/>
      <c r="F69" s="409"/>
      <c r="G69" s="410"/>
      <c r="H69" s="686"/>
      <c r="I69" s="413" t="str">
        <f t="shared" si="57"/>
        <v>-</v>
      </c>
      <c r="J69" s="413" t="str">
        <f t="shared" si="58"/>
        <v>-</v>
      </c>
      <c r="K69" s="199" t="str">
        <f t="shared" si="59"/>
        <v>-</v>
      </c>
      <c r="L69" s="617"/>
      <c r="M69" s="415" t="e">
        <f>RANK(K69, K$87:$K$101)</f>
        <v>#VALUE!</v>
      </c>
      <c r="N69" s="635"/>
      <c r="O69" s="635"/>
      <c r="P69" s="482"/>
      <c r="Q69" s="416"/>
      <c r="R69" s="416"/>
      <c r="S69" s="482"/>
      <c r="T69" s="645"/>
      <c r="U69" s="482"/>
      <c r="V69" s="416"/>
      <c r="W69" s="416"/>
      <c r="X69" s="482"/>
      <c r="Y69" s="645"/>
      <c r="Z69" s="482"/>
      <c r="AA69" s="416"/>
      <c r="AB69" s="416"/>
      <c r="AC69" s="482"/>
      <c r="AD69" s="645"/>
      <c r="AE69" s="482"/>
      <c r="AF69" s="416"/>
      <c r="AG69" s="416"/>
      <c r="AH69" s="482"/>
      <c r="AI69" s="645"/>
      <c r="AJ69" s="482"/>
      <c r="AK69" s="416"/>
      <c r="AL69" s="416"/>
      <c r="AM69" s="482"/>
      <c r="AN69" s="645"/>
      <c r="AO69" s="482"/>
      <c r="AP69" s="416"/>
      <c r="AQ69" s="416"/>
      <c r="AR69" s="482"/>
      <c r="AS69" s="645"/>
      <c r="AT69" s="482"/>
      <c r="AU69" s="416"/>
      <c r="AV69" s="416"/>
      <c r="AW69" s="482"/>
      <c r="AX69" s="645"/>
      <c r="AZ69" s="398" t="e">
        <f t="shared" si="60"/>
        <v>#N/A</v>
      </c>
      <c r="BA69" s="645"/>
    </row>
    <row r="70" spans="2:53">
      <c r="B70" s="643"/>
      <c r="C70" s="409">
        <v>4</v>
      </c>
      <c r="D70" s="225"/>
      <c r="E70" s="416"/>
      <c r="F70" s="409"/>
      <c r="G70" s="410"/>
      <c r="H70" s="686"/>
      <c r="I70" s="413" t="str">
        <f t="shared" si="57"/>
        <v>-</v>
      </c>
      <c r="J70" s="413" t="str">
        <f t="shared" si="58"/>
        <v>-</v>
      </c>
      <c r="K70" s="199" t="str">
        <f t="shared" si="59"/>
        <v>-</v>
      </c>
      <c r="L70" s="617"/>
      <c r="M70" s="415" t="e">
        <f>RANK(K70, K$87:$K$101)</f>
        <v>#VALUE!</v>
      </c>
      <c r="N70" s="635"/>
      <c r="O70" s="635"/>
      <c r="P70" s="482"/>
      <c r="Q70" s="416"/>
      <c r="R70" s="416"/>
      <c r="S70" s="482"/>
      <c r="T70" s="645"/>
      <c r="U70" s="482"/>
      <c r="V70" s="416"/>
      <c r="W70" s="416"/>
      <c r="X70" s="482"/>
      <c r="Y70" s="645"/>
      <c r="Z70" s="482"/>
      <c r="AA70" s="416"/>
      <c r="AB70" s="416"/>
      <c r="AC70" s="482"/>
      <c r="AD70" s="645"/>
      <c r="AE70" s="482"/>
      <c r="AF70" s="416"/>
      <c r="AG70" s="416"/>
      <c r="AH70" s="482"/>
      <c r="AI70" s="645"/>
      <c r="AJ70" s="482"/>
      <c r="AK70" s="416"/>
      <c r="AL70" s="416"/>
      <c r="AM70" s="482"/>
      <c r="AN70" s="645"/>
      <c r="AO70" s="482"/>
      <c r="AP70" s="416"/>
      <c r="AQ70" s="416"/>
      <c r="AR70" s="482"/>
      <c r="AS70" s="645"/>
      <c r="AT70" s="482"/>
      <c r="AU70" s="416"/>
      <c r="AV70" s="416"/>
      <c r="AW70" s="482"/>
      <c r="AX70" s="645"/>
      <c r="AZ70" s="398" t="e">
        <f t="shared" si="60"/>
        <v>#N/A</v>
      </c>
      <c r="BA70" s="645"/>
    </row>
    <row r="71" spans="2:53">
      <c r="B71" s="643"/>
      <c r="C71" s="409">
        <v>5</v>
      </c>
      <c r="D71" s="225"/>
      <c r="E71" s="416"/>
      <c r="F71" s="409"/>
      <c r="G71" s="410"/>
      <c r="H71" s="686"/>
      <c r="I71" s="413" t="str">
        <f t="shared" si="57"/>
        <v>-</v>
      </c>
      <c r="J71" s="413" t="str">
        <f t="shared" si="58"/>
        <v>-</v>
      </c>
      <c r="K71" s="199" t="str">
        <f t="shared" si="59"/>
        <v>-</v>
      </c>
      <c r="L71" s="617"/>
      <c r="M71" s="415" t="e">
        <f>RANK(K71, K$87:$K$101)</f>
        <v>#VALUE!</v>
      </c>
      <c r="N71" s="635"/>
      <c r="O71" s="635"/>
      <c r="P71" s="482"/>
      <c r="Q71" s="416"/>
      <c r="R71" s="416"/>
      <c r="S71" s="482"/>
      <c r="T71" s="645"/>
      <c r="U71" s="482"/>
      <c r="V71" s="416"/>
      <c r="W71" s="416"/>
      <c r="X71" s="482"/>
      <c r="Y71" s="645"/>
      <c r="Z71" s="482"/>
      <c r="AA71" s="416"/>
      <c r="AB71" s="416"/>
      <c r="AC71" s="482"/>
      <c r="AD71" s="645"/>
      <c r="AE71" s="482"/>
      <c r="AF71" s="416"/>
      <c r="AG71" s="416"/>
      <c r="AH71" s="482"/>
      <c r="AI71" s="645"/>
      <c r="AJ71" s="482"/>
      <c r="AK71" s="416"/>
      <c r="AL71" s="416"/>
      <c r="AM71" s="482"/>
      <c r="AN71" s="645"/>
      <c r="AO71" s="482"/>
      <c r="AP71" s="416"/>
      <c r="AQ71" s="416"/>
      <c r="AR71" s="482"/>
      <c r="AS71" s="645"/>
      <c r="AT71" s="482"/>
      <c r="AU71" s="416"/>
      <c r="AV71" s="416"/>
      <c r="AW71" s="482"/>
      <c r="AX71" s="645"/>
      <c r="AZ71" s="398" t="e">
        <f t="shared" si="60"/>
        <v>#N/A</v>
      </c>
      <c r="BA71" s="645"/>
    </row>
    <row r="72" spans="2:53">
      <c r="B72" s="643"/>
      <c r="C72" s="409">
        <v>6</v>
      </c>
      <c r="D72" s="225"/>
      <c r="E72" s="416"/>
      <c r="F72" s="409"/>
      <c r="G72" s="410"/>
      <c r="H72" s="686"/>
      <c r="I72" s="413" t="str">
        <f t="shared" si="57"/>
        <v>-</v>
      </c>
      <c r="J72" s="413" t="str">
        <f t="shared" si="58"/>
        <v>-</v>
      </c>
      <c r="K72" s="199" t="str">
        <f t="shared" si="59"/>
        <v>-</v>
      </c>
      <c r="L72" s="617"/>
      <c r="M72" s="415" t="e">
        <f>RANK(K72, K$87:$K$101)</f>
        <v>#VALUE!</v>
      </c>
      <c r="N72" s="635"/>
      <c r="O72" s="635"/>
      <c r="P72" s="482"/>
      <c r="Q72" s="416"/>
      <c r="R72" s="416"/>
      <c r="S72" s="482"/>
      <c r="T72" s="645"/>
      <c r="U72" s="482"/>
      <c r="V72" s="416"/>
      <c r="W72" s="416"/>
      <c r="X72" s="482"/>
      <c r="Y72" s="645"/>
      <c r="Z72" s="482"/>
      <c r="AA72" s="416"/>
      <c r="AB72" s="416"/>
      <c r="AC72" s="482"/>
      <c r="AD72" s="645"/>
      <c r="AE72" s="482"/>
      <c r="AF72" s="416"/>
      <c r="AG72" s="416"/>
      <c r="AH72" s="482"/>
      <c r="AI72" s="645"/>
      <c r="AJ72" s="482"/>
      <c r="AK72" s="416"/>
      <c r="AL72" s="416"/>
      <c r="AM72" s="482"/>
      <c r="AN72" s="645"/>
      <c r="AO72" s="482"/>
      <c r="AP72" s="416"/>
      <c r="AQ72" s="416"/>
      <c r="AR72" s="482"/>
      <c r="AS72" s="645"/>
      <c r="AT72" s="482"/>
      <c r="AU72" s="416"/>
      <c r="AV72" s="416"/>
      <c r="AW72" s="482"/>
      <c r="AX72" s="645"/>
      <c r="AZ72" s="398" t="e">
        <f t="shared" si="60"/>
        <v>#N/A</v>
      </c>
      <c r="BA72" s="645"/>
    </row>
    <row r="73" spans="2:53">
      <c r="B73" s="643"/>
      <c r="C73" s="409">
        <v>7</v>
      </c>
      <c r="D73" s="225"/>
      <c r="E73" s="416"/>
      <c r="F73" s="409"/>
      <c r="G73" s="410"/>
      <c r="H73" s="686"/>
      <c r="I73" s="413" t="str">
        <f t="shared" si="57"/>
        <v>-</v>
      </c>
      <c r="J73" s="413" t="str">
        <f t="shared" si="58"/>
        <v>-</v>
      </c>
      <c r="K73" s="199" t="str">
        <f t="shared" si="59"/>
        <v>-</v>
      </c>
      <c r="L73" s="617"/>
      <c r="M73" s="415" t="e">
        <f>RANK(K73, K$87:$K$101)</f>
        <v>#VALUE!</v>
      </c>
      <c r="N73" s="635"/>
      <c r="O73" s="635"/>
      <c r="P73" s="482"/>
      <c r="Q73" s="416"/>
      <c r="R73" s="416"/>
      <c r="S73" s="482"/>
      <c r="T73" s="645"/>
      <c r="U73" s="482"/>
      <c r="V73" s="416"/>
      <c r="W73" s="416"/>
      <c r="X73" s="482"/>
      <c r="Y73" s="645"/>
      <c r="Z73" s="482"/>
      <c r="AA73" s="416"/>
      <c r="AB73" s="416"/>
      <c r="AC73" s="482"/>
      <c r="AD73" s="645"/>
      <c r="AE73" s="482"/>
      <c r="AF73" s="416"/>
      <c r="AG73" s="416"/>
      <c r="AH73" s="482"/>
      <c r="AI73" s="645"/>
      <c r="AJ73" s="482"/>
      <c r="AK73" s="416"/>
      <c r="AL73" s="416"/>
      <c r="AM73" s="482"/>
      <c r="AN73" s="645"/>
      <c r="AO73" s="482"/>
      <c r="AP73" s="416"/>
      <c r="AQ73" s="416"/>
      <c r="AR73" s="482"/>
      <c r="AS73" s="645"/>
      <c r="AT73" s="482"/>
      <c r="AU73" s="416"/>
      <c r="AV73" s="416"/>
      <c r="AW73" s="482"/>
      <c r="AX73" s="645"/>
      <c r="AZ73" s="398" t="e">
        <f t="shared" si="60"/>
        <v>#N/A</v>
      </c>
      <c r="BA73" s="645"/>
    </row>
    <row r="74" spans="2:53">
      <c r="B74" s="643"/>
      <c r="C74" s="409">
        <v>8</v>
      </c>
      <c r="D74" s="225"/>
      <c r="E74" s="416"/>
      <c r="F74" s="409"/>
      <c r="G74" s="410"/>
      <c r="H74" s="686"/>
      <c r="I74" s="413" t="str">
        <f t="shared" si="57"/>
        <v>-</v>
      </c>
      <c r="J74" s="413" t="str">
        <f t="shared" si="58"/>
        <v>-</v>
      </c>
      <c r="K74" s="199" t="str">
        <f t="shared" si="59"/>
        <v>-</v>
      </c>
      <c r="L74" s="617"/>
      <c r="M74" s="415" t="e">
        <f>RANK(K74, K$87:$K$101)</f>
        <v>#VALUE!</v>
      </c>
      <c r="N74" s="635"/>
      <c r="O74" s="635"/>
      <c r="P74" s="482"/>
      <c r="Q74" s="416"/>
      <c r="R74" s="416"/>
      <c r="S74" s="482"/>
      <c r="T74" s="645"/>
      <c r="U74" s="482"/>
      <c r="V74" s="416"/>
      <c r="W74" s="416"/>
      <c r="X74" s="482"/>
      <c r="Y74" s="645"/>
      <c r="Z74" s="482"/>
      <c r="AA74" s="416"/>
      <c r="AB74" s="416"/>
      <c r="AC74" s="482"/>
      <c r="AD74" s="645"/>
      <c r="AE74" s="482"/>
      <c r="AF74" s="416"/>
      <c r="AG74" s="416"/>
      <c r="AH74" s="482"/>
      <c r="AI74" s="645"/>
      <c r="AJ74" s="482"/>
      <c r="AK74" s="416"/>
      <c r="AL74" s="416"/>
      <c r="AM74" s="482"/>
      <c r="AN74" s="645"/>
      <c r="AO74" s="482"/>
      <c r="AP74" s="416"/>
      <c r="AQ74" s="416"/>
      <c r="AR74" s="482"/>
      <c r="AS74" s="645"/>
      <c r="AT74" s="482"/>
      <c r="AU74" s="416"/>
      <c r="AV74" s="416"/>
      <c r="AW74" s="482"/>
      <c r="AX74" s="645"/>
      <c r="AZ74" s="398" t="e">
        <f t="shared" si="60"/>
        <v>#N/A</v>
      </c>
      <c r="BA74" s="645"/>
    </row>
    <row r="75" spans="2:53">
      <c r="B75" s="643"/>
      <c r="C75" s="409">
        <v>9</v>
      </c>
      <c r="D75" s="225"/>
      <c r="E75" s="416"/>
      <c r="F75" s="409"/>
      <c r="G75" s="410"/>
      <c r="H75" s="686"/>
      <c r="I75" s="413" t="str">
        <f t="shared" si="57"/>
        <v>-</v>
      </c>
      <c r="J75" s="413" t="str">
        <f t="shared" si="58"/>
        <v>-</v>
      </c>
      <c r="K75" s="199" t="str">
        <f t="shared" si="59"/>
        <v>-</v>
      </c>
      <c r="L75" s="617"/>
      <c r="M75" s="415" t="e">
        <f>RANK(K75, K$87:$K$101)</f>
        <v>#VALUE!</v>
      </c>
      <c r="N75" s="635"/>
      <c r="O75" s="635"/>
      <c r="P75" s="482"/>
      <c r="Q75" s="416"/>
      <c r="R75" s="416"/>
      <c r="S75" s="482"/>
      <c r="T75" s="645"/>
      <c r="U75" s="482"/>
      <c r="V75" s="416"/>
      <c r="W75" s="416"/>
      <c r="X75" s="482"/>
      <c r="Y75" s="645"/>
      <c r="Z75" s="482"/>
      <c r="AA75" s="416"/>
      <c r="AB75" s="416"/>
      <c r="AC75" s="482"/>
      <c r="AD75" s="645"/>
      <c r="AE75" s="482"/>
      <c r="AF75" s="416"/>
      <c r="AG75" s="416"/>
      <c r="AH75" s="482"/>
      <c r="AI75" s="645"/>
      <c r="AJ75" s="482"/>
      <c r="AK75" s="416"/>
      <c r="AL75" s="416"/>
      <c r="AM75" s="482"/>
      <c r="AN75" s="645"/>
      <c r="AO75" s="482"/>
      <c r="AP75" s="416"/>
      <c r="AQ75" s="416"/>
      <c r="AR75" s="482"/>
      <c r="AS75" s="645"/>
      <c r="AT75" s="482"/>
      <c r="AU75" s="416"/>
      <c r="AV75" s="416"/>
      <c r="AW75" s="482"/>
      <c r="AX75" s="645"/>
      <c r="AZ75" s="398" t="e">
        <f t="shared" si="60"/>
        <v>#N/A</v>
      </c>
      <c r="BA75" s="645"/>
    </row>
    <row r="76" spans="2:53">
      <c r="B76" s="643"/>
      <c r="C76" s="409">
        <v>10</v>
      </c>
      <c r="D76" s="225"/>
      <c r="E76" s="416"/>
      <c r="F76" s="409"/>
      <c r="G76" s="410"/>
      <c r="H76" s="686"/>
      <c r="I76" s="413" t="str">
        <f t="shared" si="57"/>
        <v>-</v>
      </c>
      <c r="J76" s="413" t="str">
        <f t="shared" si="58"/>
        <v>-</v>
      </c>
      <c r="K76" s="199" t="str">
        <f t="shared" si="59"/>
        <v>-</v>
      </c>
      <c r="L76" s="617"/>
      <c r="M76" s="415" t="e">
        <f>RANK(K76, K$87:$K$101)</f>
        <v>#VALUE!</v>
      </c>
      <c r="N76" s="635"/>
      <c r="O76" s="635"/>
      <c r="P76" s="482"/>
      <c r="Q76" s="416"/>
      <c r="R76" s="416"/>
      <c r="S76" s="482"/>
      <c r="T76" s="645"/>
      <c r="U76" s="482"/>
      <c r="V76" s="416"/>
      <c r="W76" s="416"/>
      <c r="X76" s="482"/>
      <c r="Y76" s="645"/>
      <c r="Z76" s="482"/>
      <c r="AA76" s="416"/>
      <c r="AB76" s="416"/>
      <c r="AC76" s="482"/>
      <c r="AD76" s="645"/>
      <c r="AE76" s="482"/>
      <c r="AF76" s="416"/>
      <c r="AG76" s="416"/>
      <c r="AH76" s="482"/>
      <c r="AI76" s="645"/>
      <c r="AJ76" s="482"/>
      <c r="AK76" s="416"/>
      <c r="AL76" s="416"/>
      <c r="AM76" s="482"/>
      <c r="AN76" s="645"/>
      <c r="AO76" s="482"/>
      <c r="AP76" s="416"/>
      <c r="AQ76" s="416"/>
      <c r="AR76" s="482"/>
      <c r="AS76" s="645"/>
      <c r="AT76" s="482"/>
      <c r="AU76" s="416"/>
      <c r="AV76" s="416"/>
      <c r="AW76" s="482"/>
      <c r="AX76" s="645"/>
      <c r="AZ76" s="398" t="e">
        <f t="shared" si="60"/>
        <v>#N/A</v>
      </c>
      <c r="BA76" s="645"/>
    </row>
    <row r="77" spans="2:53">
      <c r="B77" s="643"/>
      <c r="C77" s="409">
        <v>11</v>
      </c>
      <c r="D77" s="225"/>
      <c r="E77" s="416"/>
      <c r="F77" s="409"/>
      <c r="G77" s="410"/>
      <c r="H77" s="686"/>
      <c r="I77" s="413" t="str">
        <f t="shared" si="57"/>
        <v>-</v>
      </c>
      <c r="J77" s="413" t="str">
        <f t="shared" si="58"/>
        <v>-</v>
      </c>
      <c r="K77" s="199" t="str">
        <f t="shared" si="59"/>
        <v>-</v>
      </c>
      <c r="L77" s="617"/>
      <c r="M77" s="415" t="e">
        <f>RANK(K77, K$87:$K$101)</f>
        <v>#VALUE!</v>
      </c>
      <c r="N77" s="635"/>
      <c r="O77" s="635"/>
      <c r="P77" s="482"/>
      <c r="Q77" s="416"/>
      <c r="R77" s="416"/>
      <c r="S77" s="482"/>
      <c r="T77" s="645"/>
      <c r="U77" s="482"/>
      <c r="V77" s="416"/>
      <c r="W77" s="416"/>
      <c r="X77" s="482"/>
      <c r="Y77" s="645"/>
      <c r="Z77" s="482"/>
      <c r="AA77" s="416"/>
      <c r="AB77" s="416"/>
      <c r="AC77" s="482"/>
      <c r="AD77" s="645"/>
      <c r="AE77" s="482"/>
      <c r="AF77" s="416"/>
      <c r="AG77" s="416"/>
      <c r="AH77" s="482"/>
      <c r="AI77" s="645"/>
      <c r="AJ77" s="482"/>
      <c r="AK77" s="416"/>
      <c r="AL77" s="416"/>
      <c r="AM77" s="482"/>
      <c r="AN77" s="645"/>
      <c r="AO77" s="482"/>
      <c r="AP77" s="416"/>
      <c r="AQ77" s="416"/>
      <c r="AR77" s="482"/>
      <c r="AS77" s="645"/>
      <c r="AT77" s="482"/>
      <c r="AU77" s="416"/>
      <c r="AV77" s="416"/>
      <c r="AW77" s="482"/>
      <c r="AX77" s="645"/>
      <c r="AZ77" s="398" t="e">
        <f t="shared" si="60"/>
        <v>#N/A</v>
      </c>
      <c r="BA77" s="645"/>
    </row>
    <row r="78" spans="2:53">
      <c r="B78" s="643"/>
      <c r="C78" s="409">
        <v>12</v>
      </c>
      <c r="D78" s="225"/>
      <c r="E78" s="416"/>
      <c r="F78" s="409"/>
      <c r="G78" s="410"/>
      <c r="H78" s="686"/>
      <c r="I78" s="413" t="str">
        <f t="shared" si="57"/>
        <v>-</v>
      </c>
      <c r="J78" s="413" t="str">
        <f t="shared" si="58"/>
        <v>-</v>
      </c>
      <c r="K78" s="199" t="str">
        <f t="shared" si="59"/>
        <v>-</v>
      </c>
      <c r="L78" s="617"/>
      <c r="M78" s="415" t="e">
        <f>RANK(K78, K$87:$K$101)</f>
        <v>#VALUE!</v>
      </c>
      <c r="N78" s="635"/>
      <c r="O78" s="635"/>
      <c r="P78" s="482"/>
      <c r="Q78" s="416"/>
      <c r="R78" s="416"/>
      <c r="S78" s="482"/>
      <c r="T78" s="645"/>
      <c r="U78" s="482"/>
      <c r="V78" s="416"/>
      <c r="W78" s="416"/>
      <c r="X78" s="482"/>
      <c r="Y78" s="645"/>
      <c r="Z78" s="482"/>
      <c r="AA78" s="416"/>
      <c r="AB78" s="416"/>
      <c r="AC78" s="482"/>
      <c r="AD78" s="645"/>
      <c r="AE78" s="482"/>
      <c r="AF78" s="416"/>
      <c r="AG78" s="416"/>
      <c r="AH78" s="482"/>
      <c r="AI78" s="645"/>
      <c r="AJ78" s="482"/>
      <c r="AK78" s="416"/>
      <c r="AL78" s="416"/>
      <c r="AM78" s="482"/>
      <c r="AN78" s="645"/>
      <c r="AO78" s="482"/>
      <c r="AP78" s="416"/>
      <c r="AQ78" s="416"/>
      <c r="AR78" s="482"/>
      <c r="AS78" s="645"/>
      <c r="AT78" s="482"/>
      <c r="AU78" s="416"/>
      <c r="AV78" s="416"/>
      <c r="AW78" s="482"/>
      <c r="AX78" s="645"/>
      <c r="AZ78" s="398" t="e">
        <f t="shared" si="60"/>
        <v>#N/A</v>
      </c>
      <c r="BA78" s="645"/>
    </row>
    <row r="79" spans="2:53">
      <c r="B79" s="643"/>
      <c r="C79" s="409">
        <v>13</v>
      </c>
      <c r="D79" s="225"/>
      <c r="E79" s="416"/>
      <c r="F79" s="409"/>
      <c r="G79" s="410"/>
      <c r="H79" s="686"/>
      <c r="I79" s="413" t="str">
        <f t="shared" si="57"/>
        <v>-</v>
      </c>
      <c r="J79" s="413" t="str">
        <f t="shared" si="58"/>
        <v>-</v>
      </c>
      <c r="K79" s="199" t="str">
        <f t="shared" si="59"/>
        <v>-</v>
      </c>
      <c r="L79" s="617"/>
      <c r="M79" s="415" t="e">
        <f>RANK(K79, K$87:$K$101)</f>
        <v>#VALUE!</v>
      </c>
      <c r="N79" s="635"/>
      <c r="O79" s="635"/>
      <c r="P79" s="482"/>
      <c r="Q79" s="416"/>
      <c r="R79" s="416"/>
      <c r="S79" s="482"/>
      <c r="T79" s="645"/>
      <c r="U79" s="482"/>
      <c r="V79" s="416"/>
      <c r="W79" s="416"/>
      <c r="X79" s="482"/>
      <c r="Y79" s="645"/>
      <c r="Z79" s="482"/>
      <c r="AA79" s="416"/>
      <c r="AB79" s="416"/>
      <c r="AC79" s="482"/>
      <c r="AD79" s="645"/>
      <c r="AE79" s="482"/>
      <c r="AF79" s="416"/>
      <c r="AG79" s="416"/>
      <c r="AH79" s="482"/>
      <c r="AI79" s="645"/>
      <c r="AJ79" s="482"/>
      <c r="AK79" s="416"/>
      <c r="AL79" s="416"/>
      <c r="AM79" s="482"/>
      <c r="AN79" s="645"/>
      <c r="AO79" s="482"/>
      <c r="AP79" s="416"/>
      <c r="AQ79" s="416"/>
      <c r="AR79" s="482"/>
      <c r="AS79" s="645"/>
      <c r="AT79" s="482"/>
      <c r="AU79" s="416"/>
      <c r="AV79" s="416"/>
      <c r="AW79" s="482"/>
      <c r="AX79" s="645"/>
      <c r="AZ79" s="398" t="e">
        <f t="shared" si="60"/>
        <v>#N/A</v>
      </c>
      <c r="BA79" s="645"/>
    </row>
    <row r="80" spans="2:53">
      <c r="B80" s="643"/>
      <c r="C80" s="409">
        <v>14</v>
      </c>
      <c r="D80" s="225"/>
      <c r="E80" s="416"/>
      <c r="F80" s="409"/>
      <c r="G80" s="410"/>
      <c r="H80" s="686"/>
      <c r="I80" s="413" t="str">
        <f t="shared" si="57"/>
        <v>-</v>
      </c>
      <c r="J80" s="413" t="str">
        <f t="shared" si="58"/>
        <v>-</v>
      </c>
      <c r="K80" s="199" t="str">
        <f t="shared" si="59"/>
        <v>-</v>
      </c>
      <c r="L80" s="617"/>
      <c r="M80" s="415" t="e">
        <f>RANK(K80, K$87:$K$101)</f>
        <v>#VALUE!</v>
      </c>
      <c r="N80" s="635"/>
      <c r="O80" s="635"/>
      <c r="P80" s="482"/>
      <c r="Q80" s="416"/>
      <c r="R80" s="416"/>
      <c r="S80" s="482"/>
      <c r="T80" s="645"/>
      <c r="U80" s="482"/>
      <c r="V80" s="416"/>
      <c r="W80" s="416"/>
      <c r="X80" s="482"/>
      <c r="Y80" s="645"/>
      <c r="Z80" s="482"/>
      <c r="AA80" s="416"/>
      <c r="AB80" s="416"/>
      <c r="AC80" s="482"/>
      <c r="AD80" s="645"/>
      <c r="AE80" s="482"/>
      <c r="AF80" s="416"/>
      <c r="AG80" s="416"/>
      <c r="AH80" s="482"/>
      <c r="AI80" s="645"/>
      <c r="AJ80" s="482"/>
      <c r="AK80" s="416"/>
      <c r="AL80" s="416"/>
      <c r="AM80" s="482"/>
      <c r="AN80" s="645"/>
      <c r="AO80" s="482"/>
      <c r="AP80" s="416"/>
      <c r="AQ80" s="416"/>
      <c r="AR80" s="482"/>
      <c r="AS80" s="645"/>
      <c r="AT80" s="482"/>
      <c r="AU80" s="416"/>
      <c r="AV80" s="416"/>
      <c r="AW80" s="482"/>
      <c r="AX80" s="645"/>
      <c r="AZ80" s="398" t="e">
        <f t="shared" si="60"/>
        <v>#N/A</v>
      </c>
      <c r="BA80" s="645"/>
    </row>
    <row r="81" spans="2:53">
      <c r="B81" s="643"/>
      <c r="C81" s="409">
        <v>15</v>
      </c>
      <c r="D81" s="225"/>
      <c r="E81" s="416"/>
      <c r="F81" s="409"/>
      <c r="G81" s="410"/>
      <c r="H81" s="687"/>
      <c r="I81" s="484" t="str">
        <f t="shared" ref="I81" si="62">IFERROR(AVERAGE(P81,U81,Z81,AE81,AJ81,AO81,AT81),"-")</f>
        <v>-</v>
      </c>
      <c r="J81" s="484" t="str">
        <f t="shared" ref="J81" si="63">IFERROR(AVERAGE(Q81,V81,AA81,AF81,AK81,AP81,AU81),"-")</f>
        <v>-</v>
      </c>
      <c r="K81" s="199" t="str">
        <f t="shared" ref="K81" si="64">IFERROR(AVERAGE(R81,W81,AB81,AG81,AL81,AQ81,AV81),"-")</f>
        <v>-</v>
      </c>
      <c r="L81" s="618"/>
      <c r="M81" s="413" t="e">
        <f>RANK(K81, K$87:$K$101)</f>
        <v>#VALUE!</v>
      </c>
      <c r="N81" s="635"/>
      <c r="O81" s="635"/>
      <c r="P81" s="482"/>
      <c r="Q81" s="416"/>
      <c r="R81" s="416"/>
      <c r="S81" s="482"/>
      <c r="T81" s="646"/>
      <c r="U81" s="482"/>
      <c r="V81" s="416"/>
      <c r="W81" s="416"/>
      <c r="X81" s="482"/>
      <c r="Y81" s="646"/>
      <c r="Z81" s="482"/>
      <c r="AA81" s="416"/>
      <c r="AB81" s="416"/>
      <c r="AC81" s="482"/>
      <c r="AD81" s="646"/>
      <c r="AE81" s="482"/>
      <c r="AF81" s="416"/>
      <c r="AG81" s="416"/>
      <c r="AH81" s="482"/>
      <c r="AI81" s="646"/>
      <c r="AJ81" s="482"/>
      <c r="AK81" s="416"/>
      <c r="AL81" s="416"/>
      <c r="AM81" s="482"/>
      <c r="AN81" s="646"/>
      <c r="AO81" s="482"/>
      <c r="AP81" s="416"/>
      <c r="AQ81" s="416"/>
      <c r="AR81" s="482"/>
      <c r="AS81" s="646"/>
      <c r="AT81" s="482"/>
      <c r="AU81" s="416"/>
      <c r="AV81" s="416"/>
      <c r="AW81" s="482"/>
      <c r="AX81" s="646"/>
      <c r="AZ81" s="398" t="e">
        <f t="shared" si="60"/>
        <v>#N/A</v>
      </c>
      <c r="BA81" s="646"/>
    </row>
    <row r="82" spans="2:53" ht="15.75">
      <c r="B82" s="647" t="s">
        <v>163</v>
      </c>
      <c r="C82" s="648"/>
      <c r="D82" s="648"/>
      <c r="E82" s="648"/>
      <c r="F82" s="648"/>
      <c r="G82" s="648"/>
      <c r="H82" s="649"/>
      <c r="I82" s="207"/>
      <c r="J82" s="207"/>
      <c r="K82" s="207"/>
      <c r="L82" s="207"/>
      <c r="M82" s="206"/>
      <c r="N82" s="636" t="s">
        <v>156</v>
      </c>
      <c r="O82" s="636" t="s">
        <v>105</v>
      </c>
      <c r="P82" s="642">
        <f>P62+7</f>
        <v>46196</v>
      </c>
      <c r="Q82" s="643"/>
      <c r="R82" s="643"/>
      <c r="S82" s="643"/>
      <c r="T82" s="643"/>
      <c r="U82" s="639">
        <f>P82+1</f>
        <v>46197</v>
      </c>
      <c r="V82" s="640"/>
      <c r="W82" s="640"/>
      <c r="X82" s="640"/>
      <c r="Y82" s="641"/>
      <c r="Z82" s="639">
        <f>U82+1</f>
        <v>46198</v>
      </c>
      <c r="AA82" s="640"/>
      <c r="AB82" s="640"/>
      <c r="AC82" s="640"/>
      <c r="AD82" s="641"/>
      <c r="AE82" s="639">
        <f>Z82+1</f>
        <v>46199</v>
      </c>
      <c r="AF82" s="640"/>
      <c r="AG82" s="640"/>
      <c r="AH82" s="640"/>
      <c r="AI82" s="641"/>
      <c r="AJ82" s="639">
        <f>AE82+1</f>
        <v>46200</v>
      </c>
      <c r="AK82" s="640"/>
      <c r="AL82" s="640"/>
      <c r="AM82" s="640"/>
      <c r="AN82" s="641"/>
      <c r="AO82" s="639">
        <f>AJ82+1</f>
        <v>46201</v>
      </c>
      <c r="AP82" s="640"/>
      <c r="AQ82" s="640"/>
      <c r="AR82" s="640"/>
      <c r="AS82" s="641"/>
      <c r="AT82" s="639">
        <f>AO82+1</f>
        <v>46202</v>
      </c>
      <c r="AU82" s="640"/>
      <c r="AV82" s="640"/>
      <c r="AW82" s="640"/>
      <c r="AX82" s="641"/>
    </row>
    <row r="83" spans="2:53" ht="15.75">
      <c r="B83" s="650"/>
      <c r="C83" s="650"/>
      <c r="D83" s="650"/>
      <c r="E83" s="650"/>
      <c r="F83" s="650"/>
      <c r="G83" s="650"/>
      <c r="H83" s="650"/>
      <c r="I83" s="204"/>
      <c r="J83" s="204"/>
      <c r="K83" s="204"/>
      <c r="L83" s="204"/>
      <c r="M83" s="205"/>
      <c r="N83" s="638"/>
      <c r="O83" s="638"/>
      <c r="P83" s="642" t="s">
        <v>318</v>
      </c>
      <c r="Q83" s="643"/>
      <c r="R83" s="643"/>
      <c r="S83" s="643"/>
      <c r="T83" s="643"/>
      <c r="U83" s="642" t="s">
        <v>319</v>
      </c>
      <c r="V83" s="643"/>
      <c r="W83" s="643"/>
      <c r="X83" s="643"/>
      <c r="Y83" s="643"/>
      <c r="Z83" s="642" t="s">
        <v>320</v>
      </c>
      <c r="AA83" s="643"/>
      <c r="AB83" s="643"/>
      <c r="AC83" s="643"/>
      <c r="AD83" s="643"/>
      <c r="AE83" s="642" t="s">
        <v>321</v>
      </c>
      <c r="AF83" s="643"/>
      <c r="AG83" s="643"/>
      <c r="AH83" s="643"/>
      <c r="AI83" s="643"/>
      <c r="AJ83" s="642" t="s">
        <v>322</v>
      </c>
      <c r="AK83" s="643"/>
      <c r="AL83" s="643"/>
      <c r="AM83" s="643"/>
      <c r="AN83" s="643"/>
      <c r="AO83" s="642" t="s">
        <v>323</v>
      </c>
      <c r="AP83" s="643"/>
      <c r="AQ83" s="643"/>
      <c r="AR83" s="643"/>
      <c r="AS83" s="643"/>
      <c r="AT83" s="642" t="s">
        <v>324</v>
      </c>
      <c r="AU83" s="643"/>
      <c r="AV83" s="643"/>
      <c r="AW83" s="643"/>
      <c r="AX83" s="643"/>
    </row>
    <row r="84" spans="2:53">
      <c r="B84" s="635" t="s">
        <v>399</v>
      </c>
      <c r="C84" s="635" t="s">
        <v>384</v>
      </c>
      <c r="D84" s="635"/>
      <c r="E84" s="635" t="s">
        <v>375</v>
      </c>
      <c r="F84" s="635"/>
      <c r="G84" s="635"/>
      <c r="H84" s="651" t="s">
        <v>371</v>
      </c>
      <c r="I84" s="619" t="s">
        <v>376</v>
      </c>
      <c r="J84" s="619"/>
      <c r="K84" s="619"/>
      <c r="L84" s="620" t="s">
        <v>371</v>
      </c>
      <c r="M84" s="626" t="s">
        <v>372</v>
      </c>
      <c r="N84" s="635"/>
      <c r="O84" s="635" t="s">
        <v>377</v>
      </c>
      <c r="P84" s="632" t="s">
        <v>373</v>
      </c>
      <c r="Q84" s="633"/>
      <c r="R84" s="633"/>
      <c r="S84" s="634"/>
      <c r="T84" s="635" t="s">
        <v>371</v>
      </c>
      <c r="U84" s="632" t="s">
        <v>373</v>
      </c>
      <c r="V84" s="633"/>
      <c r="W84" s="633"/>
      <c r="X84" s="634"/>
      <c r="Y84" s="635" t="s">
        <v>371</v>
      </c>
      <c r="Z84" s="632" t="s">
        <v>373</v>
      </c>
      <c r="AA84" s="633"/>
      <c r="AB84" s="633"/>
      <c r="AC84" s="634"/>
      <c r="AD84" s="635" t="s">
        <v>371</v>
      </c>
      <c r="AE84" s="632" t="s">
        <v>373</v>
      </c>
      <c r="AF84" s="633"/>
      <c r="AG84" s="633"/>
      <c r="AH84" s="634"/>
      <c r="AI84" s="635" t="s">
        <v>371</v>
      </c>
      <c r="AJ84" s="632" t="s">
        <v>373</v>
      </c>
      <c r="AK84" s="633"/>
      <c r="AL84" s="633"/>
      <c r="AM84" s="634"/>
      <c r="AN84" s="635" t="s">
        <v>371</v>
      </c>
      <c r="AO84" s="632" t="s">
        <v>373</v>
      </c>
      <c r="AP84" s="633"/>
      <c r="AQ84" s="633"/>
      <c r="AR84" s="634"/>
      <c r="AS84" s="635" t="s">
        <v>371</v>
      </c>
      <c r="AT84" s="632" t="s">
        <v>373</v>
      </c>
      <c r="AU84" s="633"/>
      <c r="AV84" s="633"/>
      <c r="AW84" s="634"/>
      <c r="AX84" s="635" t="s">
        <v>371</v>
      </c>
      <c r="BA84" s="635" t="s">
        <v>371</v>
      </c>
    </row>
    <row r="85" spans="2:53">
      <c r="B85" s="635"/>
      <c r="C85" s="635"/>
      <c r="D85" s="635"/>
      <c r="E85" s="635" t="s">
        <v>378</v>
      </c>
      <c r="F85" s="635"/>
      <c r="G85" s="635"/>
      <c r="H85" s="652"/>
      <c r="I85" s="619" t="s">
        <v>378</v>
      </c>
      <c r="J85" s="619"/>
      <c r="K85" s="619"/>
      <c r="L85" s="621"/>
      <c r="M85" s="627"/>
      <c r="N85" s="635"/>
      <c r="O85" s="635"/>
      <c r="P85" s="632" t="s">
        <v>379</v>
      </c>
      <c r="Q85" s="633"/>
      <c r="R85" s="633"/>
      <c r="S85" s="634"/>
      <c r="T85" s="635"/>
      <c r="U85" s="632" t="s">
        <v>379</v>
      </c>
      <c r="V85" s="633"/>
      <c r="W85" s="633"/>
      <c r="X85" s="634"/>
      <c r="Y85" s="635"/>
      <c r="Z85" s="632" t="s">
        <v>379</v>
      </c>
      <c r="AA85" s="633"/>
      <c r="AB85" s="633"/>
      <c r="AC85" s="634"/>
      <c r="AD85" s="635"/>
      <c r="AE85" s="632" t="s">
        <v>379</v>
      </c>
      <c r="AF85" s="633"/>
      <c r="AG85" s="633"/>
      <c r="AH85" s="634"/>
      <c r="AI85" s="635"/>
      <c r="AJ85" s="632" t="s">
        <v>379</v>
      </c>
      <c r="AK85" s="633"/>
      <c r="AL85" s="633"/>
      <c r="AM85" s="634"/>
      <c r="AN85" s="635"/>
      <c r="AO85" s="632" t="s">
        <v>379</v>
      </c>
      <c r="AP85" s="633"/>
      <c r="AQ85" s="633"/>
      <c r="AR85" s="634"/>
      <c r="AS85" s="635"/>
      <c r="AT85" s="632" t="s">
        <v>379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408" t="s">
        <v>380</v>
      </c>
      <c r="F86" s="408" t="s">
        <v>381</v>
      </c>
      <c r="G86" s="408" t="s">
        <v>382</v>
      </c>
      <c r="H86" s="653"/>
      <c r="I86" s="407" t="s">
        <v>380</v>
      </c>
      <c r="J86" s="407" t="s">
        <v>381</v>
      </c>
      <c r="K86" s="407" t="s">
        <v>382</v>
      </c>
      <c r="L86" s="622"/>
      <c r="M86" s="628"/>
      <c r="N86" s="635"/>
      <c r="O86" s="635"/>
      <c r="P86" s="408" t="s">
        <v>380</v>
      </c>
      <c r="Q86" s="408" t="s">
        <v>381</v>
      </c>
      <c r="R86" s="408" t="s">
        <v>382</v>
      </c>
      <c r="S86" s="408" t="s">
        <v>372</v>
      </c>
      <c r="T86" s="635"/>
      <c r="U86" s="408" t="s">
        <v>380</v>
      </c>
      <c r="V86" s="408" t="s">
        <v>381</v>
      </c>
      <c r="W86" s="408" t="s">
        <v>382</v>
      </c>
      <c r="X86" s="408" t="s">
        <v>372</v>
      </c>
      <c r="Y86" s="635"/>
      <c r="Z86" s="408" t="s">
        <v>380</v>
      </c>
      <c r="AA86" s="408" t="s">
        <v>381</v>
      </c>
      <c r="AB86" s="408" t="s">
        <v>382</v>
      </c>
      <c r="AC86" s="408" t="s">
        <v>372</v>
      </c>
      <c r="AD86" s="635"/>
      <c r="AE86" s="408" t="s">
        <v>380</v>
      </c>
      <c r="AF86" s="408" t="s">
        <v>381</v>
      </c>
      <c r="AG86" s="408" t="s">
        <v>382</v>
      </c>
      <c r="AH86" s="408" t="s">
        <v>372</v>
      </c>
      <c r="AI86" s="635"/>
      <c r="AJ86" s="408" t="s">
        <v>380</v>
      </c>
      <c r="AK86" s="408" t="s">
        <v>381</v>
      </c>
      <c r="AL86" s="408" t="s">
        <v>382</v>
      </c>
      <c r="AM86" s="408" t="s">
        <v>372</v>
      </c>
      <c r="AN86" s="635"/>
      <c r="AO86" s="408" t="s">
        <v>380</v>
      </c>
      <c r="AP86" s="408" t="s">
        <v>381</v>
      </c>
      <c r="AQ86" s="408" t="s">
        <v>382</v>
      </c>
      <c r="AR86" s="408" t="s">
        <v>372</v>
      </c>
      <c r="AS86" s="635"/>
      <c r="AT86" s="408" t="s">
        <v>380</v>
      </c>
      <c r="AU86" s="408" t="s">
        <v>381</v>
      </c>
      <c r="AV86" s="408" t="s">
        <v>382</v>
      </c>
      <c r="AW86" s="408" t="s">
        <v>372</v>
      </c>
      <c r="AX86" s="635"/>
      <c r="AZ86" s="397" t="s">
        <v>372</v>
      </c>
      <c r="BA86" s="635"/>
    </row>
    <row r="87" spans="2:53">
      <c r="B87" s="635" t="s">
        <v>414</v>
      </c>
      <c r="C87" s="409">
        <v>1</v>
      </c>
      <c r="D87" s="225"/>
      <c r="E87" s="416"/>
      <c r="F87" s="409"/>
      <c r="G87" s="410"/>
      <c r="H87" s="685" t="e">
        <f>AVERAGE(G87:G101)</f>
        <v>#DIV/0!</v>
      </c>
      <c r="I87" s="413" t="str">
        <f t="shared" ref="I87:I100" si="65">IFERROR(AVERAGE(P87,U87,Z87,AE87,AJ87,AO87,AT87),"-")</f>
        <v>-</v>
      </c>
      <c r="J87" s="413" t="str">
        <f t="shared" ref="J87:J100" si="66">IFERROR(AVERAGE(Q87,V87,AA87,AF87,AK87,AP87,AU87),"-")</f>
        <v>-</v>
      </c>
      <c r="K87" s="199" t="str">
        <f t="shared" ref="K87:K100" si="67">IFERROR(AVERAGE(R87,W87,AB87,AG87,AL87,AQ87,AV87),"-")</f>
        <v>-</v>
      </c>
      <c r="L87" s="616" t="str">
        <f>IFERROR(AVERAGE(K87:K101),"-")</f>
        <v>-</v>
      </c>
      <c r="M87" s="415" t="e">
        <f>RANK(K87, K$87:$K$101)</f>
        <v>#VALUE!</v>
      </c>
      <c r="N87" s="635"/>
      <c r="O87" s="635"/>
      <c r="P87" s="490"/>
      <c r="Q87" s="416"/>
      <c r="R87" s="416"/>
      <c r="S87" s="490" t="e">
        <f t="shared" ref="S87:S101" si="68">RANK(R87, R$87:R$101)</f>
        <v>#N/A</v>
      </c>
      <c r="T87" s="657" t="e">
        <f t="shared" ref="T87" si="69">AVERAGE(R87:R101)</f>
        <v>#DIV/0!</v>
      </c>
      <c r="U87" s="490"/>
      <c r="V87" s="416"/>
      <c r="W87" s="416"/>
      <c r="X87" s="490"/>
      <c r="Y87" s="657"/>
      <c r="Z87" s="490"/>
      <c r="AA87" s="416"/>
      <c r="AB87" s="416"/>
      <c r="AC87" s="490"/>
      <c r="AD87" s="657"/>
      <c r="AE87" s="490"/>
      <c r="AF87" s="416"/>
      <c r="AG87" s="416"/>
      <c r="AH87" s="490"/>
      <c r="AI87" s="657"/>
      <c r="AJ87" s="490"/>
      <c r="AK87" s="416"/>
      <c r="AL87" s="416"/>
      <c r="AM87" s="490"/>
      <c r="AN87" s="657"/>
      <c r="AO87" s="490"/>
      <c r="AP87" s="416"/>
      <c r="AQ87" s="416"/>
      <c r="AR87" s="490"/>
      <c r="AS87" s="657"/>
      <c r="AT87" s="490"/>
      <c r="AU87" s="416"/>
      <c r="AV87" s="416"/>
      <c r="AW87" s="490"/>
      <c r="AX87" s="657"/>
      <c r="AZ87" s="398" t="e">
        <f t="shared" ref="AZ87:AZ101" si="70">RANK(AY87, AY$87:AY$101)</f>
        <v>#N/A</v>
      </c>
      <c r="BA87" s="657" t="e">
        <f t="shared" ref="BA87" si="71">AVERAGE(AY87:AY101)</f>
        <v>#DIV/0!</v>
      </c>
    </row>
    <row r="88" spans="2:53">
      <c r="B88" s="643"/>
      <c r="C88" s="409">
        <v>2</v>
      </c>
      <c r="D88" s="225"/>
      <c r="E88" s="416"/>
      <c r="F88" s="409"/>
      <c r="G88" s="410"/>
      <c r="H88" s="686"/>
      <c r="I88" s="413" t="str">
        <f t="shared" si="65"/>
        <v>-</v>
      </c>
      <c r="J88" s="413" t="str">
        <f t="shared" si="66"/>
        <v>-</v>
      </c>
      <c r="K88" s="199" t="str">
        <f t="shared" si="67"/>
        <v>-</v>
      </c>
      <c r="L88" s="617"/>
      <c r="M88" s="415" t="e">
        <f>RANK(K88, K$87:$K$101)</f>
        <v>#VALUE!</v>
      </c>
      <c r="N88" s="635"/>
      <c r="O88" s="635"/>
      <c r="P88" s="490"/>
      <c r="Q88" s="416"/>
      <c r="R88" s="416"/>
      <c r="S88" s="490" t="e">
        <f t="shared" si="68"/>
        <v>#N/A</v>
      </c>
      <c r="T88" s="657"/>
      <c r="U88" s="490"/>
      <c r="V88" s="416"/>
      <c r="W88" s="416"/>
      <c r="X88" s="490"/>
      <c r="Y88" s="657"/>
      <c r="Z88" s="490"/>
      <c r="AA88" s="416"/>
      <c r="AB88" s="416"/>
      <c r="AC88" s="490"/>
      <c r="AD88" s="657"/>
      <c r="AE88" s="490"/>
      <c r="AF88" s="416"/>
      <c r="AG88" s="416"/>
      <c r="AH88" s="490"/>
      <c r="AI88" s="657"/>
      <c r="AJ88" s="490"/>
      <c r="AK88" s="416"/>
      <c r="AL88" s="416"/>
      <c r="AM88" s="490"/>
      <c r="AN88" s="657"/>
      <c r="AO88" s="490"/>
      <c r="AP88" s="416"/>
      <c r="AQ88" s="416"/>
      <c r="AR88" s="490"/>
      <c r="AS88" s="657"/>
      <c r="AT88" s="490"/>
      <c r="AU88" s="416"/>
      <c r="AV88" s="416"/>
      <c r="AW88" s="490"/>
      <c r="AX88" s="657"/>
      <c r="AZ88" s="398" t="e">
        <f t="shared" si="70"/>
        <v>#N/A</v>
      </c>
      <c r="BA88" s="657"/>
    </row>
    <row r="89" spans="2:53">
      <c r="B89" s="643"/>
      <c r="C89" s="409">
        <v>3</v>
      </c>
      <c r="D89" s="225"/>
      <c r="E89" s="416"/>
      <c r="F89" s="409"/>
      <c r="G89" s="410"/>
      <c r="H89" s="686"/>
      <c r="I89" s="413" t="str">
        <f t="shared" si="65"/>
        <v>-</v>
      </c>
      <c r="J89" s="413" t="str">
        <f t="shared" si="66"/>
        <v>-</v>
      </c>
      <c r="K89" s="199" t="str">
        <f t="shared" si="67"/>
        <v>-</v>
      </c>
      <c r="L89" s="617"/>
      <c r="M89" s="415" t="e">
        <f>RANK(K89, K$87:$K$101)</f>
        <v>#VALUE!</v>
      </c>
      <c r="N89" s="635"/>
      <c r="O89" s="635"/>
      <c r="P89" s="490"/>
      <c r="Q89" s="416"/>
      <c r="R89" s="416"/>
      <c r="S89" s="490" t="e">
        <f t="shared" si="68"/>
        <v>#N/A</v>
      </c>
      <c r="T89" s="657"/>
      <c r="U89" s="490"/>
      <c r="V89" s="416"/>
      <c r="W89" s="416"/>
      <c r="X89" s="490"/>
      <c r="Y89" s="657"/>
      <c r="Z89" s="490"/>
      <c r="AA89" s="416"/>
      <c r="AB89" s="416"/>
      <c r="AC89" s="490"/>
      <c r="AD89" s="657"/>
      <c r="AE89" s="490"/>
      <c r="AF89" s="416"/>
      <c r="AG89" s="416"/>
      <c r="AH89" s="490"/>
      <c r="AI89" s="657"/>
      <c r="AJ89" s="490"/>
      <c r="AK89" s="416"/>
      <c r="AL89" s="416"/>
      <c r="AM89" s="490"/>
      <c r="AN89" s="657"/>
      <c r="AO89" s="490"/>
      <c r="AP89" s="416"/>
      <c r="AQ89" s="416"/>
      <c r="AR89" s="490"/>
      <c r="AS89" s="657"/>
      <c r="AT89" s="490"/>
      <c r="AU89" s="416"/>
      <c r="AV89" s="416"/>
      <c r="AW89" s="490"/>
      <c r="AX89" s="657"/>
      <c r="AZ89" s="398" t="e">
        <f t="shared" si="70"/>
        <v>#N/A</v>
      </c>
      <c r="BA89" s="657"/>
    </row>
    <row r="90" spans="2:53">
      <c r="B90" s="643"/>
      <c r="C90" s="409">
        <v>4</v>
      </c>
      <c r="D90" s="225"/>
      <c r="E90" s="416"/>
      <c r="F90" s="409"/>
      <c r="G90" s="410"/>
      <c r="H90" s="686"/>
      <c r="I90" s="413" t="str">
        <f t="shared" si="65"/>
        <v>-</v>
      </c>
      <c r="J90" s="413" t="str">
        <f t="shared" si="66"/>
        <v>-</v>
      </c>
      <c r="K90" s="199" t="str">
        <f t="shared" si="67"/>
        <v>-</v>
      </c>
      <c r="L90" s="617"/>
      <c r="M90" s="415" t="e">
        <f>RANK(K90, K$87:$K$101)</f>
        <v>#VALUE!</v>
      </c>
      <c r="N90" s="635"/>
      <c r="O90" s="635"/>
      <c r="P90" s="490"/>
      <c r="Q90" s="416"/>
      <c r="R90" s="416"/>
      <c r="S90" s="490" t="e">
        <f t="shared" si="68"/>
        <v>#N/A</v>
      </c>
      <c r="T90" s="657"/>
      <c r="U90" s="490"/>
      <c r="V90" s="416"/>
      <c r="W90" s="416"/>
      <c r="X90" s="490"/>
      <c r="Y90" s="657"/>
      <c r="Z90" s="490"/>
      <c r="AA90" s="416"/>
      <c r="AB90" s="416"/>
      <c r="AC90" s="490"/>
      <c r="AD90" s="657"/>
      <c r="AE90" s="490"/>
      <c r="AF90" s="416"/>
      <c r="AG90" s="416"/>
      <c r="AH90" s="490"/>
      <c r="AI90" s="657"/>
      <c r="AJ90" s="490"/>
      <c r="AK90" s="416"/>
      <c r="AL90" s="416"/>
      <c r="AM90" s="490"/>
      <c r="AN90" s="657"/>
      <c r="AO90" s="490"/>
      <c r="AP90" s="416"/>
      <c r="AQ90" s="416"/>
      <c r="AR90" s="490"/>
      <c r="AS90" s="657"/>
      <c r="AT90" s="490"/>
      <c r="AU90" s="416"/>
      <c r="AV90" s="416"/>
      <c r="AW90" s="490"/>
      <c r="AX90" s="657"/>
      <c r="AZ90" s="398" t="e">
        <f t="shared" si="70"/>
        <v>#N/A</v>
      </c>
      <c r="BA90" s="657"/>
    </row>
    <row r="91" spans="2:53">
      <c r="B91" s="643"/>
      <c r="C91" s="409">
        <v>5</v>
      </c>
      <c r="D91" s="225"/>
      <c r="E91" s="416"/>
      <c r="F91" s="409"/>
      <c r="G91" s="410"/>
      <c r="H91" s="686"/>
      <c r="I91" s="413" t="str">
        <f t="shared" si="65"/>
        <v>-</v>
      </c>
      <c r="J91" s="413" t="str">
        <f t="shared" si="66"/>
        <v>-</v>
      </c>
      <c r="K91" s="199" t="str">
        <f t="shared" si="67"/>
        <v>-</v>
      </c>
      <c r="L91" s="617"/>
      <c r="M91" s="415" t="e">
        <f>RANK(K91, K$87:$K$101)</f>
        <v>#VALUE!</v>
      </c>
      <c r="N91" s="635"/>
      <c r="O91" s="635"/>
      <c r="P91" s="490"/>
      <c r="Q91" s="416"/>
      <c r="R91" s="416"/>
      <c r="S91" s="490" t="e">
        <f t="shared" si="68"/>
        <v>#N/A</v>
      </c>
      <c r="T91" s="657"/>
      <c r="U91" s="490"/>
      <c r="V91" s="416"/>
      <c r="W91" s="416"/>
      <c r="X91" s="490"/>
      <c r="Y91" s="657"/>
      <c r="Z91" s="490"/>
      <c r="AA91" s="416"/>
      <c r="AB91" s="416"/>
      <c r="AC91" s="490"/>
      <c r="AD91" s="657"/>
      <c r="AE91" s="490"/>
      <c r="AF91" s="416"/>
      <c r="AG91" s="416"/>
      <c r="AH91" s="490"/>
      <c r="AI91" s="657"/>
      <c r="AJ91" s="490"/>
      <c r="AK91" s="416"/>
      <c r="AL91" s="416"/>
      <c r="AM91" s="490"/>
      <c r="AN91" s="657"/>
      <c r="AO91" s="490"/>
      <c r="AP91" s="416"/>
      <c r="AQ91" s="416"/>
      <c r="AR91" s="490"/>
      <c r="AS91" s="657"/>
      <c r="AT91" s="490"/>
      <c r="AU91" s="416"/>
      <c r="AV91" s="416"/>
      <c r="AW91" s="490"/>
      <c r="AX91" s="657"/>
      <c r="AZ91" s="398" t="e">
        <f t="shared" si="70"/>
        <v>#N/A</v>
      </c>
      <c r="BA91" s="657"/>
    </row>
    <row r="92" spans="2:53">
      <c r="B92" s="643"/>
      <c r="C92" s="409">
        <v>6</v>
      </c>
      <c r="D92" s="225"/>
      <c r="E92" s="416"/>
      <c r="F92" s="409"/>
      <c r="G92" s="410"/>
      <c r="H92" s="686"/>
      <c r="I92" s="413" t="str">
        <f t="shared" si="65"/>
        <v>-</v>
      </c>
      <c r="J92" s="413" t="str">
        <f t="shared" si="66"/>
        <v>-</v>
      </c>
      <c r="K92" s="199" t="str">
        <f t="shared" si="67"/>
        <v>-</v>
      </c>
      <c r="L92" s="617"/>
      <c r="M92" s="415" t="e">
        <f>RANK(K92, K$87:$K$101)</f>
        <v>#VALUE!</v>
      </c>
      <c r="N92" s="635"/>
      <c r="O92" s="635"/>
      <c r="P92" s="490"/>
      <c r="Q92" s="416"/>
      <c r="R92" s="416"/>
      <c r="S92" s="490" t="e">
        <f t="shared" si="68"/>
        <v>#N/A</v>
      </c>
      <c r="T92" s="657"/>
      <c r="U92" s="490"/>
      <c r="V92" s="416"/>
      <c r="W92" s="416"/>
      <c r="X92" s="490"/>
      <c r="Y92" s="657"/>
      <c r="Z92" s="490"/>
      <c r="AA92" s="416"/>
      <c r="AB92" s="416"/>
      <c r="AC92" s="490"/>
      <c r="AD92" s="657"/>
      <c r="AE92" s="490"/>
      <c r="AF92" s="416"/>
      <c r="AG92" s="416"/>
      <c r="AH92" s="490"/>
      <c r="AI92" s="657"/>
      <c r="AJ92" s="490"/>
      <c r="AK92" s="416"/>
      <c r="AL92" s="416"/>
      <c r="AM92" s="490"/>
      <c r="AN92" s="657"/>
      <c r="AO92" s="490"/>
      <c r="AP92" s="416"/>
      <c r="AQ92" s="416"/>
      <c r="AR92" s="490"/>
      <c r="AS92" s="657"/>
      <c r="AT92" s="490"/>
      <c r="AU92" s="416"/>
      <c r="AV92" s="416"/>
      <c r="AW92" s="490"/>
      <c r="AX92" s="657"/>
      <c r="AZ92" s="398" t="e">
        <f t="shared" si="70"/>
        <v>#N/A</v>
      </c>
      <c r="BA92" s="657"/>
    </row>
    <row r="93" spans="2:53">
      <c r="B93" s="643"/>
      <c r="C93" s="409">
        <v>7</v>
      </c>
      <c r="D93" s="225"/>
      <c r="E93" s="416"/>
      <c r="F93" s="409"/>
      <c r="G93" s="410"/>
      <c r="H93" s="686"/>
      <c r="I93" s="413" t="str">
        <f t="shared" si="65"/>
        <v>-</v>
      </c>
      <c r="J93" s="413" t="str">
        <f t="shared" si="66"/>
        <v>-</v>
      </c>
      <c r="K93" s="199" t="str">
        <f t="shared" si="67"/>
        <v>-</v>
      </c>
      <c r="L93" s="617"/>
      <c r="M93" s="415" t="e">
        <f>RANK(K93, K$87:$K$101)</f>
        <v>#VALUE!</v>
      </c>
      <c r="N93" s="635"/>
      <c r="O93" s="635"/>
      <c r="P93" s="490"/>
      <c r="Q93" s="416"/>
      <c r="R93" s="416"/>
      <c r="S93" s="490" t="e">
        <f t="shared" si="68"/>
        <v>#N/A</v>
      </c>
      <c r="T93" s="657"/>
      <c r="U93" s="490"/>
      <c r="V93" s="416"/>
      <c r="W93" s="416"/>
      <c r="X93" s="490"/>
      <c r="Y93" s="657"/>
      <c r="Z93" s="490"/>
      <c r="AA93" s="416"/>
      <c r="AB93" s="416"/>
      <c r="AC93" s="490"/>
      <c r="AD93" s="657"/>
      <c r="AE93" s="490"/>
      <c r="AF93" s="416"/>
      <c r="AG93" s="416"/>
      <c r="AH93" s="490"/>
      <c r="AI93" s="657"/>
      <c r="AJ93" s="490"/>
      <c r="AK93" s="416"/>
      <c r="AL93" s="416"/>
      <c r="AM93" s="490"/>
      <c r="AN93" s="657"/>
      <c r="AO93" s="490"/>
      <c r="AP93" s="416"/>
      <c r="AQ93" s="416"/>
      <c r="AR93" s="490"/>
      <c r="AS93" s="657"/>
      <c r="AT93" s="490"/>
      <c r="AU93" s="416"/>
      <c r="AV93" s="416"/>
      <c r="AW93" s="490"/>
      <c r="AX93" s="657"/>
      <c r="AZ93" s="398" t="e">
        <f t="shared" si="70"/>
        <v>#N/A</v>
      </c>
      <c r="BA93" s="657"/>
    </row>
    <row r="94" spans="2:53">
      <c r="B94" s="643"/>
      <c r="C94" s="409">
        <v>8</v>
      </c>
      <c r="D94" s="225"/>
      <c r="E94" s="416"/>
      <c r="F94" s="409"/>
      <c r="G94" s="410"/>
      <c r="H94" s="686"/>
      <c r="I94" s="413" t="str">
        <f t="shared" si="65"/>
        <v>-</v>
      </c>
      <c r="J94" s="413" t="str">
        <f t="shared" si="66"/>
        <v>-</v>
      </c>
      <c r="K94" s="199" t="str">
        <f t="shared" si="67"/>
        <v>-</v>
      </c>
      <c r="L94" s="617"/>
      <c r="M94" s="415" t="e">
        <f>RANK(K94, K$87:$K$101)</f>
        <v>#VALUE!</v>
      </c>
      <c r="N94" s="635"/>
      <c r="O94" s="635"/>
      <c r="P94" s="490"/>
      <c r="Q94" s="416"/>
      <c r="R94" s="416"/>
      <c r="S94" s="490" t="e">
        <f t="shared" si="68"/>
        <v>#N/A</v>
      </c>
      <c r="T94" s="657"/>
      <c r="U94" s="490"/>
      <c r="V94" s="416"/>
      <c r="W94" s="416"/>
      <c r="X94" s="490"/>
      <c r="Y94" s="657"/>
      <c r="Z94" s="490"/>
      <c r="AA94" s="416"/>
      <c r="AB94" s="416"/>
      <c r="AC94" s="490"/>
      <c r="AD94" s="657"/>
      <c r="AE94" s="490"/>
      <c r="AF94" s="416"/>
      <c r="AG94" s="416"/>
      <c r="AH94" s="490"/>
      <c r="AI94" s="657"/>
      <c r="AJ94" s="490"/>
      <c r="AK94" s="416"/>
      <c r="AL94" s="416"/>
      <c r="AM94" s="490"/>
      <c r="AN94" s="657"/>
      <c r="AO94" s="490"/>
      <c r="AP94" s="416"/>
      <c r="AQ94" s="416"/>
      <c r="AR94" s="490"/>
      <c r="AS94" s="657"/>
      <c r="AT94" s="490"/>
      <c r="AU94" s="416"/>
      <c r="AV94" s="416"/>
      <c r="AW94" s="490"/>
      <c r="AX94" s="657"/>
      <c r="AZ94" s="398" t="e">
        <f t="shared" si="70"/>
        <v>#N/A</v>
      </c>
      <c r="BA94" s="657"/>
    </row>
    <row r="95" spans="2:53">
      <c r="B95" s="643"/>
      <c r="C95" s="409">
        <v>9</v>
      </c>
      <c r="D95" s="225"/>
      <c r="E95" s="416"/>
      <c r="F95" s="409"/>
      <c r="G95" s="410"/>
      <c r="H95" s="686"/>
      <c r="I95" s="413" t="str">
        <f t="shared" si="65"/>
        <v>-</v>
      </c>
      <c r="J95" s="413" t="str">
        <f t="shared" si="66"/>
        <v>-</v>
      </c>
      <c r="K95" s="199" t="str">
        <f t="shared" si="67"/>
        <v>-</v>
      </c>
      <c r="L95" s="617"/>
      <c r="M95" s="415" t="e">
        <f>RANK(K95, K$87:$K$101)</f>
        <v>#VALUE!</v>
      </c>
      <c r="N95" s="635"/>
      <c r="O95" s="635"/>
      <c r="P95" s="490"/>
      <c r="Q95" s="416"/>
      <c r="R95" s="416"/>
      <c r="S95" s="490" t="e">
        <f t="shared" si="68"/>
        <v>#N/A</v>
      </c>
      <c r="T95" s="657"/>
      <c r="U95" s="490"/>
      <c r="V95" s="416"/>
      <c r="W95" s="416"/>
      <c r="X95" s="490"/>
      <c r="Y95" s="657"/>
      <c r="Z95" s="490"/>
      <c r="AA95" s="416"/>
      <c r="AB95" s="416"/>
      <c r="AC95" s="490"/>
      <c r="AD95" s="657"/>
      <c r="AE95" s="490"/>
      <c r="AF95" s="416"/>
      <c r="AG95" s="416"/>
      <c r="AH95" s="490"/>
      <c r="AI95" s="657"/>
      <c r="AJ95" s="490"/>
      <c r="AK95" s="416"/>
      <c r="AL95" s="416"/>
      <c r="AM95" s="490"/>
      <c r="AN95" s="657"/>
      <c r="AO95" s="490"/>
      <c r="AP95" s="416"/>
      <c r="AQ95" s="416"/>
      <c r="AR95" s="490"/>
      <c r="AS95" s="657"/>
      <c r="AT95" s="490"/>
      <c r="AU95" s="416"/>
      <c r="AV95" s="416"/>
      <c r="AW95" s="490"/>
      <c r="AX95" s="657"/>
      <c r="AZ95" s="398" t="e">
        <f t="shared" si="70"/>
        <v>#N/A</v>
      </c>
      <c r="BA95" s="657"/>
    </row>
    <row r="96" spans="2:53">
      <c r="B96" s="643"/>
      <c r="C96" s="409">
        <v>10</v>
      </c>
      <c r="D96" s="225"/>
      <c r="E96" s="416"/>
      <c r="F96" s="409"/>
      <c r="G96" s="410"/>
      <c r="H96" s="686"/>
      <c r="I96" s="413" t="str">
        <f t="shared" si="65"/>
        <v>-</v>
      </c>
      <c r="J96" s="413" t="str">
        <f t="shared" si="66"/>
        <v>-</v>
      </c>
      <c r="K96" s="199" t="str">
        <f t="shared" si="67"/>
        <v>-</v>
      </c>
      <c r="L96" s="617"/>
      <c r="M96" s="415" t="e">
        <f>RANK(K96, K$87:$K$101)</f>
        <v>#VALUE!</v>
      </c>
      <c r="N96" s="635"/>
      <c r="O96" s="635"/>
      <c r="P96" s="490"/>
      <c r="Q96" s="416"/>
      <c r="R96" s="416"/>
      <c r="S96" s="490" t="e">
        <f t="shared" si="68"/>
        <v>#N/A</v>
      </c>
      <c r="T96" s="657"/>
      <c r="U96" s="490"/>
      <c r="V96" s="416"/>
      <c r="W96" s="416"/>
      <c r="X96" s="490"/>
      <c r="Y96" s="657"/>
      <c r="Z96" s="490"/>
      <c r="AA96" s="416"/>
      <c r="AB96" s="416"/>
      <c r="AC96" s="490"/>
      <c r="AD96" s="657"/>
      <c r="AE96" s="490"/>
      <c r="AF96" s="416"/>
      <c r="AG96" s="416"/>
      <c r="AH96" s="490"/>
      <c r="AI96" s="657"/>
      <c r="AJ96" s="490"/>
      <c r="AK96" s="416"/>
      <c r="AL96" s="416"/>
      <c r="AM96" s="490"/>
      <c r="AN96" s="657"/>
      <c r="AO96" s="490"/>
      <c r="AP96" s="416"/>
      <c r="AQ96" s="416"/>
      <c r="AR96" s="490"/>
      <c r="AS96" s="657"/>
      <c r="AT96" s="490"/>
      <c r="AU96" s="416"/>
      <c r="AV96" s="416"/>
      <c r="AW96" s="490"/>
      <c r="AX96" s="657"/>
      <c r="AZ96" s="398" t="e">
        <f t="shared" si="70"/>
        <v>#N/A</v>
      </c>
      <c r="BA96" s="657"/>
    </row>
    <row r="97" spans="2:53">
      <c r="B97" s="643"/>
      <c r="C97" s="409">
        <v>11</v>
      </c>
      <c r="D97" s="225"/>
      <c r="E97" s="416"/>
      <c r="F97" s="409"/>
      <c r="G97" s="410"/>
      <c r="H97" s="686"/>
      <c r="I97" s="413" t="str">
        <f t="shared" si="65"/>
        <v>-</v>
      </c>
      <c r="J97" s="413" t="str">
        <f t="shared" si="66"/>
        <v>-</v>
      </c>
      <c r="K97" s="199" t="str">
        <f t="shared" si="67"/>
        <v>-</v>
      </c>
      <c r="L97" s="617"/>
      <c r="M97" s="415" t="e">
        <f>RANK(K97, K$87:$K$101)</f>
        <v>#VALUE!</v>
      </c>
      <c r="N97" s="635"/>
      <c r="O97" s="635"/>
      <c r="P97" s="490"/>
      <c r="Q97" s="416"/>
      <c r="R97" s="416"/>
      <c r="S97" s="490" t="e">
        <f t="shared" si="68"/>
        <v>#N/A</v>
      </c>
      <c r="T97" s="657"/>
      <c r="U97" s="490"/>
      <c r="V97" s="416"/>
      <c r="W97" s="416"/>
      <c r="X97" s="490"/>
      <c r="Y97" s="657"/>
      <c r="Z97" s="490"/>
      <c r="AA97" s="416"/>
      <c r="AB97" s="416"/>
      <c r="AC97" s="490"/>
      <c r="AD97" s="657"/>
      <c r="AE97" s="490"/>
      <c r="AF97" s="416"/>
      <c r="AG97" s="416"/>
      <c r="AH97" s="490"/>
      <c r="AI97" s="657"/>
      <c r="AJ97" s="490"/>
      <c r="AK97" s="416"/>
      <c r="AL97" s="416"/>
      <c r="AM97" s="490"/>
      <c r="AN97" s="657"/>
      <c r="AO97" s="490"/>
      <c r="AP97" s="416"/>
      <c r="AQ97" s="416"/>
      <c r="AR97" s="490"/>
      <c r="AS97" s="657"/>
      <c r="AT97" s="490"/>
      <c r="AU97" s="416"/>
      <c r="AV97" s="416"/>
      <c r="AW97" s="490"/>
      <c r="AX97" s="657"/>
      <c r="AZ97" s="398" t="e">
        <f t="shared" si="70"/>
        <v>#N/A</v>
      </c>
      <c r="BA97" s="657"/>
    </row>
    <row r="98" spans="2:53">
      <c r="B98" s="643"/>
      <c r="C98" s="409">
        <v>12</v>
      </c>
      <c r="D98" s="225"/>
      <c r="E98" s="416"/>
      <c r="F98" s="409"/>
      <c r="G98" s="410"/>
      <c r="H98" s="686"/>
      <c r="I98" s="413" t="str">
        <f t="shared" si="65"/>
        <v>-</v>
      </c>
      <c r="J98" s="413" t="str">
        <f t="shared" si="66"/>
        <v>-</v>
      </c>
      <c r="K98" s="199" t="str">
        <f t="shared" si="67"/>
        <v>-</v>
      </c>
      <c r="L98" s="617"/>
      <c r="M98" s="415" t="e">
        <f>RANK(K98, K$87:$K$101)</f>
        <v>#VALUE!</v>
      </c>
      <c r="N98" s="635"/>
      <c r="O98" s="635"/>
      <c r="P98" s="490"/>
      <c r="Q98" s="416"/>
      <c r="R98" s="416"/>
      <c r="S98" s="490" t="e">
        <f t="shared" si="68"/>
        <v>#N/A</v>
      </c>
      <c r="T98" s="657"/>
      <c r="U98" s="490"/>
      <c r="V98" s="416"/>
      <c r="W98" s="416"/>
      <c r="X98" s="490"/>
      <c r="Y98" s="657"/>
      <c r="Z98" s="490"/>
      <c r="AA98" s="416"/>
      <c r="AB98" s="416"/>
      <c r="AC98" s="490"/>
      <c r="AD98" s="657"/>
      <c r="AE98" s="490"/>
      <c r="AF98" s="416"/>
      <c r="AG98" s="416"/>
      <c r="AH98" s="490"/>
      <c r="AI98" s="657"/>
      <c r="AJ98" s="490"/>
      <c r="AK98" s="416"/>
      <c r="AL98" s="416"/>
      <c r="AM98" s="490"/>
      <c r="AN98" s="657"/>
      <c r="AO98" s="490"/>
      <c r="AP98" s="416"/>
      <c r="AQ98" s="416"/>
      <c r="AR98" s="490"/>
      <c r="AS98" s="657"/>
      <c r="AT98" s="490"/>
      <c r="AU98" s="416"/>
      <c r="AV98" s="416"/>
      <c r="AW98" s="490"/>
      <c r="AX98" s="657"/>
      <c r="AZ98" s="398" t="e">
        <f t="shared" si="70"/>
        <v>#N/A</v>
      </c>
      <c r="BA98" s="657"/>
    </row>
    <row r="99" spans="2:53">
      <c r="B99" s="643"/>
      <c r="C99" s="409">
        <v>13</v>
      </c>
      <c r="D99" s="225"/>
      <c r="E99" s="416"/>
      <c r="F99" s="409"/>
      <c r="G99" s="410"/>
      <c r="H99" s="686"/>
      <c r="I99" s="413" t="str">
        <f t="shared" si="65"/>
        <v>-</v>
      </c>
      <c r="J99" s="413" t="str">
        <f t="shared" si="66"/>
        <v>-</v>
      </c>
      <c r="K99" s="199" t="str">
        <f t="shared" si="67"/>
        <v>-</v>
      </c>
      <c r="L99" s="617"/>
      <c r="M99" s="415" t="e">
        <f>RANK(K99, K$87:$K$101)</f>
        <v>#VALUE!</v>
      </c>
      <c r="N99" s="635"/>
      <c r="O99" s="635"/>
      <c r="P99" s="490"/>
      <c r="Q99" s="416"/>
      <c r="R99" s="416"/>
      <c r="S99" s="490" t="e">
        <f t="shared" si="68"/>
        <v>#N/A</v>
      </c>
      <c r="T99" s="657"/>
      <c r="U99" s="490"/>
      <c r="V99" s="416"/>
      <c r="W99" s="416"/>
      <c r="X99" s="490"/>
      <c r="Y99" s="657"/>
      <c r="Z99" s="490"/>
      <c r="AA99" s="416"/>
      <c r="AB99" s="416"/>
      <c r="AC99" s="490"/>
      <c r="AD99" s="657"/>
      <c r="AE99" s="490"/>
      <c r="AF99" s="416"/>
      <c r="AG99" s="416"/>
      <c r="AH99" s="490"/>
      <c r="AI99" s="657"/>
      <c r="AJ99" s="490"/>
      <c r="AK99" s="416"/>
      <c r="AL99" s="416"/>
      <c r="AM99" s="490"/>
      <c r="AN99" s="657"/>
      <c r="AO99" s="490"/>
      <c r="AP99" s="416"/>
      <c r="AQ99" s="416"/>
      <c r="AR99" s="490"/>
      <c r="AS99" s="657"/>
      <c r="AT99" s="490"/>
      <c r="AU99" s="416"/>
      <c r="AV99" s="416"/>
      <c r="AW99" s="490"/>
      <c r="AX99" s="657"/>
      <c r="AZ99" s="398" t="e">
        <f t="shared" si="70"/>
        <v>#N/A</v>
      </c>
      <c r="BA99" s="657"/>
    </row>
    <row r="100" spans="2:53">
      <c r="B100" s="643"/>
      <c r="C100" s="409">
        <v>14</v>
      </c>
      <c r="D100" s="225"/>
      <c r="E100" s="416"/>
      <c r="F100" s="409"/>
      <c r="G100" s="410"/>
      <c r="H100" s="686"/>
      <c r="I100" s="413" t="str">
        <f t="shared" si="65"/>
        <v>-</v>
      </c>
      <c r="J100" s="413" t="str">
        <f t="shared" si="66"/>
        <v>-</v>
      </c>
      <c r="K100" s="199" t="str">
        <f t="shared" si="67"/>
        <v>-</v>
      </c>
      <c r="L100" s="617"/>
      <c r="M100" s="415" t="e">
        <f>RANK(K100, K$87:$K$101)</f>
        <v>#VALUE!</v>
      </c>
      <c r="N100" s="635"/>
      <c r="O100" s="635"/>
      <c r="P100" s="490"/>
      <c r="Q100" s="416"/>
      <c r="R100" s="416"/>
      <c r="S100" s="490" t="e">
        <f t="shared" si="68"/>
        <v>#N/A</v>
      </c>
      <c r="T100" s="657"/>
      <c r="U100" s="490"/>
      <c r="V100" s="416"/>
      <c r="W100" s="416"/>
      <c r="X100" s="490"/>
      <c r="Y100" s="657"/>
      <c r="Z100" s="490"/>
      <c r="AA100" s="416"/>
      <c r="AB100" s="416"/>
      <c r="AC100" s="490"/>
      <c r="AD100" s="657"/>
      <c r="AE100" s="490"/>
      <c r="AF100" s="416"/>
      <c r="AG100" s="416"/>
      <c r="AH100" s="490"/>
      <c r="AI100" s="657"/>
      <c r="AJ100" s="490"/>
      <c r="AK100" s="416"/>
      <c r="AL100" s="416"/>
      <c r="AM100" s="490"/>
      <c r="AN100" s="657"/>
      <c r="AO100" s="490"/>
      <c r="AP100" s="416"/>
      <c r="AQ100" s="416"/>
      <c r="AR100" s="490"/>
      <c r="AS100" s="657"/>
      <c r="AT100" s="490"/>
      <c r="AU100" s="416"/>
      <c r="AV100" s="416"/>
      <c r="AW100" s="490"/>
      <c r="AX100" s="657"/>
      <c r="AZ100" s="398" t="e">
        <f t="shared" si="70"/>
        <v>#N/A</v>
      </c>
      <c r="BA100" s="657"/>
    </row>
    <row r="101" spans="2:53">
      <c r="B101" s="643"/>
      <c r="C101" s="409">
        <v>15</v>
      </c>
      <c r="D101" s="225"/>
      <c r="E101" s="416"/>
      <c r="F101" s="409"/>
      <c r="G101" s="410"/>
      <c r="H101" s="687"/>
      <c r="I101" s="201"/>
      <c r="J101" s="201"/>
      <c r="K101" s="201"/>
      <c r="L101" s="618"/>
      <c r="M101" s="413" t="e">
        <f>RANK(K101, K$87:$K$101)</f>
        <v>#N/A</v>
      </c>
      <c r="N101" s="635"/>
      <c r="O101" s="635"/>
      <c r="P101" s="490"/>
      <c r="Q101" s="416"/>
      <c r="R101" s="416"/>
      <c r="S101" s="490" t="e">
        <f t="shared" si="68"/>
        <v>#N/A</v>
      </c>
      <c r="T101" s="657"/>
      <c r="U101" s="490"/>
      <c r="V101" s="416"/>
      <c r="W101" s="416"/>
      <c r="X101" s="490"/>
      <c r="Y101" s="657"/>
      <c r="Z101" s="490"/>
      <c r="AA101" s="416"/>
      <c r="AB101" s="416"/>
      <c r="AC101" s="490"/>
      <c r="AD101" s="657"/>
      <c r="AE101" s="490"/>
      <c r="AF101" s="416"/>
      <c r="AG101" s="416"/>
      <c r="AH101" s="490"/>
      <c r="AI101" s="657"/>
      <c r="AJ101" s="490"/>
      <c r="AK101" s="416"/>
      <c r="AL101" s="416"/>
      <c r="AM101" s="490"/>
      <c r="AN101" s="657"/>
      <c r="AO101" s="490"/>
      <c r="AP101" s="416"/>
      <c r="AQ101" s="416"/>
      <c r="AR101" s="490"/>
      <c r="AS101" s="657"/>
      <c r="AT101" s="490"/>
      <c r="AU101" s="416"/>
      <c r="AV101" s="416"/>
      <c r="AW101" s="490"/>
      <c r="AX101" s="657"/>
      <c r="AZ101" s="398" t="e">
        <f t="shared" si="70"/>
        <v>#N/A</v>
      </c>
      <c r="BA101" s="657"/>
    </row>
    <row r="102" spans="2:53" ht="15.75">
      <c r="B102" s="647" t="s">
        <v>163</v>
      </c>
      <c r="C102" s="648"/>
      <c r="D102" s="648"/>
      <c r="E102" s="648"/>
      <c r="F102" s="648"/>
      <c r="G102" s="648"/>
      <c r="H102" s="649"/>
      <c r="I102" s="207"/>
      <c r="J102" s="207"/>
      <c r="K102" s="207"/>
      <c r="L102" s="207"/>
      <c r="M102" s="206"/>
      <c r="N102" s="636" t="s">
        <v>156</v>
      </c>
      <c r="O102" s="636" t="s">
        <v>105</v>
      </c>
      <c r="P102" s="642">
        <f>P82+7</f>
        <v>46203</v>
      </c>
      <c r="Q102" s="643"/>
      <c r="R102" s="643"/>
      <c r="S102" s="643"/>
      <c r="T102" s="643"/>
      <c r="U102" s="639">
        <f>P102+1</f>
        <v>46204</v>
      </c>
      <c r="V102" s="640"/>
      <c r="W102" s="640"/>
      <c r="X102" s="640"/>
      <c r="Y102" s="641"/>
      <c r="Z102" s="639">
        <f>U102+1</f>
        <v>46205</v>
      </c>
      <c r="AA102" s="640"/>
      <c r="AB102" s="640"/>
      <c r="AC102" s="640"/>
      <c r="AD102" s="641"/>
      <c r="AE102" s="639">
        <f>Z102+1</f>
        <v>46206</v>
      </c>
      <c r="AF102" s="640"/>
      <c r="AG102" s="640"/>
      <c r="AH102" s="640"/>
      <c r="AI102" s="641"/>
      <c r="AJ102" s="639">
        <f>AE102+1</f>
        <v>46207</v>
      </c>
      <c r="AK102" s="640"/>
      <c r="AL102" s="640"/>
      <c r="AM102" s="640"/>
      <c r="AN102" s="641"/>
      <c r="AO102" s="639">
        <f>AJ102+1</f>
        <v>46208</v>
      </c>
      <c r="AP102" s="640"/>
      <c r="AQ102" s="640"/>
      <c r="AR102" s="640"/>
      <c r="AS102" s="641"/>
      <c r="AT102" s="639">
        <f>AO102+1</f>
        <v>46209</v>
      </c>
      <c r="AU102" s="640"/>
      <c r="AV102" s="640"/>
      <c r="AW102" s="640"/>
      <c r="AX102" s="641"/>
    </row>
    <row r="103" spans="2:53" ht="15.75">
      <c r="B103" s="650"/>
      <c r="C103" s="650"/>
      <c r="D103" s="650"/>
      <c r="E103" s="650"/>
      <c r="F103" s="650"/>
      <c r="G103" s="650"/>
      <c r="H103" s="650"/>
      <c r="I103" s="204"/>
      <c r="J103" s="204"/>
      <c r="K103" s="204"/>
      <c r="L103" s="204"/>
      <c r="M103" s="205"/>
      <c r="N103" s="638"/>
      <c r="O103" s="638"/>
      <c r="P103" s="642" t="s">
        <v>158</v>
      </c>
      <c r="Q103" s="643"/>
      <c r="R103" s="643"/>
      <c r="S103" s="643"/>
      <c r="T103" s="643"/>
      <c r="U103" s="642" t="s">
        <v>114</v>
      </c>
      <c r="V103" s="643"/>
      <c r="W103" s="643"/>
      <c r="X103" s="643"/>
      <c r="Y103" s="643"/>
      <c r="Z103" s="642" t="s">
        <v>159</v>
      </c>
      <c r="AA103" s="643"/>
      <c r="AB103" s="643"/>
      <c r="AC103" s="643"/>
      <c r="AD103" s="643"/>
      <c r="AE103" s="642" t="s">
        <v>157</v>
      </c>
      <c r="AF103" s="643"/>
      <c r="AG103" s="643"/>
      <c r="AH103" s="643"/>
      <c r="AI103" s="643"/>
      <c r="AJ103" s="642" t="s">
        <v>160</v>
      </c>
      <c r="AK103" s="643"/>
      <c r="AL103" s="643"/>
      <c r="AM103" s="643"/>
      <c r="AN103" s="643"/>
      <c r="AO103" s="642" t="s">
        <v>115</v>
      </c>
      <c r="AP103" s="643"/>
      <c r="AQ103" s="643"/>
      <c r="AR103" s="643"/>
      <c r="AS103" s="643"/>
      <c r="AT103" s="642" t="s">
        <v>162</v>
      </c>
      <c r="AU103" s="643"/>
      <c r="AV103" s="643"/>
      <c r="AW103" s="643"/>
      <c r="AX103" s="643"/>
    </row>
    <row r="104" spans="2:53">
      <c r="B104" s="635" t="s">
        <v>154</v>
      </c>
      <c r="C104" s="635" t="s">
        <v>384</v>
      </c>
      <c r="D104" s="635"/>
      <c r="E104" s="635" t="s">
        <v>375</v>
      </c>
      <c r="F104" s="635"/>
      <c r="G104" s="635"/>
      <c r="H104" s="651" t="s">
        <v>371</v>
      </c>
      <c r="I104" s="619" t="s">
        <v>376</v>
      </c>
      <c r="J104" s="619"/>
      <c r="K104" s="619"/>
      <c r="L104" s="620" t="s">
        <v>371</v>
      </c>
      <c r="M104" s="626" t="s">
        <v>372</v>
      </c>
      <c r="N104" s="635"/>
      <c r="O104" s="635" t="s">
        <v>377</v>
      </c>
      <c r="P104" s="632" t="s">
        <v>373</v>
      </c>
      <c r="Q104" s="633"/>
      <c r="R104" s="633"/>
      <c r="S104" s="634"/>
      <c r="T104" s="635" t="s">
        <v>371</v>
      </c>
      <c r="U104" s="632" t="s">
        <v>373</v>
      </c>
      <c r="V104" s="633"/>
      <c r="W104" s="633"/>
      <c r="X104" s="634"/>
      <c r="Y104" s="635" t="s">
        <v>371</v>
      </c>
      <c r="Z104" s="632" t="s">
        <v>373</v>
      </c>
      <c r="AA104" s="633"/>
      <c r="AB104" s="633"/>
      <c r="AC104" s="634"/>
      <c r="AD104" s="635" t="s">
        <v>371</v>
      </c>
      <c r="AE104" s="632" t="s">
        <v>373</v>
      </c>
      <c r="AF104" s="633"/>
      <c r="AG104" s="633"/>
      <c r="AH104" s="634"/>
      <c r="AI104" s="635" t="s">
        <v>371</v>
      </c>
      <c r="AJ104" s="632" t="s">
        <v>373</v>
      </c>
      <c r="AK104" s="633"/>
      <c r="AL104" s="633"/>
      <c r="AM104" s="634"/>
      <c r="AN104" s="635" t="s">
        <v>371</v>
      </c>
      <c r="AO104" s="632" t="s">
        <v>373</v>
      </c>
      <c r="AP104" s="633"/>
      <c r="AQ104" s="633"/>
      <c r="AR104" s="634"/>
      <c r="AS104" s="635" t="s">
        <v>371</v>
      </c>
      <c r="AT104" s="632" t="s">
        <v>373</v>
      </c>
      <c r="AU104" s="633"/>
      <c r="AV104" s="633"/>
      <c r="AW104" s="634"/>
      <c r="AX104" s="635" t="s">
        <v>371</v>
      </c>
      <c r="BA104" s="635" t="s">
        <v>371</v>
      </c>
    </row>
    <row r="105" spans="2:53">
      <c r="B105" s="635"/>
      <c r="C105" s="635"/>
      <c r="D105" s="635"/>
      <c r="E105" s="635" t="s">
        <v>378</v>
      </c>
      <c r="F105" s="635"/>
      <c r="G105" s="635"/>
      <c r="H105" s="652"/>
      <c r="I105" s="619" t="s">
        <v>378</v>
      </c>
      <c r="J105" s="619"/>
      <c r="K105" s="619"/>
      <c r="L105" s="621"/>
      <c r="M105" s="627"/>
      <c r="N105" s="635"/>
      <c r="O105" s="635"/>
      <c r="P105" s="632" t="s">
        <v>379</v>
      </c>
      <c r="Q105" s="633"/>
      <c r="R105" s="633"/>
      <c r="S105" s="634"/>
      <c r="T105" s="635"/>
      <c r="U105" s="632" t="s">
        <v>379</v>
      </c>
      <c r="V105" s="633"/>
      <c r="W105" s="633"/>
      <c r="X105" s="634"/>
      <c r="Y105" s="635"/>
      <c r="Z105" s="632" t="s">
        <v>379</v>
      </c>
      <c r="AA105" s="633"/>
      <c r="AB105" s="633"/>
      <c r="AC105" s="634"/>
      <c r="AD105" s="635"/>
      <c r="AE105" s="632" t="s">
        <v>379</v>
      </c>
      <c r="AF105" s="633"/>
      <c r="AG105" s="633"/>
      <c r="AH105" s="634"/>
      <c r="AI105" s="635"/>
      <c r="AJ105" s="632" t="s">
        <v>379</v>
      </c>
      <c r="AK105" s="633"/>
      <c r="AL105" s="633"/>
      <c r="AM105" s="634"/>
      <c r="AN105" s="635"/>
      <c r="AO105" s="632" t="s">
        <v>379</v>
      </c>
      <c r="AP105" s="633"/>
      <c r="AQ105" s="633"/>
      <c r="AR105" s="634"/>
      <c r="AS105" s="635"/>
      <c r="AT105" s="632" t="s">
        <v>379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12" t="s">
        <v>380</v>
      </c>
      <c r="F106" s="312" t="s">
        <v>381</v>
      </c>
      <c r="G106" s="312" t="s">
        <v>382</v>
      </c>
      <c r="H106" s="653"/>
      <c r="I106" s="313" t="s">
        <v>380</v>
      </c>
      <c r="J106" s="313" t="s">
        <v>381</v>
      </c>
      <c r="K106" s="313" t="s">
        <v>382</v>
      </c>
      <c r="L106" s="622"/>
      <c r="M106" s="628"/>
      <c r="N106" s="635"/>
      <c r="O106" s="635"/>
      <c r="P106" s="312" t="s">
        <v>380</v>
      </c>
      <c r="Q106" s="312" t="s">
        <v>381</v>
      </c>
      <c r="R106" s="312" t="s">
        <v>382</v>
      </c>
      <c r="S106" s="312" t="s">
        <v>372</v>
      </c>
      <c r="T106" s="635"/>
      <c r="U106" s="312" t="s">
        <v>380</v>
      </c>
      <c r="V106" s="312" t="s">
        <v>381</v>
      </c>
      <c r="W106" s="312" t="s">
        <v>382</v>
      </c>
      <c r="X106" s="312" t="s">
        <v>372</v>
      </c>
      <c r="Y106" s="635"/>
      <c r="Z106" s="312" t="s">
        <v>380</v>
      </c>
      <c r="AA106" s="312" t="s">
        <v>381</v>
      </c>
      <c r="AB106" s="312" t="s">
        <v>382</v>
      </c>
      <c r="AC106" s="312" t="s">
        <v>372</v>
      </c>
      <c r="AD106" s="635"/>
      <c r="AE106" s="312" t="s">
        <v>380</v>
      </c>
      <c r="AF106" s="312" t="s">
        <v>381</v>
      </c>
      <c r="AG106" s="312" t="s">
        <v>382</v>
      </c>
      <c r="AH106" s="312" t="s">
        <v>372</v>
      </c>
      <c r="AI106" s="635"/>
      <c r="AJ106" s="312" t="s">
        <v>380</v>
      </c>
      <c r="AK106" s="312" t="s">
        <v>381</v>
      </c>
      <c r="AL106" s="312" t="s">
        <v>382</v>
      </c>
      <c r="AM106" s="312" t="s">
        <v>372</v>
      </c>
      <c r="AN106" s="635"/>
      <c r="AO106" s="312" t="s">
        <v>380</v>
      </c>
      <c r="AP106" s="312" t="s">
        <v>381</v>
      </c>
      <c r="AQ106" s="312" t="s">
        <v>382</v>
      </c>
      <c r="AR106" s="312" t="s">
        <v>372</v>
      </c>
      <c r="AS106" s="635"/>
      <c r="AT106" s="312" t="s">
        <v>380</v>
      </c>
      <c r="AU106" s="312" t="s">
        <v>381</v>
      </c>
      <c r="AV106" s="312" t="s">
        <v>382</v>
      </c>
      <c r="AW106" s="312" t="s">
        <v>372</v>
      </c>
      <c r="AX106" s="635"/>
      <c r="AZ106" s="397" t="s">
        <v>372</v>
      </c>
      <c r="BA106" s="635"/>
    </row>
    <row r="107" spans="2:53">
      <c r="B107" s="635" t="s">
        <v>385</v>
      </c>
      <c r="C107" s="311">
        <v>1</v>
      </c>
      <c r="D107" s="225"/>
      <c r="E107" s="181"/>
      <c r="F107" s="311"/>
      <c r="G107" s="314"/>
      <c r="H107" s="685" t="e">
        <f>AVERAGE(G107:G121)</f>
        <v>#DIV/0!</v>
      </c>
      <c r="I107" s="391" t="str">
        <f t="shared" ref="I107:I120" si="72">IFERROR(AVERAGE(P107,U107,Z107,AE107,AJ107,AO107,AT107),"-")</f>
        <v>-</v>
      </c>
      <c r="J107" s="391" t="str">
        <f t="shared" ref="J107:J120" si="73">IFERROR(AVERAGE(Q107,V107,AA107,AF107,AK107,AP107,AU107),"-")</f>
        <v>-</v>
      </c>
      <c r="K107" s="199" t="str">
        <f t="shared" ref="K107:K120" si="74">IFERROR(AVERAGE(R107,W107,AB107,AG107,AL107,AQ107,AV107),"-")</f>
        <v>-</v>
      </c>
      <c r="L107" s="616" t="str">
        <f>IFERROR(AVERAGE(K107:K121),"-")</f>
        <v>-</v>
      </c>
      <c r="M107" s="200" t="e">
        <f>RANK(K107, K$87:$K$101)</f>
        <v>#VALUE!</v>
      </c>
      <c r="N107" s="635"/>
      <c r="O107" s="635"/>
      <c r="P107" s="181"/>
      <c r="Q107" s="181"/>
      <c r="R107" s="314"/>
      <c r="S107" s="311" t="e">
        <f>RANK(R107, R$107:R$121)</f>
        <v>#N/A</v>
      </c>
      <c r="T107" s="657" t="e">
        <f>AVERAGE(R107:R121)</f>
        <v>#DIV/0!</v>
      </c>
      <c r="U107" s="181"/>
      <c r="V107" s="181"/>
      <c r="W107" s="325"/>
      <c r="X107" s="321" t="e">
        <f>RANK(W107, W$107:W$121)</f>
        <v>#N/A</v>
      </c>
      <c r="Y107" s="657" t="e">
        <f>AVERAGE(W107:W121)</f>
        <v>#DIV/0!</v>
      </c>
      <c r="Z107" s="181"/>
      <c r="AA107" s="181"/>
      <c r="AB107" s="325"/>
      <c r="AC107" s="321" t="e">
        <f>RANK(AB107, AB$107:AB$121)</f>
        <v>#N/A</v>
      </c>
      <c r="AD107" s="657" t="e">
        <f>AVERAGE(AB107:AB121)</f>
        <v>#DIV/0!</v>
      </c>
      <c r="AE107" s="181"/>
      <c r="AF107" s="181"/>
      <c r="AG107" s="325"/>
      <c r="AH107" s="321" t="e">
        <f>RANK(AG107, AG$107:AG$121)</f>
        <v>#N/A</v>
      </c>
      <c r="AI107" s="657" t="e">
        <f>AVERAGE(AG107:AG121)</f>
        <v>#DIV/0!</v>
      </c>
      <c r="AJ107" s="181"/>
      <c r="AK107" s="181"/>
      <c r="AL107" s="325"/>
      <c r="AM107" s="321" t="e">
        <f>RANK(AL107, AL$107:AL$121)</f>
        <v>#N/A</v>
      </c>
      <c r="AN107" s="657" t="e">
        <f>AVERAGE(AL107:AL121)</f>
        <v>#DIV/0!</v>
      </c>
      <c r="AO107" s="181"/>
      <c r="AP107" s="181"/>
      <c r="AQ107" s="325"/>
      <c r="AR107" s="321" t="e">
        <f>RANK(AQ107, AQ$107:AQ$121)</f>
        <v>#N/A</v>
      </c>
      <c r="AS107" s="657" t="e">
        <f>AVERAGE(AQ107:AQ121)</f>
        <v>#DIV/0!</v>
      </c>
      <c r="AT107" s="181"/>
      <c r="AU107" s="181"/>
      <c r="AV107" s="325"/>
      <c r="AW107" s="321" t="e">
        <f>RANK(AV107, AV$107:AV$121)</f>
        <v>#N/A</v>
      </c>
      <c r="AX107" s="657" t="e">
        <f>AVERAGE(AV107:AV121)</f>
        <v>#DIV/0!</v>
      </c>
      <c r="AZ107" s="398" t="e">
        <f>RANK(AY107, AY$107:AY$121)</f>
        <v>#N/A</v>
      </c>
      <c r="BA107" s="657" t="e">
        <f>AVERAGE(AY107:AY121)</f>
        <v>#DIV/0!</v>
      </c>
    </row>
    <row r="108" spans="2:53">
      <c r="B108" s="643"/>
      <c r="C108" s="311">
        <v>2</v>
      </c>
      <c r="D108" s="225"/>
      <c r="E108" s="181"/>
      <c r="F108" s="311"/>
      <c r="G108" s="314"/>
      <c r="H108" s="686"/>
      <c r="I108" s="391" t="str">
        <f t="shared" si="72"/>
        <v>-</v>
      </c>
      <c r="J108" s="391" t="str">
        <f t="shared" si="73"/>
        <v>-</v>
      </c>
      <c r="K108" s="199" t="str">
        <f t="shared" si="74"/>
        <v>-</v>
      </c>
      <c r="L108" s="617"/>
      <c r="M108" s="200" t="e">
        <f>RANK(K108, K$87:$K$101)</f>
        <v>#VALUE!</v>
      </c>
      <c r="N108" s="635"/>
      <c r="O108" s="635"/>
      <c r="P108" s="311"/>
      <c r="Q108" s="181"/>
      <c r="R108" s="322"/>
      <c r="S108" s="321" t="e">
        <f t="shared" ref="S108:S121" si="75">RANK(R108, R$107:R$121)</f>
        <v>#N/A</v>
      </c>
      <c r="T108" s="657"/>
      <c r="U108" s="324"/>
      <c r="V108" s="181"/>
      <c r="W108" s="325"/>
      <c r="X108" s="321" t="e">
        <f t="shared" ref="X108:X121" si="76">RANK(W108, W$107:W$121)</f>
        <v>#N/A</v>
      </c>
      <c r="Y108" s="657"/>
      <c r="Z108" s="324"/>
      <c r="AA108" s="181"/>
      <c r="AB108" s="325"/>
      <c r="AC108" s="321" t="e">
        <f t="shared" ref="AC108:AC121" si="77">RANK(AB108, AB$107:AB$121)</f>
        <v>#N/A</v>
      </c>
      <c r="AD108" s="657"/>
      <c r="AE108" s="324"/>
      <c r="AF108" s="181"/>
      <c r="AG108" s="325"/>
      <c r="AH108" s="321" t="e">
        <f t="shared" ref="AH108:AH121" si="78">RANK(AG108, AG$107:AG$121)</f>
        <v>#N/A</v>
      </c>
      <c r="AI108" s="657"/>
      <c r="AJ108" s="324"/>
      <c r="AK108" s="181"/>
      <c r="AL108" s="325"/>
      <c r="AM108" s="321" t="e">
        <f t="shared" ref="AM108:AM121" si="79">RANK(AL108, AL$107:AL$121)</f>
        <v>#N/A</v>
      </c>
      <c r="AN108" s="657"/>
      <c r="AO108" s="324"/>
      <c r="AP108" s="181"/>
      <c r="AQ108" s="325"/>
      <c r="AR108" s="321" t="e">
        <f t="shared" ref="AR108:AR121" si="80">RANK(AQ108, AQ$107:AQ$121)</f>
        <v>#N/A</v>
      </c>
      <c r="AS108" s="657"/>
      <c r="AT108" s="324"/>
      <c r="AU108" s="181"/>
      <c r="AV108" s="325"/>
      <c r="AW108" s="321" t="e">
        <f t="shared" ref="AW108:AW121" si="81">RANK(AV108, AV$107:AV$121)</f>
        <v>#N/A</v>
      </c>
      <c r="AX108" s="657"/>
      <c r="AZ108" s="398" t="e">
        <f t="shared" ref="AZ108:AZ121" si="82">RANK(AY108, AY$107:AY$121)</f>
        <v>#N/A</v>
      </c>
      <c r="BA108" s="657"/>
    </row>
    <row r="109" spans="2:53">
      <c r="B109" s="643"/>
      <c r="C109" s="311">
        <v>3</v>
      </c>
      <c r="D109" s="225"/>
      <c r="E109" s="181"/>
      <c r="F109" s="311"/>
      <c r="G109" s="314"/>
      <c r="H109" s="686"/>
      <c r="I109" s="391" t="str">
        <f t="shared" si="72"/>
        <v>-</v>
      </c>
      <c r="J109" s="391" t="str">
        <f t="shared" si="73"/>
        <v>-</v>
      </c>
      <c r="K109" s="199" t="str">
        <f t="shared" si="74"/>
        <v>-</v>
      </c>
      <c r="L109" s="617"/>
      <c r="M109" s="200" t="e">
        <f>RANK(K109, K$87:$K$101)</f>
        <v>#VALUE!</v>
      </c>
      <c r="N109" s="635"/>
      <c r="O109" s="635"/>
      <c r="P109" s="311"/>
      <c r="Q109" s="311"/>
      <c r="R109" s="311"/>
      <c r="S109" s="321" t="e">
        <f t="shared" si="75"/>
        <v>#N/A</v>
      </c>
      <c r="T109" s="657"/>
      <c r="U109" s="324"/>
      <c r="V109" s="324"/>
      <c r="W109" s="324"/>
      <c r="X109" s="321" t="e">
        <f t="shared" si="76"/>
        <v>#N/A</v>
      </c>
      <c r="Y109" s="657"/>
      <c r="Z109" s="324"/>
      <c r="AA109" s="324"/>
      <c r="AB109" s="324"/>
      <c r="AC109" s="321" t="e">
        <f t="shared" si="77"/>
        <v>#N/A</v>
      </c>
      <c r="AD109" s="657"/>
      <c r="AE109" s="324"/>
      <c r="AF109" s="324"/>
      <c r="AG109" s="324"/>
      <c r="AH109" s="321" t="e">
        <f t="shared" si="78"/>
        <v>#N/A</v>
      </c>
      <c r="AI109" s="657"/>
      <c r="AJ109" s="324"/>
      <c r="AK109" s="324"/>
      <c r="AL109" s="324"/>
      <c r="AM109" s="321" t="e">
        <f t="shared" si="79"/>
        <v>#N/A</v>
      </c>
      <c r="AN109" s="657"/>
      <c r="AO109" s="324"/>
      <c r="AP109" s="324"/>
      <c r="AQ109" s="324"/>
      <c r="AR109" s="321" t="e">
        <f t="shared" si="80"/>
        <v>#N/A</v>
      </c>
      <c r="AS109" s="657"/>
      <c r="AT109" s="324"/>
      <c r="AU109" s="324"/>
      <c r="AV109" s="324"/>
      <c r="AW109" s="321" t="e">
        <f t="shared" si="81"/>
        <v>#N/A</v>
      </c>
      <c r="AX109" s="657"/>
      <c r="AZ109" s="398" t="e">
        <f t="shared" si="82"/>
        <v>#N/A</v>
      </c>
      <c r="BA109" s="657"/>
    </row>
    <row r="110" spans="2:53">
      <c r="B110" s="643"/>
      <c r="C110" s="311">
        <v>4</v>
      </c>
      <c r="D110" s="225"/>
      <c r="E110" s="181"/>
      <c r="F110" s="311"/>
      <c r="G110" s="314"/>
      <c r="H110" s="686"/>
      <c r="I110" s="391" t="str">
        <f t="shared" si="72"/>
        <v>-</v>
      </c>
      <c r="J110" s="391" t="str">
        <f t="shared" si="73"/>
        <v>-</v>
      </c>
      <c r="K110" s="199" t="str">
        <f t="shared" si="74"/>
        <v>-</v>
      </c>
      <c r="L110" s="617"/>
      <c r="M110" s="200" t="e">
        <f>RANK(K110, K$87:$K$101)</f>
        <v>#VALUE!</v>
      </c>
      <c r="N110" s="635"/>
      <c r="O110" s="635"/>
      <c r="P110" s="311"/>
      <c r="Q110" s="311"/>
      <c r="R110" s="311"/>
      <c r="S110" s="321" t="e">
        <f t="shared" si="75"/>
        <v>#N/A</v>
      </c>
      <c r="T110" s="657"/>
      <c r="U110" s="324"/>
      <c r="V110" s="324"/>
      <c r="W110" s="324"/>
      <c r="X110" s="321" t="e">
        <f t="shared" si="76"/>
        <v>#N/A</v>
      </c>
      <c r="Y110" s="657"/>
      <c r="Z110" s="324"/>
      <c r="AA110" s="324"/>
      <c r="AB110" s="324"/>
      <c r="AC110" s="321" t="e">
        <f t="shared" si="77"/>
        <v>#N/A</v>
      </c>
      <c r="AD110" s="657"/>
      <c r="AE110" s="324"/>
      <c r="AF110" s="324"/>
      <c r="AG110" s="324"/>
      <c r="AH110" s="321" t="e">
        <f t="shared" si="78"/>
        <v>#N/A</v>
      </c>
      <c r="AI110" s="657"/>
      <c r="AJ110" s="324"/>
      <c r="AK110" s="324"/>
      <c r="AL110" s="324"/>
      <c r="AM110" s="321" t="e">
        <f t="shared" si="79"/>
        <v>#N/A</v>
      </c>
      <c r="AN110" s="657"/>
      <c r="AO110" s="324"/>
      <c r="AP110" s="324"/>
      <c r="AQ110" s="324"/>
      <c r="AR110" s="321" t="e">
        <f t="shared" si="80"/>
        <v>#N/A</v>
      </c>
      <c r="AS110" s="657"/>
      <c r="AT110" s="324"/>
      <c r="AU110" s="324"/>
      <c r="AV110" s="324"/>
      <c r="AW110" s="321" t="e">
        <f t="shared" si="81"/>
        <v>#N/A</v>
      </c>
      <c r="AX110" s="657"/>
      <c r="AZ110" s="398" t="e">
        <f t="shared" si="82"/>
        <v>#N/A</v>
      </c>
      <c r="BA110" s="657"/>
    </row>
    <row r="111" spans="2:53">
      <c r="B111" s="643"/>
      <c r="C111" s="311">
        <v>5</v>
      </c>
      <c r="D111" s="225"/>
      <c r="E111" s="181"/>
      <c r="F111" s="311"/>
      <c r="G111" s="314"/>
      <c r="H111" s="686"/>
      <c r="I111" s="391" t="str">
        <f t="shared" si="72"/>
        <v>-</v>
      </c>
      <c r="J111" s="391" t="str">
        <f t="shared" si="73"/>
        <v>-</v>
      </c>
      <c r="K111" s="199" t="str">
        <f t="shared" si="74"/>
        <v>-</v>
      </c>
      <c r="L111" s="617"/>
      <c r="M111" s="200" t="e">
        <f>RANK(K111, K$87:$K$101)</f>
        <v>#VALUE!</v>
      </c>
      <c r="N111" s="635"/>
      <c r="O111" s="635"/>
      <c r="P111" s="311"/>
      <c r="Q111" s="311"/>
      <c r="R111" s="311"/>
      <c r="S111" s="321" t="e">
        <f t="shared" si="75"/>
        <v>#N/A</v>
      </c>
      <c r="T111" s="657"/>
      <c r="U111" s="324"/>
      <c r="V111" s="324"/>
      <c r="W111" s="324"/>
      <c r="X111" s="321" t="e">
        <f t="shared" si="76"/>
        <v>#N/A</v>
      </c>
      <c r="Y111" s="657"/>
      <c r="Z111" s="324"/>
      <c r="AA111" s="324"/>
      <c r="AB111" s="324"/>
      <c r="AC111" s="321" t="e">
        <f t="shared" si="77"/>
        <v>#N/A</v>
      </c>
      <c r="AD111" s="657"/>
      <c r="AE111" s="324"/>
      <c r="AF111" s="324"/>
      <c r="AG111" s="324"/>
      <c r="AH111" s="321" t="e">
        <f t="shared" si="78"/>
        <v>#N/A</v>
      </c>
      <c r="AI111" s="657"/>
      <c r="AJ111" s="324"/>
      <c r="AK111" s="324"/>
      <c r="AL111" s="324"/>
      <c r="AM111" s="321" t="e">
        <f t="shared" si="79"/>
        <v>#N/A</v>
      </c>
      <c r="AN111" s="657"/>
      <c r="AO111" s="324"/>
      <c r="AP111" s="324"/>
      <c r="AQ111" s="324"/>
      <c r="AR111" s="321" t="e">
        <f t="shared" si="80"/>
        <v>#N/A</v>
      </c>
      <c r="AS111" s="657"/>
      <c r="AT111" s="324"/>
      <c r="AU111" s="324"/>
      <c r="AV111" s="324"/>
      <c r="AW111" s="321" t="e">
        <f t="shared" si="81"/>
        <v>#N/A</v>
      </c>
      <c r="AX111" s="657"/>
      <c r="AZ111" s="398" t="e">
        <f t="shared" si="82"/>
        <v>#N/A</v>
      </c>
      <c r="BA111" s="657"/>
    </row>
    <row r="112" spans="2:53">
      <c r="B112" s="643"/>
      <c r="C112" s="311">
        <v>6</v>
      </c>
      <c r="D112" s="225"/>
      <c r="E112" s="181"/>
      <c r="F112" s="311"/>
      <c r="G112" s="314"/>
      <c r="H112" s="686"/>
      <c r="I112" s="391" t="str">
        <f t="shared" si="72"/>
        <v>-</v>
      </c>
      <c r="J112" s="391" t="str">
        <f t="shared" si="73"/>
        <v>-</v>
      </c>
      <c r="K112" s="199" t="str">
        <f t="shared" si="74"/>
        <v>-</v>
      </c>
      <c r="L112" s="617"/>
      <c r="M112" s="200" t="e">
        <f>RANK(K112, K$87:$K$101)</f>
        <v>#VALUE!</v>
      </c>
      <c r="N112" s="635"/>
      <c r="O112" s="635"/>
      <c r="P112" s="311"/>
      <c r="Q112" s="311"/>
      <c r="R112" s="311"/>
      <c r="S112" s="321" t="e">
        <f t="shared" si="75"/>
        <v>#N/A</v>
      </c>
      <c r="T112" s="657"/>
      <c r="U112" s="324"/>
      <c r="V112" s="324"/>
      <c r="W112" s="324"/>
      <c r="X112" s="321" t="e">
        <f t="shared" si="76"/>
        <v>#N/A</v>
      </c>
      <c r="Y112" s="657"/>
      <c r="Z112" s="324"/>
      <c r="AA112" s="324"/>
      <c r="AB112" s="324"/>
      <c r="AC112" s="321" t="e">
        <f t="shared" si="77"/>
        <v>#N/A</v>
      </c>
      <c r="AD112" s="657"/>
      <c r="AE112" s="324"/>
      <c r="AF112" s="324"/>
      <c r="AG112" s="324"/>
      <c r="AH112" s="321" t="e">
        <f t="shared" si="78"/>
        <v>#N/A</v>
      </c>
      <c r="AI112" s="657"/>
      <c r="AJ112" s="324"/>
      <c r="AK112" s="324"/>
      <c r="AL112" s="324"/>
      <c r="AM112" s="321" t="e">
        <f t="shared" si="79"/>
        <v>#N/A</v>
      </c>
      <c r="AN112" s="657"/>
      <c r="AO112" s="324"/>
      <c r="AP112" s="324"/>
      <c r="AQ112" s="324"/>
      <c r="AR112" s="321" t="e">
        <f t="shared" si="80"/>
        <v>#N/A</v>
      </c>
      <c r="AS112" s="657"/>
      <c r="AT112" s="324"/>
      <c r="AU112" s="324"/>
      <c r="AV112" s="324"/>
      <c r="AW112" s="321" t="e">
        <f t="shared" si="81"/>
        <v>#N/A</v>
      </c>
      <c r="AX112" s="657"/>
      <c r="AZ112" s="398" t="e">
        <f t="shared" si="82"/>
        <v>#N/A</v>
      </c>
      <c r="BA112" s="657"/>
    </row>
    <row r="113" spans="2:53">
      <c r="B113" s="643"/>
      <c r="C113" s="311">
        <v>7</v>
      </c>
      <c r="D113" s="225"/>
      <c r="E113" s="181"/>
      <c r="F113" s="311"/>
      <c r="G113" s="314"/>
      <c r="H113" s="686"/>
      <c r="I113" s="391" t="str">
        <f t="shared" si="72"/>
        <v>-</v>
      </c>
      <c r="J113" s="391" t="str">
        <f t="shared" si="73"/>
        <v>-</v>
      </c>
      <c r="K113" s="199" t="str">
        <f t="shared" si="74"/>
        <v>-</v>
      </c>
      <c r="L113" s="617"/>
      <c r="M113" s="200" t="e">
        <f>RANK(K113, K$87:$K$101)</f>
        <v>#VALUE!</v>
      </c>
      <c r="N113" s="635"/>
      <c r="O113" s="635"/>
      <c r="P113" s="311"/>
      <c r="Q113" s="311"/>
      <c r="R113" s="311"/>
      <c r="S113" s="321" t="e">
        <f t="shared" si="75"/>
        <v>#N/A</v>
      </c>
      <c r="T113" s="657"/>
      <c r="U113" s="324"/>
      <c r="V113" s="324"/>
      <c r="W113" s="324"/>
      <c r="X113" s="321" t="e">
        <f t="shared" si="76"/>
        <v>#N/A</v>
      </c>
      <c r="Y113" s="657"/>
      <c r="Z113" s="324"/>
      <c r="AA113" s="324"/>
      <c r="AB113" s="324"/>
      <c r="AC113" s="321" t="e">
        <f t="shared" si="77"/>
        <v>#N/A</v>
      </c>
      <c r="AD113" s="657"/>
      <c r="AE113" s="324"/>
      <c r="AF113" s="324"/>
      <c r="AG113" s="324"/>
      <c r="AH113" s="321" t="e">
        <f t="shared" si="78"/>
        <v>#N/A</v>
      </c>
      <c r="AI113" s="657"/>
      <c r="AJ113" s="324"/>
      <c r="AK113" s="324"/>
      <c r="AL113" s="324"/>
      <c r="AM113" s="321" t="e">
        <f t="shared" si="79"/>
        <v>#N/A</v>
      </c>
      <c r="AN113" s="657"/>
      <c r="AO113" s="324"/>
      <c r="AP113" s="324"/>
      <c r="AQ113" s="324"/>
      <c r="AR113" s="321" t="e">
        <f t="shared" si="80"/>
        <v>#N/A</v>
      </c>
      <c r="AS113" s="657"/>
      <c r="AT113" s="324"/>
      <c r="AU113" s="324"/>
      <c r="AV113" s="324"/>
      <c r="AW113" s="321" t="e">
        <f t="shared" si="81"/>
        <v>#N/A</v>
      </c>
      <c r="AX113" s="657"/>
      <c r="AZ113" s="398" t="e">
        <f t="shared" si="82"/>
        <v>#N/A</v>
      </c>
      <c r="BA113" s="657"/>
    </row>
    <row r="114" spans="2:53">
      <c r="B114" s="643"/>
      <c r="C114" s="311">
        <v>8</v>
      </c>
      <c r="D114" s="225"/>
      <c r="E114" s="181"/>
      <c r="F114" s="311"/>
      <c r="G114" s="314"/>
      <c r="H114" s="686"/>
      <c r="I114" s="391" t="str">
        <f t="shared" si="72"/>
        <v>-</v>
      </c>
      <c r="J114" s="391" t="str">
        <f t="shared" si="73"/>
        <v>-</v>
      </c>
      <c r="K114" s="199" t="str">
        <f t="shared" si="74"/>
        <v>-</v>
      </c>
      <c r="L114" s="617"/>
      <c r="M114" s="200" t="e">
        <f>RANK(K114, K$87:$K$101)</f>
        <v>#VALUE!</v>
      </c>
      <c r="N114" s="635"/>
      <c r="O114" s="635"/>
      <c r="P114" s="311"/>
      <c r="Q114" s="311"/>
      <c r="R114" s="311"/>
      <c r="S114" s="321" t="e">
        <f t="shared" si="75"/>
        <v>#N/A</v>
      </c>
      <c r="T114" s="657"/>
      <c r="U114" s="324"/>
      <c r="V114" s="324"/>
      <c r="W114" s="324"/>
      <c r="X114" s="321" t="e">
        <f t="shared" si="76"/>
        <v>#N/A</v>
      </c>
      <c r="Y114" s="657"/>
      <c r="Z114" s="324"/>
      <c r="AA114" s="324"/>
      <c r="AB114" s="324"/>
      <c r="AC114" s="321" t="e">
        <f t="shared" si="77"/>
        <v>#N/A</v>
      </c>
      <c r="AD114" s="657"/>
      <c r="AE114" s="324"/>
      <c r="AF114" s="324"/>
      <c r="AG114" s="324"/>
      <c r="AH114" s="321" t="e">
        <f t="shared" si="78"/>
        <v>#N/A</v>
      </c>
      <c r="AI114" s="657"/>
      <c r="AJ114" s="324"/>
      <c r="AK114" s="324"/>
      <c r="AL114" s="324"/>
      <c r="AM114" s="321" t="e">
        <f t="shared" si="79"/>
        <v>#N/A</v>
      </c>
      <c r="AN114" s="657"/>
      <c r="AO114" s="324"/>
      <c r="AP114" s="324"/>
      <c r="AQ114" s="324"/>
      <c r="AR114" s="321" t="e">
        <f t="shared" si="80"/>
        <v>#N/A</v>
      </c>
      <c r="AS114" s="657"/>
      <c r="AT114" s="324"/>
      <c r="AU114" s="324"/>
      <c r="AV114" s="324"/>
      <c r="AW114" s="321" t="e">
        <f t="shared" si="81"/>
        <v>#N/A</v>
      </c>
      <c r="AX114" s="657"/>
      <c r="AZ114" s="398" t="e">
        <f t="shared" si="82"/>
        <v>#N/A</v>
      </c>
      <c r="BA114" s="657"/>
    </row>
    <row r="115" spans="2:53">
      <c r="B115" s="643"/>
      <c r="C115" s="311">
        <v>9</v>
      </c>
      <c r="D115" s="225"/>
      <c r="E115" s="181"/>
      <c r="F115" s="311"/>
      <c r="G115" s="314"/>
      <c r="H115" s="686"/>
      <c r="I115" s="391" t="str">
        <f t="shared" si="72"/>
        <v>-</v>
      </c>
      <c r="J115" s="391" t="str">
        <f t="shared" si="73"/>
        <v>-</v>
      </c>
      <c r="K115" s="199" t="str">
        <f t="shared" si="74"/>
        <v>-</v>
      </c>
      <c r="L115" s="617"/>
      <c r="M115" s="200" t="e">
        <f>RANK(K115, K$87:$K$101)</f>
        <v>#VALUE!</v>
      </c>
      <c r="N115" s="635"/>
      <c r="O115" s="635"/>
      <c r="P115" s="311"/>
      <c r="Q115" s="311"/>
      <c r="R115" s="311"/>
      <c r="S115" s="321" t="e">
        <f t="shared" si="75"/>
        <v>#N/A</v>
      </c>
      <c r="T115" s="657"/>
      <c r="U115" s="324"/>
      <c r="V115" s="324"/>
      <c r="W115" s="324"/>
      <c r="X115" s="321" t="e">
        <f t="shared" si="76"/>
        <v>#N/A</v>
      </c>
      <c r="Y115" s="657"/>
      <c r="Z115" s="324"/>
      <c r="AA115" s="324"/>
      <c r="AB115" s="324"/>
      <c r="AC115" s="321" t="e">
        <f t="shared" si="77"/>
        <v>#N/A</v>
      </c>
      <c r="AD115" s="657"/>
      <c r="AE115" s="324"/>
      <c r="AF115" s="324"/>
      <c r="AG115" s="324"/>
      <c r="AH115" s="321" t="e">
        <f t="shared" si="78"/>
        <v>#N/A</v>
      </c>
      <c r="AI115" s="657"/>
      <c r="AJ115" s="324"/>
      <c r="AK115" s="324"/>
      <c r="AL115" s="324"/>
      <c r="AM115" s="321" t="e">
        <f t="shared" si="79"/>
        <v>#N/A</v>
      </c>
      <c r="AN115" s="657"/>
      <c r="AO115" s="324"/>
      <c r="AP115" s="324"/>
      <c r="AQ115" s="324"/>
      <c r="AR115" s="321" t="e">
        <f t="shared" si="80"/>
        <v>#N/A</v>
      </c>
      <c r="AS115" s="657"/>
      <c r="AT115" s="324"/>
      <c r="AU115" s="324"/>
      <c r="AV115" s="324"/>
      <c r="AW115" s="321" t="e">
        <f t="shared" si="81"/>
        <v>#N/A</v>
      </c>
      <c r="AX115" s="657"/>
      <c r="AZ115" s="398" t="e">
        <f t="shared" si="82"/>
        <v>#N/A</v>
      </c>
      <c r="BA115" s="657"/>
    </row>
    <row r="116" spans="2:53">
      <c r="B116" s="643"/>
      <c r="C116" s="311">
        <v>10</v>
      </c>
      <c r="D116" s="225"/>
      <c r="E116" s="181"/>
      <c r="F116" s="311"/>
      <c r="G116" s="314"/>
      <c r="H116" s="686"/>
      <c r="I116" s="391" t="str">
        <f t="shared" si="72"/>
        <v>-</v>
      </c>
      <c r="J116" s="391" t="str">
        <f t="shared" si="73"/>
        <v>-</v>
      </c>
      <c r="K116" s="199" t="str">
        <f t="shared" si="74"/>
        <v>-</v>
      </c>
      <c r="L116" s="617"/>
      <c r="M116" s="200" t="e">
        <f>RANK(K116, K$87:$K$101)</f>
        <v>#VALUE!</v>
      </c>
      <c r="N116" s="635"/>
      <c r="O116" s="635"/>
      <c r="P116" s="311"/>
      <c r="Q116" s="311"/>
      <c r="R116" s="311"/>
      <c r="S116" s="321" t="e">
        <f t="shared" si="75"/>
        <v>#N/A</v>
      </c>
      <c r="T116" s="657"/>
      <c r="U116" s="324"/>
      <c r="V116" s="324"/>
      <c r="W116" s="324"/>
      <c r="X116" s="321" t="e">
        <f t="shared" si="76"/>
        <v>#N/A</v>
      </c>
      <c r="Y116" s="657"/>
      <c r="Z116" s="324"/>
      <c r="AA116" s="324"/>
      <c r="AB116" s="324"/>
      <c r="AC116" s="321" t="e">
        <f t="shared" si="77"/>
        <v>#N/A</v>
      </c>
      <c r="AD116" s="657"/>
      <c r="AE116" s="324"/>
      <c r="AF116" s="324"/>
      <c r="AG116" s="324"/>
      <c r="AH116" s="321" t="e">
        <f t="shared" si="78"/>
        <v>#N/A</v>
      </c>
      <c r="AI116" s="657"/>
      <c r="AJ116" s="324"/>
      <c r="AK116" s="324"/>
      <c r="AL116" s="324"/>
      <c r="AM116" s="321" t="e">
        <f t="shared" si="79"/>
        <v>#N/A</v>
      </c>
      <c r="AN116" s="657"/>
      <c r="AO116" s="324"/>
      <c r="AP116" s="324"/>
      <c r="AQ116" s="324"/>
      <c r="AR116" s="321" t="e">
        <f t="shared" si="80"/>
        <v>#N/A</v>
      </c>
      <c r="AS116" s="657"/>
      <c r="AT116" s="324"/>
      <c r="AU116" s="324"/>
      <c r="AV116" s="324"/>
      <c r="AW116" s="321" t="e">
        <f t="shared" si="81"/>
        <v>#N/A</v>
      </c>
      <c r="AX116" s="657"/>
      <c r="AZ116" s="398" t="e">
        <f t="shared" si="82"/>
        <v>#N/A</v>
      </c>
      <c r="BA116" s="657"/>
    </row>
    <row r="117" spans="2:53">
      <c r="B117" s="643"/>
      <c r="C117" s="311">
        <v>11</v>
      </c>
      <c r="D117" s="225"/>
      <c r="E117" s="181"/>
      <c r="F117" s="311"/>
      <c r="G117" s="314"/>
      <c r="H117" s="686"/>
      <c r="I117" s="391" t="str">
        <f t="shared" si="72"/>
        <v>-</v>
      </c>
      <c r="J117" s="391" t="str">
        <f t="shared" si="73"/>
        <v>-</v>
      </c>
      <c r="K117" s="199" t="str">
        <f t="shared" si="74"/>
        <v>-</v>
      </c>
      <c r="L117" s="617"/>
      <c r="M117" s="200" t="e">
        <f>RANK(K117, K$87:$K$101)</f>
        <v>#VALUE!</v>
      </c>
      <c r="N117" s="635"/>
      <c r="O117" s="635"/>
      <c r="P117" s="311"/>
      <c r="Q117" s="311"/>
      <c r="R117" s="311"/>
      <c r="S117" s="321" t="e">
        <f t="shared" si="75"/>
        <v>#N/A</v>
      </c>
      <c r="T117" s="657"/>
      <c r="U117" s="324"/>
      <c r="V117" s="324"/>
      <c r="W117" s="324"/>
      <c r="X117" s="321" t="e">
        <f t="shared" si="76"/>
        <v>#N/A</v>
      </c>
      <c r="Y117" s="657"/>
      <c r="Z117" s="324"/>
      <c r="AA117" s="324"/>
      <c r="AB117" s="324"/>
      <c r="AC117" s="321" t="e">
        <f t="shared" si="77"/>
        <v>#N/A</v>
      </c>
      <c r="AD117" s="657"/>
      <c r="AE117" s="324"/>
      <c r="AF117" s="324"/>
      <c r="AG117" s="324"/>
      <c r="AH117" s="321" t="e">
        <f t="shared" si="78"/>
        <v>#N/A</v>
      </c>
      <c r="AI117" s="657"/>
      <c r="AJ117" s="324"/>
      <c r="AK117" s="324"/>
      <c r="AL117" s="324"/>
      <c r="AM117" s="321" t="e">
        <f t="shared" si="79"/>
        <v>#N/A</v>
      </c>
      <c r="AN117" s="657"/>
      <c r="AO117" s="324"/>
      <c r="AP117" s="324"/>
      <c r="AQ117" s="324"/>
      <c r="AR117" s="321" t="e">
        <f t="shared" si="80"/>
        <v>#N/A</v>
      </c>
      <c r="AS117" s="657"/>
      <c r="AT117" s="324"/>
      <c r="AU117" s="324"/>
      <c r="AV117" s="324"/>
      <c r="AW117" s="321" t="e">
        <f t="shared" si="81"/>
        <v>#N/A</v>
      </c>
      <c r="AX117" s="657"/>
      <c r="AZ117" s="398" t="e">
        <f t="shared" si="82"/>
        <v>#N/A</v>
      </c>
      <c r="BA117" s="657"/>
    </row>
    <row r="118" spans="2:53">
      <c r="B118" s="643"/>
      <c r="C118" s="311">
        <v>12</v>
      </c>
      <c r="D118" s="225"/>
      <c r="E118" s="181"/>
      <c r="F118" s="311"/>
      <c r="G118" s="314"/>
      <c r="H118" s="686"/>
      <c r="I118" s="391" t="str">
        <f t="shared" si="72"/>
        <v>-</v>
      </c>
      <c r="J118" s="391" t="str">
        <f t="shared" si="73"/>
        <v>-</v>
      </c>
      <c r="K118" s="199" t="str">
        <f t="shared" si="74"/>
        <v>-</v>
      </c>
      <c r="L118" s="617"/>
      <c r="M118" s="200" t="e">
        <f>RANK(K118, K$87:$K$101)</f>
        <v>#VALUE!</v>
      </c>
      <c r="N118" s="635"/>
      <c r="O118" s="635"/>
      <c r="P118" s="311"/>
      <c r="Q118" s="311"/>
      <c r="R118" s="311"/>
      <c r="S118" s="321" t="e">
        <f t="shared" si="75"/>
        <v>#N/A</v>
      </c>
      <c r="T118" s="657"/>
      <c r="U118" s="324"/>
      <c r="V118" s="324"/>
      <c r="W118" s="324"/>
      <c r="X118" s="321" t="e">
        <f t="shared" si="76"/>
        <v>#N/A</v>
      </c>
      <c r="Y118" s="657"/>
      <c r="Z118" s="324"/>
      <c r="AA118" s="324"/>
      <c r="AB118" s="324"/>
      <c r="AC118" s="321" t="e">
        <f t="shared" si="77"/>
        <v>#N/A</v>
      </c>
      <c r="AD118" s="657"/>
      <c r="AE118" s="324"/>
      <c r="AF118" s="324"/>
      <c r="AG118" s="324"/>
      <c r="AH118" s="321" t="e">
        <f t="shared" si="78"/>
        <v>#N/A</v>
      </c>
      <c r="AI118" s="657"/>
      <c r="AJ118" s="324"/>
      <c r="AK118" s="324"/>
      <c r="AL118" s="324"/>
      <c r="AM118" s="321" t="e">
        <f t="shared" si="79"/>
        <v>#N/A</v>
      </c>
      <c r="AN118" s="657"/>
      <c r="AO118" s="324"/>
      <c r="AP118" s="324"/>
      <c r="AQ118" s="324"/>
      <c r="AR118" s="321" t="e">
        <f t="shared" si="80"/>
        <v>#N/A</v>
      </c>
      <c r="AS118" s="657"/>
      <c r="AT118" s="324"/>
      <c r="AU118" s="324"/>
      <c r="AV118" s="324"/>
      <c r="AW118" s="321" t="e">
        <f t="shared" si="81"/>
        <v>#N/A</v>
      </c>
      <c r="AX118" s="657"/>
      <c r="AZ118" s="398" t="e">
        <f t="shared" si="82"/>
        <v>#N/A</v>
      </c>
      <c r="BA118" s="657"/>
    </row>
    <row r="119" spans="2:53">
      <c r="B119" s="643"/>
      <c r="C119" s="311">
        <v>13</v>
      </c>
      <c r="D119" s="225"/>
      <c r="E119" s="181"/>
      <c r="F119" s="311"/>
      <c r="G119" s="314"/>
      <c r="H119" s="686"/>
      <c r="I119" s="391" t="str">
        <f t="shared" si="72"/>
        <v>-</v>
      </c>
      <c r="J119" s="391" t="str">
        <f t="shared" si="73"/>
        <v>-</v>
      </c>
      <c r="K119" s="199" t="str">
        <f t="shared" si="74"/>
        <v>-</v>
      </c>
      <c r="L119" s="617"/>
      <c r="M119" s="200" t="e">
        <f>RANK(K119, K$87:$K$101)</f>
        <v>#VALUE!</v>
      </c>
      <c r="N119" s="635"/>
      <c r="O119" s="635"/>
      <c r="P119" s="311"/>
      <c r="Q119" s="311"/>
      <c r="R119" s="311"/>
      <c r="S119" s="321" t="e">
        <f t="shared" si="75"/>
        <v>#N/A</v>
      </c>
      <c r="T119" s="657"/>
      <c r="U119" s="324"/>
      <c r="V119" s="324"/>
      <c r="W119" s="324"/>
      <c r="X119" s="321" t="e">
        <f t="shared" si="76"/>
        <v>#N/A</v>
      </c>
      <c r="Y119" s="657"/>
      <c r="Z119" s="324"/>
      <c r="AA119" s="324"/>
      <c r="AB119" s="324"/>
      <c r="AC119" s="321" t="e">
        <f t="shared" si="77"/>
        <v>#N/A</v>
      </c>
      <c r="AD119" s="657"/>
      <c r="AE119" s="324"/>
      <c r="AF119" s="324"/>
      <c r="AG119" s="324"/>
      <c r="AH119" s="321" t="e">
        <f t="shared" si="78"/>
        <v>#N/A</v>
      </c>
      <c r="AI119" s="657"/>
      <c r="AJ119" s="324"/>
      <c r="AK119" s="324"/>
      <c r="AL119" s="324"/>
      <c r="AM119" s="321" t="e">
        <f t="shared" si="79"/>
        <v>#N/A</v>
      </c>
      <c r="AN119" s="657"/>
      <c r="AO119" s="324"/>
      <c r="AP119" s="324"/>
      <c r="AQ119" s="324"/>
      <c r="AR119" s="321" t="e">
        <f t="shared" si="80"/>
        <v>#N/A</v>
      </c>
      <c r="AS119" s="657"/>
      <c r="AT119" s="324"/>
      <c r="AU119" s="324"/>
      <c r="AV119" s="324"/>
      <c r="AW119" s="321" t="e">
        <f t="shared" si="81"/>
        <v>#N/A</v>
      </c>
      <c r="AX119" s="657"/>
      <c r="AZ119" s="398" t="e">
        <f t="shared" si="82"/>
        <v>#N/A</v>
      </c>
      <c r="BA119" s="657"/>
    </row>
    <row r="120" spans="2:53">
      <c r="B120" s="643"/>
      <c r="C120" s="311">
        <v>14</v>
      </c>
      <c r="D120" s="225"/>
      <c r="E120" s="181"/>
      <c r="F120" s="311"/>
      <c r="G120" s="314"/>
      <c r="H120" s="686"/>
      <c r="I120" s="391" t="str">
        <f t="shared" si="72"/>
        <v>-</v>
      </c>
      <c r="J120" s="391" t="str">
        <f t="shared" si="73"/>
        <v>-</v>
      </c>
      <c r="K120" s="199" t="str">
        <f t="shared" si="74"/>
        <v>-</v>
      </c>
      <c r="L120" s="617"/>
      <c r="M120" s="200" t="e">
        <f>RANK(K120, K$87:$K$101)</f>
        <v>#VALUE!</v>
      </c>
      <c r="N120" s="635"/>
      <c r="O120" s="635"/>
      <c r="P120" s="311"/>
      <c r="Q120" s="311"/>
      <c r="R120" s="311"/>
      <c r="S120" s="321" t="e">
        <f t="shared" si="75"/>
        <v>#N/A</v>
      </c>
      <c r="T120" s="657"/>
      <c r="U120" s="324"/>
      <c r="V120" s="324"/>
      <c r="W120" s="324"/>
      <c r="X120" s="321" t="e">
        <f t="shared" si="76"/>
        <v>#N/A</v>
      </c>
      <c r="Y120" s="657"/>
      <c r="Z120" s="324"/>
      <c r="AA120" s="324"/>
      <c r="AB120" s="324"/>
      <c r="AC120" s="321" t="e">
        <f t="shared" si="77"/>
        <v>#N/A</v>
      </c>
      <c r="AD120" s="657"/>
      <c r="AE120" s="324"/>
      <c r="AF120" s="324"/>
      <c r="AG120" s="324"/>
      <c r="AH120" s="321" t="e">
        <f t="shared" si="78"/>
        <v>#N/A</v>
      </c>
      <c r="AI120" s="657"/>
      <c r="AJ120" s="324"/>
      <c r="AK120" s="324"/>
      <c r="AL120" s="324"/>
      <c r="AM120" s="321" t="e">
        <f t="shared" si="79"/>
        <v>#N/A</v>
      </c>
      <c r="AN120" s="657"/>
      <c r="AO120" s="324"/>
      <c r="AP120" s="324"/>
      <c r="AQ120" s="324"/>
      <c r="AR120" s="321" t="e">
        <f t="shared" si="80"/>
        <v>#N/A</v>
      </c>
      <c r="AS120" s="657"/>
      <c r="AT120" s="324"/>
      <c r="AU120" s="324"/>
      <c r="AV120" s="324"/>
      <c r="AW120" s="321" t="e">
        <f t="shared" si="81"/>
        <v>#N/A</v>
      </c>
      <c r="AX120" s="657"/>
      <c r="AZ120" s="398" t="e">
        <f t="shared" si="82"/>
        <v>#N/A</v>
      </c>
      <c r="BA120" s="657"/>
    </row>
    <row r="121" spans="2:53">
      <c r="B121" s="643"/>
      <c r="C121" s="311">
        <v>15</v>
      </c>
      <c r="D121" s="225"/>
      <c r="E121" s="181"/>
      <c r="F121" s="311"/>
      <c r="G121" s="314"/>
      <c r="H121" s="687"/>
      <c r="I121" s="201"/>
      <c r="J121" s="201"/>
      <c r="K121" s="201"/>
      <c r="L121" s="618"/>
      <c r="M121" s="198" t="e">
        <f>RANK(K121, K$87:$K$101)</f>
        <v>#N/A</v>
      </c>
      <c r="N121" s="635"/>
      <c r="O121" s="635"/>
      <c r="P121" s="311"/>
      <c r="Q121" s="311"/>
      <c r="R121" s="311"/>
      <c r="S121" s="321" t="e">
        <f t="shared" si="75"/>
        <v>#N/A</v>
      </c>
      <c r="T121" s="657"/>
      <c r="U121" s="324"/>
      <c r="V121" s="324"/>
      <c r="W121" s="324"/>
      <c r="X121" s="321" t="e">
        <f t="shared" si="76"/>
        <v>#N/A</v>
      </c>
      <c r="Y121" s="657"/>
      <c r="Z121" s="324"/>
      <c r="AA121" s="324"/>
      <c r="AB121" s="324"/>
      <c r="AC121" s="321" t="e">
        <f t="shared" si="77"/>
        <v>#N/A</v>
      </c>
      <c r="AD121" s="657"/>
      <c r="AE121" s="324"/>
      <c r="AF121" s="324"/>
      <c r="AG121" s="324"/>
      <c r="AH121" s="321" t="e">
        <f t="shared" si="78"/>
        <v>#N/A</v>
      </c>
      <c r="AI121" s="657"/>
      <c r="AJ121" s="324"/>
      <c r="AK121" s="324"/>
      <c r="AL121" s="324"/>
      <c r="AM121" s="321" t="e">
        <f t="shared" si="79"/>
        <v>#N/A</v>
      </c>
      <c r="AN121" s="657"/>
      <c r="AO121" s="324"/>
      <c r="AP121" s="324"/>
      <c r="AQ121" s="324"/>
      <c r="AR121" s="321" t="e">
        <f t="shared" si="80"/>
        <v>#N/A</v>
      </c>
      <c r="AS121" s="657"/>
      <c r="AT121" s="324"/>
      <c r="AU121" s="324"/>
      <c r="AV121" s="324"/>
      <c r="AW121" s="321" t="e">
        <f t="shared" si="81"/>
        <v>#N/A</v>
      </c>
      <c r="AX121" s="657"/>
      <c r="AZ121" s="398" t="e">
        <f t="shared" si="82"/>
        <v>#N/A</v>
      </c>
      <c r="BA121" s="657"/>
    </row>
    <row r="123" spans="2:53" ht="15.75">
      <c r="B123" s="674" t="s">
        <v>482</v>
      </c>
      <c r="C123" s="675"/>
      <c r="D123" s="675"/>
      <c r="E123" s="675"/>
      <c r="F123" s="675"/>
      <c r="G123" s="675"/>
      <c r="H123" s="676"/>
      <c r="I123" s="315"/>
      <c r="J123" s="315"/>
      <c r="K123" s="315"/>
      <c r="L123" s="315"/>
      <c r="M123" s="316"/>
    </row>
    <row r="124" spans="2:53" ht="15.75">
      <c r="B124" s="677"/>
      <c r="C124" s="677"/>
      <c r="D124" s="677"/>
      <c r="E124" s="677"/>
      <c r="F124" s="677"/>
      <c r="G124" s="677"/>
      <c r="H124" s="677"/>
      <c r="I124" s="317"/>
      <c r="J124" s="317"/>
      <c r="K124" s="317"/>
      <c r="L124" s="317"/>
      <c r="M124" s="318"/>
    </row>
    <row r="125" spans="2:53">
      <c r="B125" s="635" t="s">
        <v>483</v>
      </c>
      <c r="C125" s="635" t="s">
        <v>484</v>
      </c>
      <c r="D125" s="635"/>
      <c r="E125" s="635" t="s">
        <v>485</v>
      </c>
      <c r="F125" s="635"/>
      <c r="G125" s="635"/>
      <c r="H125" s="651" t="s">
        <v>486</v>
      </c>
      <c r="I125" s="678" t="s">
        <v>487</v>
      </c>
      <c r="J125" s="678"/>
      <c r="K125" s="678"/>
      <c r="L125" s="691" t="s">
        <v>486</v>
      </c>
      <c r="M125" s="694" t="s">
        <v>488</v>
      </c>
    </row>
    <row r="126" spans="2:53">
      <c r="B126" s="635"/>
      <c r="C126" s="635"/>
      <c r="D126" s="635"/>
      <c r="E126" s="635" t="s">
        <v>489</v>
      </c>
      <c r="F126" s="635"/>
      <c r="G126" s="635"/>
      <c r="H126" s="652"/>
      <c r="I126" s="678" t="s">
        <v>489</v>
      </c>
      <c r="J126" s="678"/>
      <c r="K126" s="678"/>
      <c r="L126" s="692"/>
      <c r="M126" s="695"/>
    </row>
    <row r="127" spans="2:53">
      <c r="B127" s="635"/>
      <c r="C127" s="635"/>
      <c r="D127" s="635"/>
      <c r="E127" s="312" t="s">
        <v>490</v>
      </c>
      <c r="F127" s="312" t="s">
        <v>491</v>
      </c>
      <c r="G127" s="312" t="s">
        <v>492</v>
      </c>
      <c r="H127" s="653"/>
      <c r="I127" s="319" t="s">
        <v>490</v>
      </c>
      <c r="J127" s="319" t="s">
        <v>491</v>
      </c>
      <c r="K127" s="319" t="s">
        <v>492</v>
      </c>
      <c r="L127" s="693"/>
      <c r="M127" s="696"/>
    </row>
    <row r="128" spans="2:53">
      <c r="B128" s="635" t="s">
        <v>496</v>
      </c>
      <c r="C128" s="311">
        <v>1</v>
      </c>
      <c r="D128" s="225"/>
      <c r="E128" s="181"/>
      <c r="F128" s="311"/>
      <c r="G128" s="314"/>
      <c r="H128" s="685" t="e">
        <f>AVERAGE(G128:G142)</f>
        <v>#DIV/0!</v>
      </c>
      <c r="I128" s="198" t="e">
        <f t="shared" ref="I128:J128" si="83">AVERAGEIF($D$7:$D$121,$D128,I$7:I$121)</f>
        <v>#DIV/0!</v>
      </c>
      <c r="J128" s="198" t="e">
        <f t="shared" si="83"/>
        <v>#DIV/0!</v>
      </c>
      <c r="K128" s="198" t="e">
        <f>AVERAGEIF($D$7:$D$121,$D128,K$7:K$121)</f>
        <v>#DIV/0!</v>
      </c>
      <c r="L128" s="688" t="e">
        <f>AVERAGE(K128:K142)</f>
        <v>#DIV/0!</v>
      </c>
      <c r="M128" s="198" t="e">
        <f>RANK(K128, K$128:$K$142)</f>
        <v>#DIV/0!</v>
      </c>
    </row>
    <row r="129" spans="2:39">
      <c r="B129" s="643"/>
      <c r="C129" s="311">
        <v>2</v>
      </c>
      <c r="D129" s="225"/>
      <c r="E129" s="181"/>
      <c r="F129" s="311"/>
      <c r="G129" s="314"/>
      <c r="H129" s="686"/>
      <c r="I129" s="198"/>
      <c r="J129" s="198"/>
      <c r="K129" s="198"/>
      <c r="L129" s="689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311">
        <v>3</v>
      </c>
      <c r="D130" s="225"/>
      <c r="E130" s="181"/>
      <c r="F130" s="311"/>
      <c r="G130" s="314"/>
      <c r="H130" s="686"/>
      <c r="I130" s="198"/>
      <c r="J130" s="198"/>
      <c r="K130" s="198"/>
      <c r="L130" s="689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311">
        <v>4</v>
      </c>
      <c r="D131" s="225"/>
      <c r="E131" s="181"/>
      <c r="F131" s="311"/>
      <c r="G131" s="314"/>
      <c r="H131" s="686"/>
      <c r="I131" s="198"/>
      <c r="J131" s="198"/>
      <c r="K131" s="198"/>
      <c r="L131" s="689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311">
        <v>5</v>
      </c>
      <c r="D132" s="225"/>
      <c r="E132" s="181"/>
      <c r="F132" s="311"/>
      <c r="G132" s="314"/>
      <c r="H132" s="686"/>
      <c r="I132" s="198"/>
      <c r="J132" s="198"/>
      <c r="K132" s="198"/>
      <c r="L132" s="689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311">
        <v>6</v>
      </c>
      <c r="D133" s="320"/>
      <c r="E133" s="181"/>
      <c r="F133" s="311"/>
      <c r="G133" s="314"/>
      <c r="H133" s="686"/>
      <c r="I133" s="198"/>
      <c r="J133" s="198"/>
      <c r="K133" s="198"/>
      <c r="L133" s="689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311">
        <v>7</v>
      </c>
      <c r="D134" s="225"/>
      <c r="E134" s="181"/>
      <c r="F134" s="311"/>
      <c r="G134" s="314"/>
      <c r="H134" s="686"/>
      <c r="I134" s="198"/>
      <c r="J134" s="198"/>
      <c r="K134" s="198"/>
      <c r="L134" s="689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311">
        <v>8</v>
      </c>
      <c r="D135" s="225"/>
      <c r="E135" s="181"/>
      <c r="F135" s="311"/>
      <c r="G135" s="314"/>
      <c r="H135" s="686"/>
      <c r="I135" s="198"/>
      <c r="J135" s="198"/>
      <c r="K135" s="198"/>
      <c r="L135" s="689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311">
        <v>9</v>
      </c>
      <c r="D136" s="225"/>
      <c r="E136" s="311"/>
      <c r="F136" s="311"/>
      <c r="G136" s="311"/>
      <c r="H136" s="686"/>
      <c r="I136" s="198"/>
      <c r="J136" s="198"/>
      <c r="K136" s="198"/>
      <c r="L136" s="689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311">
        <v>10</v>
      </c>
      <c r="D137" s="225"/>
      <c r="E137" s="311"/>
      <c r="F137" s="311"/>
      <c r="G137" s="311"/>
      <c r="H137" s="686"/>
      <c r="I137" s="198"/>
      <c r="J137" s="198"/>
      <c r="K137" s="198"/>
      <c r="L137" s="689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311">
        <v>11</v>
      </c>
      <c r="D138" s="225"/>
      <c r="E138" s="311"/>
      <c r="F138" s="311"/>
      <c r="G138" s="311"/>
      <c r="H138" s="686"/>
      <c r="I138" s="198"/>
      <c r="J138" s="198"/>
      <c r="K138" s="198"/>
      <c r="L138" s="689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311">
        <v>12</v>
      </c>
      <c r="D139" s="225"/>
      <c r="E139" s="311"/>
      <c r="F139" s="311"/>
      <c r="G139" s="311"/>
      <c r="H139" s="686"/>
      <c r="I139" s="198"/>
      <c r="J139" s="198"/>
      <c r="K139" s="198"/>
      <c r="L139" s="689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311">
        <v>13</v>
      </c>
      <c r="D140" s="225"/>
      <c r="E140" s="311"/>
      <c r="F140" s="311"/>
      <c r="G140" s="311"/>
      <c r="H140" s="686"/>
      <c r="I140" s="198"/>
      <c r="J140" s="198"/>
      <c r="K140" s="198"/>
      <c r="L140" s="689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311">
        <v>14</v>
      </c>
      <c r="D141" s="225"/>
      <c r="E141" s="311"/>
      <c r="F141" s="311"/>
      <c r="G141" s="311"/>
      <c r="H141" s="686"/>
      <c r="I141" s="198"/>
      <c r="J141" s="198"/>
      <c r="K141" s="198"/>
      <c r="L141" s="689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311">
        <v>15</v>
      </c>
      <c r="D142" s="225"/>
      <c r="E142" s="311"/>
      <c r="F142" s="311"/>
      <c r="G142" s="311"/>
      <c r="H142" s="687"/>
      <c r="I142" s="198"/>
      <c r="J142" s="198"/>
      <c r="K142" s="198"/>
      <c r="L142" s="690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69" zoomScale="70" zoomScaleNormal="70" workbookViewId="0">
      <pane xSplit="15" topLeftCell="P1" activePane="topRight" state="frozen"/>
      <selection activeCell="AI87" sqref="AI87:AI101"/>
      <selection pane="topRight" activeCell="L77" sqref="L77:L10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89.013863633773994</v>
      </c>
    </row>
    <row r="2" spans="1:53" ht="15.75">
      <c r="A2" s="81"/>
      <c r="B2" s="647" t="s">
        <v>163</v>
      </c>
      <c r="C2" s="647"/>
      <c r="D2" s="647"/>
      <c r="E2" s="647"/>
      <c r="F2" s="647"/>
      <c r="G2" s="647"/>
      <c r="H2" s="647"/>
      <c r="I2" s="292"/>
      <c r="J2" s="292"/>
      <c r="K2" s="292"/>
      <c r="L2" s="292"/>
      <c r="M2" s="196"/>
      <c r="N2" s="636" t="s">
        <v>156</v>
      </c>
      <c r="O2" s="636" t="s">
        <v>155</v>
      </c>
      <c r="P2" s="663">
        <v>46168</v>
      </c>
      <c r="Q2" s="664"/>
      <c r="R2" s="664"/>
      <c r="S2" s="664"/>
      <c r="T2" s="665"/>
      <c r="U2" s="642">
        <f>P2+1</f>
        <v>46169</v>
      </c>
      <c r="V2" s="643"/>
      <c r="W2" s="643"/>
      <c r="X2" s="643"/>
      <c r="Y2" s="643"/>
      <c r="Z2" s="642">
        <f>U2+1</f>
        <v>46170</v>
      </c>
      <c r="AA2" s="643"/>
      <c r="AB2" s="643"/>
      <c r="AC2" s="643"/>
      <c r="AD2" s="643"/>
      <c r="AE2" s="642">
        <f>Z2+1</f>
        <v>46171</v>
      </c>
      <c r="AF2" s="643"/>
      <c r="AG2" s="643"/>
      <c r="AH2" s="643"/>
      <c r="AI2" s="643"/>
      <c r="AJ2" s="642">
        <f>AE2+1</f>
        <v>46172</v>
      </c>
      <c r="AK2" s="643"/>
      <c r="AL2" s="643"/>
      <c r="AM2" s="643"/>
      <c r="AN2" s="643"/>
      <c r="AO2" s="642">
        <f>AJ2+1</f>
        <v>46173</v>
      </c>
      <c r="AP2" s="643"/>
      <c r="AQ2" s="643"/>
      <c r="AR2" s="643"/>
      <c r="AS2" s="643"/>
      <c r="AT2" s="639">
        <f>AO2+1</f>
        <v>46174</v>
      </c>
      <c r="AU2" s="640"/>
      <c r="AV2" s="640"/>
      <c r="AW2" s="640"/>
      <c r="AX2" s="641"/>
    </row>
    <row r="3" spans="1:53" ht="15.75">
      <c r="A3" s="81"/>
      <c r="B3" s="666"/>
      <c r="C3" s="666"/>
      <c r="D3" s="666"/>
      <c r="E3" s="666"/>
      <c r="F3" s="666"/>
      <c r="G3" s="666"/>
      <c r="H3" s="666"/>
      <c r="I3" s="293"/>
      <c r="J3" s="293"/>
      <c r="K3" s="293"/>
      <c r="L3" s="293"/>
      <c r="M3" s="197"/>
      <c r="N3" s="638"/>
      <c r="O3" s="638"/>
      <c r="P3" s="639" t="s">
        <v>158</v>
      </c>
      <c r="Q3" s="640"/>
      <c r="R3" s="640"/>
      <c r="S3" s="640"/>
      <c r="T3" s="641"/>
      <c r="U3" s="639" t="s">
        <v>114</v>
      </c>
      <c r="V3" s="640"/>
      <c r="W3" s="640"/>
      <c r="X3" s="640"/>
      <c r="Y3" s="641"/>
      <c r="Z3" s="639" t="s">
        <v>159</v>
      </c>
      <c r="AA3" s="640"/>
      <c r="AB3" s="640"/>
      <c r="AC3" s="640"/>
      <c r="AD3" s="641"/>
      <c r="AE3" s="639" t="s">
        <v>157</v>
      </c>
      <c r="AF3" s="640"/>
      <c r="AG3" s="640"/>
      <c r="AH3" s="640"/>
      <c r="AI3" s="641"/>
      <c r="AJ3" s="639" t="s">
        <v>160</v>
      </c>
      <c r="AK3" s="640"/>
      <c r="AL3" s="640"/>
      <c r="AM3" s="640"/>
      <c r="AN3" s="641"/>
      <c r="AO3" s="639" t="s">
        <v>161</v>
      </c>
      <c r="AP3" s="640"/>
      <c r="AQ3" s="640"/>
      <c r="AR3" s="640"/>
      <c r="AS3" s="641"/>
      <c r="AT3" s="639" t="s">
        <v>162</v>
      </c>
      <c r="AU3" s="640"/>
      <c r="AV3" s="640"/>
      <c r="AW3" s="640"/>
      <c r="AX3" s="641"/>
    </row>
    <row r="4" spans="1:53" ht="14.25">
      <c r="A4" s="81"/>
      <c r="B4" s="635" t="s">
        <v>154</v>
      </c>
      <c r="C4" s="635" t="s">
        <v>384</v>
      </c>
      <c r="D4" s="635"/>
      <c r="E4" s="635" t="s">
        <v>375</v>
      </c>
      <c r="F4" s="635"/>
      <c r="G4" s="635"/>
      <c r="H4" s="651" t="s">
        <v>371</v>
      </c>
      <c r="I4" s="619" t="s">
        <v>376</v>
      </c>
      <c r="J4" s="619"/>
      <c r="K4" s="619"/>
      <c r="L4" s="620" t="s">
        <v>371</v>
      </c>
      <c r="M4" s="626" t="s">
        <v>372</v>
      </c>
      <c r="N4" s="635"/>
      <c r="O4" s="635" t="s">
        <v>377</v>
      </c>
      <c r="P4" s="632" t="s">
        <v>373</v>
      </c>
      <c r="Q4" s="633"/>
      <c r="R4" s="633"/>
      <c r="S4" s="634"/>
      <c r="T4" s="635" t="s">
        <v>371</v>
      </c>
      <c r="U4" s="632" t="s">
        <v>373</v>
      </c>
      <c r="V4" s="633"/>
      <c r="W4" s="633"/>
      <c r="X4" s="634"/>
      <c r="Y4" s="635" t="s">
        <v>371</v>
      </c>
      <c r="Z4" s="632" t="s">
        <v>373</v>
      </c>
      <c r="AA4" s="633"/>
      <c r="AB4" s="633"/>
      <c r="AC4" s="634"/>
      <c r="AD4" s="635" t="s">
        <v>371</v>
      </c>
      <c r="AE4" s="632" t="s">
        <v>373</v>
      </c>
      <c r="AF4" s="633"/>
      <c r="AG4" s="633"/>
      <c r="AH4" s="634"/>
      <c r="AI4" s="635" t="s">
        <v>371</v>
      </c>
      <c r="AJ4" s="632" t="s">
        <v>373</v>
      </c>
      <c r="AK4" s="633"/>
      <c r="AL4" s="633"/>
      <c r="AM4" s="634"/>
      <c r="AN4" s="635" t="s">
        <v>371</v>
      </c>
      <c r="AO4" s="632" t="s">
        <v>373</v>
      </c>
      <c r="AP4" s="633"/>
      <c r="AQ4" s="633"/>
      <c r="AR4" s="634"/>
      <c r="AS4" s="635" t="s">
        <v>371</v>
      </c>
      <c r="AT4" s="632" t="s">
        <v>373</v>
      </c>
      <c r="AU4" s="633"/>
      <c r="AV4" s="633"/>
      <c r="AW4" s="634"/>
      <c r="AX4" s="635" t="s">
        <v>371</v>
      </c>
      <c r="BA4" s="635" t="s">
        <v>371</v>
      </c>
    </row>
    <row r="5" spans="1:53" ht="14.25">
      <c r="A5" s="81"/>
      <c r="B5" s="635"/>
      <c r="C5" s="635"/>
      <c r="D5" s="635"/>
      <c r="E5" s="635" t="s">
        <v>378</v>
      </c>
      <c r="F5" s="635"/>
      <c r="G5" s="635"/>
      <c r="H5" s="652"/>
      <c r="I5" s="619" t="s">
        <v>378</v>
      </c>
      <c r="J5" s="619"/>
      <c r="K5" s="619"/>
      <c r="L5" s="621"/>
      <c r="M5" s="627"/>
      <c r="N5" s="635"/>
      <c r="O5" s="635"/>
      <c r="P5" s="632" t="s">
        <v>379</v>
      </c>
      <c r="Q5" s="633"/>
      <c r="R5" s="633"/>
      <c r="S5" s="634"/>
      <c r="T5" s="635"/>
      <c r="U5" s="632" t="s">
        <v>379</v>
      </c>
      <c r="V5" s="633"/>
      <c r="W5" s="633"/>
      <c r="X5" s="634"/>
      <c r="Y5" s="635"/>
      <c r="Z5" s="632" t="s">
        <v>379</v>
      </c>
      <c r="AA5" s="633"/>
      <c r="AB5" s="633"/>
      <c r="AC5" s="634"/>
      <c r="AD5" s="635"/>
      <c r="AE5" s="632" t="s">
        <v>379</v>
      </c>
      <c r="AF5" s="633"/>
      <c r="AG5" s="633"/>
      <c r="AH5" s="634"/>
      <c r="AI5" s="635"/>
      <c r="AJ5" s="632" t="s">
        <v>379</v>
      </c>
      <c r="AK5" s="633"/>
      <c r="AL5" s="633"/>
      <c r="AM5" s="634"/>
      <c r="AN5" s="635"/>
      <c r="AO5" s="632" t="s">
        <v>379</v>
      </c>
      <c r="AP5" s="633"/>
      <c r="AQ5" s="633"/>
      <c r="AR5" s="634"/>
      <c r="AS5" s="635"/>
      <c r="AT5" s="632" t="s">
        <v>379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408" t="s">
        <v>380</v>
      </c>
      <c r="F6" s="408" t="s">
        <v>381</v>
      </c>
      <c r="G6" s="408" t="s">
        <v>382</v>
      </c>
      <c r="H6" s="653"/>
      <c r="I6" s="407" t="s">
        <v>380</v>
      </c>
      <c r="J6" s="407" t="s">
        <v>381</v>
      </c>
      <c r="K6" s="407" t="s">
        <v>382</v>
      </c>
      <c r="L6" s="622"/>
      <c r="M6" s="628"/>
      <c r="N6" s="635"/>
      <c r="O6" s="635"/>
      <c r="P6" s="408" t="s">
        <v>380</v>
      </c>
      <c r="Q6" s="408" t="s">
        <v>381</v>
      </c>
      <c r="R6" s="408" t="s">
        <v>382</v>
      </c>
      <c r="S6" s="408" t="s">
        <v>372</v>
      </c>
      <c r="T6" s="635"/>
      <c r="U6" s="408" t="s">
        <v>380</v>
      </c>
      <c r="V6" s="408" t="s">
        <v>381</v>
      </c>
      <c r="W6" s="408" t="s">
        <v>382</v>
      </c>
      <c r="X6" s="408" t="s">
        <v>372</v>
      </c>
      <c r="Y6" s="635"/>
      <c r="Z6" s="408" t="s">
        <v>380</v>
      </c>
      <c r="AA6" s="408" t="s">
        <v>381</v>
      </c>
      <c r="AB6" s="408" t="s">
        <v>382</v>
      </c>
      <c r="AC6" s="408" t="s">
        <v>372</v>
      </c>
      <c r="AD6" s="635"/>
      <c r="AE6" s="408" t="s">
        <v>380</v>
      </c>
      <c r="AF6" s="408" t="s">
        <v>381</v>
      </c>
      <c r="AG6" s="408" t="s">
        <v>382</v>
      </c>
      <c r="AH6" s="408" t="s">
        <v>372</v>
      </c>
      <c r="AI6" s="635"/>
      <c r="AJ6" s="408" t="s">
        <v>380</v>
      </c>
      <c r="AK6" s="408" t="s">
        <v>381</v>
      </c>
      <c r="AL6" s="408" t="s">
        <v>382</v>
      </c>
      <c r="AM6" s="408" t="s">
        <v>372</v>
      </c>
      <c r="AN6" s="635"/>
      <c r="AO6" s="408" t="s">
        <v>380</v>
      </c>
      <c r="AP6" s="408" t="s">
        <v>381</v>
      </c>
      <c r="AQ6" s="408" t="s">
        <v>382</v>
      </c>
      <c r="AR6" s="408" t="s">
        <v>372</v>
      </c>
      <c r="AS6" s="635"/>
      <c r="AT6" s="408" t="s">
        <v>380</v>
      </c>
      <c r="AU6" s="408" t="s">
        <v>381</v>
      </c>
      <c r="AV6" s="408" t="s">
        <v>382</v>
      </c>
      <c r="AW6" s="408" t="s">
        <v>372</v>
      </c>
      <c r="AX6" s="635"/>
      <c r="AZ6" s="397" t="s">
        <v>372</v>
      </c>
      <c r="BA6" s="635"/>
    </row>
    <row r="7" spans="1:53" ht="14.25">
      <c r="A7" s="81"/>
      <c r="B7" s="635" t="s">
        <v>134</v>
      </c>
      <c r="C7" s="409">
        <v>1</v>
      </c>
      <c r="D7" s="225" t="s">
        <v>344</v>
      </c>
      <c r="E7" s="416">
        <v>6</v>
      </c>
      <c r="F7" s="495">
        <v>1500</v>
      </c>
      <c r="G7" s="496">
        <v>250</v>
      </c>
      <c r="H7" s="685">
        <f>AVERAGE(G7:G36)</f>
        <v>98.712228513481406</v>
      </c>
      <c r="I7" s="413">
        <f>IFERROR(AVERAGE(P7,U7,Z7,AE7,AJ7,AO7,AT7),"-")</f>
        <v>6</v>
      </c>
      <c r="J7" s="413">
        <f>IFERROR(AVERAGE(Q7,V7,AA7,AF7,AK7,AP7,AU7),"-")</f>
        <v>1453.3133487713797</v>
      </c>
      <c r="K7" s="199">
        <f>IFERROR(AVERAGE(R7,W7,AB7,AG7,AL7,AQ7,AV7),"-")</f>
        <v>242.21889146189662</v>
      </c>
      <c r="L7" s="616">
        <f>IFERROR(AVERAGE(K7:K36),"-")</f>
        <v>89.243376399784552</v>
      </c>
      <c r="M7" s="415">
        <f>RANK(K7, K$7:$K$36)</f>
        <v>2</v>
      </c>
      <c r="N7" s="635"/>
      <c r="O7" s="635"/>
      <c r="P7" s="495">
        <v>6</v>
      </c>
      <c r="Q7" s="416">
        <v>1439.5897435897439</v>
      </c>
      <c r="R7" s="416">
        <v>239.93162393162399</v>
      </c>
      <c r="S7" s="495">
        <f>RANK(R7, R$7:R$36)</f>
        <v>2</v>
      </c>
      <c r="T7" s="657">
        <f>AVERAGE(R7:R36)</f>
        <v>89.772411691297734</v>
      </c>
      <c r="U7" s="495">
        <v>6</v>
      </c>
      <c r="V7" s="416">
        <v>1425.5409836065576</v>
      </c>
      <c r="W7" s="416">
        <v>237.59016393442627</v>
      </c>
      <c r="X7" s="495">
        <f>RANK(W7, W$7:W$36)</f>
        <v>2</v>
      </c>
      <c r="Y7" s="657">
        <f>AVERAGE(W7:W36)</f>
        <v>89.441790272911575</v>
      </c>
      <c r="Z7" s="495">
        <v>6</v>
      </c>
      <c r="AA7" s="416">
        <v>1478.7898089171974</v>
      </c>
      <c r="AB7" s="416">
        <v>246.46496815286625</v>
      </c>
      <c r="AC7" s="495">
        <f>RANK(AB7, AB$7:AB$36)</f>
        <v>1</v>
      </c>
      <c r="AD7" s="657">
        <f>AVERAGE(AB7:AB36)</f>
        <v>89.725823990114151</v>
      </c>
      <c r="AE7" s="495">
        <v>6</v>
      </c>
      <c r="AF7" s="416">
        <v>1458.4931506849312</v>
      </c>
      <c r="AG7" s="416">
        <v>243.08219178082186</v>
      </c>
      <c r="AH7" s="495">
        <f>RANK(AG7, AG$7:AG$36)</f>
        <v>2</v>
      </c>
      <c r="AI7" s="657">
        <f>AVERAGE(AG7:AG36)</f>
        <v>88.905380831508552</v>
      </c>
      <c r="AJ7" s="495">
        <v>6</v>
      </c>
      <c r="AK7" s="416">
        <v>1443.0000000000002</v>
      </c>
      <c r="AL7" s="416">
        <v>240.50000000000003</v>
      </c>
      <c r="AM7" s="495">
        <f>RANK(AL7, AL$7:AL$36)</f>
        <v>2</v>
      </c>
      <c r="AN7" s="657">
        <f>AVERAGE(AL7:AL36)</f>
        <v>89.113911550948714</v>
      </c>
      <c r="AO7" s="495">
        <v>6</v>
      </c>
      <c r="AP7" s="416">
        <v>1469.0797546012263</v>
      </c>
      <c r="AQ7" s="416">
        <v>244.84662576687106</v>
      </c>
      <c r="AR7" s="495">
        <f>RANK(AQ7, AQ$7:AQ$36)</f>
        <v>2</v>
      </c>
      <c r="AS7" s="657">
        <f>AVERAGE(AQ7:AQ36)</f>
        <v>88.789141253318334</v>
      </c>
      <c r="AT7" s="495">
        <v>6</v>
      </c>
      <c r="AU7" s="416">
        <v>1458.7000000000005</v>
      </c>
      <c r="AV7" s="416">
        <v>243.11666666666676</v>
      </c>
      <c r="AW7" s="495">
        <f>RANK(AV7, AV$7:AV$36)</f>
        <v>2</v>
      </c>
      <c r="AX7" s="657">
        <f>AVERAGE(AV7:AV36)</f>
        <v>88.908706647836965</v>
      </c>
      <c r="AZ7" s="398" t="e">
        <f>RANK(AY7, AY$7:AY$36)</f>
        <v>#N/A</v>
      </c>
      <c r="BA7" s="657" t="e">
        <f>AVERAGE(AY7:AY36)</f>
        <v>#DIV/0!</v>
      </c>
    </row>
    <row r="8" spans="1:53" ht="15" customHeight="1">
      <c r="A8" s="81"/>
      <c r="B8" s="643"/>
      <c r="C8" s="409">
        <v>2</v>
      </c>
      <c r="D8" s="225" t="s">
        <v>616</v>
      </c>
      <c r="E8" s="416">
        <v>6</v>
      </c>
      <c r="F8" s="495">
        <v>1500</v>
      </c>
      <c r="G8" s="496">
        <v>250</v>
      </c>
      <c r="H8" s="686"/>
      <c r="I8" s="413">
        <f t="shared" ref="I8:I36" si="0">IFERROR(AVERAGE(P8,U8,Z8,AE8,AJ8,AO8,AT8),"-")</f>
        <v>6</v>
      </c>
      <c r="J8" s="413">
        <f t="shared" ref="J8:J36" si="1">IFERROR(AVERAGE(Q8,V8,AA8,AF8,AK8,AP8,AU8),"-")</f>
        <v>1464.7524102761367</v>
      </c>
      <c r="K8" s="199">
        <f t="shared" ref="K8:K36" si="2">IFERROR(AVERAGE(R8,W8,AB8,AG8,AL8,AQ8,AV8),"-")</f>
        <v>244.12540171268947</v>
      </c>
      <c r="L8" s="617"/>
      <c r="M8" s="415">
        <f>RANK(K8, K$7:$K$36)</f>
        <v>1</v>
      </c>
      <c r="N8" s="635"/>
      <c r="O8" s="635"/>
      <c r="P8" s="495">
        <v>6</v>
      </c>
      <c r="Q8" s="416">
        <v>1474.1772151898726</v>
      </c>
      <c r="R8" s="416">
        <v>245.69620253164544</v>
      </c>
      <c r="S8" s="495">
        <f t="shared" ref="S8:S36" si="3">RANK(R8, R$7:R$36)</f>
        <v>1</v>
      </c>
      <c r="T8" s="657"/>
      <c r="U8" s="495">
        <v>6</v>
      </c>
      <c r="V8" s="416">
        <v>1456.2962962962958</v>
      </c>
      <c r="W8" s="416">
        <v>242.71604938271597</v>
      </c>
      <c r="X8" s="495">
        <f t="shared" ref="X8:X36" si="4">RANK(W8, W$7:W$36)</f>
        <v>1</v>
      </c>
      <c r="Y8" s="657"/>
      <c r="Z8" s="495">
        <v>6</v>
      </c>
      <c r="AA8" s="416">
        <v>1446.1538461538471</v>
      </c>
      <c r="AB8" s="416">
        <v>241.02564102564119</v>
      </c>
      <c r="AC8" s="495">
        <f t="shared" ref="AC8:AC36" si="5">RANK(AB8, AB$7:AB$36)</f>
        <v>2</v>
      </c>
      <c r="AD8" s="657"/>
      <c r="AE8" s="495">
        <v>6</v>
      </c>
      <c r="AF8" s="416">
        <v>1461.3559322033891</v>
      </c>
      <c r="AG8" s="416">
        <v>243.55932203389818</v>
      </c>
      <c r="AH8" s="495">
        <f t="shared" ref="AH8:AH36" si="6">RANK(AG8, AG$7:AG$36)</f>
        <v>1</v>
      </c>
      <c r="AI8" s="657"/>
      <c r="AJ8" s="495">
        <v>6</v>
      </c>
      <c r="AK8" s="416">
        <v>1463.2835820895523</v>
      </c>
      <c r="AL8" s="416">
        <v>243.88059701492537</v>
      </c>
      <c r="AM8" s="495">
        <f t="shared" ref="AM8:AM36" si="7">RANK(AL8, AL$7:AL$36)</f>
        <v>1</v>
      </c>
      <c r="AN8" s="657"/>
      <c r="AO8" s="495">
        <v>6</v>
      </c>
      <c r="AP8" s="416">
        <v>1480</v>
      </c>
      <c r="AQ8" s="416">
        <v>246.66666666666666</v>
      </c>
      <c r="AR8" s="495">
        <f t="shared" ref="AR8:AR36" si="8">RANK(AQ8, AQ$7:AQ$36)</f>
        <v>1</v>
      </c>
      <c r="AS8" s="657"/>
      <c r="AT8" s="495">
        <v>6</v>
      </c>
      <c r="AU8" s="416">
        <v>1472.0000000000005</v>
      </c>
      <c r="AV8" s="416">
        <v>245.3333333333334</v>
      </c>
      <c r="AW8" s="495">
        <f t="shared" ref="AW8:AW36" si="9">RANK(AV8, AV$7:AV$36)</f>
        <v>1</v>
      </c>
      <c r="AX8" s="657"/>
      <c r="AZ8" s="398" t="e">
        <f t="shared" ref="AZ8:AZ36" si="10">RANK(AY8, AY$7:AY$36)</f>
        <v>#N/A</v>
      </c>
      <c r="BA8" s="657"/>
    </row>
    <row r="9" spans="1:53" ht="14.25">
      <c r="A9" s="81"/>
      <c r="B9" s="643"/>
      <c r="C9" s="409">
        <v>3</v>
      </c>
      <c r="D9" s="225" t="s">
        <v>601</v>
      </c>
      <c r="E9" s="416">
        <v>18</v>
      </c>
      <c r="F9" s="495">
        <v>1500</v>
      </c>
      <c r="G9" s="496">
        <v>83.333333333333329</v>
      </c>
      <c r="H9" s="686"/>
      <c r="I9" s="413">
        <f t="shared" si="0"/>
        <v>18</v>
      </c>
      <c r="J9" s="413">
        <f t="shared" si="1"/>
        <v>1251.6802542270525</v>
      </c>
      <c r="K9" s="199">
        <f t="shared" si="2"/>
        <v>69.537791901502914</v>
      </c>
      <c r="L9" s="617"/>
      <c r="M9" s="415">
        <f>RANK(K9, K$7:$K$36)</f>
        <v>18</v>
      </c>
      <c r="N9" s="635"/>
      <c r="O9" s="635"/>
      <c r="P9" s="495">
        <v>18</v>
      </c>
      <c r="Q9" s="416">
        <v>1259.5714285714298</v>
      </c>
      <c r="R9" s="416">
        <v>69.976190476190538</v>
      </c>
      <c r="S9" s="495">
        <f t="shared" si="3"/>
        <v>17</v>
      </c>
      <c r="T9" s="657"/>
      <c r="U9" s="495">
        <v>18</v>
      </c>
      <c r="V9" s="416">
        <v>1266.2222222222231</v>
      </c>
      <c r="W9" s="416">
        <v>70.345679012345727</v>
      </c>
      <c r="X9" s="495">
        <f t="shared" si="4"/>
        <v>16</v>
      </c>
      <c r="Y9" s="657"/>
      <c r="Z9" s="495">
        <v>18</v>
      </c>
      <c r="AA9" s="416">
        <v>1224.461538461539</v>
      </c>
      <c r="AB9" s="416">
        <v>68.02564102564105</v>
      </c>
      <c r="AC9" s="495">
        <f t="shared" si="5"/>
        <v>18</v>
      </c>
      <c r="AD9" s="657"/>
      <c r="AE9" s="495">
        <v>18</v>
      </c>
      <c r="AF9" s="416">
        <v>1257.0000000000005</v>
      </c>
      <c r="AG9" s="416">
        <v>69.833333333333357</v>
      </c>
      <c r="AH9" s="495">
        <f t="shared" si="6"/>
        <v>16</v>
      </c>
      <c r="AI9" s="657"/>
      <c r="AJ9" s="495">
        <v>18</v>
      </c>
      <c r="AK9" s="416">
        <v>1241.896551724139</v>
      </c>
      <c r="AL9" s="416">
        <v>68.994252873563283</v>
      </c>
      <c r="AM9" s="495">
        <f t="shared" si="7"/>
        <v>17</v>
      </c>
      <c r="AN9" s="657"/>
      <c r="AO9" s="495">
        <v>18</v>
      </c>
      <c r="AP9" s="416">
        <v>1258.2857142857131</v>
      </c>
      <c r="AQ9" s="416">
        <v>69.904761904761841</v>
      </c>
      <c r="AR9" s="495">
        <f t="shared" si="8"/>
        <v>17</v>
      </c>
      <c r="AS9" s="657"/>
      <c r="AT9" s="495">
        <v>18</v>
      </c>
      <c r="AU9" s="416">
        <v>1254.3243243243232</v>
      </c>
      <c r="AV9" s="416">
        <v>69.684684684684626</v>
      </c>
      <c r="AW9" s="495">
        <f t="shared" si="9"/>
        <v>17</v>
      </c>
      <c r="AX9" s="657"/>
      <c r="AZ9" s="398" t="e">
        <f t="shared" si="10"/>
        <v>#N/A</v>
      </c>
      <c r="BA9" s="657"/>
    </row>
    <row r="10" spans="1:53" ht="14.25">
      <c r="A10" s="81"/>
      <c r="B10" s="643"/>
      <c r="C10" s="409">
        <v>4</v>
      </c>
      <c r="D10" s="225" t="s">
        <v>566</v>
      </c>
      <c r="E10" s="416">
        <v>18</v>
      </c>
      <c r="F10" s="495">
        <v>1500</v>
      </c>
      <c r="G10" s="496">
        <v>83.333333333333329</v>
      </c>
      <c r="H10" s="686"/>
      <c r="I10" s="413">
        <f t="shared" si="0"/>
        <v>18</v>
      </c>
      <c r="J10" s="413">
        <f t="shared" si="1"/>
        <v>1304.8968181037874</v>
      </c>
      <c r="K10" s="199">
        <f t="shared" si="2"/>
        <v>72.494267672432628</v>
      </c>
      <c r="L10" s="617"/>
      <c r="M10" s="415">
        <f>RANK(K10, K$7:$K$36)</f>
        <v>16</v>
      </c>
      <c r="N10" s="635"/>
      <c r="O10" s="635"/>
      <c r="P10" s="495">
        <v>18</v>
      </c>
      <c r="Q10" s="416">
        <v>1307.4418604651162</v>
      </c>
      <c r="R10" s="416">
        <v>72.63565891472868</v>
      </c>
      <c r="S10" s="495">
        <f t="shared" si="3"/>
        <v>16</v>
      </c>
      <c r="T10" s="657"/>
      <c r="U10" s="495">
        <v>18</v>
      </c>
      <c r="V10" s="416">
        <v>1333.4999999999995</v>
      </c>
      <c r="W10" s="416">
        <v>74.083333333333314</v>
      </c>
      <c r="X10" s="495">
        <f t="shared" si="4"/>
        <v>15</v>
      </c>
      <c r="Y10" s="657"/>
      <c r="Z10" s="495">
        <v>18</v>
      </c>
      <c r="AA10" s="416">
        <v>1309.4999999999995</v>
      </c>
      <c r="AB10" s="416">
        <v>72.749999999999972</v>
      </c>
      <c r="AC10" s="495">
        <f t="shared" si="5"/>
        <v>15</v>
      </c>
      <c r="AD10" s="657"/>
      <c r="AE10" s="495">
        <v>18</v>
      </c>
      <c r="AF10" s="416">
        <v>1301.1428571428557</v>
      </c>
      <c r="AG10" s="416">
        <v>72.285714285714207</v>
      </c>
      <c r="AH10" s="495">
        <f t="shared" si="6"/>
        <v>15</v>
      </c>
      <c r="AI10" s="657"/>
      <c r="AJ10" s="495">
        <v>18</v>
      </c>
      <c r="AK10" s="416">
        <v>1295.7142857142853</v>
      </c>
      <c r="AL10" s="416">
        <v>71.984126984126959</v>
      </c>
      <c r="AM10" s="495">
        <f t="shared" si="7"/>
        <v>15</v>
      </c>
      <c r="AN10" s="657"/>
      <c r="AO10" s="495">
        <v>18</v>
      </c>
      <c r="AP10" s="416">
        <v>1304</v>
      </c>
      <c r="AQ10" s="416">
        <v>72.444444444444443</v>
      </c>
      <c r="AR10" s="495">
        <f t="shared" si="8"/>
        <v>15</v>
      </c>
      <c r="AS10" s="657"/>
      <c r="AT10" s="495">
        <v>18</v>
      </c>
      <c r="AU10" s="416">
        <v>1282.9787234042553</v>
      </c>
      <c r="AV10" s="416">
        <v>71.276595744680847</v>
      </c>
      <c r="AW10" s="495">
        <f t="shared" si="9"/>
        <v>16</v>
      </c>
      <c r="AX10" s="657"/>
      <c r="AZ10" s="398" t="e">
        <f t="shared" si="10"/>
        <v>#N/A</v>
      </c>
      <c r="BA10" s="657"/>
    </row>
    <row r="11" spans="1:53" ht="14.25">
      <c r="A11" s="81"/>
      <c r="B11" s="643"/>
      <c r="C11" s="409">
        <v>5</v>
      </c>
      <c r="D11" s="225" t="s">
        <v>346</v>
      </c>
      <c r="E11" s="416">
        <v>16</v>
      </c>
      <c r="F11" s="495">
        <v>1565</v>
      </c>
      <c r="G11" s="496">
        <v>97.8125</v>
      </c>
      <c r="H11" s="686"/>
      <c r="I11" s="413">
        <f t="shared" si="0"/>
        <v>16</v>
      </c>
      <c r="J11" s="413">
        <f t="shared" si="1"/>
        <v>1358.4068030434262</v>
      </c>
      <c r="K11" s="199">
        <f t="shared" si="2"/>
        <v>84.900425190214136</v>
      </c>
      <c r="L11" s="617"/>
      <c r="M11" s="415">
        <f>RANK(K11, K$7:$K$36)</f>
        <v>6</v>
      </c>
      <c r="N11" s="635"/>
      <c r="O11" s="635"/>
      <c r="P11" s="495">
        <v>16</v>
      </c>
      <c r="Q11" s="416">
        <v>1359.4736842105253</v>
      </c>
      <c r="R11" s="416">
        <v>84.967105263157833</v>
      </c>
      <c r="S11" s="495">
        <f t="shared" si="3"/>
        <v>7</v>
      </c>
      <c r="T11" s="657"/>
      <c r="U11" s="495">
        <v>16</v>
      </c>
      <c r="V11" s="416">
        <v>1355.8333333333321</v>
      </c>
      <c r="W11" s="416">
        <v>84.739583333333258</v>
      </c>
      <c r="X11" s="495">
        <f t="shared" si="4"/>
        <v>6</v>
      </c>
      <c r="Y11" s="657"/>
      <c r="Z11" s="495">
        <v>16</v>
      </c>
      <c r="AA11" s="416">
        <v>1367.4193548387109</v>
      </c>
      <c r="AB11" s="416">
        <v>85.46370967741943</v>
      </c>
      <c r="AC11" s="495">
        <f t="shared" si="5"/>
        <v>4</v>
      </c>
      <c r="AD11" s="657"/>
      <c r="AE11" s="495">
        <v>16</v>
      </c>
      <c r="AF11" s="416">
        <v>1384.1379310344837</v>
      </c>
      <c r="AG11" s="416">
        <v>86.508620689655231</v>
      </c>
      <c r="AH11" s="495">
        <f t="shared" si="6"/>
        <v>4</v>
      </c>
      <c r="AI11" s="657"/>
      <c r="AJ11" s="495">
        <v>16</v>
      </c>
      <c r="AK11" s="416">
        <v>1389.2307692307706</v>
      </c>
      <c r="AL11" s="416">
        <v>86.826923076923165</v>
      </c>
      <c r="AM11" s="495">
        <f t="shared" si="7"/>
        <v>4</v>
      </c>
      <c r="AN11" s="657"/>
      <c r="AO11" s="495">
        <v>16</v>
      </c>
      <c r="AP11" s="416">
        <v>1327.6923076923069</v>
      </c>
      <c r="AQ11" s="416">
        <v>82.980769230769184</v>
      </c>
      <c r="AR11" s="495">
        <f t="shared" si="8"/>
        <v>5</v>
      </c>
      <c r="AS11" s="657"/>
      <c r="AT11" s="495">
        <v>16</v>
      </c>
      <c r="AU11" s="416">
        <v>1325.060240963855</v>
      </c>
      <c r="AV11" s="416">
        <v>82.816265060240937</v>
      </c>
      <c r="AW11" s="495">
        <f t="shared" si="9"/>
        <v>5</v>
      </c>
      <c r="AX11" s="657"/>
      <c r="AZ11" s="398" t="e">
        <f t="shared" si="10"/>
        <v>#N/A</v>
      </c>
      <c r="BA11" s="657"/>
    </row>
    <row r="12" spans="1:53" ht="14.25">
      <c r="A12" s="81"/>
      <c r="B12" s="643"/>
      <c r="C12" s="409">
        <v>6</v>
      </c>
      <c r="D12" s="225" t="s">
        <v>567</v>
      </c>
      <c r="E12" s="416">
        <v>21</v>
      </c>
      <c r="F12" s="495">
        <v>1500</v>
      </c>
      <c r="G12" s="496">
        <v>71.428571428571431</v>
      </c>
      <c r="H12" s="686"/>
      <c r="I12" s="413">
        <f t="shared" si="0"/>
        <v>21</v>
      </c>
      <c r="J12" s="413">
        <f t="shared" si="1"/>
        <v>1256.1541112103459</v>
      </c>
      <c r="K12" s="199">
        <f t="shared" si="2"/>
        <v>59.816862438587904</v>
      </c>
      <c r="L12" s="617"/>
      <c r="M12" s="415">
        <f>RANK(K12, K$7:$K$36)</f>
        <v>23</v>
      </c>
      <c r="N12" s="635"/>
      <c r="O12" s="635"/>
      <c r="P12" s="495">
        <v>21</v>
      </c>
      <c r="Q12" s="416">
        <v>1237.674418604651</v>
      </c>
      <c r="R12" s="416">
        <v>58.936877076411953</v>
      </c>
      <c r="S12" s="495">
        <f t="shared" si="3"/>
        <v>23</v>
      </c>
      <c r="T12" s="657"/>
      <c r="U12" s="495">
        <v>21</v>
      </c>
      <c r="V12" s="416">
        <v>1255.6097560975604</v>
      </c>
      <c r="W12" s="416">
        <v>59.790940766550499</v>
      </c>
      <c r="X12" s="495">
        <f t="shared" si="4"/>
        <v>22</v>
      </c>
      <c r="Y12" s="657"/>
      <c r="Z12" s="495">
        <v>21</v>
      </c>
      <c r="AA12" s="416">
        <v>1275.3846153846148</v>
      </c>
      <c r="AB12" s="416">
        <v>60.732600732600702</v>
      </c>
      <c r="AC12" s="495">
        <f t="shared" si="5"/>
        <v>22</v>
      </c>
      <c r="AD12" s="657"/>
      <c r="AE12" s="495">
        <v>21</v>
      </c>
      <c r="AF12" s="416">
        <v>1244.9999999999989</v>
      </c>
      <c r="AG12" s="416">
        <v>59.285714285714235</v>
      </c>
      <c r="AH12" s="495">
        <f t="shared" si="6"/>
        <v>22</v>
      </c>
      <c r="AI12" s="657"/>
      <c r="AJ12" s="495">
        <v>21</v>
      </c>
      <c r="AK12" s="416">
        <v>1251.2195121951215</v>
      </c>
      <c r="AL12" s="416">
        <v>59.581881533101026</v>
      </c>
      <c r="AM12" s="495">
        <f t="shared" si="7"/>
        <v>22</v>
      </c>
      <c r="AN12" s="657"/>
      <c r="AO12" s="495">
        <v>21</v>
      </c>
      <c r="AP12" s="416">
        <v>1262.8571428571424</v>
      </c>
      <c r="AQ12" s="416">
        <v>60.136054421768691</v>
      </c>
      <c r="AR12" s="495">
        <f t="shared" si="8"/>
        <v>21</v>
      </c>
      <c r="AS12" s="657"/>
      <c r="AT12" s="495">
        <v>21</v>
      </c>
      <c r="AU12" s="416">
        <v>1265.3333333333333</v>
      </c>
      <c r="AV12" s="416">
        <v>60.253968253968253</v>
      </c>
      <c r="AW12" s="495">
        <f t="shared" si="9"/>
        <v>22</v>
      </c>
      <c r="AX12" s="657"/>
      <c r="AZ12" s="398" t="e">
        <f t="shared" si="10"/>
        <v>#N/A</v>
      </c>
      <c r="BA12" s="657"/>
    </row>
    <row r="13" spans="1:53" ht="14.25">
      <c r="A13" s="81"/>
      <c r="B13" s="643"/>
      <c r="C13" s="409">
        <v>7</v>
      </c>
      <c r="D13" s="225" t="s">
        <v>635</v>
      </c>
      <c r="E13" s="416">
        <v>20</v>
      </c>
      <c r="F13" s="495">
        <v>1300</v>
      </c>
      <c r="G13" s="496">
        <v>65</v>
      </c>
      <c r="H13" s="686"/>
      <c r="I13" s="413">
        <f t="shared" si="0"/>
        <v>20</v>
      </c>
      <c r="J13" s="413">
        <f t="shared" si="1"/>
        <v>1077.160419186934</v>
      </c>
      <c r="K13" s="199">
        <f t="shared" si="2"/>
        <v>53.858020959346696</v>
      </c>
      <c r="L13" s="617"/>
      <c r="M13" s="415">
        <f>RANK(K13, K$7:$K$36)</f>
        <v>24</v>
      </c>
      <c r="N13" s="635"/>
      <c r="O13" s="635"/>
      <c r="P13" s="495">
        <v>20</v>
      </c>
      <c r="Q13" s="416">
        <v>1091.6417910447776</v>
      </c>
      <c r="R13" s="416">
        <v>54.582089552238884</v>
      </c>
      <c r="S13" s="495">
        <f t="shared" si="3"/>
        <v>24</v>
      </c>
      <c r="T13" s="657"/>
      <c r="U13" s="495">
        <v>20</v>
      </c>
      <c r="V13" s="416">
        <v>1065.882352941175</v>
      </c>
      <c r="W13" s="416">
        <v>53.294117647058748</v>
      </c>
      <c r="X13" s="495">
        <f t="shared" si="4"/>
        <v>23</v>
      </c>
      <c r="Y13" s="657"/>
      <c r="Z13" s="495">
        <v>20</v>
      </c>
      <c r="AA13" s="416">
        <v>1075.1612903225816</v>
      </c>
      <c r="AB13" s="416">
        <v>53.758064516129082</v>
      </c>
      <c r="AC13" s="495">
        <f t="shared" si="5"/>
        <v>23</v>
      </c>
      <c r="AD13" s="657"/>
      <c r="AE13" s="495">
        <v>20</v>
      </c>
      <c r="AF13" s="416">
        <v>1092.0000000000005</v>
      </c>
      <c r="AG13" s="416">
        <v>54.600000000000023</v>
      </c>
      <c r="AH13" s="495">
        <f t="shared" si="6"/>
        <v>23</v>
      </c>
      <c r="AI13" s="657"/>
      <c r="AJ13" s="495">
        <v>20</v>
      </c>
      <c r="AK13" s="416">
        <v>1062.0000000000009</v>
      </c>
      <c r="AL13" s="416">
        <v>53.100000000000044</v>
      </c>
      <c r="AM13" s="495">
        <f t="shared" si="7"/>
        <v>23</v>
      </c>
      <c r="AN13" s="657"/>
      <c r="AO13" s="495">
        <v>20</v>
      </c>
      <c r="AP13" s="416">
        <v>1071.5625000000014</v>
      </c>
      <c r="AQ13" s="416">
        <v>53.578125000000071</v>
      </c>
      <c r="AR13" s="495">
        <f t="shared" si="8"/>
        <v>23</v>
      </c>
      <c r="AS13" s="657"/>
      <c r="AT13" s="495">
        <v>20</v>
      </c>
      <c r="AU13" s="416">
        <v>1081.8750000000014</v>
      </c>
      <c r="AV13" s="416">
        <v>54.093750000000071</v>
      </c>
      <c r="AW13" s="495">
        <f t="shared" si="9"/>
        <v>23</v>
      </c>
      <c r="AX13" s="657"/>
      <c r="AZ13" s="398" t="e">
        <f t="shared" si="10"/>
        <v>#N/A</v>
      </c>
      <c r="BA13" s="657"/>
    </row>
    <row r="14" spans="1:53" ht="14.25">
      <c r="A14" s="81"/>
      <c r="B14" s="643"/>
      <c r="C14" s="409">
        <v>8</v>
      </c>
      <c r="D14" s="225" t="s">
        <v>698</v>
      </c>
      <c r="E14" s="416">
        <v>16</v>
      </c>
      <c r="F14" s="495">
        <v>1500</v>
      </c>
      <c r="G14" s="496">
        <v>93.75</v>
      </c>
      <c r="H14" s="686"/>
      <c r="I14" s="413">
        <f t="shared" si="0"/>
        <v>16</v>
      </c>
      <c r="J14" s="413">
        <f t="shared" si="1"/>
        <v>1297.2898666181761</v>
      </c>
      <c r="K14" s="199">
        <f t="shared" si="2"/>
        <v>81.080616663636008</v>
      </c>
      <c r="L14" s="617"/>
      <c r="M14" s="415">
        <f>RANK(K14, K$7:$K$36)</f>
        <v>10</v>
      </c>
      <c r="N14" s="635"/>
      <c r="O14" s="635"/>
      <c r="P14" s="495">
        <v>16</v>
      </c>
      <c r="Q14" s="416">
        <v>1318.0952380952394</v>
      </c>
      <c r="R14" s="416">
        <v>82.380952380952465</v>
      </c>
      <c r="S14" s="495">
        <f t="shared" si="3"/>
        <v>10</v>
      </c>
      <c r="T14" s="657"/>
      <c r="U14" s="495">
        <v>16</v>
      </c>
      <c r="V14" s="416">
        <v>1339.4366197183085</v>
      </c>
      <c r="W14" s="416">
        <v>83.714788732394283</v>
      </c>
      <c r="X14" s="495">
        <f t="shared" si="4"/>
        <v>7</v>
      </c>
      <c r="Y14" s="657"/>
      <c r="Z14" s="495">
        <v>16</v>
      </c>
      <c r="AA14" s="416">
        <v>1277.4999999999991</v>
      </c>
      <c r="AB14" s="416">
        <v>79.843749999999943</v>
      </c>
      <c r="AC14" s="495">
        <f t="shared" si="5"/>
        <v>11</v>
      </c>
      <c r="AD14" s="657"/>
      <c r="AE14" s="495">
        <v>16</v>
      </c>
      <c r="AF14" s="416">
        <v>1289.5652173913031</v>
      </c>
      <c r="AG14" s="416">
        <v>80.597826086956445</v>
      </c>
      <c r="AH14" s="495">
        <f t="shared" si="6"/>
        <v>9</v>
      </c>
      <c r="AI14" s="657"/>
      <c r="AJ14" s="495">
        <v>16</v>
      </c>
      <c r="AK14" s="416">
        <v>1293.1578947368412</v>
      </c>
      <c r="AL14" s="416">
        <v>80.822368421052573</v>
      </c>
      <c r="AM14" s="495">
        <f t="shared" si="7"/>
        <v>7</v>
      </c>
      <c r="AN14" s="657"/>
      <c r="AO14" s="495">
        <v>16</v>
      </c>
      <c r="AP14" s="416">
        <v>1286.0240963855417</v>
      </c>
      <c r="AQ14" s="416">
        <v>80.376506024096358</v>
      </c>
      <c r="AR14" s="495">
        <f t="shared" si="8"/>
        <v>10</v>
      </c>
      <c r="AS14" s="657"/>
      <c r="AT14" s="495">
        <v>16</v>
      </c>
      <c r="AU14" s="416">
        <v>1277.2499999999995</v>
      </c>
      <c r="AV14" s="416">
        <v>79.828124999999972</v>
      </c>
      <c r="AW14" s="495">
        <f t="shared" si="9"/>
        <v>11</v>
      </c>
      <c r="AX14" s="657"/>
      <c r="AZ14" s="398" t="e">
        <f t="shared" si="10"/>
        <v>#N/A</v>
      </c>
      <c r="BA14" s="657"/>
    </row>
    <row r="15" spans="1:53" ht="14.25">
      <c r="A15" s="81"/>
      <c r="B15" s="643"/>
      <c r="C15" s="409">
        <v>9</v>
      </c>
      <c r="D15" s="225" t="s">
        <v>592</v>
      </c>
      <c r="E15" s="416">
        <v>16</v>
      </c>
      <c r="F15" s="495">
        <v>1440</v>
      </c>
      <c r="G15" s="496">
        <v>90</v>
      </c>
      <c r="H15" s="686"/>
      <c r="I15" s="413">
        <f t="shared" si="0"/>
        <v>16</v>
      </c>
      <c r="J15" s="413">
        <f t="shared" si="1"/>
        <v>1316.1766627069851</v>
      </c>
      <c r="K15" s="199">
        <f t="shared" si="2"/>
        <v>82.261041419186569</v>
      </c>
      <c r="L15" s="617"/>
      <c r="M15" s="415">
        <f>RANK(K15, K$7:$K$36)</f>
        <v>8</v>
      </c>
      <c r="N15" s="635"/>
      <c r="O15" s="635"/>
      <c r="P15" s="495">
        <v>16</v>
      </c>
      <c r="Q15" s="416">
        <v>1342.9787234042553</v>
      </c>
      <c r="R15" s="416">
        <v>83.936170212765958</v>
      </c>
      <c r="S15" s="495">
        <f t="shared" si="3"/>
        <v>8</v>
      </c>
      <c r="T15" s="657"/>
      <c r="U15" s="495">
        <v>16</v>
      </c>
      <c r="V15" s="416">
        <v>1333.6363636363635</v>
      </c>
      <c r="W15" s="416">
        <v>83.35227272727272</v>
      </c>
      <c r="X15" s="495">
        <f t="shared" si="4"/>
        <v>8</v>
      </c>
      <c r="Y15" s="657"/>
      <c r="Z15" s="495">
        <v>16</v>
      </c>
      <c r="AA15" s="416">
        <v>1328.1081081081072</v>
      </c>
      <c r="AB15" s="416">
        <v>83.006756756756701</v>
      </c>
      <c r="AC15" s="495">
        <f t="shared" si="5"/>
        <v>7</v>
      </c>
      <c r="AD15" s="657"/>
      <c r="AE15" s="495">
        <v>16</v>
      </c>
      <c r="AF15" s="416">
        <v>1311.627906976744</v>
      </c>
      <c r="AG15" s="416">
        <v>81.976744186046503</v>
      </c>
      <c r="AH15" s="495">
        <f t="shared" si="6"/>
        <v>7</v>
      </c>
      <c r="AI15" s="657"/>
      <c r="AJ15" s="495">
        <v>16</v>
      </c>
      <c r="AK15" s="416">
        <v>1289.9999999999995</v>
      </c>
      <c r="AL15" s="416">
        <v>80.624999999999972</v>
      </c>
      <c r="AM15" s="495">
        <f t="shared" si="7"/>
        <v>9</v>
      </c>
      <c r="AN15" s="657"/>
      <c r="AO15" s="495">
        <v>16</v>
      </c>
      <c r="AP15" s="416">
        <v>1307.7551020408168</v>
      </c>
      <c r="AQ15" s="416">
        <v>81.734693877551052</v>
      </c>
      <c r="AR15" s="495">
        <f t="shared" si="8"/>
        <v>7</v>
      </c>
      <c r="AS15" s="657"/>
      <c r="AT15" s="495">
        <v>16</v>
      </c>
      <c r="AU15" s="416">
        <v>1299.1304347826085</v>
      </c>
      <c r="AV15" s="416">
        <v>81.195652173913032</v>
      </c>
      <c r="AW15" s="495">
        <f t="shared" si="9"/>
        <v>6</v>
      </c>
      <c r="AX15" s="657"/>
      <c r="AZ15" s="398" t="e">
        <f t="shared" si="10"/>
        <v>#N/A</v>
      </c>
      <c r="BA15" s="657"/>
    </row>
    <row r="16" spans="1:53" ht="14.25">
      <c r="A16" s="81"/>
      <c r="B16" s="643"/>
      <c r="C16" s="409">
        <v>10</v>
      </c>
      <c r="D16" s="225" t="s">
        <v>593</v>
      </c>
      <c r="E16" s="416">
        <v>18</v>
      </c>
      <c r="F16" s="495">
        <v>1636</v>
      </c>
      <c r="G16" s="496">
        <v>90.888888888888886</v>
      </c>
      <c r="H16" s="686"/>
      <c r="I16" s="413">
        <f t="shared" si="0"/>
        <v>18</v>
      </c>
      <c r="J16" s="413">
        <f t="shared" si="1"/>
        <v>1426.6130671572478</v>
      </c>
      <c r="K16" s="199">
        <f t="shared" si="2"/>
        <v>79.256281508735967</v>
      </c>
      <c r="L16" s="617"/>
      <c r="M16" s="415">
        <f>RANK(K16, K$7:$K$36)</f>
        <v>11</v>
      </c>
      <c r="N16" s="635"/>
      <c r="O16" s="635"/>
      <c r="P16" s="495">
        <v>18</v>
      </c>
      <c r="Q16" s="416">
        <v>1393.5483870967755</v>
      </c>
      <c r="R16" s="416">
        <v>77.419354838709751</v>
      </c>
      <c r="S16" s="495">
        <f t="shared" si="3"/>
        <v>12</v>
      </c>
      <c r="T16" s="657"/>
      <c r="U16" s="495">
        <v>18</v>
      </c>
      <c r="V16" s="416">
        <v>1416.0000000000009</v>
      </c>
      <c r="W16" s="416">
        <v>78.666666666666714</v>
      </c>
      <c r="X16" s="495">
        <f t="shared" si="4"/>
        <v>13</v>
      </c>
      <c r="Y16" s="657"/>
      <c r="Z16" s="495">
        <v>18</v>
      </c>
      <c r="AA16" s="416">
        <v>1425.6521739130435</v>
      </c>
      <c r="AB16" s="416">
        <v>79.20289855072464</v>
      </c>
      <c r="AC16" s="495">
        <f t="shared" si="5"/>
        <v>12</v>
      </c>
      <c r="AD16" s="657"/>
      <c r="AE16" s="495">
        <v>18</v>
      </c>
      <c r="AF16" s="416">
        <v>1380.0000000000005</v>
      </c>
      <c r="AG16" s="416">
        <v>76.666666666666686</v>
      </c>
      <c r="AH16" s="495">
        <f t="shared" si="6"/>
        <v>13</v>
      </c>
      <c r="AI16" s="657"/>
      <c r="AJ16" s="495">
        <v>18</v>
      </c>
      <c r="AK16" s="416">
        <v>1453.0909090909099</v>
      </c>
      <c r="AL16" s="416">
        <v>80.727272727272776</v>
      </c>
      <c r="AM16" s="495">
        <f t="shared" si="7"/>
        <v>8</v>
      </c>
      <c r="AN16" s="657"/>
      <c r="AO16" s="495">
        <v>18</v>
      </c>
      <c r="AP16" s="416">
        <v>1470.0000000000014</v>
      </c>
      <c r="AQ16" s="416">
        <v>81.666666666666742</v>
      </c>
      <c r="AR16" s="495">
        <f t="shared" si="8"/>
        <v>8</v>
      </c>
      <c r="AS16" s="657"/>
      <c r="AT16" s="495">
        <v>18</v>
      </c>
      <c r="AU16" s="416">
        <v>1448.0000000000014</v>
      </c>
      <c r="AV16" s="416">
        <v>80.444444444444514</v>
      </c>
      <c r="AW16" s="495">
        <f t="shared" si="9"/>
        <v>10</v>
      </c>
      <c r="AX16" s="657"/>
      <c r="AZ16" s="398" t="e">
        <f t="shared" si="10"/>
        <v>#N/A</v>
      </c>
      <c r="BA16" s="657"/>
    </row>
    <row r="17" spans="2:53">
      <c r="B17" s="643"/>
      <c r="C17" s="409">
        <v>11</v>
      </c>
      <c r="D17" s="225" t="s">
        <v>594</v>
      </c>
      <c r="E17" s="416">
        <v>18</v>
      </c>
      <c r="F17" s="495">
        <v>1636</v>
      </c>
      <c r="G17" s="496">
        <v>90.888888888888886</v>
      </c>
      <c r="H17" s="686"/>
      <c r="I17" s="413">
        <f t="shared" si="0"/>
        <v>18</v>
      </c>
      <c r="J17" s="413">
        <f t="shared" si="1"/>
        <v>1420.950276227559</v>
      </c>
      <c r="K17" s="199">
        <f t="shared" si="2"/>
        <v>78.941682012642175</v>
      </c>
      <c r="L17" s="617"/>
      <c r="M17" s="415">
        <f>RANK(K17, K$7:$K$36)</f>
        <v>13</v>
      </c>
      <c r="N17" s="635"/>
      <c r="O17" s="635"/>
      <c r="P17" s="495">
        <v>18</v>
      </c>
      <c r="Q17" s="416">
        <v>1372.8000000000004</v>
      </c>
      <c r="R17" s="416">
        <v>76.266666666666694</v>
      </c>
      <c r="S17" s="495">
        <f t="shared" si="3"/>
        <v>15</v>
      </c>
      <c r="T17" s="657"/>
      <c r="U17" s="495">
        <v>18</v>
      </c>
      <c r="V17" s="416">
        <v>1423.0434782608695</v>
      </c>
      <c r="W17" s="416">
        <v>79.05797101449275</v>
      </c>
      <c r="X17" s="495">
        <f t="shared" si="4"/>
        <v>12</v>
      </c>
      <c r="Y17" s="657"/>
      <c r="Z17" s="495">
        <v>18</v>
      </c>
      <c r="AA17" s="416">
        <v>1444.6153846153838</v>
      </c>
      <c r="AB17" s="416">
        <v>80.25641025641022</v>
      </c>
      <c r="AC17" s="495">
        <f t="shared" si="5"/>
        <v>10</v>
      </c>
      <c r="AD17" s="657"/>
      <c r="AE17" s="495">
        <v>18</v>
      </c>
      <c r="AF17" s="416">
        <v>1393.9534883720928</v>
      </c>
      <c r="AG17" s="416">
        <v>77.441860465116264</v>
      </c>
      <c r="AH17" s="495">
        <f t="shared" si="6"/>
        <v>12</v>
      </c>
      <c r="AI17" s="657"/>
      <c r="AJ17" s="495">
        <v>18</v>
      </c>
      <c r="AK17" s="416">
        <v>1433.0232558139533</v>
      </c>
      <c r="AL17" s="416">
        <v>79.612403100775182</v>
      </c>
      <c r="AM17" s="495">
        <f t="shared" si="7"/>
        <v>11</v>
      </c>
      <c r="AN17" s="657"/>
      <c r="AO17" s="495">
        <v>18</v>
      </c>
      <c r="AP17" s="416">
        <v>1418.4000000000005</v>
      </c>
      <c r="AQ17" s="416">
        <v>78.800000000000026</v>
      </c>
      <c r="AR17" s="495">
        <f t="shared" si="8"/>
        <v>11</v>
      </c>
      <c r="AS17" s="657"/>
      <c r="AT17" s="495">
        <v>18</v>
      </c>
      <c r="AU17" s="416">
        <v>1460.8163265306125</v>
      </c>
      <c r="AV17" s="416">
        <v>81.156462585034035</v>
      </c>
      <c r="AW17" s="495">
        <f t="shared" si="9"/>
        <v>7</v>
      </c>
      <c r="AX17" s="657"/>
      <c r="AZ17" s="398" t="e">
        <f t="shared" si="10"/>
        <v>#N/A</v>
      </c>
      <c r="BA17" s="657"/>
    </row>
    <row r="18" spans="2:53">
      <c r="B18" s="643"/>
      <c r="C18" s="409">
        <v>12</v>
      </c>
      <c r="D18" s="225" t="s">
        <v>334</v>
      </c>
      <c r="E18" s="416">
        <v>17</v>
      </c>
      <c r="F18" s="495">
        <v>1500</v>
      </c>
      <c r="G18" s="496">
        <v>88.235294117647058</v>
      </c>
      <c r="H18" s="686"/>
      <c r="I18" s="413">
        <f t="shared" si="0"/>
        <v>17</v>
      </c>
      <c r="J18" s="413">
        <f t="shared" si="1"/>
        <v>1346.7186005308924</v>
      </c>
      <c r="K18" s="199">
        <f t="shared" si="2"/>
        <v>79.218741207699551</v>
      </c>
      <c r="L18" s="617"/>
      <c r="M18" s="415">
        <f>RANK(K18, K$7:$K$36)</f>
        <v>12</v>
      </c>
      <c r="N18" s="635"/>
      <c r="O18" s="635"/>
      <c r="P18" s="495">
        <v>17</v>
      </c>
      <c r="Q18" s="416">
        <v>1336</v>
      </c>
      <c r="R18" s="416">
        <v>78.588235294117652</v>
      </c>
      <c r="S18" s="495">
        <f t="shared" si="3"/>
        <v>11</v>
      </c>
      <c r="T18" s="657"/>
      <c r="U18" s="495">
        <v>17</v>
      </c>
      <c r="V18" s="416">
        <v>1375.4999999999995</v>
      </c>
      <c r="W18" s="416">
        <v>80.91176470588232</v>
      </c>
      <c r="X18" s="495">
        <f t="shared" si="4"/>
        <v>10</v>
      </c>
      <c r="Y18" s="657"/>
      <c r="Z18" s="495">
        <v>17</v>
      </c>
      <c r="AA18" s="416">
        <v>1390.9090909090892</v>
      </c>
      <c r="AB18" s="416">
        <v>81.818181818181714</v>
      </c>
      <c r="AC18" s="495">
        <f t="shared" si="5"/>
        <v>8</v>
      </c>
      <c r="AD18" s="657"/>
      <c r="AE18" s="495">
        <v>17</v>
      </c>
      <c r="AF18" s="416">
        <v>1344.3243243243232</v>
      </c>
      <c r="AG18" s="416">
        <v>79.077901430842545</v>
      </c>
      <c r="AH18" s="495">
        <f t="shared" si="6"/>
        <v>10</v>
      </c>
      <c r="AI18" s="657"/>
      <c r="AJ18" s="495">
        <v>17</v>
      </c>
      <c r="AK18" s="416">
        <v>1339.5348837209301</v>
      </c>
      <c r="AL18" s="416">
        <v>78.79616963064295</v>
      </c>
      <c r="AM18" s="495">
        <f t="shared" si="7"/>
        <v>12</v>
      </c>
      <c r="AN18" s="657"/>
      <c r="AO18" s="495">
        <v>17</v>
      </c>
      <c r="AP18" s="416">
        <v>1311.4285714285718</v>
      </c>
      <c r="AQ18" s="416">
        <v>77.142857142857167</v>
      </c>
      <c r="AR18" s="495">
        <f t="shared" si="8"/>
        <v>12</v>
      </c>
      <c r="AS18" s="657"/>
      <c r="AT18" s="495">
        <v>17</v>
      </c>
      <c r="AU18" s="416">
        <v>1329.3333333333333</v>
      </c>
      <c r="AV18" s="416">
        <v>78.196078431372541</v>
      </c>
      <c r="AW18" s="495">
        <f t="shared" si="9"/>
        <v>12</v>
      </c>
      <c r="AX18" s="657"/>
      <c r="AZ18" s="398" t="e">
        <f t="shared" si="10"/>
        <v>#N/A</v>
      </c>
      <c r="BA18" s="657"/>
    </row>
    <row r="19" spans="2:53">
      <c r="B19" s="643"/>
      <c r="C19" s="409">
        <v>13</v>
      </c>
      <c r="D19" s="225" t="s">
        <v>525</v>
      </c>
      <c r="E19" s="416">
        <v>20</v>
      </c>
      <c r="F19" s="495">
        <v>1440</v>
      </c>
      <c r="G19" s="496">
        <v>72</v>
      </c>
      <c r="H19" s="686"/>
      <c r="I19" s="413">
        <f t="shared" si="0"/>
        <v>20</v>
      </c>
      <c r="J19" s="413">
        <f t="shared" si="1"/>
        <v>1314.9140138106525</v>
      </c>
      <c r="K19" s="199">
        <f t="shared" si="2"/>
        <v>65.745700690532615</v>
      </c>
      <c r="L19" s="617"/>
      <c r="M19" s="415">
        <f>RANK(K19, K$7:$K$36)</f>
        <v>20</v>
      </c>
      <c r="N19" s="635"/>
      <c r="O19" s="635"/>
      <c r="P19" s="495">
        <v>20</v>
      </c>
      <c r="Q19" s="416">
        <v>1334.399999999999</v>
      </c>
      <c r="R19" s="416">
        <v>66.719999999999942</v>
      </c>
      <c r="S19" s="495">
        <f t="shared" si="3"/>
        <v>20</v>
      </c>
      <c r="T19" s="657"/>
      <c r="U19" s="495">
        <v>20</v>
      </c>
      <c r="V19" s="416">
        <v>1299.1666666666656</v>
      </c>
      <c r="W19" s="416">
        <v>64.958333333333286</v>
      </c>
      <c r="X19" s="495">
        <f t="shared" si="4"/>
        <v>19</v>
      </c>
      <c r="Y19" s="657"/>
      <c r="Z19" s="495">
        <v>20</v>
      </c>
      <c r="AA19" s="416">
        <v>1344.4444444444453</v>
      </c>
      <c r="AB19" s="416">
        <v>67.222222222222257</v>
      </c>
      <c r="AC19" s="495">
        <f t="shared" si="5"/>
        <v>19</v>
      </c>
      <c r="AD19" s="657"/>
      <c r="AE19" s="495">
        <v>20</v>
      </c>
      <c r="AF19" s="416">
        <v>1303.3333333333339</v>
      </c>
      <c r="AG19" s="416">
        <v>65.1666666666667</v>
      </c>
      <c r="AH19" s="495">
        <f t="shared" si="6"/>
        <v>19</v>
      </c>
      <c r="AI19" s="657"/>
      <c r="AJ19" s="495">
        <v>20</v>
      </c>
      <c r="AK19" s="416">
        <v>1311.6923076923092</v>
      </c>
      <c r="AL19" s="416">
        <v>65.584615384615461</v>
      </c>
      <c r="AM19" s="495">
        <f t="shared" si="7"/>
        <v>20</v>
      </c>
      <c r="AN19" s="657"/>
      <c r="AO19" s="495">
        <v>20</v>
      </c>
      <c r="AP19" s="416">
        <v>1309.7142857142844</v>
      </c>
      <c r="AQ19" s="416">
        <v>65.485714285714224</v>
      </c>
      <c r="AR19" s="495">
        <f t="shared" si="8"/>
        <v>20</v>
      </c>
      <c r="AS19" s="657"/>
      <c r="AT19" s="495">
        <v>20</v>
      </c>
      <c r="AU19" s="416">
        <v>1301.6470588235293</v>
      </c>
      <c r="AV19" s="416">
        <v>65.082352941176467</v>
      </c>
      <c r="AW19" s="495">
        <f t="shared" si="9"/>
        <v>19</v>
      </c>
      <c r="AX19" s="657"/>
      <c r="AZ19" s="398" t="e">
        <f t="shared" si="10"/>
        <v>#N/A</v>
      </c>
      <c r="BA19" s="657"/>
    </row>
    <row r="20" spans="2:53">
      <c r="B20" s="643"/>
      <c r="C20" s="409">
        <v>14</v>
      </c>
      <c r="D20" s="225" t="s">
        <v>347</v>
      </c>
      <c r="E20" s="416">
        <v>14</v>
      </c>
      <c r="F20" s="495">
        <v>1440</v>
      </c>
      <c r="G20" s="496">
        <v>102.85714285714286</v>
      </c>
      <c r="H20" s="686"/>
      <c r="I20" s="413">
        <f t="shared" si="0"/>
        <v>14.571428571428571</v>
      </c>
      <c r="J20" s="413">
        <f t="shared" si="1"/>
        <v>1300.0526275305542</v>
      </c>
      <c r="K20" s="199">
        <f t="shared" si="2"/>
        <v>89.350048736287206</v>
      </c>
      <c r="L20" s="617"/>
      <c r="M20" s="415">
        <f>RANK(K20, K$7:$K$36)</f>
        <v>3</v>
      </c>
      <c r="N20" s="635"/>
      <c r="O20" s="635"/>
      <c r="P20" s="495">
        <v>14</v>
      </c>
      <c r="Q20" s="416">
        <v>1327.3684210526326</v>
      </c>
      <c r="R20" s="416">
        <v>94.812030075188048</v>
      </c>
      <c r="S20" s="495">
        <f t="shared" si="3"/>
        <v>3</v>
      </c>
      <c r="T20" s="657"/>
      <c r="U20" s="495">
        <v>15</v>
      </c>
      <c r="V20" s="416">
        <v>1292.2222222222229</v>
      </c>
      <c r="W20" s="416">
        <v>86.148148148148195</v>
      </c>
      <c r="X20" s="495">
        <f t="shared" si="4"/>
        <v>4</v>
      </c>
      <c r="Y20" s="657"/>
      <c r="Z20" s="495">
        <v>14</v>
      </c>
      <c r="AA20" s="416">
        <v>1314.4186046511625</v>
      </c>
      <c r="AB20" s="416">
        <v>93.887043189368754</v>
      </c>
      <c r="AC20" s="495">
        <f t="shared" si="5"/>
        <v>3</v>
      </c>
      <c r="AD20" s="657"/>
      <c r="AE20" s="495">
        <v>15</v>
      </c>
      <c r="AF20" s="416">
        <v>1281.1764705882358</v>
      </c>
      <c r="AG20" s="416">
        <v>85.411764705882391</v>
      </c>
      <c r="AH20" s="495">
        <f t="shared" si="6"/>
        <v>5</v>
      </c>
      <c r="AI20" s="657"/>
      <c r="AJ20" s="495">
        <v>15</v>
      </c>
      <c r="AK20" s="416">
        <v>1295.5555555555561</v>
      </c>
      <c r="AL20" s="416">
        <v>86.370370370370409</v>
      </c>
      <c r="AM20" s="495">
        <f t="shared" si="7"/>
        <v>5</v>
      </c>
      <c r="AN20" s="657"/>
      <c r="AO20" s="495">
        <v>15</v>
      </c>
      <c r="AP20" s="416">
        <v>1292.0000000000011</v>
      </c>
      <c r="AQ20" s="416">
        <v>86.133333333333411</v>
      </c>
      <c r="AR20" s="495">
        <f t="shared" si="8"/>
        <v>3</v>
      </c>
      <c r="AS20" s="657"/>
      <c r="AT20" s="495">
        <v>14</v>
      </c>
      <c r="AU20" s="416">
        <v>1297.6271186440688</v>
      </c>
      <c r="AV20" s="416">
        <v>92.687651331719195</v>
      </c>
      <c r="AW20" s="495">
        <f t="shared" si="9"/>
        <v>3</v>
      </c>
      <c r="AX20" s="657"/>
      <c r="AZ20" s="398" t="e">
        <f t="shared" si="10"/>
        <v>#N/A</v>
      </c>
      <c r="BA20" s="657"/>
    </row>
    <row r="21" spans="2:53">
      <c r="B21" s="643"/>
      <c r="C21" s="409">
        <v>15</v>
      </c>
      <c r="D21" s="225" t="s">
        <v>328</v>
      </c>
      <c r="E21" s="416">
        <v>19</v>
      </c>
      <c r="F21" s="495">
        <v>1440</v>
      </c>
      <c r="G21" s="496">
        <v>75.78947368421052</v>
      </c>
      <c r="H21" s="686"/>
      <c r="I21" s="413">
        <f t="shared" si="0"/>
        <v>19</v>
      </c>
      <c r="J21" s="413">
        <f t="shared" si="1"/>
        <v>1298.7760009602248</v>
      </c>
      <c r="K21" s="199">
        <f t="shared" si="2"/>
        <v>68.35663162948552</v>
      </c>
      <c r="L21" s="617"/>
      <c r="M21" s="415">
        <f>RANK(K21, K$7:$K$36)</f>
        <v>19</v>
      </c>
      <c r="N21" s="635"/>
      <c r="O21" s="635"/>
      <c r="P21" s="495">
        <v>19</v>
      </c>
      <c r="Q21" s="416">
        <v>1320</v>
      </c>
      <c r="R21" s="416">
        <v>69.473684210526315</v>
      </c>
      <c r="S21" s="495">
        <f t="shared" si="3"/>
        <v>19</v>
      </c>
      <c r="T21" s="657"/>
      <c r="U21" s="495">
        <v>19</v>
      </c>
      <c r="V21" s="416">
        <v>1306.32911392405</v>
      </c>
      <c r="W21" s="416">
        <v>68.754163890739477</v>
      </c>
      <c r="X21" s="495">
        <f t="shared" si="4"/>
        <v>18</v>
      </c>
      <c r="Y21" s="657"/>
      <c r="Z21" s="495">
        <v>19</v>
      </c>
      <c r="AA21" s="416">
        <v>1305.0000000000016</v>
      </c>
      <c r="AB21" s="416">
        <v>68.68421052631588</v>
      </c>
      <c r="AC21" s="495">
        <f t="shared" si="5"/>
        <v>17</v>
      </c>
      <c r="AD21" s="657"/>
      <c r="AE21" s="495">
        <v>19</v>
      </c>
      <c r="AF21" s="416">
        <v>1311.6923076923092</v>
      </c>
      <c r="AG21" s="416">
        <v>69.036437246963644</v>
      </c>
      <c r="AH21" s="495">
        <f t="shared" si="6"/>
        <v>17</v>
      </c>
      <c r="AI21" s="657"/>
      <c r="AJ21" s="495">
        <v>19</v>
      </c>
      <c r="AK21" s="416">
        <v>1301.917808219177</v>
      </c>
      <c r="AL21" s="416">
        <v>68.521989906272481</v>
      </c>
      <c r="AM21" s="495">
        <f t="shared" si="7"/>
        <v>18</v>
      </c>
      <c r="AN21" s="657"/>
      <c r="AO21" s="495">
        <v>19</v>
      </c>
      <c r="AP21" s="416">
        <v>1263.5714285714282</v>
      </c>
      <c r="AQ21" s="416">
        <v>66.503759398496229</v>
      </c>
      <c r="AR21" s="495">
        <f t="shared" si="8"/>
        <v>18</v>
      </c>
      <c r="AS21" s="657"/>
      <c r="AT21" s="495">
        <v>19</v>
      </c>
      <c r="AU21" s="416">
        <v>1282.9213483146068</v>
      </c>
      <c r="AV21" s="416">
        <v>67.522176227084572</v>
      </c>
      <c r="AW21" s="495">
        <f t="shared" si="9"/>
        <v>18</v>
      </c>
      <c r="AX21" s="657"/>
      <c r="AZ21" s="398" t="e">
        <f t="shared" si="10"/>
        <v>#N/A</v>
      </c>
      <c r="BA21" s="657"/>
    </row>
    <row r="22" spans="2:53">
      <c r="B22" s="643"/>
      <c r="C22" s="409">
        <v>16</v>
      </c>
      <c r="D22" s="225" t="s">
        <v>345</v>
      </c>
      <c r="E22" s="416">
        <v>19</v>
      </c>
      <c r="F22" s="495">
        <v>1440</v>
      </c>
      <c r="G22" s="496">
        <v>75.78947368421052</v>
      </c>
      <c r="H22" s="686"/>
      <c r="I22" s="413">
        <f t="shared" si="0"/>
        <v>19</v>
      </c>
      <c r="J22" s="413">
        <f t="shared" si="1"/>
        <v>1331.467299506209</v>
      </c>
      <c r="K22" s="199">
        <f t="shared" si="2"/>
        <v>70.077226289800478</v>
      </c>
      <c r="L22" s="617"/>
      <c r="M22" s="415">
        <f>RANK(K22, K$7:$K$36)</f>
        <v>17</v>
      </c>
      <c r="N22" s="635"/>
      <c r="O22" s="635"/>
      <c r="P22" s="495">
        <v>19</v>
      </c>
      <c r="Q22" s="416">
        <v>1320.9375000000016</v>
      </c>
      <c r="R22" s="416">
        <v>69.523026315789551</v>
      </c>
      <c r="S22" s="495">
        <f t="shared" si="3"/>
        <v>18</v>
      </c>
      <c r="T22" s="657"/>
      <c r="U22" s="495">
        <v>19</v>
      </c>
      <c r="V22" s="416">
        <v>1327.8688524590175</v>
      </c>
      <c r="W22" s="416">
        <v>69.887834339948284</v>
      </c>
      <c r="X22" s="495">
        <f t="shared" si="4"/>
        <v>17</v>
      </c>
      <c r="Y22" s="657"/>
      <c r="Z22" s="495">
        <v>19</v>
      </c>
      <c r="AA22" s="416">
        <v>1348.8461538461547</v>
      </c>
      <c r="AB22" s="416">
        <v>70.991902834008144</v>
      </c>
      <c r="AC22" s="495">
        <f t="shared" si="5"/>
        <v>16</v>
      </c>
      <c r="AD22" s="657"/>
      <c r="AE22" s="495">
        <v>19</v>
      </c>
      <c r="AF22" s="416">
        <v>1307.3684210526326</v>
      </c>
      <c r="AG22" s="416">
        <v>68.808864265928037</v>
      </c>
      <c r="AH22" s="495">
        <f t="shared" si="6"/>
        <v>18</v>
      </c>
      <c r="AI22" s="657"/>
      <c r="AJ22" s="495">
        <v>19</v>
      </c>
      <c r="AK22" s="416">
        <v>1321.9354838709689</v>
      </c>
      <c r="AL22" s="416">
        <v>69.575551782682581</v>
      </c>
      <c r="AM22" s="495">
        <f t="shared" si="7"/>
        <v>16</v>
      </c>
      <c r="AN22" s="657"/>
      <c r="AO22" s="495">
        <v>19</v>
      </c>
      <c r="AP22" s="416">
        <v>1334.5454545454561</v>
      </c>
      <c r="AQ22" s="416">
        <v>70.239234449760843</v>
      </c>
      <c r="AR22" s="495">
        <f t="shared" si="8"/>
        <v>16</v>
      </c>
      <c r="AS22" s="657"/>
      <c r="AT22" s="495">
        <v>19</v>
      </c>
      <c r="AU22" s="416">
        <v>1358.7692307692323</v>
      </c>
      <c r="AV22" s="416">
        <v>71.514170040485908</v>
      </c>
      <c r="AW22" s="495">
        <f t="shared" si="9"/>
        <v>15</v>
      </c>
      <c r="AX22" s="657"/>
      <c r="AZ22" s="398" t="e">
        <f t="shared" si="10"/>
        <v>#N/A</v>
      </c>
      <c r="BA22" s="657"/>
    </row>
    <row r="23" spans="2:53">
      <c r="B23" s="643"/>
      <c r="C23" s="409">
        <v>17</v>
      </c>
      <c r="D23" s="225" t="s">
        <v>605</v>
      </c>
      <c r="E23" s="416">
        <v>18</v>
      </c>
      <c r="F23" s="495">
        <v>1500</v>
      </c>
      <c r="G23" s="496">
        <v>83.333333333333329</v>
      </c>
      <c r="H23" s="686"/>
      <c r="I23" s="413">
        <f t="shared" si="0"/>
        <v>18</v>
      </c>
      <c r="J23" s="413">
        <f t="shared" si="1"/>
        <v>1382.9043249115982</v>
      </c>
      <c r="K23" s="199">
        <f t="shared" si="2"/>
        <v>76.828018050644332</v>
      </c>
      <c r="L23" s="617"/>
      <c r="M23" s="415">
        <f>RANK(K23, K$7:$K$36)</f>
        <v>14</v>
      </c>
      <c r="N23" s="635"/>
      <c r="O23" s="635"/>
      <c r="P23" s="495">
        <v>18</v>
      </c>
      <c r="Q23" s="416">
        <v>1391.3043478260854</v>
      </c>
      <c r="R23" s="416">
        <v>77.294685990338081</v>
      </c>
      <c r="S23" s="495">
        <f t="shared" si="3"/>
        <v>13</v>
      </c>
      <c r="T23" s="657"/>
      <c r="U23" s="495">
        <v>18</v>
      </c>
      <c r="V23" s="416">
        <v>1424.0625000000016</v>
      </c>
      <c r="W23" s="416">
        <v>79.114583333333428</v>
      </c>
      <c r="X23" s="495">
        <f t="shared" si="4"/>
        <v>11</v>
      </c>
      <c r="Y23" s="657"/>
      <c r="Z23" s="495">
        <v>18</v>
      </c>
      <c r="AA23" s="416">
        <v>1361.9047619047633</v>
      </c>
      <c r="AB23" s="416">
        <v>75.661375661375743</v>
      </c>
      <c r="AC23" s="495">
        <f t="shared" si="5"/>
        <v>14</v>
      </c>
      <c r="AD23" s="657"/>
      <c r="AE23" s="495">
        <v>18</v>
      </c>
      <c r="AF23" s="416">
        <v>1369.8113207547178</v>
      </c>
      <c r="AG23" s="416">
        <v>76.100628930817663</v>
      </c>
      <c r="AH23" s="495">
        <f t="shared" si="6"/>
        <v>14</v>
      </c>
      <c r="AI23" s="657"/>
      <c r="AJ23" s="495">
        <v>18</v>
      </c>
      <c r="AK23" s="416">
        <v>1382.0689655172425</v>
      </c>
      <c r="AL23" s="416">
        <v>76.781609195402368</v>
      </c>
      <c r="AM23" s="495">
        <f t="shared" si="7"/>
        <v>14</v>
      </c>
      <c r="AN23" s="657"/>
      <c r="AO23" s="495">
        <v>18</v>
      </c>
      <c r="AP23" s="416">
        <v>1378.3783783783772</v>
      </c>
      <c r="AQ23" s="416">
        <v>76.576576576576514</v>
      </c>
      <c r="AR23" s="495">
        <f t="shared" si="8"/>
        <v>13</v>
      </c>
      <c r="AS23" s="657"/>
      <c r="AT23" s="495">
        <v>18</v>
      </c>
      <c r="AU23" s="416">
        <v>1372.7999999999988</v>
      </c>
      <c r="AV23" s="416">
        <v>76.266666666666595</v>
      </c>
      <c r="AW23" s="495">
        <f t="shared" si="9"/>
        <v>13</v>
      </c>
      <c r="AX23" s="657"/>
      <c r="AZ23" s="398" t="e">
        <f t="shared" si="10"/>
        <v>#N/A</v>
      </c>
      <c r="BA23" s="657"/>
    </row>
    <row r="24" spans="2:53">
      <c r="B24" s="643"/>
      <c r="C24" s="409">
        <v>18</v>
      </c>
      <c r="D24" s="225" t="s">
        <v>522</v>
      </c>
      <c r="E24" s="416">
        <v>17</v>
      </c>
      <c r="F24" s="495">
        <v>1440</v>
      </c>
      <c r="G24" s="496">
        <v>84.705882352941174</v>
      </c>
      <c r="H24" s="686"/>
      <c r="I24" s="413">
        <f t="shared" si="0"/>
        <v>17</v>
      </c>
      <c r="J24" s="413">
        <f t="shared" si="1"/>
        <v>1304.0182662865584</v>
      </c>
      <c r="K24" s="199">
        <f t="shared" si="2"/>
        <v>76.706956840385786</v>
      </c>
      <c r="L24" s="617"/>
      <c r="M24" s="415">
        <f>RANK(K24, K$7:$K$36)</f>
        <v>15</v>
      </c>
      <c r="N24" s="635"/>
      <c r="O24" s="635"/>
      <c r="P24" s="495">
        <v>17</v>
      </c>
      <c r="Q24" s="416">
        <v>1310.6666666666667</v>
      </c>
      <c r="R24" s="416">
        <v>77.098039215686285</v>
      </c>
      <c r="S24" s="495">
        <f t="shared" si="3"/>
        <v>14</v>
      </c>
      <c r="T24" s="657"/>
      <c r="U24" s="495">
        <v>17</v>
      </c>
      <c r="V24" s="416">
        <v>1309.090909090909</v>
      </c>
      <c r="W24" s="416">
        <v>77.005347593582883</v>
      </c>
      <c r="X24" s="495">
        <f t="shared" si="4"/>
        <v>14</v>
      </c>
      <c r="Y24" s="657"/>
      <c r="Z24" s="495">
        <v>17</v>
      </c>
      <c r="AA24" s="416">
        <v>1331.9999999999986</v>
      </c>
      <c r="AB24" s="416">
        <v>78.352941176470509</v>
      </c>
      <c r="AC24" s="495">
        <f t="shared" si="5"/>
        <v>13</v>
      </c>
      <c r="AD24" s="657"/>
      <c r="AE24" s="495">
        <v>17</v>
      </c>
      <c r="AF24" s="416">
        <v>1336.0975609756094</v>
      </c>
      <c r="AG24" s="416">
        <v>78.593974175035854</v>
      </c>
      <c r="AH24" s="495">
        <f t="shared" si="6"/>
        <v>11</v>
      </c>
      <c r="AI24" s="657"/>
      <c r="AJ24" s="495">
        <v>17</v>
      </c>
      <c r="AK24" s="416">
        <v>1315.4999999999995</v>
      </c>
      <c r="AL24" s="416">
        <v>77.38235294117645</v>
      </c>
      <c r="AM24" s="495">
        <f t="shared" si="7"/>
        <v>13</v>
      </c>
      <c r="AN24" s="657"/>
      <c r="AO24" s="495">
        <v>17</v>
      </c>
      <c r="AP24" s="416">
        <v>1267.4999999999961</v>
      </c>
      <c r="AQ24" s="416">
        <v>74.558823529411541</v>
      </c>
      <c r="AR24" s="495">
        <f t="shared" si="8"/>
        <v>14</v>
      </c>
      <c r="AS24" s="657"/>
      <c r="AT24" s="495">
        <v>17</v>
      </c>
      <c r="AU24" s="416">
        <v>1257.2727272727273</v>
      </c>
      <c r="AV24" s="416">
        <v>73.957219251336895</v>
      </c>
      <c r="AW24" s="495">
        <f t="shared" si="9"/>
        <v>14</v>
      </c>
      <c r="AX24" s="657"/>
      <c r="AZ24" s="398" t="e">
        <f t="shared" si="10"/>
        <v>#N/A</v>
      </c>
      <c r="BA24" s="657"/>
    </row>
    <row r="25" spans="2:53">
      <c r="B25" s="643"/>
      <c r="C25" s="409">
        <v>19</v>
      </c>
      <c r="D25" s="225" t="s">
        <v>526</v>
      </c>
      <c r="E25" s="416">
        <v>20</v>
      </c>
      <c r="F25" s="495">
        <v>1500</v>
      </c>
      <c r="G25" s="496">
        <v>75</v>
      </c>
      <c r="H25" s="686"/>
      <c r="I25" s="413">
        <f t="shared" si="0"/>
        <v>20</v>
      </c>
      <c r="J25" s="413">
        <f t="shared" si="1"/>
        <v>1226.5251700680269</v>
      </c>
      <c r="K25" s="199">
        <f t="shared" si="2"/>
        <v>61.326258503401341</v>
      </c>
      <c r="L25" s="617"/>
      <c r="M25" s="415">
        <f>RANK(K25, K$7:$K$36)</f>
        <v>22</v>
      </c>
      <c r="N25" s="635"/>
      <c r="O25" s="635"/>
      <c r="P25" s="495">
        <v>20</v>
      </c>
      <c r="Q25" s="416">
        <v>1239.1836734693879</v>
      </c>
      <c r="R25" s="416">
        <v>61.959183673469397</v>
      </c>
      <c r="S25" s="495">
        <f t="shared" si="3"/>
        <v>22</v>
      </c>
      <c r="T25" s="657"/>
      <c r="U25" s="495">
        <v>20</v>
      </c>
      <c r="V25" s="416">
        <v>1259.9999999999998</v>
      </c>
      <c r="W25" s="416">
        <v>62.999999999999986</v>
      </c>
      <c r="X25" s="495">
        <f t="shared" si="4"/>
        <v>21</v>
      </c>
      <c r="Y25" s="657"/>
      <c r="Z25" s="495">
        <v>20</v>
      </c>
      <c r="AA25" s="416">
        <v>1217.1428571428557</v>
      </c>
      <c r="AB25" s="416">
        <v>60.85714285714279</v>
      </c>
      <c r="AC25" s="495">
        <f t="shared" si="5"/>
        <v>21</v>
      </c>
      <c r="AD25" s="657"/>
      <c r="AE25" s="495">
        <v>20</v>
      </c>
      <c r="AF25" s="416">
        <v>1243.3333333333323</v>
      </c>
      <c r="AG25" s="416">
        <v>62.166666666666615</v>
      </c>
      <c r="AH25" s="495">
        <f t="shared" si="6"/>
        <v>21</v>
      </c>
      <c r="AI25" s="657"/>
      <c r="AJ25" s="495">
        <v>20</v>
      </c>
      <c r="AK25" s="416">
        <v>1209.9999999999995</v>
      </c>
      <c r="AL25" s="416">
        <v>60.499999999999979</v>
      </c>
      <c r="AM25" s="495">
        <f t="shared" si="7"/>
        <v>21</v>
      </c>
      <c r="AN25" s="657"/>
      <c r="AO25" s="495">
        <v>20</v>
      </c>
      <c r="AP25" s="416">
        <v>1195.2000000000003</v>
      </c>
      <c r="AQ25" s="416">
        <v>59.760000000000012</v>
      </c>
      <c r="AR25" s="495">
        <f t="shared" si="8"/>
        <v>22</v>
      </c>
      <c r="AS25" s="657"/>
      <c r="AT25" s="495">
        <v>20</v>
      </c>
      <c r="AU25" s="416">
        <v>1220.8163265306125</v>
      </c>
      <c r="AV25" s="416">
        <v>61.040816326530624</v>
      </c>
      <c r="AW25" s="495">
        <f t="shared" si="9"/>
        <v>21</v>
      </c>
      <c r="AX25" s="657"/>
      <c r="AZ25" s="398" t="e">
        <f t="shared" si="10"/>
        <v>#N/A</v>
      </c>
      <c r="BA25" s="657"/>
    </row>
    <row r="26" spans="2:53">
      <c r="B26" s="643"/>
      <c r="C26" s="409">
        <v>20</v>
      </c>
      <c r="D26" s="225" t="s">
        <v>595</v>
      </c>
      <c r="E26" s="416">
        <v>15</v>
      </c>
      <c r="F26" s="495">
        <v>1440</v>
      </c>
      <c r="G26" s="496">
        <v>96</v>
      </c>
      <c r="H26" s="686"/>
      <c r="I26" s="413">
        <f t="shared" si="0"/>
        <v>15</v>
      </c>
      <c r="J26" s="413">
        <f t="shared" si="1"/>
        <v>1339.9999999999511</v>
      </c>
      <c r="K26" s="199">
        <f t="shared" si="2"/>
        <v>89.333333333330074</v>
      </c>
      <c r="L26" s="617"/>
      <c r="M26" s="415">
        <f>RANK(K26, K$7:$K$36)</f>
        <v>4</v>
      </c>
      <c r="N26" s="635"/>
      <c r="O26" s="635"/>
      <c r="P26" s="495">
        <v>15</v>
      </c>
      <c r="Q26" s="416">
        <v>1339.9999999999511</v>
      </c>
      <c r="R26" s="416">
        <v>89.333333333330074</v>
      </c>
      <c r="S26" s="495">
        <f t="shared" si="3"/>
        <v>4</v>
      </c>
      <c r="T26" s="657"/>
      <c r="U26" s="495" t="s">
        <v>615</v>
      </c>
      <c r="V26" s="416" t="s">
        <v>615</v>
      </c>
      <c r="W26" s="416" t="s">
        <v>615</v>
      </c>
      <c r="X26" s="495" t="e">
        <f t="shared" si="4"/>
        <v>#VALUE!</v>
      </c>
      <c r="Y26" s="657"/>
      <c r="Z26" s="495" t="s">
        <v>615</v>
      </c>
      <c r="AA26" s="416" t="s">
        <v>615</v>
      </c>
      <c r="AB26" s="416" t="s">
        <v>615</v>
      </c>
      <c r="AC26" s="495" t="e">
        <f t="shared" si="5"/>
        <v>#VALUE!</v>
      </c>
      <c r="AD26" s="657"/>
      <c r="AE26" s="495" t="s">
        <v>615</v>
      </c>
      <c r="AF26" s="416" t="s">
        <v>615</v>
      </c>
      <c r="AG26" s="416" t="s">
        <v>615</v>
      </c>
      <c r="AH26" s="495" t="e">
        <f t="shared" si="6"/>
        <v>#VALUE!</v>
      </c>
      <c r="AI26" s="657"/>
      <c r="AJ26" s="495" t="s">
        <v>615</v>
      </c>
      <c r="AK26" s="416" t="s">
        <v>615</v>
      </c>
      <c r="AL26" s="416" t="s">
        <v>615</v>
      </c>
      <c r="AM26" s="495" t="e">
        <f t="shared" si="7"/>
        <v>#VALUE!</v>
      </c>
      <c r="AN26" s="657"/>
      <c r="AO26" s="495" t="s">
        <v>615</v>
      </c>
      <c r="AP26" s="416" t="s">
        <v>615</v>
      </c>
      <c r="AQ26" s="416" t="s">
        <v>615</v>
      </c>
      <c r="AR26" s="495" t="e">
        <f t="shared" si="8"/>
        <v>#VALUE!</v>
      </c>
      <c r="AS26" s="657"/>
      <c r="AT26" s="495" t="s">
        <v>615</v>
      </c>
      <c r="AU26" s="416" t="s">
        <v>615</v>
      </c>
      <c r="AV26" s="416" t="s">
        <v>615</v>
      </c>
      <c r="AW26" s="495" t="e">
        <f t="shared" si="9"/>
        <v>#VALUE!</v>
      </c>
      <c r="AX26" s="657"/>
      <c r="AZ26" s="398" t="e">
        <f t="shared" si="10"/>
        <v>#N/A</v>
      </c>
      <c r="BA26" s="657"/>
    </row>
    <row r="27" spans="2:53">
      <c r="B27" s="643"/>
      <c r="C27" s="409">
        <v>21</v>
      </c>
      <c r="D27" s="225" t="s">
        <v>596</v>
      </c>
      <c r="E27" s="416">
        <v>19</v>
      </c>
      <c r="F27" s="495">
        <v>1500</v>
      </c>
      <c r="G27" s="496">
        <v>78.94736842105263</v>
      </c>
      <c r="H27" s="686"/>
      <c r="I27" s="413">
        <f t="shared" si="0"/>
        <v>19</v>
      </c>
      <c r="J27" s="413">
        <f t="shared" si="1"/>
        <v>1232.6298479845282</v>
      </c>
      <c r="K27" s="199">
        <f t="shared" si="2"/>
        <v>64.875255157080446</v>
      </c>
      <c r="L27" s="617"/>
      <c r="M27" s="415">
        <f>RANK(K27, K$7:$K$36)</f>
        <v>21</v>
      </c>
      <c r="N27" s="635"/>
      <c r="O27" s="635"/>
      <c r="P27" s="495">
        <v>19</v>
      </c>
      <c r="Q27" s="416">
        <v>1221.7241379310353</v>
      </c>
      <c r="R27" s="416">
        <v>64.301270417422913</v>
      </c>
      <c r="S27" s="495">
        <f t="shared" si="3"/>
        <v>21</v>
      </c>
      <c r="T27" s="657"/>
      <c r="U27" s="495">
        <v>19</v>
      </c>
      <c r="V27" s="416">
        <v>1221.8181818181827</v>
      </c>
      <c r="W27" s="416">
        <v>64.306220095693831</v>
      </c>
      <c r="X27" s="495">
        <f t="shared" si="4"/>
        <v>20</v>
      </c>
      <c r="Y27" s="657"/>
      <c r="Z27" s="495">
        <v>19</v>
      </c>
      <c r="AA27" s="416">
        <v>1254.2857142857138</v>
      </c>
      <c r="AB27" s="416">
        <v>66.015037593984928</v>
      </c>
      <c r="AC27" s="495">
        <f t="shared" si="5"/>
        <v>20</v>
      </c>
      <c r="AD27" s="657"/>
      <c r="AE27" s="495">
        <v>19</v>
      </c>
      <c r="AF27" s="416">
        <v>1200.0000000000005</v>
      </c>
      <c r="AG27" s="416">
        <v>63.157894736842131</v>
      </c>
      <c r="AH27" s="495">
        <f t="shared" si="6"/>
        <v>20</v>
      </c>
      <c r="AI27" s="657"/>
      <c r="AJ27" s="495">
        <v>19</v>
      </c>
      <c r="AK27" s="416">
        <v>1249.6153846153852</v>
      </c>
      <c r="AL27" s="416">
        <v>65.769230769230802</v>
      </c>
      <c r="AM27" s="495">
        <f t="shared" si="7"/>
        <v>19</v>
      </c>
      <c r="AN27" s="657"/>
      <c r="AO27" s="495">
        <v>19</v>
      </c>
      <c r="AP27" s="416">
        <v>1252.0000000000011</v>
      </c>
      <c r="AQ27" s="416">
        <v>65.894736842105317</v>
      </c>
      <c r="AR27" s="495">
        <f t="shared" si="8"/>
        <v>19</v>
      </c>
      <c r="AS27" s="657"/>
      <c r="AT27" s="495">
        <v>19</v>
      </c>
      <c r="AU27" s="416">
        <v>1228.9655172413802</v>
      </c>
      <c r="AV27" s="416">
        <v>64.682395644283176</v>
      </c>
      <c r="AW27" s="495">
        <f t="shared" si="9"/>
        <v>20</v>
      </c>
      <c r="AX27" s="657"/>
      <c r="AZ27" s="398" t="e">
        <f t="shared" si="10"/>
        <v>#N/A</v>
      </c>
      <c r="BA27" s="657"/>
    </row>
    <row r="28" spans="2:53">
      <c r="B28" s="643"/>
      <c r="C28" s="409">
        <v>22</v>
      </c>
      <c r="D28" s="225" t="s">
        <v>700</v>
      </c>
      <c r="E28" s="416">
        <v>16</v>
      </c>
      <c r="F28" s="495">
        <v>1440</v>
      </c>
      <c r="G28" s="496">
        <v>90</v>
      </c>
      <c r="H28" s="686"/>
      <c r="I28" s="413">
        <f t="shared" si="0"/>
        <v>16.142857142857142</v>
      </c>
      <c r="J28" s="413">
        <f t="shared" si="1"/>
        <v>1391.5967567718665</v>
      </c>
      <c r="K28" s="199">
        <f t="shared" si="2"/>
        <v>86.238190155384501</v>
      </c>
      <c r="L28" s="617"/>
      <c r="M28" s="415">
        <f>RANK(K28, K$7:$K$36)</f>
        <v>5</v>
      </c>
      <c r="N28" s="635"/>
      <c r="O28" s="635"/>
      <c r="P28" s="495">
        <v>16</v>
      </c>
      <c r="Q28" s="416">
        <v>1390.6849315068512</v>
      </c>
      <c r="R28" s="416">
        <v>86.917808219178198</v>
      </c>
      <c r="S28" s="495">
        <f t="shared" si="3"/>
        <v>6</v>
      </c>
      <c r="T28" s="657"/>
      <c r="U28" s="495">
        <v>16</v>
      </c>
      <c r="V28" s="416">
        <v>1436.5714285714271</v>
      </c>
      <c r="W28" s="416">
        <v>89.785714285714192</v>
      </c>
      <c r="X28" s="495">
        <f t="shared" si="4"/>
        <v>3</v>
      </c>
      <c r="Y28" s="657"/>
      <c r="Z28" s="495">
        <v>16</v>
      </c>
      <c r="AA28" s="416">
        <v>1352.4590163934404</v>
      </c>
      <c r="AB28" s="416">
        <v>84.528688524590024</v>
      </c>
      <c r="AC28" s="495">
        <f t="shared" si="5"/>
        <v>5</v>
      </c>
      <c r="AD28" s="657"/>
      <c r="AE28" s="495">
        <v>16</v>
      </c>
      <c r="AF28" s="416">
        <v>1403.5714285714296</v>
      </c>
      <c r="AG28" s="416">
        <v>87.723214285714349</v>
      </c>
      <c r="AH28" s="495">
        <f t="shared" si="6"/>
        <v>3</v>
      </c>
      <c r="AI28" s="657"/>
      <c r="AJ28" s="495">
        <v>16</v>
      </c>
      <c r="AK28" s="416">
        <v>1423.5483870967755</v>
      </c>
      <c r="AL28" s="416">
        <v>88.97177419354847</v>
      </c>
      <c r="AM28" s="495">
        <f t="shared" si="7"/>
        <v>3</v>
      </c>
      <c r="AN28" s="657"/>
      <c r="AO28" s="495">
        <v>17</v>
      </c>
      <c r="AP28" s="416">
        <v>1402.4999999999895</v>
      </c>
      <c r="AQ28" s="416">
        <v>82.499999999999389</v>
      </c>
      <c r="AR28" s="495">
        <f t="shared" si="8"/>
        <v>6</v>
      </c>
      <c r="AS28" s="657"/>
      <c r="AT28" s="495">
        <v>16</v>
      </c>
      <c r="AU28" s="416">
        <v>1331.8421052631513</v>
      </c>
      <c r="AV28" s="416">
        <v>83.240131578946958</v>
      </c>
      <c r="AW28" s="495">
        <f t="shared" si="9"/>
        <v>4</v>
      </c>
      <c r="AX28" s="657"/>
      <c r="AZ28" s="398" t="e">
        <f t="shared" si="10"/>
        <v>#N/A</v>
      </c>
      <c r="BA28" s="657"/>
    </row>
    <row r="29" spans="2:53">
      <c r="B29" s="643"/>
      <c r="C29" s="409">
        <v>23</v>
      </c>
      <c r="D29" s="225" t="s">
        <v>716</v>
      </c>
      <c r="E29" s="416">
        <v>16</v>
      </c>
      <c r="F29" s="495">
        <v>1440</v>
      </c>
      <c r="G29" s="496">
        <v>90</v>
      </c>
      <c r="H29" s="686"/>
      <c r="I29" s="413">
        <f t="shared" si="0"/>
        <v>16</v>
      </c>
      <c r="J29" s="413">
        <f t="shared" si="1"/>
        <v>1332.4507536014175</v>
      </c>
      <c r="K29" s="199">
        <f t="shared" si="2"/>
        <v>83.278172100088597</v>
      </c>
      <c r="L29" s="617"/>
      <c r="M29" s="415">
        <f>RANK(K29, K$7:$K$36)</f>
        <v>7</v>
      </c>
      <c r="N29" s="635"/>
      <c r="O29" s="635"/>
      <c r="P29" s="495">
        <v>16</v>
      </c>
      <c r="Q29" s="416">
        <v>1325.282608695652</v>
      </c>
      <c r="R29" s="416">
        <v>82.830163043478251</v>
      </c>
      <c r="S29" s="495">
        <f t="shared" si="3"/>
        <v>9</v>
      </c>
      <c r="T29" s="657"/>
      <c r="U29" s="495">
        <v>16</v>
      </c>
      <c r="V29" s="416">
        <v>1356.9230769230765</v>
      </c>
      <c r="W29" s="416">
        <v>84.807692307692278</v>
      </c>
      <c r="X29" s="495">
        <f t="shared" si="4"/>
        <v>5</v>
      </c>
      <c r="Y29" s="657"/>
      <c r="Z29" s="495">
        <v>16</v>
      </c>
      <c r="AA29" s="416">
        <v>1343.6065573770504</v>
      </c>
      <c r="AB29" s="416">
        <v>83.975409836065651</v>
      </c>
      <c r="AC29" s="495">
        <f t="shared" si="5"/>
        <v>6</v>
      </c>
      <c r="AD29" s="657"/>
      <c r="AE29" s="495">
        <v>16</v>
      </c>
      <c r="AF29" s="416">
        <v>1329.5454545454545</v>
      </c>
      <c r="AG29" s="416">
        <v>83.096590909090907</v>
      </c>
      <c r="AH29" s="495">
        <f t="shared" si="6"/>
        <v>6</v>
      </c>
      <c r="AI29" s="657"/>
      <c r="AJ29" s="495">
        <v>16</v>
      </c>
      <c r="AK29" s="416">
        <v>1347.9069767441858</v>
      </c>
      <c r="AL29" s="416">
        <v>84.244186046511615</v>
      </c>
      <c r="AM29" s="495">
        <f t="shared" si="7"/>
        <v>6</v>
      </c>
      <c r="AN29" s="657"/>
      <c r="AO29" s="495">
        <v>16</v>
      </c>
      <c r="AP29" s="416">
        <v>1335.2542372881367</v>
      </c>
      <c r="AQ29" s="416">
        <v>83.453389830508542</v>
      </c>
      <c r="AR29" s="495">
        <f t="shared" si="8"/>
        <v>4</v>
      </c>
      <c r="AS29" s="657"/>
      <c r="AT29" s="495">
        <v>16</v>
      </c>
      <c r="AU29" s="416">
        <v>1288.6363636363683</v>
      </c>
      <c r="AV29" s="416">
        <v>80.539772727273018</v>
      </c>
      <c r="AW29" s="495">
        <f t="shared" si="9"/>
        <v>9</v>
      </c>
      <c r="AX29" s="657"/>
      <c r="AZ29" s="398" t="e">
        <f t="shared" si="10"/>
        <v>#N/A</v>
      </c>
      <c r="BA29" s="657"/>
    </row>
    <row r="30" spans="2:53">
      <c r="B30" s="643"/>
      <c r="C30" s="409">
        <v>24</v>
      </c>
      <c r="D30" s="225" t="s">
        <v>710</v>
      </c>
      <c r="E30" s="416">
        <v>16</v>
      </c>
      <c r="F30" s="495">
        <v>1440</v>
      </c>
      <c r="G30" s="496">
        <v>90</v>
      </c>
      <c r="H30" s="686"/>
      <c r="I30" s="413">
        <f t="shared" si="0"/>
        <v>15.714285714285714</v>
      </c>
      <c r="J30" s="413">
        <f t="shared" si="1"/>
        <v>1286.8270505123978</v>
      </c>
      <c r="K30" s="199">
        <f t="shared" si="2"/>
        <v>82.015217959837869</v>
      </c>
      <c r="L30" s="617"/>
      <c r="M30" s="415">
        <f>RANK(K30, K$7:$K$36)</f>
        <v>9</v>
      </c>
      <c r="N30" s="635"/>
      <c r="O30" s="635"/>
      <c r="P30" s="495">
        <v>14</v>
      </c>
      <c r="Q30" s="416">
        <v>1245.4054054054027</v>
      </c>
      <c r="R30" s="416">
        <v>88.957528957528766</v>
      </c>
      <c r="S30" s="495">
        <f t="shared" si="3"/>
        <v>5</v>
      </c>
      <c r="T30" s="657"/>
      <c r="U30" s="495">
        <v>16</v>
      </c>
      <c r="V30" s="416">
        <v>1298.0769230769238</v>
      </c>
      <c r="W30" s="416">
        <v>81.129807692307736</v>
      </c>
      <c r="X30" s="495">
        <f t="shared" si="4"/>
        <v>9</v>
      </c>
      <c r="Y30" s="657"/>
      <c r="Z30" s="495">
        <v>16</v>
      </c>
      <c r="AA30" s="416">
        <v>1298.7096774193551</v>
      </c>
      <c r="AB30" s="416">
        <v>81.169354838709694</v>
      </c>
      <c r="AC30" s="495">
        <f t="shared" si="5"/>
        <v>9</v>
      </c>
      <c r="AD30" s="657"/>
      <c r="AE30" s="495">
        <v>16</v>
      </c>
      <c r="AF30" s="416">
        <v>1290.3225806451615</v>
      </c>
      <c r="AG30" s="416">
        <v>80.645161290322591</v>
      </c>
      <c r="AH30" s="495">
        <f t="shared" si="6"/>
        <v>8</v>
      </c>
      <c r="AI30" s="657"/>
      <c r="AJ30" s="495">
        <v>16</v>
      </c>
      <c r="AK30" s="416">
        <v>1287.4766355140193</v>
      </c>
      <c r="AL30" s="416">
        <v>80.467289719626208</v>
      </c>
      <c r="AM30" s="495">
        <f t="shared" si="7"/>
        <v>10</v>
      </c>
      <c r="AN30" s="657"/>
      <c r="AO30" s="495">
        <v>16</v>
      </c>
      <c r="AP30" s="416">
        <v>1292.264150943397</v>
      </c>
      <c r="AQ30" s="416">
        <v>80.766509433962312</v>
      </c>
      <c r="AR30" s="495">
        <f t="shared" si="8"/>
        <v>9</v>
      </c>
      <c r="AS30" s="657"/>
      <c r="AT30" s="495">
        <v>16</v>
      </c>
      <c r="AU30" s="416">
        <v>1295.5339805825247</v>
      </c>
      <c r="AV30" s="416">
        <v>80.970873786407793</v>
      </c>
      <c r="AW30" s="495">
        <f t="shared" si="9"/>
        <v>8</v>
      </c>
      <c r="AX30" s="657"/>
      <c r="AZ30" s="398" t="e">
        <f t="shared" si="10"/>
        <v>#N/A</v>
      </c>
      <c r="BA30" s="657"/>
    </row>
    <row r="31" spans="2:53">
      <c r="B31" s="643"/>
      <c r="C31" s="409">
        <v>25</v>
      </c>
      <c r="D31" s="225"/>
      <c r="E31" s="416"/>
      <c r="F31" s="495"/>
      <c r="G31" s="496"/>
      <c r="H31" s="686"/>
      <c r="I31" s="413" t="str">
        <f t="shared" si="0"/>
        <v>-</v>
      </c>
      <c r="J31" s="413" t="str">
        <f t="shared" si="1"/>
        <v>-</v>
      </c>
      <c r="K31" s="199" t="str">
        <f t="shared" si="2"/>
        <v>-</v>
      </c>
      <c r="L31" s="617"/>
      <c r="M31" s="415" t="e">
        <f>RANK(K31, K$7:$K$36)</f>
        <v>#VALUE!</v>
      </c>
      <c r="N31" s="635"/>
      <c r="O31" s="635"/>
      <c r="P31" s="495"/>
      <c r="Q31" s="416"/>
      <c r="R31" s="416"/>
      <c r="S31" s="495" t="e">
        <f t="shared" si="3"/>
        <v>#N/A</v>
      </c>
      <c r="T31" s="657"/>
      <c r="U31" s="495"/>
      <c r="V31" s="416"/>
      <c r="W31" s="416"/>
      <c r="X31" s="495" t="e">
        <f t="shared" si="4"/>
        <v>#N/A</v>
      </c>
      <c r="Y31" s="657"/>
      <c r="Z31" s="495"/>
      <c r="AA31" s="416"/>
      <c r="AB31" s="416"/>
      <c r="AC31" s="495" t="e">
        <f t="shared" si="5"/>
        <v>#N/A</v>
      </c>
      <c r="AD31" s="657"/>
      <c r="AE31" s="495"/>
      <c r="AF31" s="416"/>
      <c r="AG31" s="416"/>
      <c r="AH31" s="495" t="e">
        <f t="shared" si="6"/>
        <v>#N/A</v>
      </c>
      <c r="AI31" s="657"/>
      <c r="AJ31" s="495"/>
      <c r="AK31" s="416"/>
      <c r="AL31" s="416"/>
      <c r="AM31" s="495" t="e">
        <f t="shared" si="7"/>
        <v>#N/A</v>
      </c>
      <c r="AN31" s="657"/>
      <c r="AO31" s="495"/>
      <c r="AP31" s="416"/>
      <c r="AQ31" s="416"/>
      <c r="AR31" s="495" t="e">
        <f t="shared" si="8"/>
        <v>#N/A</v>
      </c>
      <c r="AS31" s="657"/>
      <c r="AT31" s="495"/>
      <c r="AU31" s="416"/>
      <c r="AV31" s="416"/>
      <c r="AW31" s="495" t="e">
        <f t="shared" si="9"/>
        <v>#N/A</v>
      </c>
      <c r="AX31" s="657"/>
      <c r="AZ31" s="398" t="e">
        <f t="shared" si="10"/>
        <v>#N/A</v>
      </c>
      <c r="BA31" s="657"/>
    </row>
    <row r="32" spans="2:53">
      <c r="B32" s="643"/>
      <c r="C32" s="409">
        <v>26</v>
      </c>
      <c r="D32" s="225"/>
      <c r="E32" s="416"/>
      <c r="F32" s="495"/>
      <c r="G32" s="496"/>
      <c r="H32" s="686"/>
      <c r="I32" s="413" t="str">
        <f t="shared" si="0"/>
        <v>-</v>
      </c>
      <c r="J32" s="413" t="str">
        <f t="shared" si="1"/>
        <v>-</v>
      </c>
      <c r="K32" s="199" t="str">
        <f t="shared" si="2"/>
        <v>-</v>
      </c>
      <c r="L32" s="617"/>
      <c r="M32" s="415" t="e">
        <f>RANK(K32, K$7:$K$36)</f>
        <v>#VALUE!</v>
      </c>
      <c r="N32" s="635"/>
      <c r="O32" s="635"/>
      <c r="P32" s="495"/>
      <c r="Q32" s="416"/>
      <c r="R32" s="416"/>
      <c r="S32" s="495" t="e">
        <f t="shared" si="3"/>
        <v>#N/A</v>
      </c>
      <c r="T32" s="657"/>
      <c r="U32" s="495"/>
      <c r="V32" s="416"/>
      <c r="W32" s="416"/>
      <c r="X32" s="495" t="e">
        <f t="shared" si="4"/>
        <v>#N/A</v>
      </c>
      <c r="Y32" s="657"/>
      <c r="Z32" s="495"/>
      <c r="AA32" s="416"/>
      <c r="AB32" s="416"/>
      <c r="AC32" s="495" t="e">
        <f t="shared" si="5"/>
        <v>#N/A</v>
      </c>
      <c r="AD32" s="657"/>
      <c r="AE32" s="495"/>
      <c r="AF32" s="416"/>
      <c r="AG32" s="416"/>
      <c r="AH32" s="495" t="e">
        <f t="shared" si="6"/>
        <v>#N/A</v>
      </c>
      <c r="AI32" s="657"/>
      <c r="AJ32" s="495"/>
      <c r="AK32" s="416"/>
      <c r="AL32" s="416"/>
      <c r="AM32" s="495" t="e">
        <f t="shared" si="7"/>
        <v>#N/A</v>
      </c>
      <c r="AN32" s="657"/>
      <c r="AO32" s="495"/>
      <c r="AP32" s="416"/>
      <c r="AQ32" s="416"/>
      <c r="AR32" s="495" t="e">
        <f t="shared" si="8"/>
        <v>#N/A</v>
      </c>
      <c r="AS32" s="657"/>
      <c r="AT32" s="495"/>
      <c r="AU32" s="416"/>
      <c r="AV32" s="416"/>
      <c r="AW32" s="495" t="e">
        <f t="shared" si="9"/>
        <v>#N/A</v>
      </c>
      <c r="AX32" s="657"/>
      <c r="AZ32" s="398" t="e">
        <f t="shared" si="10"/>
        <v>#N/A</v>
      </c>
      <c r="BA32" s="657"/>
    </row>
    <row r="33" spans="2:53">
      <c r="B33" s="643"/>
      <c r="C33" s="409">
        <v>27</v>
      </c>
      <c r="D33" s="225"/>
      <c r="E33" s="416"/>
      <c r="F33" s="495"/>
      <c r="G33" s="496"/>
      <c r="H33" s="686"/>
      <c r="I33" s="413" t="str">
        <f t="shared" si="0"/>
        <v>-</v>
      </c>
      <c r="J33" s="413" t="str">
        <f t="shared" si="1"/>
        <v>-</v>
      </c>
      <c r="K33" s="199" t="str">
        <f t="shared" si="2"/>
        <v>-</v>
      </c>
      <c r="L33" s="617"/>
      <c r="M33" s="415" t="e">
        <f>RANK(K33, K$7:$K$36)</f>
        <v>#VALUE!</v>
      </c>
      <c r="N33" s="635"/>
      <c r="O33" s="635"/>
      <c r="P33" s="495"/>
      <c r="Q33" s="416"/>
      <c r="R33" s="416"/>
      <c r="S33" s="495" t="e">
        <f t="shared" si="3"/>
        <v>#N/A</v>
      </c>
      <c r="T33" s="657"/>
      <c r="U33" s="495"/>
      <c r="V33" s="416"/>
      <c r="W33" s="416"/>
      <c r="X33" s="495" t="e">
        <f t="shared" si="4"/>
        <v>#N/A</v>
      </c>
      <c r="Y33" s="657"/>
      <c r="Z33" s="495"/>
      <c r="AA33" s="416"/>
      <c r="AB33" s="416"/>
      <c r="AC33" s="495" t="e">
        <f t="shared" si="5"/>
        <v>#N/A</v>
      </c>
      <c r="AD33" s="657"/>
      <c r="AE33" s="495"/>
      <c r="AF33" s="416"/>
      <c r="AG33" s="416"/>
      <c r="AH33" s="495" t="e">
        <f t="shared" si="6"/>
        <v>#N/A</v>
      </c>
      <c r="AI33" s="657"/>
      <c r="AJ33" s="495"/>
      <c r="AK33" s="416"/>
      <c r="AL33" s="416"/>
      <c r="AM33" s="495" t="e">
        <f t="shared" si="7"/>
        <v>#N/A</v>
      </c>
      <c r="AN33" s="657"/>
      <c r="AO33" s="495"/>
      <c r="AP33" s="416"/>
      <c r="AQ33" s="416"/>
      <c r="AR33" s="495" t="e">
        <f t="shared" si="8"/>
        <v>#N/A</v>
      </c>
      <c r="AS33" s="657"/>
      <c r="AT33" s="495"/>
      <c r="AU33" s="416"/>
      <c r="AV33" s="416"/>
      <c r="AW33" s="495" t="e">
        <f t="shared" si="9"/>
        <v>#N/A</v>
      </c>
      <c r="AX33" s="657"/>
      <c r="AZ33" s="398" t="e">
        <f t="shared" si="10"/>
        <v>#N/A</v>
      </c>
      <c r="BA33" s="657"/>
    </row>
    <row r="34" spans="2:53">
      <c r="B34" s="643"/>
      <c r="C34" s="409">
        <v>28</v>
      </c>
      <c r="D34" s="225"/>
      <c r="E34" s="416"/>
      <c r="F34" s="495"/>
      <c r="G34" s="496"/>
      <c r="H34" s="686"/>
      <c r="I34" s="413" t="str">
        <f t="shared" si="0"/>
        <v>-</v>
      </c>
      <c r="J34" s="413" t="str">
        <f t="shared" si="1"/>
        <v>-</v>
      </c>
      <c r="K34" s="199" t="str">
        <f t="shared" si="2"/>
        <v>-</v>
      </c>
      <c r="L34" s="617"/>
      <c r="M34" s="415" t="e">
        <f>RANK(K34, K$7:$K$36)</f>
        <v>#VALUE!</v>
      </c>
      <c r="N34" s="635"/>
      <c r="O34" s="635"/>
      <c r="P34" s="495"/>
      <c r="Q34" s="416"/>
      <c r="R34" s="416"/>
      <c r="S34" s="495" t="e">
        <f t="shared" si="3"/>
        <v>#N/A</v>
      </c>
      <c r="T34" s="657"/>
      <c r="U34" s="495"/>
      <c r="V34" s="416"/>
      <c r="W34" s="416"/>
      <c r="X34" s="495" t="e">
        <f t="shared" si="4"/>
        <v>#N/A</v>
      </c>
      <c r="Y34" s="657"/>
      <c r="Z34" s="495"/>
      <c r="AA34" s="416"/>
      <c r="AB34" s="416"/>
      <c r="AC34" s="495" t="e">
        <f t="shared" si="5"/>
        <v>#N/A</v>
      </c>
      <c r="AD34" s="657"/>
      <c r="AE34" s="495"/>
      <c r="AF34" s="416"/>
      <c r="AG34" s="416"/>
      <c r="AH34" s="495" t="e">
        <f t="shared" si="6"/>
        <v>#N/A</v>
      </c>
      <c r="AI34" s="657"/>
      <c r="AJ34" s="495"/>
      <c r="AK34" s="416"/>
      <c r="AL34" s="416"/>
      <c r="AM34" s="495" t="e">
        <f t="shared" si="7"/>
        <v>#N/A</v>
      </c>
      <c r="AN34" s="657"/>
      <c r="AO34" s="495"/>
      <c r="AP34" s="416"/>
      <c r="AQ34" s="416"/>
      <c r="AR34" s="495" t="e">
        <f t="shared" si="8"/>
        <v>#N/A</v>
      </c>
      <c r="AS34" s="657"/>
      <c r="AT34" s="495"/>
      <c r="AU34" s="416"/>
      <c r="AV34" s="416"/>
      <c r="AW34" s="495" t="e">
        <f t="shared" si="9"/>
        <v>#N/A</v>
      </c>
      <c r="AX34" s="657"/>
      <c r="AZ34" s="398" t="e">
        <f t="shared" si="10"/>
        <v>#N/A</v>
      </c>
      <c r="BA34" s="657"/>
    </row>
    <row r="35" spans="2:53">
      <c r="B35" s="643"/>
      <c r="C35" s="409">
        <v>29</v>
      </c>
      <c r="D35" s="225"/>
      <c r="E35" s="416"/>
      <c r="F35" s="495"/>
      <c r="G35" s="496"/>
      <c r="H35" s="686"/>
      <c r="I35" s="413" t="str">
        <f t="shared" si="0"/>
        <v>-</v>
      </c>
      <c r="J35" s="413" t="str">
        <f t="shared" si="1"/>
        <v>-</v>
      </c>
      <c r="K35" s="199" t="str">
        <f t="shared" si="2"/>
        <v>-</v>
      </c>
      <c r="L35" s="617"/>
      <c r="M35" s="415" t="e">
        <f>RANK(K35, K$7:$K$36)</f>
        <v>#VALUE!</v>
      </c>
      <c r="N35" s="635"/>
      <c r="O35" s="635"/>
      <c r="P35" s="495"/>
      <c r="Q35" s="416"/>
      <c r="R35" s="416"/>
      <c r="S35" s="495" t="e">
        <f t="shared" si="3"/>
        <v>#N/A</v>
      </c>
      <c r="T35" s="657"/>
      <c r="U35" s="495"/>
      <c r="V35" s="416"/>
      <c r="W35" s="416"/>
      <c r="X35" s="495" t="e">
        <f t="shared" si="4"/>
        <v>#N/A</v>
      </c>
      <c r="Y35" s="657"/>
      <c r="Z35" s="495"/>
      <c r="AA35" s="416"/>
      <c r="AB35" s="416"/>
      <c r="AC35" s="495" t="e">
        <f t="shared" si="5"/>
        <v>#N/A</v>
      </c>
      <c r="AD35" s="657"/>
      <c r="AE35" s="495"/>
      <c r="AF35" s="416"/>
      <c r="AG35" s="416"/>
      <c r="AH35" s="495" t="e">
        <f t="shared" si="6"/>
        <v>#N/A</v>
      </c>
      <c r="AI35" s="657"/>
      <c r="AJ35" s="495"/>
      <c r="AK35" s="416"/>
      <c r="AL35" s="416"/>
      <c r="AM35" s="495" t="e">
        <f t="shared" si="7"/>
        <v>#N/A</v>
      </c>
      <c r="AN35" s="657"/>
      <c r="AO35" s="495"/>
      <c r="AP35" s="416"/>
      <c r="AQ35" s="416"/>
      <c r="AR35" s="495" t="e">
        <f t="shared" si="8"/>
        <v>#N/A</v>
      </c>
      <c r="AS35" s="657"/>
      <c r="AT35" s="495"/>
      <c r="AU35" s="416"/>
      <c r="AV35" s="416"/>
      <c r="AW35" s="495" t="e">
        <f t="shared" si="9"/>
        <v>#N/A</v>
      </c>
      <c r="AX35" s="657"/>
      <c r="AZ35" s="398" t="e">
        <f t="shared" si="10"/>
        <v>#N/A</v>
      </c>
      <c r="BA35" s="657"/>
    </row>
    <row r="36" spans="2:53">
      <c r="B36" s="643"/>
      <c r="C36" s="409">
        <v>30</v>
      </c>
      <c r="D36" s="225"/>
      <c r="E36" s="416"/>
      <c r="F36" s="495"/>
      <c r="G36" s="496"/>
      <c r="H36" s="687"/>
      <c r="I36" s="413" t="str">
        <f t="shared" si="0"/>
        <v>-</v>
      </c>
      <c r="J36" s="413" t="str">
        <f t="shared" si="1"/>
        <v>-</v>
      </c>
      <c r="K36" s="199" t="str">
        <f t="shared" si="2"/>
        <v>-</v>
      </c>
      <c r="L36" s="618"/>
      <c r="M36" s="415" t="e">
        <f>RANK(K36, K$7:$K$36)</f>
        <v>#VALUE!</v>
      </c>
      <c r="N36" s="635"/>
      <c r="O36" s="635"/>
      <c r="P36" s="495"/>
      <c r="Q36" s="416"/>
      <c r="R36" s="416"/>
      <c r="S36" s="495" t="e">
        <f t="shared" si="3"/>
        <v>#N/A</v>
      </c>
      <c r="T36" s="657"/>
      <c r="U36" s="495"/>
      <c r="V36" s="416"/>
      <c r="W36" s="416"/>
      <c r="X36" s="495" t="e">
        <f t="shared" si="4"/>
        <v>#N/A</v>
      </c>
      <c r="Y36" s="657"/>
      <c r="Z36" s="495"/>
      <c r="AA36" s="416"/>
      <c r="AB36" s="416"/>
      <c r="AC36" s="495" t="e">
        <f t="shared" si="5"/>
        <v>#N/A</v>
      </c>
      <c r="AD36" s="657"/>
      <c r="AE36" s="495"/>
      <c r="AF36" s="416"/>
      <c r="AG36" s="416"/>
      <c r="AH36" s="495" t="e">
        <f t="shared" si="6"/>
        <v>#N/A</v>
      </c>
      <c r="AI36" s="657"/>
      <c r="AJ36" s="495"/>
      <c r="AK36" s="416"/>
      <c r="AL36" s="416"/>
      <c r="AM36" s="495" t="e">
        <f t="shared" si="7"/>
        <v>#N/A</v>
      </c>
      <c r="AN36" s="657"/>
      <c r="AO36" s="495"/>
      <c r="AP36" s="416"/>
      <c r="AQ36" s="416"/>
      <c r="AR36" s="495" t="e">
        <f t="shared" si="8"/>
        <v>#N/A</v>
      </c>
      <c r="AS36" s="657"/>
      <c r="AT36" s="495"/>
      <c r="AU36" s="416"/>
      <c r="AV36" s="416"/>
      <c r="AW36" s="495" t="e">
        <f t="shared" si="9"/>
        <v>#N/A</v>
      </c>
      <c r="AX36" s="657"/>
      <c r="AZ36" s="398" t="e">
        <f t="shared" si="10"/>
        <v>#N/A</v>
      </c>
      <c r="BA36" s="657"/>
    </row>
    <row r="37" spans="2:53" ht="15.75">
      <c r="B37" s="661" t="s">
        <v>163</v>
      </c>
      <c r="C37" s="662"/>
      <c r="D37" s="662"/>
      <c r="E37" s="662"/>
      <c r="F37" s="662"/>
      <c r="G37" s="662"/>
      <c r="H37" s="662"/>
      <c r="I37" s="202"/>
      <c r="J37" s="202"/>
      <c r="K37" s="202"/>
      <c r="L37" s="202"/>
      <c r="M37" s="203"/>
      <c r="N37" s="636" t="s">
        <v>156</v>
      </c>
      <c r="O37" s="636" t="s">
        <v>105</v>
      </c>
      <c r="P37" s="642">
        <f>AT2+1</f>
        <v>46175</v>
      </c>
      <c r="Q37" s="643"/>
      <c r="R37" s="643"/>
      <c r="S37" s="643"/>
      <c r="T37" s="643"/>
      <c r="U37" s="642">
        <f>P37+1</f>
        <v>46176</v>
      </c>
      <c r="V37" s="643"/>
      <c r="W37" s="643"/>
      <c r="X37" s="643"/>
      <c r="Y37" s="643"/>
      <c r="Z37" s="642">
        <f>U37+1</f>
        <v>46177</v>
      </c>
      <c r="AA37" s="643"/>
      <c r="AB37" s="643"/>
      <c r="AC37" s="643"/>
      <c r="AD37" s="643"/>
      <c r="AE37" s="642">
        <f>Z37+1</f>
        <v>46178</v>
      </c>
      <c r="AF37" s="643"/>
      <c r="AG37" s="643"/>
      <c r="AH37" s="643"/>
      <c r="AI37" s="643"/>
      <c r="AJ37" s="642">
        <f>AE37+1</f>
        <v>46179</v>
      </c>
      <c r="AK37" s="643"/>
      <c r="AL37" s="643"/>
      <c r="AM37" s="643"/>
      <c r="AN37" s="643"/>
      <c r="AO37" s="642">
        <f>AJ37+1</f>
        <v>46180</v>
      </c>
      <c r="AP37" s="643"/>
      <c r="AQ37" s="643"/>
      <c r="AR37" s="643"/>
      <c r="AS37" s="643"/>
      <c r="AT37" s="642">
        <f>AO37+1</f>
        <v>46181</v>
      </c>
      <c r="AU37" s="643"/>
      <c r="AV37" s="643"/>
      <c r="AW37" s="643"/>
      <c r="AX37" s="643"/>
    </row>
    <row r="38" spans="2:53" ht="15.75">
      <c r="B38" s="650"/>
      <c r="C38" s="650"/>
      <c r="D38" s="650"/>
      <c r="E38" s="650"/>
      <c r="F38" s="650"/>
      <c r="G38" s="650"/>
      <c r="H38" s="650"/>
      <c r="I38" s="204"/>
      <c r="J38" s="204"/>
      <c r="K38" s="204"/>
      <c r="L38" s="204"/>
      <c r="M38" s="205"/>
      <c r="N38" s="638"/>
      <c r="O38" s="638"/>
      <c r="P38" s="642" t="s">
        <v>318</v>
      </c>
      <c r="Q38" s="643"/>
      <c r="R38" s="643"/>
      <c r="S38" s="643"/>
      <c r="T38" s="643"/>
      <c r="U38" s="642" t="s">
        <v>319</v>
      </c>
      <c r="V38" s="643"/>
      <c r="W38" s="643"/>
      <c r="X38" s="643"/>
      <c r="Y38" s="643"/>
      <c r="Z38" s="642" t="s">
        <v>320</v>
      </c>
      <c r="AA38" s="643"/>
      <c r="AB38" s="643"/>
      <c r="AC38" s="643"/>
      <c r="AD38" s="643"/>
      <c r="AE38" s="642" t="s">
        <v>321</v>
      </c>
      <c r="AF38" s="643"/>
      <c r="AG38" s="643"/>
      <c r="AH38" s="643"/>
      <c r="AI38" s="643"/>
      <c r="AJ38" s="642" t="s">
        <v>322</v>
      </c>
      <c r="AK38" s="643"/>
      <c r="AL38" s="643"/>
      <c r="AM38" s="643"/>
      <c r="AN38" s="643"/>
      <c r="AO38" s="642" t="s">
        <v>323</v>
      </c>
      <c r="AP38" s="643"/>
      <c r="AQ38" s="643"/>
      <c r="AR38" s="643"/>
      <c r="AS38" s="643"/>
      <c r="AT38" s="642" t="s">
        <v>324</v>
      </c>
      <c r="AU38" s="643"/>
      <c r="AV38" s="643"/>
      <c r="AW38" s="643"/>
      <c r="AX38" s="643"/>
    </row>
    <row r="39" spans="2:53">
      <c r="B39" s="635" t="s">
        <v>417</v>
      </c>
      <c r="C39" s="635" t="s">
        <v>418</v>
      </c>
      <c r="D39" s="635"/>
      <c r="E39" s="635" t="s">
        <v>419</v>
      </c>
      <c r="F39" s="635"/>
      <c r="G39" s="635"/>
      <c r="H39" s="651" t="s">
        <v>420</v>
      </c>
      <c r="I39" s="619" t="s">
        <v>421</v>
      </c>
      <c r="J39" s="619"/>
      <c r="K39" s="619"/>
      <c r="L39" s="620" t="s">
        <v>420</v>
      </c>
      <c r="M39" s="626" t="s">
        <v>422</v>
      </c>
      <c r="N39" s="635"/>
      <c r="O39" s="635" t="s">
        <v>423</v>
      </c>
      <c r="P39" s="632" t="s">
        <v>424</v>
      </c>
      <c r="Q39" s="633"/>
      <c r="R39" s="633"/>
      <c r="S39" s="634"/>
      <c r="T39" s="635" t="s">
        <v>420</v>
      </c>
      <c r="U39" s="632" t="s">
        <v>424</v>
      </c>
      <c r="V39" s="633"/>
      <c r="W39" s="633"/>
      <c r="X39" s="634"/>
      <c r="Y39" s="635" t="s">
        <v>420</v>
      </c>
      <c r="Z39" s="632" t="s">
        <v>424</v>
      </c>
      <c r="AA39" s="633"/>
      <c r="AB39" s="633"/>
      <c r="AC39" s="634"/>
      <c r="AD39" s="635" t="s">
        <v>420</v>
      </c>
      <c r="AE39" s="632" t="s">
        <v>424</v>
      </c>
      <c r="AF39" s="633"/>
      <c r="AG39" s="633"/>
      <c r="AH39" s="634"/>
      <c r="AI39" s="635" t="s">
        <v>420</v>
      </c>
      <c r="AJ39" s="632" t="s">
        <v>424</v>
      </c>
      <c r="AK39" s="633"/>
      <c r="AL39" s="633"/>
      <c r="AM39" s="634"/>
      <c r="AN39" s="635" t="s">
        <v>420</v>
      </c>
      <c r="AO39" s="632" t="s">
        <v>424</v>
      </c>
      <c r="AP39" s="633"/>
      <c r="AQ39" s="633"/>
      <c r="AR39" s="634"/>
      <c r="AS39" s="635" t="s">
        <v>420</v>
      </c>
      <c r="AT39" s="632" t="s">
        <v>424</v>
      </c>
      <c r="AU39" s="633"/>
      <c r="AV39" s="633"/>
      <c r="AW39" s="634"/>
      <c r="AX39" s="635" t="s">
        <v>420</v>
      </c>
      <c r="BA39" s="635" t="s">
        <v>371</v>
      </c>
    </row>
    <row r="40" spans="2:53">
      <c r="B40" s="635"/>
      <c r="C40" s="635"/>
      <c r="D40" s="635"/>
      <c r="E40" s="635" t="s">
        <v>425</v>
      </c>
      <c r="F40" s="635"/>
      <c r="G40" s="635"/>
      <c r="H40" s="652"/>
      <c r="I40" s="619" t="s">
        <v>425</v>
      </c>
      <c r="J40" s="619"/>
      <c r="K40" s="619"/>
      <c r="L40" s="621"/>
      <c r="M40" s="627"/>
      <c r="N40" s="635"/>
      <c r="O40" s="635"/>
      <c r="P40" s="632" t="s">
        <v>426</v>
      </c>
      <c r="Q40" s="633"/>
      <c r="R40" s="633"/>
      <c r="S40" s="634"/>
      <c r="T40" s="635"/>
      <c r="U40" s="632" t="s">
        <v>426</v>
      </c>
      <c r="V40" s="633"/>
      <c r="W40" s="633"/>
      <c r="X40" s="634"/>
      <c r="Y40" s="635"/>
      <c r="Z40" s="632" t="s">
        <v>426</v>
      </c>
      <c r="AA40" s="633"/>
      <c r="AB40" s="633"/>
      <c r="AC40" s="634"/>
      <c r="AD40" s="635"/>
      <c r="AE40" s="632" t="s">
        <v>426</v>
      </c>
      <c r="AF40" s="633"/>
      <c r="AG40" s="633"/>
      <c r="AH40" s="634"/>
      <c r="AI40" s="635"/>
      <c r="AJ40" s="632" t="s">
        <v>426</v>
      </c>
      <c r="AK40" s="633"/>
      <c r="AL40" s="633"/>
      <c r="AM40" s="634"/>
      <c r="AN40" s="635"/>
      <c r="AO40" s="632" t="s">
        <v>426</v>
      </c>
      <c r="AP40" s="633"/>
      <c r="AQ40" s="633"/>
      <c r="AR40" s="634"/>
      <c r="AS40" s="635"/>
      <c r="AT40" s="632" t="s">
        <v>426</v>
      </c>
      <c r="AU40" s="633"/>
      <c r="AV40" s="633"/>
      <c r="AW40" s="634"/>
      <c r="AX40" s="635"/>
      <c r="BA40" s="635"/>
    </row>
    <row r="41" spans="2:53">
      <c r="B41" s="635"/>
      <c r="C41" s="635"/>
      <c r="D41" s="635"/>
      <c r="E41" s="290" t="s">
        <v>427</v>
      </c>
      <c r="F41" s="290" t="s">
        <v>428</v>
      </c>
      <c r="G41" s="290" t="s">
        <v>429</v>
      </c>
      <c r="H41" s="653"/>
      <c r="I41" s="289" t="s">
        <v>427</v>
      </c>
      <c r="J41" s="289" t="s">
        <v>428</v>
      </c>
      <c r="K41" s="289" t="s">
        <v>429</v>
      </c>
      <c r="L41" s="622"/>
      <c r="M41" s="628"/>
      <c r="N41" s="635"/>
      <c r="O41" s="635"/>
      <c r="P41" s="290" t="s">
        <v>427</v>
      </c>
      <c r="Q41" s="290" t="s">
        <v>428</v>
      </c>
      <c r="R41" s="290" t="s">
        <v>429</v>
      </c>
      <c r="S41" s="290" t="s">
        <v>422</v>
      </c>
      <c r="T41" s="635"/>
      <c r="U41" s="290" t="s">
        <v>427</v>
      </c>
      <c r="V41" s="290" t="s">
        <v>428</v>
      </c>
      <c r="W41" s="290" t="s">
        <v>429</v>
      </c>
      <c r="X41" s="290" t="s">
        <v>422</v>
      </c>
      <c r="Y41" s="635"/>
      <c r="Z41" s="290" t="s">
        <v>427</v>
      </c>
      <c r="AA41" s="290" t="s">
        <v>428</v>
      </c>
      <c r="AB41" s="290" t="s">
        <v>429</v>
      </c>
      <c r="AC41" s="290" t="s">
        <v>422</v>
      </c>
      <c r="AD41" s="635"/>
      <c r="AE41" s="290" t="s">
        <v>427</v>
      </c>
      <c r="AF41" s="290" t="s">
        <v>428</v>
      </c>
      <c r="AG41" s="290" t="s">
        <v>429</v>
      </c>
      <c r="AH41" s="290" t="s">
        <v>422</v>
      </c>
      <c r="AI41" s="635"/>
      <c r="AJ41" s="290" t="s">
        <v>427</v>
      </c>
      <c r="AK41" s="290" t="s">
        <v>428</v>
      </c>
      <c r="AL41" s="290" t="s">
        <v>429</v>
      </c>
      <c r="AM41" s="290" t="s">
        <v>422</v>
      </c>
      <c r="AN41" s="635"/>
      <c r="AO41" s="290" t="s">
        <v>427</v>
      </c>
      <c r="AP41" s="290" t="s">
        <v>428</v>
      </c>
      <c r="AQ41" s="290" t="s">
        <v>429</v>
      </c>
      <c r="AR41" s="290" t="s">
        <v>422</v>
      </c>
      <c r="AS41" s="635"/>
      <c r="AT41" s="290" t="s">
        <v>427</v>
      </c>
      <c r="AU41" s="290" t="s">
        <v>428</v>
      </c>
      <c r="AV41" s="290" t="s">
        <v>429</v>
      </c>
      <c r="AW41" s="290" t="s">
        <v>422</v>
      </c>
      <c r="AX41" s="635"/>
      <c r="AZ41" s="397" t="s">
        <v>372</v>
      </c>
      <c r="BA41" s="635"/>
    </row>
    <row r="42" spans="2:53">
      <c r="B42" s="635" t="s">
        <v>430</v>
      </c>
      <c r="C42" s="291">
        <v>1</v>
      </c>
      <c r="D42" s="225" t="s">
        <v>344</v>
      </c>
      <c r="E42" s="181">
        <v>6</v>
      </c>
      <c r="F42" s="383">
        <v>1500</v>
      </c>
      <c r="G42" s="384">
        <v>250</v>
      </c>
      <c r="H42" s="685">
        <f>AVERAGE(G42:G71)</f>
        <v>98.830151492328426</v>
      </c>
      <c r="I42" s="391">
        <f>IFERROR(AVERAGE(P42,U42,Z42,AE42,AJ42,AO42,AT42),"-")</f>
        <v>6</v>
      </c>
      <c r="J42" s="391">
        <f>IFERROR(AVERAGE(Q42,V42,AA42,AF42,AK42,AP42,AU42),"-")</f>
        <v>1424.4741996885007</v>
      </c>
      <c r="K42" s="199">
        <f>IFERROR(AVERAGE(R42,W42,AB42,AG42,AL42,AQ42,AV42),"-")</f>
        <v>237.41236661475014</v>
      </c>
      <c r="L42" s="616">
        <f>IFERROR(AVERAGE(K42:K71),"-")</f>
        <v>89.04297848666188</v>
      </c>
      <c r="M42" s="200">
        <f>RANK(K42, K$42:$K$71)</f>
        <v>2</v>
      </c>
      <c r="N42" s="635"/>
      <c r="O42" s="635"/>
      <c r="P42" s="539">
        <v>6</v>
      </c>
      <c r="Q42" s="416">
        <v>1411.8852272727274</v>
      </c>
      <c r="R42" s="416">
        <v>235.31420454545457</v>
      </c>
      <c r="S42" s="539">
        <f t="shared" ref="S42:S71" si="11">RANK(R42, R$42:R$71)</f>
        <v>2</v>
      </c>
      <c r="T42" s="657">
        <f>AVERAGE(R42:R71)</f>
        <v>89.50681853421662</v>
      </c>
      <c r="U42" s="416">
        <v>6</v>
      </c>
      <c r="V42" s="416">
        <v>1445.1710982658965</v>
      </c>
      <c r="W42" s="416">
        <v>240.86184971098274</v>
      </c>
      <c r="X42" s="539">
        <f t="shared" ref="X42:X71" si="12">RANK(W42, W$42:W$71)</f>
        <v>2</v>
      </c>
      <c r="Y42" s="657">
        <f>AVERAGE(W42:W71)</f>
        <v>88.295541425674855</v>
      </c>
      <c r="Z42" s="539">
        <v>6</v>
      </c>
      <c r="AA42" s="416">
        <v>1412.3793103448281</v>
      </c>
      <c r="AB42" s="416">
        <v>235.39655172413802</v>
      </c>
      <c r="AC42" s="539">
        <f t="shared" ref="AC42:AC71" si="13">RANK(AB42, AB$42:AB$71)</f>
        <v>2</v>
      </c>
      <c r="AD42" s="657">
        <f>AVERAGE(AB42:AB71)</f>
        <v>88.918474602120796</v>
      </c>
      <c r="AE42" s="539">
        <v>6</v>
      </c>
      <c r="AF42" s="416">
        <v>1440.0595041322308</v>
      </c>
      <c r="AG42" s="416">
        <v>240.00991735537181</v>
      </c>
      <c r="AH42" s="539">
        <f t="shared" ref="AH42:AH71" si="14">RANK(AG42, AG$42:AG$71)</f>
        <v>2</v>
      </c>
      <c r="AI42" s="657">
        <f>AVERAGE(AG42:AG71)</f>
        <v>88.84128552427994</v>
      </c>
      <c r="AJ42" s="539">
        <v>6</v>
      </c>
      <c r="AK42" s="416">
        <v>1408.3119402985074</v>
      </c>
      <c r="AL42" s="416">
        <v>234.71865671641788</v>
      </c>
      <c r="AM42" s="539">
        <f t="shared" ref="AM42:AM71" si="15">RANK(AL42, AL$42:AL$71)</f>
        <v>2</v>
      </c>
      <c r="AN42" s="657">
        <f>AVERAGE(AL42:AL71)</f>
        <v>88.50726485415872</v>
      </c>
      <c r="AO42" s="539">
        <v>6</v>
      </c>
      <c r="AP42" s="416">
        <v>1418.7388235294122</v>
      </c>
      <c r="AQ42" s="416">
        <v>236.45647058823536</v>
      </c>
      <c r="AR42" s="539">
        <f t="shared" ref="AR42:AR71" si="16">RANK(AQ42, AQ$42:AQ$71)</f>
        <v>2</v>
      </c>
      <c r="AS42" s="657">
        <f>AVERAGE(AQ42:AQ71)</f>
        <v>89.389614201610129</v>
      </c>
      <c r="AT42" s="539">
        <v>6</v>
      </c>
      <c r="AU42" s="416">
        <v>1434.7734939759034</v>
      </c>
      <c r="AV42" s="416">
        <v>239.12891566265057</v>
      </c>
      <c r="AW42" s="539">
        <f t="shared" ref="AW42:AW71" si="17">RANK(AV42, AV$42:AV$71)</f>
        <v>2</v>
      </c>
      <c r="AX42" s="657">
        <f>AVERAGE(AV42:AV71)</f>
        <v>89.841850264572017</v>
      </c>
      <c r="AZ42" s="398" t="e">
        <f t="shared" ref="AZ42:AZ71" si="18">RANK(AY42, AY$42:AY$71)</f>
        <v>#N/A</v>
      </c>
      <c r="BA42" s="657" t="e">
        <f>AVERAGE(AY42:AY71)</f>
        <v>#DIV/0!</v>
      </c>
    </row>
    <row r="43" spans="2:53">
      <c r="B43" s="643"/>
      <c r="C43" s="291">
        <v>2</v>
      </c>
      <c r="D43" s="225" t="s">
        <v>616</v>
      </c>
      <c r="E43" s="181">
        <v>6</v>
      </c>
      <c r="F43" s="383">
        <v>1500</v>
      </c>
      <c r="G43" s="384">
        <v>250</v>
      </c>
      <c r="H43" s="686"/>
      <c r="I43" s="391">
        <f t="shared" ref="I43:I71" si="19">IFERROR(AVERAGE(P43,U43,Z43,AE43,AJ43,AO43,AT43),"-")</f>
        <v>6</v>
      </c>
      <c r="J43" s="391">
        <f t="shared" ref="J43:J71" si="20">IFERROR(AVERAGE(Q43,V43,AA43,AF43,AK43,AP43,AU43),"-")</f>
        <v>1451.7513158155439</v>
      </c>
      <c r="K43" s="199">
        <f t="shared" ref="K43:K71" si="21">IFERROR(AVERAGE(R43,W43,AB43,AG43,AL43,AQ43,AV43),"-")</f>
        <v>241.95855263592401</v>
      </c>
      <c r="L43" s="617"/>
      <c r="M43" s="200">
        <f>RANK(K43, K$42:$K$71)</f>
        <v>1</v>
      </c>
      <c r="N43" s="635"/>
      <c r="O43" s="635"/>
      <c r="P43" s="539">
        <v>6</v>
      </c>
      <c r="Q43" s="416">
        <v>1447.7922077922083</v>
      </c>
      <c r="R43" s="416">
        <v>241.29870129870139</v>
      </c>
      <c r="S43" s="539">
        <f t="shared" si="11"/>
        <v>1</v>
      </c>
      <c r="T43" s="657"/>
      <c r="U43" s="416">
        <v>6</v>
      </c>
      <c r="V43" s="416">
        <v>1452.8000000000004</v>
      </c>
      <c r="W43" s="416">
        <v>242.13333333333341</v>
      </c>
      <c r="X43" s="539">
        <f t="shared" si="12"/>
        <v>1</v>
      </c>
      <c r="Y43" s="657"/>
      <c r="Z43" s="539">
        <v>6</v>
      </c>
      <c r="AA43" s="416">
        <v>1434.246575342466</v>
      </c>
      <c r="AB43" s="416">
        <v>239.04109589041101</v>
      </c>
      <c r="AC43" s="539">
        <f t="shared" si="13"/>
        <v>1</v>
      </c>
      <c r="AD43" s="657"/>
      <c r="AE43" s="539">
        <v>6</v>
      </c>
      <c r="AF43" s="416">
        <v>1442.0689655172405</v>
      </c>
      <c r="AG43" s="416">
        <v>240.34482758620675</v>
      </c>
      <c r="AH43" s="539">
        <f t="shared" si="14"/>
        <v>1</v>
      </c>
      <c r="AI43" s="657"/>
      <c r="AJ43" s="539">
        <v>6</v>
      </c>
      <c r="AK43" s="416">
        <v>1470.4918032786879</v>
      </c>
      <c r="AL43" s="416">
        <v>245.08196721311467</v>
      </c>
      <c r="AM43" s="539">
        <f t="shared" si="15"/>
        <v>1</v>
      </c>
      <c r="AN43" s="657"/>
      <c r="AO43" s="539">
        <v>6</v>
      </c>
      <c r="AP43" s="416">
        <v>1457.3913043478262</v>
      </c>
      <c r="AQ43" s="416">
        <v>242.89855072463772</v>
      </c>
      <c r="AR43" s="539">
        <f t="shared" si="16"/>
        <v>1</v>
      </c>
      <c r="AS43" s="657"/>
      <c r="AT43" s="539">
        <v>6</v>
      </c>
      <c r="AU43" s="416">
        <v>1457.4683544303789</v>
      </c>
      <c r="AV43" s="416">
        <v>242.91139240506314</v>
      </c>
      <c r="AW43" s="539">
        <f t="shared" si="17"/>
        <v>1</v>
      </c>
      <c r="AX43" s="657"/>
      <c r="AZ43" s="398" t="e">
        <f t="shared" si="18"/>
        <v>#N/A</v>
      </c>
      <c r="BA43" s="657"/>
    </row>
    <row r="44" spans="2:53">
      <c r="B44" s="643"/>
      <c r="C44" s="291">
        <v>3</v>
      </c>
      <c r="D44" s="225" t="s">
        <v>601</v>
      </c>
      <c r="E44" s="181">
        <v>18</v>
      </c>
      <c r="F44" s="383">
        <v>1500</v>
      </c>
      <c r="G44" s="384">
        <v>83.333333333333329</v>
      </c>
      <c r="H44" s="686"/>
      <c r="I44" s="391">
        <f t="shared" si="19"/>
        <v>18</v>
      </c>
      <c r="J44" s="391">
        <f t="shared" si="20"/>
        <v>1267.5784016155194</v>
      </c>
      <c r="K44" s="199">
        <f t="shared" si="21"/>
        <v>70.421022311973303</v>
      </c>
      <c r="L44" s="617"/>
      <c r="M44" s="200">
        <f>RANK(K44, K$42:$K$71)</f>
        <v>17</v>
      </c>
      <c r="N44" s="635"/>
      <c r="O44" s="635"/>
      <c r="P44" s="539">
        <v>18</v>
      </c>
      <c r="Q44" s="416">
        <v>1263.4285714285725</v>
      </c>
      <c r="R44" s="416">
        <v>70.190476190476247</v>
      </c>
      <c r="S44" s="539">
        <f t="shared" si="11"/>
        <v>16</v>
      </c>
      <c r="T44" s="657"/>
      <c r="U44" s="416">
        <v>18</v>
      </c>
      <c r="V44" s="416">
        <v>1248.0000000000009</v>
      </c>
      <c r="W44" s="416">
        <v>69.333333333333385</v>
      </c>
      <c r="X44" s="539">
        <f t="shared" si="12"/>
        <v>16</v>
      </c>
      <c r="Y44" s="657"/>
      <c r="Z44" s="539">
        <v>18</v>
      </c>
      <c r="AA44" s="416">
        <v>1278.2608695652175</v>
      </c>
      <c r="AB44" s="416">
        <v>71.014492753623188</v>
      </c>
      <c r="AC44" s="539">
        <f t="shared" si="13"/>
        <v>17</v>
      </c>
      <c r="AD44" s="657"/>
      <c r="AE44" s="539">
        <v>18</v>
      </c>
      <c r="AF44" s="416">
        <v>1271.0869565217392</v>
      </c>
      <c r="AG44" s="416">
        <v>70.615942028985515</v>
      </c>
      <c r="AH44" s="539">
        <f t="shared" si="14"/>
        <v>17</v>
      </c>
      <c r="AI44" s="657"/>
      <c r="AJ44" s="539">
        <v>18</v>
      </c>
      <c r="AK44" s="416">
        <v>1283.5000000000011</v>
      </c>
      <c r="AL44" s="416">
        <v>71.305555555555614</v>
      </c>
      <c r="AM44" s="539">
        <f t="shared" si="15"/>
        <v>17</v>
      </c>
      <c r="AN44" s="657"/>
      <c r="AO44" s="539">
        <v>18</v>
      </c>
      <c r="AP44" s="416">
        <v>1259.1724137931044</v>
      </c>
      <c r="AQ44" s="416">
        <v>69.954022988505798</v>
      </c>
      <c r="AR44" s="539">
        <f t="shared" si="16"/>
        <v>17</v>
      </c>
      <c r="AS44" s="657"/>
      <c r="AT44" s="539">
        <v>18</v>
      </c>
      <c r="AU44" s="416">
        <v>1269.6000000000013</v>
      </c>
      <c r="AV44" s="416">
        <v>70.533333333333402</v>
      </c>
      <c r="AW44" s="539">
        <f t="shared" si="17"/>
        <v>17</v>
      </c>
      <c r="AX44" s="657"/>
      <c r="AZ44" s="398" t="e">
        <f t="shared" si="18"/>
        <v>#N/A</v>
      </c>
      <c r="BA44" s="657"/>
    </row>
    <row r="45" spans="2:53">
      <c r="B45" s="643"/>
      <c r="C45" s="291">
        <v>4</v>
      </c>
      <c r="D45" s="225" t="s">
        <v>566</v>
      </c>
      <c r="E45" s="181">
        <v>18</v>
      </c>
      <c r="F45" s="383">
        <v>1500</v>
      </c>
      <c r="G45" s="384">
        <v>83.333333333333329</v>
      </c>
      <c r="H45" s="686"/>
      <c r="I45" s="391">
        <f t="shared" si="19"/>
        <v>18</v>
      </c>
      <c r="J45" s="391">
        <f t="shared" si="20"/>
        <v>1300.230616229145</v>
      </c>
      <c r="K45" s="199">
        <f t="shared" si="21"/>
        <v>72.235034234952494</v>
      </c>
      <c r="L45" s="617"/>
      <c r="M45" s="200">
        <f>RANK(K45, K$42:$K$71)</f>
        <v>15</v>
      </c>
      <c r="N45" s="635"/>
      <c r="O45" s="635"/>
      <c r="P45" s="539">
        <v>18</v>
      </c>
      <c r="Q45" s="416">
        <v>1310.4545454545455</v>
      </c>
      <c r="R45" s="416">
        <v>72.803030303030312</v>
      </c>
      <c r="S45" s="539">
        <f t="shared" si="11"/>
        <v>15</v>
      </c>
      <c r="T45" s="657"/>
      <c r="U45" s="416">
        <v>18</v>
      </c>
      <c r="V45" s="416">
        <v>1298.9999999999995</v>
      </c>
      <c r="W45" s="416">
        <v>72.166666666666643</v>
      </c>
      <c r="X45" s="539">
        <f t="shared" si="12"/>
        <v>15</v>
      </c>
      <c r="Y45" s="657"/>
      <c r="Z45" s="539">
        <v>18</v>
      </c>
      <c r="AA45" s="416">
        <v>1312.4999999999995</v>
      </c>
      <c r="AB45" s="416">
        <v>72.916666666666643</v>
      </c>
      <c r="AC45" s="539">
        <f t="shared" si="13"/>
        <v>15</v>
      </c>
      <c r="AD45" s="657"/>
      <c r="AE45" s="539">
        <v>18</v>
      </c>
      <c r="AF45" s="416">
        <v>1272.6315789473674</v>
      </c>
      <c r="AG45" s="416">
        <v>70.701754385964861</v>
      </c>
      <c r="AH45" s="539">
        <f t="shared" si="14"/>
        <v>16</v>
      </c>
      <c r="AI45" s="657"/>
      <c r="AJ45" s="539">
        <v>18</v>
      </c>
      <c r="AK45" s="416">
        <v>1284.2857142857138</v>
      </c>
      <c r="AL45" s="416">
        <v>71.349206349206327</v>
      </c>
      <c r="AM45" s="539">
        <f t="shared" si="15"/>
        <v>16</v>
      </c>
      <c r="AN45" s="657"/>
      <c r="AO45" s="539">
        <v>18</v>
      </c>
      <c r="AP45" s="416">
        <v>1300.4347826086957</v>
      </c>
      <c r="AQ45" s="416">
        <v>72.246376811594203</v>
      </c>
      <c r="AR45" s="539">
        <f t="shared" si="16"/>
        <v>15</v>
      </c>
      <c r="AS45" s="657"/>
      <c r="AT45" s="539">
        <v>18</v>
      </c>
      <c r="AU45" s="416">
        <v>1322.3076923076931</v>
      </c>
      <c r="AV45" s="416">
        <v>73.46153846153851</v>
      </c>
      <c r="AW45" s="539">
        <f t="shared" si="17"/>
        <v>15</v>
      </c>
      <c r="AX45" s="657"/>
      <c r="AZ45" s="398" t="e">
        <f t="shared" si="18"/>
        <v>#N/A</v>
      </c>
      <c r="BA45" s="657"/>
    </row>
    <row r="46" spans="2:53">
      <c r="B46" s="643"/>
      <c r="C46" s="291">
        <v>5</v>
      </c>
      <c r="D46" s="225" t="s">
        <v>346</v>
      </c>
      <c r="E46" s="181">
        <v>16</v>
      </c>
      <c r="F46" s="383">
        <v>1565</v>
      </c>
      <c r="G46" s="384">
        <v>97.8125</v>
      </c>
      <c r="H46" s="686"/>
      <c r="I46" s="391">
        <f t="shared" si="19"/>
        <v>16</v>
      </c>
      <c r="J46" s="391">
        <f t="shared" si="20"/>
        <v>1386.196182647092</v>
      </c>
      <c r="K46" s="199">
        <f t="shared" si="21"/>
        <v>86.637261415443248</v>
      </c>
      <c r="L46" s="617"/>
      <c r="M46" s="200">
        <f>RANK(K46, K$42:$K$71)</f>
        <v>4</v>
      </c>
      <c r="N46" s="635"/>
      <c r="O46" s="635"/>
      <c r="P46" s="539">
        <v>16</v>
      </c>
      <c r="Q46" s="416">
        <v>1368.9473684210516</v>
      </c>
      <c r="R46" s="416">
        <v>85.559210526315724</v>
      </c>
      <c r="S46" s="539">
        <f t="shared" si="11"/>
        <v>5</v>
      </c>
      <c r="T46" s="657"/>
      <c r="U46" s="416">
        <v>16</v>
      </c>
      <c r="V46" s="416">
        <v>1341.4925373134345</v>
      </c>
      <c r="W46" s="416">
        <v>83.843283582089654</v>
      </c>
      <c r="X46" s="539">
        <f t="shared" si="12"/>
        <v>5</v>
      </c>
      <c r="Y46" s="657"/>
      <c r="Z46" s="539">
        <v>16</v>
      </c>
      <c r="AA46" s="416">
        <v>1406.4406779661028</v>
      </c>
      <c r="AB46" s="416">
        <v>87.902542372881427</v>
      </c>
      <c r="AC46" s="539">
        <f t="shared" si="13"/>
        <v>4</v>
      </c>
      <c r="AD46" s="657"/>
      <c r="AE46" s="539">
        <v>16</v>
      </c>
      <c r="AF46" s="416">
        <v>1391.3793103448286</v>
      </c>
      <c r="AG46" s="416">
        <v>86.961206896551786</v>
      </c>
      <c r="AH46" s="539">
        <f t="shared" si="14"/>
        <v>4</v>
      </c>
      <c r="AI46" s="657"/>
      <c r="AJ46" s="539">
        <v>16</v>
      </c>
      <c r="AK46" s="416">
        <v>1406.9565217391289</v>
      </c>
      <c r="AL46" s="416">
        <v>87.934782608695556</v>
      </c>
      <c r="AM46" s="539">
        <f t="shared" si="15"/>
        <v>4</v>
      </c>
      <c r="AN46" s="657"/>
      <c r="AO46" s="539">
        <v>16</v>
      </c>
      <c r="AP46" s="416">
        <v>1393.3333333333328</v>
      </c>
      <c r="AQ46" s="416">
        <v>87.0833333333333</v>
      </c>
      <c r="AR46" s="539">
        <f t="shared" si="16"/>
        <v>5</v>
      </c>
      <c r="AS46" s="657"/>
      <c r="AT46" s="539">
        <v>16</v>
      </c>
      <c r="AU46" s="416">
        <v>1394.8235294117644</v>
      </c>
      <c r="AV46" s="416">
        <v>87.176470588235276</v>
      </c>
      <c r="AW46" s="539">
        <f t="shared" si="17"/>
        <v>5</v>
      </c>
      <c r="AX46" s="657"/>
      <c r="AZ46" s="398" t="e">
        <f t="shared" si="18"/>
        <v>#N/A</v>
      </c>
      <c r="BA46" s="657"/>
    </row>
    <row r="47" spans="2:53">
      <c r="B47" s="643"/>
      <c r="C47" s="291">
        <v>6</v>
      </c>
      <c r="D47" s="225" t="s">
        <v>567</v>
      </c>
      <c r="E47" s="181">
        <v>21</v>
      </c>
      <c r="F47" s="383">
        <v>1500</v>
      </c>
      <c r="G47" s="384">
        <v>71.428571428571431</v>
      </c>
      <c r="H47" s="686"/>
      <c r="I47" s="391">
        <f t="shared" si="19"/>
        <v>21</v>
      </c>
      <c r="J47" s="391">
        <f t="shared" si="20"/>
        <v>1274.8214652744475</v>
      </c>
      <c r="K47" s="199">
        <f t="shared" si="21"/>
        <v>60.705784060687975</v>
      </c>
      <c r="L47" s="617"/>
      <c r="M47" s="200">
        <f>RANK(K47, K$42:$K$71)</f>
        <v>22</v>
      </c>
      <c r="N47" s="635"/>
      <c r="O47" s="635"/>
      <c r="P47" s="539">
        <v>21</v>
      </c>
      <c r="Q47" s="416">
        <v>1253.1818181818182</v>
      </c>
      <c r="R47" s="416">
        <v>59.675324675324681</v>
      </c>
      <c r="S47" s="539">
        <f t="shared" si="11"/>
        <v>22</v>
      </c>
      <c r="T47" s="657"/>
      <c r="U47" s="416">
        <v>21</v>
      </c>
      <c r="V47" s="416">
        <v>1258.3783783783774</v>
      </c>
      <c r="W47" s="416">
        <v>59.922779922779874</v>
      </c>
      <c r="X47" s="539">
        <f t="shared" si="12"/>
        <v>22</v>
      </c>
      <c r="Y47" s="657"/>
      <c r="Z47" s="539">
        <v>21</v>
      </c>
      <c r="AA47" s="416">
        <v>1276.6666666666656</v>
      </c>
      <c r="AB47" s="416">
        <v>60.793650793650741</v>
      </c>
      <c r="AC47" s="539">
        <f t="shared" si="13"/>
        <v>21</v>
      </c>
      <c r="AD47" s="657"/>
      <c r="AE47" s="539">
        <v>21</v>
      </c>
      <c r="AF47" s="416">
        <v>1296.3636363636347</v>
      </c>
      <c r="AG47" s="416">
        <v>61.73160173160165</v>
      </c>
      <c r="AH47" s="539">
        <f t="shared" si="14"/>
        <v>21</v>
      </c>
      <c r="AI47" s="657"/>
      <c r="AJ47" s="539">
        <v>21</v>
      </c>
      <c r="AK47" s="416">
        <v>1280.9999999999995</v>
      </c>
      <c r="AL47" s="416">
        <v>60.999999999999979</v>
      </c>
      <c r="AM47" s="539">
        <f t="shared" si="15"/>
        <v>21</v>
      </c>
      <c r="AN47" s="657"/>
      <c r="AO47" s="539">
        <v>21</v>
      </c>
      <c r="AP47" s="416">
        <v>1285.1162790697672</v>
      </c>
      <c r="AQ47" s="416">
        <v>61.196013289036536</v>
      </c>
      <c r="AR47" s="539">
        <f t="shared" si="16"/>
        <v>21</v>
      </c>
      <c r="AS47" s="657"/>
      <c r="AT47" s="539">
        <v>21</v>
      </c>
      <c r="AU47" s="416">
        <v>1273.0434782608695</v>
      </c>
      <c r="AV47" s="416">
        <v>60.621118012422357</v>
      </c>
      <c r="AW47" s="539">
        <f t="shared" si="17"/>
        <v>22</v>
      </c>
      <c r="AX47" s="657"/>
      <c r="AZ47" s="398" t="e">
        <f t="shared" si="18"/>
        <v>#N/A</v>
      </c>
      <c r="BA47" s="657"/>
    </row>
    <row r="48" spans="2:53">
      <c r="B48" s="643"/>
      <c r="C48" s="291">
        <v>7</v>
      </c>
      <c r="D48" s="225" t="s">
        <v>635</v>
      </c>
      <c r="E48" s="181">
        <v>20</v>
      </c>
      <c r="F48" s="383">
        <v>1300</v>
      </c>
      <c r="G48" s="384">
        <v>65</v>
      </c>
      <c r="H48" s="686"/>
      <c r="I48" s="391">
        <f t="shared" si="19"/>
        <v>20</v>
      </c>
      <c r="J48" s="391">
        <f t="shared" si="20"/>
        <v>1075.343649008785</v>
      </c>
      <c r="K48" s="199">
        <f t="shared" si="21"/>
        <v>53.767182450439243</v>
      </c>
      <c r="L48" s="617"/>
      <c r="M48" s="200">
        <f>RANK(K48, K$42:$K$71)</f>
        <v>23</v>
      </c>
      <c r="N48" s="635"/>
      <c r="O48" s="635"/>
      <c r="P48" s="539">
        <v>20</v>
      </c>
      <c r="Q48" s="416">
        <v>1089.5238095238105</v>
      </c>
      <c r="R48" s="416">
        <v>54.476190476190524</v>
      </c>
      <c r="S48" s="539">
        <f t="shared" si="11"/>
        <v>23</v>
      </c>
      <c r="T48" s="657"/>
      <c r="U48" s="416">
        <v>20</v>
      </c>
      <c r="V48" s="416">
        <v>1082.0338983050856</v>
      </c>
      <c r="W48" s="416">
        <v>54.101694915254278</v>
      </c>
      <c r="X48" s="539">
        <f t="shared" si="12"/>
        <v>23</v>
      </c>
      <c r="Y48" s="657"/>
      <c r="Z48" s="539">
        <v>20</v>
      </c>
      <c r="AA48" s="416">
        <v>1090.1886792452835</v>
      </c>
      <c r="AB48" s="416">
        <v>54.509433962264175</v>
      </c>
      <c r="AC48" s="539">
        <f t="shared" si="13"/>
        <v>23</v>
      </c>
      <c r="AD48" s="657"/>
      <c r="AE48" s="539">
        <v>20</v>
      </c>
      <c r="AF48" s="416">
        <v>1074.5454545454545</v>
      </c>
      <c r="AG48" s="416">
        <v>53.727272727272727</v>
      </c>
      <c r="AH48" s="539">
        <f t="shared" si="14"/>
        <v>23</v>
      </c>
      <c r="AI48" s="657"/>
      <c r="AJ48" s="539">
        <v>20</v>
      </c>
      <c r="AK48" s="416">
        <v>1050.5263157894747</v>
      </c>
      <c r="AL48" s="416">
        <v>52.526315789473735</v>
      </c>
      <c r="AM48" s="539">
        <f t="shared" si="15"/>
        <v>23</v>
      </c>
      <c r="AN48" s="657"/>
      <c r="AO48" s="539">
        <v>20</v>
      </c>
      <c r="AP48" s="416">
        <v>1083.8709677419365</v>
      </c>
      <c r="AQ48" s="416">
        <v>54.193548387096826</v>
      </c>
      <c r="AR48" s="539">
        <f t="shared" si="16"/>
        <v>23</v>
      </c>
      <c r="AS48" s="657"/>
      <c r="AT48" s="539">
        <v>20</v>
      </c>
      <c r="AU48" s="416">
        <v>1056.7164179104491</v>
      </c>
      <c r="AV48" s="416">
        <v>52.835820895522453</v>
      </c>
      <c r="AW48" s="539">
        <f t="shared" si="17"/>
        <v>23</v>
      </c>
      <c r="AX48" s="657"/>
      <c r="AZ48" s="398" t="e">
        <f t="shared" si="18"/>
        <v>#N/A</v>
      </c>
      <c r="BA48" s="657"/>
    </row>
    <row r="49" spans="2:53">
      <c r="B49" s="643"/>
      <c r="C49" s="291">
        <v>8</v>
      </c>
      <c r="D49" s="225" t="s">
        <v>698</v>
      </c>
      <c r="E49" s="181">
        <v>16</v>
      </c>
      <c r="F49" s="383">
        <v>1500</v>
      </c>
      <c r="G49" s="384">
        <v>93.75</v>
      </c>
      <c r="H49" s="686"/>
      <c r="I49" s="391">
        <f t="shared" si="19"/>
        <v>16</v>
      </c>
      <c r="J49" s="391">
        <f t="shared" si="20"/>
        <v>1330.2353295308262</v>
      </c>
      <c r="K49" s="199">
        <f t="shared" si="21"/>
        <v>83.139708095676639</v>
      </c>
      <c r="L49" s="617"/>
      <c r="M49" s="200">
        <f>RANK(K49, K$42:$K$71)</f>
        <v>7</v>
      </c>
      <c r="N49" s="635"/>
      <c r="O49" s="635"/>
      <c r="P49" s="539">
        <v>16</v>
      </c>
      <c r="Q49" s="416">
        <v>1316.0526315789464</v>
      </c>
      <c r="R49" s="416">
        <v>82.253289473684148</v>
      </c>
      <c r="S49" s="539">
        <f t="shared" si="11"/>
        <v>8</v>
      </c>
      <c r="T49" s="657"/>
      <c r="U49" s="416">
        <v>16</v>
      </c>
      <c r="V49" s="416">
        <v>1286.3636363636379</v>
      </c>
      <c r="W49" s="416">
        <v>80.397727272727366</v>
      </c>
      <c r="X49" s="539">
        <f t="shared" si="12"/>
        <v>8</v>
      </c>
      <c r="Y49" s="657"/>
      <c r="Z49" s="539">
        <v>16</v>
      </c>
      <c r="AA49" s="416">
        <v>1330.8196721311488</v>
      </c>
      <c r="AB49" s="416">
        <v>83.176229508196798</v>
      </c>
      <c r="AC49" s="539">
        <f t="shared" si="13"/>
        <v>7</v>
      </c>
      <c r="AD49" s="657"/>
      <c r="AE49" s="539">
        <v>16</v>
      </c>
      <c r="AF49" s="416">
        <v>1346.1818181818192</v>
      </c>
      <c r="AG49" s="416">
        <v>84.136363636363697</v>
      </c>
      <c r="AH49" s="539">
        <f t="shared" si="14"/>
        <v>6</v>
      </c>
      <c r="AI49" s="657"/>
      <c r="AJ49" s="539">
        <v>16</v>
      </c>
      <c r="AK49" s="416">
        <v>1347.7611940298525</v>
      </c>
      <c r="AL49" s="416">
        <v>84.235074626865782</v>
      </c>
      <c r="AM49" s="539">
        <f t="shared" si="15"/>
        <v>6</v>
      </c>
      <c r="AN49" s="657"/>
      <c r="AO49" s="539">
        <v>16</v>
      </c>
      <c r="AP49" s="416">
        <v>1337.4683544303791</v>
      </c>
      <c r="AQ49" s="416">
        <v>83.591772151898695</v>
      </c>
      <c r="AR49" s="539">
        <f t="shared" si="16"/>
        <v>7</v>
      </c>
      <c r="AS49" s="657"/>
      <c r="AT49" s="539">
        <v>16</v>
      </c>
      <c r="AU49" s="416">
        <v>1346.9999999999995</v>
      </c>
      <c r="AV49" s="416">
        <v>84.187499999999972</v>
      </c>
      <c r="AW49" s="539">
        <f t="shared" si="17"/>
        <v>7</v>
      </c>
      <c r="AX49" s="657"/>
      <c r="AZ49" s="398" t="e">
        <f t="shared" si="18"/>
        <v>#N/A</v>
      </c>
      <c r="BA49" s="657"/>
    </row>
    <row r="50" spans="2:53">
      <c r="B50" s="643"/>
      <c r="C50" s="291">
        <v>9</v>
      </c>
      <c r="D50" s="225" t="s">
        <v>592</v>
      </c>
      <c r="E50" s="181">
        <v>16</v>
      </c>
      <c r="F50" s="383">
        <v>1440</v>
      </c>
      <c r="G50" s="384">
        <v>90</v>
      </c>
      <c r="H50" s="686"/>
      <c r="I50" s="391">
        <f t="shared" si="19"/>
        <v>16</v>
      </c>
      <c r="J50" s="391">
        <f t="shared" si="20"/>
        <v>1311.2444746979259</v>
      </c>
      <c r="K50" s="199">
        <f t="shared" si="21"/>
        <v>81.952779668620366</v>
      </c>
      <c r="L50" s="617"/>
      <c r="M50" s="200">
        <f>RANK(K50, K$42:$K$71)</f>
        <v>9</v>
      </c>
      <c r="N50" s="635"/>
      <c r="O50" s="635"/>
      <c r="P50" s="539">
        <v>16</v>
      </c>
      <c r="Q50" s="416">
        <v>1338.2608695652175</v>
      </c>
      <c r="R50" s="416">
        <v>83.641304347826093</v>
      </c>
      <c r="S50" s="539">
        <f t="shared" si="11"/>
        <v>7</v>
      </c>
      <c r="T50" s="657"/>
      <c r="U50" s="416">
        <v>16</v>
      </c>
      <c r="V50" s="416">
        <v>1321.4999999999995</v>
      </c>
      <c r="W50" s="416">
        <v>82.593749999999972</v>
      </c>
      <c r="X50" s="539">
        <f t="shared" si="12"/>
        <v>7</v>
      </c>
      <c r="Y50" s="657"/>
      <c r="Z50" s="539">
        <v>16</v>
      </c>
      <c r="AA50" s="416">
        <v>1299.9999999999991</v>
      </c>
      <c r="AB50" s="416">
        <v>81.249999999999943</v>
      </c>
      <c r="AC50" s="539">
        <f t="shared" si="13"/>
        <v>10</v>
      </c>
      <c r="AD50" s="657"/>
      <c r="AE50" s="539">
        <v>16</v>
      </c>
      <c r="AF50" s="416">
        <v>1322.8571428571424</v>
      </c>
      <c r="AG50" s="416">
        <v>82.678571428571402</v>
      </c>
      <c r="AH50" s="539">
        <f t="shared" si="14"/>
        <v>8</v>
      </c>
      <c r="AI50" s="657"/>
      <c r="AJ50" s="539">
        <v>16</v>
      </c>
      <c r="AK50" s="416">
        <v>1300.8000000000004</v>
      </c>
      <c r="AL50" s="416">
        <v>81.300000000000026</v>
      </c>
      <c r="AM50" s="539">
        <f t="shared" si="15"/>
        <v>8</v>
      </c>
      <c r="AN50" s="657"/>
      <c r="AO50" s="539">
        <v>16</v>
      </c>
      <c r="AP50" s="416">
        <v>1304.7272727272737</v>
      </c>
      <c r="AQ50" s="416">
        <v>81.545454545454604</v>
      </c>
      <c r="AR50" s="539">
        <f t="shared" si="16"/>
        <v>9</v>
      </c>
      <c r="AS50" s="657"/>
      <c r="AT50" s="539">
        <v>16</v>
      </c>
      <c r="AU50" s="416">
        <v>1290.5660377358497</v>
      </c>
      <c r="AV50" s="416">
        <v>80.660377358490607</v>
      </c>
      <c r="AW50" s="539">
        <f t="shared" si="17"/>
        <v>9</v>
      </c>
      <c r="AX50" s="657"/>
      <c r="AZ50" s="398" t="e">
        <f t="shared" si="18"/>
        <v>#N/A</v>
      </c>
      <c r="BA50" s="657"/>
    </row>
    <row r="51" spans="2:53">
      <c r="B51" s="643"/>
      <c r="C51" s="291">
        <v>10</v>
      </c>
      <c r="D51" s="225" t="s">
        <v>593</v>
      </c>
      <c r="E51" s="181">
        <v>18</v>
      </c>
      <c r="F51" s="383">
        <v>1636</v>
      </c>
      <c r="G51" s="384">
        <v>90.888888888888886</v>
      </c>
      <c r="H51" s="686"/>
      <c r="I51" s="391">
        <f t="shared" si="19"/>
        <v>18</v>
      </c>
      <c r="J51" s="391">
        <f t="shared" si="20"/>
        <v>1380.7806057870384</v>
      </c>
      <c r="K51" s="199">
        <f t="shared" si="21"/>
        <v>76.710033654835456</v>
      </c>
      <c r="L51" s="617"/>
      <c r="M51" s="200">
        <f>RANK(K51, K$42:$K$71)</f>
        <v>13</v>
      </c>
      <c r="N51" s="635"/>
      <c r="O51" s="635"/>
      <c r="P51" s="539">
        <v>18</v>
      </c>
      <c r="Q51" s="416">
        <v>1420.3448275862079</v>
      </c>
      <c r="R51" s="416">
        <v>78.908045977011554</v>
      </c>
      <c r="S51" s="539">
        <f t="shared" si="11"/>
        <v>11</v>
      </c>
      <c r="T51" s="657"/>
      <c r="U51" s="416">
        <v>18</v>
      </c>
      <c r="V51" s="416">
        <v>1388.8888888888896</v>
      </c>
      <c r="W51" s="416">
        <v>77.160493827160536</v>
      </c>
      <c r="X51" s="539">
        <f t="shared" si="12"/>
        <v>12</v>
      </c>
      <c r="Y51" s="657"/>
      <c r="Z51" s="539">
        <v>18</v>
      </c>
      <c r="AA51" s="416">
        <v>1343.5294117647065</v>
      </c>
      <c r="AB51" s="416">
        <v>74.640522875817027</v>
      </c>
      <c r="AC51" s="539">
        <f t="shared" si="13"/>
        <v>13</v>
      </c>
      <c r="AD51" s="657"/>
      <c r="AE51" s="539">
        <v>18</v>
      </c>
      <c r="AF51" s="416">
        <v>1353.8181818181827</v>
      </c>
      <c r="AG51" s="416">
        <v>75.212121212121261</v>
      </c>
      <c r="AH51" s="539">
        <f t="shared" si="14"/>
        <v>13</v>
      </c>
      <c r="AI51" s="657"/>
      <c r="AJ51" s="539">
        <v>18</v>
      </c>
      <c r="AK51" s="416">
        <v>1348.0645161290336</v>
      </c>
      <c r="AL51" s="416">
        <v>74.892473118279639</v>
      </c>
      <c r="AM51" s="539">
        <f t="shared" si="15"/>
        <v>13</v>
      </c>
      <c r="AN51" s="657"/>
      <c r="AO51" s="539">
        <v>18</v>
      </c>
      <c r="AP51" s="416">
        <v>1404.3478260869551</v>
      </c>
      <c r="AQ51" s="416">
        <v>78.019323671497503</v>
      </c>
      <c r="AR51" s="539">
        <f t="shared" si="16"/>
        <v>11</v>
      </c>
      <c r="AS51" s="657"/>
      <c r="AT51" s="539">
        <v>18</v>
      </c>
      <c r="AU51" s="416">
        <v>1406.4705882352923</v>
      </c>
      <c r="AV51" s="416">
        <v>78.137254901960688</v>
      </c>
      <c r="AW51" s="539">
        <f t="shared" si="17"/>
        <v>12</v>
      </c>
      <c r="AX51" s="657"/>
      <c r="AZ51" s="398" t="e">
        <f t="shared" si="18"/>
        <v>#N/A</v>
      </c>
      <c r="BA51" s="657"/>
    </row>
    <row r="52" spans="2:53">
      <c r="B52" s="643"/>
      <c r="C52" s="291">
        <v>11</v>
      </c>
      <c r="D52" s="225" t="s">
        <v>594</v>
      </c>
      <c r="E52" s="181">
        <v>18</v>
      </c>
      <c r="F52" s="383">
        <v>1636</v>
      </c>
      <c r="G52" s="384">
        <v>90.888888888888886</v>
      </c>
      <c r="H52" s="686"/>
      <c r="I52" s="391">
        <f t="shared" si="19"/>
        <v>18</v>
      </c>
      <c r="J52" s="391">
        <f t="shared" si="20"/>
        <v>1354.7738015863322</v>
      </c>
      <c r="K52" s="199">
        <f t="shared" si="21"/>
        <v>75.265211199240682</v>
      </c>
      <c r="L52" s="617"/>
      <c r="M52" s="200">
        <f>RANK(K52, K$42:$K$71)</f>
        <v>14</v>
      </c>
      <c r="N52" s="635"/>
      <c r="O52" s="635"/>
      <c r="P52" s="539">
        <v>18</v>
      </c>
      <c r="Q52" s="416">
        <v>1396.8000000000004</v>
      </c>
      <c r="R52" s="416">
        <v>77.600000000000023</v>
      </c>
      <c r="S52" s="539">
        <f t="shared" si="11"/>
        <v>13</v>
      </c>
      <c r="T52" s="657"/>
      <c r="U52" s="416">
        <v>18</v>
      </c>
      <c r="V52" s="416">
        <v>1313.617021276596</v>
      </c>
      <c r="W52" s="416">
        <v>72.978723404255334</v>
      </c>
      <c r="X52" s="539">
        <f t="shared" si="12"/>
        <v>14</v>
      </c>
      <c r="Y52" s="657"/>
      <c r="Z52" s="539">
        <v>18</v>
      </c>
      <c r="AA52" s="416">
        <v>1333.4999999999995</v>
      </c>
      <c r="AB52" s="416">
        <v>74.083333333333314</v>
      </c>
      <c r="AC52" s="539">
        <f t="shared" si="13"/>
        <v>14</v>
      </c>
      <c r="AD52" s="657"/>
      <c r="AE52" s="539">
        <v>18</v>
      </c>
      <c r="AF52" s="416">
        <v>1344.7826086956522</v>
      </c>
      <c r="AG52" s="416">
        <v>74.710144927536234</v>
      </c>
      <c r="AH52" s="539">
        <f t="shared" si="14"/>
        <v>14</v>
      </c>
      <c r="AI52" s="657"/>
      <c r="AJ52" s="539">
        <v>18</v>
      </c>
      <c r="AK52" s="416">
        <v>1332.0000000000005</v>
      </c>
      <c r="AL52" s="416">
        <v>74.000000000000028</v>
      </c>
      <c r="AM52" s="539">
        <f t="shared" si="15"/>
        <v>14</v>
      </c>
      <c r="AN52" s="657"/>
      <c r="AO52" s="539">
        <v>18</v>
      </c>
      <c r="AP52" s="416">
        <v>1368.0000000000009</v>
      </c>
      <c r="AQ52" s="416">
        <v>76.000000000000057</v>
      </c>
      <c r="AR52" s="539">
        <f t="shared" si="16"/>
        <v>13</v>
      </c>
      <c r="AS52" s="657"/>
      <c r="AT52" s="539">
        <v>18</v>
      </c>
      <c r="AU52" s="416">
        <v>1394.7169811320762</v>
      </c>
      <c r="AV52" s="416">
        <v>77.484276729559781</v>
      </c>
      <c r="AW52" s="539">
        <f t="shared" si="17"/>
        <v>13</v>
      </c>
      <c r="AX52" s="657"/>
      <c r="AZ52" s="398" t="e">
        <f t="shared" si="18"/>
        <v>#N/A</v>
      </c>
      <c r="BA52" s="657"/>
    </row>
    <row r="53" spans="2:53">
      <c r="B53" s="643"/>
      <c r="C53" s="291">
        <v>12</v>
      </c>
      <c r="D53" s="225" t="s">
        <v>334</v>
      </c>
      <c r="E53" s="181">
        <v>17</v>
      </c>
      <c r="F53" s="383">
        <v>1500</v>
      </c>
      <c r="G53" s="384">
        <v>88.235294117647058</v>
      </c>
      <c r="H53" s="686"/>
      <c r="I53" s="391">
        <f t="shared" si="19"/>
        <v>17</v>
      </c>
      <c r="J53" s="391">
        <f t="shared" si="20"/>
        <v>1396.5923137146535</v>
      </c>
      <c r="K53" s="199">
        <f t="shared" si="21"/>
        <v>82.152489042038468</v>
      </c>
      <c r="L53" s="617"/>
      <c r="M53" s="200">
        <f>RANK(K53, K$42:$K$71)</f>
        <v>8</v>
      </c>
      <c r="N53" s="635"/>
      <c r="O53" s="635"/>
      <c r="P53" s="539">
        <v>17</v>
      </c>
      <c r="Q53" s="416">
        <v>1371.8181818181818</v>
      </c>
      <c r="R53" s="416">
        <v>80.695187165775394</v>
      </c>
      <c r="S53" s="539">
        <f t="shared" si="11"/>
        <v>10</v>
      </c>
      <c r="T53" s="657"/>
      <c r="U53" s="416">
        <v>17</v>
      </c>
      <c r="V53" s="416">
        <v>1336.2162162162151</v>
      </c>
      <c r="W53" s="416">
        <v>78.600953895071484</v>
      </c>
      <c r="X53" s="539">
        <f t="shared" si="12"/>
        <v>10</v>
      </c>
      <c r="Y53" s="657"/>
      <c r="Z53" s="539">
        <v>17</v>
      </c>
      <c r="AA53" s="416">
        <v>1406.2499999999982</v>
      </c>
      <c r="AB53" s="416">
        <v>82.720588235294016</v>
      </c>
      <c r="AC53" s="539">
        <f t="shared" si="13"/>
        <v>8</v>
      </c>
      <c r="AD53" s="657"/>
      <c r="AE53" s="539">
        <v>17</v>
      </c>
      <c r="AF53" s="416">
        <v>1423.7837837837828</v>
      </c>
      <c r="AG53" s="416">
        <v>83.751987281398996</v>
      </c>
      <c r="AH53" s="539">
        <f t="shared" si="14"/>
        <v>7</v>
      </c>
      <c r="AI53" s="657"/>
      <c r="AJ53" s="539">
        <v>17</v>
      </c>
      <c r="AK53" s="416">
        <v>1397.3333333333333</v>
      </c>
      <c r="AL53" s="416">
        <v>82.196078431372541</v>
      </c>
      <c r="AM53" s="539">
        <f t="shared" si="15"/>
        <v>7</v>
      </c>
      <c r="AN53" s="657"/>
      <c r="AO53" s="539">
        <v>17</v>
      </c>
      <c r="AP53" s="416">
        <v>1415.744680851064</v>
      </c>
      <c r="AQ53" s="416">
        <v>83.279098873592005</v>
      </c>
      <c r="AR53" s="539">
        <f t="shared" si="16"/>
        <v>8</v>
      </c>
      <c r="AS53" s="657"/>
      <c r="AT53" s="539">
        <v>17</v>
      </c>
      <c r="AU53" s="416">
        <v>1425</v>
      </c>
      <c r="AV53" s="416">
        <v>83.82352941176471</v>
      </c>
      <c r="AW53" s="539">
        <f t="shared" si="17"/>
        <v>8</v>
      </c>
      <c r="AX53" s="657"/>
      <c r="AZ53" s="398" t="e">
        <f t="shared" si="18"/>
        <v>#N/A</v>
      </c>
      <c r="BA53" s="657"/>
    </row>
    <row r="54" spans="2:53">
      <c r="B54" s="643"/>
      <c r="C54" s="291">
        <v>13</v>
      </c>
      <c r="D54" s="225" t="s">
        <v>525</v>
      </c>
      <c r="E54" s="181">
        <v>20</v>
      </c>
      <c r="F54" s="383">
        <v>1440</v>
      </c>
      <c r="G54" s="384">
        <v>72</v>
      </c>
      <c r="H54" s="686"/>
      <c r="I54" s="391">
        <f t="shared" si="19"/>
        <v>20</v>
      </c>
      <c r="J54" s="391">
        <f t="shared" si="20"/>
        <v>1337.5275434753196</v>
      </c>
      <c r="K54" s="199">
        <f t="shared" si="21"/>
        <v>66.876377173765974</v>
      </c>
      <c r="L54" s="617"/>
      <c r="M54" s="200">
        <f>RANK(K54, K$42:$K$71)</f>
        <v>19</v>
      </c>
      <c r="N54" s="635"/>
      <c r="O54" s="635"/>
      <c r="P54" s="539">
        <v>20</v>
      </c>
      <c r="Q54" s="416">
        <v>1328.5714285714273</v>
      </c>
      <c r="R54" s="416">
        <v>66.42857142857136</v>
      </c>
      <c r="S54" s="539">
        <f t="shared" si="11"/>
        <v>19</v>
      </c>
      <c r="T54" s="657"/>
      <c r="U54" s="416">
        <v>20</v>
      </c>
      <c r="V54" s="416">
        <v>1261.8750000000016</v>
      </c>
      <c r="W54" s="416">
        <v>63.093750000000078</v>
      </c>
      <c r="X54" s="539">
        <f t="shared" si="12"/>
        <v>20</v>
      </c>
      <c r="Y54" s="657"/>
      <c r="Z54" s="539">
        <v>20</v>
      </c>
      <c r="AA54" s="416">
        <v>1350.0000000000005</v>
      </c>
      <c r="AB54" s="416">
        <v>67.500000000000028</v>
      </c>
      <c r="AC54" s="539">
        <f t="shared" si="13"/>
        <v>18</v>
      </c>
      <c r="AD54" s="657"/>
      <c r="AE54" s="539">
        <v>20</v>
      </c>
      <c r="AF54" s="416">
        <v>1351.698113207548</v>
      </c>
      <c r="AG54" s="416">
        <v>67.584905660377402</v>
      </c>
      <c r="AH54" s="539">
        <f t="shared" si="14"/>
        <v>18</v>
      </c>
      <c r="AI54" s="657"/>
      <c r="AJ54" s="539">
        <v>20</v>
      </c>
      <c r="AK54" s="416">
        <v>1350.8571428571415</v>
      </c>
      <c r="AL54" s="416">
        <v>67.542857142857073</v>
      </c>
      <c r="AM54" s="539">
        <f t="shared" si="15"/>
        <v>18</v>
      </c>
      <c r="AN54" s="657"/>
      <c r="AO54" s="539">
        <v>20</v>
      </c>
      <c r="AP54" s="416">
        <v>1365.4054054054045</v>
      </c>
      <c r="AQ54" s="416">
        <v>68.270270270270231</v>
      </c>
      <c r="AR54" s="539">
        <f t="shared" si="16"/>
        <v>18</v>
      </c>
      <c r="AS54" s="657"/>
      <c r="AT54" s="539">
        <v>20</v>
      </c>
      <c r="AU54" s="416">
        <v>1354.2857142857135</v>
      </c>
      <c r="AV54" s="416">
        <v>67.71428571428568</v>
      </c>
      <c r="AW54" s="539">
        <f t="shared" si="17"/>
        <v>18</v>
      </c>
      <c r="AX54" s="657"/>
      <c r="AZ54" s="398" t="e">
        <f t="shared" si="18"/>
        <v>#N/A</v>
      </c>
      <c r="BA54" s="657"/>
    </row>
    <row r="55" spans="2:53">
      <c r="B55" s="643"/>
      <c r="C55" s="291">
        <v>14</v>
      </c>
      <c r="D55" s="225" t="s">
        <v>347</v>
      </c>
      <c r="E55" s="181">
        <v>14</v>
      </c>
      <c r="F55" s="383">
        <v>1440</v>
      </c>
      <c r="G55" s="384">
        <v>102.85714285714286</v>
      </c>
      <c r="H55" s="686"/>
      <c r="I55" s="391">
        <f t="shared" si="19"/>
        <v>14.714285714285714</v>
      </c>
      <c r="J55" s="391">
        <f t="shared" si="20"/>
        <v>1342.3087280195098</v>
      </c>
      <c r="K55" s="199">
        <f t="shared" si="21"/>
        <v>91.278530783382536</v>
      </c>
      <c r="L55" s="617"/>
      <c r="M55" s="200">
        <f>RANK(K55, K$42:$K$71)</f>
        <v>3</v>
      </c>
      <c r="N55" s="635"/>
      <c r="O55" s="635"/>
      <c r="P55" s="539">
        <v>14</v>
      </c>
      <c r="Q55" s="416">
        <v>1333.5849056603781</v>
      </c>
      <c r="R55" s="416">
        <v>95.256064690027003</v>
      </c>
      <c r="S55" s="539">
        <f t="shared" si="11"/>
        <v>3</v>
      </c>
      <c r="T55" s="657"/>
      <c r="U55" s="416">
        <v>14</v>
      </c>
      <c r="V55" s="416">
        <v>1299.6000000000004</v>
      </c>
      <c r="W55" s="416">
        <v>92.82857142857145</v>
      </c>
      <c r="X55" s="539">
        <f t="shared" si="12"/>
        <v>3</v>
      </c>
      <c r="Y55" s="657"/>
      <c r="Z55" s="539">
        <v>15</v>
      </c>
      <c r="AA55" s="416">
        <v>1339.9999999999993</v>
      </c>
      <c r="AB55" s="416">
        <v>89.333333333333286</v>
      </c>
      <c r="AC55" s="539">
        <f t="shared" si="13"/>
        <v>3</v>
      </c>
      <c r="AD55" s="657"/>
      <c r="AE55" s="539">
        <v>15</v>
      </c>
      <c r="AF55" s="416">
        <v>1367.5000000000005</v>
      </c>
      <c r="AG55" s="416">
        <v>91.1666666666667</v>
      </c>
      <c r="AH55" s="539">
        <f t="shared" si="14"/>
        <v>3</v>
      </c>
      <c r="AI55" s="657"/>
      <c r="AJ55" s="539">
        <v>15</v>
      </c>
      <c r="AK55" s="416">
        <v>1353.3333333333342</v>
      </c>
      <c r="AL55" s="416">
        <v>90.222222222222271</v>
      </c>
      <c r="AM55" s="539">
        <f t="shared" si="15"/>
        <v>3</v>
      </c>
      <c r="AN55" s="657"/>
      <c r="AO55" s="539">
        <v>15</v>
      </c>
      <c r="AP55" s="416">
        <v>1350.0000000000007</v>
      </c>
      <c r="AQ55" s="416">
        <v>90.000000000000043</v>
      </c>
      <c r="AR55" s="539">
        <f t="shared" si="16"/>
        <v>3</v>
      </c>
      <c r="AS55" s="657"/>
      <c r="AT55" s="539">
        <v>15</v>
      </c>
      <c r="AU55" s="416">
        <v>1352.1428571428544</v>
      </c>
      <c r="AV55" s="416">
        <v>90.142857142856954</v>
      </c>
      <c r="AW55" s="539">
        <f t="shared" si="17"/>
        <v>3</v>
      </c>
      <c r="AX55" s="657"/>
      <c r="AZ55" s="398" t="e">
        <f t="shared" si="18"/>
        <v>#N/A</v>
      </c>
      <c r="BA55" s="657"/>
    </row>
    <row r="56" spans="2:53">
      <c r="B56" s="643"/>
      <c r="C56" s="291">
        <v>15</v>
      </c>
      <c r="D56" s="225" t="s">
        <v>328</v>
      </c>
      <c r="E56" s="181">
        <v>19</v>
      </c>
      <c r="F56" s="383">
        <v>1440</v>
      </c>
      <c r="G56" s="384">
        <v>75.78947368421052</v>
      </c>
      <c r="H56" s="686"/>
      <c r="I56" s="391">
        <f t="shared" si="19"/>
        <v>19</v>
      </c>
      <c r="J56" s="391">
        <f t="shared" si="20"/>
        <v>1338.3224959096683</v>
      </c>
      <c r="K56" s="199">
        <f t="shared" si="21"/>
        <v>70.43802610050885</v>
      </c>
      <c r="L56" s="617"/>
      <c r="M56" s="198">
        <f>RANK(K56, K$42:$K$71)</f>
        <v>16</v>
      </c>
      <c r="N56" s="635"/>
      <c r="O56" s="635"/>
      <c r="P56" s="539">
        <v>19</v>
      </c>
      <c r="Q56" s="416">
        <v>1327.22891566265</v>
      </c>
      <c r="R56" s="416">
        <v>69.854153455928952</v>
      </c>
      <c r="S56" s="539">
        <f t="shared" si="11"/>
        <v>17</v>
      </c>
      <c r="T56" s="657"/>
      <c r="U56" s="416">
        <v>19</v>
      </c>
      <c r="V56" s="416">
        <v>1259.1891891891883</v>
      </c>
      <c r="W56" s="416">
        <v>66.273115220483589</v>
      </c>
      <c r="X56" s="539">
        <f t="shared" si="12"/>
        <v>18</v>
      </c>
      <c r="Y56" s="657"/>
      <c r="Z56" s="539">
        <v>19</v>
      </c>
      <c r="AA56" s="416">
        <v>1350.0000000000014</v>
      </c>
      <c r="AB56" s="416">
        <v>71.052631578947441</v>
      </c>
      <c r="AC56" s="539">
        <f t="shared" si="13"/>
        <v>16</v>
      </c>
      <c r="AD56" s="657"/>
      <c r="AE56" s="539">
        <v>19</v>
      </c>
      <c r="AF56" s="416">
        <v>1347.692307692309</v>
      </c>
      <c r="AG56" s="416">
        <v>70.93117408906889</v>
      </c>
      <c r="AH56" s="539">
        <f t="shared" si="14"/>
        <v>15</v>
      </c>
      <c r="AI56" s="657"/>
      <c r="AJ56" s="539">
        <v>19</v>
      </c>
      <c r="AK56" s="416">
        <v>1360.4999999999995</v>
      </c>
      <c r="AL56" s="416">
        <v>71.605263157894711</v>
      </c>
      <c r="AM56" s="539">
        <f t="shared" si="15"/>
        <v>15</v>
      </c>
      <c r="AN56" s="657"/>
      <c r="AO56" s="539">
        <v>19</v>
      </c>
      <c r="AP56" s="416">
        <v>1361.6470588235293</v>
      </c>
      <c r="AQ56" s="416">
        <v>71.6656346749226</v>
      </c>
      <c r="AR56" s="539">
        <f t="shared" si="16"/>
        <v>16</v>
      </c>
      <c r="AS56" s="657"/>
      <c r="AT56" s="539">
        <v>19</v>
      </c>
      <c r="AU56" s="416">
        <v>1362</v>
      </c>
      <c r="AV56" s="416">
        <v>71.684210526315795</v>
      </c>
      <c r="AW56" s="539">
        <f t="shared" si="17"/>
        <v>16</v>
      </c>
      <c r="AX56" s="657"/>
      <c r="AZ56" s="398" t="e">
        <f t="shared" si="18"/>
        <v>#N/A</v>
      </c>
      <c r="BA56" s="657"/>
    </row>
    <row r="57" spans="2:53">
      <c r="B57" s="643"/>
      <c r="C57" s="291">
        <v>16</v>
      </c>
      <c r="D57" s="225" t="s">
        <v>345</v>
      </c>
      <c r="E57" s="181">
        <v>19</v>
      </c>
      <c r="F57" s="383">
        <v>1440</v>
      </c>
      <c r="G57" s="384">
        <v>75.78947368421052</v>
      </c>
      <c r="H57" s="686"/>
      <c r="I57" s="391">
        <f t="shared" si="19"/>
        <v>19</v>
      </c>
      <c r="J57" s="391">
        <f t="shared" si="20"/>
        <v>1279.1650710847805</v>
      </c>
      <c r="K57" s="199">
        <f t="shared" si="21"/>
        <v>67.324477425514758</v>
      </c>
      <c r="L57" s="617"/>
      <c r="M57" s="198">
        <f>RANK(K57, K$42:$K$71)</f>
        <v>18</v>
      </c>
      <c r="N57" s="635"/>
      <c r="O57" s="635"/>
      <c r="P57" s="539">
        <v>19</v>
      </c>
      <c r="Q57" s="416">
        <v>1325.4545454545469</v>
      </c>
      <c r="R57" s="416">
        <v>69.760765550239313</v>
      </c>
      <c r="S57" s="539">
        <f t="shared" si="11"/>
        <v>18</v>
      </c>
      <c r="T57" s="657"/>
      <c r="U57" s="416">
        <v>19</v>
      </c>
      <c r="V57" s="416">
        <v>1288.4745762711875</v>
      </c>
      <c r="W57" s="416">
        <v>67.814451382694074</v>
      </c>
      <c r="X57" s="539">
        <f t="shared" si="12"/>
        <v>17</v>
      </c>
      <c r="Y57" s="657"/>
      <c r="Z57" s="539">
        <v>19</v>
      </c>
      <c r="AA57" s="416">
        <v>1272.2448979591841</v>
      </c>
      <c r="AB57" s="416">
        <v>66.960257787325475</v>
      </c>
      <c r="AC57" s="539">
        <f t="shared" si="13"/>
        <v>19</v>
      </c>
      <c r="AD57" s="657"/>
      <c r="AE57" s="539">
        <v>19</v>
      </c>
      <c r="AF57" s="416">
        <v>1276.0000000000011</v>
      </c>
      <c r="AG57" s="416">
        <v>67.157894736842167</v>
      </c>
      <c r="AH57" s="539">
        <f t="shared" si="14"/>
        <v>19</v>
      </c>
      <c r="AI57" s="657"/>
      <c r="AJ57" s="539">
        <v>19</v>
      </c>
      <c r="AK57" s="416">
        <v>1241.4084507042242</v>
      </c>
      <c r="AL57" s="416">
        <v>65.337286879169696</v>
      </c>
      <c r="AM57" s="539">
        <f t="shared" si="15"/>
        <v>19</v>
      </c>
      <c r="AN57" s="657"/>
      <c r="AO57" s="539">
        <v>19</v>
      </c>
      <c r="AP57" s="416">
        <v>1284.6575342465744</v>
      </c>
      <c r="AQ57" s="416">
        <v>67.613554434030235</v>
      </c>
      <c r="AR57" s="539">
        <f t="shared" si="16"/>
        <v>19</v>
      </c>
      <c r="AS57" s="657"/>
      <c r="AT57" s="539">
        <v>19</v>
      </c>
      <c r="AU57" s="416">
        <v>1265.9154929577453</v>
      </c>
      <c r="AV57" s="416">
        <v>66.627131208302387</v>
      </c>
      <c r="AW57" s="539">
        <f t="shared" si="17"/>
        <v>20</v>
      </c>
      <c r="AX57" s="657"/>
      <c r="AZ57" s="398" t="e">
        <f t="shared" si="18"/>
        <v>#N/A</v>
      </c>
      <c r="BA57" s="657"/>
    </row>
    <row r="58" spans="2:53">
      <c r="B58" s="643"/>
      <c r="C58" s="291">
        <v>17</v>
      </c>
      <c r="D58" s="225" t="s">
        <v>605</v>
      </c>
      <c r="E58" s="181">
        <v>18</v>
      </c>
      <c r="F58" s="383">
        <v>1500</v>
      </c>
      <c r="G58" s="384">
        <v>83.333333333333329</v>
      </c>
      <c r="H58" s="686"/>
      <c r="I58" s="391">
        <f t="shared" si="19"/>
        <v>18</v>
      </c>
      <c r="J58" s="391">
        <f t="shared" si="20"/>
        <v>1380.9570848593198</v>
      </c>
      <c r="K58" s="199">
        <f t="shared" si="21"/>
        <v>76.719838047739955</v>
      </c>
      <c r="L58" s="617"/>
      <c r="M58" s="198">
        <f>RANK(K58, K$42:$K$71)</f>
        <v>12</v>
      </c>
      <c r="N58" s="635"/>
      <c r="O58" s="635"/>
      <c r="P58" s="539">
        <v>18</v>
      </c>
      <c r="Q58" s="416">
        <v>1387.7142857142844</v>
      </c>
      <c r="R58" s="416">
        <v>77.095238095238017</v>
      </c>
      <c r="S58" s="539">
        <f t="shared" si="11"/>
        <v>14</v>
      </c>
      <c r="T58" s="657"/>
      <c r="U58" s="416">
        <v>18</v>
      </c>
      <c r="V58" s="416">
        <v>1395.6923076923092</v>
      </c>
      <c r="W58" s="416">
        <v>77.538461538461618</v>
      </c>
      <c r="X58" s="539">
        <f t="shared" si="12"/>
        <v>11</v>
      </c>
      <c r="Y58" s="657"/>
      <c r="Z58" s="539">
        <v>18</v>
      </c>
      <c r="AA58" s="416">
        <v>1377.0967741935497</v>
      </c>
      <c r="AB58" s="416">
        <v>76.505376344086088</v>
      </c>
      <c r="AC58" s="539">
        <f t="shared" si="13"/>
        <v>12</v>
      </c>
      <c r="AD58" s="657"/>
      <c r="AE58" s="539">
        <v>18</v>
      </c>
      <c r="AF58" s="416">
        <v>1383.396226415095</v>
      </c>
      <c r="AG58" s="416">
        <v>76.855345911949726</v>
      </c>
      <c r="AH58" s="539">
        <f t="shared" si="14"/>
        <v>11</v>
      </c>
      <c r="AI58" s="657"/>
      <c r="AJ58" s="539">
        <v>18</v>
      </c>
      <c r="AK58" s="416">
        <v>1370.0000000000011</v>
      </c>
      <c r="AL58" s="416">
        <v>76.111111111111171</v>
      </c>
      <c r="AM58" s="539">
        <f t="shared" si="15"/>
        <v>11</v>
      </c>
      <c r="AN58" s="657"/>
      <c r="AO58" s="539">
        <v>18</v>
      </c>
      <c r="AP58" s="416">
        <v>1362.399999999999</v>
      </c>
      <c r="AQ58" s="416">
        <v>75.688888888888826</v>
      </c>
      <c r="AR58" s="539">
        <f t="shared" si="16"/>
        <v>14</v>
      </c>
      <c r="AS58" s="657"/>
      <c r="AT58" s="539">
        <v>18</v>
      </c>
      <c r="AU58" s="416">
        <v>1390.399999999999</v>
      </c>
      <c r="AV58" s="416">
        <v>77.244444444444383</v>
      </c>
      <c r="AW58" s="539">
        <f t="shared" si="17"/>
        <v>14</v>
      </c>
      <c r="AX58" s="657"/>
      <c r="AZ58" s="398" t="e">
        <f t="shared" si="18"/>
        <v>#N/A</v>
      </c>
      <c r="BA58" s="657"/>
    </row>
    <row r="59" spans="2:53">
      <c r="B59" s="643"/>
      <c r="C59" s="291">
        <v>18</v>
      </c>
      <c r="D59" s="225" t="s">
        <v>522</v>
      </c>
      <c r="E59" s="181">
        <v>17</v>
      </c>
      <c r="F59" s="383">
        <v>1440</v>
      </c>
      <c r="G59" s="384">
        <v>84.705882352941174</v>
      </c>
      <c r="H59" s="686"/>
      <c r="I59" s="391">
        <f t="shared" si="19"/>
        <v>17</v>
      </c>
      <c r="J59" s="391">
        <f t="shared" si="20"/>
        <v>1341.1044216244798</v>
      </c>
      <c r="K59" s="199">
        <f t="shared" si="21"/>
        <v>78.888495389675299</v>
      </c>
      <c r="L59" s="617"/>
      <c r="M59" s="198">
        <f>RANK(K59, K$42:$K$71)</f>
        <v>10</v>
      </c>
      <c r="N59" s="635"/>
      <c r="O59" s="635"/>
      <c r="P59" s="539">
        <v>17</v>
      </c>
      <c r="Q59" s="416">
        <v>1339.024390243902</v>
      </c>
      <c r="R59" s="416">
        <v>78.766140602582468</v>
      </c>
      <c r="S59" s="539">
        <f t="shared" si="11"/>
        <v>12</v>
      </c>
      <c r="T59" s="657"/>
      <c r="U59" s="416">
        <v>17</v>
      </c>
      <c r="V59" s="416">
        <v>1261.538461538461</v>
      </c>
      <c r="W59" s="416">
        <v>74.208144796380054</v>
      </c>
      <c r="X59" s="539">
        <f t="shared" si="12"/>
        <v>13</v>
      </c>
      <c r="Y59" s="657"/>
      <c r="Z59" s="539">
        <v>17</v>
      </c>
      <c r="AA59" s="416">
        <v>1360.588235294116</v>
      </c>
      <c r="AB59" s="416">
        <v>80.034602076124472</v>
      </c>
      <c r="AC59" s="539">
        <f t="shared" si="13"/>
        <v>11</v>
      </c>
      <c r="AD59" s="657"/>
      <c r="AE59" s="539">
        <v>17</v>
      </c>
      <c r="AF59" s="416">
        <v>1364.2105263157885</v>
      </c>
      <c r="AG59" s="416">
        <v>80.247678018575797</v>
      </c>
      <c r="AH59" s="539">
        <f t="shared" si="14"/>
        <v>9</v>
      </c>
      <c r="AI59" s="657"/>
      <c r="AJ59" s="539">
        <v>17</v>
      </c>
      <c r="AK59" s="416">
        <v>1359.5121951219508</v>
      </c>
      <c r="AL59" s="416">
        <v>79.971305595408865</v>
      </c>
      <c r="AM59" s="539">
        <f t="shared" si="15"/>
        <v>9</v>
      </c>
      <c r="AN59" s="657"/>
      <c r="AO59" s="539">
        <v>17</v>
      </c>
      <c r="AP59" s="416">
        <v>1358.5714285714282</v>
      </c>
      <c r="AQ59" s="416">
        <v>79.915966386554601</v>
      </c>
      <c r="AR59" s="539">
        <f t="shared" si="16"/>
        <v>10</v>
      </c>
      <c r="AS59" s="657"/>
      <c r="AT59" s="539">
        <v>17</v>
      </c>
      <c r="AU59" s="416">
        <v>1344.2857142857138</v>
      </c>
      <c r="AV59" s="416">
        <v>79.075630252100808</v>
      </c>
      <c r="AW59" s="539">
        <f t="shared" si="17"/>
        <v>10</v>
      </c>
      <c r="AX59" s="657"/>
      <c r="AZ59" s="398" t="e">
        <f t="shared" si="18"/>
        <v>#N/A</v>
      </c>
      <c r="BA59" s="657"/>
    </row>
    <row r="60" spans="2:53">
      <c r="B60" s="643"/>
      <c r="C60" s="291">
        <v>19</v>
      </c>
      <c r="D60" s="225" t="s">
        <v>526</v>
      </c>
      <c r="E60" s="181">
        <v>20</v>
      </c>
      <c r="F60" s="383">
        <v>1500</v>
      </c>
      <c r="G60" s="384">
        <v>75</v>
      </c>
      <c r="H60" s="686"/>
      <c r="I60" s="391">
        <f t="shared" si="19"/>
        <v>20</v>
      </c>
      <c r="J60" s="391">
        <f t="shared" si="20"/>
        <v>1217.4277085363308</v>
      </c>
      <c r="K60" s="199">
        <f t="shared" si="21"/>
        <v>60.871385426816538</v>
      </c>
      <c r="L60" s="617"/>
      <c r="M60" s="198">
        <f>RANK(K60, K$42:$K$71)</f>
        <v>21</v>
      </c>
      <c r="N60" s="635"/>
      <c r="O60" s="635"/>
      <c r="P60" s="539">
        <v>20</v>
      </c>
      <c r="Q60" s="416">
        <v>1208.936170212766</v>
      </c>
      <c r="R60" s="416">
        <v>60.446808510638299</v>
      </c>
      <c r="S60" s="539">
        <f t="shared" si="11"/>
        <v>21</v>
      </c>
      <c r="T60" s="657"/>
      <c r="U60" s="416">
        <v>20</v>
      </c>
      <c r="V60" s="416">
        <v>1244.2105263157887</v>
      </c>
      <c r="W60" s="416">
        <v>62.210526315789437</v>
      </c>
      <c r="X60" s="539">
        <f t="shared" si="12"/>
        <v>21</v>
      </c>
      <c r="Y60" s="657"/>
      <c r="Z60" s="539">
        <v>20</v>
      </c>
      <c r="AA60" s="416">
        <v>1206.6666666666658</v>
      </c>
      <c r="AB60" s="416">
        <v>60.333333333333293</v>
      </c>
      <c r="AC60" s="539">
        <f t="shared" si="13"/>
        <v>22</v>
      </c>
      <c r="AD60" s="657"/>
      <c r="AE60" s="539">
        <v>20</v>
      </c>
      <c r="AF60" s="416">
        <v>1226.842105263157</v>
      </c>
      <c r="AG60" s="416">
        <v>61.342105263157848</v>
      </c>
      <c r="AH60" s="539">
        <f t="shared" si="14"/>
        <v>22</v>
      </c>
      <c r="AI60" s="657"/>
      <c r="AJ60" s="539">
        <v>20</v>
      </c>
      <c r="AK60" s="416">
        <v>1213.6363636363635</v>
      </c>
      <c r="AL60" s="416">
        <v>60.681818181818173</v>
      </c>
      <c r="AM60" s="539">
        <f t="shared" si="15"/>
        <v>22</v>
      </c>
      <c r="AN60" s="657"/>
      <c r="AO60" s="539">
        <v>20</v>
      </c>
      <c r="AP60" s="416">
        <v>1200.0000000000005</v>
      </c>
      <c r="AQ60" s="416">
        <v>60.000000000000021</v>
      </c>
      <c r="AR60" s="539">
        <f t="shared" si="16"/>
        <v>22</v>
      </c>
      <c r="AS60" s="657"/>
      <c r="AT60" s="539">
        <v>20</v>
      </c>
      <c r="AU60" s="416">
        <v>1221.7021276595747</v>
      </c>
      <c r="AV60" s="416">
        <v>61.085106382978736</v>
      </c>
      <c r="AW60" s="539">
        <f t="shared" si="17"/>
        <v>21</v>
      </c>
      <c r="AX60" s="657"/>
      <c r="AZ60" s="398" t="e">
        <f t="shared" si="18"/>
        <v>#N/A</v>
      </c>
      <c r="BA60" s="657"/>
    </row>
    <row r="61" spans="2:53">
      <c r="B61" s="643"/>
      <c r="C61" s="291">
        <v>20</v>
      </c>
      <c r="D61" s="225" t="s">
        <v>596</v>
      </c>
      <c r="E61" s="181">
        <v>19</v>
      </c>
      <c r="F61" s="383">
        <v>1500</v>
      </c>
      <c r="G61" s="384">
        <v>78.94736842105263</v>
      </c>
      <c r="H61" s="686"/>
      <c r="I61" s="391">
        <f t="shared" si="19"/>
        <v>19</v>
      </c>
      <c r="J61" s="391">
        <f t="shared" si="20"/>
        <v>1238.0048251427575</v>
      </c>
      <c r="K61" s="199">
        <f t="shared" si="21"/>
        <v>65.15814869172408</v>
      </c>
      <c r="L61" s="617"/>
      <c r="M61" s="198">
        <f>RANK(K61, K$42:$K$71)</f>
        <v>20</v>
      </c>
      <c r="N61" s="635"/>
      <c r="O61" s="635"/>
      <c r="P61" s="539">
        <v>19</v>
      </c>
      <c r="Q61" s="416">
        <v>1252.5000000000009</v>
      </c>
      <c r="R61" s="416">
        <v>65.921052631579002</v>
      </c>
      <c r="S61" s="539">
        <f t="shared" si="11"/>
        <v>20</v>
      </c>
      <c r="T61" s="657"/>
      <c r="U61" s="416">
        <v>19</v>
      </c>
      <c r="V61" s="416">
        <v>1239.1836734693879</v>
      </c>
      <c r="W61" s="416">
        <v>65.220193340494106</v>
      </c>
      <c r="X61" s="539">
        <f t="shared" si="12"/>
        <v>19</v>
      </c>
      <c r="Y61" s="657"/>
      <c r="Z61" s="539">
        <v>19</v>
      </c>
      <c r="AA61" s="416">
        <v>1241.538461538461</v>
      </c>
      <c r="AB61" s="416">
        <v>65.344129554655837</v>
      </c>
      <c r="AC61" s="539">
        <f t="shared" si="13"/>
        <v>20</v>
      </c>
      <c r="AD61" s="657"/>
      <c r="AE61" s="539">
        <v>19</v>
      </c>
      <c r="AF61" s="416">
        <v>1214.3478260869565</v>
      </c>
      <c r="AG61" s="416">
        <v>63.913043478260867</v>
      </c>
      <c r="AH61" s="539">
        <f t="shared" si="14"/>
        <v>20</v>
      </c>
      <c r="AI61" s="657"/>
      <c r="AJ61" s="539">
        <v>19</v>
      </c>
      <c r="AK61" s="416">
        <v>1225.7142857142867</v>
      </c>
      <c r="AL61" s="416">
        <v>64.511278195488771</v>
      </c>
      <c r="AM61" s="539">
        <f t="shared" si="15"/>
        <v>20</v>
      </c>
      <c r="AN61" s="657"/>
      <c r="AO61" s="539">
        <v>19</v>
      </c>
      <c r="AP61" s="416">
        <v>1218.3050847457639</v>
      </c>
      <c r="AQ61" s="416">
        <v>64.121320249777042</v>
      </c>
      <c r="AR61" s="539">
        <f t="shared" si="16"/>
        <v>20</v>
      </c>
      <c r="AS61" s="657"/>
      <c r="AT61" s="539">
        <v>19</v>
      </c>
      <c r="AU61" s="416">
        <v>1274.444444444445</v>
      </c>
      <c r="AV61" s="416">
        <v>67.076023391812896</v>
      </c>
      <c r="AW61" s="539">
        <f t="shared" si="17"/>
        <v>19</v>
      </c>
      <c r="AX61" s="657"/>
      <c r="AZ61" s="398" t="e">
        <f t="shared" si="18"/>
        <v>#N/A</v>
      </c>
      <c r="BA61" s="657"/>
    </row>
    <row r="62" spans="2:53">
      <c r="B62" s="643"/>
      <c r="C62" s="291">
        <v>21</v>
      </c>
      <c r="D62" s="225" t="s">
        <v>700</v>
      </c>
      <c r="E62" s="181">
        <v>16</v>
      </c>
      <c r="F62" s="383">
        <v>1440</v>
      </c>
      <c r="G62" s="384">
        <v>90</v>
      </c>
      <c r="H62" s="686"/>
      <c r="I62" s="391">
        <f t="shared" si="19"/>
        <v>16</v>
      </c>
      <c r="J62" s="391">
        <f t="shared" si="20"/>
        <v>1375.6424801514879</v>
      </c>
      <c r="K62" s="199">
        <f t="shared" si="21"/>
        <v>85.977655009467995</v>
      </c>
      <c r="L62" s="617"/>
      <c r="M62" s="198">
        <f>RANK(K62, K$42:$K$71)</f>
        <v>5</v>
      </c>
      <c r="N62" s="635"/>
      <c r="O62" s="635"/>
      <c r="P62" s="539">
        <v>16</v>
      </c>
      <c r="Q62" s="416">
        <v>1395.6521739130419</v>
      </c>
      <c r="R62" s="416">
        <v>87.228260869565119</v>
      </c>
      <c r="S62" s="539">
        <f t="shared" si="11"/>
        <v>4</v>
      </c>
      <c r="T62" s="657"/>
      <c r="U62" s="416">
        <v>16</v>
      </c>
      <c r="V62" s="416">
        <v>1362.6086956521726</v>
      </c>
      <c r="W62" s="416">
        <v>85.163043478260789</v>
      </c>
      <c r="X62" s="539">
        <f t="shared" si="12"/>
        <v>4</v>
      </c>
      <c r="Y62" s="657"/>
      <c r="Z62" s="539">
        <v>16</v>
      </c>
      <c r="AA62" s="416">
        <v>1361.0526315789484</v>
      </c>
      <c r="AB62" s="416">
        <v>85.065789473684276</v>
      </c>
      <c r="AC62" s="539">
        <f t="shared" si="13"/>
        <v>5</v>
      </c>
      <c r="AD62" s="657"/>
      <c r="AE62" s="539">
        <v>16</v>
      </c>
      <c r="AF62" s="416">
        <v>1379.0000000000014</v>
      </c>
      <c r="AG62" s="416">
        <v>86.187500000000085</v>
      </c>
      <c r="AH62" s="539">
        <f t="shared" si="14"/>
        <v>5</v>
      </c>
      <c r="AI62" s="657"/>
      <c r="AJ62" s="539">
        <v>16</v>
      </c>
      <c r="AK62" s="416">
        <v>1379.9999999999984</v>
      </c>
      <c r="AL62" s="416">
        <v>86.249999999999901</v>
      </c>
      <c r="AM62" s="539">
        <f t="shared" si="15"/>
        <v>5</v>
      </c>
      <c r="AN62" s="657"/>
      <c r="AO62" s="539">
        <v>16</v>
      </c>
      <c r="AP62" s="416">
        <v>1368.6486486486476</v>
      </c>
      <c r="AQ62" s="416">
        <v>85.540540540540476</v>
      </c>
      <c r="AR62" s="539">
        <f t="shared" si="16"/>
        <v>6</v>
      </c>
      <c r="AS62" s="657"/>
      <c r="AT62" s="539">
        <v>16</v>
      </c>
      <c r="AU62" s="416">
        <v>1382.5352112676044</v>
      </c>
      <c r="AV62" s="416">
        <v>86.408450704225274</v>
      </c>
      <c r="AW62" s="539">
        <f t="shared" si="17"/>
        <v>6</v>
      </c>
      <c r="AX62" s="657"/>
      <c r="AZ62" s="398" t="e">
        <f t="shared" si="18"/>
        <v>#N/A</v>
      </c>
      <c r="BA62" s="657"/>
    </row>
    <row r="63" spans="2:53">
      <c r="B63" s="643"/>
      <c r="C63" s="291">
        <v>22</v>
      </c>
      <c r="D63" s="225" t="s">
        <v>716</v>
      </c>
      <c r="E63" s="181">
        <v>16</v>
      </c>
      <c r="F63" s="383">
        <v>1440</v>
      </c>
      <c r="G63" s="384">
        <v>90</v>
      </c>
      <c r="H63" s="686"/>
      <c r="I63" s="391">
        <f t="shared" si="19"/>
        <v>16.857142857142858</v>
      </c>
      <c r="J63" s="391">
        <f t="shared" si="20"/>
        <v>1328.8632944032011</v>
      </c>
      <c r="K63" s="199">
        <f t="shared" si="21"/>
        <v>78.859282346923919</v>
      </c>
      <c r="L63" s="617"/>
      <c r="M63" s="198">
        <f>RANK(K63, K$42:$K$71)</f>
        <v>11</v>
      </c>
      <c r="N63" s="635"/>
      <c r="O63" s="635"/>
      <c r="P63" s="539">
        <v>17</v>
      </c>
      <c r="Q63" s="416">
        <v>1386.8354430379768</v>
      </c>
      <c r="R63" s="416">
        <v>81.57855547282216</v>
      </c>
      <c r="S63" s="539">
        <f t="shared" si="11"/>
        <v>9</v>
      </c>
      <c r="T63" s="657"/>
      <c r="U63" s="416">
        <v>17</v>
      </c>
      <c r="V63" s="416">
        <v>1350.4109589041086</v>
      </c>
      <c r="W63" s="416">
        <v>79.435938759065209</v>
      </c>
      <c r="X63" s="539">
        <f t="shared" si="12"/>
        <v>9</v>
      </c>
      <c r="Y63" s="657"/>
      <c r="Z63" s="539">
        <v>16</v>
      </c>
      <c r="AA63" s="416">
        <v>1315.3846153846162</v>
      </c>
      <c r="AB63" s="416">
        <v>82.21153846153851</v>
      </c>
      <c r="AC63" s="539">
        <f t="shared" si="13"/>
        <v>9</v>
      </c>
      <c r="AD63" s="657"/>
      <c r="AE63" s="539">
        <v>17</v>
      </c>
      <c r="AF63" s="416">
        <v>1293.8181818181827</v>
      </c>
      <c r="AG63" s="416">
        <v>76.106951871657799</v>
      </c>
      <c r="AH63" s="539">
        <f t="shared" si="14"/>
        <v>12</v>
      </c>
      <c r="AI63" s="657"/>
      <c r="AJ63" s="539">
        <v>17</v>
      </c>
      <c r="AK63" s="416">
        <v>1293.8028169014071</v>
      </c>
      <c r="AL63" s="416">
        <v>76.106048053023954</v>
      </c>
      <c r="AM63" s="539">
        <f t="shared" si="15"/>
        <v>12</v>
      </c>
      <c r="AN63" s="657"/>
      <c r="AO63" s="539">
        <v>17</v>
      </c>
      <c r="AP63" s="416">
        <v>1321.7910447761178</v>
      </c>
      <c r="AQ63" s="416">
        <v>77.752414398595164</v>
      </c>
      <c r="AR63" s="539">
        <f t="shared" si="16"/>
        <v>12</v>
      </c>
      <c r="AS63" s="657"/>
      <c r="AT63" s="539">
        <v>17</v>
      </c>
      <c r="AU63" s="416">
        <v>1339.9999999999986</v>
      </c>
      <c r="AV63" s="416">
        <v>78.823529411764625</v>
      </c>
      <c r="AW63" s="539">
        <f t="shared" si="17"/>
        <v>11</v>
      </c>
      <c r="AX63" s="657"/>
      <c r="AZ63" s="398" t="e">
        <f t="shared" si="18"/>
        <v>#N/A</v>
      </c>
      <c r="BA63" s="657"/>
    </row>
    <row r="64" spans="2:53">
      <c r="B64" s="643"/>
      <c r="C64" s="291">
        <v>23</v>
      </c>
      <c r="D64" s="225" t="s">
        <v>710</v>
      </c>
      <c r="E64" s="181">
        <v>16</v>
      </c>
      <c r="F64" s="383">
        <v>1440</v>
      </c>
      <c r="G64" s="384">
        <v>90</v>
      </c>
      <c r="H64" s="686"/>
      <c r="I64" s="391">
        <f t="shared" si="19"/>
        <v>15.428571428571429</v>
      </c>
      <c r="J64" s="391">
        <f t="shared" si="20"/>
        <v>1280.8366915887675</v>
      </c>
      <c r="K64" s="199">
        <f t="shared" si="21"/>
        <v>83.238863413121166</v>
      </c>
      <c r="L64" s="617"/>
      <c r="M64" s="198">
        <f>RANK(K64, K$42:$K$71)</f>
        <v>6</v>
      </c>
      <c r="N64" s="635"/>
      <c r="O64" s="635"/>
      <c r="P64" s="539">
        <v>16</v>
      </c>
      <c r="Q64" s="416">
        <v>1342.5</v>
      </c>
      <c r="R64" s="416">
        <v>83.90625</v>
      </c>
      <c r="S64" s="539">
        <f t="shared" si="11"/>
        <v>6</v>
      </c>
      <c r="T64" s="657"/>
      <c r="U64" s="416">
        <v>16</v>
      </c>
      <c r="V64" s="416">
        <v>1326.6666666666667</v>
      </c>
      <c r="W64" s="416">
        <v>82.916666666666671</v>
      </c>
      <c r="X64" s="539">
        <f t="shared" si="12"/>
        <v>6</v>
      </c>
      <c r="Y64" s="657"/>
      <c r="Z64" s="539">
        <v>16</v>
      </c>
      <c r="AA64" s="416">
        <v>1333.421052631578</v>
      </c>
      <c r="AB64" s="416">
        <v>83.338815789473628</v>
      </c>
      <c r="AC64" s="539">
        <f t="shared" si="13"/>
        <v>6</v>
      </c>
      <c r="AD64" s="657"/>
      <c r="AE64" s="539">
        <v>16</v>
      </c>
      <c r="AF64" s="416">
        <v>1236.3934426229521</v>
      </c>
      <c r="AG64" s="416">
        <v>77.274590163934505</v>
      </c>
      <c r="AH64" s="539">
        <f t="shared" si="14"/>
        <v>10</v>
      </c>
      <c r="AI64" s="657"/>
      <c r="AJ64" s="539">
        <v>16</v>
      </c>
      <c r="AK64" s="416">
        <v>1228.6046511627906</v>
      </c>
      <c r="AL64" s="416">
        <v>76.78779069767441</v>
      </c>
      <c r="AM64" s="539">
        <f t="shared" si="15"/>
        <v>10</v>
      </c>
      <c r="AN64" s="657"/>
      <c r="AO64" s="539">
        <v>14</v>
      </c>
      <c r="AP64" s="416">
        <v>1245.0000000000007</v>
      </c>
      <c r="AQ64" s="416">
        <v>88.928571428571473</v>
      </c>
      <c r="AR64" s="539">
        <f t="shared" si="16"/>
        <v>4</v>
      </c>
      <c r="AS64" s="657"/>
      <c r="AT64" s="539">
        <v>14</v>
      </c>
      <c r="AU64" s="416">
        <v>1253.2710280373838</v>
      </c>
      <c r="AV64" s="416">
        <v>89.519359145527417</v>
      </c>
      <c r="AW64" s="539">
        <f t="shared" si="17"/>
        <v>4</v>
      </c>
      <c r="AX64" s="657"/>
      <c r="AZ64" s="398" t="e">
        <f t="shared" si="18"/>
        <v>#N/A</v>
      </c>
      <c r="BA64" s="657"/>
    </row>
    <row r="65" spans="2:53">
      <c r="B65" s="643"/>
      <c r="C65" s="291">
        <v>24</v>
      </c>
      <c r="D65" s="225"/>
      <c r="E65" s="181"/>
      <c r="F65" s="383"/>
      <c r="G65" s="384"/>
      <c r="H65" s="686"/>
      <c r="I65" s="391" t="str">
        <f t="shared" si="19"/>
        <v>-</v>
      </c>
      <c r="J65" s="391" t="str">
        <f t="shared" si="20"/>
        <v>-</v>
      </c>
      <c r="K65" s="199" t="str">
        <f t="shared" si="21"/>
        <v>-</v>
      </c>
      <c r="L65" s="617"/>
      <c r="M65" s="198" t="e">
        <f>RANK(K65, K$42:$K$71)</f>
        <v>#VALUE!</v>
      </c>
      <c r="N65" s="635"/>
      <c r="O65" s="635"/>
      <c r="P65" s="539" t="s">
        <v>615</v>
      </c>
      <c r="Q65" s="416" t="s">
        <v>615</v>
      </c>
      <c r="R65" s="416" t="s">
        <v>615</v>
      </c>
      <c r="S65" s="539" t="e">
        <f t="shared" si="11"/>
        <v>#VALUE!</v>
      </c>
      <c r="T65" s="657"/>
      <c r="U65" s="416" t="s">
        <v>615</v>
      </c>
      <c r="V65" s="416" t="s">
        <v>615</v>
      </c>
      <c r="W65" s="416" t="s">
        <v>615</v>
      </c>
      <c r="X65" s="539" t="e">
        <f t="shared" si="12"/>
        <v>#VALUE!</v>
      </c>
      <c r="Y65" s="657"/>
      <c r="Z65" s="539" t="s">
        <v>615</v>
      </c>
      <c r="AA65" s="416" t="s">
        <v>615</v>
      </c>
      <c r="AB65" s="416" t="s">
        <v>615</v>
      </c>
      <c r="AC65" s="539" t="e">
        <f t="shared" si="13"/>
        <v>#VALUE!</v>
      </c>
      <c r="AD65" s="657"/>
      <c r="AE65" s="539" t="s">
        <v>615</v>
      </c>
      <c r="AF65" s="416" t="s">
        <v>615</v>
      </c>
      <c r="AG65" s="416" t="s">
        <v>615</v>
      </c>
      <c r="AH65" s="539" t="e">
        <f t="shared" si="14"/>
        <v>#VALUE!</v>
      </c>
      <c r="AI65" s="657"/>
      <c r="AJ65" s="539" t="s">
        <v>615</v>
      </c>
      <c r="AK65" s="416" t="s">
        <v>615</v>
      </c>
      <c r="AL65" s="416" t="s">
        <v>615</v>
      </c>
      <c r="AM65" s="539" t="e">
        <f t="shared" si="15"/>
        <v>#VALUE!</v>
      </c>
      <c r="AN65" s="657"/>
      <c r="AO65" s="539" t="s">
        <v>615</v>
      </c>
      <c r="AP65" s="416" t="s">
        <v>615</v>
      </c>
      <c r="AQ65" s="416" t="s">
        <v>615</v>
      </c>
      <c r="AR65" s="539" t="e">
        <f t="shared" si="16"/>
        <v>#VALUE!</v>
      </c>
      <c r="AS65" s="657"/>
      <c r="AT65" s="539" t="s">
        <v>615</v>
      </c>
      <c r="AU65" s="416" t="s">
        <v>615</v>
      </c>
      <c r="AV65" s="416" t="s">
        <v>615</v>
      </c>
      <c r="AW65" s="539" t="e">
        <f t="shared" si="17"/>
        <v>#VALUE!</v>
      </c>
      <c r="AX65" s="657"/>
      <c r="AZ65" s="398" t="e">
        <f t="shared" si="18"/>
        <v>#N/A</v>
      </c>
      <c r="BA65" s="657"/>
    </row>
    <row r="66" spans="2:53">
      <c r="B66" s="643"/>
      <c r="C66" s="291">
        <v>25</v>
      </c>
      <c r="D66" s="225"/>
      <c r="E66" s="181"/>
      <c r="F66" s="383"/>
      <c r="G66" s="384"/>
      <c r="H66" s="686"/>
      <c r="I66" s="391" t="str">
        <f t="shared" si="19"/>
        <v>-</v>
      </c>
      <c r="J66" s="391" t="str">
        <f t="shared" si="20"/>
        <v>-</v>
      </c>
      <c r="K66" s="199" t="str">
        <f t="shared" si="21"/>
        <v>-</v>
      </c>
      <c r="L66" s="617"/>
      <c r="M66" s="198" t="e">
        <f>RANK(K66, K$42:$K$71)</f>
        <v>#VALUE!</v>
      </c>
      <c r="N66" s="635"/>
      <c r="O66" s="635"/>
      <c r="P66" s="539" t="s">
        <v>615</v>
      </c>
      <c r="Q66" s="416" t="s">
        <v>615</v>
      </c>
      <c r="R66" s="416" t="s">
        <v>615</v>
      </c>
      <c r="S66" s="539" t="e">
        <f t="shared" si="11"/>
        <v>#VALUE!</v>
      </c>
      <c r="T66" s="657"/>
      <c r="U66" s="416" t="s">
        <v>615</v>
      </c>
      <c r="V66" s="416" t="s">
        <v>615</v>
      </c>
      <c r="W66" s="416" t="s">
        <v>615</v>
      </c>
      <c r="X66" s="539" t="e">
        <f t="shared" si="12"/>
        <v>#VALUE!</v>
      </c>
      <c r="Y66" s="657"/>
      <c r="Z66" s="539" t="s">
        <v>615</v>
      </c>
      <c r="AA66" s="416" t="s">
        <v>615</v>
      </c>
      <c r="AB66" s="416" t="s">
        <v>615</v>
      </c>
      <c r="AC66" s="539" t="e">
        <f t="shared" si="13"/>
        <v>#VALUE!</v>
      </c>
      <c r="AD66" s="657"/>
      <c r="AE66" s="539" t="s">
        <v>615</v>
      </c>
      <c r="AF66" s="416" t="s">
        <v>615</v>
      </c>
      <c r="AG66" s="416" t="s">
        <v>615</v>
      </c>
      <c r="AH66" s="539" t="e">
        <f t="shared" si="14"/>
        <v>#VALUE!</v>
      </c>
      <c r="AI66" s="657"/>
      <c r="AJ66" s="539" t="s">
        <v>615</v>
      </c>
      <c r="AK66" s="416" t="s">
        <v>615</v>
      </c>
      <c r="AL66" s="416" t="s">
        <v>615</v>
      </c>
      <c r="AM66" s="539" t="e">
        <f t="shared" si="15"/>
        <v>#VALUE!</v>
      </c>
      <c r="AN66" s="657"/>
      <c r="AO66" s="539" t="s">
        <v>615</v>
      </c>
      <c r="AP66" s="416" t="s">
        <v>615</v>
      </c>
      <c r="AQ66" s="416" t="s">
        <v>615</v>
      </c>
      <c r="AR66" s="539" t="e">
        <f t="shared" si="16"/>
        <v>#VALUE!</v>
      </c>
      <c r="AS66" s="657"/>
      <c r="AT66" s="539" t="s">
        <v>615</v>
      </c>
      <c r="AU66" s="416" t="s">
        <v>615</v>
      </c>
      <c r="AV66" s="416" t="s">
        <v>615</v>
      </c>
      <c r="AW66" s="539" t="e">
        <f t="shared" si="17"/>
        <v>#VALUE!</v>
      </c>
      <c r="AX66" s="657"/>
      <c r="AZ66" s="398" t="e">
        <f t="shared" si="18"/>
        <v>#N/A</v>
      </c>
      <c r="BA66" s="657"/>
    </row>
    <row r="67" spans="2:53">
      <c r="B67" s="643"/>
      <c r="C67" s="291">
        <v>26</v>
      </c>
      <c r="D67" s="225"/>
      <c r="E67" s="181"/>
      <c r="F67" s="383"/>
      <c r="G67" s="384"/>
      <c r="H67" s="686"/>
      <c r="I67" s="391" t="str">
        <f t="shared" si="19"/>
        <v>-</v>
      </c>
      <c r="J67" s="391" t="str">
        <f t="shared" si="20"/>
        <v>-</v>
      </c>
      <c r="K67" s="199" t="str">
        <f t="shared" si="21"/>
        <v>-</v>
      </c>
      <c r="L67" s="617"/>
      <c r="M67" s="198" t="e">
        <f>RANK(K67, K$42:$K$71)</f>
        <v>#VALUE!</v>
      </c>
      <c r="N67" s="635"/>
      <c r="O67" s="635"/>
      <c r="P67" s="539" t="s">
        <v>615</v>
      </c>
      <c r="Q67" s="416" t="s">
        <v>615</v>
      </c>
      <c r="R67" s="416" t="s">
        <v>615</v>
      </c>
      <c r="S67" s="539" t="e">
        <f t="shared" si="11"/>
        <v>#VALUE!</v>
      </c>
      <c r="T67" s="657"/>
      <c r="U67" s="416" t="s">
        <v>615</v>
      </c>
      <c r="V67" s="416" t="s">
        <v>615</v>
      </c>
      <c r="W67" s="416" t="s">
        <v>615</v>
      </c>
      <c r="X67" s="539" t="e">
        <f t="shared" si="12"/>
        <v>#VALUE!</v>
      </c>
      <c r="Y67" s="657"/>
      <c r="Z67" s="539" t="s">
        <v>615</v>
      </c>
      <c r="AA67" s="416" t="s">
        <v>615</v>
      </c>
      <c r="AB67" s="416" t="s">
        <v>615</v>
      </c>
      <c r="AC67" s="539" t="e">
        <f t="shared" si="13"/>
        <v>#VALUE!</v>
      </c>
      <c r="AD67" s="657"/>
      <c r="AE67" s="539" t="s">
        <v>615</v>
      </c>
      <c r="AF67" s="416" t="s">
        <v>615</v>
      </c>
      <c r="AG67" s="416" t="s">
        <v>615</v>
      </c>
      <c r="AH67" s="539" t="e">
        <f t="shared" si="14"/>
        <v>#VALUE!</v>
      </c>
      <c r="AI67" s="657"/>
      <c r="AJ67" s="539" t="s">
        <v>615</v>
      </c>
      <c r="AK67" s="416" t="s">
        <v>615</v>
      </c>
      <c r="AL67" s="416" t="s">
        <v>615</v>
      </c>
      <c r="AM67" s="539" t="e">
        <f t="shared" si="15"/>
        <v>#VALUE!</v>
      </c>
      <c r="AN67" s="657"/>
      <c r="AO67" s="539" t="s">
        <v>615</v>
      </c>
      <c r="AP67" s="416" t="s">
        <v>615</v>
      </c>
      <c r="AQ67" s="416" t="s">
        <v>615</v>
      </c>
      <c r="AR67" s="539" t="e">
        <f t="shared" si="16"/>
        <v>#VALUE!</v>
      </c>
      <c r="AS67" s="657"/>
      <c r="AT67" s="539" t="s">
        <v>615</v>
      </c>
      <c r="AU67" s="416" t="s">
        <v>615</v>
      </c>
      <c r="AV67" s="416" t="s">
        <v>615</v>
      </c>
      <c r="AW67" s="539" t="e">
        <f t="shared" si="17"/>
        <v>#VALUE!</v>
      </c>
      <c r="AX67" s="657"/>
      <c r="AZ67" s="398" t="e">
        <f t="shared" si="18"/>
        <v>#N/A</v>
      </c>
      <c r="BA67" s="657"/>
    </row>
    <row r="68" spans="2:53">
      <c r="B68" s="643"/>
      <c r="C68" s="291">
        <v>27</v>
      </c>
      <c r="D68" s="225"/>
      <c r="E68" s="181"/>
      <c r="F68" s="383"/>
      <c r="G68" s="384"/>
      <c r="H68" s="686"/>
      <c r="I68" s="391" t="str">
        <f t="shared" si="19"/>
        <v>-</v>
      </c>
      <c r="J68" s="391" t="str">
        <f t="shared" si="20"/>
        <v>-</v>
      </c>
      <c r="K68" s="199" t="str">
        <f t="shared" si="21"/>
        <v>-</v>
      </c>
      <c r="L68" s="617"/>
      <c r="M68" s="198" t="e">
        <f>RANK(K68, K$42:$K$71)</f>
        <v>#VALUE!</v>
      </c>
      <c r="N68" s="635"/>
      <c r="O68" s="635"/>
      <c r="P68" s="539" t="s">
        <v>615</v>
      </c>
      <c r="Q68" s="416" t="s">
        <v>615</v>
      </c>
      <c r="R68" s="416" t="s">
        <v>615</v>
      </c>
      <c r="S68" s="539" t="e">
        <f t="shared" si="11"/>
        <v>#VALUE!</v>
      </c>
      <c r="T68" s="657"/>
      <c r="U68" s="416" t="s">
        <v>615</v>
      </c>
      <c r="V68" s="416" t="s">
        <v>615</v>
      </c>
      <c r="W68" s="416" t="s">
        <v>615</v>
      </c>
      <c r="X68" s="539" t="e">
        <f t="shared" si="12"/>
        <v>#VALUE!</v>
      </c>
      <c r="Y68" s="657"/>
      <c r="Z68" s="539" t="s">
        <v>615</v>
      </c>
      <c r="AA68" s="416" t="s">
        <v>615</v>
      </c>
      <c r="AB68" s="416" t="s">
        <v>615</v>
      </c>
      <c r="AC68" s="539" t="e">
        <f t="shared" si="13"/>
        <v>#VALUE!</v>
      </c>
      <c r="AD68" s="657"/>
      <c r="AE68" s="539" t="s">
        <v>615</v>
      </c>
      <c r="AF68" s="416" t="s">
        <v>615</v>
      </c>
      <c r="AG68" s="416" t="s">
        <v>615</v>
      </c>
      <c r="AH68" s="539" t="e">
        <f t="shared" si="14"/>
        <v>#VALUE!</v>
      </c>
      <c r="AI68" s="657"/>
      <c r="AJ68" s="539" t="s">
        <v>615</v>
      </c>
      <c r="AK68" s="416" t="s">
        <v>615</v>
      </c>
      <c r="AL68" s="416" t="s">
        <v>615</v>
      </c>
      <c r="AM68" s="539" t="e">
        <f t="shared" si="15"/>
        <v>#VALUE!</v>
      </c>
      <c r="AN68" s="657"/>
      <c r="AO68" s="539" t="s">
        <v>615</v>
      </c>
      <c r="AP68" s="416" t="s">
        <v>615</v>
      </c>
      <c r="AQ68" s="416" t="s">
        <v>615</v>
      </c>
      <c r="AR68" s="539" t="e">
        <f t="shared" si="16"/>
        <v>#VALUE!</v>
      </c>
      <c r="AS68" s="657"/>
      <c r="AT68" s="539" t="s">
        <v>615</v>
      </c>
      <c r="AU68" s="416" t="s">
        <v>615</v>
      </c>
      <c r="AV68" s="416" t="s">
        <v>615</v>
      </c>
      <c r="AW68" s="539" t="e">
        <f t="shared" si="17"/>
        <v>#VALUE!</v>
      </c>
      <c r="AX68" s="657"/>
      <c r="AZ68" s="398" t="e">
        <f t="shared" si="18"/>
        <v>#N/A</v>
      </c>
      <c r="BA68" s="657"/>
    </row>
    <row r="69" spans="2:53">
      <c r="B69" s="643"/>
      <c r="C69" s="291">
        <v>28</v>
      </c>
      <c r="D69" s="225"/>
      <c r="E69" s="181"/>
      <c r="F69" s="383"/>
      <c r="G69" s="384"/>
      <c r="H69" s="686"/>
      <c r="I69" s="391" t="str">
        <f t="shared" si="19"/>
        <v>-</v>
      </c>
      <c r="J69" s="391" t="str">
        <f t="shared" si="20"/>
        <v>-</v>
      </c>
      <c r="K69" s="199" t="str">
        <f t="shared" si="21"/>
        <v>-</v>
      </c>
      <c r="L69" s="617"/>
      <c r="M69" s="198" t="e">
        <f>RANK(K69, K$42:$K$71)</f>
        <v>#VALUE!</v>
      </c>
      <c r="N69" s="635"/>
      <c r="O69" s="635"/>
      <c r="P69" s="539" t="s">
        <v>615</v>
      </c>
      <c r="Q69" s="416" t="s">
        <v>615</v>
      </c>
      <c r="R69" s="416" t="s">
        <v>615</v>
      </c>
      <c r="S69" s="539" t="e">
        <f t="shared" si="11"/>
        <v>#VALUE!</v>
      </c>
      <c r="T69" s="657"/>
      <c r="U69" s="416" t="s">
        <v>615</v>
      </c>
      <c r="V69" s="416" t="s">
        <v>615</v>
      </c>
      <c r="W69" s="416" t="s">
        <v>615</v>
      </c>
      <c r="X69" s="539" t="e">
        <f t="shared" si="12"/>
        <v>#VALUE!</v>
      </c>
      <c r="Y69" s="657"/>
      <c r="Z69" s="539" t="s">
        <v>615</v>
      </c>
      <c r="AA69" s="416" t="s">
        <v>615</v>
      </c>
      <c r="AB69" s="416" t="s">
        <v>615</v>
      </c>
      <c r="AC69" s="539" t="e">
        <f t="shared" si="13"/>
        <v>#VALUE!</v>
      </c>
      <c r="AD69" s="657"/>
      <c r="AE69" s="539" t="s">
        <v>615</v>
      </c>
      <c r="AF69" s="416" t="s">
        <v>615</v>
      </c>
      <c r="AG69" s="416" t="s">
        <v>615</v>
      </c>
      <c r="AH69" s="539" t="e">
        <f t="shared" si="14"/>
        <v>#VALUE!</v>
      </c>
      <c r="AI69" s="657"/>
      <c r="AJ69" s="539" t="s">
        <v>615</v>
      </c>
      <c r="AK69" s="416" t="s">
        <v>615</v>
      </c>
      <c r="AL69" s="416" t="s">
        <v>615</v>
      </c>
      <c r="AM69" s="539" t="e">
        <f t="shared" si="15"/>
        <v>#VALUE!</v>
      </c>
      <c r="AN69" s="657"/>
      <c r="AO69" s="539" t="s">
        <v>615</v>
      </c>
      <c r="AP69" s="416" t="s">
        <v>615</v>
      </c>
      <c r="AQ69" s="416" t="s">
        <v>615</v>
      </c>
      <c r="AR69" s="539" t="e">
        <f t="shared" si="16"/>
        <v>#VALUE!</v>
      </c>
      <c r="AS69" s="657"/>
      <c r="AT69" s="539" t="s">
        <v>615</v>
      </c>
      <c r="AU69" s="416" t="s">
        <v>615</v>
      </c>
      <c r="AV69" s="416" t="s">
        <v>615</v>
      </c>
      <c r="AW69" s="539" t="e">
        <f t="shared" si="17"/>
        <v>#VALUE!</v>
      </c>
      <c r="AX69" s="657"/>
      <c r="AZ69" s="398" t="e">
        <f t="shared" si="18"/>
        <v>#N/A</v>
      </c>
      <c r="BA69" s="657"/>
    </row>
    <row r="70" spans="2:53">
      <c r="B70" s="643"/>
      <c r="C70" s="291">
        <v>29</v>
      </c>
      <c r="D70" s="225"/>
      <c r="E70" s="181"/>
      <c r="F70" s="383"/>
      <c r="G70" s="384"/>
      <c r="H70" s="686"/>
      <c r="I70" s="391" t="str">
        <f t="shared" si="19"/>
        <v>-</v>
      </c>
      <c r="J70" s="391" t="str">
        <f t="shared" si="20"/>
        <v>-</v>
      </c>
      <c r="K70" s="199" t="str">
        <f t="shared" si="21"/>
        <v>-</v>
      </c>
      <c r="L70" s="617"/>
      <c r="M70" s="198" t="e">
        <f>RANK(K70, K$42:$K$71)</f>
        <v>#VALUE!</v>
      </c>
      <c r="N70" s="635"/>
      <c r="O70" s="635"/>
      <c r="P70" s="539" t="s">
        <v>615</v>
      </c>
      <c r="Q70" s="416" t="s">
        <v>615</v>
      </c>
      <c r="R70" s="416" t="s">
        <v>615</v>
      </c>
      <c r="S70" s="539" t="e">
        <f t="shared" si="11"/>
        <v>#VALUE!</v>
      </c>
      <c r="T70" s="657"/>
      <c r="U70" s="416" t="s">
        <v>615</v>
      </c>
      <c r="V70" s="416" t="s">
        <v>615</v>
      </c>
      <c r="W70" s="416" t="s">
        <v>615</v>
      </c>
      <c r="X70" s="539" t="e">
        <f t="shared" si="12"/>
        <v>#VALUE!</v>
      </c>
      <c r="Y70" s="657"/>
      <c r="Z70" s="539" t="s">
        <v>615</v>
      </c>
      <c r="AA70" s="416" t="s">
        <v>615</v>
      </c>
      <c r="AB70" s="416" t="s">
        <v>615</v>
      </c>
      <c r="AC70" s="539" t="e">
        <f t="shared" si="13"/>
        <v>#VALUE!</v>
      </c>
      <c r="AD70" s="657"/>
      <c r="AE70" s="539" t="s">
        <v>615</v>
      </c>
      <c r="AF70" s="416" t="s">
        <v>615</v>
      </c>
      <c r="AG70" s="416" t="s">
        <v>615</v>
      </c>
      <c r="AH70" s="539" t="e">
        <f t="shared" si="14"/>
        <v>#VALUE!</v>
      </c>
      <c r="AI70" s="657"/>
      <c r="AJ70" s="539" t="s">
        <v>615</v>
      </c>
      <c r="AK70" s="416" t="s">
        <v>615</v>
      </c>
      <c r="AL70" s="416" t="s">
        <v>615</v>
      </c>
      <c r="AM70" s="539" t="e">
        <f t="shared" si="15"/>
        <v>#VALUE!</v>
      </c>
      <c r="AN70" s="657"/>
      <c r="AO70" s="539" t="s">
        <v>615</v>
      </c>
      <c r="AP70" s="416" t="s">
        <v>615</v>
      </c>
      <c r="AQ70" s="416" t="s">
        <v>615</v>
      </c>
      <c r="AR70" s="539" t="e">
        <f t="shared" si="16"/>
        <v>#VALUE!</v>
      </c>
      <c r="AS70" s="657"/>
      <c r="AT70" s="539" t="s">
        <v>615</v>
      </c>
      <c r="AU70" s="416" t="s">
        <v>615</v>
      </c>
      <c r="AV70" s="416" t="s">
        <v>615</v>
      </c>
      <c r="AW70" s="539" t="e">
        <f t="shared" si="17"/>
        <v>#VALUE!</v>
      </c>
      <c r="AX70" s="657"/>
      <c r="AZ70" s="398" t="e">
        <f t="shared" si="18"/>
        <v>#N/A</v>
      </c>
      <c r="BA70" s="657"/>
    </row>
    <row r="71" spans="2:53">
      <c r="B71" s="643"/>
      <c r="C71" s="291">
        <v>30</v>
      </c>
      <c r="D71" s="225"/>
      <c r="E71" s="181"/>
      <c r="F71" s="383"/>
      <c r="G71" s="384"/>
      <c r="H71" s="687"/>
      <c r="I71" s="391" t="str">
        <f t="shared" si="19"/>
        <v>-</v>
      </c>
      <c r="J71" s="391" t="str">
        <f t="shared" si="20"/>
        <v>-</v>
      </c>
      <c r="K71" s="199" t="str">
        <f t="shared" si="21"/>
        <v>-</v>
      </c>
      <c r="L71" s="618"/>
      <c r="M71" s="198" t="e">
        <f>RANK(K71, K$42:$K$71)</f>
        <v>#VALUE!</v>
      </c>
      <c r="N71" s="635"/>
      <c r="O71" s="635"/>
      <c r="P71" s="539" t="s">
        <v>615</v>
      </c>
      <c r="Q71" s="416" t="s">
        <v>615</v>
      </c>
      <c r="R71" s="416" t="s">
        <v>615</v>
      </c>
      <c r="S71" s="539" t="e">
        <f t="shared" si="11"/>
        <v>#VALUE!</v>
      </c>
      <c r="T71" s="657"/>
      <c r="U71" s="416" t="s">
        <v>615</v>
      </c>
      <c r="V71" s="416" t="s">
        <v>615</v>
      </c>
      <c r="W71" s="416" t="s">
        <v>615</v>
      </c>
      <c r="X71" s="539" t="e">
        <f t="shared" si="12"/>
        <v>#VALUE!</v>
      </c>
      <c r="Y71" s="657"/>
      <c r="Z71" s="539" t="s">
        <v>615</v>
      </c>
      <c r="AA71" s="416" t="s">
        <v>615</v>
      </c>
      <c r="AB71" s="416" t="s">
        <v>615</v>
      </c>
      <c r="AC71" s="539" t="e">
        <f t="shared" si="13"/>
        <v>#VALUE!</v>
      </c>
      <c r="AD71" s="657"/>
      <c r="AE71" s="539" t="s">
        <v>615</v>
      </c>
      <c r="AF71" s="416" t="s">
        <v>615</v>
      </c>
      <c r="AG71" s="416" t="s">
        <v>615</v>
      </c>
      <c r="AH71" s="539" t="e">
        <f t="shared" si="14"/>
        <v>#VALUE!</v>
      </c>
      <c r="AI71" s="657"/>
      <c r="AJ71" s="539" t="s">
        <v>615</v>
      </c>
      <c r="AK71" s="416" t="s">
        <v>615</v>
      </c>
      <c r="AL71" s="416" t="s">
        <v>615</v>
      </c>
      <c r="AM71" s="539" t="e">
        <f t="shared" si="15"/>
        <v>#VALUE!</v>
      </c>
      <c r="AN71" s="657"/>
      <c r="AO71" s="539" t="s">
        <v>615</v>
      </c>
      <c r="AP71" s="416" t="s">
        <v>615</v>
      </c>
      <c r="AQ71" s="416" t="s">
        <v>615</v>
      </c>
      <c r="AR71" s="539" t="e">
        <f t="shared" si="16"/>
        <v>#VALUE!</v>
      </c>
      <c r="AS71" s="657"/>
      <c r="AT71" s="539" t="s">
        <v>615</v>
      </c>
      <c r="AU71" s="416" t="s">
        <v>615</v>
      </c>
      <c r="AV71" s="416" t="s">
        <v>615</v>
      </c>
      <c r="AW71" s="539" t="e">
        <f t="shared" si="17"/>
        <v>#VALUE!</v>
      </c>
      <c r="AX71" s="657"/>
      <c r="AZ71" s="398" t="e">
        <f t="shared" si="18"/>
        <v>#N/A</v>
      </c>
      <c r="BA71" s="657"/>
    </row>
    <row r="72" spans="2:53" ht="15.75">
      <c r="B72" s="661" t="s">
        <v>163</v>
      </c>
      <c r="C72" s="662"/>
      <c r="D72" s="662"/>
      <c r="E72" s="662"/>
      <c r="F72" s="662"/>
      <c r="G72" s="662"/>
      <c r="H72" s="662"/>
      <c r="I72" s="207"/>
      <c r="J72" s="202"/>
      <c r="K72" s="207"/>
      <c r="L72" s="207"/>
      <c r="M72" s="203"/>
      <c r="N72" s="636" t="s">
        <v>156</v>
      </c>
      <c r="O72" s="636" t="s">
        <v>105</v>
      </c>
      <c r="P72" s="639">
        <f>P37+7</f>
        <v>46182</v>
      </c>
      <c r="Q72" s="640"/>
      <c r="R72" s="640"/>
      <c r="S72" s="640"/>
      <c r="T72" s="641"/>
      <c r="U72" s="639">
        <f>P72+1</f>
        <v>46183</v>
      </c>
      <c r="V72" s="640"/>
      <c r="W72" s="640"/>
      <c r="X72" s="640"/>
      <c r="Y72" s="641"/>
      <c r="Z72" s="639">
        <f>U72+1</f>
        <v>46184</v>
      </c>
      <c r="AA72" s="640"/>
      <c r="AB72" s="640"/>
      <c r="AC72" s="640"/>
      <c r="AD72" s="641"/>
      <c r="AE72" s="639">
        <f>Z72+1</f>
        <v>46185</v>
      </c>
      <c r="AF72" s="640"/>
      <c r="AG72" s="640"/>
      <c r="AH72" s="640"/>
      <c r="AI72" s="641"/>
      <c r="AJ72" s="639">
        <f>AE72+1</f>
        <v>46186</v>
      </c>
      <c r="AK72" s="640"/>
      <c r="AL72" s="640"/>
      <c r="AM72" s="640"/>
      <c r="AN72" s="641"/>
      <c r="AO72" s="639">
        <f>AJ72+1</f>
        <v>46187</v>
      </c>
      <c r="AP72" s="640"/>
      <c r="AQ72" s="640"/>
      <c r="AR72" s="640"/>
      <c r="AS72" s="641"/>
      <c r="AT72" s="639">
        <f>AO72+1</f>
        <v>46188</v>
      </c>
      <c r="AU72" s="640"/>
      <c r="AV72" s="640"/>
      <c r="AW72" s="640"/>
      <c r="AX72" s="641"/>
    </row>
    <row r="73" spans="2:53" ht="15.75">
      <c r="B73" s="650"/>
      <c r="C73" s="650"/>
      <c r="D73" s="650"/>
      <c r="E73" s="650"/>
      <c r="F73" s="650"/>
      <c r="G73" s="650"/>
      <c r="H73" s="650"/>
      <c r="I73" s="204"/>
      <c r="J73" s="204"/>
      <c r="K73" s="204"/>
      <c r="L73" s="204"/>
      <c r="M73" s="205"/>
      <c r="N73" s="638"/>
      <c r="O73" s="638"/>
      <c r="P73" s="639" t="s">
        <v>318</v>
      </c>
      <c r="Q73" s="640"/>
      <c r="R73" s="640"/>
      <c r="S73" s="640"/>
      <c r="T73" s="641"/>
      <c r="U73" s="639" t="s">
        <v>319</v>
      </c>
      <c r="V73" s="640"/>
      <c r="W73" s="640"/>
      <c r="X73" s="640"/>
      <c r="Y73" s="641"/>
      <c r="Z73" s="639" t="s">
        <v>320</v>
      </c>
      <c r="AA73" s="640"/>
      <c r="AB73" s="640"/>
      <c r="AC73" s="640"/>
      <c r="AD73" s="641"/>
      <c r="AE73" s="639" t="s">
        <v>321</v>
      </c>
      <c r="AF73" s="640"/>
      <c r="AG73" s="640"/>
      <c r="AH73" s="640"/>
      <c r="AI73" s="641"/>
      <c r="AJ73" s="639" t="s">
        <v>322</v>
      </c>
      <c r="AK73" s="640"/>
      <c r="AL73" s="640"/>
      <c r="AM73" s="640"/>
      <c r="AN73" s="641"/>
      <c r="AO73" s="639" t="s">
        <v>323</v>
      </c>
      <c r="AP73" s="640"/>
      <c r="AQ73" s="640"/>
      <c r="AR73" s="640"/>
      <c r="AS73" s="641"/>
      <c r="AT73" s="639" t="s">
        <v>324</v>
      </c>
      <c r="AU73" s="640"/>
      <c r="AV73" s="640"/>
      <c r="AW73" s="640"/>
      <c r="AX73" s="641"/>
    </row>
    <row r="74" spans="2:53">
      <c r="B74" s="635" t="s">
        <v>417</v>
      </c>
      <c r="C74" s="635" t="s">
        <v>418</v>
      </c>
      <c r="D74" s="635"/>
      <c r="E74" s="635" t="s">
        <v>419</v>
      </c>
      <c r="F74" s="635"/>
      <c r="G74" s="635"/>
      <c r="H74" s="651" t="s">
        <v>420</v>
      </c>
      <c r="I74" s="619" t="s">
        <v>421</v>
      </c>
      <c r="J74" s="619"/>
      <c r="K74" s="619"/>
      <c r="L74" s="620" t="s">
        <v>420</v>
      </c>
      <c r="M74" s="626" t="s">
        <v>422</v>
      </c>
      <c r="N74" s="635"/>
      <c r="O74" s="635" t="s">
        <v>423</v>
      </c>
      <c r="P74" s="632" t="s">
        <v>424</v>
      </c>
      <c r="Q74" s="633"/>
      <c r="R74" s="633"/>
      <c r="S74" s="634"/>
      <c r="T74" s="635" t="s">
        <v>420</v>
      </c>
      <c r="U74" s="632" t="s">
        <v>424</v>
      </c>
      <c r="V74" s="633"/>
      <c r="W74" s="633"/>
      <c r="X74" s="634"/>
      <c r="Y74" s="635" t="s">
        <v>420</v>
      </c>
      <c r="Z74" s="632" t="s">
        <v>424</v>
      </c>
      <c r="AA74" s="633"/>
      <c r="AB74" s="633"/>
      <c r="AC74" s="634"/>
      <c r="AD74" s="635" t="s">
        <v>420</v>
      </c>
      <c r="AE74" s="632" t="s">
        <v>424</v>
      </c>
      <c r="AF74" s="633"/>
      <c r="AG74" s="633"/>
      <c r="AH74" s="634"/>
      <c r="AI74" s="635" t="s">
        <v>420</v>
      </c>
      <c r="AJ74" s="632" t="s">
        <v>424</v>
      </c>
      <c r="AK74" s="633"/>
      <c r="AL74" s="633"/>
      <c r="AM74" s="634"/>
      <c r="AN74" s="635" t="s">
        <v>420</v>
      </c>
      <c r="AO74" s="632" t="s">
        <v>424</v>
      </c>
      <c r="AP74" s="633"/>
      <c r="AQ74" s="633"/>
      <c r="AR74" s="634"/>
      <c r="AS74" s="635" t="s">
        <v>420</v>
      </c>
      <c r="AT74" s="632" t="s">
        <v>424</v>
      </c>
      <c r="AU74" s="633"/>
      <c r="AV74" s="633"/>
      <c r="AW74" s="634"/>
      <c r="AX74" s="635" t="s">
        <v>420</v>
      </c>
      <c r="BA74" s="635" t="s">
        <v>371</v>
      </c>
    </row>
    <row r="75" spans="2:53">
      <c r="B75" s="635"/>
      <c r="C75" s="635"/>
      <c r="D75" s="635"/>
      <c r="E75" s="635" t="s">
        <v>425</v>
      </c>
      <c r="F75" s="635"/>
      <c r="G75" s="635"/>
      <c r="H75" s="652"/>
      <c r="I75" s="619" t="s">
        <v>425</v>
      </c>
      <c r="J75" s="619"/>
      <c r="K75" s="619"/>
      <c r="L75" s="621"/>
      <c r="M75" s="627"/>
      <c r="N75" s="635"/>
      <c r="O75" s="635"/>
      <c r="P75" s="632" t="s">
        <v>426</v>
      </c>
      <c r="Q75" s="633"/>
      <c r="R75" s="633"/>
      <c r="S75" s="634"/>
      <c r="T75" s="635"/>
      <c r="U75" s="632" t="s">
        <v>426</v>
      </c>
      <c r="V75" s="633"/>
      <c r="W75" s="633"/>
      <c r="X75" s="634"/>
      <c r="Y75" s="635"/>
      <c r="Z75" s="632" t="s">
        <v>426</v>
      </c>
      <c r="AA75" s="633"/>
      <c r="AB75" s="633"/>
      <c r="AC75" s="634"/>
      <c r="AD75" s="635"/>
      <c r="AE75" s="632" t="s">
        <v>426</v>
      </c>
      <c r="AF75" s="633"/>
      <c r="AG75" s="633"/>
      <c r="AH75" s="634"/>
      <c r="AI75" s="635"/>
      <c r="AJ75" s="632" t="s">
        <v>426</v>
      </c>
      <c r="AK75" s="633"/>
      <c r="AL75" s="633"/>
      <c r="AM75" s="634"/>
      <c r="AN75" s="635"/>
      <c r="AO75" s="632" t="s">
        <v>426</v>
      </c>
      <c r="AP75" s="633"/>
      <c r="AQ75" s="633"/>
      <c r="AR75" s="634"/>
      <c r="AS75" s="635"/>
      <c r="AT75" s="632" t="s">
        <v>426</v>
      </c>
      <c r="AU75" s="633"/>
      <c r="AV75" s="633"/>
      <c r="AW75" s="634"/>
      <c r="AX75" s="635"/>
      <c r="BA75" s="635"/>
    </row>
    <row r="76" spans="2:53">
      <c r="B76" s="635"/>
      <c r="C76" s="635"/>
      <c r="D76" s="635"/>
      <c r="E76" s="290" t="s">
        <v>427</v>
      </c>
      <c r="F76" s="290" t="s">
        <v>428</v>
      </c>
      <c r="G76" s="290" t="s">
        <v>429</v>
      </c>
      <c r="H76" s="653"/>
      <c r="I76" s="289" t="s">
        <v>427</v>
      </c>
      <c r="J76" s="289" t="s">
        <v>428</v>
      </c>
      <c r="K76" s="289" t="s">
        <v>429</v>
      </c>
      <c r="L76" s="622"/>
      <c r="M76" s="628"/>
      <c r="N76" s="635"/>
      <c r="O76" s="635"/>
      <c r="P76" s="290" t="s">
        <v>427</v>
      </c>
      <c r="Q76" s="290" t="s">
        <v>428</v>
      </c>
      <c r="R76" s="290" t="s">
        <v>429</v>
      </c>
      <c r="S76" s="290" t="s">
        <v>422</v>
      </c>
      <c r="T76" s="635"/>
      <c r="U76" s="290" t="s">
        <v>427</v>
      </c>
      <c r="V76" s="290" t="s">
        <v>428</v>
      </c>
      <c r="W76" s="290" t="s">
        <v>429</v>
      </c>
      <c r="X76" s="290" t="s">
        <v>422</v>
      </c>
      <c r="Y76" s="635"/>
      <c r="Z76" s="290" t="s">
        <v>427</v>
      </c>
      <c r="AA76" s="290" t="s">
        <v>428</v>
      </c>
      <c r="AB76" s="290" t="s">
        <v>429</v>
      </c>
      <c r="AC76" s="290" t="s">
        <v>422</v>
      </c>
      <c r="AD76" s="635"/>
      <c r="AE76" s="290" t="s">
        <v>427</v>
      </c>
      <c r="AF76" s="290" t="s">
        <v>428</v>
      </c>
      <c r="AG76" s="290" t="s">
        <v>429</v>
      </c>
      <c r="AH76" s="290" t="s">
        <v>422</v>
      </c>
      <c r="AI76" s="635"/>
      <c r="AJ76" s="290" t="s">
        <v>427</v>
      </c>
      <c r="AK76" s="290" t="s">
        <v>428</v>
      </c>
      <c r="AL76" s="290" t="s">
        <v>429</v>
      </c>
      <c r="AM76" s="290" t="s">
        <v>422</v>
      </c>
      <c r="AN76" s="635"/>
      <c r="AO76" s="290" t="s">
        <v>427</v>
      </c>
      <c r="AP76" s="290" t="s">
        <v>428</v>
      </c>
      <c r="AQ76" s="290" t="s">
        <v>429</v>
      </c>
      <c r="AR76" s="290" t="s">
        <v>422</v>
      </c>
      <c r="AS76" s="635"/>
      <c r="AT76" s="290" t="s">
        <v>427</v>
      </c>
      <c r="AU76" s="290" t="s">
        <v>428</v>
      </c>
      <c r="AV76" s="290" t="s">
        <v>429</v>
      </c>
      <c r="AW76" s="290" t="s">
        <v>422</v>
      </c>
      <c r="AX76" s="635"/>
      <c r="AZ76" s="397" t="s">
        <v>372</v>
      </c>
      <c r="BA76" s="635"/>
    </row>
    <row r="77" spans="2:53">
      <c r="B77" s="635" t="s">
        <v>430</v>
      </c>
      <c r="C77" s="291">
        <v>1</v>
      </c>
      <c r="D77" s="225" t="s">
        <v>344</v>
      </c>
      <c r="E77" s="416">
        <v>6</v>
      </c>
      <c r="F77" s="409">
        <v>1500</v>
      </c>
      <c r="G77" s="410">
        <v>250</v>
      </c>
      <c r="H77" s="685">
        <f>AVERAGE(G77:G106)</f>
        <v>101.43333333333335</v>
      </c>
      <c r="I77" s="391">
        <f>IFERROR(AVERAGE(P77,U77,Z77,AE77,AJ77,AO77,AT77),"-")</f>
        <v>6</v>
      </c>
      <c r="J77" s="391">
        <f>IFERROR(AVERAGE(Q77,V77,AA77,AF77,AK77,AP77,AU77),"-")</f>
        <v>1473.9255313148844</v>
      </c>
      <c r="K77" s="199">
        <f>IFERROR(AVERAGE(R77,W77,AB77,AG77,AL77,AQ77,AV77),"-")</f>
        <v>245.65425521914747</v>
      </c>
      <c r="L77" s="616">
        <f>IFERROR(AVERAGE(K77:K106),"-")</f>
        <v>88.755236014875535</v>
      </c>
      <c r="M77" s="200">
        <f>RANK(K77, K$77:$K$106)</f>
        <v>1</v>
      </c>
      <c r="N77" s="635"/>
      <c r="O77" s="635"/>
      <c r="P77" s="549">
        <v>6</v>
      </c>
      <c r="Q77" s="416">
        <v>1474.1612903225798</v>
      </c>
      <c r="R77" s="416">
        <v>245.69354838709663</v>
      </c>
      <c r="S77" s="549">
        <f>RANK(R77, R$77:R$106)</f>
        <v>1</v>
      </c>
      <c r="T77" s="657">
        <f>AVERAGE(R77:R106)</f>
        <v>89.383250747556062</v>
      </c>
      <c r="U77" s="549">
        <v>6</v>
      </c>
      <c r="V77" s="416">
        <v>1454.3959731543621</v>
      </c>
      <c r="W77" s="416">
        <v>242.39932885906035</v>
      </c>
      <c r="X77" s="416">
        <v>2</v>
      </c>
      <c r="Y77" s="700">
        <v>88.197838398076257</v>
      </c>
      <c r="Z77" s="549">
        <v>6</v>
      </c>
      <c r="AA77" s="416">
        <v>1485.5208333333337</v>
      </c>
      <c r="AB77" s="416">
        <v>247.58680555555563</v>
      </c>
      <c r="AC77" s="416">
        <v>1</v>
      </c>
      <c r="AD77" s="700">
        <v>88.456899055850997</v>
      </c>
      <c r="AE77" s="549">
        <v>6</v>
      </c>
      <c r="AF77" s="416">
        <v>1479.1999999999998</v>
      </c>
      <c r="AG77" s="416">
        <v>246.5333333333333</v>
      </c>
      <c r="AH77" s="416">
        <v>1</v>
      </c>
      <c r="AI77" s="700">
        <v>88.25657530572694</v>
      </c>
      <c r="AJ77" s="549">
        <v>6</v>
      </c>
      <c r="AK77" s="416">
        <v>1483.854166666667</v>
      </c>
      <c r="AL77" s="416">
        <v>247.30902777777783</v>
      </c>
      <c r="AM77" s="416">
        <v>1</v>
      </c>
      <c r="AN77" s="700">
        <v>88.630213041468451</v>
      </c>
      <c r="AO77" s="549">
        <v>6</v>
      </c>
      <c r="AP77" s="416">
        <v>1473.4259259259254</v>
      </c>
      <c r="AQ77" s="416">
        <v>245.5709876543209</v>
      </c>
      <c r="AR77" s="416">
        <v>2</v>
      </c>
      <c r="AS77" s="700">
        <v>90.346826988420702</v>
      </c>
      <c r="AT77" s="549">
        <v>6</v>
      </c>
      <c r="AU77" s="416">
        <v>1466.9205298013242</v>
      </c>
      <c r="AV77" s="416">
        <v>244.48675496688736</v>
      </c>
      <c r="AW77" s="416">
        <v>1</v>
      </c>
      <c r="AX77" s="700">
        <v>90.420019472599449</v>
      </c>
      <c r="AZ77" s="398" t="e">
        <f>RANK(AY77, AY$77:AY$106)</f>
        <v>#N/A</v>
      </c>
      <c r="BA77" s="657" t="e">
        <f>AVERAGE(AY77:AY106)</f>
        <v>#DIV/0!</v>
      </c>
    </row>
    <row r="78" spans="2:53">
      <c r="B78" s="643"/>
      <c r="C78" s="291">
        <v>2</v>
      </c>
      <c r="D78" s="225" t="s">
        <v>616</v>
      </c>
      <c r="E78" s="416">
        <v>6</v>
      </c>
      <c r="F78" s="409">
        <v>1636</v>
      </c>
      <c r="G78" s="410">
        <v>272.7</v>
      </c>
      <c r="H78" s="686"/>
      <c r="I78" s="391">
        <f t="shared" ref="I78:I106" si="22">IFERROR(AVERAGE(P78,U78,Z78,AE78,AJ78,AO78,AT78),"-")</f>
        <v>6</v>
      </c>
      <c r="J78" s="391">
        <f t="shared" ref="J78:J106" si="23">IFERROR(AVERAGE(Q78,V78,AA78,AF78,AK78,AP78,AU78),"-")</f>
        <v>1462.3803661978729</v>
      </c>
      <c r="K78" s="199">
        <f t="shared" ref="K78:K106" si="24">IFERROR(AVERAGE(R78,W78,AB78,AG78,AL78,AQ78,AV78),"-")</f>
        <v>243.73006103297888</v>
      </c>
      <c r="L78" s="617"/>
      <c r="M78" s="200">
        <f>RANK(K78, K$77:$K$106)</f>
        <v>2</v>
      </c>
      <c r="N78" s="635"/>
      <c r="O78" s="635"/>
      <c r="P78" s="549">
        <v>6</v>
      </c>
      <c r="Q78" s="416">
        <v>1461.7499999999993</v>
      </c>
      <c r="R78" s="416">
        <v>243.62499999999989</v>
      </c>
      <c r="S78" s="549">
        <f t="shared" ref="S78:S106" si="25">RANK(R78, R$77:R$106)</f>
        <v>2</v>
      </c>
      <c r="T78" s="657"/>
      <c r="U78" s="549">
        <v>6</v>
      </c>
      <c r="V78" s="416">
        <v>1463.3333333333335</v>
      </c>
      <c r="W78" s="416">
        <v>243.88888888888891</v>
      </c>
      <c r="X78" s="416">
        <v>1</v>
      </c>
      <c r="Y78" s="701"/>
      <c r="Z78" s="549">
        <v>6</v>
      </c>
      <c r="AA78" s="416">
        <v>1476.0000000000002</v>
      </c>
      <c r="AB78" s="416">
        <v>246.00000000000003</v>
      </c>
      <c r="AC78" s="416">
        <v>2</v>
      </c>
      <c r="AD78" s="701"/>
      <c r="AE78" s="549">
        <v>6</v>
      </c>
      <c r="AF78" s="416">
        <v>1451.1864406779655</v>
      </c>
      <c r="AG78" s="416">
        <v>241.86440677966092</v>
      </c>
      <c r="AH78" s="416">
        <v>2</v>
      </c>
      <c r="AI78" s="701"/>
      <c r="AJ78" s="549">
        <v>6</v>
      </c>
      <c r="AK78" s="416">
        <v>1456.4516129032254</v>
      </c>
      <c r="AL78" s="416">
        <v>242.74193548387089</v>
      </c>
      <c r="AM78" s="416">
        <v>2</v>
      </c>
      <c r="AN78" s="701"/>
      <c r="AO78" s="549">
        <v>6</v>
      </c>
      <c r="AP78" s="416">
        <v>1477.9411764705883</v>
      </c>
      <c r="AQ78" s="416">
        <v>246.32352941176472</v>
      </c>
      <c r="AR78" s="416">
        <v>1</v>
      </c>
      <c r="AS78" s="701"/>
      <c r="AT78" s="549">
        <v>6</v>
      </c>
      <c r="AU78" s="416">
        <v>1450.0000000000002</v>
      </c>
      <c r="AV78" s="416">
        <v>241.66666666666671</v>
      </c>
      <c r="AW78" s="416">
        <v>2</v>
      </c>
      <c r="AX78" s="701"/>
      <c r="AZ78" s="398" t="e">
        <f t="shared" ref="AZ78:AZ106" si="26">RANK(AY78, AY$77:AY$106)</f>
        <v>#N/A</v>
      </c>
      <c r="BA78" s="657"/>
    </row>
    <row r="79" spans="2:53">
      <c r="B79" s="643"/>
      <c r="C79" s="291">
        <v>3</v>
      </c>
      <c r="D79" s="225" t="s">
        <v>601</v>
      </c>
      <c r="E79" s="416">
        <v>16</v>
      </c>
      <c r="F79" s="409">
        <v>1500</v>
      </c>
      <c r="G79" s="410">
        <v>93.8</v>
      </c>
      <c r="H79" s="686"/>
      <c r="I79" s="391">
        <f t="shared" si="22"/>
        <v>17.428571428571427</v>
      </c>
      <c r="J79" s="391">
        <f t="shared" si="23"/>
        <v>1250.3623127247483</v>
      </c>
      <c r="K79" s="199">
        <f t="shared" si="24"/>
        <v>71.93512574798136</v>
      </c>
      <c r="L79" s="617"/>
      <c r="M79" s="200">
        <f>RANK(K79, K$77:$K$106)</f>
        <v>16</v>
      </c>
      <c r="N79" s="635"/>
      <c r="O79" s="635"/>
      <c r="P79" s="549">
        <v>18</v>
      </c>
      <c r="Q79" s="416">
        <v>1285.2413793103458</v>
      </c>
      <c r="R79" s="416">
        <v>71.402298850574766</v>
      </c>
      <c r="S79" s="549">
        <f t="shared" si="25"/>
        <v>18</v>
      </c>
      <c r="T79" s="657"/>
      <c r="U79" s="549">
        <v>18</v>
      </c>
      <c r="V79" s="416">
        <v>1220.2758620689665</v>
      </c>
      <c r="W79" s="416">
        <v>67.793103448275915</v>
      </c>
      <c r="X79" s="416">
        <v>19</v>
      </c>
      <c r="Y79" s="701"/>
      <c r="Z79" s="549">
        <v>18</v>
      </c>
      <c r="AA79" s="416">
        <v>1223.1428571428582</v>
      </c>
      <c r="AB79" s="416">
        <v>67.95238095238102</v>
      </c>
      <c r="AC79" s="416">
        <v>19</v>
      </c>
      <c r="AD79" s="701"/>
      <c r="AE79" s="549">
        <v>18</v>
      </c>
      <c r="AF79" s="416">
        <v>1271.6129032258077</v>
      </c>
      <c r="AG79" s="416">
        <v>70.645161290322648</v>
      </c>
      <c r="AH79" s="416">
        <v>16</v>
      </c>
      <c r="AI79" s="701"/>
      <c r="AJ79" s="549">
        <v>18</v>
      </c>
      <c r="AK79" s="416">
        <v>1261.9459459459465</v>
      </c>
      <c r="AL79" s="416">
        <v>70.108108108108141</v>
      </c>
      <c r="AM79" s="416">
        <v>17</v>
      </c>
      <c r="AN79" s="701"/>
      <c r="AO79" s="549">
        <v>16</v>
      </c>
      <c r="AP79" s="416">
        <v>1233.5172413793114</v>
      </c>
      <c r="AQ79" s="416">
        <v>77.094827586206961</v>
      </c>
      <c r="AR79" s="416">
        <v>13</v>
      </c>
      <c r="AS79" s="701"/>
      <c r="AT79" s="549">
        <v>16</v>
      </c>
      <c r="AU79" s="416">
        <v>1256.8000000000013</v>
      </c>
      <c r="AV79" s="416">
        <v>78.550000000000082</v>
      </c>
      <c r="AW79" s="416">
        <v>12</v>
      </c>
      <c r="AX79" s="701"/>
      <c r="AZ79" s="398" t="e">
        <f t="shared" si="26"/>
        <v>#N/A</v>
      </c>
      <c r="BA79" s="657"/>
    </row>
    <row r="80" spans="2:53">
      <c r="B80" s="643"/>
      <c r="C80" s="291">
        <v>4</v>
      </c>
      <c r="D80" s="225" t="s">
        <v>566</v>
      </c>
      <c r="E80" s="416">
        <v>18</v>
      </c>
      <c r="F80" s="409">
        <v>1500</v>
      </c>
      <c r="G80" s="410">
        <v>83.3</v>
      </c>
      <c r="H80" s="686"/>
      <c r="I80" s="391">
        <f t="shared" si="22"/>
        <v>18</v>
      </c>
      <c r="J80" s="391">
        <f t="shared" si="23"/>
        <v>1262.7991024436549</v>
      </c>
      <c r="K80" s="199">
        <f t="shared" si="24"/>
        <v>70.155505691314161</v>
      </c>
      <c r="L80" s="617"/>
      <c r="M80" s="200">
        <f>RANK(K80, K$77:$K$106)</f>
        <v>17</v>
      </c>
      <c r="N80" s="635"/>
      <c r="O80" s="635"/>
      <c r="P80" s="549">
        <v>18</v>
      </c>
      <c r="Q80" s="416">
        <v>1289.4339622641517</v>
      </c>
      <c r="R80" s="416">
        <v>71.635220125786205</v>
      </c>
      <c r="S80" s="549">
        <f t="shared" si="25"/>
        <v>17</v>
      </c>
      <c r="T80" s="657"/>
      <c r="U80" s="549">
        <v>18</v>
      </c>
      <c r="V80" s="416">
        <v>1237.9591836734696</v>
      </c>
      <c r="W80" s="416">
        <v>68.775510204081641</v>
      </c>
      <c r="X80" s="416">
        <v>17</v>
      </c>
      <c r="Y80" s="701"/>
      <c r="Z80" s="549">
        <v>18</v>
      </c>
      <c r="AA80" s="416">
        <v>1236.2500000000002</v>
      </c>
      <c r="AB80" s="416">
        <v>68.680555555555571</v>
      </c>
      <c r="AC80" s="416">
        <v>17</v>
      </c>
      <c r="AD80" s="701"/>
      <c r="AE80" s="549">
        <v>18</v>
      </c>
      <c r="AF80" s="416">
        <v>1228.5714285714282</v>
      </c>
      <c r="AG80" s="416">
        <v>68.253968253968239</v>
      </c>
      <c r="AH80" s="416">
        <v>19</v>
      </c>
      <c r="AI80" s="701"/>
      <c r="AJ80" s="549">
        <v>18</v>
      </c>
      <c r="AK80" s="416">
        <v>1313.1818181818182</v>
      </c>
      <c r="AL80" s="416">
        <v>72.954545454545453</v>
      </c>
      <c r="AM80" s="416">
        <v>15</v>
      </c>
      <c r="AN80" s="701"/>
      <c r="AO80" s="549">
        <v>18</v>
      </c>
      <c r="AP80" s="416">
        <v>1303.0434782608695</v>
      </c>
      <c r="AQ80" s="416">
        <v>72.391304347826079</v>
      </c>
      <c r="AR80" s="416">
        <v>17</v>
      </c>
      <c r="AS80" s="701"/>
      <c r="AT80" s="549">
        <v>18</v>
      </c>
      <c r="AU80" s="416">
        <v>1231.1538461538469</v>
      </c>
      <c r="AV80" s="416">
        <v>68.39743589743594</v>
      </c>
      <c r="AW80" s="416">
        <v>18</v>
      </c>
      <c r="AX80" s="701"/>
      <c r="AZ80" s="398" t="e">
        <f t="shared" si="26"/>
        <v>#N/A</v>
      </c>
      <c r="BA80" s="657"/>
    </row>
    <row r="81" spans="2:53">
      <c r="B81" s="643"/>
      <c r="C81" s="291">
        <v>5</v>
      </c>
      <c r="D81" s="225" t="s">
        <v>346</v>
      </c>
      <c r="E81" s="416">
        <v>16</v>
      </c>
      <c r="F81" s="409">
        <v>1565</v>
      </c>
      <c r="G81" s="410">
        <v>97.8</v>
      </c>
      <c r="H81" s="686"/>
      <c r="I81" s="391">
        <f t="shared" si="22"/>
        <v>16.285714285714285</v>
      </c>
      <c r="J81" s="391">
        <f t="shared" si="23"/>
        <v>1370.4777374873761</v>
      </c>
      <c r="K81" s="199">
        <f t="shared" si="24"/>
        <v>84.21635695391528</v>
      </c>
      <c r="L81" s="617"/>
      <c r="M81" s="200">
        <f>RANK(K81, K$77:$K$106)</f>
        <v>6</v>
      </c>
      <c r="N81" s="635"/>
      <c r="O81" s="635"/>
      <c r="P81" s="549">
        <v>17</v>
      </c>
      <c r="Q81" s="416">
        <v>1358.1176470588234</v>
      </c>
      <c r="R81" s="416">
        <v>79.889273356401375</v>
      </c>
      <c r="S81" s="549">
        <f t="shared" si="25"/>
        <v>11</v>
      </c>
      <c r="T81" s="657"/>
      <c r="U81" s="549">
        <v>17</v>
      </c>
      <c r="V81" s="416">
        <v>1380.7894736842095</v>
      </c>
      <c r="W81" s="416">
        <v>81.222910216718205</v>
      </c>
      <c r="X81" s="416">
        <v>6</v>
      </c>
      <c r="Y81" s="701"/>
      <c r="Z81" s="549">
        <v>16</v>
      </c>
      <c r="AA81" s="416">
        <v>1362.2727272727273</v>
      </c>
      <c r="AB81" s="416">
        <v>85.142045454545453</v>
      </c>
      <c r="AC81" s="416">
        <v>4</v>
      </c>
      <c r="AD81" s="701"/>
      <c r="AE81" s="549">
        <v>16</v>
      </c>
      <c r="AF81" s="416">
        <v>1361.4705882352923</v>
      </c>
      <c r="AG81" s="416">
        <v>85.09191176470577</v>
      </c>
      <c r="AH81" s="416">
        <v>5</v>
      </c>
      <c r="AI81" s="701"/>
      <c r="AJ81" s="549">
        <v>16</v>
      </c>
      <c r="AK81" s="416">
        <v>1367.0886075949359</v>
      </c>
      <c r="AL81" s="416">
        <v>85.443037974683492</v>
      </c>
      <c r="AM81" s="416">
        <v>5</v>
      </c>
      <c r="AN81" s="701"/>
      <c r="AO81" s="549">
        <v>16</v>
      </c>
      <c r="AP81" s="416">
        <v>1385.934065934066</v>
      </c>
      <c r="AQ81" s="416">
        <v>86.620879120879124</v>
      </c>
      <c r="AR81" s="416">
        <v>4</v>
      </c>
      <c r="AS81" s="701"/>
      <c r="AT81" s="549">
        <v>16</v>
      </c>
      <c r="AU81" s="416">
        <v>1377.6710526315778</v>
      </c>
      <c r="AV81" s="416">
        <v>86.104440789473614</v>
      </c>
      <c r="AW81" s="416">
        <v>5</v>
      </c>
      <c r="AX81" s="701"/>
      <c r="AZ81" s="398" t="e">
        <f t="shared" si="26"/>
        <v>#N/A</v>
      </c>
      <c r="BA81" s="657"/>
    </row>
    <row r="82" spans="2:53">
      <c r="B82" s="643"/>
      <c r="C82" s="291">
        <v>6</v>
      </c>
      <c r="D82" s="225" t="s">
        <v>567</v>
      </c>
      <c r="E82" s="416">
        <v>21</v>
      </c>
      <c r="F82" s="409">
        <v>1500</v>
      </c>
      <c r="G82" s="410">
        <v>71.400000000000006</v>
      </c>
      <c r="H82" s="686"/>
      <c r="I82" s="391">
        <f t="shared" si="22"/>
        <v>21</v>
      </c>
      <c r="J82" s="391">
        <f t="shared" si="23"/>
        <v>1291.9992196370538</v>
      </c>
      <c r="K82" s="199">
        <f t="shared" si="24"/>
        <v>61.523772363669231</v>
      </c>
      <c r="L82" s="617"/>
      <c r="M82" s="200">
        <f>RANK(K82, K$77:$K$106)</f>
        <v>22</v>
      </c>
      <c r="N82" s="635"/>
      <c r="O82" s="635"/>
      <c r="P82" s="549">
        <v>21</v>
      </c>
      <c r="Q82" s="416">
        <v>1318.7234042553193</v>
      </c>
      <c r="R82" s="416">
        <v>62.796352583586632</v>
      </c>
      <c r="S82" s="549">
        <f t="shared" si="25"/>
        <v>22</v>
      </c>
      <c r="T82" s="657"/>
      <c r="U82" s="549">
        <v>21</v>
      </c>
      <c r="V82" s="416">
        <v>1320.000000000002</v>
      </c>
      <c r="W82" s="416">
        <v>62.857142857142954</v>
      </c>
      <c r="X82" s="416">
        <v>22</v>
      </c>
      <c r="Y82" s="701"/>
      <c r="Z82" s="549">
        <v>21</v>
      </c>
      <c r="AA82" s="416">
        <v>1285.7142857142881</v>
      </c>
      <c r="AB82" s="416">
        <v>61.22448979591848</v>
      </c>
      <c r="AC82" s="416">
        <v>23</v>
      </c>
      <c r="AD82" s="701"/>
      <c r="AE82" s="549">
        <v>21</v>
      </c>
      <c r="AF82" s="416">
        <v>1272.6315789473674</v>
      </c>
      <c r="AG82" s="416">
        <v>60.601503759398447</v>
      </c>
      <c r="AH82" s="416">
        <v>23</v>
      </c>
      <c r="AI82" s="701"/>
      <c r="AJ82" s="549">
        <v>21</v>
      </c>
      <c r="AK82" s="416">
        <v>1262.9268292682921</v>
      </c>
      <c r="AL82" s="416">
        <v>60.13937282229962</v>
      </c>
      <c r="AM82" s="416">
        <v>22</v>
      </c>
      <c r="AN82" s="701"/>
      <c r="AO82" s="549" t="s">
        <v>615</v>
      </c>
      <c r="AP82" s="416" t="s">
        <v>615</v>
      </c>
      <c r="AQ82" s="416" t="s">
        <v>615</v>
      </c>
      <c r="AR82" s="416" t="e">
        <v>#VALUE!</v>
      </c>
      <c r="AS82" s="701"/>
      <c r="AT82" s="549" t="s">
        <v>615</v>
      </c>
      <c r="AU82" s="416" t="s">
        <v>615</v>
      </c>
      <c r="AV82" s="416" t="s">
        <v>615</v>
      </c>
      <c r="AW82" s="416" t="e">
        <v>#VALUE!</v>
      </c>
      <c r="AX82" s="701"/>
      <c r="AZ82" s="398" t="e">
        <f t="shared" si="26"/>
        <v>#N/A</v>
      </c>
      <c r="BA82" s="657"/>
    </row>
    <row r="83" spans="2:53">
      <c r="B83" s="643"/>
      <c r="C83" s="291">
        <v>7</v>
      </c>
      <c r="D83" s="225" t="s">
        <v>635</v>
      </c>
      <c r="E83" s="416">
        <v>20</v>
      </c>
      <c r="F83" s="409">
        <v>1350</v>
      </c>
      <c r="G83" s="410">
        <v>83.3</v>
      </c>
      <c r="H83" s="686"/>
      <c r="I83" s="391">
        <f t="shared" si="22"/>
        <v>20</v>
      </c>
      <c r="J83" s="391">
        <f t="shared" si="23"/>
        <v>1061.8986049053049</v>
      </c>
      <c r="K83" s="199">
        <f t="shared" si="24"/>
        <v>53.094930245265239</v>
      </c>
      <c r="L83" s="617"/>
      <c r="M83" s="200">
        <f>RANK(K83, K$77:$K$106)</f>
        <v>24</v>
      </c>
      <c r="N83" s="635"/>
      <c r="O83" s="635"/>
      <c r="P83" s="549">
        <v>20</v>
      </c>
      <c r="Q83" s="416">
        <v>1093.5483870967753</v>
      </c>
      <c r="R83" s="416">
        <v>54.677419354838761</v>
      </c>
      <c r="S83" s="549">
        <f t="shared" si="25"/>
        <v>24</v>
      </c>
      <c r="T83" s="657"/>
      <c r="U83" s="549">
        <v>20</v>
      </c>
      <c r="V83" s="416">
        <v>1051.4754098360665</v>
      </c>
      <c r="W83" s="416">
        <v>52.57377049180333</v>
      </c>
      <c r="X83" s="416">
        <v>24</v>
      </c>
      <c r="Y83" s="701"/>
      <c r="Z83" s="549">
        <v>20</v>
      </c>
      <c r="AA83" s="416">
        <v>1043.157894736843</v>
      </c>
      <c r="AB83" s="416">
        <v>52.157894736842152</v>
      </c>
      <c r="AC83" s="416">
        <v>24</v>
      </c>
      <c r="AD83" s="701"/>
      <c r="AE83" s="549">
        <v>20</v>
      </c>
      <c r="AF83" s="416">
        <v>1035.6521739130453</v>
      </c>
      <c r="AG83" s="416">
        <v>51.782608695652264</v>
      </c>
      <c r="AH83" s="416">
        <v>24</v>
      </c>
      <c r="AI83" s="701"/>
      <c r="AJ83" s="549">
        <v>20</v>
      </c>
      <c r="AK83" s="416">
        <v>1048.1632653061226</v>
      </c>
      <c r="AL83" s="416">
        <v>52.408163265306129</v>
      </c>
      <c r="AM83" s="416">
        <v>24</v>
      </c>
      <c r="AN83" s="701"/>
      <c r="AO83" s="549">
        <v>20</v>
      </c>
      <c r="AP83" s="416">
        <v>1043.7931034482765</v>
      </c>
      <c r="AQ83" s="416">
        <v>52.189655172413822</v>
      </c>
      <c r="AR83" s="416">
        <v>23</v>
      </c>
      <c r="AS83" s="701"/>
      <c r="AT83" s="549">
        <v>20</v>
      </c>
      <c r="AU83" s="416">
        <v>1117.5000000000041</v>
      </c>
      <c r="AV83" s="416">
        <v>55.875000000000206</v>
      </c>
      <c r="AW83" s="416">
        <v>23</v>
      </c>
      <c r="AX83" s="701"/>
      <c r="AZ83" s="398" t="e">
        <f t="shared" si="26"/>
        <v>#N/A</v>
      </c>
      <c r="BA83" s="657"/>
    </row>
    <row r="84" spans="2:53">
      <c r="B84" s="643"/>
      <c r="C84" s="291">
        <v>8</v>
      </c>
      <c r="D84" s="225" t="s">
        <v>698</v>
      </c>
      <c r="E84" s="416">
        <v>16</v>
      </c>
      <c r="F84" s="409">
        <v>1500</v>
      </c>
      <c r="G84" s="410">
        <v>93.8</v>
      </c>
      <c r="H84" s="686"/>
      <c r="I84" s="391">
        <f t="shared" si="22"/>
        <v>16.285714285714285</v>
      </c>
      <c r="J84" s="391">
        <f t="shared" si="23"/>
        <v>1308.0266337155263</v>
      </c>
      <c r="K84" s="199">
        <f t="shared" si="24"/>
        <v>80.37949817967376</v>
      </c>
      <c r="L84" s="617"/>
      <c r="M84" s="200">
        <f>RANK(K84, K$77:$K$106)</f>
        <v>9</v>
      </c>
      <c r="N84" s="635"/>
      <c r="O84" s="635"/>
      <c r="P84" s="549">
        <v>17</v>
      </c>
      <c r="Q84" s="416">
        <v>1287.8048780487802</v>
      </c>
      <c r="R84" s="416">
        <v>75.753228120516482</v>
      </c>
      <c r="S84" s="549">
        <f t="shared" si="25"/>
        <v>14</v>
      </c>
      <c r="T84" s="657"/>
      <c r="U84" s="549">
        <v>17</v>
      </c>
      <c r="V84" s="416">
        <v>1324.799999999999</v>
      </c>
      <c r="W84" s="416">
        <v>77.929411764705833</v>
      </c>
      <c r="X84" s="416">
        <v>11</v>
      </c>
      <c r="Y84" s="701"/>
      <c r="Z84" s="549">
        <v>16</v>
      </c>
      <c r="AA84" s="416">
        <v>1308.8571428571415</v>
      </c>
      <c r="AB84" s="416">
        <v>81.803571428571345</v>
      </c>
      <c r="AC84" s="416">
        <v>8</v>
      </c>
      <c r="AD84" s="701"/>
      <c r="AE84" s="549">
        <v>16</v>
      </c>
      <c r="AF84" s="416">
        <v>1281.3559322033909</v>
      </c>
      <c r="AG84" s="416">
        <v>80.084745762711933</v>
      </c>
      <c r="AH84" s="416">
        <v>8</v>
      </c>
      <c r="AI84" s="701"/>
      <c r="AJ84" s="549">
        <v>16</v>
      </c>
      <c r="AK84" s="416">
        <v>1308.6956521739119</v>
      </c>
      <c r="AL84" s="416">
        <v>81.793478260869492</v>
      </c>
      <c r="AM84" s="416">
        <v>9</v>
      </c>
      <c r="AN84" s="701"/>
      <c r="AO84" s="549">
        <v>16</v>
      </c>
      <c r="AP84" s="416">
        <v>1317.5675675675666</v>
      </c>
      <c r="AQ84" s="416">
        <v>82.347972972972912</v>
      </c>
      <c r="AR84" s="416">
        <v>7</v>
      </c>
      <c r="AS84" s="701"/>
      <c r="AT84" s="549">
        <v>16</v>
      </c>
      <c r="AU84" s="416">
        <v>1327.1052631578937</v>
      </c>
      <c r="AV84" s="416">
        <v>82.944078947368354</v>
      </c>
      <c r="AW84" s="416">
        <v>8</v>
      </c>
      <c r="AX84" s="701"/>
      <c r="AZ84" s="398" t="e">
        <f t="shared" si="26"/>
        <v>#N/A</v>
      </c>
      <c r="BA84" s="657"/>
    </row>
    <row r="85" spans="2:53">
      <c r="B85" s="643"/>
      <c r="C85" s="291">
        <v>9</v>
      </c>
      <c r="D85" s="225" t="s">
        <v>592</v>
      </c>
      <c r="E85" s="416">
        <v>16</v>
      </c>
      <c r="F85" s="409">
        <v>1440</v>
      </c>
      <c r="G85" s="410">
        <v>90</v>
      </c>
      <c r="H85" s="686"/>
      <c r="I85" s="391">
        <f t="shared" si="22"/>
        <v>16</v>
      </c>
      <c r="J85" s="391">
        <f t="shared" si="23"/>
        <v>1311.4612787630899</v>
      </c>
      <c r="K85" s="199">
        <f t="shared" si="24"/>
        <v>81.96632992269312</v>
      </c>
      <c r="L85" s="617"/>
      <c r="M85" s="200">
        <f>RANK(K85, K$77:$K$106)</f>
        <v>7</v>
      </c>
      <c r="N85" s="635"/>
      <c r="O85" s="635"/>
      <c r="P85" s="549">
        <v>16</v>
      </c>
      <c r="Q85" s="416">
        <v>1316.896551724139</v>
      </c>
      <c r="R85" s="416">
        <v>82.30603448275869</v>
      </c>
      <c r="S85" s="549">
        <f t="shared" si="25"/>
        <v>7</v>
      </c>
      <c r="T85" s="657"/>
      <c r="U85" s="549">
        <v>16</v>
      </c>
      <c r="V85" s="416">
        <v>1294.4444444444453</v>
      </c>
      <c r="W85" s="416">
        <v>80.902777777777828</v>
      </c>
      <c r="X85" s="416">
        <v>7</v>
      </c>
      <c r="Y85" s="701"/>
      <c r="Z85" s="549">
        <v>16</v>
      </c>
      <c r="AA85" s="416">
        <v>1293.0612244897964</v>
      </c>
      <c r="AB85" s="416">
        <v>80.816326530612272</v>
      </c>
      <c r="AC85" s="416">
        <v>10</v>
      </c>
      <c r="AD85" s="701"/>
      <c r="AE85" s="549">
        <v>16</v>
      </c>
      <c r="AF85" s="416">
        <v>1342.1739130434783</v>
      </c>
      <c r="AG85" s="416">
        <v>83.885869565217391</v>
      </c>
      <c r="AH85" s="416">
        <v>6</v>
      </c>
      <c r="AI85" s="701"/>
      <c r="AJ85" s="549">
        <v>16</v>
      </c>
      <c r="AK85" s="416">
        <v>1334.6341463414628</v>
      </c>
      <c r="AL85" s="416">
        <v>83.414634146341427</v>
      </c>
      <c r="AM85" s="416">
        <v>6</v>
      </c>
      <c r="AN85" s="701"/>
      <c r="AO85" s="549">
        <v>16</v>
      </c>
      <c r="AP85" s="416">
        <v>1293.0612244897964</v>
      </c>
      <c r="AQ85" s="416">
        <v>80.816326530612272</v>
      </c>
      <c r="AR85" s="416">
        <v>9</v>
      </c>
      <c r="AS85" s="701"/>
      <c r="AT85" s="549">
        <v>16</v>
      </c>
      <c r="AU85" s="416">
        <v>1305.9574468085109</v>
      </c>
      <c r="AV85" s="416">
        <v>81.622340425531931</v>
      </c>
      <c r="AW85" s="416">
        <v>10</v>
      </c>
      <c r="AX85" s="701"/>
      <c r="AZ85" s="398" t="e">
        <f t="shared" si="26"/>
        <v>#N/A</v>
      </c>
      <c r="BA85" s="657"/>
    </row>
    <row r="86" spans="2:53">
      <c r="B86" s="643"/>
      <c r="C86" s="291">
        <v>10</v>
      </c>
      <c r="D86" s="225" t="s">
        <v>593</v>
      </c>
      <c r="E86" s="416">
        <v>18</v>
      </c>
      <c r="F86" s="409">
        <v>1636</v>
      </c>
      <c r="G86" s="410">
        <v>90.9</v>
      </c>
      <c r="H86" s="686"/>
      <c r="I86" s="391">
        <f t="shared" si="22"/>
        <v>18</v>
      </c>
      <c r="J86" s="391">
        <f t="shared" si="23"/>
        <v>1401.6526010972195</v>
      </c>
      <c r="K86" s="199">
        <f t="shared" si="24"/>
        <v>77.86958894984555</v>
      </c>
      <c r="L86" s="617"/>
      <c r="M86" s="200">
        <f>RANK(K86, K$77:$K$106)</f>
        <v>12</v>
      </c>
      <c r="N86" s="635"/>
      <c r="O86" s="635"/>
      <c r="P86" s="549">
        <v>18</v>
      </c>
      <c r="Q86" s="416">
        <v>1479.7058823529394</v>
      </c>
      <c r="R86" s="416">
        <v>82.205882352941074</v>
      </c>
      <c r="S86" s="549">
        <f t="shared" si="25"/>
        <v>8</v>
      </c>
      <c r="T86" s="657"/>
      <c r="U86" s="549">
        <v>18</v>
      </c>
      <c r="V86" s="416">
        <v>1437.42857142857</v>
      </c>
      <c r="W86" s="416">
        <v>79.857142857142776</v>
      </c>
      <c r="X86" s="416">
        <v>8</v>
      </c>
      <c r="Y86" s="701"/>
      <c r="Z86" s="549">
        <v>18</v>
      </c>
      <c r="AA86" s="416">
        <v>1390.1538461538476</v>
      </c>
      <c r="AB86" s="416">
        <v>77.230769230769312</v>
      </c>
      <c r="AC86" s="416">
        <v>11</v>
      </c>
      <c r="AD86" s="701"/>
      <c r="AE86" s="549">
        <v>18</v>
      </c>
      <c r="AF86" s="416">
        <v>1363.8805970149235</v>
      </c>
      <c r="AG86" s="416">
        <v>75.771144278606869</v>
      </c>
      <c r="AH86" s="416">
        <v>14</v>
      </c>
      <c r="AI86" s="701"/>
      <c r="AJ86" s="549">
        <v>18</v>
      </c>
      <c r="AK86" s="416">
        <v>1381.0909090909099</v>
      </c>
      <c r="AL86" s="416">
        <v>76.727272727272776</v>
      </c>
      <c r="AM86" s="416">
        <v>13</v>
      </c>
      <c r="AN86" s="701"/>
      <c r="AO86" s="549">
        <v>18</v>
      </c>
      <c r="AP86" s="416">
        <v>1365.2459016393457</v>
      </c>
      <c r="AQ86" s="416">
        <v>75.846994535519201</v>
      </c>
      <c r="AR86" s="416">
        <v>15</v>
      </c>
      <c r="AS86" s="701"/>
      <c r="AT86" s="549">
        <v>18</v>
      </c>
      <c r="AU86" s="416">
        <v>1394.0625000000016</v>
      </c>
      <c r="AV86" s="416">
        <v>77.447916666666757</v>
      </c>
      <c r="AW86" s="416">
        <v>13</v>
      </c>
      <c r="AX86" s="701"/>
      <c r="AZ86" s="398" t="e">
        <f t="shared" si="26"/>
        <v>#N/A</v>
      </c>
      <c r="BA86" s="657"/>
    </row>
    <row r="87" spans="2:53">
      <c r="B87" s="643"/>
      <c r="C87" s="291">
        <v>11</v>
      </c>
      <c r="D87" s="225" t="s">
        <v>594</v>
      </c>
      <c r="E87" s="416">
        <v>18</v>
      </c>
      <c r="F87" s="409">
        <v>1636</v>
      </c>
      <c r="G87" s="410">
        <v>90.9</v>
      </c>
      <c r="H87" s="686"/>
      <c r="I87" s="391">
        <f t="shared" si="22"/>
        <v>18</v>
      </c>
      <c r="J87" s="391">
        <f t="shared" si="23"/>
        <v>1393.4959082197479</v>
      </c>
      <c r="K87" s="199">
        <f t="shared" si="24"/>
        <v>77.416439345541548</v>
      </c>
      <c r="L87" s="617"/>
      <c r="M87" s="200">
        <f>RANK(K87, K$77:$K$106)</f>
        <v>13</v>
      </c>
      <c r="N87" s="635"/>
      <c r="O87" s="635"/>
      <c r="P87" s="549">
        <v>18</v>
      </c>
      <c r="Q87" s="416">
        <v>1440.0000000000009</v>
      </c>
      <c r="R87" s="416">
        <v>80.000000000000057</v>
      </c>
      <c r="S87" s="549">
        <f t="shared" si="25"/>
        <v>10</v>
      </c>
      <c r="T87" s="657"/>
      <c r="U87" s="549">
        <v>18</v>
      </c>
      <c r="V87" s="416">
        <v>1425.263157894738</v>
      </c>
      <c r="W87" s="416">
        <v>79.181286549707664</v>
      </c>
      <c r="X87" s="416">
        <v>10</v>
      </c>
      <c r="Y87" s="701"/>
      <c r="Z87" s="549">
        <v>18</v>
      </c>
      <c r="AA87" s="416">
        <v>1383.5294117647065</v>
      </c>
      <c r="AB87" s="416">
        <v>76.862745098039255</v>
      </c>
      <c r="AC87" s="416">
        <v>12</v>
      </c>
      <c r="AD87" s="701"/>
      <c r="AE87" s="549">
        <v>18</v>
      </c>
      <c r="AF87" s="416">
        <v>1365.0000000000009</v>
      </c>
      <c r="AG87" s="416">
        <v>75.833333333333385</v>
      </c>
      <c r="AH87" s="416">
        <v>13</v>
      </c>
      <c r="AI87" s="701"/>
      <c r="AJ87" s="549">
        <v>18</v>
      </c>
      <c r="AK87" s="416">
        <v>1374.5454545454545</v>
      </c>
      <c r="AL87" s="416">
        <v>76.36363636363636</v>
      </c>
      <c r="AM87" s="416">
        <v>14</v>
      </c>
      <c r="AN87" s="701"/>
      <c r="AO87" s="549">
        <v>18</v>
      </c>
      <c r="AP87" s="416">
        <v>1393.3333333333333</v>
      </c>
      <c r="AQ87" s="416">
        <v>77.407407407407405</v>
      </c>
      <c r="AR87" s="416">
        <v>12</v>
      </c>
      <c r="AS87" s="701"/>
      <c r="AT87" s="549">
        <v>18</v>
      </c>
      <c r="AU87" s="416">
        <v>1372.8000000000004</v>
      </c>
      <c r="AV87" s="416">
        <v>76.266666666666694</v>
      </c>
      <c r="AW87" s="416">
        <v>15</v>
      </c>
      <c r="AX87" s="701"/>
      <c r="AZ87" s="398" t="e">
        <f t="shared" si="26"/>
        <v>#N/A</v>
      </c>
      <c r="BA87" s="657"/>
    </row>
    <row r="88" spans="2:53">
      <c r="B88" s="643"/>
      <c r="C88" s="291">
        <v>12</v>
      </c>
      <c r="D88" s="225" t="s">
        <v>334</v>
      </c>
      <c r="E88" s="416">
        <v>17</v>
      </c>
      <c r="F88" s="409">
        <v>1500</v>
      </c>
      <c r="G88" s="410">
        <v>88.2</v>
      </c>
      <c r="H88" s="686"/>
      <c r="I88" s="391">
        <f t="shared" si="22"/>
        <v>17</v>
      </c>
      <c r="J88" s="391">
        <f t="shared" si="23"/>
        <v>1359.1881480387372</v>
      </c>
      <c r="K88" s="199">
        <f t="shared" si="24"/>
        <v>79.952244002278675</v>
      </c>
      <c r="L88" s="617"/>
      <c r="M88" s="200">
        <f>RANK(K88, K$77:$K$106)</f>
        <v>10</v>
      </c>
      <c r="N88" s="635"/>
      <c r="O88" s="635"/>
      <c r="P88" s="549">
        <v>17</v>
      </c>
      <c r="Q88" s="416">
        <v>1381.2244897959188</v>
      </c>
      <c r="R88" s="416">
        <v>81.248499399759922</v>
      </c>
      <c r="S88" s="549">
        <f t="shared" si="25"/>
        <v>9</v>
      </c>
      <c r="T88" s="657"/>
      <c r="U88" s="549">
        <v>17</v>
      </c>
      <c r="V88" s="416">
        <v>1353.0612244897964</v>
      </c>
      <c r="W88" s="416">
        <v>79.591836734693899</v>
      </c>
      <c r="X88" s="416">
        <v>9</v>
      </c>
      <c r="Y88" s="701"/>
      <c r="Z88" s="549">
        <v>17</v>
      </c>
      <c r="AA88" s="416">
        <v>1375.2631578947357</v>
      </c>
      <c r="AB88" s="416">
        <v>80.897832817337402</v>
      </c>
      <c r="AC88" s="416">
        <v>9</v>
      </c>
      <c r="AD88" s="701"/>
      <c r="AE88" s="549">
        <v>17</v>
      </c>
      <c r="AF88" s="416">
        <v>1349.3023255813951</v>
      </c>
      <c r="AG88" s="416">
        <v>79.370725034199708</v>
      </c>
      <c r="AH88" s="416">
        <v>9</v>
      </c>
      <c r="AI88" s="701"/>
      <c r="AJ88" s="549">
        <v>17</v>
      </c>
      <c r="AK88" s="416">
        <v>1345.7142857142851</v>
      </c>
      <c r="AL88" s="416">
        <v>79.159663865546179</v>
      </c>
      <c r="AM88" s="416">
        <v>10</v>
      </c>
      <c r="AN88" s="701"/>
      <c r="AO88" s="549">
        <v>17</v>
      </c>
      <c r="AP88" s="416">
        <v>1352.608695652174</v>
      </c>
      <c r="AQ88" s="416">
        <v>79.565217391304358</v>
      </c>
      <c r="AR88" s="416">
        <v>11</v>
      </c>
      <c r="AS88" s="701"/>
      <c r="AT88" s="549">
        <v>17</v>
      </c>
      <c r="AU88" s="416">
        <v>1357.1428571428567</v>
      </c>
      <c r="AV88" s="416">
        <v>79.831932773109216</v>
      </c>
      <c r="AW88" s="416">
        <v>11</v>
      </c>
      <c r="AX88" s="701"/>
      <c r="AZ88" s="398" t="e">
        <f t="shared" si="26"/>
        <v>#N/A</v>
      </c>
      <c r="BA88" s="657"/>
    </row>
    <row r="89" spans="2:53">
      <c r="B89" s="643"/>
      <c r="C89" s="291">
        <v>13</v>
      </c>
      <c r="D89" s="225" t="s">
        <v>525</v>
      </c>
      <c r="E89" s="416">
        <v>20</v>
      </c>
      <c r="F89" s="409">
        <v>1440</v>
      </c>
      <c r="G89" s="410">
        <v>72</v>
      </c>
      <c r="H89" s="686"/>
      <c r="I89" s="391">
        <f t="shared" si="22"/>
        <v>20</v>
      </c>
      <c r="J89" s="391">
        <f t="shared" si="23"/>
        <v>1302.9374999573815</v>
      </c>
      <c r="K89" s="199">
        <f t="shared" si="24"/>
        <v>65.146874997869091</v>
      </c>
      <c r="L89" s="617"/>
      <c r="M89" s="200">
        <f>RANK(K89, K$77:$K$106)</f>
        <v>20</v>
      </c>
      <c r="N89" s="635"/>
      <c r="O89" s="635"/>
      <c r="P89" s="549">
        <v>20</v>
      </c>
      <c r="Q89" s="416">
        <v>1292.8571428571424</v>
      </c>
      <c r="R89" s="416">
        <v>64.642857142857125</v>
      </c>
      <c r="S89" s="549">
        <f t="shared" si="25"/>
        <v>21</v>
      </c>
      <c r="T89" s="657"/>
      <c r="U89" s="549">
        <v>20</v>
      </c>
      <c r="V89" s="416">
        <v>1304.6153846153838</v>
      </c>
      <c r="W89" s="416">
        <v>65.230769230769198</v>
      </c>
      <c r="X89" s="416">
        <v>20</v>
      </c>
      <c r="Y89" s="701"/>
      <c r="Z89" s="549">
        <v>20</v>
      </c>
      <c r="AA89" s="416">
        <v>1289.0322580645172</v>
      </c>
      <c r="AB89" s="416">
        <v>64.451612903225865</v>
      </c>
      <c r="AC89" s="416">
        <v>20</v>
      </c>
      <c r="AD89" s="701"/>
      <c r="AE89" s="549">
        <v>20</v>
      </c>
      <c r="AF89" s="416">
        <v>1302.2950819672144</v>
      </c>
      <c r="AG89" s="416">
        <v>65.11475409836072</v>
      </c>
      <c r="AH89" s="416">
        <v>20</v>
      </c>
      <c r="AI89" s="701"/>
      <c r="AJ89" s="549">
        <v>20</v>
      </c>
      <c r="AK89" s="416">
        <v>1350.0000000000018</v>
      </c>
      <c r="AL89" s="416">
        <v>67.500000000000085</v>
      </c>
      <c r="AM89" s="416">
        <v>20</v>
      </c>
      <c r="AN89" s="701"/>
      <c r="AO89" s="549">
        <v>20</v>
      </c>
      <c r="AP89" s="416">
        <v>1286.0869565217379</v>
      </c>
      <c r="AQ89" s="416">
        <v>64.304347826086897</v>
      </c>
      <c r="AR89" s="416">
        <v>21</v>
      </c>
      <c r="AS89" s="701"/>
      <c r="AT89" s="549">
        <v>20</v>
      </c>
      <c r="AU89" s="416">
        <v>1295.6756756756747</v>
      </c>
      <c r="AV89" s="416">
        <v>64.783783783783733</v>
      </c>
      <c r="AW89" s="416">
        <v>20</v>
      </c>
      <c r="AX89" s="701"/>
      <c r="AZ89" s="398" t="e">
        <f t="shared" si="26"/>
        <v>#N/A</v>
      </c>
      <c r="BA89" s="657"/>
    </row>
    <row r="90" spans="2:53">
      <c r="B90" s="643"/>
      <c r="C90" s="291">
        <v>14</v>
      </c>
      <c r="D90" s="225" t="s">
        <v>347</v>
      </c>
      <c r="E90" s="416">
        <v>14</v>
      </c>
      <c r="F90" s="409">
        <v>1440</v>
      </c>
      <c r="G90" s="410">
        <v>102.9</v>
      </c>
      <c r="H90" s="686"/>
      <c r="I90" s="391">
        <f t="shared" si="22"/>
        <v>14.857142857142858</v>
      </c>
      <c r="J90" s="391">
        <f t="shared" si="23"/>
        <v>1339.9613963132997</v>
      </c>
      <c r="K90" s="199">
        <f t="shared" si="24"/>
        <v>90.258275588139753</v>
      </c>
      <c r="L90" s="617"/>
      <c r="M90" s="200">
        <f>RANK(K90, K$77:$K$106)</f>
        <v>3</v>
      </c>
      <c r="N90" s="635"/>
      <c r="O90" s="635"/>
      <c r="P90" s="549">
        <v>14</v>
      </c>
      <c r="Q90" s="416">
        <v>1363.44827586207</v>
      </c>
      <c r="R90" s="416">
        <v>97.389162561576427</v>
      </c>
      <c r="S90" s="549">
        <f t="shared" si="25"/>
        <v>3</v>
      </c>
      <c r="T90" s="657"/>
      <c r="U90" s="549">
        <v>15</v>
      </c>
      <c r="V90" s="416">
        <v>1344.5901639344274</v>
      </c>
      <c r="W90" s="416">
        <v>89.639344262295168</v>
      </c>
      <c r="X90" s="416">
        <v>3</v>
      </c>
      <c r="Y90" s="701"/>
      <c r="Z90" s="549">
        <v>15</v>
      </c>
      <c r="AA90" s="416">
        <v>1365</v>
      </c>
      <c r="AB90" s="416">
        <v>91</v>
      </c>
      <c r="AC90" s="416">
        <v>3</v>
      </c>
      <c r="AD90" s="701"/>
      <c r="AE90" s="549">
        <v>15</v>
      </c>
      <c r="AF90" s="416">
        <v>1340.4000000000003</v>
      </c>
      <c r="AG90" s="416">
        <v>89.360000000000028</v>
      </c>
      <c r="AH90" s="416">
        <v>3</v>
      </c>
      <c r="AI90" s="701"/>
      <c r="AJ90" s="549">
        <v>15</v>
      </c>
      <c r="AK90" s="416">
        <v>1334.444444444445</v>
      </c>
      <c r="AL90" s="416">
        <v>88.962962962963005</v>
      </c>
      <c r="AM90" s="416">
        <v>3</v>
      </c>
      <c r="AN90" s="701"/>
      <c r="AO90" s="549">
        <v>15</v>
      </c>
      <c r="AP90" s="416">
        <v>1304.2105263157905</v>
      </c>
      <c r="AQ90" s="416">
        <v>86.947368421052701</v>
      </c>
      <c r="AR90" s="416">
        <v>3</v>
      </c>
      <c r="AS90" s="701"/>
      <c r="AT90" s="549">
        <v>15</v>
      </c>
      <c r="AU90" s="416">
        <v>1327.6363636363646</v>
      </c>
      <c r="AV90" s="416">
        <v>88.509090909090972</v>
      </c>
      <c r="AW90" s="416">
        <v>3</v>
      </c>
      <c r="AX90" s="701"/>
      <c r="AZ90" s="398" t="e">
        <f t="shared" si="26"/>
        <v>#N/A</v>
      </c>
      <c r="BA90" s="657"/>
    </row>
    <row r="91" spans="2:53">
      <c r="B91" s="643"/>
      <c r="C91" s="291">
        <v>15</v>
      </c>
      <c r="D91" s="225" t="s">
        <v>328</v>
      </c>
      <c r="E91" s="416">
        <v>19</v>
      </c>
      <c r="F91" s="409">
        <v>1440</v>
      </c>
      <c r="G91" s="410">
        <v>75.8</v>
      </c>
      <c r="H91" s="686"/>
      <c r="I91" s="391">
        <f t="shared" si="22"/>
        <v>19</v>
      </c>
      <c r="J91" s="391">
        <f t="shared" si="23"/>
        <v>1321.2769204450669</v>
      </c>
      <c r="K91" s="199">
        <f t="shared" si="24"/>
        <v>69.540890549740368</v>
      </c>
      <c r="L91" s="617"/>
      <c r="M91" s="200">
        <f>RANK(K91, K$77:$K$106)</f>
        <v>18</v>
      </c>
      <c r="N91" s="635"/>
      <c r="O91" s="635"/>
      <c r="P91" s="549">
        <v>19</v>
      </c>
      <c r="Q91" s="416">
        <v>1325.0526315789475</v>
      </c>
      <c r="R91" s="416">
        <v>69.739612188365655</v>
      </c>
      <c r="S91" s="549">
        <f t="shared" si="25"/>
        <v>19</v>
      </c>
      <c r="T91" s="657"/>
      <c r="U91" s="549">
        <v>19</v>
      </c>
      <c r="V91" s="416">
        <v>1303.2258064516129</v>
      </c>
      <c r="W91" s="416">
        <v>68.590831918505941</v>
      </c>
      <c r="X91" s="416">
        <v>18</v>
      </c>
      <c r="Y91" s="701"/>
      <c r="Z91" s="549">
        <v>19</v>
      </c>
      <c r="AA91" s="416">
        <v>1305.4054054054045</v>
      </c>
      <c r="AB91" s="416">
        <v>68.705547652916025</v>
      </c>
      <c r="AC91" s="416">
        <v>16</v>
      </c>
      <c r="AD91" s="701"/>
      <c r="AE91" s="549">
        <v>19</v>
      </c>
      <c r="AF91" s="416">
        <v>1317.42857142857</v>
      </c>
      <c r="AG91" s="416">
        <v>69.338345864661576</v>
      </c>
      <c r="AH91" s="416">
        <v>17</v>
      </c>
      <c r="AI91" s="701"/>
      <c r="AJ91" s="549">
        <v>19</v>
      </c>
      <c r="AK91" s="416">
        <v>1326.7499999999995</v>
      </c>
      <c r="AL91" s="416">
        <v>69.828947368421026</v>
      </c>
      <c r="AM91" s="416">
        <v>18</v>
      </c>
      <c r="AN91" s="701"/>
      <c r="AO91" s="549">
        <v>19</v>
      </c>
      <c r="AP91" s="416">
        <v>1335.9036144578308</v>
      </c>
      <c r="AQ91" s="416">
        <v>70.310716550412153</v>
      </c>
      <c r="AR91" s="416">
        <v>18</v>
      </c>
      <c r="AS91" s="701"/>
      <c r="AT91" s="549">
        <v>19</v>
      </c>
      <c r="AU91" s="416">
        <v>1335.1724137931033</v>
      </c>
      <c r="AV91" s="416">
        <v>70.272232304900172</v>
      </c>
      <c r="AW91" s="416">
        <v>17</v>
      </c>
      <c r="AX91" s="701"/>
      <c r="AZ91" s="398" t="e">
        <f t="shared" si="26"/>
        <v>#N/A</v>
      </c>
      <c r="BA91" s="657"/>
    </row>
    <row r="92" spans="2:53">
      <c r="B92" s="643"/>
      <c r="C92" s="291">
        <v>16</v>
      </c>
      <c r="D92" s="225" t="s">
        <v>345</v>
      </c>
      <c r="E92" s="416">
        <v>19</v>
      </c>
      <c r="F92" s="409">
        <v>1440</v>
      </c>
      <c r="G92" s="410">
        <v>75.8</v>
      </c>
      <c r="H92" s="686"/>
      <c r="I92" s="391">
        <f t="shared" si="22"/>
        <v>19</v>
      </c>
      <c r="J92" s="391">
        <f t="shared" si="23"/>
        <v>1313.6991085339068</v>
      </c>
      <c r="K92" s="199">
        <f t="shared" si="24"/>
        <v>69.142058343889829</v>
      </c>
      <c r="L92" s="617"/>
      <c r="M92" s="200">
        <f>RANK(K92, K$77:$K$106)</f>
        <v>19</v>
      </c>
      <c r="N92" s="635"/>
      <c r="O92" s="635"/>
      <c r="P92" s="549">
        <v>19</v>
      </c>
      <c r="Q92" s="416">
        <v>1373.239436619717</v>
      </c>
      <c r="R92" s="416">
        <v>72.275759822090365</v>
      </c>
      <c r="S92" s="549">
        <f t="shared" si="25"/>
        <v>16</v>
      </c>
      <c r="T92" s="657"/>
      <c r="U92" s="549">
        <v>19</v>
      </c>
      <c r="V92" s="416">
        <v>1357.0588235294101</v>
      </c>
      <c r="W92" s="416">
        <v>71.424148606811059</v>
      </c>
      <c r="X92" s="416">
        <v>16</v>
      </c>
      <c r="Y92" s="701"/>
      <c r="Z92" s="549">
        <v>19</v>
      </c>
      <c r="AA92" s="416">
        <v>1294.1379310344837</v>
      </c>
      <c r="AB92" s="416">
        <v>68.112522686025457</v>
      </c>
      <c r="AC92" s="416">
        <v>18</v>
      </c>
      <c r="AD92" s="701"/>
      <c r="AE92" s="549">
        <v>19</v>
      </c>
      <c r="AF92" s="416">
        <v>1301.0526315789484</v>
      </c>
      <c r="AG92" s="416">
        <v>68.476454293628862</v>
      </c>
      <c r="AH92" s="416">
        <v>18</v>
      </c>
      <c r="AI92" s="701"/>
      <c r="AJ92" s="549">
        <v>19</v>
      </c>
      <c r="AK92" s="416">
        <v>1285.3125000000016</v>
      </c>
      <c r="AL92" s="416">
        <v>67.648026315789551</v>
      </c>
      <c r="AM92" s="416">
        <v>19</v>
      </c>
      <c r="AN92" s="701"/>
      <c r="AO92" s="549">
        <v>19</v>
      </c>
      <c r="AP92" s="416">
        <v>1288.2352941176455</v>
      </c>
      <c r="AQ92" s="416">
        <v>67.801857585139231</v>
      </c>
      <c r="AR92" s="416">
        <v>19</v>
      </c>
      <c r="AS92" s="701"/>
      <c r="AT92" s="549">
        <v>19</v>
      </c>
      <c r="AU92" s="416">
        <v>1296.8571428571415</v>
      </c>
      <c r="AV92" s="416">
        <v>68.255639097744293</v>
      </c>
      <c r="AW92" s="416">
        <v>19</v>
      </c>
      <c r="AX92" s="701"/>
      <c r="AZ92" s="398" t="e">
        <f t="shared" si="26"/>
        <v>#N/A</v>
      </c>
      <c r="BA92" s="657"/>
    </row>
    <row r="93" spans="2:53">
      <c r="B93" s="643"/>
      <c r="C93" s="291">
        <v>17</v>
      </c>
      <c r="D93" s="225" t="s">
        <v>605</v>
      </c>
      <c r="E93" s="416">
        <v>18</v>
      </c>
      <c r="F93" s="409">
        <v>1500</v>
      </c>
      <c r="G93" s="410">
        <v>83.3</v>
      </c>
      <c r="H93" s="686"/>
      <c r="I93" s="391">
        <f t="shared" si="22"/>
        <v>17.857142857142858</v>
      </c>
      <c r="J93" s="391">
        <f t="shared" si="23"/>
        <v>1361.3730195930214</v>
      </c>
      <c r="K93" s="199">
        <f t="shared" si="24"/>
        <v>76.272315333300213</v>
      </c>
      <c r="L93" s="617"/>
      <c r="M93" s="200">
        <f>RANK(K93, K$77:$K$106)</f>
        <v>15</v>
      </c>
      <c r="N93" s="635"/>
      <c r="O93" s="635"/>
      <c r="P93" s="549">
        <v>18</v>
      </c>
      <c r="Q93" s="416">
        <v>1403.6842105263147</v>
      </c>
      <c r="R93" s="416">
        <v>77.98245614035082</v>
      </c>
      <c r="S93" s="549">
        <f t="shared" si="25"/>
        <v>12</v>
      </c>
      <c r="T93" s="657"/>
      <c r="U93" s="549">
        <v>18</v>
      </c>
      <c r="V93" s="416">
        <v>1371.0810810810799</v>
      </c>
      <c r="W93" s="416">
        <v>76.17117117117111</v>
      </c>
      <c r="X93" s="416">
        <v>15</v>
      </c>
      <c r="Y93" s="701"/>
      <c r="Z93" s="549">
        <v>18</v>
      </c>
      <c r="AA93" s="416">
        <v>1363.3734939759031</v>
      </c>
      <c r="AB93" s="416">
        <v>75.742971887550169</v>
      </c>
      <c r="AC93" s="416">
        <v>15</v>
      </c>
      <c r="AD93" s="701"/>
      <c r="AE93" s="549">
        <v>18</v>
      </c>
      <c r="AF93" s="416">
        <v>1356.6101694915267</v>
      </c>
      <c r="AG93" s="416">
        <v>75.367231638418147</v>
      </c>
      <c r="AH93" s="416">
        <v>15</v>
      </c>
      <c r="AI93" s="701"/>
      <c r="AJ93" s="549">
        <v>18</v>
      </c>
      <c r="AK93" s="416">
        <v>1301.4705882352923</v>
      </c>
      <c r="AL93" s="416">
        <v>72.303921568627345</v>
      </c>
      <c r="AM93" s="416">
        <v>16</v>
      </c>
      <c r="AN93" s="701"/>
      <c r="AO93" s="549">
        <v>17</v>
      </c>
      <c r="AP93" s="416">
        <v>1371.9101123595506</v>
      </c>
      <c r="AQ93" s="416">
        <v>80.700594844679443</v>
      </c>
      <c r="AR93" s="416">
        <v>10</v>
      </c>
      <c r="AS93" s="701"/>
      <c r="AT93" s="549">
        <v>18</v>
      </c>
      <c r="AU93" s="416">
        <v>1361.4814814814811</v>
      </c>
      <c r="AV93" s="416">
        <v>75.637860082304499</v>
      </c>
      <c r="AW93" s="416">
        <v>16</v>
      </c>
      <c r="AX93" s="701"/>
      <c r="AZ93" s="398" t="e">
        <f t="shared" si="26"/>
        <v>#N/A</v>
      </c>
      <c r="BA93" s="657"/>
    </row>
    <row r="94" spans="2:53">
      <c r="B94" s="643"/>
      <c r="C94" s="291">
        <v>18</v>
      </c>
      <c r="D94" s="225" t="s">
        <v>522</v>
      </c>
      <c r="E94" s="416">
        <v>17</v>
      </c>
      <c r="F94" s="409">
        <v>1440</v>
      </c>
      <c r="G94" s="410">
        <v>84.7</v>
      </c>
      <c r="H94" s="686"/>
      <c r="I94" s="391">
        <f t="shared" si="22"/>
        <v>17</v>
      </c>
      <c r="J94" s="391">
        <f t="shared" si="23"/>
        <v>1306.6396404954644</v>
      </c>
      <c r="K94" s="199">
        <f t="shared" si="24"/>
        <v>76.861155323262594</v>
      </c>
      <c r="L94" s="617"/>
      <c r="M94" s="200">
        <f>RANK(K94, K$77:$K$106)</f>
        <v>14</v>
      </c>
      <c r="N94" s="635"/>
      <c r="O94" s="635"/>
      <c r="P94" s="549">
        <v>17</v>
      </c>
      <c r="Q94" s="416">
        <v>1299.9999999999959</v>
      </c>
      <c r="R94" s="416">
        <v>76.470588235293874</v>
      </c>
      <c r="S94" s="549">
        <f t="shared" si="25"/>
        <v>13</v>
      </c>
      <c r="T94" s="657"/>
      <c r="U94" s="549">
        <v>17</v>
      </c>
      <c r="V94" s="416">
        <v>1296.9230769230735</v>
      </c>
      <c r="W94" s="416">
        <v>76.289592760180795</v>
      </c>
      <c r="X94" s="416">
        <v>14</v>
      </c>
      <c r="Y94" s="701"/>
      <c r="Z94" s="549">
        <v>17</v>
      </c>
      <c r="AA94" s="416">
        <v>1302.6315789473674</v>
      </c>
      <c r="AB94" s="416">
        <v>76.62538699690397</v>
      </c>
      <c r="AC94" s="416">
        <v>14</v>
      </c>
      <c r="AD94" s="701"/>
      <c r="AE94" s="549">
        <v>17</v>
      </c>
      <c r="AF94" s="416">
        <v>1324.3902439024387</v>
      </c>
      <c r="AG94" s="416">
        <v>77.905308464849327</v>
      </c>
      <c r="AH94" s="416">
        <v>11</v>
      </c>
      <c r="AI94" s="701"/>
      <c r="AJ94" s="549">
        <v>17</v>
      </c>
      <c r="AK94" s="416">
        <v>1326.1538461538455</v>
      </c>
      <c r="AL94" s="416">
        <v>78.009049773755621</v>
      </c>
      <c r="AM94" s="416">
        <v>11</v>
      </c>
      <c r="AN94" s="701"/>
      <c r="AO94" s="549">
        <v>17</v>
      </c>
      <c r="AP94" s="416">
        <v>1292.0930232558137</v>
      </c>
      <c r="AQ94" s="416">
        <v>76.005471956224341</v>
      </c>
      <c r="AR94" s="416">
        <v>14</v>
      </c>
      <c r="AS94" s="701"/>
      <c r="AT94" s="549">
        <v>17</v>
      </c>
      <c r="AU94" s="416">
        <v>1304.2857142857138</v>
      </c>
      <c r="AV94" s="416">
        <v>76.722689075630228</v>
      </c>
      <c r="AW94" s="416">
        <v>14</v>
      </c>
      <c r="AX94" s="701"/>
      <c r="AZ94" s="398" t="e">
        <f t="shared" si="26"/>
        <v>#N/A</v>
      </c>
      <c r="BA94" s="657"/>
    </row>
    <row r="95" spans="2:53">
      <c r="B95" s="643"/>
      <c r="C95" s="291">
        <v>19</v>
      </c>
      <c r="D95" s="225" t="s">
        <v>526</v>
      </c>
      <c r="E95" s="416">
        <v>20</v>
      </c>
      <c r="F95" s="409">
        <v>1500</v>
      </c>
      <c r="G95" s="410">
        <v>75</v>
      </c>
      <c r="H95" s="686"/>
      <c r="I95" s="391">
        <f t="shared" si="22"/>
        <v>19.857142857142858</v>
      </c>
      <c r="J95" s="391">
        <f t="shared" si="23"/>
        <v>1220.8851705507202</v>
      </c>
      <c r="K95" s="199">
        <f t="shared" si="24"/>
        <v>61.49783812871285</v>
      </c>
      <c r="L95" s="617"/>
      <c r="M95" s="200">
        <f>RANK(K95, K$77:$K$106)</f>
        <v>23</v>
      </c>
      <c r="N95" s="635"/>
      <c r="O95" s="635"/>
      <c r="P95" s="549">
        <v>20</v>
      </c>
      <c r="Q95" s="416">
        <v>1226.9387755102043</v>
      </c>
      <c r="R95" s="416">
        <v>61.346938775510218</v>
      </c>
      <c r="S95" s="549">
        <f t="shared" si="25"/>
        <v>23</v>
      </c>
      <c r="T95" s="657"/>
      <c r="U95" s="549">
        <v>20</v>
      </c>
      <c r="V95" s="416">
        <v>1240.8510638297876</v>
      </c>
      <c r="W95" s="416">
        <v>62.042553191489375</v>
      </c>
      <c r="X95" s="416">
        <v>23</v>
      </c>
      <c r="Y95" s="701"/>
      <c r="Z95" s="549">
        <v>20</v>
      </c>
      <c r="AA95" s="416">
        <v>1240.4999999999995</v>
      </c>
      <c r="AB95" s="416">
        <v>62.024999999999977</v>
      </c>
      <c r="AC95" s="416">
        <v>22</v>
      </c>
      <c r="AD95" s="701"/>
      <c r="AE95" s="549">
        <v>20</v>
      </c>
      <c r="AF95" s="416">
        <v>1233.8461538461531</v>
      </c>
      <c r="AG95" s="416">
        <v>61.692307692307658</v>
      </c>
      <c r="AH95" s="416">
        <v>22</v>
      </c>
      <c r="AI95" s="701"/>
      <c r="AJ95" s="549">
        <v>20</v>
      </c>
      <c r="AK95" s="416">
        <v>1201.538461538461</v>
      </c>
      <c r="AL95" s="416">
        <v>60.076923076923052</v>
      </c>
      <c r="AM95" s="416">
        <v>23</v>
      </c>
      <c r="AN95" s="701"/>
      <c r="AO95" s="549">
        <v>19</v>
      </c>
      <c r="AP95" s="416">
        <v>1206.5217391304348</v>
      </c>
      <c r="AQ95" s="416">
        <v>63.501144164759722</v>
      </c>
      <c r="AR95" s="416">
        <v>22</v>
      </c>
      <c r="AS95" s="701"/>
      <c r="AT95" s="549">
        <v>20</v>
      </c>
      <c r="AU95" s="416">
        <v>1196</v>
      </c>
      <c r="AV95" s="416">
        <v>59.8</v>
      </c>
      <c r="AW95" s="416">
        <v>22</v>
      </c>
      <c r="AX95" s="701"/>
      <c r="AZ95" s="398" t="e">
        <f t="shared" si="26"/>
        <v>#N/A</v>
      </c>
      <c r="BA95" s="657"/>
    </row>
    <row r="96" spans="2:53">
      <c r="B96" s="643"/>
      <c r="C96" s="291">
        <v>20</v>
      </c>
      <c r="D96" s="225" t="s">
        <v>596</v>
      </c>
      <c r="E96" s="416">
        <v>19</v>
      </c>
      <c r="F96" s="409">
        <v>1500</v>
      </c>
      <c r="G96" s="410">
        <v>78.900000000000006</v>
      </c>
      <c r="H96" s="686"/>
      <c r="I96" s="391">
        <f t="shared" si="22"/>
        <v>19</v>
      </c>
      <c r="J96" s="391">
        <f t="shared" si="23"/>
        <v>1223.3102382304787</v>
      </c>
      <c r="K96" s="199">
        <f t="shared" si="24"/>
        <v>64.384749380551511</v>
      </c>
      <c r="L96" s="617"/>
      <c r="M96" s="200">
        <f>RANK(K96, K$77:$K$106)</f>
        <v>21</v>
      </c>
      <c r="N96" s="635"/>
      <c r="O96" s="635"/>
      <c r="P96" s="549">
        <v>19</v>
      </c>
      <c r="Q96" s="416">
        <v>1249.2857142857151</v>
      </c>
      <c r="R96" s="416">
        <v>65.751879699248164</v>
      </c>
      <c r="S96" s="549">
        <f t="shared" si="25"/>
        <v>20</v>
      </c>
      <c r="T96" s="657"/>
      <c r="U96" s="549">
        <v>19</v>
      </c>
      <c r="V96" s="416">
        <v>1195.7894736842115</v>
      </c>
      <c r="W96" s="416">
        <v>62.936288088642712</v>
      </c>
      <c r="X96" s="416">
        <v>21</v>
      </c>
      <c r="Y96" s="701"/>
      <c r="Z96" s="549">
        <v>19</v>
      </c>
      <c r="AA96" s="416">
        <v>1205.5813953488371</v>
      </c>
      <c r="AB96" s="416">
        <v>63.4516523867809</v>
      </c>
      <c r="AC96" s="416">
        <v>21</v>
      </c>
      <c r="AD96" s="701"/>
      <c r="AE96" s="549">
        <v>19</v>
      </c>
      <c r="AF96" s="416">
        <v>1228.4999999999995</v>
      </c>
      <c r="AG96" s="416">
        <v>64.657894736842081</v>
      </c>
      <c r="AH96" s="416">
        <v>21</v>
      </c>
      <c r="AI96" s="701"/>
      <c r="AJ96" s="549">
        <v>19</v>
      </c>
      <c r="AK96" s="416">
        <v>1233.9130434782608</v>
      </c>
      <c r="AL96" s="416">
        <v>64.942791762013726</v>
      </c>
      <c r="AM96" s="416">
        <v>21</v>
      </c>
      <c r="AN96" s="701"/>
      <c r="AO96" s="549">
        <v>19</v>
      </c>
      <c r="AP96" s="416">
        <v>1255.0000000000002</v>
      </c>
      <c r="AQ96" s="416">
        <v>66.052631578947384</v>
      </c>
      <c r="AR96" s="416">
        <v>20</v>
      </c>
      <c r="AS96" s="701"/>
      <c r="AT96" s="549">
        <v>19</v>
      </c>
      <c r="AU96" s="416">
        <v>1195.1020408163267</v>
      </c>
      <c r="AV96" s="416">
        <v>62.900107411385619</v>
      </c>
      <c r="AW96" s="416">
        <v>21</v>
      </c>
      <c r="AX96" s="701"/>
      <c r="AZ96" s="398" t="e">
        <f t="shared" si="26"/>
        <v>#N/A</v>
      </c>
      <c r="BA96" s="657"/>
    </row>
    <row r="97" spans="2:53">
      <c r="B97" s="643"/>
      <c r="C97" s="291">
        <v>21</v>
      </c>
      <c r="D97" s="225" t="s">
        <v>700</v>
      </c>
      <c r="E97" s="416">
        <v>16</v>
      </c>
      <c r="F97" s="409">
        <v>1636</v>
      </c>
      <c r="G97" s="410">
        <v>102.3</v>
      </c>
      <c r="H97" s="686"/>
      <c r="I97" s="391">
        <f t="shared" si="22"/>
        <v>16.428571428571427</v>
      </c>
      <c r="J97" s="391">
        <f t="shared" si="23"/>
        <v>1400.2119373608143</v>
      </c>
      <c r="K97" s="199">
        <f t="shared" si="24"/>
        <v>85.251885830838162</v>
      </c>
      <c r="L97" s="617"/>
      <c r="M97" s="200">
        <f>RANK(K97, K$77:$K$106)</f>
        <v>4</v>
      </c>
      <c r="N97" s="635"/>
      <c r="O97" s="635"/>
      <c r="P97" s="549">
        <v>17</v>
      </c>
      <c r="Q97" s="416">
        <v>1420.9655172413768</v>
      </c>
      <c r="R97" s="416">
        <v>83.586206896551573</v>
      </c>
      <c r="S97" s="549">
        <f t="shared" si="25"/>
        <v>5</v>
      </c>
      <c r="T97" s="657"/>
      <c r="U97" s="549">
        <v>17</v>
      </c>
      <c r="V97" s="416">
        <v>1452.7999999999988</v>
      </c>
      <c r="W97" s="416">
        <v>85.458823529411688</v>
      </c>
      <c r="X97" s="416">
        <v>5</v>
      </c>
      <c r="Y97" s="701"/>
      <c r="Z97" s="549">
        <v>16</v>
      </c>
      <c r="AA97" s="416">
        <v>1344.5901639344133</v>
      </c>
      <c r="AB97" s="416">
        <v>84.036885245900834</v>
      </c>
      <c r="AC97" s="416">
        <v>5</v>
      </c>
      <c r="AD97" s="701"/>
      <c r="AE97" s="549">
        <v>16</v>
      </c>
      <c r="AF97" s="416">
        <v>1392.4137931034493</v>
      </c>
      <c r="AG97" s="416">
        <v>87.02586206896558</v>
      </c>
      <c r="AH97" s="416">
        <v>4</v>
      </c>
      <c r="AI97" s="701"/>
      <c r="AJ97" s="549">
        <v>16</v>
      </c>
      <c r="AK97" s="416">
        <v>1383.9344262295094</v>
      </c>
      <c r="AL97" s="416">
        <v>86.495901639344339</v>
      </c>
      <c r="AM97" s="416">
        <v>4</v>
      </c>
      <c r="AN97" s="701"/>
      <c r="AO97" s="549">
        <v>17</v>
      </c>
      <c r="AP97" s="416">
        <v>1431.8644067796622</v>
      </c>
      <c r="AQ97" s="416">
        <v>84.227318045862489</v>
      </c>
      <c r="AR97" s="416">
        <v>6</v>
      </c>
      <c r="AS97" s="701"/>
      <c r="AT97" s="549">
        <v>16</v>
      </c>
      <c r="AU97" s="416">
        <v>1374.9152542372894</v>
      </c>
      <c r="AV97" s="416">
        <v>85.93220338983059</v>
      </c>
      <c r="AW97" s="416">
        <v>6</v>
      </c>
      <c r="AX97" s="701"/>
      <c r="AZ97" s="398" t="e">
        <f t="shared" si="26"/>
        <v>#N/A</v>
      </c>
      <c r="BA97" s="657"/>
    </row>
    <row r="98" spans="2:53">
      <c r="B98" s="643"/>
      <c r="C98" s="291">
        <v>22</v>
      </c>
      <c r="D98" s="225" t="s">
        <v>716</v>
      </c>
      <c r="E98" s="416">
        <v>16</v>
      </c>
      <c r="F98" s="409">
        <v>1500</v>
      </c>
      <c r="G98" s="410">
        <v>93.8</v>
      </c>
      <c r="H98" s="686"/>
      <c r="I98" s="391">
        <f t="shared" si="22"/>
        <v>16.428571428571427</v>
      </c>
      <c r="J98" s="391">
        <f t="shared" si="23"/>
        <v>1387.3270286868633</v>
      </c>
      <c r="K98" s="199">
        <f t="shared" si="24"/>
        <v>84.488359681876702</v>
      </c>
      <c r="L98" s="617"/>
      <c r="M98" s="200">
        <f>RANK(K98, K$77:$K$106)</f>
        <v>5</v>
      </c>
      <c r="N98" s="635"/>
      <c r="O98" s="635"/>
      <c r="P98" s="549">
        <v>16</v>
      </c>
      <c r="Q98" s="416">
        <v>1379.0909090909106</v>
      </c>
      <c r="R98" s="416">
        <v>86.193181818181912</v>
      </c>
      <c r="S98" s="549">
        <f t="shared" si="25"/>
        <v>4</v>
      </c>
      <c r="T98" s="657"/>
      <c r="U98" s="549">
        <v>16</v>
      </c>
      <c r="V98" s="416">
        <v>1381.690140845069</v>
      </c>
      <c r="W98" s="416">
        <v>86.355633802816811</v>
      </c>
      <c r="X98" s="416">
        <v>4</v>
      </c>
      <c r="Y98" s="701"/>
      <c r="Z98" s="549">
        <v>17</v>
      </c>
      <c r="AA98" s="416">
        <v>1402.9090909090919</v>
      </c>
      <c r="AB98" s="416">
        <v>82.524064171123058</v>
      </c>
      <c r="AC98" s="416">
        <v>7</v>
      </c>
      <c r="AD98" s="701"/>
      <c r="AE98" s="549">
        <v>17</v>
      </c>
      <c r="AF98" s="416">
        <v>1425.8823529411773</v>
      </c>
      <c r="AG98" s="416">
        <v>83.875432525951609</v>
      </c>
      <c r="AH98" s="416">
        <v>7</v>
      </c>
      <c r="AI98" s="701"/>
      <c r="AJ98" s="549">
        <v>17</v>
      </c>
      <c r="AK98" s="416">
        <v>1397.2881355932213</v>
      </c>
      <c r="AL98" s="416">
        <v>82.193419740777728</v>
      </c>
      <c r="AM98" s="416">
        <v>8</v>
      </c>
      <c r="AN98" s="701"/>
      <c r="AO98" s="549">
        <v>16</v>
      </c>
      <c r="AP98" s="416">
        <v>1373.0000000000014</v>
      </c>
      <c r="AQ98" s="416">
        <v>85.812500000000085</v>
      </c>
      <c r="AR98" s="416">
        <v>5</v>
      </c>
      <c r="AS98" s="701"/>
      <c r="AT98" s="549">
        <v>16</v>
      </c>
      <c r="AU98" s="416">
        <v>1351.4285714285729</v>
      </c>
      <c r="AV98" s="416">
        <v>84.464285714285808</v>
      </c>
      <c r="AW98" s="416">
        <v>7</v>
      </c>
      <c r="AX98" s="701"/>
      <c r="AZ98" s="398" t="e">
        <f t="shared" si="26"/>
        <v>#N/A</v>
      </c>
      <c r="BA98" s="657"/>
    </row>
    <row r="99" spans="2:53">
      <c r="B99" s="643"/>
      <c r="C99" s="291">
        <v>23</v>
      </c>
      <c r="D99" s="225" t="s">
        <v>710</v>
      </c>
      <c r="E99" s="416">
        <v>16</v>
      </c>
      <c r="F99" s="409">
        <v>1500</v>
      </c>
      <c r="G99" s="410">
        <v>93.8</v>
      </c>
      <c r="H99" s="686"/>
      <c r="I99" s="391">
        <f t="shared" si="22"/>
        <v>16.285714285714285</v>
      </c>
      <c r="J99" s="391">
        <f t="shared" si="23"/>
        <v>1323.3772794506654</v>
      </c>
      <c r="K99" s="199">
        <f t="shared" si="24"/>
        <v>81.309928547652575</v>
      </c>
      <c r="L99" s="617"/>
      <c r="M99" s="200">
        <f>RANK(K99, K$77:$K$106)</f>
        <v>8</v>
      </c>
      <c r="N99" s="635"/>
      <c r="O99" s="635"/>
      <c r="P99" s="549">
        <v>16</v>
      </c>
      <c r="Q99" s="416">
        <v>1326.6000000000004</v>
      </c>
      <c r="R99" s="416">
        <v>82.912500000000023</v>
      </c>
      <c r="S99" s="549">
        <f t="shared" si="25"/>
        <v>6</v>
      </c>
      <c r="T99" s="657"/>
      <c r="U99" s="549">
        <v>17</v>
      </c>
      <c r="V99" s="416">
        <v>1321.0476190476204</v>
      </c>
      <c r="W99" s="416">
        <v>77.708683473389442</v>
      </c>
      <c r="X99" s="416">
        <v>13</v>
      </c>
      <c r="Y99" s="701"/>
      <c r="Z99" s="549">
        <v>16</v>
      </c>
      <c r="AA99" s="416">
        <v>1331.4600000000003</v>
      </c>
      <c r="AB99" s="416">
        <v>83.216250000000016</v>
      </c>
      <c r="AC99" s="416">
        <v>6</v>
      </c>
      <c r="AD99" s="701"/>
      <c r="AE99" s="549">
        <v>17</v>
      </c>
      <c r="AF99" s="416">
        <v>1346.744680851064</v>
      </c>
      <c r="AG99" s="416">
        <v>79.220275344180237</v>
      </c>
      <c r="AH99" s="416">
        <v>10</v>
      </c>
      <c r="AI99" s="701"/>
      <c r="AJ99" s="549">
        <v>16</v>
      </c>
      <c r="AK99" s="416">
        <v>1324.7419354838721</v>
      </c>
      <c r="AL99" s="416">
        <v>82.796370967742007</v>
      </c>
      <c r="AM99" s="416">
        <v>7</v>
      </c>
      <c r="AN99" s="701"/>
      <c r="AO99" s="549">
        <v>16</v>
      </c>
      <c r="AP99" s="416">
        <v>1304.5360824742272</v>
      </c>
      <c r="AQ99" s="416">
        <v>81.533505154639201</v>
      </c>
      <c r="AR99" s="416">
        <v>8</v>
      </c>
      <c r="AS99" s="701"/>
      <c r="AT99" s="549">
        <v>16</v>
      </c>
      <c r="AU99" s="416">
        <v>1308.5106382978724</v>
      </c>
      <c r="AV99" s="416">
        <v>81.781914893617028</v>
      </c>
      <c r="AW99" s="416">
        <v>9</v>
      </c>
      <c r="AX99" s="701"/>
      <c r="AZ99" s="398" t="e">
        <f t="shared" si="26"/>
        <v>#N/A</v>
      </c>
      <c r="BA99" s="657"/>
    </row>
    <row r="100" spans="2:53">
      <c r="B100" s="643"/>
      <c r="C100" s="291">
        <v>24</v>
      </c>
      <c r="D100" s="225" t="s">
        <v>727</v>
      </c>
      <c r="E100" s="416">
        <v>16</v>
      </c>
      <c r="F100" s="409">
        <v>1440</v>
      </c>
      <c r="G100" s="410">
        <v>90</v>
      </c>
      <c r="H100" s="686"/>
      <c r="I100" s="391">
        <f t="shared" si="22"/>
        <v>16.714285714285715</v>
      </c>
      <c r="J100" s="391">
        <f t="shared" si="23"/>
        <v>1302.3392799733317</v>
      </c>
      <c r="K100" s="199">
        <f t="shared" si="24"/>
        <v>78.077224996875103</v>
      </c>
      <c r="L100" s="617"/>
      <c r="M100" s="200">
        <f>RANK(K100, K$77:$K$106)</f>
        <v>11</v>
      </c>
      <c r="N100" s="635"/>
      <c r="O100" s="635"/>
      <c r="P100" s="549">
        <v>17</v>
      </c>
      <c r="Q100" s="416">
        <v>1286.4599999999964</v>
      </c>
      <c r="R100" s="416">
        <v>75.674117647058608</v>
      </c>
      <c r="S100" s="549">
        <f t="shared" si="25"/>
        <v>15</v>
      </c>
      <c r="T100" s="657"/>
      <c r="U100" s="549">
        <v>17</v>
      </c>
      <c r="V100" s="416">
        <v>1324.761904761906</v>
      </c>
      <c r="W100" s="416">
        <v>77.927170868347403</v>
      </c>
      <c r="X100" s="416">
        <v>12</v>
      </c>
      <c r="Y100" s="701"/>
      <c r="Z100" s="549">
        <v>17</v>
      </c>
      <c r="AA100" s="416">
        <v>1304.2105263157887</v>
      </c>
      <c r="AB100" s="416">
        <v>76.718266253869928</v>
      </c>
      <c r="AC100" s="416">
        <v>13</v>
      </c>
      <c r="AD100" s="701"/>
      <c r="AE100" s="549">
        <v>17</v>
      </c>
      <c r="AF100" s="416">
        <v>1298.8888888888896</v>
      </c>
      <c r="AG100" s="416">
        <v>76.405228758169983</v>
      </c>
      <c r="AH100" s="416">
        <v>12</v>
      </c>
      <c r="AI100" s="701"/>
      <c r="AJ100" s="549">
        <v>17</v>
      </c>
      <c r="AK100" s="416">
        <v>1322.6666666666667</v>
      </c>
      <c r="AL100" s="416">
        <v>77.803921568627459</v>
      </c>
      <c r="AM100" s="416">
        <v>12</v>
      </c>
      <c r="AN100" s="701"/>
      <c r="AO100" s="549">
        <v>17</v>
      </c>
      <c r="AP100" s="416">
        <v>1268.2758620689631</v>
      </c>
      <c r="AQ100" s="416">
        <v>74.60446247464489</v>
      </c>
      <c r="AR100" s="416">
        <v>16</v>
      </c>
      <c r="AS100" s="701"/>
      <c r="AT100" s="549">
        <v>15</v>
      </c>
      <c r="AU100" s="416">
        <v>1311.1111111111118</v>
      </c>
      <c r="AV100" s="416">
        <v>87.407407407407447</v>
      </c>
      <c r="AW100" s="416">
        <v>4</v>
      </c>
      <c r="AX100" s="701"/>
      <c r="AZ100" s="398" t="e">
        <f t="shared" si="26"/>
        <v>#N/A</v>
      </c>
      <c r="BA100" s="657"/>
    </row>
    <row r="101" spans="2:53">
      <c r="B101" s="643"/>
      <c r="C101" s="291">
        <v>25</v>
      </c>
      <c r="D101" s="225"/>
      <c r="E101" s="416"/>
      <c r="F101" s="409"/>
      <c r="G101" s="410"/>
      <c r="H101" s="686"/>
      <c r="I101" s="391" t="str">
        <f t="shared" si="22"/>
        <v>-</v>
      </c>
      <c r="J101" s="391" t="str">
        <f t="shared" si="23"/>
        <v>-</v>
      </c>
      <c r="K101" s="199" t="str">
        <f t="shared" si="24"/>
        <v>-</v>
      </c>
      <c r="L101" s="617"/>
      <c r="M101" s="200" t="e">
        <f>RANK(K101, K$77:$K$106)</f>
        <v>#VALUE!</v>
      </c>
      <c r="N101" s="635"/>
      <c r="O101" s="635"/>
      <c r="P101" s="549" t="s">
        <v>615</v>
      </c>
      <c r="Q101" s="416" t="s">
        <v>615</v>
      </c>
      <c r="R101" s="416" t="s">
        <v>615</v>
      </c>
      <c r="S101" s="549" t="e">
        <f t="shared" si="25"/>
        <v>#VALUE!</v>
      </c>
      <c r="T101" s="657"/>
      <c r="U101" s="549" t="s">
        <v>615</v>
      </c>
      <c r="V101" s="416" t="s">
        <v>615</v>
      </c>
      <c r="W101" s="416" t="s">
        <v>615</v>
      </c>
      <c r="X101" s="416" t="e">
        <v>#VALUE!</v>
      </c>
      <c r="Y101" s="701"/>
      <c r="Z101" s="549" t="s">
        <v>615</v>
      </c>
      <c r="AA101" s="416" t="s">
        <v>615</v>
      </c>
      <c r="AB101" s="416" t="s">
        <v>615</v>
      </c>
      <c r="AC101" s="416" t="e">
        <v>#VALUE!</v>
      </c>
      <c r="AD101" s="701"/>
      <c r="AE101" s="549" t="s">
        <v>615</v>
      </c>
      <c r="AF101" s="416" t="s">
        <v>615</v>
      </c>
      <c r="AG101" s="416" t="s">
        <v>615</v>
      </c>
      <c r="AH101" s="416" t="e">
        <v>#VALUE!</v>
      </c>
      <c r="AI101" s="701"/>
      <c r="AJ101" s="549" t="s">
        <v>615</v>
      </c>
      <c r="AK101" s="416" t="s">
        <v>615</v>
      </c>
      <c r="AL101" s="416" t="s">
        <v>615</v>
      </c>
      <c r="AM101" s="416" t="e">
        <v>#VALUE!</v>
      </c>
      <c r="AN101" s="701"/>
      <c r="AO101" s="549" t="s">
        <v>615</v>
      </c>
      <c r="AP101" s="416" t="s">
        <v>615</v>
      </c>
      <c r="AQ101" s="416" t="s">
        <v>615</v>
      </c>
      <c r="AR101" s="416" t="e">
        <v>#VALUE!</v>
      </c>
      <c r="AS101" s="701"/>
      <c r="AT101" s="549" t="s">
        <v>615</v>
      </c>
      <c r="AU101" s="416" t="s">
        <v>615</v>
      </c>
      <c r="AV101" s="416" t="s">
        <v>615</v>
      </c>
      <c r="AW101" s="416" t="e">
        <v>#VALUE!</v>
      </c>
      <c r="AX101" s="701"/>
      <c r="AZ101" s="398" t="e">
        <f t="shared" si="26"/>
        <v>#N/A</v>
      </c>
      <c r="BA101" s="657"/>
    </row>
    <row r="102" spans="2:53">
      <c r="B102" s="643"/>
      <c r="C102" s="291">
        <v>26</v>
      </c>
      <c r="D102" s="225"/>
      <c r="E102" s="416"/>
      <c r="F102" s="409"/>
      <c r="G102" s="410"/>
      <c r="H102" s="686"/>
      <c r="I102" s="391" t="str">
        <f t="shared" si="22"/>
        <v>-</v>
      </c>
      <c r="J102" s="391" t="str">
        <f t="shared" si="23"/>
        <v>-</v>
      </c>
      <c r="K102" s="199" t="str">
        <f t="shared" si="24"/>
        <v>-</v>
      </c>
      <c r="L102" s="617"/>
      <c r="M102" s="200" t="e">
        <f>RANK(K102, K$77:$K$106)</f>
        <v>#VALUE!</v>
      </c>
      <c r="N102" s="635"/>
      <c r="O102" s="635"/>
      <c r="P102" s="549" t="s">
        <v>615</v>
      </c>
      <c r="Q102" s="416" t="s">
        <v>615</v>
      </c>
      <c r="R102" s="416" t="s">
        <v>615</v>
      </c>
      <c r="S102" s="549" t="e">
        <f t="shared" si="25"/>
        <v>#VALUE!</v>
      </c>
      <c r="T102" s="657"/>
      <c r="U102" s="549" t="s">
        <v>615</v>
      </c>
      <c r="V102" s="416" t="s">
        <v>615</v>
      </c>
      <c r="W102" s="416" t="s">
        <v>615</v>
      </c>
      <c r="X102" s="416" t="e">
        <v>#VALUE!</v>
      </c>
      <c r="Y102" s="701"/>
      <c r="Z102" s="549" t="s">
        <v>615</v>
      </c>
      <c r="AA102" s="416" t="s">
        <v>615</v>
      </c>
      <c r="AB102" s="416" t="s">
        <v>615</v>
      </c>
      <c r="AC102" s="416" t="e">
        <v>#VALUE!</v>
      </c>
      <c r="AD102" s="701"/>
      <c r="AE102" s="549" t="s">
        <v>615</v>
      </c>
      <c r="AF102" s="416" t="s">
        <v>615</v>
      </c>
      <c r="AG102" s="416" t="s">
        <v>615</v>
      </c>
      <c r="AH102" s="416" t="e">
        <v>#VALUE!</v>
      </c>
      <c r="AI102" s="701"/>
      <c r="AJ102" s="549" t="s">
        <v>615</v>
      </c>
      <c r="AK102" s="416" t="s">
        <v>615</v>
      </c>
      <c r="AL102" s="416" t="s">
        <v>615</v>
      </c>
      <c r="AM102" s="416" t="e">
        <v>#VALUE!</v>
      </c>
      <c r="AN102" s="701"/>
      <c r="AO102" s="549" t="s">
        <v>615</v>
      </c>
      <c r="AP102" s="416" t="s">
        <v>615</v>
      </c>
      <c r="AQ102" s="416" t="s">
        <v>615</v>
      </c>
      <c r="AR102" s="416" t="e">
        <v>#VALUE!</v>
      </c>
      <c r="AS102" s="701"/>
      <c r="AT102" s="549" t="s">
        <v>615</v>
      </c>
      <c r="AU102" s="416" t="s">
        <v>615</v>
      </c>
      <c r="AV102" s="416" t="s">
        <v>615</v>
      </c>
      <c r="AW102" s="416" t="e">
        <v>#VALUE!</v>
      </c>
      <c r="AX102" s="701"/>
      <c r="AZ102" s="398" t="e">
        <f t="shared" si="26"/>
        <v>#N/A</v>
      </c>
      <c r="BA102" s="657"/>
    </row>
    <row r="103" spans="2:53">
      <c r="B103" s="643"/>
      <c r="C103" s="291">
        <v>27</v>
      </c>
      <c r="D103" s="225"/>
      <c r="E103" s="416"/>
      <c r="F103" s="409"/>
      <c r="G103" s="410"/>
      <c r="H103" s="686"/>
      <c r="I103" s="391" t="str">
        <f t="shared" si="22"/>
        <v>-</v>
      </c>
      <c r="J103" s="391" t="str">
        <f t="shared" si="23"/>
        <v>-</v>
      </c>
      <c r="K103" s="199" t="str">
        <f t="shared" si="24"/>
        <v>-</v>
      </c>
      <c r="L103" s="617"/>
      <c r="M103" s="200" t="e">
        <f>RANK(K103, K$77:$K$106)</f>
        <v>#VALUE!</v>
      </c>
      <c r="N103" s="635"/>
      <c r="O103" s="635"/>
      <c r="P103" s="549" t="s">
        <v>615</v>
      </c>
      <c r="Q103" s="416" t="s">
        <v>615</v>
      </c>
      <c r="R103" s="416" t="s">
        <v>615</v>
      </c>
      <c r="S103" s="549" t="e">
        <f t="shared" si="25"/>
        <v>#VALUE!</v>
      </c>
      <c r="T103" s="657"/>
      <c r="U103" s="549" t="s">
        <v>615</v>
      </c>
      <c r="V103" s="416" t="s">
        <v>615</v>
      </c>
      <c r="W103" s="416" t="s">
        <v>615</v>
      </c>
      <c r="X103" s="416" t="e">
        <v>#VALUE!</v>
      </c>
      <c r="Y103" s="701"/>
      <c r="Z103" s="549" t="s">
        <v>615</v>
      </c>
      <c r="AA103" s="416" t="s">
        <v>615</v>
      </c>
      <c r="AB103" s="416" t="s">
        <v>615</v>
      </c>
      <c r="AC103" s="416" t="e">
        <v>#VALUE!</v>
      </c>
      <c r="AD103" s="701"/>
      <c r="AE103" s="549" t="s">
        <v>615</v>
      </c>
      <c r="AF103" s="416" t="s">
        <v>615</v>
      </c>
      <c r="AG103" s="416" t="s">
        <v>615</v>
      </c>
      <c r="AH103" s="416" t="e">
        <v>#VALUE!</v>
      </c>
      <c r="AI103" s="701"/>
      <c r="AJ103" s="549" t="s">
        <v>615</v>
      </c>
      <c r="AK103" s="416" t="s">
        <v>615</v>
      </c>
      <c r="AL103" s="416" t="s">
        <v>615</v>
      </c>
      <c r="AM103" s="416" t="e">
        <v>#VALUE!</v>
      </c>
      <c r="AN103" s="701"/>
      <c r="AO103" s="549" t="s">
        <v>615</v>
      </c>
      <c r="AP103" s="416" t="s">
        <v>615</v>
      </c>
      <c r="AQ103" s="416" t="s">
        <v>615</v>
      </c>
      <c r="AR103" s="416" t="e">
        <v>#VALUE!</v>
      </c>
      <c r="AS103" s="701"/>
      <c r="AT103" s="549" t="s">
        <v>615</v>
      </c>
      <c r="AU103" s="416" t="s">
        <v>615</v>
      </c>
      <c r="AV103" s="416" t="s">
        <v>615</v>
      </c>
      <c r="AW103" s="416" t="e">
        <v>#VALUE!</v>
      </c>
      <c r="AX103" s="701"/>
      <c r="AZ103" s="398" t="e">
        <f t="shared" si="26"/>
        <v>#N/A</v>
      </c>
      <c r="BA103" s="657"/>
    </row>
    <row r="104" spans="2:53">
      <c r="B104" s="643"/>
      <c r="C104" s="291">
        <v>28</v>
      </c>
      <c r="D104" s="225"/>
      <c r="E104" s="416"/>
      <c r="F104" s="409"/>
      <c r="G104" s="410"/>
      <c r="H104" s="686"/>
      <c r="I104" s="391" t="str">
        <f t="shared" si="22"/>
        <v>-</v>
      </c>
      <c r="J104" s="391" t="str">
        <f t="shared" si="23"/>
        <v>-</v>
      </c>
      <c r="K104" s="199" t="str">
        <f t="shared" si="24"/>
        <v>-</v>
      </c>
      <c r="L104" s="617"/>
      <c r="M104" s="200" t="e">
        <f>RANK(K104, K$77:$K$106)</f>
        <v>#VALUE!</v>
      </c>
      <c r="N104" s="635"/>
      <c r="O104" s="635"/>
      <c r="P104" s="549" t="s">
        <v>615</v>
      </c>
      <c r="Q104" s="416" t="s">
        <v>615</v>
      </c>
      <c r="R104" s="416" t="s">
        <v>615</v>
      </c>
      <c r="S104" s="549" t="e">
        <f t="shared" si="25"/>
        <v>#VALUE!</v>
      </c>
      <c r="T104" s="657"/>
      <c r="U104" s="549" t="s">
        <v>615</v>
      </c>
      <c r="V104" s="416" t="s">
        <v>615</v>
      </c>
      <c r="W104" s="416" t="s">
        <v>615</v>
      </c>
      <c r="X104" s="416" t="e">
        <v>#VALUE!</v>
      </c>
      <c r="Y104" s="701"/>
      <c r="Z104" s="549" t="s">
        <v>615</v>
      </c>
      <c r="AA104" s="416" t="s">
        <v>615</v>
      </c>
      <c r="AB104" s="416" t="s">
        <v>615</v>
      </c>
      <c r="AC104" s="416" t="e">
        <v>#VALUE!</v>
      </c>
      <c r="AD104" s="701"/>
      <c r="AE104" s="549" t="s">
        <v>615</v>
      </c>
      <c r="AF104" s="416" t="s">
        <v>615</v>
      </c>
      <c r="AG104" s="416" t="s">
        <v>615</v>
      </c>
      <c r="AH104" s="416" t="e">
        <v>#VALUE!</v>
      </c>
      <c r="AI104" s="701"/>
      <c r="AJ104" s="549" t="s">
        <v>615</v>
      </c>
      <c r="AK104" s="416" t="s">
        <v>615</v>
      </c>
      <c r="AL104" s="416" t="s">
        <v>615</v>
      </c>
      <c r="AM104" s="416" t="e">
        <v>#VALUE!</v>
      </c>
      <c r="AN104" s="701"/>
      <c r="AO104" s="549" t="s">
        <v>615</v>
      </c>
      <c r="AP104" s="416" t="s">
        <v>615</v>
      </c>
      <c r="AQ104" s="416" t="s">
        <v>615</v>
      </c>
      <c r="AR104" s="416" t="e">
        <v>#VALUE!</v>
      </c>
      <c r="AS104" s="701"/>
      <c r="AT104" s="549" t="s">
        <v>615</v>
      </c>
      <c r="AU104" s="416" t="s">
        <v>615</v>
      </c>
      <c r="AV104" s="416" t="s">
        <v>615</v>
      </c>
      <c r="AW104" s="416" t="e">
        <v>#VALUE!</v>
      </c>
      <c r="AX104" s="701"/>
      <c r="AZ104" s="398" t="e">
        <f t="shared" si="26"/>
        <v>#N/A</v>
      </c>
      <c r="BA104" s="657"/>
    </row>
    <row r="105" spans="2:53">
      <c r="B105" s="643"/>
      <c r="C105" s="291">
        <v>29</v>
      </c>
      <c r="D105" s="225"/>
      <c r="E105" s="416"/>
      <c r="F105" s="409"/>
      <c r="G105" s="410"/>
      <c r="H105" s="686"/>
      <c r="I105" s="391" t="str">
        <f t="shared" si="22"/>
        <v>-</v>
      </c>
      <c r="J105" s="391" t="str">
        <f t="shared" si="23"/>
        <v>-</v>
      </c>
      <c r="K105" s="199" t="str">
        <f t="shared" si="24"/>
        <v>-</v>
      </c>
      <c r="L105" s="617"/>
      <c r="M105" s="200" t="e">
        <f>RANK(K105, K$77:$K$106)</f>
        <v>#VALUE!</v>
      </c>
      <c r="N105" s="635"/>
      <c r="O105" s="635"/>
      <c r="P105" s="549" t="s">
        <v>615</v>
      </c>
      <c r="Q105" s="416" t="s">
        <v>615</v>
      </c>
      <c r="R105" s="416" t="s">
        <v>615</v>
      </c>
      <c r="S105" s="549" t="e">
        <f t="shared" si="25"/>
        <v>#VALUE!</v>
      </c>
      <c r="T105" s="657"/>
      <c r="U105" s="549" t="s">
        <v>615</v>
      </c>
      <c r="V105" s="416" t="s">
        <v>615</v>
      </c>
      <c r="W105" s="416" t="s">
        <v>615</v>
      </c>
      <c r="X105" s="416" t="e">
        <v>#VALUE!</v>
      </c>
      <c r="Y105" s="701"/>
      <c r="Z105" s="549" t="s">
        <v>615</v>
      </c>
      <c r="AA105" s="416" t="s">
        <v>615</v>
      </c>
      <c r="AB105" s="416" t="s">
        <v>615</v>
      </c>
      <c r="AC105" s="416" t="e">
        <v>#VALUE!</v>
      </c>
      <c r="AD105" s="701"/>
      <c r="AE105" s="549" t="s">
        <v>615</v>
      </c>
      <c r="AF105" s="416" t="s">
        <v>615</v>
      </c>
      <c r="AG105" s="416" t="s">
        <v>615</v>
      </c>
      <c r="AH105" s="416" t="e">
        <v>#VALUE!</v>
      </c>
      <c r="AI105" s="701"/>
      <c r="AJ105" s="549" t="s">
        <v>615</v>
      </c>
      <c r="AK105" s="416" t="s">
        <v>615</v>
      </c>
      <c r="AL105" s="416" t="s">
        <v>615</v>
      </c>
      <c r="AM105" s="416" t="e">
        <v>#VALUE!</v>
      </c>
      <c r="AN105" s="701"/>
      <c r="AO105" s="549" t="s">
        <v>615</v>
      </c>
      <c r="AP105" s="416" t="s">
        <v>615</v>
      </c>
      <c r="AQ105" s="416" t="s">
        <v>615</v>
      </c>
      <c r="AR105" s="416" t="e">
        <v>#VALUE!</v>
      </c>
      <c r="AS105" s="701"/>
      <c r="AT105" s="549" t="s">
        <v>615</v>
      </c>
      <c r="AU105" s="416" t="s">
        <v>615</v>
      </c>
      <c r="AV105" s="416" t="s">
        <v>615</v>
      </c>
      <c r="AW105" s="416" t="e">
        <v>#VALUE!</v>
      </c>
      <c r="AX105" s="701"/>
      <c r="AZ105" s="398" t="e">
        <f t="shared" si="26"/>
        <v>#N/A</v>
      </c>
      <c r="BA105" s="657"/>
    </row>
    <row r="106" spans="2:53">
      <c r="B106" s="643"/>
      <c r="C106" s="291">
        <v>30</v>
      </c>
      <c r="D106" s="225"/>
      <c r="E106" s="416"/>
      <c r="F106" s="409"/>
      <c r="G106" s="410"/>
      <c r="H106" s="687"/>
      <c r="I106" s="391" t="str">
        <f t="shared" si="22"/>
        <v>-</v>
      </c>
      <c r="J106" s="391" t="str">
        <f t="shared" si="23"/>
        <v>-</v>
      </c>
      <c r="K106" s="199" t="str">
        <f t="shared" si="24"/>
        <v>-</v>
      </c>
      <c r="L106" s="618"/>
      <c r="M106" s="200" t="e">
        <f>RANK(K106, K$77:$K$106)</f>
        <v>#VALUE!</v>
      </c>
      <c r="N106" s="635"/>
      <c r="O106" s="635"/>
      <c r="P106" s="549" t="s">
        <v>615</v>
      </c>
      <c r="Q106" s="416" t="s">
        <v>615</v>
      </c>
      <c r="R106" s="416" t="s">
        <v>615</v>
      </c>
      <c r="S106" s="549" t="e">
        <f t="shared" si="25"/>
        <v>#VALUE!</v>
      </c>
      <c r="T106" s="657"/>
      <c r="U106" s="549" t="s">
        <v>615</v>
      </c>
      <c r="V106" s="416" t="s">
        <v>615</v>
      </c>
      <c r="W106" s="416" t="s">
        <v>615</v>
      </c>
      <c r="X106" s="416" t="e">
        <v>#VALUE!</v>
      </c>
      <c r="Y106" s="702"/>
      <c r="Z106" s="549" t="s">
        <v>615</v>
      </c>
      <c r="AA106" s="416" t="s">
        <v>615</v>
      </c>
      <c r="AB106" s="416" t="s">
        <v>615</v>
      </c>
      <c r="AC106" s="416" t="e">
        <v>#VALUE!</v>
      </c>
      <c r="AD106" s="702"/>
      <c r="AE106" s="549" t="s">
        <v>615</v>
      </c>
      <c r="AF106" s="416" t="s">
        <v>615</v>
      </c>
      <c r="AG106" s="416" t="s">
        <v>615</v>
      </c>
      <c r="AH106" s="416" t="e">
        <v>#VALUE!</v>
      </c>
      <c r="AI106" s="702"/>
      <c r="AJ106" s="549" t="s">
        <v>615</v>
      </c>
      <c r="AK106" s="416" t="s">
        <v>615</v>
      </c>
      <c r="AL106" s="416" t="s">
        <v>615</v>
      </c>
      <c r="AM106" s="416" t="e">
        <v>#VALUE!</v>
      </c>
      <c r="AN106" s="702"/>
      <c r="AO106" s="549" t="s">
        <v>615</v>
      </c>
      <c r="AP106" s="416" t="s">
        <v>615</v>
      </c>
      <c r="AQ106" s="416" t="s">
        <v>615</v>
      </c>
      <c r="AR106" s="416" t="e">
        <v>#VALUE!</v>
      </c>
      <c r="AS106" s="702"/>
      <c r="AT106" s="549" t="s">
        <v>615</v>
      </c>
      <c r="AU106" s="416" t="s">
        <v>615</v>
      </c>
      <c r="AV106" s="416" t="s">
        <v>615</v>
      </c>
      <c r="AW106" s="416" t="e">
        <v>#VALUE!</v>
      </c>
      <c r="AX106" s="702"/>
      <c r="AZ106" s="398" t="e">
        <f t="shared" si="26"/>
        <v>#N/A</v>
      </c>
      <c r="BA106" s="657"/>
    </row>
    <row r="107" spans="2:53" ht="15.75">
      <c r="B107" s="647" t="s">
        <v>163</v>
      </c>
      <c r="C107" s="648"/>
      <c r="D107" s="648"/>
      <c r="E107" s="648"/>
      <c r="F107" s="648"/>
      <c r="G107" s="648"/>
      <c r="H107" s="649"/>
      <c r="I107" s="207"/>
      <c r="J107" s="207"/>
      <c r="K107" s="207"/>
      <c r="L107" s="207"/>
      <c r="M107" s="206"/>
      <c r="N107" s="636" t="s">
        <v>156</v>
      </c>
      <c r="O107" s="636" t="s">
        <v>105</v>
      </c>
      <c r="P107" s="639">
        <f>P72+7</f>
        <v>46189</v>
      </c>
      <c r="Q107" s="640"/>
      <c r="R107" s="640"/>
      <c r="S107" s="640"/>
      <c r="T107" s="641"/>
      <c r="U107" s="639">
        <f>P107+1</f>
        <v>46190</v>
      </c>
      <c r="V107" s="640"/>
      <c r="W107" s="640"/>
      <c r="X107" s="640"/>
      <c r="Y107" s="641"/>
      <c r="Z107" s="639">
        <f>U107+1</f>
        <v>46191</v>
      </c>
      <c r="AA107" s="640"/>
      <c r="AB107" s="640"/>
      <c r="AC107" s="640"/>
      <c r="AD107" s="641"/>
      <c r="AE107" s="639">
        <f>Z107+1</f>
        <v>46192</v>
      </c>
      <c r="AF107" s="640"/>
      <c r="AG107" s="640"/>
      <c r="AH107" s="640"/>
      <c r="AI107" s="641"/>
      <c r="AJ107" s="639">
        <f>AE107+1</f>
        <v>46193</v>
      </c>
      <c r="AK107" s="640"/>
      <c r="AL107" s="640"/>
      <c r="AM107" s="640"/>
      <c r="AN107" s="641"/>
      <c r="AO107" s="639">
        <f>AJ107+1</f>
        <v>46194</v>
      </c>
      <c r="AP107" s="640"/>
      <c r="AQ107" s="640"/>
      <c r="AR107" s="640"/>
      <c r="AS107" s="641"/>
      <c r="AT107" s="639">
        <f>AO107+1</f>
        <v>46195</v>
      </c>
      <c r="AU107" s="640"/>
      <c r="AV107" s="640"/>
      <c r="AW107" s="640"/>
      <c r="AX107" s="641"/>
    </row>
    <row r="108" spans="2:53" ht="15.75">
      <c r="B108" s="650"/>
      <c r="C108" s="650"/>
      <c r="D108" s="650"/>
      <c r="E108" s="650"/>
      <c r="F108" s="650"/>
      <c r="G108" s="650"/>
      <c r="H108" s="650"/>
      <c r="I108" s="204"/>
      <c r="J108" s="204"/>
      <c r="K108" s="204"/>
      <c r="L108" s="204"/>
      <c r="M108" s="205"/>
      <c r="N108" s="638"/>
      <c r="O108" s="638"/>
      <c r="P108" s="639" t="s">
        <v>318</v>
      </c>
      <c r="Q108" s="640"/>
      <c r="R108" s="640"/>
      <c r="S108" s="640"/>
      <c r="T108" s="641"/>
      <c r="U108" s="639" t="s">
        <v>319</v>
      </c>
      <c r="V108" s="640"/>
      <c r="W108" s="640"/>
      <c r="X108" s="640"/>
      <c r="Y108" s="641"/>
      <c r="Z108" s="639" t="s">
        <v>320</v>
      </c>
      <c r="AA108" s="640"/>
      <c r="AB108" s="640"/>
      <c r="AC108" s="640"/>
      <c r="AD108" s="641"/>
      <c r="AE108" s="639" t="s">
        <v>321</v>
      </c>
      <c r="AF108" s="640"/>
      <c r="AG108" s="640"/>
      <c r="AH108" s="640"/>
      <c r="AI108" s="641"/>
      <c r="AJ108" s="639" t="s">
        <v>322</v>
      </c>
      <c r="AK108" s="640"/>
      <c r="AL108" s="640"/>
      <c r="AM108" s="640"/>
      <c r="AN108" s="641"/>
      <c r="AO108" s="639" t="s">
        <v>323</v>
      </c>
      <c r="AP108" s="640"/>
      <c r="AQ108" s="640"/>
      <c r="AR108" s="640"/>
      <c r="AS108" s="641"/>
      <c r="AT108" s="639" t="s">
        <v>324</v>
      </c>
      <c r="AU108" s="640"/>
      <c r="AV108" s="640"/>
      <c r="AW108" s="640"/>
      <c r="AX108" s="641"/>
    </row>
    <row r="109" spans="2:53">
      <c r="B109" s="635" t="s">
        <v>417</v>
      </c>
      <c r="C109" s="635" t="s">
        <v>418</v>
      </c>
      <c r="D109" s="635"/>
      <c r="E109" s="635" t="s">
        <v>419</v>
      </c>
      <c r="F109" s="635"/>
      <c r="G109" s="635"/>
      <c r="H109" s="651" t="s">
        <v>420</v>
      </c>
      <c r="I109" s="619" t="s">
        <v>421</v>
      </c>
      <c r="J109" s="619"/>
      <c r="K109" s="619"/>
      <c r="L109" s="620" t="s">
        <v>420</v>
      </c>
      <c r="M109" s="626" t="s">
        <v>422</v>
      </c>
      <c r="N109" s="635"/>
      <c r="O109" s="635" t="s">
        <v>423</v>
      </c>
      <c r="P109" s="632" t="s">
        <v>424</v>
      </c>
      <c r="Q109" s="633"/>
      <c r="R109" s="633"/>
      <c r="S109" s="634"/>
      <c r="T109" s="636" t="s">
        <v>420</v>
      </c>
      <c r="U109" s="632" t="s">
        <v>424</v>
      </c>
      <c r="V109" s="633"/>
      <c r="W109" s="633"/>
      <c r="X109" s="634"/>
      <c r="Y109" s="636" t="s">
        <v>420</v>
      </c>
      <c r="Z109" s="632" t="s">
        <v>424</v>
      </c>
      <c r="AA109" s="633"/>
      <c r="AB109" s="633"/>
      <c r="AC109" s="634"/>
      <c r="AD109" s="636" t="s">
        <v>420</v>
      </c>
      <c r="AE109" s="632" t="s">
        <v>424</v>
      </c>
      <c r="AF109" s="633"/>
      <c r="AG109" s="633"/>
      <c r="AH109" s="634"/>
      <c r="AI109" s="636" t="s">
        <v>420</v>
      </c>
      <c r="AJ109" s="632" t="s">
        <v>424</v>
      </c>
      <c r="AK109" s="633"/>
      <c r="AL109" s="633"/>
      <c r="AM109" s="634"/>
      <c r="AN109" s="636" t="s">
        <v>420</v>
      </c>
      <c r="AO109" s="632" t="s">
        <v>424</v>
      </c>
      <c r="AP109" s="633"/>
      <c r="AQ109" s="633"/>
      <c r="AR109" s="634"/>
      <c r="AS109" s="636" t="s">
        <v>420</v>
      </c>
      <c r="AT109" s="632" t="s">
        <v>424</v>
      </c>
      <c r="AU109" s="633"/>
      <c r="AV109" s="633"/>
      <c r="AW109" s="634"/>
      <c r="AX109" s="635" t="s">
        <v>420</v>
      </c>
      <c r="BA109" s="635" t="s">
        <v>371</v>
      </c>
    </row>
    <row r="110" spans="2:53">
      <c r="B110" s="635"/>
      <c r="C110" s="635"/>
      <c r="D110" s="635"/>
      <c r="E110" s="635" t="s">
        <v>425</v>
      </c>
      <c r="F110" s="635"/>
      <c r="G110" s="635"/>
      <c r="H110" s="652"/>
      <c r="I110" s="619" t="s">
        <v>425</v>
      </c>
      <c r="J110" s="619"/>
      <c r="K110" s="619"/>
      <c r="L110" s="621"/>
      <c r="M110" s="627"/>
      <c r="N110" s="635"/>
      <c r="O110" s="635"/>
      <c r="P110" s="632" t="s">
        <v>426</v>
      </c>
      <c r="Q110" s="633"/>
      <c r="R110" s="633"/>
      <c r="S110" s="634"/>
      <c r="T110" s="637"/>
      <c r="U110" s="632" t="s">
        <v>426</v>
      </c>
      <c r="V110" s="633"/>
      <c r="W110" s="633"/>
      <c r="X110" s="634"/>
      <c r="Y110" s="637"/>
      <c r="Z110" s="632" t="s">
        <v>426</v>
      </c>
      <c r="AA110" s="633"/>
      <c r="AB110" s="633"/>
      <c r="AC110" s="634"/>
      <c r="AD110" s="637"/>
      <c r="AE110" s="632" t="s">
        <v>426</v>
      </c>
      <c r="AF110" s="633"/>
      <c r="AG110" s="633"/>
      <c r="AH110" s="634"/>
      <c r="AI110" s="637"/>
      <c r="AJ110" s="632" t="s">
        <v>426</v>
      </c>
      <c r="AK110" s="633"/>
      <c r="AL110" s="633"/>
      <c r="AM110" s="634"/>
      <c r="AN110" s="637"/>
      <c r="AO110" s="632" t="s">
        <v>426</v>
      </c>
      <c r="AP110" s="633"/>
      <c r="AQ110" s="633"/>
      <c r="AR110" s="634"/>
      <c r="AS110" s="637"/>
      <c r="AT110" s="632" t="s">
        <v>426</v>
      </c>
      <c r="AU110" s="633"/>
      <c r="AV110" s="633"/>
      <c r="AW110" s="634"/>
      <c r="AX110" s="635"/>
      <c r="BA110" s="635"/>
    </row>
    <row r="111" spans="2:53">
      <c r="B111" s="635"/>
      <c r="C111" s="635"/>
      <c r="D111" s="635"/>
      <c r="E111" s="290" t="s">
        <v>427</v>
      </c>
      <c r="F111" s="290" t="s">
        <v>428</v>
      </c>
      <c r="G111" s="290" t="s">
        <v>429</v>
      </c>
      <c r="H111" s="653"/>
      <c r="I111" s="289" t="s">
        <v>427</v>
      </c>
      <c r="J111" s="289" t="s">
        <v>428</v>
      </c>
      <c r="K111" s="289" t="s">
        <v>429</v>
      </c>
      <c r="L111" s="622"/>
      <c r="M111" s="628"/>
      <c r="N111" s="635"/>
      <c r="O111" s="635"/>
      <c r="P111" s="548" t="s">
        <v>427</v>
      </c>
      <c r="Q111" s="548" t="s">
        <v>428</v>
      </c>
      <c r="R111" s="548" t="s">
        <v>429</v>
      </c>
      <c r="S111" s="548" t="s">
        <v>422</v>
      </c>
      <c r="T111" s="638"/>
      <c r="U111" s="548" t="s">
        <v>427</v>
      </c>
      <c r="V111" s="548" t="s">
        <v>428</v>
      </c>
      <c r="W111" s="548" t="s">
        <v>429</v>
      </c>
      <c r="X111" s="548" t="s">
        <v>422</v>
      </c>
      <c r="Y111" s="638"/>
      <c r="Z111" s="548" t="s">
        <v>427</v>
      </c>
      <c r="AA111" s="548" t="s">
        <v>428</v>
      </c>
      <c r="AB111" s="548" t="s">
        <v>429</v>
      </c>
      <c r="AC111" s="548" t="s">
        <v>422</v>
      </c>
      <c r="AD111" s="638"/>
      <c r="AE111" s="548" t="s">
        <v>427</v>
      </c>
      <c r="AF111" s="548" t="s">
        <v>428</v>
      </c>
      <c r="AG111" s="548" t="s">
        <v>429</v>
      </c>
      <c r="AH111" s="548" t="s">
        <v>422</v>
      </c>
      <c r="AI111" s="638"/>
      <c r="AJ111" s="548" t="s">
        <v>427</v>
      </c>
      <c r="AK111" s="548" t="s">
        <v>428</v>
      </c>
      <c r="AL111" s="548" t="s">
        <v>429</v>
      </c>
      <c r="AM111" s="548" t="s">
        <v>422</v>
      </c>
      <c r="AN111" s="638"/>
      <c r="AO111" s="548" t="s">
        <v>427</v>
      </c>
      <c r="AP111" s="548" t="s">
        <v>428</v>
      </c>
      <c r="AQ111" s="548" t="s">
        <v>429</v>
      </c>
      <c r="AR111" s="548" t="s">
        <v>422</v>
      </c>
      <c r="AS111" s="638"/>
      <c r="AT111" s="290" t="s">
        <v>427</v>
      </c>
      <c r="AU111" s="290" t="s">
        <v>428</v>
      </c>
      <c r="AV111" s="290" t="s">
        <v>429</v>
      </c>
      <c r="AW111" s="290" t="s">
        <v>422</v>
      </c>
      <c r="AX111" s="635"/>
      <c r="AZ111" s="397" t="s">
        <v>372</v>
      </c>
      <c r="BA111" s="635"/>
    </row>
    <row r="112" spans="2:53">
      <c r="B112" s="635" t="s">
        <v>430</v>
      </c>
      <c r="C112" s="291">
        <v>1</v>
      </c>
      <c r="D112" s="225"/>
      <c r="E112" s="416"/>
      <c r="F112" s="409"/>
      <c r="G112" s="410"/>
      <c r="H112" s="685" t="e">
        <f>AVERAGE(G112:G141)</f>
        <v>#DIV/0!</v>
      </c>
      <c r="I112" s="391" t="str">
        <f>IFERROR(AVERAGE(P112,U112,Z112,AE112,AJ112,AO112,AT112),"-")</f>
        <v>-</v>
      </c>
      <c r="J112" s="391" t="str">
        <f>IFERROR(AVERAGE(Q112,V112,AA112,AF112,AK112,AP112,AU112),"-")</f>
        <v>-</v>
      </c>
      <c r="K112" s="199" t="str">
        <f>IFERROR(AVERAGE(R112,W112,AB112,AG112,AL112,AQ112,AV112),"-")</f>
        <v>-</v>
      </c>
      <c r="L112" s="616" t="str">
        <f>IFERROR(AVERAGE(K112:K141),"-")</f>
        <v>-</v>
      </c>
      <c r="M112" s="200" t="e">
        <f>RANK(K112, K$112:$K$141)</f>
        <v>#VALUE!</v>
      </c>
      <c r="N112" s="635"/>
      <c r="O112" s="635"/>
      <c r="P112" s="416"/>
      <c r="Q112" s="416"/>
      <c r="R112" s="416"/>
      <c r="S112" s="495"/>
      <c r="T112" s="657"/>
      <c r="U112" s="416"/>
      <c r="V112" s="416"/>
      <c r="W112" s="416"/>
      <c r="X112" s="495"/>
      <c r="Y112" s="657"/>
      <c r="Z112" s="416"/>
      <c r="AA112" s="416"/>
      <c r="AB112" s="416"/>
      <c r="AC112" s="495"/>
      <c r="AD112" s="657"/>
      <c r="AE112" s="416"/>
      <c r="AF112" s="416"/>
      <c r="AG112" s="416"/>
      <c r="AH112" s="495"/>
      <c r="AI112" s="657"/>
      <c r="AJ112" s="416"/>
      <c r="AK112" s="416"/>
      <c r="AL112" s="416"/>
      <c r="AM112" s="495"/>
      <c r="AN112" s="657"/>
      <c r="AO112" s="416"/>
      <c r="AP112" s="416"/>
      <c r="AQ112" s="416"/>
      <c r="AR112" s="495"/>
      <c r="AS112" s="657"/>
      <c r="AT112" s="416"/>
      <c r="AU112" s="416"/>
      <c r="AV112" s="416"/>
      <c r="AW112" s="495"/>
      <c r="AX112" s="657"/>
      <c r="AZ112" s="398" t="e">
        <f>RANK(AY112, AY$112:AY$141)</f>
        <v>#N/A</v>
      </c>
      <c r="BA112" s="657" t="e">
        <f>AVERAGE(AY112:AY141)</f>
        <v>#DIV/0!</v>
      </c>
    </row>
    <row r="113" spans="2:53">
      <c r="B113" s="643"/>
      <c r="C113" s="291">
        <v>2</v>
      </c>
      <c r="D113" s="225"/>
      <c r="E113" s="416"/>
      <c r="F113" s="409"/>
      <c r="G113" s="410"/>
      <c r="H113" s="686"/>
      <c r="I113" s="391" t="str">
        <f t="shared" ref="I113:I141" si="27">IFERROR(AVERAGE(P113,U113,Z113,AE113,AJ113,AO113,AT113),"-")</f>
        <v>-</v>
      </c>
      <c r="J113" s="391" t="str">
        <f t="shared" ref="J113:J141" si="28">IFERROR(AVERAGE(Q113,V113,AA113,AF113,AK113,AP113,AU113),"-")</f>
        <v>-</v>
      </c>
      <c r="K113" s="199" t="str">
        <f t="shared" ref="K113:K141" si="29">IFERROR(AVERAGE(R113,W113,AB113,AG113,AL113,AQ113,AV113),"-")</f>
        <v>-</v>
      </c>
      <c r="L113" s="617"/>
      <c r="M113" s="200" t="e">
        <f>RANK(K113, K$112:$K$141)</f>
        <v>#VALUE!</v>
      </c>
      <c r="N113" s="635"/>
      <c r="O113" s="635"/>
      <c r="P113" s="416"/>
      <c r="Q113" s="416"/>
      <c r="R113" s="416"/>
      <c r="S113" s="495"/>
      <c r="T113" s="657"/>
      <c r="U113" s="416"/>
      <c r="V113" s="416"/>
      <c r="W113" s="416"/>
      <c r="X113" s="495"/>
      <c r="Y113" s="657"/>
      <c r="Z113" s="416"/>
      <c r="AA113" s="416"/>
      <c r="AB113" s="416"/>
      <c r="AC113" s="495"/>
      <c r="AD113" s="657"/>
      <c r="AE113" s="416"/>
      <c r="AF113" s="416"/>
      <c r="AG113" s="416"/>
      <c r="AH113" s="495"/>
      <c r="AI113" s="657"/>
      <c r="AJ113" s="416"/>
      <c r="AK113" s="416"/>
      <c r="AL113" s="416"/>
      <c r="AM113" s="495"/>
      <c r="AN113" s="657"/>
      <c r="AO113" s="416"/>
      <c r="AP113" s="416"/>
      <c r="AQ113" s="416"/>
      <c r="AR113" s="495"/>
      <c r="AS113" s="657"/>
      <c r="AT113" s="416"/>
      <c r="AU113" s="416"/>
      <c r="AV113" s="416"/>
      <c r="AW113" s="495"/>
      <c r="AX113" s="657"/>
      <c r="AZ113" s="398" t="e">
        <f t="shared" ref="AZ113:AZ141" si="30">RANK(AY113, AY$112:AY$141)</f>
        <v>#N/A</v>
      </c>
      <c r="BA113" s="657"/>
    </row>
    <row r="114" spans="2:53">
      <c r="B114" s="643"/>
      <c r="C114" s="291">
        <v>3</v>
      </c>
      <c r="D114" s="225"/>
      <c r="E114" s="416"/>
      <c r="F114" s="409"/>
      <c r="G114" s="410"/>
      <c r="H114" s="686"/>
      <c r="I114" s="391" t="str">
        <f t="shared" si="27"/>
        <v>-</v>
      </c>
      <c r="J114" s="391" t="str">
        <f t="shared" si="28"/>
        <v>-</v>
      </c>
      <c r="K114" s="199" t="str">
        <f t="shared" si="29"/>
        <v>-</v>
      </c>
      <c r="L114" s="617"/>
      <c r="M114" s="200" t="e">
        <f>RANK(K114, K$112:$K$141)</f>
        <v>#VALUE!</v>
      </c>
      <c r="N114" s="635"/>
      <c r="O114" s="635"/>
      <c r="P114" s="416"/>
      <c r="Q114" s="416"/>
      <c r="R114" s="416"/>
      <c r="S114" s="495"/>
      <c r="T114" s="657"/>
      <c r="U114" s="416"/>
      <c r="V114" s="416"/>
      <c r="W114" s="416"/>
      <c r="X114" s="495"/>
      <c r="Y114" s="657"/>
      <c r="Z114" s="416"/>
      <c r="AA114" s="416"/>
      <c r="AB114" s="416"/>
      <c r="AC114" s="495"/>
      <c r="AD114" s="657"/>
      <c r="AE114" s="416"/>
      <c r="AF114" s="416"/>
      <c r="AG114" s="416"/>
      <c r="AH114" s="495"/>
      <c r="AI114" s="657"/>
      <c r="AJ114" s="416"/>
      <c r="AK114" s="416"/>
      <c r="AL114" s="416"/>
      <c r="AM114" s="495"/>
      <c r="AN114" s="657"/>
      <c r="AO114" s="416"/>
      <c r="AP114" s="416"/>
      <c r="AQ114" s="416"/>
      <c r="AR114" s="495"/>
      <c r="AS114" s="657"/>
      <c r="AT114" s="416"/>
      <c r="AU114" s="416"/>
      <c r="AV114" s="416"/>
      <c r="AW114" s="495"/>
      <c r="AX114" s="657"/>
      <c r="AZ114" s="398" t="e">
        <f t="shared" si="30"/>
        <v>#N/A</v>
      </c>
      <c r="BA114" s="657"/>
    </row>
    <row r="115" spans="2:53">
      <c r="B115" s="643"/>
      <c r="C115" s="291">
        <v>4</v>
      </c>
      <c r="D115" s="225"/>
      <c r="E115" s="416"/>
      <c r="F115" s="409"/>
      <c r="G115" s="410"/>
      <c r="H115" s="686"/>
      <c r="I115" s="391" t="str">
        <f t="shared" si="27"/>
        <v>-</v>
      </c>
      <c r="J115" s="391" t="str">
        <f t="shared" si="28"/>
        <v>-</v>
      </c>
      <c r="K115" s="199" t="str">
        <f t="shared" si="29"/>
        <v>-</v>
      </c>
      <c r="L115" s="617"/>
      <c r="M115" s="200" t="e">
        <f>RANK(K115, K$112:$K$141)</f>
        <v>#VALUE!</v>
      </c>
      <c r="N115" s="635"/>
      <c r="O115" s="635"/>
      <c r="P115" s="416"/>
      <c r="Q115" s="416"/>
      <c r="R115" s="416"/>
      <c r="S115" s="495"/>
      <c r="T115" s="657"/>
      <c r="U115" s="416"/>
      <c r="V115" s="416"/>
      <c r="W115" s="416"/>
      <c r="X115" s="495"/>
      <c r="Y115" s="657"/>
      <c r="Z115" s="416"/>
      <c r="AA115" s="416"/>
      <c r="AB115" s="416"/>
      <c r="AC115" s="495"/>
      <c r="AD115" s="657"/>
      <c r="AE115" s="416"/>
      <c r="AF115" s="416"/>
      <c r="AG115" s="416"/>
      <c r="AH115" s="495"/>
      <c r="AI115" s="657"/>
      <c r="AJ115" s="416"/>
      <c r="AK115" s="416"/>
      <c r="AL115" s="416"/>
      <c r="AM115" s="495"/>
      <c r="AN115" s="657"/>
      <c r="AO115" s="416"/>
      <c r="AP115" s="416"/>
      <c r="AQ115" s="416"/>
      <c r="AR115" s="495"/>
      <c r="AS115" s="657"/>
      <c r="AT115" s="416"/>
      <c r="AU115" s="416"/>
      <c r="AV115" s="416"/>
      <c r="AW115" s="495"/>
      <c r="AX115" s="657"/>
      <c r="AZ115" s="398" t="e">
        <f t="shared" si="30"/>
        <v>#N/A</v>
      </c>
      <c r="BA115" s="657"/>
    </row>
    <row r="116" spans="2:53">
      <c r="B116" s="643"/>
      <c r="C116" s="291">
        <v>5</v>
      </c>
      <c r="D116" s="225"/>
      <c r="E116" s="416"/>
      <c r="F116" s="409"/>
      <c r="G116" s="410"/>
      <c r="H116" s="686"/>
      <c r="I116" s="391" t="str">
        <f t="shared" si="27"/>
        <v>-</v>
      </c>
      <c r="J116" s="391" t="str">
        <f t="shared" si="28"/>
        <v>-</v>
      </c>
      <c r="K116" s="199" t="str">
        <f t="shared" si="29"/>
        <v>-</v>
      </c>
      <c r="L116" s="617"/>
      <c r="M116" s="200" t="e">
        <f>RANK(K116, K$112:$K$141)</f>
        <v>#VALUE!</v>
      </c>
      <c r="N116" s="635"/>
      <c r="O116" s="635"/>
      <c r="P116" s="416"/>
      <c r="Q116" s="416"/>
      <c r="R116" s="416"/>
      <c r="S116" s="495"/>
      <c r="T116" s="657"/>
      <c r="U116" s="416"/>
      <c r="V116" s="416"/>
      <c r="W116" s="416"/>
      <c r="X116" s="495"/>
      <c r="Y116" s="657"/>
      <c r="Z116" s="416"/>
      <c r="AA116" s="416"/>
      <c r="AB116" s="416"/>
      <c r="AC116" s="495"/>
      <c r="AD116" s="657"/>
      <c r="AE116" s="416"/>
      <c r="AF116" s="416"/>
      <c r="AG116" s="416"/>
      <c r="AH116" s="495"/>
      <c r="AI116" s="657"/>
      <c r="AJ116" s="416"/>
      <c r="AK116" s="416"/>
      <c r="AL116" s="416"/>
      <c r="AM116" s="495"/>
      <c r="AN116" s="657"/>
      <c r="AO116" s="416"/>
      <c r="AP116" s="416"/>
      <c r="AQ116" s="416"/>
      <c r="AR116" s="495"/>
      <c r="AS116" s="657"/>
      <c r="AT116" s="416"/>
      <c r="AU116" s="416"/>
      <c r="AV116" s="416"/>
      <c r="AW116" s="495"/>
      <c r="AX116" s="657"/>
      <c r="AZ116" s="398" t="e">
        <f t="shared" si="30"/>
        <v>#N/A</v>
      </c>
      <c r="BA116" s="657"/>
    </row>
    <row r="117" spans="2:53">
      <c r="B117" s="643"/>
      <c r="C117" s="291">
        <v>6</v>
      </c>
      <c r="D117" s="225"/>
      <c r="E117" s="416"/>
      <c r="F117" s="409"/>
      <c r="G117" s="410"/>
      <c r="H117" s="686"/>
      <c r="I117" s="391" t="str">
        <f t="shared" si="27"/>
        <v>-</v>
      </c>
      <c r="J117" s="391" t="str">
        <f t="shared" si="28"/>
        <v>-</v>
      </c>
      <c r="K117" s="199" t="str">
        <f t="shared" si="29"/>
        <v>-</v>
      </c>
      <c r="L117" s="617"/>
      <c r="M117" s="200" t="e">
        <f>RANK(K117, K$112:$K$141)</f>
        <v>#VALUE!</v>
      </c>
      <c r="N117" s="635"/>
      <c r="O117" s="635"/>
      <c r="P117" s="416"/>
      <c r="Q117" s="416"/>
      <c r="R117" s="416"/>
      <c r="S117" s="495"/>
      <c r="T117" s="657"/>
      <c r="U117" s="416"/>
      <c r="V117" s="416"/>
      <c r="W117" s="416"/>
      <c r="X117" s="495"/>
      <c r="Y117" s="657"/>
      <c r="Z117" s="416"/>
      <c r="AA117" s="416"/>
      <c r="AB117" s="416"/>
      <c r="AC117" s="495"/>
      <c r="AD117" s="657"/>
      <c r="AE117" s="416"/>
      <c r="AF117" s="416"/>
      <c r="AG117" s="416"/>
      <c r="AH117" s="495"/>
      <c r="AI117" s="657"/>
      <c r="AJ117" s="416"/>
      <c r="AK117" s="416"/>
      <c r="AL117" s="416"/>
      <c r="AM117" s="495"/>
      <c r="AN117" s="657"/>
      <c r="AO117" s="416"/>
      <c r="AP117" s="416"/>
      <c r="AQ117" s="416"/>
      <c r="AR117" s="495"/>
      <c r="AS117" s="657"/>
      <c r="AT117" s="416"/>
      <c r="AU117" s="416"/>
      <c r="AV117" s="416"/>
      <c r="AW117" s="495"/>
      <c r="AX117" s="657"/>
      <c r="AZ117" s="398" t="e">
        <f t="shared" si="30"/>
        <v>#N/A</v>
      </c>
      <c r="BA117" s="657"/>
    </row>
    <row r="118" spans="2:53">
      <c r="B118" s="643"/>
      <c r="C118" s="291">
        <v>7</v>
      </c>
      <c r="D118" s="225"/>
      <c r="E118" s="416"/>
      <c r="F118" s="409"/>
      <c r="G118" s="410"/>
      <c r="H118" s="686"/>
      <c r="I118" s="391" t="str">
        <f t="shared" si="27"/>
        <v>-</v>
      </c>
      <c r="J118" s="391" t="str">
        <f t="shared" si="28"/>
        <v>-</v>
      </c>
      <c r="K118" s="199" t="str">
        <f t="shared" si="29"/>
        <v>-</v>
      </c>
      <c r="L118" s="617"/>
      <c r="M118" s="200" t="e">
        <f>RANK(K118, K$112:$K$141)</f>
        <v>#VALUE!</v>
      </c>
      <c r="N118" s="635"/>
      <c r="O118" s="635"/>
      <c r="P118" s="416"/>
      <c r="Q118" s="416"/>
      <c r="R118" s="416"/>
      <c r="S118" s="495"/>
      <c r="T118" s="657"/>
      <c r="U118" s="416"/>
      <c r="V118" s="416"/>
      <c r="W118" s="416"/>
      <c r="X118" s="495"/>
      <c r="Y118" s="657"/>
      <c r="Z118" s="416"/>
      <c r="AA118" s="416"/>
      <c r="AB118" s="416"/>
      <c r="AC118" s="495"/>
      <c r="AD118" s="657"/>
      <c r="AE118" s="416"/>
      <c r="AF118" s="416"/>
      <c r="AG118" s="416"/>
      <c r="AH118" s="495"/>
      <c r="AI118" s="657"/>
      <c r="AJ118" s="416"/>
      <c r="AK118" s="416"/>
      <c r="AL118" s="416"/>
      <c r="AM118" s="495"/>
      <c r="AN118" s="657"/>
      <c r="AO118" s="416"/>
      <c r="AP118" s="416"/>
      <c r="AQ118" s="416"/>
      <c r="AR118" s="495"/>
      <c r="AS118" s="657"/>
      <c r="AT118" s="416"/>
      <c r="AU118" s="416"/>
      <c r="AV118" s="416"/>
      <c r="AW118" s="495"/>
      <c r="AX118" s="657"/>
      <c r="AZ118" s="398" t="e">
        <f t="shared" si="30"/>
        <v>#N/A</v>
      </c>
      <c r="BA118" s="657"/>
    </row>
    <row r="119" spans="2:53">
      <c r="B119" s="643"/>
      <c r="C119" s="291">
        <v>8</v>
      </c>
      <c r="D119" s="225"/>
      <c r="E119" s="416"/>
      <c r="F119" s="409"/>
      <c r="G119" s="410"/>
      <c r="H119" s="686"/>
      <c r="I119" s="391" t="str">
        <f t="shared" si="27"/>
        <v>-</v>
      </c>
      <c r="J119" s="391" t="str">
        <f t="shared" si="28"/>
        <v>-</v>
      </c>
      <c r="K119" s="199" t="str">
        <f t="shared" si="29"/>
        <v>-</v>
      </c>
      <c r="L119" s="617"/>
      <c r="M119" s="200" t="e">
        <f>RANK(K119, K$112:$K$141)</f>
        <v>#VALUE!</v>
      </c>
      <c r="N119" s="635"/>
      <c r="O119" s="635"/>
      <c r="P119" s="416"/>
      <c r="Q119" s="416"/>
      <c r="R119" s="416"/>
      <c r="S119" s="495"/>
      <c r="T119" s="657"/>
      <c r="U119" s="416"/>
      <c r="V119" s="416"/>
      <c r="W119" s="416"/>
      <c r="X119" s="495"/>
      <c r="Y119" s="657"/>
      <c r="Z119" s="416"/>
      <c r="AA119" s="416"/>
      <c r="AB119" s="416"/>
      <c r="AC119" s="495"/>
      <c r="AD119" s="657"/>
      <c r="AE119" s="416"/>
      <c r="AF119" s="416"/>
      <c r="AG119" s="416"/>
      <c r="AH119" s="495"/>
      <c r="AI119" s="657"/>
      <c r="AJ119" s="416"/>
      <c r="AK119" s="416"/>
      <c r="AL119" s="416"/>
      <c r="AM119" s="495"/>
      <c r="AN119" s="657"/>
      <c r="AO119" s="416"/>
      <c r="AP119" s="416"/>
      <c r="AQ119" s="416"/>
      <c r="AR119" s="495"/>
      <c r="AS119" s="657"/>
      <c r="AT119" s="416"/>
      <c r="AU119" s="416"/>
      <c r="AV119" s="416"/>
      <c r="AW119" s="495"/>
      <c r="AX119" s="657"/>
      <c r="AZ119" s="398" t="e">
        <f t="shared" si="30"/>
        <v>#N/A</v>
      </c>
      <c r="BA119" s="657"/>
    </row>
    <row r="120" spans="2:53">
      <c r="B120" s="643"/>
      <c r="C120" s="291">
        <v>9</v>
      </c>
      <c r="D120" s="225"/>
      <c r="E120" s="416"/>
      <c r="F120" s="409"/>
      <c r="G120" s="410"/>
      <c r="H120" s="686"/>
      <c r="I120" s="391" t="str">
        <f t="shared" si="27"/>
        <v>-</v>
      </c>
      <c r="J120" s="391" t="str">
        <f t="shared" si="28"/>
        <v>-</v>
      </c>
      <c r="K120" s="199" t="str">
        <f t="shared" si="29"/>
        <v>-</v>
      </c>
      <c r="L120" s="617"/>
      <c r="M120" s="200" t="e">
        <f>RANK(K120, K$112:$K$141)</f>
        <v>#VALUE!</v>
      </c>
      <c r="N120" s="635"/>
      <c r="O120" s="635"/>
      <c r="P120" s="416"/>
      <c r="Q120" s="416"/>
      <c r="R120" s="416"/>
      <c r="S120" s="495"/>
      <c r="T120" s="657"/>
      <c r="U120" s="416"/>
      <c r="V120" s="416"/>
      <c r="W120" s="416"/>
      <c r="X120" s="495"/>
      <c r="Y120" s="657"/>
      <c r="Z120" s="416"/>
      <c r="AA120" s="416"/>
      <c r="AB120" s="416"/>
      <c r="AC120" s="495"/>
      <c r="AD120" s="657"/>
      <c r="AE120" s="416"/>
      <c r="AF120" s="416"/>
      <c r="AG120" s="416"/>
      <c r="AH120" s="495"/>
      <c r="AI120" s="657"/>
      <c r="AJ120" s="416"/>
      <c r="AK120" s="416"/>
      <c r="AL120" s="416"/>
      <c r="AM120" s="495"/>
      <c r="AN120" s="657"/>
      <c r="AO120" s="416"/>
      <c r="AP120" s="416"/>
      <c r="AQ120" s="416"/>
      <c r="AR120" s="495"/>
      <c r="AS120" s="657"/>
      <c r="AT120" s="416"/>
      <c r="AU120" s="416"/>
      <c r="AV120" s="416"/>
      <c r="AW120" s="495"/>
      <c r="AX120" s="657"/>
      <c r="AZ120" s="398" t="e">
        <f t="shared" si="30"/>
        <v>#N/A</v>
      </c>
      <c r="BA120" s="657"/>
    </row>
    <row r="121" spans="2:53">
      <c r="B121" s="643"/>
      <c r="C121" s="291">
        <v>10</v>
      </c>
      <c r="D121" s="225"/>
      <c r="E121" s="416"/>
      <c r="F121" s="409"/>
      <c r="G121" s="410"/>
      <c r="H121" s="686"/>
      <c r="I121" s="391" t="str">
        <f t="shared" si="27"/>
        <v>-</v>
      </c>
      <c r="J121" s="391" t="str">
        <f t="shared" si="28"/>
        <v>-</v>
      </c>
      <c r="K121" s="199" t="str">
        <f t="shared" si="29"/>
        <v>-</v>
      </c>
      <c r="L121" s="617"/>
      <c r="M121" s="200" t="e">
        <f>RANK(K121, K$112:$K$141)</f>
        <v>#VALUE!</v>
      </c>
      <c r="N121" s="635"/>
      <c r="O121" s="635"/>
      <c r="P121" s="416"/>
      <c r="Q121" s="416"/>
      <c r="R121" s="416"/>
      <c r="S121" s="495"/>
      <c r="T121" s="657"/>
      <c r="U121" s="416"/>
      <c r="V121" s="416"/>
      <c r="W121" s="416"/>
      <c r="X121" s="495"/>
      <c r="Y121" s="657"/>
      <c r="Z121" s="416"/>
      <c r="AA121" s="416"/>
      <c r="AB121" s="416"/>
      <c r="AC121" s="495"/>
      <c r="AD121" s="657"/>
      <c r="AE121" s="416"/>
      <c r="AF121" s="416"/>
      <c r="AG121" s="416"/>
      <c r="AH121" s="495"/>
      <c r="AI121" s="657"/>
      <c r="AJ121" s="416"/>
      <c r="AK121" s="416"/>
      <c r="AL121" s="416"/>
      <c r="AM121" s="495"/>
      <c r="AN121" s="657"/>
      <c r="AO121" s="416"/>
      <c r="AP121" s="416"/>
      <c r="AQ121" s="416"/>
      <c r="AR121" s="495"/>
      <c r="AS121" s="657"/>
      <c r="AT121" s="416"/>
      <c r="AU121" s="416"/>
      <c r="AV121" s="416"/>
      <c r="AW121" s="495"/>
      <c r="AX121" s="657"/>
      <c r="AZ121" s="398" t="e">
        <f t="shared" si="30"/>
        <v>#N/A</v>
      </c>
      <c r="BA121" s="657"/>
    </row>
    <row r="122" spans="2:53">
      <c r="B122" s="643"/>
      <c r="C122" s="291">
        <v>11</v>
      </c>
      <c r="D122" s="225"/>
      <c r="E122" s="416"/>
      <c r="F122" s="409"/>
      <c r="G122" s="410"/>
      <c r="H122" s="686"/>
      <c r="I122" s="391" t="str">
        <f t="shared" si="27"/>
        <v>-</v>
      </c>
      <c r="J122" s="391" t="str">
        <f t="shared" si="28"/>
        <v>-</v>
      </c>
      <c r="K122" s="199" t="str">
        <f t="shared" si="29"/>
        <v>-</v>
      </c>
      <c r="L122" s="617"/>
      <c r="M122" s="200" t="e">
        <f>RANK(K122, K$112:$K$141)</f>
        <v>#VALUE!</v>
      </c>
      <c r="N122" s="635"/>
      <c r="O122" s="635"/>
      <c r="P122" s="416"/>
      <c r="Q122" s="416"/>
      <c r="R122" s="416"/>
      <c r="S122" s="495"/>
      <c r="T122" s="657"/>
      <c r="U122" s="416"/>
      <c r="V122" s="416"/>
      <c r="W122" s="416"/>
      <c r="X122" s="495"/>
      <c r="Y122" s="657"/>
      <c r="Z122" s="416"/>
      <c r="AA122" s="416"/>
      <c r="AB122" s="416"/>
      <c r="AC122" s="495"/>
      <c r="AD122" s="657"/>
      <c r="AE122" s="416"/>
      <c r="AF122" s="416"/>
      <c r="AG122" s="416"/>
      <c r="AH122" s="495"/>
      <c r="AI122" s="657"/>
      <c r="AJ122" s="416"/>
      <c r="AK122" s="416"/>
      <c r="AL122" s="416"/>
      <c r="AM122" s="495"/>
      <c r="AN122" s="657"/>
      <c r="AO122" s="416"/>
      <c r="AP122" s="416"/>
      <c r="AQ122" s="416"/>
      <c r="AR122" s="495"/>
      <c r="AS122" s="657"/>
      <c r="AT122" s="416"/>
      <c r="AU122" s="416"/>
      <c r="AV122" s="416"/>
      <c r="AW122" s="495"/>
      <c r="AX122" s="657"/>
      <c r="AZ122" s="398" t="e">
        <f t="shared" si="30"/>
        <v>#N/A</v>
      </c>
      <c r="BA122" s="657"/>
    </row>
    <row r="123" spans="2:53">
      <c r="B123" s="643"/>
      <c r="C123" s="291">
        <v>12</v>
      </c>
      <c r="D123" s="225"/>
      <c r="E123" s="416"/>
      <c r="F123" s="409"/>
      <c r="G123" s="410"/>
      <c r="H123" s="686"/>
      <c r="I123" s="391" t="str">
        <f t="shared" si="27"/>
        <v>-</v>
      </c>
      <c r="J123" s="391" t="str">
        <f t="shared" si="28"/>
        <v>-</v>
      </c>
      <c r="K123" s="199" t="str">
        <f t="shared" si="29"/>
        <v>-</v>
      </c>
      <c r="L123" s="617"/>
      <c r="M123" s="200" t="e">
        <f>RANK(K123, K$112:$K$141)</f>
        <v>#VALUE!</v>
      </c>
      <c r="N123" s="635"/>
      <c r="O123" s="635"/>
      <c r="P123" s="416"/>
      <c r="Q123" s="416"/>
      <c r="R123" s="416"/>
      <c r="S123" s="495"/>
      <c r="T123" s="657"/>
      <c r="U123" s="416"/>
      <c r="V123" s="416"/>
      <c r="W123" s="416"/>
      <c r="X123" s="495"/>
      <c r="Y123" s="657"/>
      <c r="Z123" s="416"/>
      <c r="AA123" s="416"/>
      <c r="AB123" s="416"/>
      <c r="AC123" s="495"/>
      <c r="AD123" s="657"/>
      <c r="AE123" s="416"/>
      <c r="AF123" s="416"/>
      <c r="AG123" s="416"/>
      <c r="AH123" s="495"/>
      <c r="AI123" s="657"/>
      <c r="AJ123" s="416"/>
      <c r="AK123" s="416"/>
      <c r="AL123" s="416"/>
      <c r="AM123" s="495"/>
      <c r="AN123" s="657"/>
      <c r="AO123" s="416"/>
      <c r="AP123" s="416"/>
      <c r="AQ123" s="416"/>
      <c r="AR123" s="495"/>
      <c r="AS123" s="657"/>
      <c r="AT123" s="416"/>
      <c r="AU123" s="416"/>
      <c r="AV123" s="416"/>
      <c r="AW123" s="495"/>
      <c r="AX123" s="657"/>
      <c r="AZ123" s="398" t="e">
        <f t="shared" si="30"/>
        <v>#N/A</v>
      </c>
      <c r="BA123" s="657"/>
    </row>
    <row r="124" spans="2:53">
      <c r="B124" s="643"/>
      <c r="C124" s="291">
        <v>13</v>
      </c>
      <c r="D124" s="225"/>
      <c r="E124" s="416"/>
      <c r="F124" s="409"/>
      <c r="G124" s="410"/>
      <c r="H124" s="686"/>
      <c r="I124" s="391" t="str">
        <f t="shared" si="27"/>
        <v>-</v>
      </c>
      <c r="J124" s="391" t="str">
        <f t="shared" si="28"/>
        <v>-</v>
      </c>
      <c r="K124" s="199" t="str">
        <f t="shared" si="29"/>
        <v>-</v>
      </c>
      <c r="L124" s="617"/>
      <c r="M124" s="200" t="e">
        <f>RANK(K124, K$112:$K$141)</f>
        <v>#VALUE!</v>
      </c>
      <c r="N124" s="635"/>
      <c r="O124" s="635"/>
      <c r="P124" s="416"/>
      <c r="Q124" s="416"/>
      <c r="R124" s="416"/>
      <c r="S124" s="495"/>
      <c r="T124" s="657"/>
      <c r="U124" s="416"/>
      <c r="V124" s="416"/>
      <c r="W124" s="416"/>
      <c r="X124" s="495"/>
      <c r="Y124" s="657"/>
      <c r="Z124" s="416"/>
      <c r="AA124" s="416"/>
      <c r="AB124" s="416"/>
      <c r="AC124" s="495"/>
      <c r="AD124" s="657"/>
      <c r="AE124" s="416"/>
      <c r="AF124" s="416"/>
      <c r="AG124" s="416"/>
      <c r="AH124" s="495"/>
      <c r="AI124" s="657"/>
      <c r="AJ124" s="416"/>
      <c r="AK124" s="416"/>
      <c r="AL124" s="416"/>
      <c r="AM124" s="495"/>
      <c r="AN124" s="657"/>
      <c r="AO124" s="416"/>
      <c r="AP124" s="416"/>
      <c r="AQ124" s="416"/>
      <c r="AR124" s="495"/>
      <c r="AS124" s="657"/>
      <c r="AT124" s="416"/>
      <c r="AU124" s="416"/>
      <c r="AV124" s="416"/>
      <c r="AW124" s="495"/>
      <c r="AX124" s="657"/>
      <c r="AZ124" s="398" t="e">
        <f t="shared" si="30"/>
        <v>#N/A</v>
      </c>
      <c r="BA124" s="657"/>
    </row>
    <row r="125" spans="2:53">
      <c r="B125" s="643"/>
      <c r="C125" s="291">
        <v>14</v>
      </c>
      <c r="D125" s="225"/>
      <c r="E125" s="416"/>
      <c r="F125" s="409"/>
      <c r="G125" s="410"/>
      <c r="H125" s="686"/>
      <c r="I125" s="391" t="str">
        <f t="shared" si="27"/>
        <v>-</v>
      </c>
      <c r="J125" s="391" t="str">
        <f t="shared" si="28"/>
        <v>-</v>
      </c>
      <c r="K125" s="199" t="str">
        <f t="shared" si="29"/>
        <v>-</v>
      </c>
      <c r="L125" s="617"/>
      <c r="M125" s="200" t="e">
        <f>RANK(K125, K$112:$K$141)</f>
        <v>#VALUE!</v>
      </c>
      <c r="N125" s="635"/>
      <c r="O125" s="635"/>
      <c r="P125" s="416"/>
      <c r="Q125" s="416"/>
      <c r="R125" s="416"/>
      <c r="S125" s="495"/>
      <c r="T125" s="657"/>
      <c r="U125" s="416"/>
      <c r="V125" s="416"/>
      <c r="W125" s="416"/>
      <c r="X125" s="495"/>
      <c r="Y125" s="657"/>
      <c r="Z125" s="416"/>
      <c r="AA125" s="416"/>
      <c r="AB125" s="416"/>
      <c r="AC125" s="495"/>
      <c r="AD125" s="657"/>
      <c r="AE125" s="416"/>
      <c r="AF125" s="416"/>
      <c r="AG125" s="416"/>
      <c r="AH125" s="495"/>
      <c r="AI125" s="657"/>
      <c r="AJ125" s="416"/>
      <c r="AK125" s="416"/>
      <c r="AL125" s="416"/>
      <c r="AM125" s="495"/>
      <c r="AN125" s="657"/>
      <c r="AO125" s="416"/>
      <c r="AP125" s="416"/>
      <c r="AQ125" s="416"/>
      <c r="AR125" s="495"/>
      <c r="AS125" s="657"/>
      <c r="AT125" s="416"/>
      <c r="AU125" s="416"/>
      <c r="AV125" s="416"/>
      <c r="AW125" s="495"/>
      <c r="AX125" s="657"/>
      <c r="AZ125" s="398" t="e">
        <f t="shared" si="30"/>
        <v>#N/A</v>
      </c>
      <c r="BA125" s="657"/>
    </row>
    <row r="126" spans="2:53">
      <c r="B126" s="643"/>
      <c r="C126" s="291">
        <v>15</v>
      </c>
      <c r="D126" s="225"/>
      <c r="E126" s="416"/>
      <c r="F126" s="409"/>
      <c r="G126" s="410"/>
      <c r="H126" s="686"/>
      <c r="I126" s="391" t="str">
        <f t="shared" si="27"/>
        <v>-</v>
      </c>
      <c r="J126" s="391" t="str">
        <f t="shared" si="28"/>
        <v>-</v>
      </c>
      <c r="K126" s="199" t="str">
        <f t="shared" si="29"/>
        <v>-</v>
      </c>
      <c r="L126" s="617"/>
      <c r="M126" s="200" t="e">
        <f>RANK(K126, K$112:$K$141)</f>
        <v>#VALUE!</v>
      </c>
      <c r="N126" s="635"/>
      <c r="O126" s="635"/>
      <c r="P126" s="416"/>
      <c r="Q126" s="416"/>
      <c r="R126" s="416"/>
      <c r="S126" s="495"/>
      <c r="T126" s="657"/>
      <c r="U126" s="416"/>
      <c r="V126" s="416"/>
      <c r="W126" s="416"/>
      <c r="X126" s="495"/>
      <c r="Y126" s="657"/>
      <c r="Z126" s="416"/>
      <c r="AA126" s="416"/>
      <c r="AB126" s="416"/>
      <c r="AC126" s="495"/>
      <c r="AD126" s="657"/>
      <c r="AE126" s="416"/>
      <c r="AF126" s="416"/>
      <c r="AG126" s="416"/>
      <c r="AH126" s="495"/>
      <c r="AI126" s="657"/>
      <c r="AJ126" s="416"/>
      <c r="AK126" s="416"/>
      <c r="AL126" s="416"/>
      <c r="AM126" s="495"/>
      <c r="AN126" s="657"/>
      <c r="AO126" s="416"/>
      <c r="AP126" s="416"/>
      <c r="AQ126" s="416"/>
      <c r="AR126" s="495"/>
      <c r="AS126" s="657"/>
      <c r="AT126" s="416"/>
      <c r="AU126" s="416"/>
      <c r="AV126" s="416"/>
      <c r="AW126" s="495"/>
      <c r="AX126" s="657"/>
      <c r="AZ126" s="398" t="e">
        <f t="shared" si="30"/>
        <v>#N/A</v>
      </c>
      <c r="BA126" s="657"/>
    </row>
    <row r="127" spans="2:53">
      <c r="B127" s="643"/>
      <c r="C127" s="291">
        <v>16</v>
      </c>
      <c r="D127" s="225"/>
      <c r="E127" s="416"/>
      <c r="F127" s="409"/>
      <c r="G127" s="410"/>
      <c r="H127" s="686"/>
      <c r="I127" s="391" t="str">
        <f t="shared" si="27"/>
        <v>-</v>
      </c>
      <c r="J127" s="391" t="str">
        <f t="shared" si="28"/>
        <v>-</v>
      </c>
      <c r="K127" s="199" t="str">
        <f t="shared" si="29"/>
        <v>-</v>
      </c>
      <c r="L127" s="617"/>
      <c r="M127" s="200" t="e">
        <f>RANK(K127, K$112:$K$141)</f>
        <v>#VALUE!</v>
      </c>
      <c r="N127" s="635"/>
      <c r="O127" s="635"/>
      <c r="P127" s="416"/>
      <c r="Q127" s="416"/>
      <c r="R127" s="416"/>
      <c r="S127" s="495"/>
      <c r="T127" s="657"/>
      <c r="U127" s="416"/>
      <c r="V127" s="416"/>
      <c r="W127" s="416"/>
      <c r="X127" s="495"/>
      <c r="Y127" s="657"/>
      <c r="Z127" s="416"/>
      <c r="AA127" s="416"/>
      <c r="AB127" s="416"/>
      <c r="AC127" s="495"/>
      <c r="AD127" s="657"/>
      <c r="AE127" s="416"/>
      <c r="AF127" s="416"/>
      <c r="AG127" s="416"/>
      <c r="AH127" s="495"/>
      <c r="AI127" s="657"/>
      <c r="AJ127" s="416"/>
      <c r="AK127" s="416"/>
      <c r="AL127" s="416"/>
      <c r="AM127" s="495"/>
      <c r="AN127" s="657"/>
      <c r="AO127" s="416"/>
      <c r="AP127" s="416"/>
      <c r="AQ127" s="416"/>
      <c r="AR127" s="495"/>
      <c r="AS127" s="657"/>
      <c r="AT127" s="416"/>
      <c r="AU127" s="416"/>
      <c r="AV127" s="416"/>
      <c r="AW127" s="495"/>
      <c r="AX127" s="657"/>
      <c r="AZ127" s="398" t="e">
        <f t="shared" si="30"/>
        <v>#N/A</v>
      </c>
      <c r="BA127" s="657"/>
    </row>
    <row r="128" spans="2:53">
      <c r="B128" s="643"/>
      <c r="C128" s="291">
        <v>17</v>
      </c>
      <c r="D128" s="225"/>
      <c r="E128" s="416"/>
      <c r="F128" s="409"/>
      <c r="G128" s="410"/>
      <c r="H128" s="686"/>
      <c r="I128" s="391" t="str">
        <f t="shared" si="27"/>
        <v>-</v>
      </c>
      <c r="J128" s="391" t="str">
        <f t="shared" si="28"/>
        <v>-</v>
      </c>
      <c r="K128" s="199" t="str">
        <f t="shared" si="29"/>
        <v>-</v>
      </c>
      <c r="L128" s="617"/>
      <c r="M128" s="200" t="e">
        <f>RANK(K128, K$112:$K$141)</f>
        <v>#VALUE!</v>
      </c>
      <c r="N128" s="635"/>
      <c r="O128" s="635"/>
      <c r="P128" s="416"/>
      <c r="Q128" s="416"/>
      <c r="R128" s="416"/>
      <c r="S128" s="495"/>
      <c r="T128" s="657"/>
      <c r="U128" s="416"/>
      <c r="V128" s="416"/>
      <c r="W128" s="416"/>
      <c r="X128" s="495"/>
      <c r="Y128" s="657"/>
      <c r="Z128" s="416"/>
      <c r="AA128" s="416"/>
      <c r="AB128" s="416"/>
      <c r="AC128" s="495"/>
      <c r="AD128" s="657"/>
      <c r="AE128" s="416"/>
      <c r="AF128" s="416"/>
      <c r="AG128" s="416"/>
      <c r="AH128" s="495"/>
      <c r="AI128" s="657"/>
      <c r="AJ128" s="416"/>
      <c r="AK128" s="416"/>
      <c r="AL128" s="416"/>
      <c r="AM128" s="495"/>
      <c r="AN128" s="657"/>
      <c r="AO128" s="416"/>
      <c r="AP128" s="416"/>
      <c r="AQ128" s="416"/>
      <c r="AR128" s="495"/>
      <c r="AS128" s="657"/>
      <c r="AT128" s="416"/>
      <c r="AU128" s="416"/>
      <c r="AV128" s="416"/>
      <c r="AW128" s="495"/>
      <c r="AX128" s="657"/>
      <c r="AZ128" s="398" t="e">
        <f t="shared" si="30"/>
        <v>#N/A</v>
      </c>
      <c r="BA128" s="657"/>
    </row>
    <row r="129" spans="2:53">
      <c r="B129" s="643"/>
      <c r="C129" s="291">
        <v>18</v>
      </c>
      <c r="D129" s="225"/>
      <c r="E129" s="416"/>
      <c r="F129" s="409"/>
      <c r="G129" s="410"/>
      <c r="H129" s="686"/>
      <c r="I129" s="391" t="str">
        <f t="shared" si="27"/>
        <v>-</v>
      </c>
      <c r="J129" s="391" t="str">
        <f t="shared" si="28"/>
        <v>-</v>
      </c>
      <c r="K129" s="199" t="str">
        <f t="shared" si="29"/>
        <v>-</v>
      </c>
      <c r="L129" s="617"/>
      <c r="M129" s="200" t="e">
        <f>RANK(K129, K$112:$K$141)</f>
        <v>#VALUE!</v>
      </c>
      <c r="N129" s="635"/>
      <c r="O129" s="635"/>
      <c r="P129" s="416"/>
      <c r="Q129" s="416"/>
      <c r="R129" s="416"/>
      <c r="S129" s="495"/>
      <c r="T129" s="657"/>
      <c r="U129" s="416"/>
      <c r="V129" s="416"/>
      <c r="W129" s="416"/>
      <c r="X129" s="495"/>
      <c r="Y129" s="657"/>
      <c r="Z129" s="416"/>
      <c r="AA129" s="416"/>
      <c r="AB129" s="416"/>
      <c r="AC129" s="495"/>
      <c r="AD129" s="657"/>
      <c r="AE129" s="416"/>
      <c r="AF129" s="416"/>
      <c r="AG129" s="416"/>
      <c r="AH129" s="495"/>
      <c r="AI129" s="657"/>
      <c r="AJ129" s="416"/>
      <c r="AK129" s="416"/>
      <c r="AL129" s="416"/>
      <c r="AM129" s="495"/>
      <c r="AN129" s="657"/>
      <c r="AO129" s="416"/>
      <c r="AP129" s="416"/>
      <c r="AQ129" s="416"/>
      <c r="AR129" s="495"/>
      <c r="AS129" s="657"/>
      <c r="AT129" s="416"/>
      <c r="AU129" s="416"/>
      <c r="AV129" s="416"/>
      <c r="AW129" s="495"/>
      <c r="AX129" s="657"/>
      <c r="AZ129" s="398" t="e">
        <f t="shared" si="30"/>
        <v>#N/A</v>
      </c>
      <c r="BA129" s="657"/>
    </row>
    <row r="130" spans="2:53">
      <c r="B130" s="643"/>
      <c r="C130" s="291">
        <v>19</v>
      </c>
      <c r="D130" s="225"/>
      <c r="E130" s="416"/>
      <c r="F130" s="409"/>
      <c r="G130" s="410"/>
      <c r="H130" s="686"/>
      <c r="I130" s="391" t="str">
        <f t="shared" si="27"/>
        <v>-</v>
      </c>
      <c r="J130" s="391" t="str">
        <f t="shared" si="28"/>
        <v>-</v>
      </c>
      <c r="K130" s="199" t="str">
        <f t="shared" si="29"/>
        <v>-</v>
      </c>
      <c r="L130" s="617"/>
      <c r="M130" s="200" t="e">
        <f>RANK(K130, K$112:$K$141)</f>
        <v>#VALUE!</v>
      </c>
      <c r="N130" s="635"/>
      <c r="O130" s="635"/>
      <c r="P130" s="416"/>
      <c r="Q130" s="416"/>
      <c r="R130" s="416"/>
      <c r="S130" s="495"/>
      <c r="T130" s="657"/>
      <c r="U130" s="416"/>
      <c r="V130" s="416"/>
      <c r="W130" s="416"/>
      <c r="X130" s="495"/>
      <c r="Y130" s="657"/>
      <c r="Z130" s="416"/>
      <c r="AA130" s="416"/>
      <c r="AB130" s="416"/>
      <c r="AC130" s="495"/>
      <c r="AD130" s="657"/>
      <c r="AE130" s="416"/>
      <c r="AF130" s="416"/>
      <c r="AG130" s="416"/>
      <c r="AH130" s="495"/>
      <c r="AI130" s="657"/>
      <c r="AJ130" s="416"/>
      <c r="AK130" s="416"/>
      <c r="AL130" s="416"/>
      <c r="AM130" s="495"/>
      <c r="AN130" s="657"/>
      <c r="AO130" s="416"/>
      <c r="AP130" s="416"/>
      <c r="AQ130" s="416"/>
      <c r="AR130" s="495"/>
      <c r="AS130" s="657"/>
      <c r="AT130" s="416"/>
      <c r="AU130" s="416"/>
      <c r="AV130" s="416"/>
      <c r="AW130" s="495"/>
      <c r="AX130" s="657"/>
      <c r="AZ130" s="398" t="e">
        <f t="shared" si="30"/>
        <v>#N/A</v>
      </c>
      <c r="BA130" s="657"/>
    </row>
    <row r="131" spans="2:53">
      <c r="B131" s="643"/>
      <c r="C131" s="291">
        <v>20</v>
      </c>
      <c r="D131" s="225"/>
      <c r="E131" s="416"/>
      <c r="F131" s="409"/>
      <c r="G131" s="410"/>
      <c r="H131" s="686"/>
      <c r="I131" s="391" t="str">
        <f t="shared" si="27"/>
        <v>-</v>
      </c>
      <c r="J131" s="391" t="str">
        <f t="shared" si="28"/>
        <v>-</v>
      </c>
      <c r="K131" s="199" t="str">
        <f t="shared" si="29"/>
        <v>-</v>
      </c>
      <c r="L131" s="617"/>
      <c r="M131" s="200" t="e">
        <f>RANK(K131, K$112:$K$141)</f>
        <v>#VALUE!</v>
      </c>
      <c r="N131" s="635"/>
      <c r="O131" s="635"/>
      <c r="P131" s="416"/>
      <c r="Q131" s="416"/>
      <c r="R131" s="416"/>
      <c r="S131" s="495"/>
      <c r="T131" s="657"/>
      <c r="U131" s="416"/>
      <c r="V131" s="416"/>
      <c r="W131" s="416"/>
      <c r="X131" s="495"/>
      <c r="Y131" s="657"/>
      <c r="Z131" s="416"/>
      <c r="AA131" s="416"/>
      <c r="AB131" s="416"/>
      <c r="AC131" s="495"/>
      <c r="AD131" s="657"/>
      <c r="AE131" s="416"/>
      <c r="AF131" s="416"/>
      <c r="AG131" s="416"/>
      <c r="AH131" s="495"/>
      <c r="AI131" s="657"/>
      <c r="AJ131" s="416"/>
      <c r="AK131" s="416"/>
      <c r="AL131" s="416"/>
      <c r="AM131" s="495"/>
      <c r="AN131" s="657"/>
      <c r="AO131" s="416"/>
      <c r="AP131" s="416"/>
      <c r="AQ131" s="416"/>
      <c r="AR131" s="495"/>
      <c r="AS131" s="657"/>
      <c r="AT131" s="416"/>
      <c r="AU131" s="416"/>
      <c r="AV131" s="416"/>
      <c r="AW131" s="495"/>
      <c r="AX131" s="657"/>
      <c r="AZ131" s="398" t="e">
        <f t="shared" si="30"/>
        <v>#N/A</v>
      </c>
      <c r="BA131" s="657"/>
    </row>
    <row r="132" spans="2:53">
      <c r="B132" s="643"/>
      <c r="C132" s="291">
        <v>21</v>
      </c>
      <c r="D132" s="225"/>
      <c r="E132" s="416"/>
      <c r="F132" s="409"/>
      <c r="G132" s="410"/>
      <c r="H132" s="686"/>
      <c r="I132" s="391" t="str">
        <f t="shared" si="27"/>
        <v>-</v>
      </c>
      <c r="J132" s="391" t="str">
        <f t="shared" si="28"/>
        <v>-</v>
      </c>
      <c r="K132" s="199" t="str">
        <f t="shared" si="29"/>
        <v>-</v>
      </c>
      <c r="L132" s="617"/>
      <c r="M132" s="200" t="e">
        <f>RANK(K132, K$112:$K$141)</f>
        <v>#VALUE!</v>
      </c>
      <c r="N132" s="635"/>
      <c r="O132" s="635"/>
      <c r="P132" s="416"/>
      <c r="Q132" s="416"/>
      <c r="R132" s="416"/>
      <c r="S132" s="495"/>
      <c r="T132" s="657"/>
      <c r="U132" s="416"/>
      <c r="V132" s="416"/>
      <c r="W132" s="416"/>
      <c r="X132" s="495"/>
      <c r="Y132" s="657"/>
      <c r="Z132" s="416"/>
      <c r="AA132" s="416"/>
      <c r="AB132" s="416"/>
      <c r="AC132" s="495"/>
      <c r="AD132" s="657"/>
      <c r="AE132" s="416"/>
      <c r="AF132" s="416"/>
      <c r="AG132" s="416"/>
      <c r="AH132" s="495"/>
      <c r="AI132" s="657"/>
      <c r="AJ132" s="416"/>
      <c r="AK132" s="416"/>
      <c r="AL132" s="416"/>
      <c r="AM132" s="495"/>
      <c r="AN132" s="657"/>
      <c r="AO132" s="416"/>
      <c r="AP132" s="416"/>
      <c r="AQ132" s="416"/>
      <c r="AR132" s="495"/>
      <c r="AS132" s="657"/>
      <c r="AT132" s="416"/>
      <c r="AU132" s="416"/>
      <c r="AV132" s="416"/>
      <c r="AW132" s="495"/>
      <c r="AX132" s="657"/>
      <c r="AZ132" s="398" t="e">
        <f t="shared" si="30"/>
        <v>#N/A</v>
      </c>
      <c r="BA132" s="657"/>
    </row>
    <row r="133" spans="2:53">
      <c r="B133" s="643"/>
      <c r="C133" s="291">
        <v>22</v>
      </c>
      <c r="D133" s="225"/>
      <c r="E133" s="416"/>
      <c r="F133" s="409"/>
      <c r="G133" s="410"/>
      <c r="H133" s="686"/>
      <c r="I133" s="391" t="str">
        <f t="shared" si="27"/>
        <v>-</v>
      </c>
      <c r="J133" s="391" t="str">
        <f t="shared" si="28"/>
        <v>-</v>
      </c>
      <c r="K133" s="199" t="str">
        <f t="shared" si="29"/>
        <v>-</v>
      </c>
      <c r="L133" s="617"/>
      <c r="M133" s="200" t="e">
        <f>RANK(K133, K$112:$K$141)</f>
        <v>#VALUE!</v>
      </c>
      <c r="N133" s="635"/>
      <c r="O133" s="635"/>
      <c r="P133" s="416"/>
      <c r="Q133" s="416"/>
      <c r="R133" s="416"/>
      <c r="S133" s="495"/>
      <c r="T133" s="657"/>
      <c r="U133" s="416"/>
      <c r="V133" s="416"/>
      <c r="W133" s="416"/>
      <c r="X133" s="495"/>
      <c r="Y133" s="657"/>
      <c r="Z133" s="416"/>
      <c r="AA133" s="416"/>
      <c r="AB133" s="416"/>
      <c r="AC133" s="495"/>
      <c r="AD133" s="657"/>
      <c r="AE133" s="416"/>
      <c r="AF133" s="416"/>
      <c r="AG133" s="416"/>
      <c r="AH133" s="495"/>
      <c r="AI133" s="657"/>
      <c r="AJ133" s="416"/>
      <c r="AK133" s="416"/>
      <c r="AL133" s="416"/>
      <c r="AM133" s="495"/>
      <c r="AN133" s="657"/>
      <c r="AO133" s="416"/>
      <c r="AP133" s="416"/>
      <c r="AQ133" s="416"/>
      <c r="AR133" s="495"/>
      <c r="AS133" s="657"/>
      <c r="AT133" s="416"/>
      <c r="AU133" s="416"/>
      <c r="AV133" s="416"/>
      <c r="AW133" s="495"/>
      <c r="AX133" s="657"/>
      <c r="AZ133" s="398" t="e">
        <f t="shared" si="30"/>
        <v>#N/A</v>
      </c>
      <c r="BA133" s="657"/>
    </row>
    <row r="134" spans="2:53">
      <c r="B134" s="643"/>
      <c r="C134" s="291">
        <v>23</v>
      </c>
      <c r="D134" s="225"/>
      <c r="E134" s="416"/>
      <c r="F134" s="409"/>
      <c r="G134" s="410"/>
      <c r="H134" s="686"/>
      <c r="I134" s="391" t="str">
        <f t="shared" si="27"/>
        <v>-</v>
      </c>
      <c r="J134" s="391" t="str">
        <f t="shared" si="28"/>
        <v>-</v>
      </c>
      <c r="K134" s="199" t="str">
        <f t="shared" si="29"/>
        <v>-</v>
      </c>
      <c r="L134" s="617"/>
      <c r="M134" s="200" t="e">
        <f>RANK(K134, K$112:$K$141)</f>
        <v>#VALUE!</v>
      </c>
      <c r="N134" s="635"/>
      <c r="O134" s="635"/>
      <c r="P134" s="416"/>
      <c r="Q134" s="416"/>
      <c r="R134" s="416"/>
      <c r="S134" s="495"/>
      <c r="T134" s="657"/>
      <c r="U134" s="416"/>
      <c r="V134" s="416"/>
      <c r="W134" s="416"/>
      <c r="X134" s="495"/>
      <c r="Y134" s="657"/>
      <c r="Z134" s="416"/>
      <c r="AA134" s="416"/>
      <c r="AB134" s="416"/>
      <c r="AC134" s="495"/>
      <c r="AD134" s="657"/>
      <c r="AE134" s="416"/>
      <c r="AF134" s="416"/>
      <c r="AG134" s="416"/>
      <c r="AH134" s="495"/>
      <c r="AI134" s="657"/>
      <c r="AJ134" s="416"/>
      <c r="AK134" s="416"/>
      <c r="AL134" s="416"/>
      <c r="AM134" s="495"/>
      <c r="AN134" s="657"/>
      <c r="AO134" s="416"/>
      <c r="AP134" s="416"/>
      <c r="AQ134" s="416"/>
      <c r="AR134" s="495"/>
      <c r="AS134" s="657"/>
      <c r="AT134" s="416"/>
      <c r="AU134" s="416"/>
      <c r="AV134" s="416"/>
      <c r="AW134" s="495"/>
      <c r="AX134" s="657"/>
      <c r="AZ134" s="398" t="e">
        <f t="shared" si="30"/>
        <v>#N/A</v>
      </c>
      <c r="BA134" s="657"/>
    </row>
    <row r="135" spans="2:53">
      <c r="B135" s="643"/>
      <c r="C135" s="291">
        <v>24</v>
      </c>
      <c r="D135" s="225"/>
      <c r="E135" s="416"/>
      <c r="F135" s="409"/>
      <c r="G135" s="410"/>
      <c r="H135" s="686"/>
      <c r="I135" s="391" t="str">
        <f t="shared" si="27"/>
        <v>-</v>
      </c>
      <c r="J135" s="391" t="str">
        <f t="shared" si="28"/>
        <v>-</v>
      </c>
      <c r="K135" s="199" t="str">
        <f t="shared" si="29"/>
        <v>-</v>
      </c>
      <c r="L135" s="617"/>
      <c r="M135" s="200" t="e">
        <f>RANK(K135, K$112:$K$141)</f>
        <v>#VALUE!</v>
      </c>
      <c r="N135" s="635"/>
      <c r="O135" s="635"/>
      <c r="P135" s="495"/>
      <c r="Q135" s="416"/>
      <c r="R135" s="416"/>
      <c r="S135" s="495"/>
      <c r="T135" s="657"/>
      <c r="U135" s="495"/>
      <c r="V135" s="416"/>
      <c r="W135" s="416"/>
      <c r="X135" s="495"/>
      <c r="Y135" s="657"/>
      <c r="Z135" s="495"/>
      <c r="AA135" s="416"/>
      <c r="AB135" s="416"/>
      <c r="AC135" s="495"/>
      <c r="AD135" s="657"/>
      <c r="AE135" s="495"/>
      <c r="AF135" s="416"/>
      <c r="AG135" s="416"/>
      <c r="AH135" s="495"/>
      <c r="AI135" s="657"/>
      <c r="AJ135" s="495"/>
      <c r="AK135" s="416"/>
      <c r="AL135" s="416"/>
      <c r="AM135" s="495"/>
      <c r="AN135" s="657"/>
      <c r="AO135" s="495"/>
      <c r="AP135" s="416"/>
      <c r="AQ135" s="416"/>
      <c r="AR135" s="495"/>
      <c r="AS135" s="657"/>
      <c r="AT135" s="495"/>
      <c r="AU135" s="416"/>
      <c r="AV135" s="416"/>
      <c r="AW135" s="495"/>
      <c r="AX135" s="657"/>
      <c r="AZ135" s="398" t="e">
        <f t="shared" si="30"/>
        <v>#N/A</v>
      </c>
      <c r="BA135" s="657"/>
    </row>
    <row r="136" spans="2:53">
      <c r="B136" s="643"/>
      <c r="C136" s="291">
        <v>25</v>
      </c>
      <c r="D136" s="225"/>
      <c r="E136" s="416"/>
      <c r="F136" s="409"/>
      <c r="G136" s="410"/>
      <c r="H136" s="686"/>
      <c r="I136" s="391" t="str">
        <f t="shared" si="27"/>
        <v>-</v>
      </c>
      <c r="J136" s="391" t="str">
        <f t="shared" si="28"/>
        <v>-</v>
      </c>
      <c r="K136" s="199" t="str">
        <f t="shared" si="29"/>
        <v>-</v>
      </c>
      <c r="L136" s="617"/>
      <c r="M136" s="200" t="e">
        <f>RANK(K136, K$112:$K$141)</f>
        <v>#VALUE!</v>
      </c>
      <c r="N136" s="635"/>
      <c r="O136" s="635"/>
      <c r="P136" s="495"/>
      <c r="Q136" s="416"/>
      <c r="R136" s="416"/>
      <c r="S136" s="495"/>
      <c r="T136" s="657"/>
      <c r="U136" s="495"/>
      <c r="V136" s="416"/>
      <c r="W136" s="416"/>
      <c r="X136" s="495"/>
      <c r="Y136" s="657"/>
      <c r="Z136" s="495"/>
      <c r="AA136" s="416"/>
      <c r="AB136" s="416"/>
      <c r="AC136" s="495"/>
      <c r="AD136" s="657"/>
      <c r="AE136" s="495"/>
      <c r="AF136" s="416"/>
      <c r="AG136" s="416"/>
      <c r="AH136" s="495"/>
      <c r="AI136" s="657"/>
      <c r="AJ136" s="495"/>
      <c r="AK136" s="416"/>
      <c r="AL136" s="416"/>
      <c r="AM136" s="495"/>
      <c r="AN136" s="657"/>
      <c r="AO136" s="495"/>
      <c r="AP136" s="416"/>
      <c r="AQ136" s="416"/>
      <c r="AR136" s="495"/>
      <c r="AS136" s="657"/>
      <c r="AT136" s="495"/>
      <c r="AU136" s="416"/>
      <c r="AV136" s="416"/>
      <c r="AW136" s="495"/>
      <c r="AX136" s="657"/>
      <c r="AZ136" s="398" t="e">
        <f t="shared" si="30"/>
        <v>#N/A</v>
      </c>
      <c r="BA136" s="657"/>
    </row>
    <row r="137" spans="2:53">
      <c r="B137" s="643"/>
      <c r="C137" s="291">
        <v>26</v>
      </c>
      <c r="D137" s="225"/>
      <c r="E137" s="416"/>
      <c r="F137" s="409"/>
      <c r="G137" s="410"/>
      <c r="H137" s="686"/>
      <c r="I137" s="391" t="str">
        <f t="shared" si="27"/>
        <v>-</v>
      </c>
      <c r="J137" s="391" t="str">
        <f t="shared" si="28"/>
        <v>-</v>
      </c>
      <c r="K137" s="199" t="str">
        <f t="shared" si="29"/>
        <v>-</v>
      </c>
      <c r="L137" s="617"/>
      <c r="M137" s="200" t="e">
        <f>RANK(K137, K$112:$K$141)</f>
        <v>#VALUE!</v>
      </c>
      <c r="N137" s="635"/>
      <c r="O137" s="635"/>
      <c r="P137" s="495"/>
      <c r="Q137" s="416"/>
      <c r="R137" s="416"/>
      <c r="S137" s="495"/>
      <c r="T137" s="657"/>
      <c r="U137" s="495"/>
      <c r="V137" s="416"/>
      <c r="W137" s="416"/>
      <c r="X137" s="495"/>
      <c r="Y137" s="657"/>
      <c r="Z137" s="495"/>
      <c r="AA137" s="416"/>
      <c r="AB137" s="416"/>
      <c r="AC137" s="495"/>
      <c r="AD137" s="657"/>
      <c r="AE137" s="495"/>
      <c r="AF137" s="416"/>
      <c r="AG137" s="416"/>
      <c r="AH137" s="495"/>
      <c r="AI137" s="657"/>
      <c r="AJ137" s="495"/>
      <c r="AK137" s="416"/>
      <c r="AL137" s="416"/>
      <c r="AM137" s="495"/>
      <c r="AN137" s="657"/>
      <c r="AO137" s="495"/>
      <c r="AP137" s="416"/>
      <c r="AQ137" s="416"/>
      <c r="AR137" s="495"/>
      <c r="AS137" s="657"/>
      <c r="AT137" s="495"/>
      <c r="AU137" s="416"/>
      <c r="AV137" s="416"/>
      <c r="AW137" s="495"/>
      <c r="AX137" s="657"/>
      <c r="AZ137" s="398" t="e">
        <f t="shared" si="30"/>
        <v>#N/A</v>
      </c>
      <c r="BA137" s="657"/>
    </row>
    <row r="138" spans="2:53">
      <c r="B138" s="643"/>
      <c r="C138" s="291">
        <v>27</v>
      </c>
      <c r="D138" s="225"/>
      <c r="E138" s="416"/>
      <c r="F138" s="409"/>
      <c r="G138" s="410"/>
      <c r="H138" s="686"/>
      <c r="I138" s="391" t="str">
        <f t="shared" si="27"/>
        <v>-</v>
      </c>
      <c r="J138" s="391" t="str">
        <f t="shared" si="28"/>
        <v>-</v>
      </c>
      <c r="K138" s="199" t="str">
        <f t="shared" si="29"/>
        <v>-</v>
      </c>
      <c r="L138" s="617"/>
      <c r="M138" s="200" t="e">
        <f>RANK(K138, K$112:$K$141)</f>
        <v>#VALUE!</v>
      </c>
      <c r="N138" s="635"/>
      <c r="O138" s="635"/>
      <c r="P138" s="495"/>
      <c r="Q138" s="416"/>
      <c r="R138" s="416"/>
      <c r="S138" s="495"/>
      <c r="T138" s="657"/>
      <c r="U138" s="495"/>
      <c r="V138" s="416"/>
      <c r="W138" s="416"/>
      <c r="X138" s="495"/>
      <c r="Y138" s="657"/>
      <c r="Z138" s="495"/>
      <c r="AA138" s="416"/>
      <c r="AB138" s="416"/>
      <c r="AC138" s="495"/>
      <c r="AD138" s="657"/>
      <c r="AE138" s="495"/>
      <c r="AF138" s="416"/>
      <c r="AG138" s="416"/>
      <c r="AH138" s="495"/>
      <c r="AI138" s="657"/>
      <c r="AJ138" s="495"/>
      <c r="AK138" s="416"/>
      <c r="AL138" s="416"/>
      <c r="AM138" s="495"/>
      <c r="AN138" s="657"/>
      <c r="AO138" s="495"/>
      <c r="AP138" s="416"/>
      <c r="AQ138" s="416"/>
      <c r="AR138" s="495"/>
      <c r="AS138" s="657"/>
      <c r="AT138" s="495"/>
      <c r="AU138" s="416"/>
      <c r="AV138" s="416"/>
      <c r="AW138" s="495"/>
      <c r="AX138" s="657"/>
      <c r="AZ138" s="398" t="e">
        <f t="shared" si="30"/>
        <v>#N/A</v>
      </c>
      <c r="BA138" s="657"/>
    </row>
    <row r="139" spans="2:53">
      <c r="B139" s="643"/>
      <c r="C139" s="291">
        <v>28</v>
      </c>
      <c r="D139" s="225"/>
      <c r="E139" s="416"/>
      <c r="F139" s="409"/>
      <c r="G139" s="410"/>
      <c r="H139" s="686"/>
      <c r="I139" s="391" t="str">
        <f t="shared" si="27"/>
        <v>-</v>
      </c>
      <c r="J139" s="391" t="str">
        <f t="shared" si="28"/>
        <v>-</v>
      </c>
      <c r="K139" s="199" t="str">
        <f t="shared" si="29"/>
        <v>-</v>
      </c>
      <c r="L139" s="617"/>
      <c r="M139" s="200" t="e">
        <f>RANK(K139, K$112:$K$141)</f>
        <v>#VALUE!</v>
      </c>
      <c r="N139" s="635"/>
      <c r="O139" s="635"/>
      <c r="P139" s="495"/>
      <c r="Q139" s="496"/>
      <c r="R139" s="496"/>
      <c r="S139" s="495"/>
      <c r="T139" s="657"/>
      <c r="U139" s="495"/>
      <c r="V139" s="496"/>
      <c r="W139" s="496"/>
      <c r="X139" s="495"/>
      <c r="Y139" s="657"/>
      <c r="Z139" s="495"/>
      <c r="AA139" s="496"/>
      <c r="AB139" s="496"/>
      <c r="AC139" s="495"/>
      <c r="AD139" s="657"/>
      <c r="AE139" s="495"/>
      <c r="AF139" s="496"/>
      <c r="AG139" s="496"/>
      <c r="AH139" s="495"/>
      <c r="AI139" s="657"/>
      <c r="AJ139" s="495"/>
      <c r="AK139" s="496"/>
      <c r="AL139" s="496"/>
      <c r="AM139" s="495"/>
      <c r="AN139" s="657"/>
      <c r="AO139" s="495"/>
      <c r="AP139" s="496"/>
      <c r="AQ139" s="496"/>
      <c r="AR139" s="495"/>
      <c r="AS139" s="657"/>
      <c r="AT139" s="495"/>
      <c r="AU139" s="496"/>
      <c r="AV139" s="496"/>
      <c r="AW139" s="495"/>
      <c r="AX139" s="657"/>
      <c r="AZ139" s="398" t="e">
        <f t="shared" si="30"/>
        <v>#N/A</v>
      </c>
      <c r="BA139" s="657"/>
    </row>
    <row r="140" spans="2:53">
      <c r="B140" s="643"/>
      <c r="C140" s="291">
        <v>29</v>
      </c>
      <c r="D140" s="225"/>
      <c r="E140" s="416"/>
      <c r="F140" s="409"/>
      <c r="G140" s="410"/>
      <c r="H140" s="686"/>
      <c r="I140" s="391" t="str">
        <f t="shared" si="27"/>
        <v>-</v>
      </c>
      <c r="J140" s="391" t="str">
        <f t="shared" si="28"/>
        <v>-</v>
      </c>
      <c r="K140" s="199" t="str">
        <f t="shared" si="29"/>
        <v>-</v>
      </c>
      <c r="L140" s="617"/>
      <c r="M140" s="200" t="e">
        <f>RANK(K140, K$112:$K$141)</f>
        <v>#VALUE!</v>
      </c>
      <c r="N140" s="635"/>
      <c r="O140" s="635"/>
      <c r="P140" s="495"/>
      <c r="Q140" s="495"/>
      <c r="R140" s="495"/>
      <c r="S140" s="495"/>
      <c r="T140" s="657"/>
      <c r="U140" s="495"/>
      <c r="V140" s="495"/>
      <c r="W140" s="495"/>
      <c r="X140" s="495"/>
      <c r="Y140" s="657"/>
      <c r="Z140" s="495"/>
      <c r="AA140" s="495"/>
      <c r="AB140" s="495"/>
      <c r="AC140" s="495"/>
      <c r="AD140" s="657"/>
      <c r="AE140" s="495"/>
      <c r="AF140" s="495"/>
      <c r="AG140" s="495"/>
      <c r="AH140" s="495"/>
      <c r="AI140" s="657"/>
      <c r="AJ140" s="495"/>
      <c r="AK140" s="495"/>
      <c r="AL140" s="495"/>
      <c r="AM140" s="495"/>
      <c r="AN140" s="657"/>
      <c r="AO140" s="495"/>
      <c r="AP140" s="495"/>
      <c r="AQ140" s="495"/>
      <c r="AR140" s="495"/>
      <c r="AS140" s="657"/>
      <c r="AT140" s="495"/>
      <c r="AU140" s="495"/>
      <c r="AV140" s="495"/>
      <c r="AW140" s="495"/>
      <c r="AX140" s="657"/>
      <c r="AZ140" s="398" t="e">
        <f t="shared" si="30"/>
        <v>#N/A</v>
      </c>
      <c r="BA140" s="657"/>
    </row>
    <row r="141" spans="2:53">
      <c r="B141" s="643"/>
      <c r="C141" s="291">
        <v>30</v>
      </c>
      <c r="D141" s="225"/>
      <c r="E141" s="416"/>
      <c r="F141" s="409"/>
      <c r="G141" s="410"/>
      <c r="H141" s="687"/>
      <c r="I141" s="391" t="str">
        <f t="shared" si="27"/>
        <v>-</v>
      </c>
      <c r="J141" s="391" t="str">
        <f t="shared" si="28"/>
        <v>-</v>
      </c>
      <c r="K141" s="199" t="str">
        <f t="shared" si="29"/>
        <v>-</v>
      </c>
      <c r="L141" s="618"/>
      <c r="M141" s="200" t="e">
        <f>RANK(K141, K$112:$K$141)</f>
        <v>#VALUE!</v>
      </c>
      <c r="N141" s="635"/>
      <c r="O141" s="635"/>
      <c r="P141" s="495"/>
      <c r="Q141" s="495"/>
      <c r="R141" s="495"/>
      <c r="S141" s="495"/>
      <c r="T141" s="657"/>
      <c r="U141" s="495"/>
      <c r="V141" s="495"/>
      <c r="W141" s="495"/>
      <c r="X141" s="495"/>
      <c r="Y141" s="657"/>
      <c r="Z141" s="495"/>
      <c r="AA141" s="495"/>
      <c r="AB141" s="495"/>
      <c r="AC141" s="495"/>
      <c r="AD141" s="657"/>
      <c r="AE141" s="495"/>
      <c r="AF141" s="495"/>
      <c r="AG141" s="495"/>
      <c r="AH141" s="495"/>
      <c r="AI141" s="657"/>
      <c r="AJ141" s="495"/>
      <c r="AK141" s="495"/>
      <c r="AL141" s="495"/>
      <c r="AM141" s="495"/>
      <c r="AN141" s="657"/>
      <c r="AO141" s="495"/>
      <c r="AP141" s="495"/>
      <c r="AQ141" s="495"/>
      <c r="AR141" s="495"/>
      <c r="AS141" s="657"/>
      <c r="AT141" s="495"/>
      <c r="AU141" s="495"/>
      <c r="AV141" s="495"/>
      <c r="AW141" s="495"/>
      <c r="AX141" s="657"/>
      <c r="AZ141" s="398" t="e">
        <f t="shared" si="30"/>
        <v>#N/A</v>
      </c>
      <c r="BA141" s="657"/>
    </row>
    <row r="142" spans="2:53" ht="15.75">
      <c r="B142" s="647" t="s">
        <v>163</v>
      </c>
      <c r="C142" s="648"/>
      <c r="D142" s="648"/>
      <c r="E142" s="648"/>
      <c r="F142" s="648"/>
      <c r="G142" s="648"/>
      <c r="H142" s="649"/>
      <c r="I142" s="207"/>
      <c r="J142" s="207"/>
      <c r="K142" s="207"/>
      <c r="L142" s="207"/>
      <c r="M142" s="206"/>
      <c r="N142" s="636" t="s">
        <v>156</v>
      </c>
      <c r="O142" s="636" t="s">
        <v>105</v>
      </c>
      <c r="P142" s="642">
        <f>P107+7</f>
        <v>46196</v>
      </c>
      <c r="Q142" s="643"/>
      <c r="R142" s="643"/>
      <c r="S142" s="643"/>
      <c r="T142" s="643"/>
      <c r="U142" s="639">
        <f>P142+1</f>
        <v>46197</v>
      </c>
      <c r="V142" s="640"/>
      <c r="W142" s="640"/>
      <c r="X142" s="640"/>
      <c r="Y142" s="641"/>
      <c r="Z142" s="639">
        <f>U142+1</f>
        <v>46198</v>
      </c>
      <c r="AA142" s="640"/>
      <c r="AB142" s="640"/>
      <c r="AC142" s="640"/>
      <c r="AD142" s="641"/>
      <c r="AE142" s="639">
        <f>Z142+1</f>
        <v>46199</v>
      </c>
      <c r="AF142" s="640"/>
      <c r="AG142" s="640"/>
      <c r="AH142" s="640"/>
      <c r="AI142" s="641"/>
      <c r="AJ142" s="639">
        <f>AE142+1</f>
        <v>46200</v>
      </c>
      <c r="AK142" s="640"/>
      <c r="AL142" s="640"/>
      <c r="AM142" s="640"/>
      <c r="AN142" s="641"/>
      <c r="AO142" s="639">
        <f>AJ142+1</f>
        <v>46201</v>
      </c>
      <c r="AP142" s="640"/>
      <c r="AQ142" s="640"/>
      <c r="AR142" s="640"/>
      <c r="AS142" s="641"/>
      <c r="AT142" s="639">
        <f>AO142+1</f>
        <v>46202</v>
      </c>
      <c r="AU142" s="640"/>
      <c r="AV142" s="640"/>
      <c r="AW142" s="640"/>
      <c r="AX142" s="641"/>
    </row>
    <row r="143" spans="2:53" ht="15.75">
      <c r="B143" s="650"/>
      <c r="C143" s="650"/>
      <c r="D143" s="650"/>
      <c r="E143" s="650"/>
      <c r="F143" s="650"/>
      <c r="G143" s="650"/>
      <c r="H143" s="650"/>
      <c r="I143" s="204"/>
      <c r="J143" s="204"/>
      <c r="K143" s="204"/>
      <c r="L143" s="204"/>
      <c r="M143" s="205"/>
      <c r="N143" s="638"/>
      <c r="O143" s="638"/>
      <c r="P143" s="642" t="s">
        <v>318</v>
      </c>
      <c r="Q143" s="643"/>
      <c r="R143" s="643"/>
      <c r="S143" s="643"/>
      <c r="T143" s="643"/>
      <c r="U143" s="642" t="s">
        <v>319</v>
      </c>
      <c r="V143" s="643"/>
      <c r="W143" s="643"/>
      <c r="X143" s="643"/>
      <c r="Y143" s="643"/>
      <c r="Z143" s="642" t="s">
        <v>320</v>
      </c>
      <c r="AA143" s="643"/>
      <c r="AB143" s="643"/>
      <c r="AC143" s="643"/>
      <c r="AD143" s="643"/>
      <c r="AE143" s="642" t="s">
        <v>321</v>
      </c>
      <c r="AF143" s="643"/>
      <c r="AG143" s="643"/>
      <c r="AH143" s="643"/>
      <c r="AI143" s="643"/>
      <c r="AJ143" s="642" t="s">
        <v>322</v>
      </c>
      <c r="AK143" s="643"/>
      <c r="AL143" s="643"/>
      <c r="AM143" s="643"/>
      <c r="AN143" s="643"/>
      <c r="AO143" s="642" t="s">
        <v>323</v>
      </c>
      <c r="AP143" s="643"/>
      <c r="AQ143" s="643"/>
      <c r="AR143" s="643"/>
      <c r="AS143" s="643"/>
      <c r="AT143" s="642" t="s">
        <v>324</v>
      </c>
      <c r="AU143" s="643"/>
      <c r="AV143" s="643"/>
      <c r="AW143" s="643"/>
      <c r="AX143" s="643"/>
    </row>
    <row r="144" spans="2:53">
      <c r="B144" s="635" t="s">
        <v>417</v>
      </c>
      <c r="C144" s="635" t="s">
        <v>418</v>
      </c>
      <c r="D144" s="635"/>
      <c r="E144" s="635" t="s">
        <v>419</v>
      </c>
      <c r="F144" s="635"/>
      <c r="G144" s="635"/>
      <c r="H144" s="651" t="s">
        <v>420</v>
      </c>
      <c r="I144" s="619" t="s">
        <v>421</v>
      </c>
      <c r="J144" s="619"/>
      <c r="K144" s="619"/>
      <c r="L144" s="620" t="s">
        <v>420</v>
      </c>
      <c r="M144" s="626" t="s">
        <v>422</v>
      </c>
      <c r="N144" s="635"/>
      <c r="O144" s="635" t="s">
        <v>423</v>
      </c>
      <c r="P144" s="632" t="s">
        <v>424</v>
      </c>
      <c r="Q144" s="633"/>
      <c r="R144" s="633"/>
      <c r="S144" s="634"/>
      <c r="T144" s="635" t="s">
        <v>420</v>
      </c>
      <c r="U144" s="632" t="s">
        <v>424</v>
      </c>
      <c r="V144" s="633"/>
      <c r="W144" s="633"/>
      <c r="X144" s="634"/>
      <c r="Y144" s="635" t="s">
        <v>420</v>
      </c>
      <c r="Z144" s="632" t="s">
        <v>424</v>
      </c>
      <c r="AA144" s="633"/>
      <c r="AB144" s="633"/>
      <c r="AC144" s="634"/>
      <c r="AD144" s="635" t="s">
        <v>420</v>
      </c>
      <c r="AE144" s="632" t="s">
        <v>424</v>
      </c>
      <c r="AF144" s="633"/>
      <c r="AG144" s="633"/>
      <c r="AH144" s="634"/>
      <c r="AI144" s="635" t="s">
        <v>420</v>
      </c>
      <c r="AJ144" s="632" t="s">
        <v>424</v>
      </c>
      <c r="AK144" s="633"/>
      <c r="AL144" s="633"/>
      <c r="AM144" s="634"/>
      <c r="AN144" s="635" t="s">
        <v>420</v>
      </c>
      <c r="AO144" s="632" t="s">
        <v>424</v>
      </c>
      <c r="AP144" s="633"/>
      <c r="AQ144" s="633"/>
      <c r="AR144" s="634"/>
      <c r="AS144" s="635" t="s">
        <v>420</v>
      </c>
      <c r="AT144" s="632" t="s">
        <v>424</v>
      </c>
      <c r="AU144" s="633"/>
      <c r="AV144" s="633"/>
      <c r="AW144" s="634"/>
      <c r="AX144" s="635" t="s">
        <v>420</v>
      </c>
      <c r="BA144" s="635" t="s">
        <v>371</v>
      </c>
    </row>
    <row r="145" spans="2:53">
      <c r="B145" s="635"/>
      <c r="C145" s="635"/>
      <c r="D145" s="635"/>
      <c r="E145" s="635" t="s">
        <v>425</v>
      </c>
      <c r="F145" s="635"/>
      <c r="G145" s="635"/>
      <c r="H145" s="652"/>
      <c r="I145" s="619" t="s">
        <v>425</v>
      </c>
      <c r="J145" s="619"/>
      <c r="K145" s="619"/>
      <c r="L145" s="621"/>
      <c r="M145" s="627"/>
      <c r="N145" s="635"/>
      <c r="O145" s="635"/>
      <c r="P145" s="632" t="s">
        <v>426</v>
      </c>
      <c r="Q145" s="633"/>
      <c r="R145" s="633"/>
      <c r="S145" s="634"/>
      <c r="T145" s="635"/>
      <c r="U145" s="632" t="s">
        <v>426</v>
      </c>
      <c r="V145" s="633"/>
      <c r="W145" s="633"/>
      <c r="X145" s="634"/>
      <c r="Y145" s="635"/>
      <c r="Z145" s="632" t="s">
        <v>426</v>
      </c>
      <c r="AA145" s="633"/>
      <c r="AB145" s="633"/>
      <c r="AC145" s="634"/>
      <c r="AD145" s="635"/>
      <c r="AE145" s="632" t="s">
        <v>426</v>
      </c>
      <c r="AF145" s="633"/>
      <c r="AG145" s="633"/>
      <c r="AH145" s="634"/>
      <c r="AI145" s="635"/>
      <c r="AJ145" s="632" t="s">
        <v>426</v>
      </c>
      <c r="AK145" s="633"/>
      <c r="AL145" s="633"/>
      <c r="AM145" s="634"/>
      <c r="AN145" s="635"/>
      <c r="AO145" s="632" t="s">
        <v>426</v>
      </c>
      <c r="AP145" s="633"/>
      <c r="AQ145" s="633"/>
      <c r="AR145" s="634"/>
      <c r="AS145" s="635"/>
      <c r="AT145" s="632" t="s">
        <v>426</v>
      </c>
      <c r="AU145" s="633"/>
      <c r="AV145" s="633"/>
      <c r="AW145" s="634"/>
      <c r="AX145" s="635"/>
      <c r="BA145" s="635"/>
    </row>
    <row r="146" spans="2:53">
      <c r="B146" s="635"/>
      <c r="C146" s="635"/>
      <c r="D146" s="635"/>
      <c r="E146" s="287" t="s">
        <v>427</v>
      </c>
      <c r="F146" s="287" t="s">
        <v>428</v>
      </c>
      <c r="G146" s="287" t="s">
        <v>429</v>
      </c>
      <c r="H146" s="653"/>
      <c r="I146" s="288" t="s">
        <v>427</v>
      </c>
      <c r="J146" s="288" t="s">
        <v>428</v>
      </c>
      <c r="K146" s="288" t="s">
        <v>429</v>
      </c>
      <c r="L146" s="622"/>
      <c r="M146" s="628"/>
      <c r="N146" s="635"/>
      <c r="O146" s="635"/>
      <c r="P146" s="287" t="s">
        <v>427</v>
      </c>
      <c r="Q146" s="287" t="s">
        <v>428</v>
      </c>
      <c r="R146" s="287" t="s">
        <v>429</v>
      </c>
      <c r="S146" s="287" t="s">
        <v>422</v>
      </c>
      <c r="T146" s="635"/>
      <c r="U146" s="287" t="s">
        <v>427</v>
      </c>
      <c r="V146" s="287" t="s">
        <v>428</v>
      </c>
      <c r="W146" s="287" t="s">
        <v>429</v>
      </c>
      <c r="X146" s="287" t="s">
        <v>422</v>
      </c>
      <c r="Y146" s="635"/>
      <c r="Z146" s="287" t="s">
        <v>427</v>
      </c>
      <c r="AA146" s="287" t="s">
        <v>428</v>
      </c>
      <c r="AB146" s="287" t="s">
        <v>429</v>
      </c>
      <c r="AC146" s="287" t="s">
        <v>422</v>
      </c>
      <c r="AD146" s="635"/>
      <c r="AE146" s="287" t="s">
        <v>427</v>
      </c>
      <c r="AF146" s="287" t="s">
        <v>428</v>
      </c>
      <c r="AG146" s="287" t="s">
        <v>429</v>
      </c>
      <c r="AH146" s="287" t="s">
        <v>422</v>
      </c>
      <c r="AI146" s="635"/>
      <c r="AJ146" s="287" t="s">
        <v>427</v>
      </c>
      <c r="AK146" s="287" t="s">
        <v>428</v>
      </c>
      <c r="AL146" s="287" t="s">
        <v>429</v>
      </c>
      <c r="AM146" s="287" t="s">
        <v>422</v>
      </c>
      <c r="AN146" s="635"/>
      <c r="AO146" s="287" t="s">
        <v>427</v>
      </c>
      <c r="AP146" s="287" t="s">
        <v>428</v>
      </c>
      <c r="AQ146" s="287" t="s">
        <v>429</v>
      </c>
      <c r="AR146" s="287" t="s">
        <v>422</v>
      </c>
      <c r="AS146" s="635"/>
      <c r="AT146" s="287" t="s">
        <v>427</v>
      </c>
      <c r="AU146" s="287" t="s">
        <v>428</v>
      </c>
      <c r="AV146" s="287" t="s">
        <v>429</v>
      </c>
      <c r="AW146" s="287" t="s">
        <v>422</v>
      </c>
      <c r="AX146" s="635"/>
      <c r="AZ146" s="397" t="s">
        <v>372</v>
      </c>
      <c r="BA146" s="635"/>
    </row>
    <row r="147" spans="2:53">
      <c r="B147" s="635" t="s">
        <v>430</v>
      </c>
      <c r="C147" s="286">
        <v>1</v>
      </c>
      <c r="D147" s="225" t="s">
        <v>344</v>
      </c>
      <c r="E147" s="416">
        <v>6</v>
      </c>
      <c r="F147" s="409">
        <v>1500</v>
      </c>
      <c r="G147" s="410">
        <v>250</v>
      </c>
      <c r="H147" s="685">
        <f>AVERAGE(G147:G176)</f>
        <v>250</v>
      </c>
      <c r="I147" s="391" t="str">
        <f>IFERROR(AVERAGE(P147,U147,Z147,AE147,AJ147,AO147,AT147),"-")</f>
        <v>-</v>
      </c>
      <c r="J147" s="391" t="str">
        <f>IFERROR(AVERAGE(Q147,V147,AA147,AF147,AK147,AP147,AU147),"-")</f>
        <v>-</v>
      </c>
      <c r="K147" s="199" t="str">
        <f>IFERROR(AVERAGE(R147,W147,AB147,AG147,AL147,AQ147,AV147),"-")</f>
        <v>-</v>
      </c>
      <c r="L147" s="616" t="str">
        <f>IFERROR(AVERAGE(K147:K176),"-")</f>
        <v>-</v>
      </c>
      <c r="M147" s="200" t="e">
        <f>RANK(K147, K$147:$K$176)</f>
        <v>#VALUE!</v>
      </c>
      <c r="N147" s="635"/>
      <c r="O147" s="635"/>
      <c r="P147" s="490"/>
      <c r="Q147" s="416"/>
      <c r="R147" s="416"/>
      <c r="S147" s="490"/>
      <c r="T147" s="657"/>
      <c r="U147" s="490"/>
      <c r="V147" s="416"/>
      <c r="W147" s="416"/>
      <c r="X147" s="490"/>
      <c r="Y147" s="657"/>
      <c r="Z147" s="490"/>
      <c r="AA147" s="416"/>
      <c r="AB147" s="416"/>
      <c r="AC147" s="490"/>
      <c r="AD147" s="657"/>
      <c r="AE147" s="490"/>
      <c r="AF147" s="416"/>
      <c r="AG147" s="416"/>
      <c r="AH147" s="490"/>
      <c r="AI147" s="657"/>
      <c r="AJ147" s="490"/>
      <c r="AK147" s="416"/>
      <c r="AL147" s="416"/>
      <c r="AM147" s="490"/>
      <c r="AN147" s="657"/>
      <c r="AO147" s="490"/>
      <c r="AP147" s="416"/>
      <c r="AQ147" s="416"/>
      <c r="AR147" s="490"/>
      <c r="AS147" s="657"/>
      <c r="AT147" s="490"/>
      <c r="AU147" s="416"/>
      <c r="AV147" s="416"/>
      <c r="AW147" s="490"/>
      <c r="AX147" s="657"/>
      <c r="AZ147" s="398" t="e">
        <f>RANK(AY147, AY$147:AY$176)</f>
        <v>#N/A</v>
      </c>
      <c r="BA147" s="657" t="e">
        <f>AVERAGE(AY147:AY176)</f>
        <v>#DIV/0!</v>
      </c>
    </row>
    <row r="148" spans="2:53">
      <c r="B148" s="643"/>
      <c r="C148" s="286">
        <v>2</v>
      </c>
      <c r="D148" s="225"/>
      <c r="E148" s="416"/>
      <c r="F148" s="409"/>
      <c r="G148" s="410"/>
      <c r="H148" s="686"/>
      <c r="I148" s="391" t="str">
        <f t="shared" ref="I148:I176" si="31">IFERROR(AVERAGE(P148,U148,Z148,AE148,AJ148,AO148,AT148),"-")</f>
        <v>-</v>
      </c>
      <c r="J148" s="391" t="str">
        <f t="shared" ref="J148:J176" si="32">IFERROR(AVERAGE(Q148,V148,AA148,AF148,AK148,AP148,AU148),"-")</f>
        <v>-</v>
      </c>
      <c r="K148" s="199" t="str">
        <f t="shared" ref="K148:K176" si="33">IFERROR(AVERAGE(R148,W148,AB148,AG148,AL148,AQ148,AV148),"-")</f>
        <v>-</v>
      </c>
      <c r="L148" s="617"/>
      <c r="M148" s="200" t="e">
        <f>RANK(K148, K$147:$K$176)</f>
        <v>#VALUE!</v>
      </c>
      <c r="N148" s="635"/>
      <c r="O148" s="635"/>
      <c r="P148" s="490"/>
      <c r="Q148" s="416"/>
      <c r="R148" s="416"/>
      <c r="S148" s="490"/>
      <c r="T148" s="657"/>
      <c r="U148" s="490"/>
      <c r="V148" s="416"/>
      <c r="W148" s="416"/>
      <c r="X148" s="490"/>
      <c r="Y148" s="657"/>
      <c r="Z148" s="490"/>
      <c r="AA148" s="416"/>
      <c r="AB148" s="416"/>
      <c r="AC148" s="490"/>
      <c r="AD148" s="657"/>
      <c r="AE148" s="490"/>
      <c r="AF148" s="416"/>
      <c r="AG148" s="416"/>
      <c r="AH148" s="490"/>
      <c r="AI148" s="657"/>
      <c r="AJ148" s="490"/>
      <c r="AK148" s="416"/>
      <c r="AL148" s="416"/>
      <c r="AM148" s="490"/>
      <c r="AN148" s="657"/>
      <c r="AO148" s="490"/>
      <c r="AP148" s="416"/>
      <c r="AQ148" s="416"/>
      <c r="AR148" s="490"/>
      <c r="AS148" s="657"/>
      <c r="AT148" s="490"/>
      <c r="AU148" s="416"/>
      <c r="AV148" s="416"/>
      <c r="AW148" s="490"/>
      <c r="AX148" s="657"/>
      <c r="AZ148" s="398" t="e">
        <f t="shared" ref="AZ148:AZ176" si="34">RANK(AY148, AY$147:AY$176)</f>
        <v>#N/A</v>
      </c>
      <c r="BA148" s="657"/>
    </row>
    <row r="149" spans="2:53">
      <c r="B149" s="643"/>
      <c r="C149" s="286">
        <v>3</v>
      </c>
      <c r="D149" s="225"/>
      <c r="E149" s="416"/>
      <c r="F149" s="409"/>
      <c r="G149" s="410"/>
      <c r="H149" s="686"/>
      <c r="I149" s="391" t="str">
        <f t="shared" si="31"/>
        <v>-</v>
      </c>
      <c r="J149" s="391" t="str">
        <f t="shared" si="32"/>
        <v>-</v>
      </c>
      <c r="K149" s="199" t="str">
        <f t="shared" si="33"/>
        <v>-</v>
      </c>
      <c r="L149" s="617"/>
      <c r="M149" s="200" t="e">
        <f>RANK(K149, K$147:$K$176)</f>
        <v>#VALUE!</v>
      </c>
      <c r="N149" s="635"/>
      <c r="O149" s="635"/>
      <c r="P149" s="490"/>
      <c r="Q149" s="416"/>
      <c r="R149" s="416"/>
      <c r="S149" s="490"/>
      <c r="T149" s="657"/>
      <c r="U149" s="490"/>
      <c r="V149" s="416"/>
      <c r="W149" s="416"/>
      <c r="X149" s="490"/>
      <c r="Y149" s="657"/>
      <c r="Z149" s="490"/>
      <c r="AA149" s="416"/>
      <c r="AB149" s="416"/>
      <c r="AC149" s="490"/>
      <c r="AD149" s="657"/>
      <c r="AE149" s="490"/>
      <c r="AF149" s="416"/>
      <c r="AG149" s="416"/>
      <c r="AH149" s="490"/>
      <c r="AI149" s="657"/>
      <c r="AJ149" s="490"/>
      <c r="AK149" s="416"/>
      <c r="AL149" s="416"/>
      <c r="AM149" s="490"/>
      <c r="AN149" s="657"/>
      <c r="AO149" s="490"/>
      <c r="AP149" s="416"/>
      <c r="AQ149" s="416"/>
      <c r="AR149" s="490"/>
      <c r="AS149" s="657"/>
      <c r="AT149" s="490"/>
      <c r="AU149" s="416"/>
      <c r="AV149" s="416"/>
      <c r="AW149" s="490"/>
      <c r="AX149" s="657"/>
      <c r="AZ149" s="398" t="e">
        <f t="shared" si="34"/>
        <v>#N/A</v>
      </c>
      <c r="BA149" s="657"/>
    </row>
    <row r="150" spans="2:53">
      <c r="B150" s="643"/>
      <c r="C150" s="286">
        <v>4</v>
      </c>
      <c r="D150" s="225"/>
      <c r="E150" s="416"/>
      <c r="F150" s="409"/>
      <c r="G150" s="410"/>
      <c r="H150" s="686"/>
      <c r="I150" s="391" t="str">
        <f t="shared" si="31"/>
        <v>-</v>
      </c>
      <c r="J150" s="391" t="str">
        <f t="shared" si="32"/>
        <v>-</v>
      </c>
      <c r="K150" s="199" t="str">
        <f t="shared" si="33"/>
        <v>-</v>
      </c>
      <c r="L150" s="617"/>
      <c r="M150" s="200" t="e">
        <f>RANK(K150, K$147:$K$176)</f>
        <v>#VALUE!</v>
      </c>
      <c r="N150" s="635"/>
      <c r="O150" s="635"/>
      <c r="P150" s="490"/>
      <c r="Q150" s="416"/>
      <c r="R150" s="416"/>
      <c r="S150" s="490"/>
      <c r="T150" s="657"/>
      <c r="U150" s="490"/>
      <c r="V150" s="416"/>
      <c r="W150" s="416"/>
      <c r="X150" s="490"/>
      <c r="Y150" s="657"/>
      <c r="Z150" s="490"/>
      <c r="AA150" s="416"/>
      <c r="AB150" s="416"/>
      <c r="AC150" s="490"/>
      <c r="AD150" s="657"/>
      <c r="AE150" s="490"/>
      <c r="AF150" s="416"/>
      <c r="AG150" s="416"/>
      <c r="AH150" s="490"/>
      <c r="AI150" s="657"/>
      <c r="AJ150" s="490"/>
      <c r="AK150" s="416"/>
      <c r="AL150" s="416"/>
      <c r="AM150" s="490"/>
      <c r="AN150" s="657"/>
      <c r="AO150" s="490"/>
      <c r="AP150" s="416"/>
      <c r="AQ150" s="416"/>
      <c r="AR150" s="490"/>
      <c r="AS150" s="657"/>
      <c r="AT150" s="490"/>
      <c r="AU150" s="416"/>
      <c r="AV150" s="416"/>
      <c r="AW150" s="490"/>
      <c r="AX150" s="657"/>
      <c r="AZ150" s="398" t="e">
        <f t="shared" si="34"/>
        <v>#N/A</v>
      </c>
      <c r="BA150" s="657"/>
    </row>
    <row r="151" spans="2:53">
      <c r="B151" s="643"/>
      <c r="C151" s="286">
        <v>5</v>
      </c>
      <c r="D151" s="225"/>
      <c r="E151" s="416"/>
      <c r="F151" s="409"/>
      <c r="G151" s="410"/>
      <c r="H151" s="686"/>
      <c r="I151" s="391" t="str">
        <f t="shared" si="31"/>
        <v>-</v>
      </c>
      <c r="J151" s="391" t="str">
        <f t="shared" si="32"/>
        <v>-</v>
      </c>
      <c r="K151" s="199" t="str">
        <f t="shared" si="33"/>
        <v>-</v>
      </c>
      <c r="L151" s="617"/>
      <c r="M151" s="200" t="e">
        <f>RANK(K151, K$147:$K$176)</f>
        <v>#VALUE!</v>
      </c>
      <c r="N151" s="635"/>
      <c r="O151" s="635"/>
      <c r="P151" s="490"/>
      <c r="Q151" s="416"/>
      <c r="R151" s="416"/>
      <c r="S151" s="490"/>
      <c r="T151" s="657"/>
      <c r="U151" s="490"/>
      <c r="V151" s="416"/>
      <c r="W151" s="416"/>
      <c r="X151" s="490"/>
      <c r="Y151" s="657"/>
      <c r="Z151" s="490"/>
      <c r="AA151" s="416"/>
      <c r="AB151" s="416"/>
      <c r="AC151" s="490"/>
      <c r="AD151" s="657"/>
      <c r="AE151" s="490"/>
      <c r="AF151" s="416"/>
      <c r="AG151" s="416"/>
      <c r="AH151" s="490"/>
      <c r="AI151" s="657"/>
      <c r="AJ151" s="490"/>
      <c r="AK151" s="416"/>
      <c r="AL151" s="416"/>
      <c r="AM151" s="490"/>
      <c r="AN151" s="657"/>
      <c r="AO151" s="490"/>
      <c r="AP151" s="416"/>
      <c r="AQ151" s="416"/>
      <c r="AR151" s="490"/>
      <c r="AS151" s="657"/>
      <c r="AT151" s="490"/>
      <c r="AU151" s="416"/>
      <c r="AV151" s="416"/>
      <c r="AW151" s="490"/>
      <c r="AX151" s="657"/>
      <c r="AZ151" s="398" t="e">
        <f t="shared" si="34"/>
        <v>#N/A</v>
      </c>
      <c r="BA151" s="657"/>
    </row>
    <row r="152" spans="2:53">
      <c r="B152" s="643"/>
      <c r="C152" s="286">
        <v>6</v>
      </c>
      <c r="D152" s="225"/>
      <c r="E152" s="416"/>
      <c r="F152" s="409"/>
      <c r="G152" s="410"/>
      <c r="H152" s="686"/>
      <c r="I152" s="391" t="str">
        <f t="shared" si="31"/>
        <v>-</v>
      </c>
      <c r="J152" s="391" t="str">
        <f t="shared" si="32"/>
        <v>-</v>
      </c>
      <c r="K152" s="199" t="str">
        <f t="shared" si="33"/>
        <v>-</v>
      </c>
      <c r="L152" s="617"/>
      <c r="M152" s="200" t="e">
        <f>RANK(K152, K$147:$K$176)</f>
        <v>#VALUE!</v>
      </c>
      <c r="N152" s="635"/>
      <c r="O152" s="635"/>
      <c r="P152" s="490"/>
      <c r="Q152" s="416"/>
      <c r="R152" s="416"/>
      <c r="S152" s="490"/>
      <c r="T152" s="657"/>
      <c r="U152" s="490"/>
      <c r="V152" s="416"/>
      <c r="W152" s="416"/>
      <c r="X152" s="490"/>
      <c r="Y152" s="657"/>
      <c r="Z152" s="490"/>
      <c r="AA152" s="416"/>
      <c r="AB152" s="416"/>
      <c r="AC152" s="490"/>
      <c r="AD152" s="657"/>
      <c r="AE152" s="490"/>
      <c r="AF152" s="416"/>
      <c r="AG152" s="416"/>
      <c r="AH152" s="490"/>
      <c r="AI152" s="657"/>
      <c r="AJ152" s="490"/>
      <c r="AK152" s="416"/>
      <c r="AL152" s="416"/>
      <c r="AM152" s="490"/>
      <c r="AN152" s="657"/>
      <c r="AO152" s="490"/>
      <c r="AP152" s="416"/>
      <c r="AQ152" s="416"/>
      <c r="AR152" s="490"/>
      <c r="AS152" s="657"/>
      <c r="AT152" s="490"/>
      <c r="AU152" s="416"/>
      <c r="AV152" s="416"/>
      <c r="AW152" s="490"/>
      <c r="AX152" s="657"/>
      <c r="AZ152" s="398" t="e">
        <f t="shared" si="34"/>
        <v>#N/A</v>
      </c>
      <c r="BA152" s="657"/>
    </row>
    <row r="153" spans="2:53">
      <c r="B153" s="643"/>
      <c r="C153" s="286">
        <v>7</v>
      </c>
      <c r="D153" s="225"/>
      <c r="E153" s="416"/>
      <c r="F153" s="409"/>
      <c r="G153" s="410"/>
      <c r="H153" s="686"/>
      <c r="I153" s="391" t="str">
        <f t="shared" si="31"/>
        <v>-</v>
      </c>
      <c r="J153" s="391" t="str">
        <f t="shared" si="32"/>
        <v>-</v>
      </c>
      <c r="K153" s="199" t="str">
        <f t="shared" si="33"/>
        <v>-</v>
      </c>
      <c r="L153" s="617"/>
      <c r="M153" s="200" t="e">
        <f>RANK(K153, K$147:$K$176)</f>
        <v>#VALUE!</v>
      </c>
      <c r="N153" s="635"/>
      <c r="O153" s="635"/>
      <c r="P153" s="490"/>
      <c r="Q153" s="416"/>
      <c r="R153" s="416"/>
      <c r="S153" s="490"/>
      <c r="T153" s="657"/>
      <c r="U153" s="490"/>
      <c r="V153" s="416"/>
      <c r="W153" s="416"/>
      <c r="X153" s="490"/>
      <c r="Y153" s="657"/>
      <c r="Z153" s="490"/>
      <c r="AA153" s="416"/>
      <c r="AB153" s="416"/>
      <c r="AC153" s="490"/>
      <c r="AD153" s="657"/>
      <c r="AE153" s="490"/>
      <c r="AF153" s="416"/>
      <c r="AG153" s="416"/>
      <c r="AH153" s="490"/>
      <c r="AI153" s="657"/>
      <c r="AJ153" s="490"/>
      <c r="AK153" s="416"/>
      <c r="AL153" s="416"/>
      <c r="AM153" s="490"/>
      <c r="AN153" s="657"/>
      <c r="AO153" s="490"/>
      <c r="AP153" s="416"/>
      <c r="AQ153" s="416"/>
      <c r="AR153" s="490"/>
      <c r="AS153" s="657"/>
      <c r="AT153" s="490"/>
      <c r="AU153" s="416"/>
      <c r="AV153" s="416"/>
      <c r="AW153" s="490"/>
      <c r="AX153" s="657"/>
      <c r="AZ153" s="398" t="e">
        <f t="shared" si="34"/>
        <v>#N/A</v>
      </c>
      <c r="BA153" s="657"/>
    </row>
    <row r="154" spans="2:53">
      <c r="B154" s="643"/>
      <c r="C154" s="286">
        <v>8</v>
      </c>
      <c r="D154" s="225"/>
      <c r="E154" s="416"/>
      <c r="F154" s="409"/>
      <c r="G154" s="410"/>
      <c r="H154" s="686"/>
      <c r="I154" s="391" t="str">
        <f t="shared" si="31"/>
        <v>-</v>
      </c>
      <c r="J154" s="391" t="str">
        <f t="shared" si="32"/>
        <v>-</v>
      </c>
      <c r="K154" s="199" t="str">
        <f t="shared" si="33"/>
        <v>-</v>
      </c>
      <c r="L154" s="617"/>
      <c r="M154" s="200" t="e">
        <f>RANK(K154, K$147:$K$176)</f>
        <v>#VALUE!</v>
      </c>
      <c r="N154" s="635"/>
      <c r="O154" s="635"/>
      <c r="P154" s="490"/>
      <c r="Q154" s="416"/>
      <c r="R154" s="416"/>
      <c r="S154" s="490"/>
      <c r="T154" s="657"/>
      <c r="U154" s="490"/>
      <c r="V154" s="416"/>
      <c r="W154" s="416"/>
      <c r="X154" s="490"/>
      <c r="Y154" s="657"/>
      <c r="Z154" s="490"/>
      <c r="AA154" s="416"/>
      <c r="AB154" s="416"/>
      <c r="AC154" s="490"/>
      <c r="AD154" s="657"/>
      <c r="AE154" s="490"/>
      <c r="AF154" s="416"/>
      <c r="AG154" s="416"/>
      <c r="AH154" s="490"/>
      <c r="AI154" s="657"/>
      <c r="AJ154" s="490"/>
      <c r="AK154" s="416"/>
      <c r="AL154" s="416"/>
      <c r="AM154" s="490"/>
      <c r="AN154" s="657"/>
      <c r="AO154" s="490"/>
      <c r="AP154" s="416"/>
      <c r="AQ154" s="416"/>
      <c r="AR154" s="490"/>
      <c r="AS154" s="657"/>
      <c r="AT154" s="490"/>
      <c r="AU154" s="416"/>
      <c r="AV154" s="416"/>
      <c r="AW154" s="490"/>
      <c r="AX154" s="657"/>
      <c r="AZ154" s="398" t="e">
        <f t="shared" si="34"/>
        <v>#N/A</v>
      </c>
      <c r="BA154" s="657"/>
    </row>
    <row r="155" spans="2:53">
      <c r="B155" s="643"/>
      <c r="C155" s="286">
        <v>9</v>
      </c>
      <c r="D155" s="225"/>
      <c r="E155" s="416"/>
      <c r="F155" s="409"/>
      <c r="G155" s="410"/>
      <c r="H155" s="686"/>
      <c r="I155" s="391" t="str">
        <f t="shared" si="31"/>
        <v>-</v>
      </c>
      <c r="J155" s="391" t="str">
        <f t="shared" si="32"/>
        <v>-</v>
      </c>
      <c r="K155" s="199" t="str">
        <f t="shared" si="33"/>
        <v>-</v>
      </c>
      <c r="L155" s="617"/>
      <c r="M155" s="200" t="e">
        <f>RANK(K155, K$147:$K$176)</f>
        <v>#VALUE!</v>
      </c>
      <c r="N155" s="635"/>
      <c r="O155" s="635"/>
      <c r="P155" s="490"/>
      <c r="Q155" s="416"/>
      <c r="R155" s="416"/>
      <c r="S155" s="490"/>
      <c r="T155" s="657"/>
      <c r="U155" s="490"/>
      <c r="V155" s="416"/>
      <c r="W155" s="416"/>
      <c r="X155" s="490"/>
      <c r="Y155" s="657"/>
      <c r="Z155" s="490"/>
      <c r="AA155" s="416"/>
      <c r="AB155" s="416"/>
      <c r="AC155" s="490"/>
      <c r="AD155" s="657"/>
      <c r="AE155" s="490"/>
      <c r="AF155" s="416"/>
      <c r="AG155" s="416"/>
      <c r="AH155" s="490"/>
      <c r="AI155" s="657"/>
      <c r="AJ155" s="490"/>
      <c r="AK155" s="416"/>
      <c r="AL155" s="416"/>
      <c r="AM155" s="490"/>
      <c r="AN155" s="657"/>
      <c r="AO155" s="490"/>
      <c r="AP155" s="416"/>
      <c r="AQ155" s="416"/>
      <c r="AR155" s="490"/>
      <c r="AS155" s="657"/>
      <c r="AT155" s="490"/>
      <c r="AU155" s="416"/>
      <c r="AV155" s="416"/>
      <c r="AW155" s="490"/>
      <c r="AX155" s="657"/>
      <c r="AZ155" s="398" t="e">
        <f t="shared" si="34"/>
        <v>#N/A</v>
      </c>
      <c r="BA155" s="657"/>
    </row>
    <row r="156" spans="2:53">
      <c r="B156" s="643"/>
      <c r="C156" s="286">
        <v>10</v>
      </c>
      <c r="D156" s="225"/>
      <c r="E156" s="416"/>
      <c r="F156" s="409"/>
      <c r="G156" s="410"/>
      <c r="H156" s="686"/>
      <c r="I156" s="391" t="str">
        <f t="shared" si="31"/>
        <v>-</v>
      </c>
      <c r="J156" s="391" t="str">
        <f t="shared" si="32"/>
        <v>-</v>
      </c>
      <c r="K156" s="199" t="str">
        <f t="shared" si="33"/>
        <v>-</v>
      </c>
      <c r="L156" s="617"/>
      <c r="M156" s="200" t="e">
        <f>RANK(K156, K$147:$K$176)</f>
        <v>#VALUE!</v>
      </c>
      <c r="N156" s="635"/>
      <c r="O156" s="635"/>
      <c r="P156" s="490"/>
      <c r="Q156" s="416"/>
      <c r="R156" s="416"/>
      <c r="S156" s="490"/>
      <c r="T156" s="657"/>
      <c r="U156" s="490"/>
      <c r="V156" s="416"/>
      <c r="W156" s="416"/>
      <c r="X156" s="490"/>
      <c r="Y156" s="657"/>
      <c r="Z156" s="490"/>
      <c r="AA156" s="416"/>
      <c r="AB156" s="416"/>
      <c r="AC156" s="490"/>
      <c r="AD156" s="657"/>
      <c r="AE156" s="490"/>
      <c r="AF156" s="416"/>
      <c r="AG156" s="416"/>
      <c r="AH156" s="490"/>
      <c r="AI156" s="657"/>
      <c r="AJ156" s="490"/>
      <c r="AK156" s="416"/>
      <c r="AL156" s="416"/>
      <c r="AM156" s="490"/>
      <c r="AN156" s="657"/>
      <c r="AO156" s="490"/>
      <c r="AP156" s="416"/>
      <c r="AQ156" s="416"/>
      <c r="AR156" s="490"/>
      <c r="AS156" s="657"/>
      <c r="AT156" s="490"/>
      <c r="AU156" s="416"/>
      <c r="AV156" s="416"/>
      <c r="AW156" s="490"/>
      <c r="AX156" s="657"/>
      <c r="AZ156" s="398" t="e">
        <f t="shared" si="34"/>
        <v>#N/A</v>
      </c>
      <c r="BA156" s="657"/>
    </row>
    <row r="157" spans="2:53">
      <c r="B157" s="643"/>
      <c r="C157" s="286">
        <v>11</v>
      </c>
      <c r="D157" s="225"/>
      <c r="E157" s="416"/>
      <c r="F157" s="409"/>
      <c r="G157" s="410"/>
      <c r="H157" s="686"/>
      <c r="I157" s="391" t="str">
        <f t="shared" si="31"/>
        <v>-</v>
      </c>
      <c r="J157" s="391" t="str">
        <f t="shared" si="32"/>
        <v>-</v>
      </c>
      <c r="K157" s="199" t="str">
        <f t="shared" si="33"/>
        <v>-</v>
      </c>
      <c r="L157" s="617"/>
      <c r="M157" s="200" t="e">
        <f>RANK(K157, K$147:$K$176)</f>
        <v>#VALUE!</v>
      </c>
      <c r="N157" s="635"/>
      <c r="O157" s="635"/>
      <c r="P157" s="490"/>
      <c r="Q157" s="416"/>
      <c r="R157" s="416"/>
      <c r="S157" s="490"/>
      <c r="T157" s="657"/>
      <c r="U157" s="490"/>
      <c r="V157" s="416"/>
      <c r="W157" s="416"/>
      <c r="X157" s="490"/>
      <c r="Y157" s="657"/>
      <c r="Z157" s="490"/>
      <c r="AA157" s="416"/>
      <c r="AB157" s="416"/>
      <c r="AC157" s="490"/>
      <c r="AD157" s="657"/>
      <c r="AE157" s="490"/>
      <c r="AF157" s="416"/>
      <c r="AG157" s="416"/>
      <c r="AH157" s="490"/>
      <c r="AI157" s="657"/>
      <c r="AJ157" s="490"/>
      <c r="AK157" s="416"/>
      <c r="AL157" s="416"/>
      <c r="AM157" s="490"/>
      <c r="AN157" s="657"/>
      <c r="AO157" s="490"/>
      <c r="AP157" s="416"/>
      <c r="AQ157" s="416"/>
      <c r="AR157" s="490"/>
      <c r="AS157" s="657"/>
      <c r="AT157" s="490"/>
      <c r="AU157" s="416"/>
      <c r="AV157" s="416"/>
      <c r="AW157" s="490"/>
      <c r="AX157" s="657"/>
      <c r="AZ157" s="398" t="e">
        <f t="shared" si="34"/>
        <v>#N/A</v>
      </c>
      <c r="BA157" s="657"/>
    </row>
    <row r="158" spans="2:53">
      <c r="B158" s="643"/>
      <c r="C158" s="286">
        <v>12</v>
      </c>
      <c r="D158" s="225"/>
      <c r="E158" s="416"/>
      <c r="F158" s="409"/>
      <c r="G158" s="410"/>
      <c r="H158" s="686"/>
      <c r="I158" s="391" t="str">
        <f t="shared" si="31"/>
        <v>-</v>
      </c>
      <c r="J158" s="391" t="str">
        <f t="shared" si="32"/>
        <v>-</v>
      </c>
      <c r="K158" s="199" t="str">
        <f t="shared" si="33"/>
        <v>-</v>
      </c>
      <c r="L158" s="617"/>
      <c r="M158" s="200" t="e">
        <f>RANK(K158, K$147:$K$176)</f>
        <v>#VALUE!</v>
      </c>
      <c r="N158" s="635"/>
      <c r="O158" s="635"/>
      <c r="P158" s="490"/>
      <c r="Q158" s="416"/>
      <c r="R158" s="416"/>
      <c r="S158" s="490"/>
      <c r="T158" s="657"/>
      <c r="U158" s="490"/>
      <c r="V158" s="416"/>
      <c r="W158" s="416"/>
      <c r="X158" s="490"/>
      <c r="Y158" s="657"/>
      <c r="Z158" s="490"/>
      <c r="AA158" s="416"/>
      <c r="AB158" s="416"/>
      <c r="AC158" s="490"/>
      <c r="AD158" s="657"/>
      <c r="AE158" s="490"/>
      <c r="AF158" s="416"/>
      <c r="AG158" s="416"/>
      <c r="AH158" s="490"/>
      <c r="AI158" s="657"/>
      <c r="AJ158" s="490"/>
      <c r="AK158" s="416"/>
      <c r="AL158" s="416"/>
      <c r="AM158" s="490"/>
      <c r="AN158" s="657"/>
      <c r="AO158" s="490"/>
      <c r="AP158" s="416"/>
      <c r="AQ158" s="416"/>
      <c r="AR158" s="490"/>
      <c r="AS158" s="657"/>
      <c r="AT158" s="490"/>
      <c r="AU158" s="416"/>
      <c r="AV158" s="416"/>
      <c r="AW158" s="490"/>
      <c r="AX158" s="657"/>
      <c r="AZ158" s="398" t="e">
        <f t="shared" si="34"/>
        <v>#N/A</v>
      </c>
      <c r="BA158" s="657"/>
    </row>
    <row r="159" spans="2:53">
      <c r="B159" s="643"/>
      <c r="C159" s="286">
        <v>13</v>
      </c>
      <c r="D159" s="225"/>
      <c r="E159" s="416"/>
      <c r="F159" s="409"/>
      <c r="G159" s="410"/>
      <c r="H159" s="686"/>
      <c r="I159" s="391" t="str">
        <f t="shared" si="31"/>
        <v>-</v>
      </c>
      <c r="J159" s="391" t="str">
        <f t="shared" si="32"/>
        <v>-</v>
      </c>
      <c r="K159" s="199" t="str">
        <f t="shared" si="33"/>
        <v>-</v>
      </c>
      <c r="L159" s="617"/>
      <c r="M159" s="200" t="e">
        <f>RANK(K159, K$147:$K$176)</f>
        <v>#VALUE!</v>
      </c>
      <c r="N159" s="635"/>
      <c r="O159" s="635"/>
      <c r="P159" s="490"/>
      <c r="Q159" s="416"/>
      <c r="R159" s="416"/>
      <c r="S159" s="490"/>
      <c r="T159" s="657"/>
      <c r="U159" s="490"/>
      <c r="V159" s="416"/>
      <c r="W159" s="416"/>
      <c r="X159" s="490"/>
      <c r="Y159" s="657"/>
      <c r="Z159" s="490"/>
      <c r="AA159" s="416"/>
      <c r="AB159" s="416"/>
      <c r="AC159" s="490"/>
      <c r="AD159" s="657"/>
      <c r="AE159" s="490"/>
      <c r="AF159" s="416"/>
      <c r="AG159" s="416"/>
      <c r="AH159" s="490"/>
      <c r="AI159" s="657"/>
      <c r="AJ159" s="490"/>
      <c r="AK159" s="416"/>
      <c r="AL159" s="416"/>
      <c r="AM159" s="490"/>
      <c r="AN159" s="657"/>
      <c r="AO159" s="490"/>
      <c r="AP159" s="416"/>
      <c r="AQ159" s="416"/>
      <c r="AR159" s="490"/>
      <c r="AS159" s="657"/>
      <c r="AT159" s="490"/>
      <c r="AU159" s="416"/>
      <c r="AV159" s="416"/>
      <c r="AW159" s="490"/>
      <c r="AX159" s="657"/>
      <c r="AZ159" s="398" t="e">
        <f t="shared" si="34"/>
        <v>#N/A</v>
      </c>
      <c r="BA159" s="657"/>
    </row>
    <row r="160" spans="2:53">
      <c r="B160" s="643"/>
      <c r="C160" s="286">
        <v>14</v>
      </c>
      <c r="D160" s="225"/>
      <c r="E160" s="416"/>
      <c r="F160" s="409"/>
      <c r="G160" s="410"/>
      <c r="H160" s="686"/>
      <c r="I160" s="391" t="str">
        <f t="shared" si="31"/>
        <v>-</v>
      </c>
      <c r="J160" s="391" t="str">
        <f t="shared" si="32"/>
        <v>-</v>
      </c>
      <c r="K160" s="199" t="str">
        <f t="shared" si="33"/>
        <v>-</v>
      </c>
      <c r="L160" s="617"/>
      <c r="M160" s="200" t="e">
        <f>RANK(K160, K$147:$K$176)</f>
        <v>#VALUE!</v>
      </c>
      <c r="N160" s="635"/>
      <c r="O160" s="635"/>
      <c r="P160" s="490"/>
      <c r="Q160" s="416"/>
      <c r="R160" s="416"/>
      <c r="S160" s="490"/>
      <c r="T160" s="657"/>
      <c r="U160" s="490"/>
      <c r="V160" s="416"/>
      <c r="W160" s="416"/>
      <c r="X160" s="490"/>
      <c r="Y160" s="657"/>
      <c r="Z160" s="490"/>
      <c r="AA160" s="416"/>
      <c r="AB160" s="416"/>
      <c r="AC160" s="490"/>
      <c r="AD160" s="657"/>
      <c r="AE160" s="490"/>
      <c r="AF160" s="416"/>
      <c r="AG160" s="416"/>
      <c r="AH160" s="490"/>
      <c r="AI160" s="657"/>
      <c r="AJ160" s="490"/>
      <c r="AK160" s="416"/>
      <c r="AL160" s="416"/>
      <c r="AM160" s="490"/>
      <c r="AN160" s="657"/>
      <c r="AO160" s="490"/>
      <c r="AP160" s="416"/>
      <c r="AQ160" s="416"/>
      <c r="AR160" s="490"/>
      <c r="AS160" s="657"/>
      <c r="AT160" s="490"/>
      <c r="AU160" s="416"/>
      <c r="AV160" s="416"/>
      <c r="AW160" s="490"/>
      <c r="AX160" s="657"/>
      <c r="AZ160" s="398" t="e">
        <f t="shared" si="34"/>
        <v>#N/A</v>
      </c>
      <c r="BA160" s="657"/>
    </row>
    <row r="161" spans="2:53">
      <c r="B161" s="643"/>
      <c r="C161" s="286">
        <v>15</v>
      </c>
      <c r="D161" s="225"/>
      <c r="E161" s="416"/>
      <c r="F161" s="409"/>
      <c r="G161" s="410"/>
      <c r="H161" s="686"/>
      <c r="I161" s="391" t="str">
        <f t="shared" si="31"/>
        <v>-</v>
      </c>
      <c r="J161" s="391" t="str">
        <f t="shared" si="32"/>
        <v>-</v>
      </c>
      <c r="K161" s="199" t="str">
        <f t="shared" si="33"/>
        <v>-</v>
      </c>
      <c r="L161" s="617"/>
      <c r="M161" s="198" t="e">
        <f>RANK(K161, K$147:$K$176)</f>
        <v>#VALUE!</v>
      </c>
      <c r="N161" s="635"/>
      <c r="O161" s="635"/>
      <c r="P161" s="490"/>
      <c r="Q161" s="416"/>
      <c r="R161" s="416"/>
      <c r="S161" s="490"/>
      <c r="T161" s="657"/>
      <c r="U161" s="490"/>
      <c r="V161" s="416"/>
      <c r="W161" s="416"/>
      <c r="X161" s="490"/>
      <c r="Y161" s="657"/>
      <c r="Z161" s="490"/>
      <c r="AA161" s="416"/>
      <c r="AB161" s="416"/>
      <c r="AC161" s="490"/>
      <c r="AD161" s="657"/>
      <c r="AE161" s="490"/>
      <c r="AF161" s="416"/>
      <c r="AG161" s="416"/>
      <c r="AH161" s="490"/>
      <c r="AI161" s="657"/>
      <c r="AJ161" s="490"/>
      <c r="AK161" s="416"/>
      <c r="AL161" s="416"/>
      <c r="AM161" s="490"/>
      <c r="AN161" s="657"/>
      <c r="AO161" s="490"/>
      <c r="AP161" s="416"/>
      <c r="AQ161" s="416"/>
      <c r="AR161" s="490"/>
      <c r="AS161" s="657"/>
      <c r="AT161" s="490"/>
      <c r="AU161" s="416"/>
      <c r="AV161" s="416"/>
      <c r="AW161" s="490"/>
      <c r="AX161" s="657"/>
      <c r="AZ161" s="398" t="e">
        <f t="shared" si="34"/>
        <v>#N/A</v>
      </c>
      <c r="BA161" s="657"/>
    </row>
    <row r="162" spans="2:53">
      <c r="B162" s="643"/>
      <c r="C162" s="286">
        <v>16</v>
      </c>
      <c r="D162" s="225"/>
      <c r="E162" s="416"/>
      <c r="F162" s="409"/>
      <c r="G162" s="410"/>
      <c r="H162" s="686"/>
      <c r="I162" s="391" t="str">
        <f t="shared" si="31"/>
        <v>-</v>
      </c>
      <c r="J162" s="391" t="str">
        <f t="shared" si="32"/>
        <v>-</v>
      </c>
      <c r="K162" s="199" t="str">
        <f t="shared" si="33"/>
        <v>-</v>
      </c>
      <c r="L162" s="617"/>
      <c r="M162" s="198" t="e">
        <f>RANK(K162, K$147:$K$176)</f>
        <v>#VALUE!</v>
      </c>
      <c r="N162" s="635"/>
      <c r="O162" s="635"/>
      <c r="P162" s="490"/>
      <c r="Q162" s="416"/>
      <c r="R162" s="416"/>
      <c r="S162" s="490"/>
      <c r="T162" s="657"/>
      <c r="U162" s="490"/>
      <c r="V162" s="416"/>
      <c r="W162" s="416"/>
      <c r="X162" s="490"/>
      <c r="Y162" s="657"/>
      <c r="Z162" s="490"/>
      <c r="AA162" s="416"/>
      <c r="AB162" s="416"/>
      <c r="AC162" s="490"/>
      <c r="AD162" s="657"/>
      <c r="AE162" s="490"/>
      <c r="AF162" s="416"/>
      <c r="AG162" s="416"/>
      <c r="AH162" s="490"/>
      <c r="AI162" s="657"/>
      <c r="AJ162" s="490"/>
      <c r="AK162" s="416"/>
      <c r="AL162" s="416"/>
      <c r="AM162" s="490"/>
      <c r="AN162" s="657"/>
      <c r="AO162" s="490"/>
      <c r="AP162" s="416"/>
      <c r="AQ162" s="416"/>
      <c r="AR162" s="490"/>
      <c r="AS162" s="657"/>
      <c r="AT162" s="490"/>
      <c r="AU162" s="416"/>
      <c r="AV162" s="416"/>
      <c r="AW162" s="490"/>
      <c r="AX162" s="657"/>
      <c r="AZ162" s="398" t="e">
        <f t="shared" si="34"/>
        <v>#N/A</v>
      </c>
      <c r="BA162" s="657"/>
    </row>
    <row r="163" spans="2:53">
      <c r="B163" s="643"/>
      <c r="C163" s="286">
        <v>17</v>
      </c>
      <c r="D163" s="225"/>
      <c r="E163" s="416"/>
      <c r="F163" s="409"/>
      <c r="G163" s="410"/>
      <c r="H163" s="686"/>
      <c r="I163" s="391" t="str">
        <f t="shared" si="31"/>
        <v>-</v>
      </c>
      <c r="J163" s="391" t="str">
        <f t="shared" si="32"/>
        <v>-</v>
      </c>
      <c r="K163" s="199" t="str">
        <f t="shared" si="33"/>
        <v>-</v>
      </c>
      <c r="L163" s="617"/>
      <c r="M163" s="198" t="e">
        <f>RANK(K163, K$147:$K$176)</f>
        <v>#VALUE!</v>
      </c>
      <c r="N163" s="635"/>
      <c r="O163" s="635"/>
      <c r="P163" s="490"/>
      <c r="Q163" s="416"/>
      <c r="R163" s="416"/>
      <c r="S163" s="490"/>
      <c r="T163" s="657"/>
      <c r="U163" s="490"/>
      <c r="V163" s="416"/>
      <c r="W163" s="416"/>
      <c r="X163" s="490"/>
      <c r="Y163" s="657"/>
      <c r="Z163" s="490"/>
      <c r="AA163" s="416"/>
      <c r="AB163" s="416"/>
      <c r="AC163" s="490"/>
      <c r="AD163" s="657"/>
      <c r="AE163" s="490"/>
      <c r="AF163" s="416"/>
      <c r="AG163" s="416"/>
      <c r="AH163" s="490"/>
      <c r="AI163" s="657"/>
      <c r="AJ163" s="490"/>
      <c r="AK163" s="416"/>
      <c r="AL163" s="416"/>
      <c r="AM163" s="490"/>
      <c r="AN163" s="657"/>
      <c r="AO163" s="490"/>
      <c r="AP163" s="416"/>
      <c r="AQ163" s="416"/>
      <c r="AR163" s="490"/>
      <c r="AS163" s="657"/>
      <c r="AT163" s="490"/>
      <c r="AU163" s="416"/>
      <c r="AV163" s="416"/>
      <c r="AW163" s="490"/>
      <c r="AX163" s="657"/>
      <c r="AZ163" s="398" t="e">
        <f t="shared" si="34"/>
        <v>#N/A</v>
      </c>
      <c r="BA163" s="657"/>
    </row>
    <row r="164" spans="2:53">
      <c r="B164" s="643"/>
      <c r="C164" s="286">
        <v>18</v>
      </c>
      <c r="D164" s="225"/>
      <c r="E164" s="416"/>
      <c r="F164" s="409"/>
      <c r="G164" s="410"/>
      <c r="H164" s="686"/>
      <c r="I164" s="391" t="str">
        <f t="shared" si="31"/>
        <v>-</v>
      </c>
      <c r="J164" s="391" t="str">
        <f t="shared" si="32"/>
        <v>-</v>
      </c>
      <c r="K164" s="199" t="str">
        <f t="shared" si="33"/>
        <v>-</v>
      </c>
      <c r="L164" s="617"/>
      <c r="M164" s="198" t="e">
        <f>RANK(K164, K$147:$K$176)</f>
        <v>#VALUE!</v>
      </c>
      <c r="N164" s="635"/>
      <c r="O164" s="635"/>
      <c r="P164" s="490"/>
      <c r="Q164" s="416"/>
      <c r="R164" s="416"/>
      <c r="S164" s="490"/>
      <c r="T164" s="657"/>
      <c r="U164" s="490"/>
      <c r="V164" s="416"/>
      <c r="W164" s="416"/>
      <c r="X164" s="490"/>
      <c r="Y164" s="657"/>
      <c r="Z164" s="490"/>
      <c r="AA164" s="416"/>
      <c r="AB164" s="416"/>
      <c r="AC164" s="490"/>
      <c r="AD164" s="657"/>
      <c r="AE164" s="490"/>
      <c r="AF164" s="416"/>
      <c r="AG164" s="416"/>
      <c r="AH164" s="490"/>
      <c r="AI164" s="657"/>
      <c r="AJ164" s="490"/>
      <c r="AK164" s="416"/>
      <c r="AL164" s="416"/>
      <c r="AM164" s="490"/>
      <c r="AN164" s="657"/>
      <c r="AO164" s="490"/>
      <c r="AP164" s="416"/>
      <c r="AQ164" s="416"/>
      <c r="AR164" s="490"/>
      <c r="AS164" s="657"/>
      <c r="AT164" s="490"/>
      <c r="AU164" s="416"/>
      <c r="AV164" s="416"/>
      <c r="AW164" s="490"/>
      <c r="AX164" s="657"/>
      <c r="AZ164" s="398" t="e">
        <f t="shared" si="34"/>
        <v>#N/A</v>
      </c>
      <c r="BA164" s="657"/>
    </row>
    <row r="165" spans="2:53">
      <c r="B165" s="643"/>
      <c r="C165" s="286">
        <v>19</v>
      </c>
      <c r="D165" s="225"/>
      <c r="E165" s="416"/>
      <c r="F165" s="409"/>
      <c r="G165" s="410"/>
      <c r="H165" s="686"/>
      <c r="I165" s="391" t="str">
        <f t="shared" si="31"/>
        <v>-</v>
      </c>
      <c r="J165" s="391" t="str">
        <f t="shared" si="32"/>
        <v>-</v>
      </c>
      <c r="K165" s="199" t="str">
        <f t="shared" si="33"/>
        <v>-</v>
      </c>
      <c r="L165" s="617"/>
      <c r="M165" s="198" t="e">
        <f>RANK(K165, K$147:$K$176)</f>
        <v>#VALUE!</v>
      </c>
      <c r="N165" s="635"/>
      <c r="O165" s="635"/>
      <c r="P165" s="490"/>
      <c r="Q165" s="416"/>
      <c r="R165" s="416"/>
      <c r="S165" s="490"/>
      <c r="T165" s="657"/>
      <c r="U165" s="490"/>
      <c r="V165" s="416"/>
      <c r="W165" s="416"/>
      <c r="X165" s="490"/>
      <c r="Y165" s="657"/>
      <c r="Z165" s="490"/>
      <c r="AA165" s="416"/>
      <c r="AB165" s="416"/>
      <c r="AC165" s="490"/>
      <c r="AD165" s="657"/>
      <c r="AE165" s="490"/>
      <c r="AF165" s="416"/>
      <c r="AG165" s="416"/>
      <c r="AH165" s="490"/>
      <c r="AI165" s="657"/>
      <c r="AJ165" s="490"/>
      <c r="AK165" s="416"/>
      <c r="AL165" s="416"/>
      <c r="AM165" s="490"/>
      <c r="AN165" s="657"/>
      <c r="AO165" s="490"/>
      <c r="AP165" s="416"/>
      <c r="AQ165" s="416"/>
      <c r="AR165" s="490"/>
      <c r="AS165" s="657"/>
      <c r="AT165" s="490"/>
      <c r="AU165" s="416"/>
      <c r="AV165" s="416"/>
      <c r="AW165" s="490"/>
      <c r="AX165" s="657"/>
      <c r="AZ165" s="398" t="e">
        <f t="shared" si="34"/>
        <v>#N/A</v>
      </c>
      <c r="BA165" s="657"/>
    </row>
    <row r="166" spans="2:53">
      <c r="B166" s="643"/>
      <c r="C166" s="286">
        <v>20</v>
      </c>
      <c r="D166" s="225"/>
      <c r="E166" s="416"/>
      <c r="F166" s="409"/>
      <c r="G166" s="410"/>
      <c r="H166" s="686"/>
      <c r="I166" s="391" t="str">
        <f t="shared" si="31"/>
        <v>-</v>
      </c>
      <c r="J166" s="391" t="str">
        <f t="shared" si="32"/>
        <v>-</v>
      </c>
      <c r="K166" s="199" t="str">
        <f t="shared" si="33"/>
        <v>-</v>
      </c>
      <c r="L166" s="617"/>
      <c r="M166" s="198" t="e">
        <f>RANK(K166, K$147:$K$176)</f>
        <v>#VALUE!</v>
      </c>
      <c r="N166" s="635"/>
      <c r="O166" s="635"/>
      <c r="P166" s="490"/>
      <c r="Q166" s="416"/>
      <c r="R166" s="416"/>
      <c r="S166" s="490"/>
      <c r="T166" s="657"/>
      <c r="U166" s="490"/>
      <c r="V166" s="416"/>
      <c r="W166" s="416"/>
      <c r="X166" s="490"/>
      <c r="Y166" s="657"/>
      <c r="Z166" s="490"/>
      <c r="AA166" s="416"/>
      <c r="AB166" s="416"/>
      <c r="AC166" s="490"/>
      <c r="AD166" s="657"/>
      <c r="AE166" s="490"/>
      <c r="AF166" s="416"/>
      <c r="AG166" s="416"/>
      <c r="AH166" s="490"/>
      <c r="AI166" s="657"/>
      <c r="AJ166" s="490"/>
      <c r="AK166" s="416"/>
      <c r="AL166" s="416"/>
      <c r="AM166" s="490"/>
      <c r="AN166" s="657"/>
      <c r="AO166" s="490"/>
      <c r="AP166" s="416"/>
      <c r="AQ166" s="416"/>
      <c r="AR166" s="490"/>
      <c r="AS166" s="657"/>
      <c r="AT166" s="490"/>
      <c r="AU166" s="416"/>
      <c r="AV166" s="416"/>
      <c r="AW166" s="490"/>
      <c r="AX166" s="657"/>
      <c r="AZ166" s="398" t="e">
        <f t="shared" si="34"/>
        <v>#N/A</v>
      </c>
      <c r="BA166" s="657"/>
    </row>
    <row r="167" spans="2:53">
      <c r="B167" s="643"/>
      <c r="C167" s="286">
        <v>21</v>
      </c>
      <c r="D167" s="225"/>
      <c r="E167" s="416"/>
      <c r="F167" s="409"/>
      <c r="G167" s="410"/>
      <c r="H167" s="686"/>
      <c r="I167" s="391" t="str">
        <f t="shared" si="31"/>
        <v>-</v>
      </c>
      <c r="J167" s="391" t="str">
        <f t="shared" si="32"/>
        <v>-</v>
      </c>
      <c r="K167" s="199" t="str">
        <f t="shared" si="33"/>
        <v>-</v>
      </c>
      <c r="L167" s="617"/>
      <c r="M167" s="198" t="e">
        <f>RANK(K167, K$147:$K$176)</f>
        <v>#VALUE!</v>
      </c>
      <c r="N167" s="635"/>
      <c r="O167" s="635"/>
      <c r="P167" s="490"/>
      <c r="Q167" s="416"/>
      <c r="R167" s="416"/>
      <c r="S167" s="490"/>
      <c r="T167" s="657"/>
      <c r="U167" s="490"/>
      <c r="V167" s="416"/>
      <c r="W167" s="416"/>
      <c r="X167" s="490"/>
      <c r="Y167" s="657"/>
      <c r="Z167" s="490"/>
      <c r="AA167" s="416"/>
      <c r="AB167" s="416"/>
      <c r="AC167" s="490"/>
      <c r="AD167" s="657"/>
      <c r="AE167" s="490"/>
      <c r="AF167" s="416"/>
      <c r="AG167" s="416"/>
      <c r="AH167" s="490"/>
      <c r="AI167" s="657"/>
      <c r="AJ167" s="490"/>
      <c r="AK167" s="416"/>
      <c r="AL167" s="416"/>
      <c r="AM167" s="490"/>
      <c r="AN167" s="657"/>
      <c r="AO167" s="490"/>
      <c r="AP167" s="416"/>
      <c r="AQ167" s="416"/>
      <c r="AR167" s="490"/>
      <c r="AS167" s="657"/>
      <c r="AT167" s="490"/>
      <c r="AU167" s="416"/>
      <c r="AV167" s="416"/>
      <c r="AW167" s="490"/>
      <c r="AX167" s="657"/>
      <c r="AZ167" s="398" t="e">
        <f t="shared" si="34"/>
        <v>#N/A</v>
      </c>
      <c r="BA167" s="657"/>
    </row>
    <row r="168" spans="2:53">
      <c r="B168" s="643"/>
      <c r="C168" s="286">
        <v>22</v>
      </c>
      <c r="D168" s="225"/>
      <c r="E168" s="416"/>
      <c r="F168" s="409"/>
      <c r="G168" s="410"/>
      <c r="H168" s="686"/>
      <c r="I168" s="391" t="str">
        <f t="shared" si="31"/>
        <v>-</v>
      </c>
      <c r="J168" s="391" t="str">
        <f t="shared" si="32"/>
        <v>-</v>
      </c>
      <c r="K168" s="199" t="str">
        <f t="shared" si="33"/>
        <v>-</v>
      </c>
      <c r="L168" s="617"/>
      <c r="M168" s="198" t="e">
        <f>RANK(K168, K$147:$K$176)</f>
        <v>#VALUE!</v>
      </c>
      <c r="N168" s="635"/>
      <c r="O168" s="635"/>
      <c r="P168" s="490"/>
      <c r="Q168" s="416"/>
      <c r="R168" s="416"/>
      <c r="S168" s="490"/>
      <c r="T168" s="657"/>
      <c r="U168" s="490"/>
      <c r="V168" s="416"/>
      <c r="W168" s="416"/>
      <c r="X168" s="490"/>
      <c r="Y168" s="657"/>
      <c r="Z168" s="490"/>
      <c r="AA168" s="416"/>
      <c r="AB168" s="416"/>
      <c r="AC168" s="490"/>
      <c r="AD168" s="657"/>
      <c r="AE168" s="490"/>
      <c r="AF168" s="416"/>
      <c r="AG168" s="416"/>
      <c r="AH168" s="490"/>
      <c r="AI168" s="657"/>
      <c r="AJ168" s="490"/>
      <c r="AK168" s="416"/>
      <c r="AL168" s="416"/>
      <c r="AM168" s="490"/>
      <c r="AN168" s="657"/>
      <c r="AO168" s="490"/>
      <c r="AP168" s="416"/>
      <c r="AQ168" s="416"/>
      <c r="AR168" s="490"/>
      <c r="AS168" s="657"/>
      <c r="AT168" s="490"/>
      <c r="AU168" s="416"/>
      <c r="AV168" s="416"/>
      <c r="AW168" s="490"/>
      <c r="AX168" s="657"/>
      <c r="AZ168" s="398" t="e">
        <f t="shared" si="34"/>
        <v>#N/A</v>
      </c>
      <c r="BA168" s="657"/>
    </row>
    <row r="169" spans="2:53">
      <c r="B169" s="643"/>
      <c r="C169" s="286">
        <v>23</v>
      </c>
      <c r="D169" s="225"/>
      <c r="E169" s="416"/>
      <c r="F169" s="409"/>
      <c r="G169" s="410"/>
      <c r="H169" s="686"/>
      <c r="I169" s="391" t="str">
        <f t="shared" si="31"/>
        <v>-</v>
      </c>
      <c r="J169" s="391" t="str">
        <f t="shared" si="32"/>
        <v>-</v>
      </c>
      <c r="K169" s="199" t="str">
        <f t="shared" si="33"/>
        <v>-</v>
      </c>
      <c r="L169" s="617"/>
      <c r="M169" s="198" t="e">
        <f>RANK(K169, K$147:$K$176)</f>
        <v>#VALUE!</v>
      </c>
      <c r="N169" s="635"/>
      <c r="O169" s="635"/>
      <c r="P169" s="490"/>
      <c r="Q169" s="416"/>
      <c r="R169" s="416"/>
      <c r="S169" s="490"/>
      <c r="T169" s="657"/>
      <c r="U169" s="490"/>
      <c r="V169" s="416"/>
      <c r="W169" s="416"/>
      <c r="X169" s="490"/>
      <c r="Y169" s="657"/>
      <c r="Z169" s="490"/>
      <c r="AA169" s="416"/>
      <c r="AB169" s="416"/>
      <c r="AC169" s="490"/>
      <c r="AD169" s="657"/>
      <c r="AE169" s="490"/>
      <c r="AF169" s="416"/>
      <c r="AG169" s="416"/>
      <c r="AH169" s="490"/>
      <c r="AI169" s="657"/>
      <c r="AJ169" s="490"/>
      <c r="AK169" s="416"/>
      <c r="AL169" s="416"/>
      <c r="AM169" s="490"/>
      <c r="AN169" s="657"/>
      <c r="AO169" s="490"/>
      <c r="AP169" s="416"/>
      <c r="AQ169" s="416"/>
      <c r="AR169" s="490"/>
      <c r="AS169" s="657"/>
      <c r="AT169" s="490"/>
      <c r="AU169" s="416"/>
      <c r="AV169" s="416"/>
      <c r="AW169" s="490"/>
      <c r="AX169" s="657"/>
      <c r="AZ169" s="398" t="e">
        <f t="shared" si="34"/>
        <v>#N/A</v>
      </c>
      <c r="BA169" s="657"/>
    </row>
    <row r="170" spans="2:53">
      <c r="B170" s="643"/>
      <c r="C170" s="286">
        <v>24</v>
      </c>
      <c r="D170" s="225"/>
      <c r="E170" s="416"/>
      <c r="F170" s="409"/>
      <c r="G170" s="410"/>
      <c r="H170" s="686"/>
      <c r="I170" s="391" t="str">
        <f t="shared" si="31"/>
        <v>-</v>
      </c>
      <c r="J170" s="391" t="str">
        <f t="shared" si="32"/>
        <v>-</v>
      </c>
      <c r="K170" s="199" t="str">
        <f t="shared" si="33"/>
        <v>-</v>
      </c>
      <c r="L170" s="617"/>
      <c r="M170" s="198" t="e">
        <f>RANK(K170, K$147:$K$176)</f>
        <v>#VALUE!</v>
      </c>
      <c r="N170" s="635"/>
      <c r="O170" s="635"/>
      <c r="P170" s="490"/>
      <c r="Q170" s="416"/>
      <c r="R170" s="416"/>
      <c r="S170" s="490"/>
      <c r="T170" s="657"/>
      <c r="U170" s="490"/>
      <c r="V170" s="416"/>
      <c r="W170" s="416"/>
      <c r="X170" s="490"/>
      <c r="Y170" s="657"/>
      <c r="Z170" s="490"/>
      <c r="AA170" s="416"/>
      <c r="AB170" s="416"/>
      <c r="AC170" s="490"/>
      <c r="AD170" s="657"/>
      <c r="AE170" s="490"/>
      <c r="AF170" s="416"/>
      <c r="AG170" s="416"/>
      <c r="AH170" s="490"/>
      <c r="AI170" s="657"/>
      <c r="AJ170" s="490"/>
      <c r="AK170" s="416"/>
      <c r="AL170" s="416"/>
      <c r="AM170" s="490"/>
      <c r="AN170" s="657"/>
      <c r="AO170" s="490"/>
      <c r="AP170" s="416"/>
      <c r="AQ170" s="416"/>
      <c r="AR170" s="490"/>
      <c r="AS170" s="657"/>
      <c r="AT170" s="490"/>
      <c r="AU170" s="416"/>
      <c r="AV170" s="416"/>
      <c r="AW170" s="490"/>
      <c r="AX170" s="657"/>
      <c r="AZ170" s="398" t="e">
        <f t="shared" si="34"/>
        <v>#N/A</v>
      </c>
      <c r="BA170" s="657"/>
    </row>
    <row r="171" spans="2:53">
      <c r="B171" s="643"/>
      <c r="C171" s="286">
        <v>25</v>
      </c>
      <c r="D171" s="225"/>
      <c r="E171" s="416"/>
      <c r="F171" s="409"/>
      <c r="G171" s="410"/>
      <c r="H171" s="686"/>
      <c r="I171" s="391" t="str">
        <f t="shared" si="31"/>
        <v>-</v>
      </c>
      <c r="J171" s="391" t="str">
        <f t="shared" si="32"/>
        <v>-</v>
      </c>
      <c r="K171" s="199" t="str">
        <f t="shared" si="33"/>
        <v>-</v>
      </c>
      <c r="L171" s="617"/>
      <c r="M171" s="198" t="e">
        <f>RANK(K171, K$147:$K$176)</f>
        <v>#VALUE!</v>
      </c>
      <c r="N171" s="635"/>
      <c r="O171" s="635"/>
      <c r="P171" s="490"/>
      <c r="Q171" s="416"/>
      <c r="R171" s="416"/>
      <c r="S171" s="490"/>
      <c r="T171" s="657"/>
      <c r="U171" s="490"/>
      <c r="V171" s="416"/>
      <c r="W171" s="416"/>
      <c r="X171" s="490"/>
      <c r="Y171" s="657"/>
      <c r="Z171" s="490"/>
      <c r="AA171" s="416"/>
      <c r="AB171" s="416"/>
      <c r="AC171" s="490"/>
      <c r="AD171" s="657"/>
      <c r="AE171" s="490"/>
      <c r="AF171" s="416"/>
      <c r="AG171" s="416"/>
      <c r="AH171" s="490"/>
      <c r="AI171" s="657"/>
      <c r="AJ171" s="490"/>
      <c r="AK171" s="416"/>
      <c r="AL171" s="416"/>
      <c r="AM171" s="490"/>
      <c r="AN171" s="657"/>
      <c r="AO171" s="490"/>
      <c r="AP171" s="416"/>
      <c r="AQ171" s="416"/>
      <c r="AR171" s="490"/>
      <c r="AS171" s="657"/>
      <c r="AT171" s="490"/>
      <c r="AU171" s="416"/>
      <c r="AV171" s="416"/>
      <c r="AW171" s="490"/>
      <c r="AX171" s="657"/>
      <c r="AZ171" s="398" t="e">
        <f t="shared" si="34"/>
        <v>#N/A</v>
      </c>
      <c r="BA171" s="657"/>
    </row>
    <row r="172" spans="2:53">
      <c r="B172" s="643"/>
      <c r="C172" s="286">
        <v>26</v>
      </c>
      <c r="D172" s="225"/>
      <c r="E172" s="416"/>
      <c r="F172" s="409"/>
      <c r="G172" s="410"/>
      <c r="H172" s="686"/>
      <c r="I172" s="391" t="str">
        <f t="shared" si="31"/>
        <v>-</v>
      </c>
      <c r="J172" s="391" t="str">
        <f t="shared" si="32"/>
        <v>-</v>
      </c>
      <c r="K172" s="199" t="str">
        <f t="shared" si="33"/>
        <v>-</v>
      </c>
      <c r="L172" s="617"/>
      <c r="M172" s="198" t="e">
        <f>RANK(K172, K$147:$K$176)</f>
        <v>#VALUE!</v>
      </c>
      <c r="N172" s="635"/>
      <c r="O172" s="635"/>
      <c r="P172" s="490"/>
      <c r="Q172" s="416"/>
      <c r="R172" s="416"/>
      <c r="S172" s="490"/>
      <c r="T172" s="657"/>
      <c r="U172" s="490"/>
      <c r="V172" s="416"/>
      <c r="W172" s="416"/>
      <c r="X172" s="490"/>
      <c r="Y172" s="657"/>
      <c r="Z172" s="490"/>
      <c r="AA172" s="416"/>
      <c r="AB172" s="416"/>
      <c r="AC172" s="490"/>
      <c r="AD172" s="657"/>
      <c r="AE172" s="490"/>
      <c r="AF172" s="416"/>
      <c r="AG172" s="416"/>
      <c r="AH172" s="490"/>
      <c r="AI172" s="657"/>
      <c r="AJ172" s="490"/>
      <c r="AK172" s="416"/>
      <c r="AL172" s="416"/>
      <c r="AM172" s="490"/>
      <c r="AN172" s="657"/>
      <c r="AO172" s="490"/>
      <c r="AP172" s="416"/>
      <c r="AQ172" s="416"/>
      <c r="AR172" s="490"/>
      <c r="AS172" s="657"/>
      <c r="AT172" s="490"/>
      <c r="AU172" s="416"/>
      <c r="AV172" s="416"/>
      <c r="AW172" s="490"/>
      <c r="AX172" s="657"/>
      <c r="AZ172" s="398" t="e">
        <f t="shared" si="34"/>
        <v>#N/A</v>
      </c>
      <c r="BA172" s="657"/>
    </row>
    <row r="173" spans="2:53">
      <c r="B173" s="643"/>
      <c r="C173" s="286">
        <v>27</v>
      </c>
      <c r="D173" s="225"/>
      <c r="E173" s="416"/>
      <c r="F173" s="409"/>
      <c r="G173" s="410"/>
      <c r="H173" s="686"/>
      <c r="I173" s="391" t="str">
        <f t="shared" si="31"/>
        <v>-</v>
      </c>
      <c r="J173" s="391" t="str">
        <f t="shared" si="32"/>
        <v>-</v>
      </c>
      <c r="K173" s="199" t="str">
        <f t="shared" si="33"/>
        <v>-</v>
      </c>
      <c r="L173" s="617"/>
      <c r="M173" s="198" t="e">
        <f>RANK(K173, K$147:$K$176)</f>
        <v>#VALUE!</v>
      </c>
      <c r="N173" s="635"/>
      <c r="O173" s="635"/>
      <c r="P173" s="490"/>
      <c r="Q173" s="416"/>
      <c r="R173" s="416"/>
      <c r="S173" s="490"/>
      <c r="T173" s="657"/>
      <c r="U173" s="490"/>
      <c r="V173" s="416"/>
      <c r="W173" s="416"/>
      <c r="X173" s="490"/>
      <c r="Y173" s="657"/>
      <c r="Z173" s="490"/>
      <c r="AA173" s="416"/>
      <c r="AB173" s="416"/>
      <c r="AC173" s="490"/>
      <c r="AD173" s="657"/>
      <c r="AE173" s="490"/>
      <c r="AF173" s="416"/>
      <c r="AG173" s="416"/>
      <c r="AH173" s="490"/>
      <c r="AI173" s="657"/>
      <c r="AJ173" s="490"/>
      <c r="AK173" s="416"/>
      <c r="AL173" s="416"/>
      <c r="AM173" s="490"/>
      <c r="AN173" s="657"/>
      <c r="AO173" s="490"/>
      <c r="AP173" s="416"/>
      <c r="AQ173" s="416"/>
      <c r="AR173" s="490"/>
      <c r="AS173" s="657"/>
      <c r="AT173" s="490"/>
      <c r="AU173" s="416"/>
      <c r="AV173" s="416"/>
      <c r="AW173" s="490"/>
      <c r="AX173" s="657"/>
      <c r="AZ173" s="398" t="e">
        <f t="shared" si="34"/>
        <v>#N/A</v>
      </c>
      <c r="BA173" s="657"/>
    </row>
    <row r="174" spans="2:53">
      <c r="B174" s="643"/>
      <c r="C174" s="286">
        <v>28</v>
      </c>
      <c r="D174" s="225"/>
      <c r="E174" s="416"/>
      <c r="F174" s="409"/>
      <c r="G174" s="410"/>
      <c r="H174" s="686"/>
      <c r="I174" s="391" t="str">
        <f t="shared" si="31"/>
        <v>-</v>
      </c>
      <c r="J174" s="391" t="str">
        <f t="shared" si="32"/>
        <v>-</v>
      </c>
      <c r="K174" s="199" t="str">
        <f t="shared" si="33"/>
        <v>-</v>
      </c>
      <c r="L174" s="617"/>
      <c r="M174" s="198" t="e">
        <f>RANK(K174, K$147:$K$176)</f>
        <v>#VALUE!</v>
      </c>
      <c r="N174" s="635"/>
      <c r="O174" s="635"/>
      <c r="P174" s="490"/>
      <c r="Q174" s="416"/>
      <c r="R174" s="416"/>
      <c r="S174" s="490"/>
      <c r="T174" s="657"/>
      <c r="U174" s="490"/>
      <c r="V174" s="416"/>
      <c r="W174" s="416"/>
      <c r="X174" s="490"/>
      <c r="Y174" s="657"/>
      <c r="Z174" s="490"/>
      <c r="AA174" s="416"/>
      <c r="AB174" s="416"/>
      <c r="AC174" s="490"/>
      <c r="AD174" s="657"/>
      <c r="AE174" s="490"/>
      <c r="AF174" s="416"/>
      <c r="AG174" s="416"/>
      <c r="AH174" s="490"/>
      <c r="AI174" s="657"/>
      <c r="AJ174" s="490"/>
      <c r="AK174" s="416"/>
      <c r="AL174" s="416"/>
      <c r="AM174" s="490"/>
      <c r="AN174" s="657"/>
      <c r="AO174" s="490"/>
      <c r="AP174" s="416"/>
      <c r="AQ174" s="416"/>
      <c r="AR174" s="490"/>
      <c r="AS174" s="657"/>
      <c r="AT174" s="490"/>
      <c r="AU174" s="416"/>
      <c r="AV174" s="416"/>
      <c r="AW174" s="490"/>
      <c r="AX174" s="657"/>
      <c r="AZ174" s="398" t="e">
        <f t="shared" si="34"/>
        <v>#N/A</v>
      </c>
      <c r="BA174" s="657"/>
    </row>
    <row r="175" spans="2:53">
      <c r="B175" s="643"/>
      <c r="C175" s="286">
        <v>29</v>
      </c>
      <c r="D175" s="225"/>
      <c r="E175" s="416"/>
      <c r="F175" s="409"/>
      <c r="G175" s="410"/>
      <c r="H175" s="686"/>
      <c r="I175" s="391" t="str">
        <f t="shared" si="31"/>
        <v>-</v>
      </c>
      <c r="J175" s="391" t="str">
        <f t="shared" si="32"/>
        <v>-</v>
      </c>
      <c r="K175" s="199" t="str">
        <f t="shared" si="33"/>
        <v>-</v>
      </c>
      <c r="L175" s="617"/>
      <c r="M175" s="198" t="e">
        <f>RANK(K175, K$147:$K$176)</f>
        <v>#VALUE!</v>
      </c>
      <c r="N175" s="635"/>
      <c r="O175" s="635"/>
      <c r="P175" s="490"/>
      <c r="Q175" s="416"/>
      <c r="R175" s="416"/>
      <c r="S175" s="490"/>
      <c r="T175" s="657"/>
      <c r="U175" s="490"/>
      <c r="V175" s="416"/>
      <c r="W175" s="416"/>
      <c r="X175" s="490"/>
      <c r="Y175" s="657"/>
      <c r="Z175" s="490"/>
      <c r="AA175" s="416"/>
      <c r="AB175" s="416"/>
      <c r="AC175" s="490"/>
      <c r="AD175" s="657"/>
      <c r="AE175" s="490"/>
      <c r="AF175" s="416"/>
      <c r="AG175" s="416"/>
      <c r="AH175" s="490"/>
      <c r="AI175" s="657"/>
      <c r="AJ175" s="490"/>
      <c r="AK175" s="416"/>
      <c r="AL175" s="416"/>
      <c r="AM175" s="490"/>
      <c r="AN175" s="657"/>
      <c r="AO175" s="490"/>
      <c r="AP175" s="416"/>
      <c r="AQ175" s="416"/>
      <c r="AR175" s="490"/>
      <c r="AS175" s="657"/>
      <c r="AT175" s="490"/>
      <c r="AU175" s="416"/>
      <c r="AV175" s="416"/>
      <c r="AW175" s="490"/>
      <c r="AX175" s="657"/>
      <c r="AZ175" s="398" t="e">
        <f t="shared" si="34"/>
        <v>#N/A</v>
      </c>
      <c r="BA175" s="657"/>
    </row>
    <row r="176" spans="2:53">
      <c r="B176" s="643"/>
      <c r="C176" s="286">
        <v>30</v>
      </c>
      <c r="D176" s="225"/>
      <c r="E176" s="416"/>
      <c r="F176" s="409"/>
      <c r="G176" s="410"/>
      <c r="H176" s="687"/>
      <c r="I176" s="391" t="str">
        <f t="shared" si="31"/>
        <v>-</v>
      </c>
      <c r="J176" s="391" t="str">
        <f t="shared" si="32"/>
        <v>-</v>
      </c>
      <c r="K176" s="199" t="str">
        <f t="shared" si="33"/>
        <v>-</v>
      </c>
      <c r="L176" s="618"/>
      <c r="M176" s="198" t="e">
        <f>RANK(K176, K$147:$K$176)</f>
        <v>#VALUE!</v>
      </c>
      <c r="N176" s="635"/>
      <c r="O176" s="635"/>
      <c r="P176" s="490"/>
      <c r="Q176" s="416"/>
      <c r="R176" s="416"/>
      <c r="S176" s="490"/>
      <c r="T176" s="657"/>
      <c r="U176" s="490"/>
      <c r="V176" s="416"/>
      <c r="W176" s="416"/>
      <c r="X176" s="490"/>
      <c r="Y176" s="657"/>
      <c r="Z176" s="490"/>
      <c r="AA176" s="416"/>
      <c r="AB176" s="416"/>
      <c r="AC176" s="490"/>
      <c r="AD176" s="657"/>
      <c r="AE176" s="490"/>
      <c r="AF176" s="416"/>
      <c r="AG176" s="416"/>
      <c r="AH176" s="490"/>
      <c r="AI176" s="657"/>
      <c r="AJ176" s="490"/>
      <c r="AK176" s="416"/>
      <c r="AL176" s="416"/>
      <c r="AM176" s="490"/>
      <c r="AN176" s="657"/>
      <c r="AO176" s="490"/>
      <c r="AP176" s="416"/>
      <c r="AQ176" s="416"/>
      <c r="AR176" s="490"/>
      <c r="AS176" s="657"/>
      <c r="AT176" s="490"/>
      <c r="AU176" s="416"/>
      <c r="AV176" s="416"/>
      <c r="AW176" s="490"/>
      <c r="AX176" s="657"/>
      <c r="AZ176" s="398" t="e">
        <f t="shared" si="34"/>
        <v>#N/A</v>
      </c>
      <c r="BA176" s="657"/>
    </row>
    <row r="177" spans="2:53" ht="15.75">
      <c r="B177" s="647" t="s">
        <v>163</v>
      </c>
      <c r="C177" s="648"/>
      <c r="D177" s="648"/>
      <c r="E177" s="648"/>
      <c r="F177" s="648"/>
      <c r="G177" s="648"/>
      <c r="H177" s="649"/>
      <c r="I177" s="207"/>
      <c r="J177" s="207"/>
      <c r="K177" s="207"/>
      <c r="L177" s="207"/>
      <c r="M177" s="206"/>
      <c r="N177" s="636" t="s">
        <v>156</v>
      </c>
      <c r="O177" s="636" t="s">
        <v>105</v>
      </c>
      <c r="P177" s="642">
        <f>P142+7</f>
        <v>46203</v>
      </c>
      <c r="Q177" s="643"/>
      <c r="R177" s="643"/>
      <c r="S177" s="643"/>
      <c r="T177" s="643"/>
      <c r="U177" s="639">
        <f>P177+1</f>
        <v>46204</v>
      </c>
      <c r="V177" s="640"/>
      <c r="W177" s="640"/>
      <c r="X177" s="640"/>
      <c r="Y177" s="641"/>
      <c r="Z177" s="639">
        <f>U177+1</f>
        <v>46205</v>
      </c>
      <c r="AA177" s="640"/>
      <c r="AB177" s="640"/>
      <c r="AC177" s="640"/>
      <c r="AD177" s="641"/>
      <c r="AE177" s="639">
        <f>Z177+1</f>
        <v>46206</v>
      </c>
      <c r="AF177" s="640"/>
      <c r="AG177" s="640"/>
      <c r="AH177" s="640"/>
      <c r="AI177" s="641"/>
      <c r="AJ177" s="639">
        <f>AE177+1</f>
        <v>46207</v>
      </c>
      <c r="AK177" s="640"/>
      <c r="AL177" s="640"/>
      <c r="AM177" s="640"/>
      <c r="AN177" s="641"/>
      <c r="AO177" s="639">
        <f>AJ177+1</f>
        <v>46208</v>
      </c>
      <c r="AP177" s="640"/>
      <c r="AQ177" s="640"/>
      <c r="AR177" s="640"/>
      <c r="AS177" s="641"/>
      <c r="AT177" s="639">
        <f>AO177+1</f>
        <v>46209</v>
      </c>
      <c r="AU177" s="640"/>
      <c r="AV177" s="640"/>
      <c r="AW177" s="640"/>
      <c r="AX177" s="641"/>
    </row>
    <row r="178" spans="2:53" ht="15.75">
      <c r="B178" s="650"/>
      <c r="C178" s="650"/>
      <c r="D178" s="650"/>
      <c r="E178" s="650"/>
      <c r="F178" s="650"/>
      <c r="G178" s="650"/>
      <c r="H178" s="650"/>
      <c r="I178" s="204"/>
      <c r="J178" s="204"/>
      <c r="K178" s="204"/>
      <c r="L178" s="204"/>
      <c r="M178" s="205"/>
      <c r="N178" s="638"/>
      <c r="O178" s="638"/>
      <c r="P178" s="642" t="s">
        <v>158</v>
      </c>
      <c r="Q178" s="643"/>
      <c r="R178" s="643"/>
      <c r="S178" s="643"/>
      <c r="T178" s="643"/>
      <c r="U178" s="642" t="s">
        <v>114</v>
      </c>
      <c r="V178" s="643"/>
      <c r="W178" s="643"/>
      <c r="X178" s="643"/>
      <c r="Y178" s="643"/>
      <c r="Z178" s="642" t="s">
        <v>159</v>
      </c>
      <c r="AA178" s="643"/>
      <c r="AB178" s="643"/>
      <c r="AC178" s="643"/>
      <c r="AD178" s="643"/>
      <c r="AE178" s="642" t="s">
        <v>157</v>
      </c>
      <c r="AF178" s="643"/>
      <c r="AG178" s="643"/>
      <c r="AH178" s="643"/>
      <c r="AI178" s="643"/>
      <c r="AJ178" s="642" t="s">
        <v>160</v>
      </c>
      <c r="AK178" s="643"/>
      <c r="AL178" s="643"/>
      <c r="AM178" s="643"/>
      <c r="AN178" s="643"/>
      <c r="AO178" s="642" t="s">
        <v>115</v>
      </c>
      <c r="AP178" s="643"/>
      <c r="AQ178" s="643"/>
      <c r="AR178" s="643"/>
      <c r="AS178" s="643"/>
      <c r="AT178" s="642" t="s">
        <v>162</v>
      </c>
      <c r="AU178" s="643"/>
      <c r="AV178" s="643"/>
      <c r="AW178" s="643"/>
      <c r="AX178" s="643"/>
    </row>
    <row r="179" spans="2:53">
      <c r="B179" s="635" t="s">
        <v>154</v>
      </c>
      <c r="C179" s="635" t="s">
        <v>384</v>
      </c>
      <c r="D179" s="635"/>
      <c r="E179" s="635" t="s">
        <v>375</v>
      </c>
      <c r="F179" s="635"/>
      <c r="G179" s="635"/>
      <c r="H179" s="651" t="s">
        <v>371</v>
      </c>
      <c r="I179" s="619" t="s">
        <v>376</v>
      </c>
      <c r="J179" s="619"/>
      <c r="K179" s="619"/>
      <c r="L179" s="620" t="s">
        <v>371</v>
      </c>
      <c r="M179" s="626" t="s">
        <v>372</v>
      </c>
      <c r="N179" s="635"/>
      <c r="O179" s="635" t="s">
        <v>377</v>
      </c>
      <c r="P179" s="632" t="s">
        <v>373</v>
      </c>
      <c r="Q179" s="633"/>
      <c r="R179" s="633"/>
      <c r="S179" s="634"/>
      <c r="T179" s="635" t="s">
        <v>371</v>
      </c>
      <c r="U179" s="632" t="s">
        <v>373</v>
      </c>
      <c r="V179" s="633"/>
      <c r="W179" s="633"/>
      <c r="X179" s="634"/>
      <c r="Y179" s="635" t="s">
        <v>371</v>
      </c>
      <c r="Z179" s="632" t="s">
        <v>373</v>
      </c>
      <c r="AA179" s="633"/>
      <c r="AB179" s="633"/>
      <c r="AC179" s="634"/>
      <c r="AD179" s="635" t="s">
        <v>371</v>
      </c>
      <c r="AE179" s="632" t="s">
        <v>373</v>
      </c>
      <c r="AF179" s="633"/>
      <c r="AG179" s="633"/>
      <c r="AH179" s="634"/>
      <c r="AI179" s="635" t="s">
        <v>371</v>
      </c>
      <c r="AJ179" s="632" t="s">
        <v>373</v>
      </c>
      <c r="AK179" s="633"/>
      <c r="AL179" s="633"/>
      <c r="AM179" s="634"/>
      <c r="AN179" s="635" t="s">
        <v>371</v>
      </c>
      <c r="AO179" s="632" t="s">
        <v>373</v>
      </c>
      <c r="AP179" s="633"/>
      <c r="AQ179" s="633"/>
      <c r="AR179" s="634"/>
      <c r="AS179" s="635" t="s">
        <v>371</v>
      </c>
      <c r="AT179" s="632" t="s">
        <v>373</v>
      </c>
      <c r="AU179" s="633"/>
      <c r="AV179" s="633"/>
      <c r="AW179" s="634"/>
      <c r="AX179" s="635" t="s">
        <v>371</v>
      </c>
      <c r="BA179" s="635" t="s">
        <v>371</v>
      </c>
    </row>
    <row r="180" spans="2:53">
      <c r="B180" s="635"/>
      <c r="C180" s="635"/>
      <c r="D180" s="635"/>
      <c r="E180" s="635" t="s">
        <v>378</v>
      </c>
      <c r="F180" s="635"/>
      <c r="G180" s="635"/>
      <c r="H180" s="652"/>
      <c r="I180" s="619" t="s">
        <v>378</v>
      </c>
      <c r="J180" s="619"/>
      <c r="K180" s="619"/>
      <c r="L180" s="621"/>
      <c r="M180" s="627"/>
      <c r="N180" s="635"/>
      <c r="O180" s="635"/>
      <c r="P180" s="632" t="s">
        <v>379</v>
      </c>
      <c r="Q180" s="633"/>
      <c r="R180" s="633"/>
      <c r="S180" s="634"/>
      <c r="T180" s="635"/>
      <c r="U180" s="632" t="s">
        <v>379</v>
      </c>
      <c r="V180" s="633"/>
      <c r="W180" s="633"/>
      <c r="X180" s="634"/>
      <c r="Y180" s="635"/>
      <c r="Z180" s="632" t="s">
        <v>379</v>
      </c>
      <c r="AA180" s="633"/>
      <c r="AB180" s="633"/>
      <c r="AC180" s="634"/>
      <c r="AD180" s="635"/>
      <c r="AE180" s="632" t="s">
        <v>379</v>
      </c>
      <c r="AF180" s="633"/>
      <c r="AG180" s="633"/>
      <c r="AH180" s="634"/>
      <c r="AI180" s="635"/>
      <c r="AJ180" s="632" t="s">
        <v>379</v>
      </c>
      <c r="AK180" s="633"/>
      <c r="AL180" s="633"/>
      <c r="AM180" s="634"/>
      <c r="AN180" s="635"/>
      <c r="AO180" s="632" t="s">
        <v>379</v>
      </c>
      <c r="AP180" s="633"/>
      <c r="AQ180" s="633"/>
      <c r="AR180" s="634"/>
      <c r="AS180" s="635"/>
      <c r="AT180" s="632" t="s">
        <v>379</v>
      </c>
      <c r="AU180" s="633"/>
      <c r="AV180" s="633"/>
      <c r="AW180" s="634"/>
      <c r="AX180" s="635"/>
      <c r="BA180" s="635"/>
    </row>
    <row r="181" spans="2:53">
      <c r="B181" s="635"/>
      <c r="C181" s="635"/>
      <c r="D181" s="635"/>
      <c r="E181" s="312" t="s">
        <v>380</v>
      </c>
      <c r="F181" s="312" t="s">
        <v>381</v>
      </c>
      <c r="G181" s="312" t="s">
        <v>382</v>
      </c>
      <c r="H181" s="653"/>
      <c r="I181" s="313" t="s">
        <v>380</v>
      </c>
      <c r="J181" s="313" t="s">
        <v>381</v>
      </c>
      <c r="K181" s="313" t="s">
        <v>382</v>
      </c>
      <c r="L181" s="622"/>
      <c r="M181" s="628"/>
      <c r="N181" s="635"/>
      <c r="O181" s="635"/>
      <c r="P181" s="312" t="s">
        <v>380</v>
      </c>
      <c r="Q181" s="312" t="s">
        <v>381</v>
      </c>
      <c r="R181" s="312" t="s">
        <v>382</v>
      </c>
      <c r="S181" s="312" t="s">
        <v>372</v>
      </c>
      <c r="T181" s="635"/>
      <c r="U181" s="312" t="s">
        <v>380</v>
      </c>
      <c r="V181" s="312" t="s">
        <v>381</v>
      </c>
      <c r="W181" s="312" t="s">
        <v>382</v>
      </c>
      <c r="X181" s="312" t="s">
        <v>372</v>
      </c>
      <c r="Y181" s="635"/>
      <c r="Z181" s="312" t="s">
        <v>380</v>
      </c>
      <c r="AA181" s="312" t="s">
        <v>381</v>
      </c>
      <c r="AB181" s="312" t="s">
        <v>382</v>
      </c>
      <c r="AC181" s="312" t="s">
        <v>372</v>
      </c>
      <c r="AD181" s="635"/>
      <c r="AE181" s="312" t="s">
        <v>380</v>
      </c>
      <c r="AF181" s="312" t="s">
        <v>381</v>
      </c>
      <c r="AG181" s="312" t="s">
        <v>382</v>
      </c>
      <c r="AH181" s="312" t="s">
        <v>372</v>
      </c>
      <c r="AI181" s="635"/>
      <c r="AJ181" s="312" t="s">
        <v>380</v>
      </c>
      <c r="AK181" s="312" t="s">
        <v>381</v>
      </c>
      <c r="AL181" s="312" t="s">
        <v>382</v>
      </c>
      <c r="AM181" s="312" t="s">
        <v>372</v>
      </c>
      <c r="AN181" s="635"/>
      <c r="AO181" s="312" t="s">
        <v>380</v>
      </c>
      <c r="AP181" s="312" t="s">
        <v>381</v>
      </c>
      <c r="AQ181" s="312" t="s">
        <v>382</v>
      </c>
      <c r="AR181" s="312" t="s">
        <v>372</v>
      </c>
      <c r="AS181" s="635"/>
      <c r="AT181" s="312" t="s">
        <v>380</v>
      </c>
      <c r="AU181" s="312" t="s">
        <v>381</v>
      </c>
      <c r="AV181" s="312" t="s">
        <v>382</v>
      </c>
      <c r="AW181" s="312" t="s">
        <v>372</v>
      </c>
      <c r="AX181" s="635"/>
      <c r="AZ181" s="397" t="s">
        <v>372</v>
      </c>
      <c r="BA181" s="635"/>
    </row>
    <row r="182" spans="2:53">
      <c r="B182" s="635" t="s">
        <v>134</v>
      </c>
      <c r="C182" s="311">
        <v>1</v>
      </c>
      <c r="D182" s="225"/>
      <c r="E182" s="181"/>
      <c r="F182" s="389"/>
      <c r="G182" s="390"/>
      <c r="H182" s="685" t="e">
        <f>AVERAGE(G182:G211)</f>
        <v>#DIV/0!</v>
      </c>
      <c r="I182" s="391" t="str">
        <f>IFERROR(AVERAGE(P182,U182,Z182,AE182,AJ182,AO182,AT182),"-")</f>
        <v>-</v>
      </c>
      <c r="J182" s="391" t="str">
        <f>IFERROR(AVERAGE(Q182,V182,AA182,AF182,AK182,AP182,AU182),"-")</f>
        <v>-</v>
      </c>
      <c r="K182" s="199" t="str">
        <f>IFERROR(AVERAGE(R182,W182,AB182,AG182,AL182,AQ182,AV182),"-")</f>
        <v>-</v>
      </c>
      <c r="L182" s="616" t="str">
        <f>IFERROR(AVERAGE(K182:K211),"-")</f>
        <v>-</v>
      </c>
      <c r="M182" s="200" t="e">
        <f>RANK(K182, K$147:$K$176)</f>
        <v>#VALUE!</v>
      </c>
      <c r="N182" s="635"/>
      <c r="O182" s="635"/>
      <c r="P182" s="181"/>
      <c r="Q182" s="181"/>
      <c r="R182" s="181"/>
      <c r="S182" s="311" t="e">
        <f>RANK(R182, R$182:R$211)</f>
        <v>#N/A</v>
      </c>
      <c r="T182" s="657" t="e">
        <f>AVERAGE(R182:R211)</f>
        <v>#DIV/0!</v>
      </c>
      <c r="U182" s="181"/>
      <c r="V182" s="181"/>
      <c r="W182" s="181"/>
      <c r="X182" s="368" t="e">
        <f>RANK(W182, W$182:W$211)</f>
        <v>#N/A</v>
      </c>
      <c r="Y182" s="657" t="e">
        <f>AVERAGE(W182:W211)</f>
        <v>#DIV/0!</v>
      </c>
      <c r="Z182" s="181"/>
      <c r="AA182" s="181"/>
      <c r="AB182" s="181"/>
      <c r="AC182" s="368" t="e">
        <f>RANK(AB182, AB$182:AB$211)</f>
        <v>#N/A</v>
      </c>
      <c r="AD182" s="657" t="e">
        <f>AVERAGE(AB182:AB211)</f>
        <v>#DIV/0!</v>
      </c>
      <c r="AE182" s="181"/>
      <c r="AF182" s="181"/>
      <c r="AG182" s="181"/>
      <c r="AH182" s="368" t="e">
        <f>RANK(AG182, AG$182:AG$211)</f>
        <v>#N/A</v>
      </c>
      <c r="AI182" s="657" t="e">
        <f>AVERAGE(AG182:AG211)</f>
        <v>#DIV/0!</v>
      </c>
      <c r="AJ182" s="181"/>
      <c r="AK182" s="181"/>
      <c r="AL182" s="181"/>
      <c r="AM182" s="368" t="e">
        <f>RANK(AL182, AL$182:AL$211)</f>
        <v>#N/A</v>
      </c>
      <c r="AN182" s="657" t="e">
        <f>AVERAGE(AL182:AL211)</f>
        <v>#DIV/0!</v>
      </c>
      <c r="AO182" s="181"/>
      <c r="AP182" s="181"/>
      <c r="AQ182" s="181"/>
      <c r="AR182" s="368" t="e">
        <f>RANK(AQ182, AQ$182:AQ$211)</f>
        <v>#N/A</v>
      </c>
      <c r="AS182" s="657" t="e">
        <f>AVERAGE(AQ182:AQ211)</f>
        <v>#DIV/0!</v>
      </c>
      <c r="AT182" s="181"/>
      <c r="AU182" s="181"/>
      <c r="AV182" s="181"/>
      <c r="AW182" s="368" t="e">
        <f>RANK(AV182, AV$182:AV$211)</f>
        <v>#N/A</v>
      </c>
      <c r="AX182" s="657" t="e">
        <f>AVERAGE(AV182:AV211)</f>
        <v>#DIV/0!</v>
      </c>
      <c r="AZ182" s="398" t="e">
        <f>RANK(AY182, AY$182:AY$211)</f>
        <v>#N/A</v>
      </c>
      <c r="BA182" s="657" t="e">
        <f>AVERAGE(AY182:AY211)</f>
        <v>#DIV/0!</v>
      </c>
    </row>
    <row r="183" spans="2:53">
      <c r="B183" s="643"/>
      <c r="C183" s="311">
        <v>2</v>
      </c>
      <c r="D183" s="225"/>
      <c r="E183" s="181"/>
      <c r="F183" s="389"/>
      <c r="G183" s="390"/>
      <c r="H183" s="686"/>
      <c r="I183" s="391" t="str">
        <f t="shared" ref="I183:I211" si="35">IFERROR(AVERAGE(P183,U183,Z183,AE183,AJ183,AO183,AT183),"-")</f>
        <v>-</v>
      </c>
      <c r="J183" s="391" t="str">
        <f t="shared" ref="J183:J211" si="36">IFERROR(AVERAGE(Q183,V183,AA183,AF183,AK183,AP183,AU183),"-")</f>
        <v>-</v>
      </c>
      <c r="K183" s="199" t="str">
        <f t="shared" ref="K183:K211" si="37">IFERROR(AVERAGE(R183,W183,AB183,AG183,AL183,AQ183,AV183),"-")</f>
        <v>-</v>
      </c>
      <c r="L183" s="617"/>
      <c r="M183" s="200" t="e">
        <f>RANK(K183, K$147:$K$176)</f>
        <v>#VALUE!</v>
      </c>
      <c r="N183" s="635"/>
      <c r="O183" s="635"/>
      <c r="P183" s="181"/>
      <c r="Q183" s="181"/>
      <c r="R183" s="181"/>
      <c r="S183" s="368" t="e">
        <f t="shared" ref="S183:S211" si="38">RANK(R183, R$182:R$211)</f>
        <v>#N/A</v>
      </c>
      <c r="T183" s="657"/>
      <c r="U183" s="181"/>
      <c r="V183" s="181"/>
      <c r="W183" s="181"/>
      <c r="X183" s="368" t="e">
        <f t="shared" ref="X183:X211" si="39">RANK(W183, W$182:W$211)</f>
        <v>#N/A</v>
      </c>
      <c r="Y183" s="657"/>
      <c r="Z183" s="181"/>
      <c r="AA183" s="181"/>
      <c r="AB183" s="181"/>
      <c r="AC183" s="368" t="e">
        <f t="shared" ref="AC183:AC211" si="40">RANK(AB183, AB$182:AB$211)</f>
        <v>#N/A</v>
      </c>
      <c r="AD183" s="657"/>
      <c r="AE183" s="181"/>
      <c r="AF183" s="181"/>
      <c r="AG183" s="181"/>
      <c r="AH183" s="368" t="e">
        <f t="shared" ref="AH183:AH211" si="41">RANK(AG183, AG$182:AG$211)</f>
        <v>#N/A</v>
      </c>
      <c r="AI183" s="657"/>
      <c r="AJ183" s="181"/>
      <c r="AK183" s="181"/>
      <c r="AL183" s="181"/>
      <c r="AM183" s="368" t="e">
        <f t="shared" ref="AM183:AM211" si="42">RANK(AL183, AL$182:AL$211)</f>
        <v>#N/A</v>
      </c>
      <c r="AN183" s="657"/>
      <c r="AO183" s="181"/>
      <c r="AP183" s="181"/>
      <c r="AQ183" s="181"/>
      <c r="AR183" s="368" t="e">
        <f t="shared" ref="AR183:AR211" si="43">RANK(AQ183, AQ$182:AQ$211)</f>
        <v>#N/A</v>
      </c>
      <c r="AS183" s="657"/>
      <c r="AT183" s="181"/>
      <c r="AU183" s="181"/>
      <c r="AV183" s="181"/>
      <c r="AW183" s="368" t="e">
        <f t="shared" ref="AW183:AW211" si="44">RANK(AV183, AV$182:AV$211)</f>
        <v>#N/A</v>
      </c>
      <c r="AX183" s="657"/>
      <c r="AZ183" s="398" t="e">
        <f t="shared" ref="AZ183:AZ211" si="45">RANK(AY183, AY$182:AY$211)</f>
        <v>#N/A</v>
      </c>
      <c r="BA183" s="657"/>
    </row>
    <row r="184" spans="2:53">
      <c r="B184" s="643"/>
      <c r="C184" s="311">
        <v>3</v>
      </c>
      <c r="D184" s="225"/>
      <c r="E184" s="181"/>
      <c r="F184" s="389"/>
      <c r="G184" s="390"/>
      <c r="H184" s="686"/>
      <c r="I184" s="391" t="str">
        <f t="shared" si="35"/>
        <v>-</v>
      </c>
      <c r="J184" s="391" t="str">
        <f t="shared" si="36"/>
        <v>-</v>
      </c>
      <c r="K184" s="199" t="str">
        <f t="shared" si="37"/>
        <v>-</v>
      </c>
      <c r="L184" s="617"/>
      <c r="M184" s="200" t="e">
        <f>RANK(K184, K$147:$K$176)</f>
        <v>#VALUE!</v>
      </c>
      <c r="N184" s="635"/>
      <c r="O184" s="635"/>
      <c r="P184" s="181"/>
      <c r="Q184" s="181"/>
      <c r="R184" s="181"/>
      <c r="S184" s="368" t="e">
        <f t="shared" si="38"/>
        <v>#N/A</v>
      </c>
      <c r="T184" s="657"/>
      <c r="U184" s="181"/>
      <c r="V184" s="181"/>
      <c r="W184" s="181"/>
      <c r="X184" s="368" t="e">
        <f t="shared" si="39"/>
        <v>#N/A</v>
      </c>
      <c r="Y184" s="657"/>
      <c r="Z184" s="181"/>
      <c r="AA184" s="181"/>
      <c r="AB184" s="181"/>
      <c r="AC184" s="368" t="e">
        <f t="shared" si="40"/>
        <v>#N/A</v>
      </c>
      <c r="AD184" s="657"/>
      <c r="AE184" s="181"/>
      <c r="AF184" s="181"/>
      <c r="AG184" s="181"/>
      <c r="AH184" s="368" t="e">
        <f t="shared" si="41"/>
        <v>#N/A</v>
      </c>
      <c r="AI184" s="657"/>
      <c r="AJ184" s="181"/>
      <c r="AK184" s="181"/>
      <c r="AL184" s="181"/>
      <c r="AM184" s="368" t="e">
        <f t="shared" si="42"/>
        <v>#N/A</v>
      </c>
      <c r="AN184" s="657"/>
      <c r="AO184" s="181"/>
      <c r="AP184" s="181"/>
      <c r="AQ184" s="181"/>
      <c r="AR184" s="368" t="e">
        <f t="shared" si="43"/>
        <v>#N/A</v>
      </c>
      <c r="AS184" s="657"/>
      <c r="AT184" s="181"/>
      <c r="AU184" s="181"/>
      <c r="AV184" s="181"/>
      <c r="AW184" s="368" t="e">
        <f t="shared" si="44"/>
        <v>#N/A</v>
      </c>
      <c r="AX184" s="657"/>
      <c r="AZ184" s="398" t="e">
        <f t="shared" si="45"/>
        <v>#N/A</v>
      </c>
      <c r="BA184" s="657"/>
    </row>
    <row r="185" spans="2:53">
      <c r="B185" s="643"/>
      <c r="C185" s="311">
        <v>4</v>
      </c>
      <c r="D185" s="225"/>
      <c r="E185" s="181"/>
      <c r="F185" s="389"/>
      <c r="G185" s="390"/>
      <c r="H185" s="686"/>
      <c r="I185" s="391" t="str">
        <f t="shared" si="35"/>
        <v>-</v>
      </c>
      <c r="J185" s="391" t="str">
        <f t="shared" si="36"/>
        <v>-</v>
      </c>
      <c r="K185" s="199" t="str">
        <f t="shared" si="37"/>
        <v>-</v>
      </c>
      <c r="L185" s="617"/>
      <c r="M185" s="200" t="e">
        <f>RANK(K185, K$147:$K$176)</f>
        <v>#VALUE!</v>
      </c>
      <c r="N185" s="635"/>
      <c r="O185" s="635"/>
      <c r="P185" s="181"/>
      <c r="Q185" s="181"/>
      <c r="R185" s="181"/>
      <c r="S185" s="368" t="e">
        <f t="shared" si="38"/>
        <v>#N/A</v>
      </c>
      <c r="T185" s="657"/>
      <c r="U185" s="181"/>
      <c r="V185" s="181"/>
      <c r="W185" s="181"/>
      <c r="X185" s="368" t="e">
        <f t="shared" si="39"/>
        <v>#N/A</v>
      </c>
      <c r="Y185" s="657"/>
      <c r="Z185" s="181"/>
      <c r="AA185" s="181"/>
      <c r="AB185" s="181"/>
      <c r="AC185" s="368" t="e">
        <f t="shared" si="40"/>
        <v>#N/A</v>
      </c>
      <c r="AD185" s="657"/>
      <c r="AE185" s="181"/>
      <c r="AF185" s="181"/>
      <c r="AG185" s="181"/>
      <c r="AH185" s="368" t="e">
        <f t="shared" si="41"/>
        <v>#N/A</v>
      </c>
      <c r="AI185" s="657"/>
      <c r="AJ185" s="181"/>
      <c r="AK185" s="181"/>
      <c r="AL185" s="181"/>
      <c r="AM185" s="368" t="e">
        <f t="shared" si="42"/>
        <v>#N/A</v>
      </c>
      <c r="AN185" s="657"/>
      <c r="AO185" s="181"/>
      <c r="AP185" s="181"/>
      <c r="AQ185" s="181"/>
      <c r="AR185" s="368" t="e">
        <f t="shared" si="43"/>
        <v>#N/A</v>
      </c>
      <c r="AS185" s="657"/>
      <c r="AT185" s="181"/>
      <c r="AU185" s="181"/>
      <c r="AV185" s="181"/>
      <c r="AW185" s="368" t="e">
        <f t="shared" si="44"/>
        <v>#N/A</v>
      </c>
      <c r="AX185" s="657"/>
      <c r="AZ185" s="398" t="e">
        <f t="shared" si="45"/>
        <v>#N/A</v>
      </c>
      <c r="BA185" s="657"/>
    </row>
    <row r="186" spans="2:53">
      <c r="B186" s="643"/>
      <c r="C186" s="311">
        <v>5</v>
      </c>
      <c r="D186" s="225"/>
      <c r="E186" s="181"/>
      <c r="F186" s="389"/>
      <c r="G186" s="390"/>
      <c r="H186" s="686"/>
      <c r="I186" s="391" t="str">
        <f t="shared" si="35"/>
        <v>-</v>
      </c>
      <c r="J186" s="391" t="str">
        <f t="shared" si="36"/>
        <v>-</v>
      </c>
      <c r="K186" s="199" t="str">
        <f t="shared" si="37"/>
        <v>-</v>
      </c>
      <c r="L186" s="617"/>
      <c r="M186" s="200" t="e">
        <f>RANK(K186, K$147:$K$176)</f>
        <v>#VALUE!</v>
      </c>
      <c r="N186" s="635"/>
      <c r="O186" s="635"/>
      <c r="P186" s="181"/>
      <c r="Q186" s="181"/>
      <c r="R186" s="181"/>
      <c r="S186" s="368" t="e">
        <f t="shared" si="38"/>
        <v>#N/A</v>
      </c>
      <c r="T186" s="657"/>
      <c r="U186" s="181"/>
      <c r="V186" s="181"/>
      <c r="W186" s="181"/>
      <c r="X186" s="368" t="e">
        <f t="shared" si="39"/>
        <v>#N/A</v>
      </c>
      <c r="Y186" s="657"/>
      <c r="Z186" s="181"/>
      <c r="AA186" s="181"/>
      <c r="AB186" s="181"/>
      <c r="AC186" s="368" t="e">
        <f t="shared" si="40"/>
        <v>#N/A</v>
      </c>
      <c r="AD186" s="657"/>
      <c r="AE186" s="181"/>
      <c r="AF186" s="181"/>
      <c r="AG186" s="181"/>
      <c r="AH186" s="368" t="e">
        <f t="shared" si="41"/>
        <v>#N/A</v>
      </c>
      <c r="AI186" s="657"/>
      <c r="AJ186" s="181"/>
      <c r="AK186" s="181"/>
      <c r="AL186" s="181"/>
      <c r="AM186" s="368" t="e">
        <f t="shared" si="42"/>
        <v>#N/A</v>
      </c>
      <c r="AN186" s="657"/>
      <c r="AO186" s="181"/>
      <c r="AP186" s="181"/>
      <c r="AQ186" s="181"/>
      <c r="AR186" s="368" t="e">
        <f t="shared" si="43"/>
        <v>#N/A</v>
      </c>
      <c r="AS186" s="657"/>
      <c r="AT186" s="181"/>
      <c r="AU186" s="181"/>
      <c r="AV186" s="181"/>
      <c r="AW186" s="368" t="e">
        <f t="shared" si="44"/>
        <v>#N/A</v>
      </c>
      <c r="AX186" s="657"/>
      <c r="AZ186" s="398" t="e">
        <f t="shared" si="45"/>
        <v>#N/A</v>
      </c>
      <c r="BA186" s="657"/>
    </row>
    <row r="187" spans="2:53">
      <c r="B187" s="643"/>
      <c r="C187" s="311">
        <v>6</v>
      </c>
      <c r="D187" s="225"/>
      <c r="E187" s="181"/>
      <c r="F187" s="389"/>
      <c r="G187" s="390"/>
      <c r="H187" s="686"/>
      <c r="I187" s="391" t="str">
        <f t="shared" si="35"/>
        <v>-</v>
      </c>
      <c r="J187" s="391" t="str">
        <f t="shared" si="36"/>
        <v>-</v>
      </c>
      <c r="K187" s="199" t="str">
        <f t="shared" si="37"/>
        <v>-</v>
      </c>
      <c r="L187" s="617"/>
      <c r="M187" s="200" t="e">
        <f>RANK(K187, K$147:$K$176)</f>
        <v>#VALUE!</v>
      </c>
      <c r="N187" s="635"/>
      <c r="O187" s="635"/>
      <c r="P187" s="181"/>
      <c r="Q187" s="181"/>
      <c r="R187" s="181"/>
      <c r="S187" s="368" t="e">
        <f t="shared" si="38"/>
        <v>#N/A</v>
      </c>
      <c r="T187" s="657"/>
      <c r="U187" s="181"/>
      <c r="V187" s="181"/>
      <c r="W187" s="181"/>
      <c r="X187" s="368" t="e">
        <f t="shared" si="39"/>
        <v>#N/A</v>
      </c>
      <c r="Y187" s="657"/>
      <c r="Z187" s="181"/>
      <c r="AA187" s="181"/>
      <c r="AB187" s="181"/>
      <c r="AC187" s="368" t="e">
        <f t="shared" si="40"/>
        <v>#N/A</v>
      </c>
      <c r="AD187" s="657"/>
      <c r="AE187" s="181"/>
      <c r="AF187" s="181"/>
      <c r="AG187" s="181"/>
      <c r="AH187" s="368" t="e">
        <f t="shared" si="41"/>
        <v>#N/A</v>
      </c>
      <c r="AI187" s="657"/>
      <c r="AJ187" s="181"/>
      <c r="AK187" s="181"/>
      <c r="AL187" s="181"/>
      <c r="AM187" s="368" t="e">
        <f t="shared" si="42"/>
        <v>#N/A</v>
      </c>
      <c r="AN187" s="657"/>
      <c r="AO187" s="181"/>
      <c r="AP187" s="181"/>
      <c r="AQ187" s="181"/>
      <c r="AR187" s="368" t="e">
        <f t="shared" si="43"/>
        <v>#N/A</v>
      </c>
      <c r="AS187" s="657"/>
      <c r="AT187" s="181"/>
      <c r="AU187" s="181"/>
      <c r="AV187" s="181"/>
      <c r="AW187" s="368" t="e">
        <f t="shared" si="44"/>
        <v>#N/A</v>
      </c>
      <c r="AX187" s="657"/>
      <c r="AZ187" s="398" t="e">
        <f t="shared" si="45"/>
        <v>#N/A</v>
      </c>
      <c r="BA187" s="657"/>
    </row>
    <row r="188" spans="2:53">
      <c r="B188" s="643"/>
      <c r="C188" s="311">
        <v>7</v>
      </c>
      <c r="D188" s="225"/>
      <c r="E188" s="181"/>
      <c r="F188" s="389"/>
      <c r="G188" s="390"/>
      <c r="H188" s="686"/>
      <c r="I188" s="391" t="str">
        <f t="shared" si="35"/>
        <v>-</v>
      </c>
      <c r="J188" s="391" t="str">
        <f t="shared" si="36"/>
        <v>-</v>
      </c>
      <c r="K188" s="199" t="str">
        <f t="shared" si="37"/>
        <v>-</v>
      </c>
      <c r="L188" s="617"/>
      <c r="M188" s="200" t="e">
        <f>RANK(K188, K$147:$K$176)</f>
        <v>#VALUE!</v>
      </c>
      <c r="N188" s="635"/>
      <c r="O188" s="635"/>
      <c r="P188" s="181"/>
      <c r="Q188" s="181"/>
      <c r="R188" s="181"/>
      <c r="S188" s="368" t="e">
        <f t="shared" si="38"/>
        <v>#N/A</v>
      </c>
      <c r="T188" s="657"/>
      <c r="U188" s="181"/>
      <c r="V188" s="181"/>
      <c r="W188" s="181"/>
      <c r="X188" s="368" t="e">
        <f t="shared" si="39"/>
        <v>#N/A</v>
      </c>
      <c r="Y188" s="657"/>
      <c r="Z188" s="181"/>
      <c r="AA188" s="181"/>
      <c r="AB188" s="181"/>
      <c r="AC188" s="368" t="e">
        <f t="shared" si="40"/>
        <v>#N/A</v>
      </c>
      <c r="AD188" s="657"/>
      <c r="AE188" s="181"/>
      <c r="AF188" s="181"/>
      <c r="AG188" s="181"/>
      <c r="AH188" s="368" t="e">
        <f t="shared" si="41"/>
        <v>#N/A</v>
      </c>
      <c r="AI188" s="657"/>
      <c r="AJ188" s="181"/>
      <c r="AK188" s="181"/>
      <c r="AL188" s="181"/>
      <c r="AM188" s="368" t="e">
        <f t="shared" si="42"/>
        <v>#N/A</v>
      </c>
      <c r="AN188" s="657"/>
      <c r="AO188" s="181"/>
      <c r="AP188" s="181"/>
      <c r="AQ188" s="181"/>
      <c r="AR188" s="368" t="e">
        <f t="shared" si="43"/>
        <v>#N/A</v>
      </c>
      <c r="AS188" s="657"/>
      <c r="AT188" s="181"/>
      <c r="AU188" s="181"/>
      <c r="AV188" s="181"/>
      <c r="AW188" s="368" t="e">
        <f t="shared" si="44"/>
        <v>#N/A</v>
      </c>
      <c r="AX188" s="657"/>
      <c r="AZ188" s="398" t="e">
        <f t="shared" si="45"/>
        <v>#N/A</v>
      </c>
      <c r="BA188" s="657"/>
    </row>
    <row r="189" spans="2:53">
      <c r="B189" s="643"/>
      <c r="C189" s="311">
        <v>8</v>
      </c>
      <c r="D189" s="225"/>
      <c r="E189" s="181"/>
      <c r="F189" s="389"/>
      <c r="G189" s="390"/>
      <c r="H189" s="686"/>
      <c r="I189" s="391" t="str">
        <f t="shared" si="35"/>
        <v>-</v>
      </c>
      <c r="J189" s="391" t="str">
        <f t="shared" si="36"/>
        <v>-</v>
      </c>
      <c r="K189" s="199" t="str">
        <f t="shared" si="37"/>
        <v>-</v>
      </c>
      <c r="L189" s="617"/>
      <c r="M189" s="200" t="e">
        <f>RANK(K189, K$147:$K$176)</f>
        <v>#VALUE!</v>
      </c>
      <c r="N189" s="635"/>
      <c r="O189" s="635"/>
      <c r="P189" s="181"/>
      <c r="Q189" s="181"/>
      <c r="R189" s="181"/>
      <c r="S189" s="368" t="e">
        <f t="shared" si="38"/>
        <v>#N/A</v>
      </c>
      <c r="T189" s="657"/>
      <c r="U189" s="181"/>
      <c r="V189" s="181"/>
      <c r="W189" s="181"/>
      <c r="X189" s="368" t="e">
        <f t="shared" si="39"/>
        <v>#N/A</v>
      </c>
      <c r="Y189" s="657"/>
      <c r="Z189" s="181"/>
      <c r="AA189" s="181"/>
      <c r="AB189" s="181"/>
      <c r="AC189" s="368" t="e">
        <f t="shared" si="40"/>
        <v>#N/A</v>
      </c>
      <c r="AD189" s="657"/>
      <c r="AE189" s="181"/>
      <c r="AF189" s="181"/>
      <c r="AG189" s="181"/>
      <c r="AH189" s="368" t="e">
        <f t="shared" si="41"/>
        <v>#N/A</v>
      </c>
      <c r="AI189" s="657"/>
      <c r="AJ189" s="181"/>
      <c r="AK189" s="181"/>
      <c r="AL189" s="181"/>
      <c r="AM189" s="368" t="e">
        <f t="shared" si="42"/>
        <v>#N/A</v>
      </c>
      <c r="AN189" s="657"/>
      <c r="AO189" s="181"/>
      <c r="AP189" s="181"/>
      <c r="AQ189" s="181"/>
      <c r="AR189" s="368" t="e">
        <f t="shared" si="43"/>
        <v>#N/A</v>
      </c>
      <c r="AS189" s="657"/>
      <c r="AT189" s="181"/>
      <c r="AU189" s="181"/>
      <c r="AV189" s="181"/>
      <c r="AW189" s="368" t="e">
        <f t="shared" si="44"/>
        <v>#N/A</v>
      </c>
      <c r="AX189" s="657"/>
      <c r="AZ189" s="398" t="e">
        <f t="shared" si="45"/>
        <v>#N/A</v>
      </c>
      <c r="BA189" s="657"/>
    </row>
    <row r="190" spans="2:53">
      <c r="B190" s="643"/>
      <c r="C190" s="311">
        <v>9</v>
      </c>
      <c r="D190" s="225"/>
      <c r="E190" s="181"/>
      <c r="F190" s="389"/>
      <c r="G190" s="390"/>
      <c r="H190" s="686"/>
      <c r="I190" s="391" t="str">
        <f t="shared" si="35"/>
        <v>-</v>
      </c>
      <c r="J190" s="391" t="str">
        <f t="shared" si="36"/>
        <v>-</v>
      </c>
      <c r="K190" s="199" t="str">
        <f t="shared" si="37"/>
        <v>-</v>
      </c>
      <c r="L190" s="617"/>
      <c r="M190" s="200" t="e">
        <f>RANK(K190, K$147:$K$176)</f>
        <v>#VALUE!</v>
      </c>
      <c r="N190" s="635"/>
      <c r="O190" s="635"/>
      <c r="P190" s="181"/>
      <c r="Q190" s="181"/>
      <c r="R190" s="181"/>
      <c r="S190" s="368" t="e">
        <f t="shared" si="38"/>
        <v>#N/A</v>
      </c>
      <c r="T190" s="657"/>
      <c r="U190" s="181"/>
      <c r="V190" s="181"/>
      <c r="W190" s="181"/>
      <c r="X190" s="368" t="e">
        <f t="shared" si="39"/>
        <v>#N/A</v>
      </c>
      <c r="Y190" s="657"/>
      <c r="Z190" s="181"/>
      <c r="AA190" s="181"/>
      <c r="AB190" s="181"/>
      <c r="AC190" s="368" t="e">
        <f t="shared" si="40"/>
        <v>#N/A</v>
      </c>
      <c r="AD190" s="657"/>
      <c r="AE190" s="181"/>
      <c r="AF190" s="181"/>
      <c r="AG190" s="181"/>
      <c r="AH190" s="368" t="e">
        <f t="shared" si="41"/>
        <v>#N/A</v>
      </c>
      <c r="AI190" s="657"/>
      <c r="AJ190" s="181"/>
      <c r="AK190" s="181"/>
      <c r="AL190" s="181"/>
      <c r="AM190" s="368" t="e">
        <f t="shared" si="42"/>
        <v>#N/A</v>
      </c>
      <c r="AN190" s="657"/>
      <c r="AO190" s="181"/>
      <c r="AP190" s="181"/>
      <c r="AQ190" s="181"/>
      <c r="AR190" s="368" t="e">
        <f t="shared" si="43"/>
        <v>#N/A</v>
      </c>
      <c r="AS190" s="657"/>
      <c r="AT190" s="181"/>
      <c r="AU190" s="181"/>
      <c r="AV190" s="181"/>
      <c r="AW190" s="368" t="e">
        <f t="shared" si="44"/>
        <v>#N/A</v>
      </c>
      <c r="AX190" s="657"/>
      <c r="AZ190" s="398" t="e">
        <f t="shared" si="45"/>
        <v>#N/A</v>
      </c>
      <c r="BA190" s="657"/>
    </row>
    <row r="191" spans="2:53">
      <c r="B191" s="643"/>
      <c r="C191" s="311">
        <v>10</v>
      </c>
      <c r="D191" s="225"/>
      <c r="E191" s="181"/>
      <c r="F191" s="389"/>
      <c r="G191" s="390"/>
      <c r="H191" s="686"/>
      <c r="I191" s="391" t="str">
        <f t="shared" si="35"/>
        <v>-</v>
      </c>
      <c r="J191" s="391" t="str">
        <f t="shared" si="36"/>
        <v>-</v>
      </c>
      <c r="K191" s="199" t="str">
        <f t="shared" si="37"/>
        <v>-</v>
      </c>
      <c r="L191" s="617"/>
      <c r="M191" s="200" t="e">
        <f>RANK(K191, K$147:$K$176)</f>
        <v>#VALUE!</v>
      </c>
      <c r="N191" s="635"/>
      <c r="O191" s="635"/>
      <c r="P191" s="181"/>
      <c r="Q191" s="181"/>
      <c r="R191" s="181"/>
      <c r="S191" s="368" t="e">
        <f t="shared" si="38"/>
        <v>#N/A</v>
      </c>
      <c r="T191" s="657"/>
      <c r="U191" s="181"/>
      <c r="V191" s="181"/>
      <c r="W191" s="181"/>
      <c r="X191" s="368" t="e">
        <f t="shared" si="39"/>
        <v>#N/A</v>
      </c>
      <c r="Y191" s="657"/>
      <c r="Z191" s="181"/>
      <c r="AA191" s="181"/>
      <c r="AB191" s="181"/>
      <c r="AC191" s="368" t="e">
        <f t="shared" si="40"/>
        <v>#N/A</v>
      </c>
      <c r="AD191" s="657"/>
      <c r="AE191" s="181"/>
      <c r="AF191" s="181"/>
      <c r="AG191" s="181"/>
      <c r="AH191" s="368" t="e">
        <f t="shared" si="41"/>
        <v>#N/A</v>
      </c>
      <c r="AI191" s="657"/>
      <c r="AJ191" s="181"/>
      <c r="AK191" s="181"/>
      <c r="AL191" s="181"/>
      <c r="AM191" s="368" t="e">
        <f t="shared" si="42"/>
        <v>#N/A</v>
      </c>
      <c r="AN191" s="657"/>
      <c r="AO191" s="181"/>
      <c r="AP191" s="181"/>
      <c r="AQ191" s="181"/>
      <c r="AR191" s="368" t="e">
        <f t="shared" si="43"/>
        <v>#N/A</v>
      </c>
      <c r="AS191" s="657"/>
      <c r="AT191" s="181"/>
      <c r="AU191" s="181"/>
      <c r="AV191" s="181"/>
      <c r="AW191" s="368" t="e">
        <f t="shared" si="44"/>
        <v>#N/A</v>
      </c>
      <c r="AX191" s="657"/>
      <c r="AZ191" s="398" t="e">
        <f t="shared" si="45"/>
        <v>#N/A</v>
      </c>
      <c r="BA191" s="657"/>
    </row>
    <row r="192" spans="2:53">
      <c r="B192" s="643"/>
      <c r="C192" s="311">
        <v>11</v>
      </c>
      <c r="D192" s="225"/>
      <c r="E192" s="181"/>
      <c r="F192" s="389"/>
      <c r="G192" s="390"/>
      <c r="H192" s="686"/>
      <c r="I192" s="391" t="str">
        <f t="shared" si="35"/>
        <v>-</v>
      </c>
      <c r="J192" s="391" t="str">
        <f t="shared" si="36"/>
        <v>-</v>
      </c>
      <c r="K192" s="199" t="str">
        <f t="shared" si="37"/>
        <v>-</v>
      </c>
      <c r="L192" s="617"/>
      <c r="M192" s="200" t="e">
        <f>RANK(K192, K$147:$K$176)</f>
        <v>#VALUE!</v>
      </c>
      <c r="N192" s="635"/>
      <c r="O192" s="635"/>
      <c r="P192" s="181"/>
      <c r="Q192" s="181"/>
      <c r="R192" s="181"/>
      <c r="S192" s="368" t="e">
        <f t="shared" si="38"/>
        <v>#N/A</v>
      </c>
      <c r="T192" s="657"/>
      <c r="U192" s="181"/>
      <c r="V192" s="181"/>
      <c r="W192" s="181"/>
      <c r="X192" s="368" t="e">
        <f t="shared" si="39"/>
        <v>#N/A</v>
      </c>
      <c r="Y192" s="657"/>
      <c r="Z192" s="181"/>
      <c r="AA192" s="181"/>
      <c r="AB192" s="181"/>
      <c r="AC192" s="368" t="e">
        <f t="shared" si="40"/>
        <v>#N/A</v>
      </c>
      <c r="AD192" s="657"/>
      <c r="AE192" s="181"/>
      <c r="AF192" s="181"/>
      <c r="AG192" s="181"/>
      <c r="AH192" s="368" t="e">
        <f t="shared" si="41"/>
        <v>#N/A</v>
      </c>
      <c r="AI192" s="657"/>
      <c r="AJ192" s="181"/>
      <c r="AK192" s="181"/>
      <c r="AL192" s="181"/>
      <c r="AM192" s="368" t="e">
        <f t="shared" si="42"/>
        <v>#N/A</v>
      </c>
      <c r="AN192" s="657"/>
      <c r="AO192" s="181"/>
      <c r="AP192" s="181"/>
      <c r="AQ192" s="181"/>
      <c r="AR192" s="368" t="e">
        <f t="shared" si="43"/>
        <v>#N/A</v>
      </c>
      <c r="AS192" s="657"/>
      <c r="AT192" s="181"/>
      <c r="AU192" s="181"/>
      <c r="AV192" s="181"/>
      <c r="AW192" s="368" t="e">
        <f t="shared" si="44"/>
        <v>#N/A</v>
      </c>
      <c r="AX192" s="657"/>
      <c r="AZ192" s="398" t="e">
        <f t="shared" si="45"/>
        <v>#N/A</v>
      </c>
      <c r="BA192" s="657"/>
    </row>
    <row r="193" spans="2:53">
      <c r="B193" s="643"/>
      <c r="C193" s="311">
        <v>12</v>
      </c>
      <c r="D193" s="225"/>
      <c r="E193" s="181"/>
      <c r="F193" s="389"/>
      <c r="G193" s="390"/>
      <c r="H193" s="686"/>
      <c r="I193" s="391" t="str">
        <f t="shared" si="35"/>
        <v>-</v>
      </c>
      <c r="J193" s="391" t="str">
        <f t="shared" si="36"/>
        <v>-</v>
      </c>
      <c r="K193" s="199" t="str">
        <f t="shared" si="37"/>
        <v>-</v>
      </c>
      <c r="L193" s="617"/>
      <c r="M193" s="200" t="e">
        <f>RANK(K193, K$147:$K$176)</f>
        <v>#VALUE!</v>
      </c>
      <c r="N193" s="635"/>
      <c r="O193" s="635"/>
      <c r="P193" s="181"/>
      <c r="Q193" s="181"/>
      <c r="R193" s="181"/>
      <c r="S193" s="368" t="e">
        <f t="shared" si="38"/>
        <v>#N/A</v>
      </c>
      <c r="T193" s="657"/>
      <c r="U193" s="181"/>
      <c r="V193" s="181"/>
      <c r="W193" s="181"/>
      <c r="X193" s="368" t="e">
        <f t="shared" si="39"/>
        <v>#N/A</v>
      </c>
      <c r="Y193" s="657"/>
      <c r="Z193" s="181"/>
      <c r="AA193" s="181"/>
      <c r="AB193" s="181"/>
      <c r="AC193" s="368" t="e">
        <f t="shared" si="40"/>
        <v>#N/A</v>
      </c>
      <c r="AD193" s="657"/>
      <c r="AE193" s="181"/>
      <c r="AF193" s="181"/>
      <c r="AG193" s="181"/>
      <c r="AH193" s="368" t="e">
        <f t="shared" si="41"/>
        <v>#N/A</v>
      </c>
      <c r="AI193" s="657"/>
      <c r="AJ193" s="181"/>
      <c r="AK193" s="181"/>
      <c r="AL193" s="181"/>
      <c r="AM193" s="368" t="e">
        <f t="shared" si="42"/>
        <v>#N/A</v>
      </c>
      <c r="AN193" s="657"/>
      <c r="AO193" s="181"/>
      <c r="AP193" s="181"/>
      <c r="AQ193" s="181"/>
      <c r="AR193" s="368" t="e">
        <f t="shared" si="43"/>
        <v>#N/A</v>
      </c>
      <c r="AS193" s="657"/>
      <c r="AT193" s="181"/>
      <c r="AU193" s="181"/>
      <c r="AV193" s="181"/>
      <c r="AW193" s="368" t="e">
        <f t="shared" si="44"/>
        <v>#N/A</v>
      </c>
      <c r="AX193" s="657"/>
      <c r="AZ193" s="398" t="e">
        <f t="shared" si="45"/>
        <v>#N/A</v>
      </c>
      <c r="BA193" s="657"/>
    </row>
    <row r="194" spans="2:53">
      <c r="B194" s="643"/>
      <c r="C194" s="311">
        <v>13</v>
      </c>
      <c r="D194" s="225"/>
      <c r="E194" s="181"/>
      <c r="F194" s="389"/>
      <c r="G194" s="390"/>
      <c r="H194" s="686"/>
      <c r="I194" s="391" t="str">
        <f t="shared" si="35"/>
        <v>-</v>
      </c>
      <c r="J194" s="391" t="str">
        <f t="shared" si="36"/>
        <v>-</v>
      </c>
      <c r="K194" s="199" t="str">
        <f t="shared" si="37"/>
        <v>-</v>
      </c>
      <c r="L194" s="617"/>
      <c r="M194" s="200" t="e">
        <f>RANK(K194, K$147:$K$176)</f>
        <v>#VALUE!</v>
      </c>
      <c r="N194" s="635"/>
      <c r="O194" s="635"/>
      <c r="P194" s="181"/>
      <c r="Q194" s="181"/>
      <c r="R194" s="181"/>
      <c r="S194" s="368" t="e">
        <f t="shared" si="38"/>
        <v>#N/A</v>
      </c>
      <c r="T194" s="657"/>
      <c r="U194" s="181"/>
      <c r="V194" s="181"/>
      <c r="W194" s="181"/>
      <c r="X194" s="368" t="e">
        <f t="shared" si="39"/>
        <v>#N/A</v>
      </c>
      <c r="Y194" s="657"/>
      <c r="Z194" s="181"/>
      <c r="AA194" s="181"/>
      <c r="AB194" s="181"/>
      <c r="AC194" s="368" t="e">
        <f t="shared" si="40"/>
        <v>#N/A</v>
      </c>
      <c r="AD194" s="657"/>
      <c r="AE194" s="181"/>
      <c r="AF194" s="181"/>
      <c r="AG194" s="181"/>
      <c r="AH194" s="368" t="e">
        <f t="shared" si="41"/>
        <v>#N/A</v>
      </c>
      <c r="AI194" s="657"/>
      <c r="AJ194" s="181"/>
      <c r="AK194" s="181"/>
      <c r="AL194" s="181"/>
      <c r="AM194" s="368" t="e">
        <f t="shared" si="42"/>
        <v>#N/A</v>
      </c>
      <c r="AN194" s="657"/>
      <c r="AO194" s="181"/>
      <c r="AP194" s="181"/>
      <c r="AQ194" s="181"/>
      <c r="AR194" s="368" t="e">
        <f t="shared" si="43"/>
        <v>#N/A</v>
      </c>
      <c r="AS194" s="657"/>
      <c r="AT194" s="181"/>
      <c r="AU194" s="181"/>
      <c r="AV194" s="181"/>
      <c r="AW194" s="368" t="e">
        <f t="shared" si="44"/>
        <v>#N/A</v>
      </c>
      <c r="AX194" s="657"/>
      <c r="AZ194" s="398" t="e">
        <f t="shared" si="45"/>
        <v>#N/A</v>
      </c>
      <c r="BA194" s="657"/>
    </row>
    <row r="195" spans="2:53">
      <c r="B195" s="643"/>
      <c r="C195" s="311">
        <v>14</v>
      </c>
      <c r="D195" s="225"/>
      <c r="E195" s="181"/>
      <c r="F195" s="389"/>
      <c r="G195" s="390"/>
      <c r="H195" s="686"/>
      <c r="I195" s="391" t="str">
        <f t="shared" si="35"/>
        <v>-</v>
      </c>
      <c r="J195" s="391" t="str">
        <f t="shared" si="36"/>
        <v>-</v>
      </c>
      <c r="K195" s="199" t="str">
        <f t="shared" si="37"/>
        <v>-</v>
      </c>
      <c r="L195" s="617"/>
      <c r="M195" s="200" t="e">
        <f>RANK(K195, K$147:$K$176)</f>
        <v>#VALUE!</v>
      </c>
      <c r="N195" s="635"/>
      <c r="O195" s="635"/>
      <c r="P195" s="181"/>
      <c r="Q195" s="181"/>
      <c r="R195" s="181"/>
      <c r="S195" s="368" t="e">
        <f t="shared" si="38"/>
        <v>#N/A</v>
      </c>
      <c r="T195" s="657"/>
      <c r="U195" s="181"/>
      <c r="V195" s="181"/>
      <c r="W195" s="181"/>
      <c r="X195" s="368" t="e">
        <f t="shared" si="39"/>
        <v>#N/A</v>
      </c>
      <c r="Y195" s="657"/>
      <c r="Z195" s="181"/>
      <c r="AA195" s="181"/>
      <c r="AB195" s="181"/>
      <c r="AC195" s="368" t="e">
        <f t="shared" si="40"/>
        <v>#N/A</v>
      </c>
      <c r="AD195" s="657"/>
      <c r="AE195" s="181"/>
      <c r="AF195" s="181"/>
      <c r="AG195" s="181"/>
      <c r="AH195" s="368" t="e">
        <f t="shared" si="41"/>
        <v>#N/A</v>
      </c>
      <c r="AI195" s="657"/>
      <c r="AJ195" s="181"/>
      <c r="AK195" s="181"/>
      <c r="AL195" s="181"/>
      <c r="AM195" s="368" t="e">
        <f t="shared" si="42"/>
        <v>#N/A</v>
      </c>
      <c r="AN195" s="657"/>
      <c r="AO195" s="181"/>
      <c r="AP195" s="181"/>
      <c r="AQ195" s="181"/>
      <c r="AR195" s="368" t="e">
        <f t="shared" si="43"/>
        <v>#N/A</v>
      </c>
      <c r="AS195" s="657"/>
      <c r="AT195" s="181"/>
      <c r="AU195" s="181"/>
      <c r="AV195" s="181"/>
      <c r="AW195" s="368" t="e">
        <f t="shared" si="44"/>
        <v>#N/A</v>
      </c>
      <c r="AX195" s="657"/>
      <c r="AZ195" s="398" t="e">
        <f t="shared" si="45"/>
        <v>#N/A</v>
      </c>
      <c r="BA195" s="657"/>
    </row>
    <row r="196" spans="2:53">
      <c r="B196" s="643"/>
      <c r="C196" s="311">
        <v>15</v>
      </c>
      <c r="D196" s="225"/>
      <c r="E196" s="181"/>
      <c r="F196" s="389"/>
      <c r="G196" s="390"/>
      <c r="H196" s="686"/>
      <c r="I196" s="391" t="str">
        <f t="shared" si="35"/>
        <v>-</v>
      </c>
      <c r="J196" s="391" t="str">
        <f t="shared" si="36"/>
        <v>-</v>
      </c>
      <c r="K196" s="199" t="str">
        <f t="shared" si="37"/>
        <v>-</v>
      </c>
      <c r="L196" s="617"/>
      <c r="M196" s="198" t="e">
        <f>RANK(K196, K$147:$K$176)</f>
        <v>#VALUE!</v>
      </c>
      <c r="N196" s="635"/>
      <c r="O196" s="635"/>
      <c r="P196" s="181"/>
      <c r="Q196" s="181"/>
      <c r="R196" s="181"/>
      <c r="S196" s="368" t="e">
        <f t="shared" si="38"/>
        <v>#N/A</v>
      </c>
      <c r="T196" s="657"/>
      <c r="U196" s="181"/>
      <c r="V196" s="181"/>
      <c r="W196" s="181"/>
      <c r="X196" s="368" t="e">
        <f t="shared" si="39"/>
        <v>#N/A</v>
      </c>
      <c r="Y196" s="657"/>
      <c r="Z196" s="181"/>
      <c r="AA196" s="181"/>
      <c r="AB196" s="181"/>
      <c r="AC196" s="368" t="e">
        <f t="shared" si="40"/>
        <v>#N/A</v>
      </c>
      <c r="AD196" s="657"/>
      <c r="AE196" s="181"/>
      <c r="AF196" s="181"/>
      <c r="AG196" s="181"/>
      <c r="AH196" s="368" t="e">
        <f t="shared" si="41"/>
        <v>#N/A</v>
      </c>
      <c r="AI196" s="657"/>
      <c r="AJ196" s="181"/>
      <c r="AK196" s="181"/>
      <c r="AL196" s="181"/>
      <c r="AM196" s="368" t="e">
        <f t="shared" si="42"/>
        <v>#N/A</v>
      </c>
      <c r="AN196" s="657"/>
      <c r="AO196" s="181"/>
      <c r="AP196" s="181"/>
      <c r="AQ196" s="181"/>
      <c r="AR196" s="368" t="e">
        <f t="shared" si="43"/>
        <v>#N/A</v>
      </c>
      <c r="AS196" s="657"/>
      <c r="AT196" s="181"/>
      <c r="AU196" s="181"/>
      <c r="AV196" s="181"/>
      <c r="AW196" s="368" t="e">
        <f t="shared" si="44"/>
        <v>#N/A</v>
      </c>
      <c r="AX196" s="657"/>
      <c r="AZ196" s="398" t="e">
        <f t="shared" si="45"/>
        <v>#N/A</v>
      </c>
      <c r="BA196" s="657"/>
    </row>
    <row r="197" spans="2:53">
      <c r="B197" s="643"/>
      <c r="C197" s="311">
        <v>16</v>
      </c>
      <c r="D197" s="225"/>
      <c r="E197" s="181"/>
      <c r="F197" s="389"/>
      <c r="G197" s="390"/>
      <c r="H197" s="686"/>
      <c r="I197" s="391" t="str">
        <f t="shared" si="35"/>
        <v>-</v>
      </c>
      <c r="J197" s="391" t="str">
        <f t="shared" si="36"/>
        <v>-</v>
      </c>
      <c r="K197" s="199" t="str">
        <f t="shared" si="37"/>
        <v>-</v>
      </c>
      <c r="L197" s="617"/>
      <c r="M197" s="198" t="e">
        <f>RANK(K197, K$147:$K$176)</f>
        <v>#VALUE!</v>
      </c>
      <c r="N197" s="635"/>
      <c r="O197" s="635"/>
      <c r="P197" s="181"/>
      <c r="Q197" s="181"/>
      <c r="R197" s="181"/>
      <c r="S197" s="368" t="e">
        <f t="shared" si="38"/>
        <v>#N/A</v>
      </c>
      <c r="T197" s="657"/>
      <c r="U197" s="181"/>
      <c r="V197" s="181"/>
      <c r="W197" s="181"/>
      <c r="X197" s="368" t="e">
        <f t="shared" si="39"/>
        <v>#N/A</v>
      </c>
      <c r="Y197" s="657"/>
      <c r="Z197" s="181"/>
      <c r="AA197" s="181"/>
      <c r="AB197" s="181"/>
      <c r="AC197" s="368" t="e">
        <f t="shared" si="40"/>
        <v>#N/A</v>
      </c>
      <c r="AD197" s="657"/>
      <c r="AE197" s="181"/>
      <c r="AF197" s="181"/>
      <c r="AG197" s="181"/>
      <c r="AH197" s="368" t="e">
        <f t="shared" si="41"/>
        <v>#N/A</v>
      </c>
      <c r="AI197" s="657"/>
      <c r="AJ197" s="181"/>
      <c r="AK197" s="181"/>
      <c r="AL197" s="181"/>
      <c r="AM197" s="368" t="e">
        <f t="shared" si="42"/>
        <v>#N/A</v>
      </c>
      <c r="AN197" s="657"/>
      <c r="AO197" s="181"/>
      <c r="AP197" s="181"/>
      <c r="AQ197" s="181"/>
      <c r="AR197" s="368" t="e">
        <f t="shared" si="43"/>
        <v>#N/A</v>
      </c>
      <c r="AS197" s="657"/>
      <c r="AT197" s="181"/>
      <c r="AU197" s="181"/>
      <c r="AV197" s="181"/>
      <c r="AW197" s="368" t="e">
        <f t="shared" si="44"/>
        <v>#N/A</v>
      </c>
      <c r="AX197" s="657"/>
      <c r="AZ197" s="398" t="e">
        <f t="shared" si="45"/>
        <v>#N/A</v>
      </c>
      <c r="BA197" s="657"/>
    </row>
    <row r="198" spans="2:53">
      <c r="B198" s="643"/>
      <c r="C198" s="311">
        <v>17</v>
      </c>
      <c r="D198" s="225"/>
      <c r="E198" s="181"/>
      <c r="F198" s="389"/>
      <c r="G198" s="390"/>
      <c r="H198" s="686"/>
      <c r="I198" s="391" t="str">
        <f t="shared" si="35"/>
        <v>-</v>
      </c>
      <c r="J198" s="391" t="str">
        <f t="shared" si="36"/>
        <v>-</v>
      </c>
      <c r="K198" s="199" t="str">
        <f t="shared" si="37"/>
        <v>-</v>
      </c>
      <c r="L198" s="617"/>
      <c r="M198" s="198" t="e">
        <f>RANK(K198, K$147:$K$176)</f>
        <v>#VALUE!</v>
      </c>
      <c r="N198" s="635"/>
      <c r="O198" s="635"/>
      <c r="P198" s="181"/>
      <c r="Q198" s="181"/>
      <c r="R198" s="181"/>
      <c r="S198" s="368" t="e">
        <f t="shared" si="38"/>
        <v>#N/A</v>
      </c>
      <c r="T198" s="657"/>
      <c r="U198" s="181"/>
      <c r="V198" s="181"/>
      <c r="W198" s="181"/>
      <c r="X198" s="368" t="e">
        <f t="shared" si="39"/>
        <v>#N/A</v>
      </c>
      <c r="Y198" s="657"/>
      <c r="Z198" s="181"/>
      <c r="AA198" s="181"/>
      <c r="AB198" s="181"/>
      <c r="AC198" s="368" t="e">
        <f t="shared" si="40"/>
        <v>#N/A</v>
      </c>
      <c r="AD198" s="657"/>
      <c r="AE198" s="181"/>
      <c r="AF198" s="181"/>
      <c r="AG198" s="181"/>
      <c r="AH198" s="368" t="e">
        <f t="shared" si="41"/>
        <v>#N/A</v>
      </c>
      <c r="AI198" s="657"/>
      <c r="AJ198" s="181"/>
      <c r="AK198" s="181"/>
      <c r="AL198" s="181"/>
      <c r="AM198" s="368" t="e">
        <f t="shared" si="42"/>
        <v>#N/A</v>
      </c>
      <c r="AN198" s="657"/>
      <c r="AO198" s="181"/>
      <c r="AP198" s="181"/>
      <c r="AQ198" s="181"/>
      <c r="AR198" s="368" t="e">
        <f t="shared" si="43"/>
        <v>#N/A</v>
      </c>
      <c r="AS198" s="657"/>
      <c r="AT198" s="181"/>
      <c r="AU198" s="181"/>
      <c r="AV198" s="181"/>
      <c r="AW198" s="368" t="e">
        <f t="shared" si="44"/>
        <v>#N/A</v>
      </c>
      <c r="AX198" s="657"/>
      <c r="AZ198" s="398" t="e">
        <f t="shared" si="45"/>
        <v>#N/A</v>
      </c>
      <c r="BA198" s="657"/>
    </row>
    <row r="199" spans="2:53">
      <c r="B199" s="643"/>
      <c r="C199" s="311">
        <v>18</v>
      </c>
      <c r="D199" s="225"/>
      <c r="E199" s="181"/>
      <c r="F199" s="389"/>
      <c r="G199" s="390"/>
      <c r="H199" s="686"/>
      <c r="I199" s="391" t="str">
        <f t="shared" si="35"/>
        <v>-</v>
      </c>
      <c r="J199" s="391" t="str">
        <f t="shared" si="36"/>
        <v>-</v>
      </c>
      <c r="K199" s="199" t="str">
        <f t="shared" si="37"/>
        <v>-</v>
      </c>
      <c r="L199" s="617"/>
      <c r="M199" s="198" t="e">
        <f>RANK(K199, K$147:$K$176)</f>
        <v>#VALUE!</v>
      </c>
      <c r="N199" s="635"/>
      <c r="O199" s="635"/>
      <c r="P199" s="181"/>
      <c r="Q199" s="181"/>
      <c r="R199" s="181"/>
      <c r="S199" s="368" t="e">
        <f t="shared" si="38"/>
        <v>#N/A</v>
      </c>
      <c r="T199" s="657"/>
      <c r="U199" s="181"/>
      <c r="V199" s="181"/>
      <c r="W199" s="181"/>
      <c r="X199" s="368" t="e">
        <f t="shared" si="39"/>
        <v>#N/A</v>
      </c>
      <c r="Y199" s="657"/>
      <c r="Z199" s="181"/>
      <c r="AA199" s="181"/>
      <c r="AB199" s="181"/>
      <c r="AC199" s="368" t="e">
        <f t="shared" si="40"/>
        <v>#N/A</v>
      </c>
      <c r="AD199" s="657"/>
      <c r="AE199" s="181"/>
      <c r="AF199" s="181"/>
      <c r="AG199" s="181"/>
      <c r="AH199" s="368" t="e">
        <f t="shared" si="41"/>
        <v>#N/A</v>
      </c>
      <c r="AI199" s="657"/>
      <c r="AJ199" s="181"/>
      <c r="AK199" s="181"/>
      <c r="AL199" s="181"/>
      <c r="AM199" s="368" t="e">
        <f t="shared" si="42"/>
        <v>#N/A</v>
      </c>
      <c r="AN199" s="657"/>
      <c r="AO199" s="181"/>
      <c r="AP199" s="181"/>
      <c r="AQ199" s="181"/>
      <c r="AR199" s="368" t="e">
        <f t="shared" si="43"/>
        <v>#N/A</v>
      </c>
      <c r="AS199" s="657"/>
      <c r="AT199" s="181"/>
      <c r="AU199" s="181"/>
      <c r="AV199" s="181"/>
      <c r="AW199" s="368" t="e">
        <f t="shared" si="44"/>
        <v>#N/A</v>
      </c>
      <c r="AX199" s="657"/>
      <c r="AZ199" s="398" t="e">
        <f t="shared" si="45"/>
        <v>#N/A</v>
      </c>
      <c r="BA199" s="657"/>
    </row>
    <row r="200" spans="2:53">
      <c r="B200" s="643"/>
      <c r="C200" s="311">
        <v>19</v>
      </c>
      <c r="D200" s="225"/>
      <c r="E200" s="181"/>
      <c r="F200" s="389"/>
      <c r="G200" s="390"/>
      <c r="H200" s="686"/>
      <c r="I200" s="391" t="str">
        <f t="shared" si="35"/>
        <v>-</v>
      </c>
      <c r="J200" s="391" t="str">
        <f t="shared" si="36"/>
        <v>-</v>
      </c>
      <c r="K200" s="199" t="str">
        <f t="shared" si="37"/>
        <v>-</v>
      </c>
      <c r="L200" s="617"/>
      <c r="M200" s="198" t="e">
        <f>RANK(K200, K$147:$K$176)</f>
        <v>#VALUE!</v>
      </c>
      <c r="N200" s="635"/>
      <c r="O200" s="635"/>
      <c r="P200" s="181"/>
      <c r="Q200" s="181"/>
      <c r="R200" s="181"/>
      <c r="S200" s="368" t="e">
        <f t="shared" si="38"/>
        <v>#N/A</v>
      </c>
      <c r="T200" s="657"/>
      <c r="U200" s="181"/>
      <c r="V200" s="181"/>
      <c r="W200" s="181"/>
      <c r="X200" s="368" t="e">
        <f t="shared" si="39"/>
        <v>#N/A</v>
      </c>
      <c r="Y200" s="657"/>
      <c r="Z200" s="181"/>
      <c r="AA200" s="181"/>
      <c r="AB200" s="181"/>
      <c r="AC200" s="368" t="e">
        <f t="shared" si="40"/>
        <v>#N/A</v>
      </c>
      <c r="AD200" s="657"/>
      <c r="AE200" s="181"/>
      <c r="AF200" s="181"/>
      <c r="AG200" s="181"/>
      <c r="AH200" s="368" t="e">
        <f t="shared" si="41"/>
        <v>#N/A</v>
      </c>
      <c r="AI200" s="657"/>
      <c r="AJ200" s="181"/>
      <c r="AK200" s="181"/>
      <c r="AL200" s="181"/>
      <c r="AM200" s="368" t="e">
        <f t="shared" si="42"/>
        <v>#N/A</v>
      </c>
      <c r="AN200" s="657"/>
      <c r="AO200" s="181"/>
      <c r="AP200" s="181"/>
      <c r="AQ200" s="181"/>
      <c r="AR200" s="368" t="e">
        <f t="shared" si="43"/>
        <v>#N/A</v>
      </c>
      <c r="AS200" s="657"/>
      <c r="AT200" s="181"/>
      <c r="AU200" s="181"/>
      <c r="AV200" s="181"/>
      <c r="AW200" s="368" t="e">
        <f t="shared" si="44"/>
        <v>#N/A</v>
      </c>
      <c r="AX200" s="657"/>
      <c r="AZ200" s="398" t="e">
        <f t="shared" si="45"/>
        <v>#N/A</v>
      </c>
      <c r="BA200" s="657"/>
    </row>
    <row r="201" spans="2:53">
      <c r="B201" s="643"/>
      <c r="C201" s="311">
        <v>20</v>
      </c>
      <c r="D201" s="225"/>
      <c r="E201" s="181"/>
      <c r="F201" s="389"/>
      <c r="G201" s="390"/>
      <c r="H201" s="686"/>
      <c r="I201" s="391" t="str">
        <f t="shared" si="35"/>
        <v>-</v>
      </c>
      <c r="J201" s="391" t="str">
        <f t="shared" si="36"/>
        <v>-</v>
      </c>
      <c r="K201" s="199" t="str">
        <f t="shared" si="37"/>
        <v>-</v>
      </c>
      <c r="L201" s="617"/>
      <c r="M201" s="198" t="e">
        <f>RANK(K201, K$147:$K$176)</f>
        <v>#VALUE!</v>
      </c>
      <c r="N201" s="635"/>
      <c r="O201" s="635"/>
      <c r="P201" s="181"/>
      <c r="Q201" s="181"/>
      <c r="R201" s="181"/>
      <c r="S201" s="368" t="e">
        <f t="shared" si="38"/>
        <v>#N/A</v>
      </c>
      <c r="T201" s="657"/>
      <c r="U201" s="181"/>
      <c r="V201" s="181"/>
      <c r="W201" s="181"/>
      <c r="X201" s="368" t="e">
        <f t="shared" si="39"/>
        <v>#N/A</v>
      </c>
      <c r="Y201" s="657"/>
      <c r="Z201" s="181"/>
      <c r="AA201" s="181"/>
      <c r="AB201" s="181"/>
      <c r="AC201" s="368" t="e">
        <f t="shared" si="40"/>
        <v>#N/A</v>
      </c>
      <c r="AD201" s="657"/>
      <c r="AE201" s="181"/>
      <c r="AF201" s="181"/>
      <c r="AG201" s="181"/>
      <c r="AH201" s="368" t="e">
        <f t="shared" si="41"/>
        <v>#N/A</v>
      </c>
      <c r="AI201" s="657"/>
      <c r="AJ201" s="181"/>
      <c r="AK201" s="181"/>
      <c r="AL201" s="181"/>
      <c r="AM201" s="368" t="e">
        <f t="shared" si="42"/>
        <v>#N/A</v>
      </c>
      <c r="AN201" s="657"/>
      <c r="AO201" s="181"/>
      <c r="AP201" s="181"/>
      <c r="AQ201" s="181"/>
      <c r="AR201" s="368" t="e">
        <f t="shared" si="43"/>
        <v>#N/A</v>
      </c>
      <c r="AS201" s="657"/>
      <c r="AT201" s="181"/>
      <c r="AU201" s="181"/>
      <c r="AV201" s="181"/>
      <c r="AW201" s="368" t="e">
        <f t="shared" si="44"/>
        <v>#N/A</v>
      </c>
      <c r="AX201" s="657"/>
      <c r="AZ201" s="398" t="e">
        <f t="shared" si="45"/>
        <v>#N/A</v>
      </c>
      <c r="BA201" s="657"/>
    </row>
    <row r="202" spans="2:53">
      <c r="B202" s="643"/>
      <c r="C202" s="311">
        <v>21</v>
      </c>
      <c r="D202" s="225"/>
      <c r="E202" s="181"/>
      <c r="F202" s="389"/>
      <c r="G202" s="390"/>
      <c r="H202" s="686"/>
      <c r="I202" s="391" t="str">
        <f t="shared" si="35"/>
        <v>-</v>
      </c>
      <c r="J202" s="391" t="str">
        <f t="shared" si="36"/>
        <v>-</v>
      </c>
      <c r="K202" s="199" t="str">
        <f t="shared" si="37"/>
        <v>-</v>
      </c>
      <c r="L202" s="617"/>
      <c r="M202" s="198" t="e">
        <f>RANK(K202, K$147:$K$176)</f>
        <v>#VALUE!</v>
      </c>
      <c r="N202" s="635"/>
      <c r="O202" s="635"/>
      <c r="P202" s="181"/>
      <c r="Q202" s="181"/>
      <c r="R202" s="181"/>
      <c r="S202" s="368" t="e">
        <f t="shared" si="38"/>
        <v>#N/A</v>
      </c>
      <c r="T202" s="657"/>
      <c r="U202" s="181"/>
      <c r="V202" s="181"/>
      <c r="W202" s="181"/>
      <c r="X202" s="368" t="e">
        <f t="shared" si="39"/>
        <v>#N/A</v>
      </c>
      <c r="Y202" s="657"/>
      <c r="Z202" s="181"/>
      <c r="AA202" s="181"/>
      <c r="AB202" s="181"/>
      <c r="AC202" s="368" t="e">
        <f t="shared" si="40"/>
        <v>#N/A</v>
      </c>
      <c r="AD202" s="657"/>
      <c r="AE202" s="181"/>
      <c r="AF202" s="181"/>
      <c r="AG202" s="181"/>
      <c r="AH202" s="368" t="e">
        <f t="shared" si="41"/>
        <v>#N/A</v>
      </c>
      <c r="AI202" s="657"/>
      <c r="AJ202" s="181"/>
      <c r="AK202" s="181"/>
      <c r="AL202" s="181"/>
      <c r="AM202" s="368" t="e">
        <f t="shared" si="42"/>
        <v>#N/A</v>
      </c>
      <c r="AN202" s="657"/>
      <c r="AO202" s="181"/>
      <c r="AP202" s="181"/>
      <c r="AQ202" s="181"/>
      <c r="AR202" s="368" t="e">
        <f t="shared" si="43"/>
        <v>#N/A</v>
      </c>
      <c r="AS202" s="657"/>
      <c r="AT202" s="181"/>
      <c r="AU202" s="181"/>
      <c r="AV202" s="181"/>
      <c r="AW202" s="368" t="e">
        <f t="shared" si="44"/>
        <v>#N/A</v>
      </c>
      <c r="AX202" s="657"/>
      <c r="AZ202" s="398" t="e">
        <f t="shared" si="45"/>
        <v>#N/A</v>
      </c>
      <c r="BA202" s="657"/>
    </row>
    <row r="203" spans="2:53">
      <c r="B203" s="643"/>
      <c r="C203" s="311">
        <v>22</v>
      </c>
      <c r="D203" s="225"/>
      <c r="E203" s="181"/>
      <c r="F203" s="389"/>
      <c r="G203" s="390"/>
      <c r="H203" s="686"/>
      <c r="I203" s="391" t="str">
        <f t="shared" si="35"/>
        <v>-</v>
      </c>
      <c r="J203" s="391" t="str">
        <f t="shared" si="36"/>
        <v>-</v>
      </c>
      <c r="K203" s="199" t="str">
        <f t="shared" si="37"/>
        <v>-</v>
      </c>
      <c r="L203" s="617"/>
      <c r="M203" s="198" t="e">
        <f>RANK(K203, K$147:$K$176)</f>
        <v>#VALUE!</v>
      </c>
      <c r="N203" s="635"/>
      <c r="O203" s="635"/>
      <c r="P203" s="181"/>
      <c r="Q203" s="181"/>
      <c r="R203" s="181"/>
      <c r="S203" s="368" t="e">
        <f t="shared" si="38"/>
        <v>#N/A</v>
      </c>
      <c r="T203" s="657"/>
      <c r="U203" s="181"/>
      <c r="V203" s="181"/>
      <c r="W203" s="181"/>
      <c r="X203" s="368" t="e">
        <f t="shared" si="39"/>
        <v>#N/A</v>
      </c>
      <c r="Y203" s="657"/>
      <c r="Z203" s="181"/>
      <c r="AA203" s="181"/>
      <c r="AB203" s="181"/>
      <c r="AC203" s="368" t="e">
        <f t="shared" si="40"/>
        <v>#N/A</v>
      </c>
      <c r="AD203" s="657"/>
      <c r="AE203" s="181"/>
      <c r="AF203" s="181"/>
      <c r="AG203" s="181"/>
      <c r="AH203" s="368" t="e">
        <f t="shared" si="41"/>
        <v>#N/A</v>
      </c>
      <c r="AI203" s="657"/>
      <c r="AJ203" s="181"/>
      <c r="AK203" s="181"/>
      <c r="AL203" s="181"/>
      <c r="AM203" s="368" t="e">
        <f t="shared" si="42"/>
        <v>#N/A</v>
      </c>
      <c r="AN203" s="657"/>
      <c r="AO203" s="181"/>
      <c r="AP203" s="181"/>
      <c r="AQ203" s="181"/>
      <c r="AR203" s="368" t="e">
        <f t="shared" si="43"/>
        <v>#N/A</v>
      </c>
      <c r="AS203" s="657"/>
      <c r="AT203" s="181"/>
      <c r="AU203" s="181"/>
      <c r="AV203" s="181"/>
      <c r="AW203" s="368" t="e">
        <f t="shared" si="44"/>
        <v>#N/A</v>
      </c>
      <c r="AX203" s="657"/>
      <c r="AZ203" s="398" t="e">
        <f t="shared" si="45"/>
        <v>#N/A</v>
      </c>
      <c r="BA203" s="657"/>
    </row>
    <row r="204" spans="2:53">
      <c r="B204" s="643"/>
      <c r="C204" s="311">
        <v>23</v>
      </c>
      <c r="D204" s="225"/>
      <c r="E204" s="181"/>
      <c r="F204" s="389"/>
      <c r="G204" s="390"/>
      <c r="H204" s="686"/>
      <c r="I204" s="391" t="str">
        <f t="shared" si="35"/>
        <v>-</v>
      </c>
      <c r="J204" s="391" t="str">
        <f t="shared" si="36"/>
        <v>-</v>
      </c>
      <c r="K204" s="199" t="str">
        <f t="shared" si="37"/>
        <v>-</v>
      </c>
      <c r="L204" s="617"/>
      <c r="M204" s="198" t="e">
        <f>RANK(K204, K$147:$K$176)</f>
        <v>#VALUE!</v>
      </c>
      <c r="N204" s="635"/>
      <c r="O204" s="635"/>
      <c r="P204" s="181"/>
      <c r="Q204" s="181"/>
      <c r="R204" s="181"/>
      <c r="S204" s="368" t="e">
        <f t="shared" si="38"/>
        <v>#N/A</v>
      </c>
      <c r="T204" s="657"/>
      <c r="U204" s="181"/>
      <c r="V204" s="181"/>
      <c r="W204" s="181"/>
      <c r="X204" s="368" t="e">
        <f t="shared" si="39"/>
        <v>#N/A</v>
      </c>
      <c r="Y204" s="657"/>
      <c r="Z204" s="181"/>
      <c r="AA204" s="181"/>
      <c r="AB204" s="181"/>
      <c r="AC204" s="368" t="e">
        <f t="shared" si="40"/>
        <v>#N/A</v>
      </c>
      <c r="AD204" s="657"/>
      <c r="AE204" s="181"/>
      <c r="AF204" s="181"/>
      <c r="AG204" s="181"/>
      <c r="AH204" s="368" t="e">
        <f t="shared" si="41"/>
        <v>#N/A</v>
      </c>
      <c r="AI204" s="657"/>
      <c r="AJ204" s="181"/>
      <c r="AK204" s="181"/>
      <c r="AL204" s="181"/>
      <c r="AM204" s="368" t="e">
        <f t="shared" si="42"/>
        <v>#N/A</v>
      </c>
      <c r="AN204" s="657"/>
      <c r="AO204" s="181"/>
      <c r="AP204" s="181"/>
      <c r="AQ204" s="181"/>
      <c r="AR204" s="368" t="e">
        <f t="shared" si="43"/>
        <v>#N/A</v>
      </c>
      <c r="AS204" s="657"/>
      <c r="AT204" s="181"/>
      <c r="AU204" s="181"/>
      <c r="AV204" s="181"/>
      <c r="AW204" s="368" t="e">
        <f t="shared" si="44"/>
        <v>#N/A</v>
      </c>
      <c r="AX204" s="657"/>
      <c r="AZ204" s="398" t="e">
        <f t="shared" si="45"/>
        <v>#N/A</v>
      </c>
      <c r="BA204" s="657"/>
    </row>
    <row r="205" spans="2:53">
      <c r="B205" s="643"/>
      <c r="C205" s="311">
        <v>24</v>
      </c>
      <c r="D205" s="225"/>
      <c r="E205" s="181"/>
      <c r="F205" s="389"/>
      <c r="G205" s="390"/>
      <c r="H205" s="686"/>
      <c r="I205" s="391" t="str">
        <f t="shared" si="35"/>
        <v>-</v>
      </c>
      <c r="J205" s="391" t="str">
        <f t="shared" si="36"/>
        <v>-</v>
      </c>
      <c r="K205" s="199" t="str">
        <f t="shared" si="37"/>
        <v>-</v>
      </c>
      <c r="L205" s="617"/>
      <c r="M205" s="198" t="e">
        <f>RANK(K205, K$147:$K$176)</f>
        <v>#VALUE!</v>
      </c>
      <c r="N205" s="635"/>
      <c r="O205" s="635"/>
      <c r="P205" s="311"/>
      <c r="Q205" s="314"/>
      <c r="R205" s="314"/>
      <c r="S205" s="368" t="e">
        <f t="shared" si="38"/>
        <v>#N/A</v>
      </c>
      <c r="T205" s="657"/>
      <c r="U205" s="324"/>
      <c r="V205" s="325"/>
      <c r="W205" s="325"/>
      <c r="X205" s="368" t="e">
        <f t="shared" si="39"/>
        <v>#N/A</v>
      </c>
      <c r="Y205" s="657"/>
      <c r="Z205" s="371"/>
      <c r="AA205" s="372"/>
      <c r="AB205" s="372"/>
      <c r="AC205" s="368" t="e">
        <f t="shared" si="40"/>
        <v>#N/A</v>
      </c>
      <c r="AD205" s="657"/>
      <c r="AE205" s="371"/>
      <c r="AF205" s="372"/>
      <c r="AG205" s="372"/>
      <c r="AH205" s="368" t="e">
        <f t="shared" si="41"/>
        <v>#N/A</v>
      </c>
      <c r="AI205" s="657"/>
      <c r="AJ205" s="371"/>
      <c r="AK205" s="372"/>
      <c r="AL205" s="372"/>
      <c r="AM205" s="368" t="e">
        <f t="shared" si="42"/>
        <v>#N/A</v>
      </c>
      <c r="AN205" s="657"/>
      <c r="AO205" s="371"/>
      <c r="AP205" s="372"/>
      <c r="AQ205" s="372"/>
      <c r="AR205" s="368" t="e">
        <f t="shared" si="43"/>
        <v>#N/A</v>
      </c>
      <c r="AS205" s="657"/>
      <c r="AT205" s="324"/>
      <c r="AU205" s="325"/>
      <c r="AV205" s="325"/>
      <c r="AW205" s="368" t="e">
        <f t="shared" si="44"/>
        <v>#N/A</v>
      </c>
      <c r="AX205" s="657"/>
      <c r="AZ205" s="398" t="e">
        <f t="shared" si="45"/>
        <v>#N/A</v>
      </c>
      <c r="BA205" s="657"/>
    </row>
    <row r="206" spans="2:53">
      <c r="B206" s="643"/>
      <c r="C206" s="311">
        <v>25</v>
      </c>
      <c r="D206" s="225"/>
      <c r="E206" s="181"/>
      <c r="F206" s="389"/>
      <c r="G206" s="390"/>
      <c r="H206" s="686"/>
      <c r="I206" s="391" t="str">
        <f t="shared" si="35"/>
        <v>-</v>
      </c>
      <c r="J206" s="391" t="str">
        <f t="shared" si="36"/>
        <v>-</v>
      </c>
      <c r="K206" s="199" t="str">
        <f t="shared" si="37"/>
        <v>-</v>
      </c>
      <c r="L206" s="617"/>
      <c r="M206" s="198" t="e">
        <f>RANK(K206, K$147:$K$176)</f>
        <v>#VALUE!</v>
      </c>
      <c r="N206" s="635"/>
      <c r="O206" s="635"/>
      <c r="P206" s="311"/>
      <c r="Q206" s="314"/>
      <c r="R206" s="314"/>
      <c r="S206" s="368" t="e">
        <f t="shared" si="38"/>
        <v>#N/A</v>
      </c>
      <c r="T206" s="657"/>
      <c r="U206" s="324"/>
      <c r="V206" s="325"/>
      <c r="W206" s="325"/>
      <c r="X206" s="368" t="e">
        <f t="shared" si="39"/>
        <v>#N/A</v>
      </c>
      <c r="Y206" s="657"/>
      <c r="Z206" s="371"/>
      <c r="AA206" s="372"/>
      <c r="AB206" s="372"/>
      <c r="AC206" s="368" t="e">
        <f t="shared" si="40"/>
        <v>#N/A</v>
      </c>
      <c r="AD206" s="657"/>
      <c r="AE206" s="371"/>
      <c r="AF206" s="372"/>
      <c r="AG206" s="372"/>
      <c r="AH206" s="368" t="e">
        <f t="shared" si="41"/>
        <v>#N/A</v>
      </c>
      <c r="AI206" s="657"/>
      <c r="AJ206" s="371"/>
      <c r="AK206" s="372"/>
      <c r="AL206" s="372"/>
      <c r="AM206" s="368" t="e">
        <f t="shared" si="42"/>
        <v>#N/A</v>
      </c>
      <c r="AN206" s="657"/>
      <c r="AO206" s="371"/>
      <c r="AP206" s="372"/>
      <c r="AQ206" s="372"/>
      <c r="AR206" s="368" t="e">
        <f t="shared" si="43"/>
        <v>#N/A</v>
      </c>
      <c r="AS206" s="657"/>
      <c r="AT206" s="324"/>
      <c r="AU206" s="325"/>
      <c r="AV206" s="325"/>
      <c r="AW206" s="368" t="e">
        <f t="shared" si="44"/>
        <v>#N/A</v>
      </c>
      <c r="AX206" s="657"/>
      <c r="AZ206" s="398" t="e">
        <f t="shared" si="45"/>
        <v>#N/A</v>
      </c>
      <c r="BA206" s="657"/>
    </row>
    <row r="207" spans="2:53">
      <c r="B207" s="643"/>
      <c r="C207" s="311">
        <v>26</v>
      </c>
      <c r="D207" s="225"/>
      <c r="E207" s="181"/>
      <c r="F207" s="389"/>
      <c r="G207" s="390"/>
      <c r="H207" s="686"/>
      <c r="I207" s="391" t="str">
        <f t="shared" si="35"/>
        <v>-</v>
      </c>
      <c r="J207" s="391" t="str">
        <f t="shared" si="36"/>
        <v>-</v>
      </c>
      <c r="K207" s="199" t="str">
        <f t="shared" si="37"/>
        <v>-</v>
      </c>
      <c r="L207" s="617"/>
      <c r="M207" s="198" t="e">
        <f>RANK(K207, K$147:$K$176)</f>
        <v>#VALUE!</v>
      </c>
      <c r="N207" s="635"/>
      <c r="O207" s="635"/>
      <c r="P207" s="311"/>
      <c r="Q207" s="314"/>
      <c r="R207" s="314"/>
      <c r="S207" s="368" t="e">
        <f t="shared" si="38"/>
        <v>#N/A</v>
      </c>
      <c r="T207" s="657"/>
      <c r="U207" s="324"/>
      <c r="V207" s="325"/>
      <c r="W207" s="325"/>
      <c r="X207" s="368" t="e">
        <f t="shared" si="39"/>
        <v>#N/A</v>
      </c>
      <c r="Y207" s="657"/>
      <c r="Z207" s="371"/>
      <c r="AA207" s="372"/>
      <c r="AB207" s="372"/>
      <c r="AC207" s="368" t="e">
        <f t="shared" si="40"/>
        <v>#N/A</v>
      </c>
      <c r="AD207" s="657"/>
      <c r="AE207" s="371"/>
      <c r="AF207" s="372"/>
      <c r="AG207" s="372"/>
      <c r="AH207" s="368" t="e">
        <f t="shared" si="41"/>
        <v>#N/A</v>
      </c>
      <c r="AI207" s="657"/>
      <c r="AJ207" s="371"/>
      <c r="AK207" s="372"/>
      <c r="AL207" s="372"/>
      <c r="AM207" s="368" t="e">
        <f t="shared" si="42"/>
        <v>#N/A</v>
      </c>
      <c r="AN207" s="657"/>
      <c r="AO207" s="371"/>
      <c r="AP207" s="372"/>
      <c r="AQ207" s="372"/>
      <c r="AR207" s="368" t="e">
        <f t="shared" si="43"/>
        <v>#N/A</v>
      </c>
      <c r="AS207" s="657"/>
      <c r="AT207" s="324"/>
      <c r="AU207" s="325"/>
      <c r="AV207" s="325"/>
      <c r="AW207" s="368" t="e">
        <f t="shared" si="44"/>
        <v>#N/A</v>
      </c>
      <c r="AX207" s="657"/>
      <c r="AZ207" s="398" t="e">
        <f t="shared" si="45"/>
        <v>#N/A</v>
      </c>
      <c r="BA207" s="657"/>
    </row>
    <row r="208" spans="2:53">
      <c r="B208" s="643"/>
      <c r="C208" s="311">
        <v>27</v>
      </c>
      <c r="D208" s="225"/>
      <c r="E208" s="181"/>
      <c r="F208" s="389"/>
      <c r="G208" s="390"/>
      <c r="H208" s="686"/>
      <c r="I208" s="391" t="str">
        <f t="shared" si="35"/>
        <v>-</v>
      </c>
      <c r="J208" s="391" t="str">
        <f t="shared" si="36"/>
        <v>-</v>
      </c>
      <c r="K208" s="199" t="str">
        <f t="shared" si="37"/>
        <v>-</v>
      </c>
      <c r="L208" s="617"/>
      <c r="M208" s="198" t="e">
        <f>RANK(K208, K$147:$K$176)</f>
        <v>#VALUE!</v>
      </c>
      <c r="N208" s="635"/>
      <c r="O208" s="635"/>
      <c r="P208" s="311"/>
      <c r="Q208" s="314"/>
      <c r="R208" s="314"/>
      <c r="S208" s="368" t="e">
        <f t="shared" si="38"/>
        <v>#N/A</v>
      </c>
      <c r="T208" s="657"/>
      <c r="U208" s="324"/>
      <c r="V208" s="325"/>
      <c r="W208" s="325"/>
      <c r="X208" s="368" t="e">
        <f t="shared" si="39"/>
        <v>#N/A</v>
      </c>
      <c r="Y208" s="657"/>
      <c r="Z208" s="371"/>
      <c r="AA208" s="372"/>
      <c r="AB208" s="372"/>
      <c r="AC208" s="368" t="e">
        <f t="shared" si="40"/>
        <v>#N/A</v>
      </c>
      <c r="AD208" s="657"/>
      <c r="AE208" s="371"/>
      <c r="AF208" s="372"/>
      <c r="AG208" s="372"/>
      <c r="AH208" s="368" t="e">
        <f t="shared" si="41"/>
        <v>#N/A</v>
      </c>
      <c r="AI208" s="657"/>
      <c r="AJ208" s="371"/>
      <c r="AK208" s="372"/>
      <c r="AL208" s="372"/>
      <c r="AM208" s="368" t="e">
        <f t="shared" si="42"/>
        <v>#N/A</v>
      </c>
      <c r="AN208" s="657"/>
      <c r="AO208" s="371"/>
      <c r="AP208" s="372"/>
      <c r="AQ208" s="372"/>
      <c r="AR208" s="368" t="e">
        <f t="shared" si="43"/>
        <v>#N/A</v>
      </c>
      <c r="AS208" s="657"/>
      <c r="AT208" s="324"/>
      <c r="AU208" s="325"/>
      <c r="AV208" s="325"/>
      <c r="AW208" s="368" t="e">
        <f t="shared" si="44"/>
        <v>#N/A</v>
      </c>
      <c r="AX208" s="657"/>
      <c r="AZ208" s="398" t="e">
        <f t="shared" si="45"/>
        <v>#N/A</v>
      </c>
      <c r="BA208" s="657"/>
    </row>
    <row r="209" spans="2:53">
      <c r="B209" s="643"/>
      <c r="C209" s="311">
        <v>28</v>
      </c>
      <c r="D209" s="225"/>
      <c r="E209" s="181"/>
      <c r="F209" s="389"/>
      <c r="G209" s="390"/>
      <c r="H209" s="686"/>
      <c r="I209" s="391" t="str">
        <f t="shared" si="35"/>
        <v>-</v>
      </c>
      <c r="J209" s="391" t="str">
        <f t="shared" si="36"/>
        <v>-</v>
      </c>
      <c r="K209" s="199" t="str">
        <f t="shared" si="37"/>
        <v>-</v>
      </c>
      <c r="L209" s="617"/>
      <c r="M209" s="198" t="e">
        <f>RANK(K209, K$147:$K$176)</f>
        <v>#VALUE!</v>
      </c>
      <c r="N209" s="635"/>
      <c r="O209" s="635"/>
      <c r="P209" s="311"/>
      <c r="Q209" s="314"/>
      <c r="R209" s="314"/>
      <c r="S209" s="368" t="e">
        <f t="shared" si="38"/>
        <v>#N/A</v>
      </c>
      <c r="T209" s="657"/>
      <c r="U209" s="311"/>
      <c r="V209" s="314"/>
      <c r="W209" s="314"/>
      <c r="X209" s="368" t="e">
        <f t="shared" si="39"/>
        <v>#N/A</v>
      </c>
      <c r="Y209" s="657"/>
      <c r="Z209" s="371"/>
      <c r="AA209" s="372"/>
      <c r="AB209" s="372"/>
      <c r="AC209" s="368" t="e">
        <f t="shared" si="40"/>
        <v>#N/A</v>
      </c>
      <c r="AD209" s="657"/>
      <c r="AE209" s="371"/>
      <c r="AF209" s="372"/>
      <c r="AG209" s="372"/>
      <c r="AH209" s="368" t="e">
        <f t="shared" si="41"/>
        <v>#N/A</v>
      </c>
      <c r="AI209" s="657"/>
      <c r="AJ209" s="371"/>
      <c r="AK209" s="372"/>
      <c r="AL209" s="372"/>
      <c r="AM209" s="368" t="e">
        <f t="shared" si="42"/>
        <v>#N/A</v>
      </c>
      <c r="AN209" s="657"/>
      <c r="AO209" s="371"/>
      <c r="AP209" s="372"/>
      <c r="AQ209" s="372"/>
      <c r="AR209" s="368" t="e">
        <f t="shared" si="43"/>
        <v>#N/A</v>
      </c>
      <c r="AS209" s="657"/>
      <c r="AT209" s="311"/>
      <c r="AU209" s="314"/>
      <c r="AV209" s="314"/>
      <c r="AW209" s="368" t="e">
        <f t="shared" si="44"/>
        <v>#N/A</v>
      </c>
      <c r="AX209" s="657"/>
      <c r="AZ209" s="398" t="e">
        <f t="shared" si="45"/>
        <v>#N/A</v>
      </c>
      <c r="BA209" s="657"/>
    </row>
    <row r="210" spans="2:53">
      <c r="B210" s="643"/>
      <c r="C210" s="311">
        <v>29</v>
      </c>
      <c r="D210" s="225"/>
      <c r="E210" s="181"/>
      <c r="F210" s="389"/>
      <c r="G210" s="390"/>
      <c r="H210" s="686"/>
      <c r="I210" s="391" t="str">
        <f t="shared" si="35"/>
        <v>-</v>
      </c>
      <c r="J210" s="391" t="str">
        <f t="shared" si="36"/>
        <v>-</v>
      </c>
      <c r="K210" s="199" t="str">
        <f t="shared" si="37"/>
        <v>-</v>
      </c>
      <c r="L210" s="617"/>
      <c r="M210" s="198" t="e">
        <f>RANK(K210, K$147:$K$176)</f>
        <v>#VALUE!</v>
      </c>
      <c r="N210" s="635"/>
      <c r="O210" s="635"/>
      <c r="P210" s="311"/>
      <c r="Q210" s="311"/>
      <c r="R210" s="311"/>
      <c r="S210" s="368" t="e">
        <f t="shared" si="38"/>
        <v>#N/A</v>
      </c>
      <c r="T210" s="657"/>
      <c r="U210" s="311"/>
      <c r="V210" s="311"/>
      <c r="W210" s="311"/>
      <c r="X210" s="368" t="e">
        <f t="shared" si="39"/>
        <v>#N/A</v>
      </c>
      <c r="Y210" s="657"/>
      <c r="Z210" s="371"/>
      <c r="AA210" s="371"/>
      <c r="AB210" s="371"/>
      <c r="AC210" s="368" t="e">
        <f t="shared" si="40"/>
        <v>#N/A</v>
      </c>
      <c r="AD210" s="657"/>
      <c r="AE210" s="371"/>
      <c r="AF210" s="371"/>
      <c r="AG210" s="371"/>
      <c r="AH210" s="368" t="e">
        <f t="shared" si="41"/>
        <v>#N/A</v>
      </c>
      <c r="AI210" s="657"/>
      <c r="AJ210" s="371"/>
      <c r="AK210" s="371"/>
      <c r="AL210" s="371"/>
      <c r="AM210" s="368" t="e">
        <f t="shared" si="42"/>
        <v>#N/A</v>
      </c>
      <c r="AN210" s="657"/>
      <c r="AO210" s="371"/>
      <c r="AP210" s="371"/>
      <c r="AQ210" s="371"/>
      <c r="AR210" s="368" t="e">
        <f t="shared" si="43"/>
        <v>#N/A</v>
      </c>
      <c r="AS210" s="657"/>
      <c r="AT210" s="311"/>
      <c r="AU210" s="311"/>
      <c r="AV210" s="311"/>
      <c r="AW210" s="368" t="e">
        <f t="shared" si="44"/>
        <v>#N/A</v>
      </c>
      <c r="AX210" s="657"/>
      <c r="AZ210" s="398" t="e">
        <f t="shared" si="45"/>
        <v>#N/A</v>
      </c>
      <c r="BA210" s="657"/>
    </row>
    <row r="211" spans="2:53">
      <c r="B211" s="643"/>
      <c r="C211" s="311">
        <v>30</v>
      </c>
      <c r="D211" s="225"/>
      <c r="E211" s="181"/>
      <c r="F211" s="389"/>
      <c r="G211" s="390"/>
      <c r="H211" s="687"/>
      <c r="I211" s="391" t="str">
        <f t="shared" si="35"/>
        <v>-</v>
      </c>
      <c r="J211" s="391" t="str">
        <f t="shared" si="36"/>
        <v>-</v>
      </c>
      <c r="K211" s="199" t="str">
        <f t="shared" si="37"/>
        <v>-</v>
      </c>
      <c r="L211" s="618"/>
      <c r="M211" s="198" t="e">
        <f>RANK(K211, K$147:$K$176)</f>
        <v>#VALUE!</v>
      </c>
      <c r="N211" s="635"/>
      <c r="O211" s="635"/>
      <c r="P211" s="311"/>
      <c r="Q211" s="311"/>
      <c r="R211" s="311"/>
      <c r="S211" s="368" t="e">
        <f t="shared" si="38"/>
        <v>#N/A</v>
      </c>
      <c r="T211" s="657"/>
      <c r="U211" s="311"/>
      <c r="V211" s="311"/>
      <c r="W211" s="311"/>
      <c r="X211" s="368" t="e">
        <f t="shared" si="39"/>
        <v>#N/A</v>
      </c>
      <c r="Y211" s="657"/>
      <c r="Z211" s="371"/>
      <c r="AA211" s="371"/>
      <c r="AB211" s="371"/>
      <c r="AC211" s="368" t="e">
        <f t="shared" si="40"/>
        <v>#N/A</v>
      </c>
      <c r="AD211" s="657"/>
      <c r="AE211" s="371"/>
      <c r="AF211" s="371"/>
      <c r="AG211" s="371"/>
      <c r="AH211" s="368" t="e">
        <f t="shared" si="41"/>
        <v>#N/A</v>
      </c>
      <c r="AI211" s="657"/>
      <c r="AJ211" s="371"/>
      <c r="AK211" s="371"/>
      <c r="AL211" s="371"/>
      <c r="AM211" s="368" t="e">
        <f t="shared" si="42"/>
        <v>#N/A</v>
      </c>
      <c r="AN211" s="657"/>
      <c r="AO211" s="371"/>
      <c r="AP211" s="371"/>
      <c r="AQ211" s="371"/>
      <c r="AR211" s="368" t="e">
        <f t="shared" si="43"/>
        <v>#N/A</v>
      </c>
      <c r="AS211" s="657"/>
      <c r="AT211" s="311"/>
      <c r="AU211" s="311"/>
      <c r="AV211" s="311"/>
      <c r="AW211" s="368" t="e">
        <f t="shared" si="44"/>
        <v>#N/A</v>
      </c>
      <c r="AX211" s="657"/>
      <c r="AZ211" s="398" t="e">
        <f t="shared" si="45"/>
        <v>#N/A</v>
      </c>
      <c r="BA211" s="657"/>
    </row>
    <row r="213" spans="2:53" ht="15.75">
      <c r="B213" s="674" t="s">
        <v>482</v>
      </c>
      <c r="C213" s="675"/>
      <c r="D213" s="675"/>
      <c r="E213" s="675"/>
      <c r="F213" s="675"/>
      <c r="G213" s="675"/>
      <c r="H213" s="676"/>
      <c r="I213" s="315"/>
      <c r="J213" s="315"/>
      <c r="K213" s="315"/>
      <c r="L213" s="315"/>
      <c r="M213" s="316"/>
    </row>
    <row r="214" spans="2:53" ht="15.75">
      <c r="B214" s="677"/>
      <c r="C214" s="677"/>
      <c r="D214" s="677"/>
      <c r="E214" s="677"/>
      <c r="F214" s="677"/>
      <c r="G214" s="677"/>
      <c r="H214" s="677"/>
      <c r="I214" s="317"/>
      <c r="J214" s="317"/>
      <c r="K214" s="317"/>
      <c r="L214" s="317"/>
      <c r="M214" s="318"/>
    </row>
    <row r="215" spans="2:53">
      <c r="B215" s="635" t="s">
        <v>483</v>
      </c>
      <c r="C215" s="635" t="s">
        <v>484</v>
      </c>
      <c r="D215" s="635"/>
      <c r="E215" s="635" t="s">
        <v>485</v>
      </c>
      <c r="F215" s="635"/>
      <c r="G215" s="635"/>
      <c r="H215" s="635" t="s">
        <v>486</v>
      </c>
      <c r="I215" s="678" t="s">
        <v>487</v>
      </c>
      <c r="J215" s="678"/>
      <c r="K215" s="678"/>
      <c r="L215" s="678" t="s">
        <v>486</v>
      </c>
      <c r="M215" s="678" t="s">
        <v>488</v>
      </c>
    </row>
    <row r="216" spans="2:53">
      <c r="B216" s="635"/>
      <c r="C216" s="635"/>
      <c r="D216" s="635"/>
      <c r="E216" s="635" t="s">
        <v>489</v>
      </c>
      <c r="F216" s="635"/>
      <c r="G216" s="635"/>
      <c r="H216" s="635"/>
      <c r="I216" s="678" t="s">
        <v>489</v>
      </c>
      <c r="J216" s="678"/>
      <c r="K216" s="678"/>
      <c r="L216" s="678"/>
      <c r="M216" s="678"/>
    </row>
    <row r="217" spans="2:53">
      <c r="B217" s="635"/>
      <c r="C217" s="635"/>
      <c r="D217" s="635"/>
      <c r="E217" s="312" t="s">
        <v>490</v>
      </c>
      <c r="F217" s="312" t="s">
        <v>491</v>
      </c>
      <c r="G217" s="312" t="s">
        <v>492</v>
      </c>
      <c r="H217" s="635"/>
      <c r="I217" s="319" t="s">
        <v>490</v>
      </c>
      <c r="J217" s="319" t="s">
        <v>491</v>
      </c>
      <c r="K217" s="319" t="s">
        <v>492</v>
      </c>
      <c r="L217" s="678"/>
      <c r="M217" s="678"/>
    </row>
    <row r="218" spans="2:53">
      <c r="B218" s="635" t="s">
        <v>497</v>
      </c>
      <c r="C218" s="311">
        <v>1</v>
      </c>
      <c r="D218" s="311"/>
      <c r="E218" s="181"/>
      <c r="F218" s="311"/>
      <c r="G218" s="314"/>
      <c r="H218" s="657" t="e">
        <f>AVERAGE(G218:G247)</f>
        <v>#DIV/0!</v>
      </c>
      <c r="I218" s="198" t="e">
        <f t="shared" ref="I218:J241" si="46">AVERAGEIF($D$7:$D$211,$D218,I$7:I$211)</f>
        <v>#DIV/0!</v>
      </c>
      <c r="J218" s="198" t="e">
        <f t="shared" si="46"/>
        <v>#DIV/0!</v>
      </c>
      <c r="K218" s="198" t="e">
        <f t="shared" ref="K218:K241" si="47">AVERAGEIF($D$7:$D$211,$D218,K$7:K$211)</f>
        <v>#DIV/0!</v>
      </c>
      <c r="L218" s="681" t="e">
        <f>AVERAGE(K218:K247)</f>
        <v>#DIV/0!</v>
      </c>
      <c r="M218" s="198" t="e">
        <f>RANK(K218, K$218:$K$247)</f>
        <v>#DIV/0!</v>
      </c>
    </row>
    <row r="219" spans="2:53">
      <c r="B219" s="643"/>
      <c r="C219" s="311">
        <v>2</v>
      </c>
      <c r="D219" s="311"/>
      <c r="E219" s="181"/>
      <c r="F219" s="311"/>
      <c r="G219" s="314"/>
      <c r="H219" s="657"/>
      <c r="I219" s="198" t="e">
        <f t="shared" si="46"/>
        <v>#DIV/0!</v>
      </c>
      <c r="J219" s="198" t="e">
        <f t="shared" si="46"/>
        <v>#DIV/0!</v>
      </c>
      <c r="K219" s="198" t="e">
        <f t="shared" si="47"/>
        <v>#DIV/0!</v>
      </c>
      <c r="L219" s="681"/>
      <c r="M219" s="198" t="e">
        <f>RANK(K219, K$218:$K$247)</f>
        <v>#DIV/0!</v>
      </c>
    </row>
    <row r="220" spans="2:53">
      <c r="B220" s="643"/>
      <c r="C220" s="311">
        <v>3</v>
      </c>
      <c r="D220" s="311"/>
      <c r="E220" s="181"/>
      <c r="F220" s="311"/>
      <c r="G220" s="314"/>
      <c r="H220" s="657"/>
      <c r="I220" s="198" t="e">
        <f t="shared" si="46"/>
        <v>#DIV/0!</v>
      </c>
      <c r="J220" s="198" t="e">
        <f t="shared" si="46"/>
        <v>#DIV/0!</v>
      </c>
      <c r="K220" s="198" t="e">
        <f t="shared" si="47"/>
        <v>#DIV/0!</v>
      </c>
      <c r="L220" s="681"/>
      <c r="M220" s="198" t="e">
        <f>RANK(K220, K$218:$K$247)</f>
        <v>#DIV/0!</v>
      </c>
    </row>
    <row r="221" spans="2:53">
      <c r="B221" s="643"/>
      <c r="C221" s="311">
        <v>4</v>
      </c>
      <c r="D221" s="311"/>
      <c r="E221" s="181"/>
      <c r="F221" s="311"/>
      <c r="G221" s="314"/>
      <c r="H221" s="657"/>
      <c r="I221" s="198" t="e">
        <f t="shared" si="46"/>
        <v>#DIV/0!</v>
      </c>
      <c r="J221" s="198" t="e">
        <f t="shared" si="46"/>
        <v>#DIV/0!</v>
      </c>
      <c r="K221" s="198" t="e">
        <f t="shared" si="47"/>
        <v>#DIV/0!</v>
      </c>
      <c r="L221" s="681"/>
      <c r="M221" s="198" t="e">
        <f>RANK(K221, K$218:$K$247)</f>
        <v>#DIV/0!</v>
      </c>
    </row>
    <row r="222" spans="2:53">
      <c r="B222" s="643"/>
      <c r="C222" s="311">
        <v>5</v>
      </c>
      <c r="D222" s="311"/>
      <c r="E222" s="181"/>
      <c r="F222" s="311"/>
      <c r="G222" s="314"/>
      <c r="H222" s="657"/>
      <c r="I222" s="198" t="e">
        <f t="shared" si="46"/>
        <v>#DIV/0!</v>
      </c>
      <c r="J222" s="198" t="e">
        <f t="shared" si="46"/>
        <v>#DIV/0!</v>
      </c>
      <c r="K222" s="198" t="e">
        <f t="shared" si="47"/>
        <v>#DIV/0!</v>
      </c>
      <c r="L222" s="681"/>
      <c r="M222" s="198" t="e">
        <f>RANK(K222, K$218:$K$247)</f>
        <v>#DIV/0!</v>
      </c>
    </row>
    <row r="223" spans="2:53">
      <c r="B223" s="643"/>
      <c r="C223" s="311">
        <v>6</v>
      </c>
      <c r="D223" s="311"/>
      <c r="E223" s="181"/>
      <c r="F223" s="311"/>
      <c r="G223" s="314"/>
      <c r="H223" s="657"/>
      <c r="I223" s="198" t="e">
        <f t="shared" si="46"/>
        <v>#DIV/0!</v>
      </c>
      <c r="J223" s="198" t="e">
        <f t="shared" si="46"/>
        <v>#DIV/0!</v>
      </c>
      <c r="K223" s="198" t="e">
        <f t="shared" si="47"/>
        <v>#DIV/0!</v>
      </c>
      <c r="L223" s="681"/>
      <c r="M223" s="198" t="e">
        <f>RANK(K223, K$218:$K$247)</f>
        <v>#DIV/0!</v>
      </c>
    </row>
    <row r="224" spans="2:53">
      <c r="B224" s="643"/>
      <c r="C224" s="311">
        <v>7</v>
      </c>
      <c r="D224" s="311"/>
      <c r="E224" s="181"/>
      <c r="F224" s="311"/>
      <c r="G224" s="314"/>
      <c r="H224" s="657"/>
      <c r="I224" s="198" t="e">
        <f t="shared" si="46"/>
        <v>#DIV/0!</v>
      </c>
      <c r="J224" s="198" t="e">
        <f t="shared" si="46"/>
        <v>#DIV/0!</v>
      </c>
      <c r="K224" s="198" t="e">
        <f t="shared" si="47"/>
        <v>#DIV/0!</v>
      </c>
      <c r="L224" s="681"/>
      <c r="M224" s="198" t="e">
        <f>RANK(K224, K$218:$K$247)</f>
        <v>#DIV/0!</v>
      </c>
    </row>
    <row r="225" spans="2:39">
      <c r="B225" s="643"/>
      <c r="C225" s="311">
        <v>8</v>
      </c>
      <c r="D225" s="311"/>
      <c r="E225" s="181"/>
      <c r="F225" s="311"/>
      <c r="G225" s="314"/>
      <c r="H225" s="657"/>
      <c r="I225" s="198" t="e">
        <f t="shared" si="46"/>
        <v>#DIV/0!</v>
      </c>
      <c r="J225" s="198" t="e">
        <f t="shared" si="46"/>
        <v>#DIV/0!</v>
      </c>
      <c r="K225" s="198" t="e">
        <f t="shared" si="47"/>
        <v>#DIV/0!</v>
      </c>
      <c r="L225" s="681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43"/>
      <c r="C226" s="311">
        <v>9</v>
      </c>
      <c r="D226" s="311"/>
      <c r="E226" s="181"/>
      <c r="F226" s="311"/>
      <c r="G226" s="314"/>
      <c r="H226" s="657"/>
      <c r="I226" s="198" t="e">
        <f t="shared" si="46"/>
        <v>#DIV/0!</v>
      </c>
      <c r="J226" s="198" t="e">
        <f t="shared" si="46"/>
        <v>#DIV/0!</v>
      </c>
      <c r="K226" s="198" t="e">
        <f t="shared" si="47"/>
        <v>#DIV/0!</v>
      </c>
      <c r="L226" s="681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43"/>
      <c r="C227" s="311">
        <v>10</v>
      </c>
      <c r="D227" s="311"/>
      <c r="E227" s="181"/>
      <c r="F227" s="311"/>
      <c r="G227" s="314"/>
      <c r="H227" s="657"/>
      <c r="I227" s="198" t="e">
        <f t="shared" si="46"/>
        <v>#DIV/0!</v>
      </c>
      <c r="J227" s="198" t="e">
        <f t="shared" si="46"/>
        <v>#DIV/0!</v>
      </c>
      <c r="K227" s="198" t="e">
        <f t="shared" si="47"/>
        <v>#DIV/0!</v>
      </c>
      <c r="L227" s="681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43"/>
      <c r="C228" s="311">
        <v>11</v>
      </c>
      <c r="D228" s="311"/>
      <c r="E228" s="181"/>
      <c r="F228" s="311"/>
      <c r="G228" s="314"/>
      <c r="H228" s="657"/>
      <c r="I228" s="198" t="e">
        <f t="shared" si="46"/>
        <v>#DIV/0!</v>
      </c>
      <c r="J228" s="198" t="e">
        <f t="shared" si="46"/>
        <v>#DIV/0!</v>
      </c>
      <c r="K228" s="198" t="e">
        <f t="shared" si="47"/>
        <v>#DIV/0!</v>
      </c>
      <c r="L228" s="681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43"/>
      <c r="C229" s="311">
        <v>12</v>
      </c>
      <c r="D229" s="311"/>
      <c r="E229" s="181"/>
      <c r="F229" s="311"/>
      <c r="G229" s="314"/>
      <c r="H229" s="657"/>
      <c r="I229" s="198" t="e">
        <f t="shared" si="46"/>
        <v>#DIV/0!</v>
      </c>
      <c r="J229" s="198" t="e">
        <f t="shared" si="46"/>
        <v>#DIV/0!</v>
      </c>
      <c r="K229" s="198" t="e">
        <f t="shared" si="47"/>
        <v>#DIV/0!</v>
      </c>
      <c r="L229" s="681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43"/>
      <c r="C230" s="311">
        <v>13</v>
      </c>
      <c r="D230" s="311"/>
      <c r="E230" s="181"/>
      <c r="F230" s="311"/>
      <c r="G230" s="314"/>
      <c r="H230" s="657"/>
      <c r="I230" s="198" t="e">
        <f t="shared" si="46"/>
        <v>#DIV/0!</v>
      </c>
      <c r="J230" s="198" t="e">
        <f t="shared" si="46"/>
        <v>#DIV/0!</v>
      </c>
      <c r="K230" s="198" t="e">
        <f t="shared" si="47"/>
        <v>#DIV/0!</v>
      </c>
      <c r="L230" s="681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43"/>
      <c r="C231" s="311">
        <v>14</v>
      </c>
      <c r="D231" s="311"/>
      <c r="E231" s="181"/>
      <c r="F231" s="311"/>
      <c r="G231" s="314"/>
      <c r="H231" s="657"/>
      <c r="I231" s="198" t="e">
        <f t="shared" si="46"/>
        <v>#DIV/0!</v>
      </c>
      <c r="J231" s="198" t="e">
        <f t="shared" si="46"/>
        <v>#DIV/0!</v>
      </c>
      <c r="K231" s="198" t="e">
        <f t="shared" si="47"/>
        <v>#DIV/0!</v>
      </c>
      <c r="L231" s="681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43"/>
      <c r="C232" s="311">
        <v>15</v>
      </c>
      <c r="D232" s="311"/>
      <c r="E232" s="181"/>
      <c r="F232" s="311"/>
      <c r="G232" s="314"/>
      <c r="H232" s="657"/>
      <c r="I232" s="198" t="e">
        <f t="shared" si="46"/>
        <v>#DIV/0!</v>
      </c>
      <c r="J232" s="198" t="e">
        <f t="shared" si="46"/>
        <v>#DIV/0!</v>
      </c>
      <c r="K232" s="198" t="e">
        <f t="shared" si="47"/>
        <v>#DIV/0!</v>
      </c>
      <c r="L232" s="681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43"/>
      <c r="C233" s="311">
        <v>16</v>
      </c>
      <c r="D233" s="311"/>
      <c r="E233" s="181"/>
      <c r="F233" s="311"/>
      <c r="G233" s="314"/>
      <c r="H233" s="657"/>
      <c r="I233" s="198" t="e">
        <f t="shared" si="46"/>
        <v>#DIV/0!</v>
      </c>
      <c r="J233" s="198" t="e">
        <f t="shared" si="46"/>
        <v>#DIV/0!</v>
      </c>
      <c r="K233" s="198" t="e">
        <f t="shared" si="47"/>
        <v>#DIV/0!</v>
      </c>
      <c r="L233" s="681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43"/>
      <c r="C234" s="311">
        <v>17</v>
      </c>
      <c r="D234" s="311"/>
      <c r="E234" s="181"/>
      <c r="F234" s="311"/>
      <c r="G234" s="314"/>
      <c r="H234" s="657"/>
      <c r="I234" s="198" t="e">
        <f t="shared" si="46"/>
        <v>#DIV/0!</v>
      </c>
      <c r="J234" s="198" t="e">
        <f t="shared" si="46"/>
        <v>#DIV/0!</v>
      </c>
      <c r="K234" s="198" t="e">
        <f t="shared" si="47"/>
        <v>#DIV/0!</v>
      </c>
      <c r="L234" s="681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43"/>
      <c r="C235" s="311">
        <v>18</v>
      </c>
      <c r="D235" s="311"/>
      <c r="E235" s="181"/>
      <c r="F235" s="311"/>
      <c r="G235" s="314"/>
      <c r="H235" s="657"/>
      <c r="I235" s="198" t="e">
        <f t="shared" si="46"/>
        <v>#DIV/0!</v>
      </c>
      <c r="J235" s="198" t="e">
        <f t="shared" si="46"/>
        <v>#DIV/0!</v>
      </c>
      <c r="K235" s="198" t="e">
        <f t="shared" si="47"/>
        <v>#DIV/0!</v>
      </c>
      <c r="L235" s="681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43"/>
      <c r="C236" s="311">
        <v>19</v>
      </c>
      <c r="D236" s="311"/>
      <c r="E236" s="181"/>
      <c r="F236" s="311"/>
      <c r="G236" s="314"/>
      <c r="H236" s="657"/>
      <c r="I236" s="198" t="e">
        <f t="shared" si="46"/>
        <v>#DIV/0!</v>
      </c>
      <c r="J236" s="198" t="e">
        <f t="shared" si="46"/>
        <v>#DIV/0!</v>
      </c>
      <c r="K236" s="198" t="e">
        <f t="shared" si="47"/>
        <v>#DIV/0!</v>
      </c>
      <c r="L236" s="681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43"/>
      <c r="C237" s="311">
        <v>20</v>
      </c>
      <c r="D237" s="311"/>
      <c r="E237" s="181"/>
      <c r="F237" s="311"/>
      <c r="G237" s="314"/>
      <c r="H237" s="657"/>
      <c r="I237" s="198" t="e">
        <f t="shared" si="46"/>
        <v>#DIV/0!</v>
      </c>
      <c r="J237" s="198" t="e">
        <f t="shared" si="46"/>
        <v>#DIV/0!</v>
      </c>
      <c r="K237" s="198" t="e">
        <f t="shared" si="47"/>
        <v>#DIV/0!</v>
      </c>
      <c r="L237" s="681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43"/>
      <c r="C238" s="311">
        <v>21</v>
      </c>
      <c r="D238" s="311"/>
      <c r="E238" s="181"/>
      <c r="F238" s="311"/>
      <c r="G238" s="314"/>
      <c r="H238" s="657"/>
      <c r="I238" s="198" t="e">
        <f t="shared" si="46"/>
        <v>#DIV/0!</v>
      </c>
      <c r="J238" s="198" t="e">
        <f t="shared" si="46"/>
        <v>#DIV/0!</v>
      </c>
      <c r="K238" s="198" t="e">
        <f t="shared" si="47"/>
        <v>#DIV/0!</v>
      </c>
      <c r="L238" s="681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43"/>
      <c r="C239" s="311">
        <v>22</v>
      </c>
      <c r="D239" s="311"/>
      <c r="E239" s="181"/>
      <c r="F239" s="311"/>
      <c r="G239" s="314"/>
      <c r="H239" s="657"/>
      <c r="I239" s="198" t="e">
        <f t="shared" si="46"/>
        <v>#DIV/0!</v>
      </c>
      <c r="J239" s="198" t="e">
        <f t="shared" si="46"/>
        <v>#DIV/0!</v>
      </c>
      <c r="K239" s="198" t="e">
        <f t="shared" si="47"/>
        <v>#DIV/0!</v>
      </c>
      <c r="L239" s="681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43"/>
      <c r="C240" s="311">
        <v>23</v>
      </c>
      <c r="D240" s="311"/>
      <c r="E240" s="181"/>
      <c r="F240" s="311"/>
      <c r="G240" s="314"/>
      <c r="H240" s="657"/>
      <c r="I240" s="198" t="e">
        <f t="shared" si="46"/>
        <v>#DIV/0!</v>
      </c>
      <c r="J240" s="198" t="e">
        <f t="shared" si="46"/>
        <v>#DIV/0!</v>
      </c>
      <c r="K240" s="198" t="e">
        <f t="shared" si="47"/>
        <v>#DIV/0!</v>
      </c>
      <c r="L240" s="681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43"/>
      <c r="C241" s="311">
        <v>24</v>
      </c>
      <c r="D241" s="311"/>
      <c r="E241" s="181"/>
      <c r="F241" s="311"/>
      <c r="G241" s="314"/>
      <c r="H241" s="657"/>
      <c r="I241" s="198" t="e">
        <f t="shared" si="46"/>
        <v>#DIV/0!</v>
      </c>
      <c r="J241" s="198" t="e">
        <f t="shared" si="46"/>
        <v>#DIV/0!</v>
      </c>
      <c r="K241" s="198" t="e">
        <f t="shared" si="47"/>
        <v>#DIV/0!</v>
      </c>
      <c r="L241" s="681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43"/>
      <c r="C242" s="311">
        <v>25</v>
      </c>
      <c r="D242" s="311"/>
      <c r="E242" s="181"/>
      <c r="F242" s="311"/>
      <c r="G242" s="314"/>
      <c r="H242" s="657"/>
      <c r="I242" s="198"/>
      <c r="J242" s="198"/>
      <c r="K242" s="198"/>
      <c r="L242" s="681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43"/>
      <c r="C243" s="311">
        <v>26</v>
      </c>
      <c r="D243" s="311"/>
      <c r="E243" s="181"/>
      <c r="F243" s="311"/>
      <c r="G243" s="314"/>
      <c r="H243" s="657"/>
      <c r="I243" s="198"/>
      <c r="J243" s="198"/>
      <c r="K243" s="198"/>
      <c r="L243" s="681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43"/>
      <c r="C244" s="311">
        <v>27</v>
      </c>
      <c r="D244" s="311"/>
      <c r="E244" s="181"/>
      <c r="F244" s="311"/>
      <c r="G244" s="314"/>
      <c r="H244" s="657"/>
      <c r="I244" s="198"/>
      <c r="J244" s="198"/>
      <c r="K244" s="198"/>
      <c r="L244" s="681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43"/>
      <c r="C245" s="311">
        <v>28</v>
      </c>
      <c r="D245" s="311"/>
      <c r="E245" s="181"/>
      <c r="F245" s="311"/>
      <c r="G245" s="314"/>
      <c r="H245" s="657"/>
      <c r="I245" s="198"/>
      <c r="J245" s="198"/>
      <c r="K245" s="198"/>
      <c r="L245" s="681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43"/>
      <c r="C246" s="311">
        <v>29</v>
      </c>
      <c r="D246" s="311"/>
      <c r="E246" s="181"/>
      <c r="F246" s="311"/>
      <c r="G246" s="314"/>
      <c r="H246" s="657"/>
      <c r="I246" s="198"/>
      <c r="J246" s="198"/>
      <c r="K246" s="198"/>
      <c r="L246" s="681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43"/>
      <c r="C247" s="311">
        <v>30</v>
      </c>
      <c r="D247" s="311"/>
      <c r="E247" s="181"/>
      <c r="F247" s="311"/>
      <c r="G247" s="314"/>
      <c r="H247" s="657"/>
      <c r="I247" s="198"/>
      <c r="J247" s="198"/>
      <c r="K247" s="198"/>
      <c r="L247" s="681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2" zoomScale="55" zoomScaleNormal="55" workbookViewId="0">
      <pane xSplit="15" topLeftCell="AK1" activePane="topRight" state="frozen"/>
      <selection activeCell="T27" sqref="S27:T41"/>
      <selection pane="topRight" activeCell="L47" sqref="L47:L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71.849726101978334</v>
      </c>
    </row>
    <row r="2" spans="1:53" ht="15.75">
      <c r="A2" s="81"/>
      <c r="B2" s="647" t="s">
        <v>163</v>
      </c>
      <c r="C2" s="647"/>
      <c r="D2" s="647"/>
      <c r="E2" s="647"/>
      <c r="F2" s="647"/>
      <c r="G2" s="647"/>
      <c r="H2" s="647"/>
      <c r="I2" s="292"/>
      <c r="J2" s="292"/>
      <c r="K2" s="292"/>
      <c r="L2" s="292"/>
      <c r="M2" s="196"/>
      <c r="N2" s="636" t="s">
        <v>156</v>
      </c>
      <c r="O2" s="636" t="s">
        <v>155</v>
      </c>
      <c r="P2" s="663">
        <v>46168</v>
      </c>
      <c r="Q2" s="664"/>
      <c r="R2" s="664"/>
      <c r="S2" s="664"/>
      <c r="T2" s="665"/>
      <c r="U2" s="642">
        <f>P2+1</f>
        <v>46169</v>
      </c>
      <c r="V2" s="643"/>
      <c r="W2" s="643"/>
      <c r="X2" s="643"/>
      <c r="Y2" s="643"/>
      <c r="Z2" s="642">
        <f>U2+1</f>
        <v>46170</v>
      </c>
      <c r="AA2" s="643"/>
      <c r="AB2" s="643"/>
      <c r="AC2" s="643"/>
      <c r="AD2" s="643"/>
      <c r="AE2" s="642">
        <f>Z2+1</f>
        <v>46171</v>
      </c>
      <c r="AF2" s="643"/>
      <c r="AG2" s="643"/>
      <c r="AH2" s="643"/>
      <c r="AI2" s="643"/>
      <c r="AJ2" s="642">
        <f>AE2+1</f>
        <v>46172</v>
      </c>
      <c r="AK2" s="643"/>
      <c r="AL2" s="643"/>
      <c r="AM2" s="643"/>
      <c r="AN2" s="643"/>
      <c r="AO2" s="642">
        <f>AJ2+1</f>
        <v>46173</v>
      </c>
      <c r="AP2" s="643"/>
      <c r="AQ2" s="643"/>
      <c r="AR2" s="643"/>
      <c r="AS2" s="643"/>
      <c r="AT2" s="639">
        <f>AO2+1</f>
        <v>46174</v>
      </c>
      <c r="AU2" s="640"/>
      <c r="AV2" s="640"/>
      <c r="AW2" s="640"/>
      <c r="AX2" s="641"/>
    </row>
    <row r="3" spans="1:53" ht="15.75">
      <c r="A3" s="81"/>
      <c r="B3" s="666"/>
      <c r="C3" s="666"/>
      <c r="D3" s="666"/>
      <c r="E3" s="666"/>
      <c r="F3" s="666"/>
      <c r="G3" s="666"/>
      <c r="H3" s="666"/>
      <c r="I3" s="293"/>
      <c r="J3" s="293"/>
      <c r="K3" s="293"/>
      <c r="L3" s="293"/>
      <c r="M3" s="197"/>
      <c r="N3" s="638"/>
      <c r="O3" s="638"/>
      <c r="P3" s="639" t="s">
        <v>158</v>
      </c>
      <c r="Q3" s="640"/>
      <c r="R3" s="640"/>
      <c r="S3" s="640"/>
      <c r="T3" s="641"/>
      <c r="U3" s="639" t="s">
        <v>114</v>
      </c>
      <c r="V3" s="640"/>
      <c r="W3" s="640"/>
      <c r="X3" s="640"/>
      <c r="Y3" s="641"/>
      <c r="Z3" s="639" t="s">
        <v>159</v>
      </c>
      <c r="AA3" s="640"/>
      <c r="AB3" s="640"/>
      <c r="AC3" s="640"/>
      <c r="AD3" s="641"/>
      <c r="AE3" s="639" t="s">
        <v>157</v>
      </c>
      <c r="AF3" s="640"/>
      <c r="AG3" s="640"/>
      <c r="AH3" s="640"/>
      <c r="AI3" s="641"/>
      <c r="AJ3" s="639" t="s">
        <v>160</v>
      </c>
      <c r="AK3" s="640"/>
      <c r="AL3" s="640"/>
      <c r="AM3" s="640"/>
      <c r="AN3" s="641"/>
      <c r="AO3" s="639" t="s">
        <v>161</v>
      </c>
      <c r="AP3" s="640"/>
      <c r="AQ3" s="640"/>
      <c r="AR3" s="640"/>
      <c r="AS3" s="641"/>
      <c r="AT3" s="639" t="s">
        <v>162</v>
      </c>
      <c r="AU3" s="640"/>
      <c r="AV3" s="640"/>
      <c r="AW3" s="640"/>
      <c r="AX3" s="641"/>
    </row>
    <row r="4" spans="1:53" ht="14.25">
      <c r="A4" s="81"/>
      <c r="B4" s="635" t="s">
        <v>154</v>
      </c>
      <c r="C4" s="635" t="s">
        <v>384</v>
      </c>
      <c r="D4" s="635"/>
      <c r="E4" s="635" t="s">
        <v>375</v>
      </c>
      <c r="F4" s="635"/>
      <c r="G4" s="635"/>
      <c r="H4" s="651" t="s">
        <v>371</v>
      </c>
      <c r="I4" s="619" t="s">
        <v>376</v>
      </c>
      <c r="J4" s="619"/>
      <c r="K4" s="619"/>
      <c r="L4" s="620" t="s">
        <v>371</v>
      </c>
      <c r="M4" s="626" t="s">
        <v>372</v>
      </c>
      <c r="N4" s="635"/>
      <c r="O4" s="635" t="s">
        <v>377</v>
      </c>
      <c r="P4" s="632" t="s">
        <v>373</v>
      </c>
      <c r="Q4" s="633"/>
      <c r="R4" s="633"/>
      <c r="S4" s="634"/>
      <c r="T4" s="635" t="s">
        <v>371</v>
      </c>
      <c r="U4" s="632" t="s">
        <v>373</v>
      </c>
      <c r="V4" s="633"/>
      <c r="W4" s="633"/>
      <c r="X4" s="634"/>
      <c r="Y4" s="635" t="s">
        <v>371</v>
      </c>
      <c r="Z4" s="632" t="s">
        <v>373</v>
      </c>
      <c r="AA4" s="633"/>
      <c r="AB4" s="633"/>
      <c r="AC4" s="634"/>
      <c r="AD4" s="635" t="s">
        <v>371</v>
      </c>
      <c r="AE4" s="632" t="s">
        <v>373</v>
      </c>
      <c r="AF4" s="633"/>
      <c r="AG4" s="633"/>
      <c r="AH4" s="634"/>
      <c r="AI4" s="635" t="s">
        <v>371</v>
      </c>
      <c r="AJ4" s="632" t="s">
        <v>373</v>
      </c>
      <c r="AK4" s="633"/>
      <c r="AL4" s="633"/>
      <c r="AM4" s="634"/>
      <c r="AN4" s="635" t="s">
        <v>371</v>
      </c>
      <c r="AO4" s="632" t="s">
        <v>373</v>
      </c>
      <c r="AP4" s="633"/>
      <c r="AQ4" s="633"/>
      <c r="AR4" s="634"/>
      <c r="AS4" s="635" t="s">
        <v>371</v>
      </c>
      <c r="AT4" s="632" t="s">
        <v>373</v>
      </c>
      <c r="AU4" s="633"/>
      <c r="AV4" s="633"/>
      <c r="AW4" s="634"/>
      <c r="AX4" s="635" t="s">
        <v>371</v>
      </c>
      <c r="BA4" s="635" t="s">
        <v>371</v>
      </c>
    </row>
    <row r="5" spans="1:53" ht="14.25">
      <c r="A5" s="81"/>
      <c r="B5" s="635"/>
      <c r="C5" s="635"/>
      <c r="D5" s="635"/>
      <c r="E5" s="635" t="s">
        <v>378</v>
      </c>
      <c r="F5" s="635"/>
      <c r="G5" s="635"/>
      <c r="H5" s="652"/>
      <c r="I5" s="619" t="s">
        <v>378</v>
      </c>
      <c r="J5" s="619"/>
      <c r="K5" s="619"/>
      <c r="L5" s="621"/>
      <c r="M5" s="627"/>
      <c r="N5" s="635"/>
      <c r="O5" s="635"/>
      <c r="P5" s="632" t="s">
        <v>379</v>
      </c>
      <c r="Q5" s="633"/>
      <c r="R5" s="633"/>
      <c r="S5" s="634"/>
      <c r="T5" s="635"/>
      <c r="U5" s="632" t="s">
        <v>379</v>
      </c>
      <c r="V5" s="633"/>
      <c r="W5" s="633"/>
      <c r="X5" s="634"/>
      <c r="Y5" s="635"/>
      <c r="Z5" s="632" t="s">
        <v>379</v>
      </c>
      <c r="AA5" s="633"/>
      <c r="AB5" s="633"/>
      <c r="AC5" s="634"/>
      <c r="AD5" s="635"/>
      <c r="AE5" s="632" t="s">
        <v>379</v>
      </c>
      <c r="AF5" s="633"/>
      <c r="AG5" s="633"/>
      <c r="AH5" s="634"/>
      <c r="AI5" s="635"/>
      <c r="AJ5" s="632" t="s">
        <v>379</v>
      </c>
      <c r="AK5" s="633"/>
      <c r="AL5" s="633"/>
      <c r="AM5" s="634"/>
      <c r="AN5" s="635"/>
      <c r="AO5" s="632" t="s">
        <v>379</v>
      </c>
      <c r="AP5" s="633"/>
      <c r="AQ5" s="633"/>
      <c r="AR5" s="634"/>
      <c r="AS5" s="635"/>
      <c r="AT5" s="632" t="s">
        <v>379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408" t="s">
        <v>380</v>
      </c>
      <c r="F6" s="408" t="s">
        <v>381</v>
      </c>
      <c r="G6" s="408" t="s">
        <v>382</v>
      </c>
      <c r="H6" s="653"/>
      <c r="I6" s="407" t="s">
        <v>380</v>
      </c>
      <c r="J6" s="407" t="s">
        <v>381</v>
      </c>
      <c r="K6" s="407" t="s">
        <v>382</v>
      </c>
      <c r="L6" s="622"/>
      <c r="M6" s="628"/>
      <c r="N6" s="635"/>
      <c r="O6" s="635"/>
      <c r="P6" s="408" t="s">
        <v>380</v>
      </c>
      <c r="Q6" s="408" t="s">
        <v>381</v>
      </c>
      <c r="R6" s="408" t="s">
        <v>382</v>
      </c>
      <c r="S6" s="408" t="s">
        <v>372</v>
      </c>
      <c r="T6" s="635"/>
      <c r="U6" s="408" t="s">
        <v>380</v>
      </c>
      <c r="V6" s="408" t="s">
        <v>381</v>
      </c>
      <c r="W6" s="408" t="s">
        <v>382</v>
      </c>
      <c r="X6" s="408" t="s">
        <v>372</v>
      </c>
      <c r="Y6" s="635"/>
      <c r="Z6" s="408" t="s">
        <v>380</v>
      </c>
      <c r="AA6" s="408" t="s">
        <v>381</v>
      </c>
      <c r="AB6" s="408" t="s">
        <v>382</v>
      </c>
      <c r="AC6" s="408" t="s">
        <v>372</v>
      </c>
      <c r="AD6" s="635"/>
      <c r="AE6" s="408" t="s">
        <v>380</v>
      </c>
      <c r="AF6" s="408" t="s">
        <v>381</v>
      </c>
      <c r="AG6" s="408" t="s">
        <v>382</v>
      </c>
      <c r="AH6" s="408" t="s">
        <v>372</v>
      </c>
      <c r="AI6" s="635"/>
      <c r="AJ6" s="408" t="s">
        <v>380</v>
      </c>
      <c r="AK6" s="408" t="s">
        <v>381</v>
      </c>
      <c r="AL6" s="408" t="s">
        <v>382</v>
      </c>
      <c r="AM6" s="408" t="s">
        <v>372</v>
      </c>
      <c r="AN6" s="635"/>
      <c r="AO6" s="408" t="s">
        <v>380</v>
      </c>
      <c r="AP6" s="408" t="s">
        <v>381</v>
      </c>
      <c r="AQ6" s="408" t="s">
        <v>382</v>
      </c>
      <c r="AR6" s="408" t="s">
        <v>372</v>
      </c>
      <c r="AS6" s="635"/>
      <c r="AT6" s="408" t="s">
        <v>380</v>
      </c>
      <c r="AU6" s="408" t="s">
        <v>381</v>
      </c>
      <c r="AV6" s="408" t="s">
        <v>382</v>
      </c>
      <c r="AW6" s="408" t="s">
        <v>372</v>
      </c>
      <c r="AX6" s="635"/>
      <c r="AZ6" s="397" t="s">
        <v>372</v>
      </c>
      <c r="BA6" s="635"/>
    </row>
    <row r="7" spans="1:53" ht="14.25">
      <c r="A7" s="81"/>
      <c r="B7" s="635" t="s">
        <v>132</v>
      </c>
      <c r="C7" s="409">
        <v>1</v>
      </c>
      <c r="D7" s="225" t="s">
        <v>701</v>
      </c>
      <c r="E7" s="416">
        <v>17</v>
      </c>
      <c r="F7" s="495">
        <v>1440</v>
      </c>
      <c r="G7" s="496">
        <v>84.705882352941174</v>
      </c>
      <c r="H7" s="685">
        <f>AVERAGE(G7:G21)</f>
        <v>79.694863100435867</v>
      </c>
      <c r="I7" s="413">
        <f t="shared" ref="I7:I20" si="0">IFERROR(AVERAGE(P7,U7,Z7,AE7,AJ7,AO7,AT7),"-")</f>
        <v>17</v>
      </c>
      <c r="J7" s="413">
        <f t="shared" ref="J7:J20" si="1">IFERROR(AVERAGE(Q7,V7,AA7,AF7,AK7,AP7,AU7),"-")</f>
        <v>1286.0602903118672</v>
      </c>
      <c r="K7" s="199">
        <f t="shared" ref="K7:K20" si="2">IFERROR(AVERAGE(R7,W7,AB7,AG7,AL7,AQ7,AV7),"-")</f>
        <v>75.650605312462773</v>
      </c>
      <c r="L7" s="616">
        <f>IFERROR(AVERAGE(K7:K21),"-")</f>
        <v>72.468349889814732</v>
      </c>
      <c r="M7" s="415">
        <f>RANK(K7, K$7:$K$21)</f>
        <v>4</v>
      </c>
      <c r="N7" s="635"/>
      <c r="O7" s="635"/>
      <c r="P7" s="495">
        <v>17</v>
      </c>
      <c r="Q7" s="416">
        <v>1276.8539325842696</v>
      </c>
      <c r="R7" s="416">
        <v>75.109054857898215</v>
      </c>
      <c r="S7" s="495">
        <f t="shared" ref="S7:S21" si="3">RANK(R7, R$7:R$21)</f>
        <v>5</v>
      </c>
      <c r="T7" s="657">
        <f t="shared" ref="T7" si="4">AVERAGE(R7:R21)</f>
        <v>72.119457095091747</v>
      </c>
      <c r="U7" s="495">
        <v>17</v>
      </c>
      <c r="V7" s="416">
        <v>1296.4948453608251</v>
      </c>
      <c r="W7" s="416">
        <v>76.264402668283836</v>
      </c>
      <c r="X7" s="495">
        <f t="shared" ref="X7:X21" si="5">RANK(W7, W$7:W$21)</f>
        <v>4</v>
      </c>
      <c r="Y7" s="657">
        <f t="shared" ref="Y7" si="6">AVERAGE(W7:W21)</f>
        <v>72.722977097532521</v>
      </c>
      <c r="Z7" s="495">
        <v>17</v>
      </c>
      <c r="AA7" s="416">
        <v>1308.409090909091</v>
      </c>
      <c r="AB7" s="416">
        <v>76.965240641711233</v>
      </c>
      <c r="AC7" s="495">
        <f t="shared" ref="AC7:AC21" si="7">RANK(AB7, AB$7:AB$21)</f>
        <v>4</v>
      </c>
      <c r="AD7" s="657">
        <f t="shared" ref="AD7" si="8">AVERAGE(AB7:AB21)</f>
        <v>72.765739960917713</v>
      </c>
      <c r="AE7" s="495">
        <v>17</v>
      </c>
      <c r="AF7" s="416">
        <v>1286.6666666666665</v>
      </c>
      <c r="AG7" s="416">
        <v>75.686274509803908</v>
      </c>
      <c r="AH7" s="495">
        <f t="shared" ref="AH7:AH21" si="9">RANK(AG7, AG$7:AG$21)</f>
        <v>4</v>
      </c>
      <c r="AI7" s="657">
        <f t="shared" ref="AI7" si="10">AVERAGE(AG7:AG21)</f>
        <v>71.47560682967611</v>
      </c>
      <c r="AJ7" s="495">
        <v>17</v>
      </c>
      <c r="AK7" s="416">
        <v>1280.6250000000005</v>
      </c>
      <c r="AL7" s="416">
        <v>75.330882352941202</v>
      </c>
      <c r="AM7" s="495">
        <f t="shared" ref="AM7:AM21" si="11">RANK(AL7, AL$7:AL$21)</f>
        <v>4</v>
      </c>
      <c r="AN7" s="657">
        <f t="shared" ref="AN7" si="12">AVERAGE(AL7:AL21)</f>
        <v>72.794758091582509</v>
      </c>
      <c r="AO7" s="495">
        <v>17</v>
      </c>
      <c r="AP7" s="416">
        <v>1277.9439252336456</v>
      </c>
      <c r="AQ7" s="416">
        <v>75.173172072567382</v>
      </c>
      <c r="AR7" s="495">
        <f t="shared" ref="AR7:AR21" si="13">RANK(AQ7, AQ$7:AQ$21)</f>
        <v>4</v>
      </c>
      <c r="AS7" s="657">
        <f t="shared" ref="AS7" si="14">AVERAGE(AQ7:AQ21)</f>
        <v>72.522824362763899</v>
      </c>
      <c r="AT7" s="495">
        <v>17</v>
      </c>
      <c r="AU7" s="416">
        <v>1275.428571428572</v>
      </c>
      <c r="AV7" s="416">
        <v>75.025210084033645</v>
      </c>
      <c r="AW7" s="495">
        <f t="shared" ref="AW7:AW21" si="15">RANK(AV7, AV$7:AV$21)</f>
        <v>5</v>
      </c>
      <c r="AX7" s="657">
        <f t="shared" ref="AX7" si="16">AVERAGE(AV7:AV21)</f>
        <v>72.877085791138697</v>
      </c>
      <c r="AZ7" s="398" t="e">
        <f t="shared" ref="AZ7:AZ21" si="17">RANK(AY7, AY$7:AY$21)</f>
        <v>#N/A</v>
      </c>
      <c r="BA7" s="657" t="e">
        <f t="shared" ref="BA7" si="18">AVERAGE(AY7:AY21)</f>
        <v>#DIV/0!</v>
      </c>
    </row>
    <row r="8" spans="1:53" ht="15" customHeight="1">
      <c r="A8" s="81"/>
      <c r="B8" s="643"/>
      <c r="C8" s="409">
        <v>2</v>
      </c>
      <c r="D8" s="225" t="s">
        <v>348</v>
      </c>
      <c r="E8" s="416">
        <v>18</v>
      </c>
      <c r="F8" s="495">
        <v>1440</v>
      </c>
      <c r="G8" s="496">
        <v>80</v>
      </c>
      <c r="H8" s="686"/>
      <c r="I8" s="413">
        <f t="shared" si="0"/>
        <v>18</v>
      </c>
      <c r="J8" s="413">
        <f t="shared" si="1"/>
        <v>1354.3394453516883</v>
      </c>
      <c r="K8" s="199">
        <f t="shared" si="2"/>
        <v>75.241080297316003</v>
      </c>
      <c r="L8" s="617"/>
      <c r="M8" s="415">
        <f>RANK(K8, K$7:$K$21)</f>
        <v>5</v>
      </c>
      <c r="N8" s="635"/>
      <c r="O8" s="635"/>
      <c r="P8" s="495">
        <v>18</v>
      </c>
      <c r="Q8" s="416">
        <v>1362.9411764705887</v>
      </c>
      <c r="R8" s="416">
        <v>75.718954248366046</v>
      </c>
      <c r="S8" s="495">
        <f t="shared" si="3"/>
        <v>4</v>
      </c>
      <c r="T8" s="657"/>
      <c r="U8" s="495">
        <v>18</v>
      </c>
      <c r="V8" s="416">
        <v>1352.2580645161293</v>
      </c>
      <c r="W8" s="416">
        <v>75.125448028673844</v>
      </c>
      <c r="X8" s="495">
        <f t="shared" si="5"/>
        <v>6</v>
      </c>
      <c r="Y8" s="657"/>
      <c r="Z8" s="495">
        <v>18</v>
      </c>
      <c r="AA8" s="416">
        <v>1358.3720930232557</v>
      </c>
      <c r="AB8" s="416">
        <v>75.465116279069761</v>
      </c>
      <c r="AC8" s="495">
        <f t="shared" si="7"/>
        <v>5</v>
      </c>
      <c r="AD8" s="657"/>
      <c r="AE8" s="495">
        <v>18</v>
      </c>
      <c r="AF8" s="416">
        <v>1356.0000000000002</v>
      </c>
      <c r="AG8" s="416">
        <v>75.333333333333343</v>
      </c>
      <c r="AH8" s="495">
        <f t="shared" si="9"/>
        <v>5</v>
      </c>
      <c r="AI8" s="657"/>
      <c r="AJ8" s="495">
        <v>18</v>
      </c>
      <c r="AK8" s="416">
        <v>1341.098901098901</v>
      </c>
      <c r="AL8" s="416">
        <v>74.505494505494497</v>
      </c>
      <c r="AM8" s="495">
        <f t="shared" si="11"/>
        <v>6</v>
      </c>
      <c r="AN8" s="657"/>
      <c r="AO8" s="495">
        <v>18</v>
      </c>
      <c r="AP8" s="416">
        <v>1344.7058823529417</v>
      </c>
      <c r="AQ8" s="416">
        <v>74.705882352941202</v>
      </c>
      <c r="AR8" s="495">
        <f t="shared" si="13"/>
        <v>5</v>
      </c>
      <c r="AS8" s="657"/>
      <c r="AT8" s="495">
        <v>18</v>
      </c>
      <c r="AU8" s="416">
        <v>1365.0000000000005</v>
      </c>
      <c r="AV8" s="416">
        <v>75.833333333333357</v>
      </c>
      <c r="AW8" s="495">
        <f t="shared" si="15"/>
        <v>4</v>
      </c>
      <c r="AX8" s="657"/>
      <c r="AZ8" s="398" t="e">
        <f t="shared" si="17"/>
        <v>#N/A</v>
      </c>
      <c r="BA8" s="657"/>
    </row>
    <row r="9" spans="1:53" ht="14.25">
      <c r="A9" s="81"/>
      <c r="B9" s="643"/>
      <c r="C9" s="409">
        <v>3</v>
      </c>
      <c r="D9" s="225" t="s">
        <v>349</v>
      </c>
      <c r="E9" s="416">
        <v>18</v>
      </c>
      <c r="F9" s="495">
        <v>1440</v>
      </c>
      <c r="G9" s="496">
        <v>80</v>
      </c>
      <c r="H9" s="686"/>
      <c r="I9" s="413">
        <f t="shared" si="0"/>
        <v>18</v>
      </c>
      <c r="J9" s="413">
        <f t="shared" si="1"/>
        <v>1287.8107357228605</v>
      </c>
      <c r="K9" s="199">
        <f t="shared" si="2"/>
        <v>71.545040873492255</v>
      </c>
      <c r="L9" s="617"/>
      <c r="M9" s="415">
        <f>RANK(K9, K$7:$K$21)</f>
        <v>8</v>
      </c>
      <c r="N9" s="635"/>
      <c r="O9" s="635"/>
      <c r="P9" s="495">
        <v>18</v>
      </c>
      <c r="Q9" s="416">
        <v>1283.5294117647065</v>
      </c>
      <c r="R9" s="416">
        <v>71.307189542483698</v>
      </c>
      <c r="S9" s="495">
        <f t="shared" si="3"/>
        <v>7</v>
      </c>
      <c r="T9" s="657"/>
      <c r="U9" s="495">
        <v>18</v>
      </c>
      <c r="V9" s="416">
        <v>1306.5306122448983</v>
      </c>
      <c r="W9" s="416">
        <v>72.585034013605465</v>
      </c>
      <c r="X9" s="495">
        <f t="shared" si="5"/>
        <v>7</v>
      </c>
      <c r="Y9" s="657"/>
      <c r="Z9" s="495">
        <v>18</v>
      </c>
      <c r="AA9" s="416">
        <v>1263.5294117647065</v>
      </c>
      <c r="AB9" s="416">
        <v>70.196078431372584</v>
      </c>
      <c r="AC9" s="495">
        <f t="shared" si="7"/>
        <v>10</v>
      </c>
      <c r="AD9" s="657"/>
      <c r="AE9" s="495">
        <v>18</v>
      </c>
      <c r="AF9" s="416">
        <v>1304.2857142857138</v>
      </c>
      <c r="AG9" s="416">
        <v>72.460317460317427</v>
      </c>
      <c r="AH9" s="495">
        <f t="shared" si="9"/>
        <v>6</v>
      </c>
      <c r="AI9" s="657"/>
      <c r="AJ9" s="495">
        <v>18</v>
      </c>
      <c r="AK9" s="416">
        <v>1290</v>
      </c>
      <c r="AL9" s="416">
        <v>71.666666666666671</v>
      </c>
      <c r="AM9" s="495">
        <f t="shared" si="11"/>
        <v>8</v>
      </c>
      <c r="AN9" s="657"/>
      <c r="AO9" s="495">
        <v>18</v>
      </c>
      <c r="AP9" s="416">
        <v>1281.5999999999985</v>
      </c>
      <c r="AQ9" s="416">
        <v>71.199999999999918</v>
      </c>
      <c r="AR9" s="495">
        <f t="shared" si="13"/>
        <v>8</v>
      </c>
      <c r="AS9" s="657"/>
      <c r="AT9" s="495">
        <v>18</v>
      </c>
      <c r="AU9" s="416">
        <v>1285.2000000000003</v>
      </c>
      <c r="AV9" s="416">
        <v>71.40000000000002</v>
      </c>
      <c r="AW9" s="495">
        <f t="shared" si="15"/>
        <v>7</v>
      </c>
      <c r="AX9" s="657"/>
      <c r="AZ9" s="398" t="e">
        <f t="shared" si="17"/>
        <v>#N/A</v>
      </c>
      <c r="BA9" s="657"/>
    </row>
    <row r="10" spans="1:53" ht="14.25">
      <c r="A10" s="81"/>
      <c r="B10" s="643"/>
      <c r="C10" s="409">
        <v>4</v>
      </c>
      <c r="D10" s="225" t="s">
        <v>350</v>
      </c>
      <c r="E10" s="416">
        <v>17</v>
      </c>
      <c r="F10" s="495">
        <v>1440</v>
      </c>
      <c r="G10" s="496">
        <v>84.705882352941174</v>
      </c>
      <c r="H10" s="686"/>
      <c r="I10" s="413">
        <f t="shared" si="0"/>
        <v>17</v>
      </c>
      <c r="J10" s="413">
        <f t="shared" si="1"/>
        <v>1354.3255360458709</v>
      </c>
      <c r="K10" s="199">
        <f t="shared" si="2"/>
        <v>79.666208002698298</v>
      </c>
      <c r="L10" s="617"/>
      <c r="M10" s="415">
        <f>RANK(K10, K$7:$K$21)</f>
        <v>3</v>
      </c>
      <c r="N10" s="635"/>
      <c r="O10" s="635"/>
      <c r="P10" s="495">
        <v>17</v>
      </c>
      <c r="Q10" s="416">
        <v>1341.2903225806454</v>
      </c>
      <c r="R10" s="416">
        <v>78.899430740037957</v>
      </c>
      <c r="S10" s="495">
        <f t="shared" si="3"/>
        <v>3</v>
      </c>
      <c r="T10" s="657"/>
      <c r="U10" s="495">
        <v>17</v>
      </c>
      <c r="V10" s="416">
        <v>1361.590909090909</v>
      </c>
      <c r="W10" s="416">
        <v>80.093582887700535</v>
      </c>
      <c r="X10" s="495">
        <f t="shared" si="5"/>
        <v>3</v>
      </c>
      <c r="Y10" s="657"/>
      <c r="Z10" s="495">
        <v>17</v>
      </c>
      <c r="AA10" s="416">
        <v>1366.399999999999</v>
      </c>
      <c r="AB10" s="416">
        <v>80.376470588235236</v>
      </c>
      <c r="AC10" s="495">
        <f t="shared" si="7"/>
        <v>2</v>
      </c>
      <c r="AD10" s="657"/>
      <c r="AE10" s="495">
        <v>17</v>
      </c>
      <c r="AF10" s="416">
        <v>1335.2112676056327</v>
      </c>
      <c r="AG10" s="416">
        <v>78.541839270919567</v>
      </c>
      <c r="AH10" s="495">
        <f t="shared" si="9"/>
        <v>3</v>
      </c>
      <c r="AI10" s="657"/>
      <c r="AJ10" s="495">
        <v>17</v>
      </c>
      <c r="AK10" s="416">
        <v>1361.1627906976742</v>
      </c>
      <c r="AL10" s="416">
        <v>80.068399452804357</v>
      </c>
      <c r="AM10" s="495">
        <f t="shared" si="11"/>
        <v>2</v>
      </c>
      <c r="AN10" s="657"/>
      <c r="AO10" s="495">
        <v>17</v>
      </c>
      <c r="AP10" s="416">
        <v>1346.1386138613868</v>
      </c>
      <c r="AQ10" s="416">
        <v>79.184624344787466</v>
      </c>
      <c r="AR10" s="495">
        <f t="shared" si="13"/>
        <v>2</v>
      </c>
      <c r="AS10" s="657"/>
      <c r="AT10" s="495">
        <v>17</v>
      </c>
      <c r="AU10" s="416">
        <v>1368.4848484848487</v>
      </c>
      <c r="AV10" s="416">
        <v>80.499108734402867</v>
      </c>
      <c r="AW10" s="495">
        <f t="shared" si="15"/>
        <v>2</v>
      </c>
      <c r="AX10" s="657"/>
      <c r="AZ10" s="398" t="e">
        <f t="shared" si="17"/>
        <v>#N/A</v>
      </c>
      <c r="BA10" s="657"/>
    </row>
    <row r="11" spans="1:53" ht="14.25">
      <c r="A11" s="81"/>
      <c r="B11" s="643"/>
      <c r="C11" s="409">
        <v>5</v>
      </c>
      <c r="D11" s="225" t="s">
        <v>351</v>
      </c>
      <c r="E11" s="416">
        <v>17</v>
      </c>
      <c r="F11" s="495">
        <v>1440</v>
      </c>
      <c r="G11" s="496">
        <v>84.705882352941174</v>
      </c>
      <c r="H11" s="686"/>
      <c r="I11" s="413">
        <f t="shared" si="0"/>
        <v>17</v>
      </c>
      <c r="J11" s="413">
        <f t="shared" si="1"/>
        <v>1244.4138655462168</v>
      </c>
      <c r="K11" s="199">
        <f t="shared" si="2"/>
        <v>73.200815620365688</v>
      </c>
      <c r="L11" s="617"/>
      <c r="M11" s="415">
        <f>RANK(K11, K$7:$K$21)</f>
        <v>6</v>
      </c>
      <c r="N11" s="635"/>
      <c r="O11" s="635"/>
      <c r="P11" s="495">
        <v>17</v>
      </c>
      <c r="Q11" s="416">
        <v>1261.7142857142844</v>
      </c>
      <c r="R11" s="416">
        <v>74.218487394957904</v>
      </c>
      <c r="S11" s="495">
        <f t="shared" si="3"/>
        <v>6</v>
      </c>
      <c r="T11" s="657"/>
      <c r="U11" s="495">
        <v>17</v>
      </c>
      <c r="V11" s="416">
        <v>1292.5714285714271</v>
      </c>
      <c r="W11" s="416">
        <v>76.033613445378066</v>
      </c>
      <c r="X11" s="495">
        <f t="shared" si="5"/>
        <v>5</v>
      </c>
      <c r="Y11" s="657"/>
      <c r="Z11" s="495">
        <v>17</v>
      </c>
      <c r="AA11" s="416">
        <v>1265.2941176470572</v>
      </c>
      <c r="AB11" s="416">
        <v>74.429065743944534</v>
      </c>
      <c r="AC11" s="495">
        <f t="shared" si="7"/>
        <v>6</v>
      </c>
      <c r="AD11" s="657"/>
      <c r="AE11" s="495">
        <v>17</v>
      </c>
      <c r="AF11" s="416">
        <v>1105.7142857142833</v>
      </c>
      <c r="AG11" s="416">
        <v>65.042016806722543</v>
      </c>
      <c r="AH11" s="495">
        <f t="shared" si="9"/>
        <v>11</v>
      </c>
      <c r="AI11" s="657"/>
      <c r="AJ11" s="495">
        <v>17</v>
      </c>
      <c r="AK11" s="416">
        <v>1271.2499999999982</v>
      </c>
      <c r="AL11" s="416">
        <v>74.77941176470577</v>
      </c>
      <c r="AM11" s="495">
        <f t="shared" si="11"/>
        <v>5</v>
      </c>
      <c r="AN11" s="657"/>
      <c r="AO11" s="495">
        <v>17</v>
      </c>
      <c r="AP11" s="416">
        <v>1242.3529411764689</v>
      </c>
      <c r="AQ11" s="416">
        <v>73.079584775086403</v>
      </c>
      <c r="AR11" s="495">
        <f t="shared" si="13"/>
        <v>6</v>
      </c>
      <c r="AS11" s="657"/>
      <c r="AT11" s="495">
        <v>17</v>
      </c>
      <c r="AU11" s="416">
        <v>1271.9999999999986</v>
      </c>
      <c r="AV11" s="416">
        <v>74.823529411764625</v>
      </c>
      <c r="AW11" s="495">
        <f t="shared" si="15"/>
        <v>6</v>
      </c>
      <c r="AX11" s="657"/>
      <c r="AZ11" s="398" t="e">
        <f t="shared" si="17"/>
        <v>#N/A</v>
      </c>
      <c r="BA11" s="657"/>
    </row>
    <row r="12" spans="1:53" ht="14.25">
      <c r="A12" s="81"/>
      <c r="B12" s="643"/>
      <c r="C12" s="409">
        <v>6</v>
      </c>
      <c r="D12" s="225" t="s">
        <v>352</v>
      </c>
      <c r="E12" s="416">
        <v>21</v>
      </c>
      <c r="F12" s="495">
        <v>1385</v>
      </c>
      <c r="G12" s="496">
        <v>65.952380952380949</v>
      </c>
      <c r="H12" s="686"/>
      <c r="I12" s="413">
        <f t="shared" si="0"/>
        <v>21</v>
      </c>
      <c r="J12" s="413">
        <f t="shared" si="1"/>
        <v>1290.272822855208</v>
      </c>
      <c r="K12" s="199">
        <f t="shared" si="2"/>
        <v>61.441562993105151</v>
      </c>
      <c r="L12" s="617"/>
      <c r="M12" s="415">
        <f>RANK(K12, K$7:$K$21)</f>
        <v>12</v>
      </c>
      <c r="N12" s="635"/>
      <c r="O12" s="635"/>
      <c r="P12" s="495">
        <v>21</v>
      </c>
      <c r="Q12" s="416">
        <v>1238.1355932203383</v>
      </c>
      <c r="R12" s="416">
        <v>58.958837772397061</v>
      </c>
      <c r="S12" s="495">
        <f t="shared" si="3"/>
        <v>13</v>
      </c>
      <c r="T12" s="657"/>
      <c r="U12" s="495">
        <v>21</v>
      </c>
      <c r="V12" s="416">
        <v>1287.0796460177003</v>
      </c>
      <c r="W12" s="416">
        <v>61.289506953223821</v>
      </c>
      <c r="X12" s="495">
        <f t="shared" si="5"/>
        <v>13</v>
      </c>
      <c r="Y12" s="657"/>
      <c r="Z12" s="495">
        <v>21</v>
      </c>
      <c r="AA12" s="416">
        <v>1298.0198019801985</v>
      </c>
      <c r="AB12" s="416">
        <v>61.81046676096183</v>
      </c>
      <c r="AC12" s="495">
        <f t="shared" si="7"/>
        <v>12</v>
      </c>
      <c r="AD12" s="657"/>
      <c r="AE12" s="495">
        <v>21</v>
      </c>
      <c r="AF12" s="416">
        <v>1272.6315789473686</v>
      </c>
      <c r="AG12" s="416">
        <v>60.601503759398504</v>
      </c>
      <c r="AH12" s="495">
        <f t="shared" si="9"/>
        <v>12</v>
      </c>
      <c r="AI12" s="657"/>
      <c r="AJ12" s="495">
        <v>21</v>
      </c>
      <c r="AK12" s="416">
        <v>1314.8936170212769</v>
      </c>
      <c r="AL12" s="416">
        <v>62.613981762917945</v>
      </c>
      <c r="AM12" s="495">
        <f t="shared" si="11"/>
        <v>12</v>
      </c>
      <c r="AN12" s="657"/>
      <c r="AO12" s="495">
        <v>21</v>
      </c>
      <c r="AP12" s="416">
        <v>1320.9756097560971</v>
      </c>
      <c r="AQ12" s="416">
        <v>62.903600464576051</v>
      </c>
      <c r="AR12" s="495">
        <f t="shared" si="13"/>
        <v>12</v>
      </c>
      <c r="AS12" s="657"/>
      <c r="AT12" s="495">
        <v>21</v>
      </c>
      <c r="AU12" s="416">
        <v>1300.1739130434776</v>
      </c>
      <c r="AV12" s="416">
        <v>61.913043478260839</v>
      </c>
      <c r="AW12" s="495">
        <f t="shared" si="15"/>
        <v>12</v>
      </c>
      <c r="AX12" s="657"/>
      <c r="AZ12" s="398" t="e">
        <f t="shared" si="17"/>
        <v>#N/A</v>
      </c>
      <c r="BA12" s="657"/>
    </row>
    <row r="13" spans="1:53" ht="14.25">
      <c r="A13" s="81"/>
      <c r="B13" s="643"/>
      <c r="C13" s="409">
        <v>7</v>
      </c>
      <c r="D13" s="225" t="s">
        <v>353</v>
      </c>
      <c r="E13" s="416">
        <v>19</v>
      </c>
      <c r="F13" s="495">
        <v>1440</v>
      </c>
      <c r="G13" s="496">
        <v>75.78947368421052</v>
      </c>
      <c r="H13" s="686"/>
      <c r="I13" s="413">
        <f t="shared" si="0"/>
        <v>19</v>
      </c>
      <c r="J13" s="413">
        <f t="shared" si="1"/>
        <v>1341.5227808033162</v>
      </c>
      <c r="K13" s="199">
        <f t="shared" si="2"/>
        <v>70.606462147542956</v>
      </c>
      <c r="L13" s="617"/>
      <c r="M13" s="415">
        <f>RANK(K13, K$7:$K$21)</f>
        <v>10</v>
      </c>
      <c r="N13" s="635"/>
      <c r="O13" s="635"/>
      <c r="P13" s="495">
        <v>19</v>
      </c>
      <c r="Q13" s="416">
        <v>1301.5384615384608</v>
      </c>
      <c r="R13" s="416">
        <v>68.502024291497932</v>
      </c>
      <c r="S13" s="495">
        <f t="shared" si="3"/>
        <v>10</v>
      </c>
      <c r="T13" s="657"/>
      <c r="U13" s="495">
        <v>19</v>
      </c>
      <c r="V13" s="416">
        <v>1338</v>
      </c>
      <c r="W13" s="416">
        <v>70.421052631578945</v>
      </c>
      <c r="X13" s="495">
        <f t="shared" si="5"/>
        <v>10</v>
      </c>
      <c r="Y13" s="657"/>
      <c r="Z13" s="495">
        <v>19</v>
      </c>
      <c r="AA13" s="416">
        <v>1363.8461538461531</v>
      </c>
      <c r="AB13" s="416">
        <v>71.781376518218579</v>
      </c>
      <c r="AC13" s="495">
        <f t="shared" si="7"/>
        <v>8</v>
      </c>
      <c r="AD13" s="657"/>
      <c r="AE13" s="495">
        <v>19</v>
      </c>
      <c r="AF13" s="416">
        <v>1341.4925373134311</v>
      </c>
      <c r="AG13" s="416">
        <v>70.604870384917419</v>
      </c>
      <c r="AH13" s="495">
        <f t="shared" si="9"/>
        <v>9</v>
      </c>
      <c r="AI13" s="657"/>
      <c r="AJ13" s="495">
        <v>19</v>
      </c>
      <c r="AK13" s="416">
        <v>1338.3333333333323</v>
      </c>
      <c r="AL13" s="416">
        <v>70.438596491228012</v>
      </c>
      <c r="AM13" s="495">
        <f t="shared" si="11"/>
        <v>10</v>
      </c>
      <c r="AN13" s="657"/>
      <c r="AO13" s="495">
        <v>19</v>
      </c>
      <c r="AP13" s="416">
        <v>1352.4489795918371</v>
      </c>
      <c r="AQ13" s="416">
        <v>71.181525241675629</v>
      </c>
      <c r="AR13" s="495">
        <f t="shared" si="13"/>
        <v>9</v>
      </c>
      <c r="AS13" s="657"/>
      <c r="AT13" s="495">
        <v>19</v>
      </c>
      <c r="AU13" s="416">
        <v>1354.9999999999995</v>
      </c>
      <c r="AV13" s="416">
        <v>71.315789473684191</v>
      </c>
      <c r="AW13" s="495">
        <f t="shared" si="15"/>
        <v>8</v>
      </c>
      <c r="AX13" s="657"/>
      <c r="AZ13" s="398" t="e">
        <f t="shared" si="17"/>
        <v>#N/A</v>
      </c>
      <c r="BA13" s="657"/>
    </row>
    <row r="14" spans="1:53" ht="14.25">
      <c r="A14" s="81"/>
      <c r="B14" s="643"/>
      <c r="C14" s="409">
        <v>8</v>
      </c>
      <c r="D14" s="225" t="s">
        <v>501</v>
      </c>
      <c r="E14" s="416">
        <v>18</v>
      </c>
      <c r="F14" s="495">
        <v>1385</v>
      </c>
      <c r="G14" s="496">
        <v>76.944444444444443</v>
      </c>
      <c r="H14" s="686"/>
      <c r="I14" s="413">
        <f t="shared" si="0"/>
        <v>18</v>
      </c>
      <c r="J14" s="413">
        <f t="shared" si="1"/>
        <v>1277.2508611430053</v>
      </c>
      <c r="K14" s="199">
        <f t="shared" si="2"/>
        <v>70.958381174611404</v>
      </c>
      <c r="L14" s="617"/>
      <c r="M14" s="415">
        <f>RANK(K14, K$7:$K$21)</f>
        <v>9</v>
      </c>
      <c r="N14" s="635"/>
      <c r="O14" s="635"/>
      <c r="P14" s="495">
        <v>18</v>
      </c>
      <c r="Q14" s="416">
        <v>1274.5714285714273</v>
      </c>
      <c r="R14" s="416">
        <v>70.809523809523739</v>
      </c>
      <c r="S14" s="495">
        <f t="shared" si="3"/>
        <v>8</v>
      </c>
      <c r="T14" s="657"/>
      <c r="U14" s="495">
        <v>18</v>
      </c>
      <c r="V14" s="416">
        <v>1289.1428571428557</v>
      </c>
      <c r="W14" s="416">
        <v>71.619047619047535</v>
      </c>
      <c r="X14" s="495">
        <f t="shared" si="5"/>
        <v>9</v>
      </c>
      <c r="Y14" s="657"/>
      <c r="Z14" s="495">
        <v>18</v>
      </c>
      <c r="AA14" s="416">
        <v>1270.0000000000014</v>
      </c>
      <c r="AB14" s="416">
        <v>70.555555555555628</v>
      </c>
      <c r="AC14" s="495">
        <f t="shared" si="7"/>
        <v>9</v>
      </c>
      <c r="AD14" s="657"/>
      <c r="AE14" s="495">
        <v>18</v>
      </c>
      <c r="AF14" s="416">
        <v>1278.6206896551735</v>
      </c>
      <c r="AG14" s="416">
        <v>71.034482758620754</v>
      </c>
      <c r="AH14" s="495">
        <f t="shared" si="9"/>
        <v>8</v>
      </c>
      <c r="AI14" s="657"/>
      <c r="AJ14" s="495">
        <v>18</v>
      </c>
      <c r="AK14" s="416">
        <v>1273.3333333333346</v>
      </c>
      <c r="AL14" s="416">
        <v>70.740740740740819</v>
      </c>
      <c r="AM14" s="495">
        <f t="shared" si="11"/>
        <v>9</v>
      </c>
      <c r="AN14" s="657"/>
      <c r="AO14" s="495">
        <v>18</v>
      </c>
      <c r="AP14" s="416">
        <v>1273.421052631578</v>
      </c>
      <c r="AQ14" s="416">
        <v>70.745614035087669</v>
      </c>
      <c r="AR14" s="495">
        <f t="shared" si="13"/>
        <v>10</v>
      </c>
      <c r="AS14" s="657"/>
      <c r="AT14" s="495">
        <v>18</v>
      </c>
      <c r="AU14" s="416">
        <v>1281.6666666666656</v>
      </c>
      <c r="AV14" s="416">
        <v>71.203703703703638</v>
      </c>
      <c r="AW14" s="495">
        <f t="shared" si="15"/>
        <v>9</v>
      </c>
      <c r="AX14" s="657"/>
      <c r="AZ14" s="398" t="e">
        <f t="shared" si="17"/>
        <v>#N/A</v>
      </c>
      <c r="BA14" s="657"/>
    </row>
    <row r="15" spans="1:53" ht="14.25">
      <c r="A15" s="81"/>
      <c r="B15" s="643"/>
      <c r="C15" s="409">
        <v>9</v>
      </c>
      <c r="D15" s="225" t="s">
        <v>503</v>
      </c>
      <c r="E15" s="416">
        <v>18</v>
      </c>
      <c r="F15" s="495">
        <v>1385</v>
      </c>
      <c r="G15" s="496">
        <v>76.944444444444443</v>
      </c>
      <c r="H15" s="686"/>
      <c r="I15" s="413">
        <f t="shared" si="0"/>
        <v>18</v>
      </c>
      <c r="J15" s="413">
        <f t="shared" si="1"/>
        <v>1219.2263428653057</v>
      </c>
      <c r="K15" s="199">
        <f t="shared" si="2"/>
        <v>67.734796825850296</v>
      </c>
      <c r="L15" s="617"/>
      <c r="M15" s="415">
        <f>RANK(K15, K$7:$K$21)</f>
        <v>11</v>
      </c>
      <c r="N15" s="635"/>
      <c r="O15" s="635"/>
      <c r="P15" s="495">
        <v>18</v>
      </c>
      <c r="Q15" s="416">
        <v>1220.4545454545455</v>
      </c>
      <c r="R15" s="416">
        <v>67.803030303030312</v>
      </c>
      <c r="S15" s="495">
        <f t="shared" si="3"/>
        <v>11</v>
      </c>
      <c r="T15" s="657"/>
      <c r="U15" s="495">
        <v>18</v>
      </c>
      <c r="V15" s="416">
        <v>1205.7142857142853</v>
      </c>
      <c r="W15" s="416">
        <v>66.984126984126959</v>
      </c>
      <c r="X15" s="495">
        <f t="shared" si="5"/>
        <v>11</v>
      </c>
      <c r="Y15" s="657"/>
      <c r="Z15" s="495">
        <v>18</v>
      </c>
      <c r="AA15" s="416">
        <v>1219.4999999999995</v>
      </c>
      <c r="AB15" s="416">
        <v>67.749999999999972</v>
      </c>
      <c r="AC15" s="495">
        <f t="shared" si="7"/>
        <v>11</v>
      </c>
      <c r="AD15" s="657"/>
      <c r="AE15" s="495">
        <v>18</v>
      </c>
      <c r="AF15" s="416">
        <v>1221.1764705882338</v>
      </c>
      <c r="AG15" s="416">
        <v>67.843137254901876</v>
      </c>
      <c r="AH15" s="495">
        <f t="shared" si="9"/>
        <v>10</v>
      </c>
      <c r="AI15" s="657"/>
      <c r="AJ15" s="495">
        <v>18</v>
      </c>
      <c r="AK15" s="416">
        <v>1221.9512195121947</v>
      </c>
      <c r="AL15" s="416">
        <v>67.886178861788594</v>
      </c>
      <c r="AM15" s="495">
        <f t="shared" si="11"/>
        <v>11</v>
      </c>
      <c r="AN15" s="657"/>
      <c r="AO15" s="495">
        <v>18</v>
      </c>
      <c r="AP15" s="416">
        <v>1220.4545454545455</v>
      </c>
      <c r="AQ15" s="416">
        <v>67.803030303030312</v>
      </c>
      <c r="AR15" s="495">
        <f t="shared" si="13"/>
        <v>11</v>
      </c>
      <c r="AS15" s="657"/>
      <c r="AT15" s="495">
        <v>18</v>
      </c>
      <c r="AU15" s="416">
        <v>1225.3333333333333</v>
      </c>
      <c r="AV15" s="416">
        <v>68.074074074074076</v>
      </c>
      <c r="AW15" s="495">
        <f t="shared" si="15"/>
        <v>11</v>
      </c>
      <c r="AX15" s="657"/>
      <c r="AZ15" s="398" t="e">
        <f t="shared" si="17"/>
        <v>#N/A</v>
      </c>
      <c r="BA15" s="657"/>
    </row>
    <row r="16" spans="1:53" ht="14.25">
      <c r="A16" s="81"/>
      <c r="B16" s="643"/>
      <c r="C16" s="409">
        <v>10</v>
      </c>
      <c r="D16" s="225" t="s">
        <v>523</v>
      </c>
      <c r="E16" s="416">
        <v>16</v>
      </c>
      <c r="F16" s="495">
        <v>1440</v>
      </c>
      <c r="G16" s="496">
        <v>90</v>
      </c>
      <c r="H16" s="686"/>
      <c r="I16" s="413">
        <f t="shared" si="0"/>
        <v>16.142857142857142</v>
      </c>
      <c r="J16" s="413">
        <f t="shared" si="1"/>
        <v>1357.9725801348516</v>
      </c>
      <c r="K16" s="199">
        <f t="shared" si="2"/>
        <v>84.154106278744038</v>
      </c>
      <c r="L16" s="617"/>
      <c r="M16" s="415">
        <f>RANK(K16, K$7:$K$21)</f>
        <v>1</v>
      </c>
      <c r="N16" s="635"/>
      <c r="O16" s="635"/>
      <c r="P16" s="495">
        <v>16</v>
      </c>
      <c r="Q16" s="416">
        <v>1358.6064516129036</v>
      </c>
      <c r="R16" s="416">
        <v>84.912903225806474</v>
      </c>
      <c r="S16" s="495">
        <f t="shared" si="3"/>
        <v>1</v>
      </c>
      <c r="T16" s="657"/>
      <c r="U16" s="495">
        <v>17</v>
      </c>
      <c r="V16" s="416">
        <v>1369.3186813186815</v>
      </c>
      <c r="W16" s="416">
        <v>80.548157724628325</v>
      </c>
      <c r="X16" s="495">
        <f t="shared" si="5"/>
        <v>2</v>
      </c>
      <c r="Y16" s="657"/>
      <c r="Z16" s="495">
        <v>16</v>
      </c>
      <c r="AA16" s="416">
        <v>1357.9245283018877</v>
      </c>
      <c r="AB16" s="416">
        <v>84.87028301886798</v>
      </c>
      <c r="AC16" s="495">
        <f t="shared" si="7"/>
        <v>1</v>
      </c>
      <c r="AD16" s="657"/>
      <c r="AE16" s="495">
        <v>16</v>
      </c>
      <c r="AF16" s="416">
        <v>1349.3750000000005</v>
      </c>
      <c r="AG16" s="416">
        <v>84.335937500000028</v>
      </c>
      <c r="AH16" s="495">
        <f t="shared" si="9"/>
        <v>1</v>
      </c>
      <c r="AI16" s="657"/>
      <c r="AJ16" s="495">
        <v>16</v>
      </c>
      <c r="AK16" s="416">
        <v>1366.6019417475734</v>
      </c>
      <c r="AL16" s="416">
        <v>85.412621359223337</v>
      </c>
      <c r="AM16" s="495">
        <f t="shared" si="11"/>
        <v>1</v>
      </c>
      <c r="AN16" s="657"/>
      <c r="AO16" s="495">
        <v>16</v>
      </c>
      <c r="AP16" s="416">
        <v>1355.4330708661414</v>
      </c>
      <c r="AQ16" s="416">
        <v>84.714566929133838</v>
      </c>
      <c r="AR16" s="495">
        <f t="shared" si="13"/>
        <v>1</v>
      </c>
      <c r="AS16" s="657"/>
      <c r="AT16" s="495">
        <v>16</v>
      </c>
      <c r="AU16" s="416">
        <v>1348.5483870967737</v>
      </c>
      <c r="AV16" s="416">
        <v>84.284274193548356</v>
      </c>
      <c r="AW16" s="495">
        <f t="shared" si="15"/>
        <v>1</v>
      </c>
      <c r="AX16" s="657"/>
      <c r="AZ16" s="398" t="e">
        <f t="shared" si="17"/>
        <v>#N/A</v>
      </c>
      <c r="BA16" s="657"/>
    </row>
    <row r="17" spans="2:53">
      <c r="B17" s="643"/>
      <c r="C17" s="409">
        <v>11</v>
      </c>
      <c r="D17" s="225" t="s">
        <v>580</v>
      </c>
      <c r="E17" s="416">
        <v>19</v>
      </c>
      <c r="F17" s="495">
        <v>1440</v>
      </c>
      <c r="G17" s="496">
        <v>75.78947368421052</v>
      </c>
      <c r="H17" s="686"/>
      <c r="I17" s="413">
        <f t="shared" si="0"/>
        <v>19</v>
      </c>
      <c r="J17" s="413">
        <f t="shared" si="1"/>
        <v>1359.925773952978</v>
      </c>
      <c r="K17" s="199">
        <f t="shared" si="2"/>
        <v>71.575040734367263</v>
      </c>
      <c r="L17" s="617"/>
      <c r="M17" s="415">
        <f>RANK(K17, K$7:$K$21)</f>
        <v>7</v>
      </c>
      <c r="N17" s="635"/>
      <c r="O17" s="635"/>
      <c r="P17" s="495">
        <v>19</v>
      </c>
      <c r="Q17" s="416">
        <v>1340.2235294117652</v>
      </c>
      <c r="R17" s="416">
        <v>70.538080495356056</v>
      </c>
      <c r="S17" s="495">
        <f t="shared" si="3"/>
        <v>9</v>
      </c>
      <c r="T17" s="657"/>
      <c r="U17" s="495">
        <v>19</v>
      </c>
      <c r="V17" s="416">
        <v>1369.8447204968945</v>
      </c>
      <c r="W17" s="416">
        <v>72.097090552468131</v>
      </c>
      <c r="X17" s="495">
        <f t="shared" si="5"/>
        <v>8</v>
      </c>
      <c r="Y17" s="657"/>
      <c r="Z17" s="495">
        <v>19</v>
      </c>
      <c r="AA17" s="416">
        <v>1364.2040816326537</v>
      </c>
      <c r="AB17" s="416">
        <v>71.800214822771252</v>
      </c>
      <c r="AC17" s="495">
        <f t="shared" si="7"/>
        <v>7</v>
      </c>
      <c r="AD17" s="657"/>
      <c r="AE17" s="495">
        <v>19</v>
      </c>
      <c r="AF17" s="416">
        <v>1360.8</v>
      </c>
      <c r="AG17" s="416">
        <v>71.621052631578948</v>
      </c>
      <c r="AH17" s="495">
        <f t="shared" si="9"/>
        <v>7</v>
      </c>
      <c r="AI17" s="657"/>
      <c r="AJ17" s="495">
        <v>19</v>
      </c>
      <c r="AK17" s="416">
        <v>1370.3712574850304</v>
      </c>
      <c r="AL17" s="416">
        <v>72.12480302552791</v>
      </c>
      <c r="AM17" s="495">
        <f t="shared" si="11"/>
        <v>7</v>
      </c>
      <c r="AN17" s="657"/>
      <c r="AO17" s="495">
        <v>19</v>
      </c>
      <c r="AP17" s="416">
        <v>1362.9411764705881</v>
      </c>
      <c r="AQ17" s="416">
        <v>71.733746130030951</v>
      </c>
      <c r="AR17" s="495">
        <f t="shared" si="13"/>
        <v>7</v>
      </c>
      <c r="AS17" s="657"/>
      <c r="AT17" s="495">
        <v>19</v>
      </c>
      <c r="AU17" s="416">
        <v>1351.0956521739133</v>
      </c>
      <c r="AV17" s="416">
        <v>71.110297482837538</v>
      </c>
      <c r="AW17" s="495">
        <f t="shared" si="15"/>
        <v>10</v>
      </c>
      <c r="AX17" s="657"/>
      <c r="AZ17" s="398" t="e">
        <f t="shared" si="17"/>
        <v>#N/A</v>
      </c>
      <c r="BA17" s="657"/>
    </row>
    <row r="18" spans="2:53">
      <c r="B18" s="643"/>
      <c r="C18" s="409">
        <v>12</v>
      </c>
      <c r="D18" s="225" t="s">
        <v>612</v>
      </c>
      <c r="E18" s="416">
        <v>19</v>
      </c>
      <c r="F18" s="495">
        <v>1440</v>
      </c>
      <c r="G18" s="496">
        <v>75.78947368421052</v>
      </c>
      <c r="H18" s="686"/>
      <c r="I18" s="413">
        <f t="shared" si="0"/>
        <v>18.142857142857142</v>
      </c>
      <c r="J18" s="413">
        <f t="shared" si="1"/>
        <v>1096.2184052662303</v>
      </c>
      <c r="K18" s="199">
        <f t="shared" si="2"/>
        <v>60.453654093737946</v>
      </c>
      <c r="L18" s="617"/>
      <c r="M18" s="415">
        <f>RANK(K18, K$7:$K$21)</f>
        <v>13</v>
      </c>
      <c r="N18" s="635"/>
      <c r="O18" s="635"/>
      <c r="P18" s="495">
        <v>18</v>
      </c>
      <c r="Q18" s="416">
        <v>1089.2307692307663</v>
      </c>
      <c r="R18" s="416">
        <v>60.512820512820355</v>
      </c>
      <c r="S18" s="495">
        <f t="shared" si="3"/>
        <v>12</v>
      </c>
      <c r="T18" s="657"/>
      <c r="U18" s="495">
        <v>18</v>
      </c>
      <c r="V18" s="416">
        <v>1111.1111111111086</v>
      </c>
      <c r="W18" s="416">
        <v>61.728395061728257</v>
      </c>
      <c r="X18" s="495">
        <f t="shared" si="5"/>
        <v>12</v>
      </c>
      <c r="Y18" s="657"/>
      <c r="Z18" s="495">
        <v>18</v>
      </c>
      <c r="AA18" s="416">
        <v>1079.9999999999975</v>
      </c>
      <c r="AB18" s="416">
        <v>59.999999999999858</v>
      </c>
      <c r="AC18" s="495">
        <f t="shared" si="7"/>
        <v>13</v>
      </c>
      <c r="AD18" s="657"/>
      <c r="AE18" s="495">
        <v>19</v>
      </c>
      <c r="AF18" s="416">
        <v>1071.0000000000036</v>
      </c>
      <c r="AG18" s="416">
        <v>56.368421052631767</v>
      </c>
      <c r="AH18" s="495">
        <f t="shared" si="9"/>
        <v>13</v>
      </c>
      <c r="AI18" s="657"/>
      <c r="AJ18" s="495">
        <v>18</v>
      </c>
      <c r="AK18" s="416">
        <v>1106.0869565217429</v>
      </c>
      <c r="AL18" s="416">
        <v>61.44927536231905</v>
      </c>
      <c r="AM18" s="495">
        <f t="shared" si="11"/>
        <v>13</v>
      </c>
      <c r="AN18" s="657"/>
      <c r="AO18" s="495">
        <v>18</v>
      </c>
      <c r="AP18" s="416">
        <v>1102.4999999999966</v>
      </c>
      <c r="AQ18" s="416">
        <v>61.249999999999808</v>
      </c>
      <c r="AR18" s="495">
        <f t="shared" si="13"/>
        <v>13</v>
      </c>
      <c r="AS18" s="657"/>
      <c r="AT18" s="495">
        <v>18</v>
      </c>
      <c r="AU18" s="416">
        <v>1113.599999999997</v>
      </c>
      <c r="AV18" s="416">
        <v>61.866666666666497</v>
      </c>
      <c r="AW18" s="495">
        <f t="shared" si="15"/>
        <v>13</v>
      </c>
      <c r="AX18" s="657"/>
      <c r="AZ18" s="398" t="e">
        <f t="shared" si="17"/>
        <v>#N/A</v>
      </c>
      <c r="BA18" s="657"/>
    </row>
    <row r="19" spans="2:53">
      <c r="B19" s="643"/>
      <c r="C19" s="409">
        <v>13</v>
      </c>
      <c r="D19" s="225" t="s">
        <v>619</v>
      </c>
      <c r="E19" s="416">
        <v>17</v>
      </c>
      <c r="F19" s="495">
        <v>1440</v>
      </c>
      <c r="G19" s="496">
        <v>84.705882352941174</v>
      </c>
      <c r="H19" s="686"/>
      <c r="I19" s="413">
        <f t="shared" si="0"/>
        <v>17</v>
      </c>
      <c r="J19" s="413">
        <f t="shared" si="1"/>
        <v>1357.6335016260589</v>
      </c>
      <c r="K19" s="199">
        <f t="shared" si="2"/>
        <v>79.860794213297595</v>
      </c>
      <c r="L19" s="617"/>
      <c r="M19" s="415">
        <f>RANK(K19, K$7:$K$21)</f>
        <v>2</v>
      </c>
      <c r="N19" s="635"/>
      <c r="O19" s="635"/>
      <c r="P19" s="495">
        <v>17</v>
      </c>
      <c r="Q19" s="416">
        <v>1364.4642857142856</v>
      </c>
      <c r="R19" s="416">
        <v>80.262605042016801</v>
      </c>
      <c r="S19" s="495">
        <f t="shared" si="3"/>
        <v>2</v>
      </c>
      <c r="T19" s="657"/>
      <c r="U19" s="495">
        <v>17</v>
      </c>
      <c r="V19" s="416">
        <v>1370.3571428571429</v>
      </c>
      <c r="W19" s="416">
        <v>80.609243697478988</v>
      </c>
      <c r="X19" s="495">
        <f t="shared" si="5"/>
        <v>1</v>
      </c>
      <c r="Y19" s="657"/>
      <c r="Z19" s="495">
        <v>17</v>
      </c>
      <c r="AA19" s="416">
        <v>1359.23076923077</v>
      </c>
      <c r="AB19" s="416">
        <v>79.954751131221769</v>
      </c>
      <c r="AC19" s="495">
        <f t="shared" si="7"/>
        <v>3</v>
      </c>
      <c r="AD19" s="657"/>
      <c r="AE19" s="495">
        <v>17</v>
      </c>
      <c r="AF19" s="416">
        <v>1355.0649350649355</v>
      </c>
      <c r="AG19" s="416">
        <v>79.70970206264326</v>
      </c>
      <c r="AH19" s="495">
        <f t="shared" si="9"/>
        <v>2</v>
      </c>
      <c r="AI19" s="657"/>
      <c r="AJ19" s="495">
        <v>17</v>
      </c>
      <c r="AK19" s="416">
        <v>1348.3516483516482</v>
      </c>
      <c r="AL19" s="416">
        <v>79.314802844214597</v>
      </c>
      <c r="AM19" s="495">
        <f t="shared" si="11"/>
        <v>3</v>
      </c>
      <c r="AN19" s="657"/>
      <c r="AO19" s="495">
        <v>17</v>
      </c>
      <c r="AP19" s="416">
        <v>1345.0632911392411</v>
      </c>
      <c r="AQ19" s="416">
        <v>79.121370067014183</v>
      </c>
      <c r="AR19" s="495">
        <f t="shared" si="13"/>
        <v>3</v>
      </c>
      <c r="AS19" s="657"/>
      <c r="AT19" s="495">
        <v>17</v>
      </c>
      <c r="AU19" s="416">
        <v>1360.9024390243897</v>
      </c>
      <c r="AV19" s="416">
        <v>80.05308464849351</v>
      </c>
      <c r="AW19" s="495">
        <f t="shared" si="15"/>
        <v>3</v>
      </c>
      <c r="AX19" s="657"/>
      <c r="AZ19" s="398" t="e">
        <f t="shared" si="17"/>
        <v>#N/A</v>
      </c>
      <c r="BA19" s="657"/>
    </row>
    <row r="20" spans="2:53">
      <c r="B20" s="643"/>
      <c r="C20" s="409">
        <v>14</v>
      </c>
      <c r="D20" s="225"/>
      <c r="E20" s="416"/>
      <c r="F20" s="495"/>
      <c r="G20" s="496"/>
      <c r="H20" s="686"/>
      <c r="I20" s="413" t="str">
        <f t="shared" si="0"/>
        <v>-</v>
      </c>
      <c r="J20" s="413" t="str">
        <f t="shared" si="1"/>
        <v>-</v>
      </c>
      <c r="K20" s="199" t="str">
        <f t="shared" si="2"/>
        <v>-</v>
      </c>
      <c r="L20" s="617"/>
      <c r="M20" s="415" t="e">
        <f>RANK(K20, K$7:$K$21)</f>
        <v>#VALUE!</v>
      </c>
      <c r="N20" s="635"/>
      <c r="O20" s="635"/>
      <c r="P20" s="495"/>
      <c r="Q20" s="416"/>
      <c r="R20" s="416"/>
      <c r="S20" s="495" t="e">
        <f t="shared" si="3"/>
        <v>#N/A</v>
      </c>
      <c r="T20" s="657"/>
      <c r="U20" s="495"/>
      <c r="V20" s="416"/>
      <c r="W20" s="416"/>
      <c r="X20" s="495" t="e">
        <f t="shared" si="5"/>
        <v>#N/A</v>
      </c>
      <c r="Y20" s="657"/>
      <c r="Z20" s="495"/>
      <c r="AA20" s="416"/>
      <c r="AB20" s="416"/>
      <c r="AC20" s="495" t="e">
        <f t="shared" si="7"/>
        <v>#N/A</v>
      </c>
      <c r="AD20" s="657"/>
      <c r="AE20" s="495"/>
      <c r="AF20" s="416"/>
      <c r="AG20" s="416"/>
      <c r="AH20" s="495" t="e">
        <f t="shared" si="9"/>
        <v>#N/A</v>
      </c>
      <c r="AI20" s="657"/>
      <c r="AJ20" s="495"/>
      <c r="AK20" s="416"/>
      <c r="AL20" s="416"/>
      <c r="AM20" s="495" t="e">
        <f t="shared" si="11"/>
        <v>#N/A</v>
      </c>
      <c r="AN20" s="657"/>
      <c r="AO20" s="495"/>
      <c r="AP20" s="416"/>
      <c r="AQ20" s="416"/>
      <c r="AR20" s="495" t="e">
        <f t="shared" si="13"/>
        <v>#N/A</v>
      </c>
      <c r="AS20" s="657"/>
      <c r="AT20" s="495"/>
      <c r="AU20" s="416"/>
      <c r="AV20" s="416"/>
      <c r="AW20" s="495" t="e">
        <f t="shared" si="15"/>
        <v>#N/A</v>
      </c>
      <c r="AX20" s="657"/>
      <c r="AZ20" s="398" t="e">
        <f t="shared" si="17"/>
        <v>#N/A</v>
      </c>
      <c r="BA20" s="657"/>
    </row>
    <row r="21" spans="2:53">
      <c r="B21" s="643"/>
      <c r="C21" s="409">
        <v>15</v>
      </c>
      <c r="D21" s="225"/>
      <c r="E21" s="416"/>
      <c r="F21" s="495"/>
      <c r="G21" s="496"/>
      <c r="H21" s="687"/>
      <c r="I21" s="201"/>
      <c r="J21" s="201"/>
      <c r="K21" s="201"/>
      <c r="L21" s="618"/>
      <c r="M21" s="418" t="e">
        <f>RANK(K21, K$7:$K$21)</f>
        <v>#N/A</v>
      </c>
      <c r="N21" s="635"/>
      <c r="O21" s="635"/>
      <c r="P21" s="495"/>
      <c r="Q21" s="416"/>
      <c r="R21" s="416"/>
      <c r="S21" s="495" t="e">
        <f t="shared" si="3"/>
        <v>#N/A</v>
      </c>
      <c r="T21" s="657"/>
      <c r="U21" s="495"/>
      <c r="V21" s="416"/>
      <c r="W21" s="416"/>
      <c r="X21" s="495" t="e">
        <f t="shared" si="5"/>
        <v>#N/A</v>
      </c>
      <c r="Y21" s="657"/>
      <c r="Z21" s="495"/>
      <c r="AA21" s="416"/>
      <c r="AB21" s="416"/>
      <c r="AC21" s="495" t="e">
        <f t="shared" si="7"/>
        <v>#N/A</v>
      </c>
      <c r="AD21" s="657"/>
      <c r="AE21" s="495"/>
      <c r="AF21" s="416"/>
      <c r="AG21" s="416"/>
      <c r="AH21" s="495" t="e">
        <f t="shared" si="9"/>
        <v>#N/A</v>
      </c>
      <c r="AI21" s="657"/>
      <c r="AJ21" s="495"/>
      <c r="AK21" s="416"/>
      <c r="AL21" s="416"/>
      <c r="AM21" s="495" t="e">
        <f t="shared" si="11"/>
        <v>#N/A</v>
      </c>
      <c r="AN21" s="657"/>
      <c r="AO21" s="495"/>
      <c r="AP21" s="416"/>
      <c r="AQ21" s="416"/>
      <c r="AR21" s="495" t="e">
        <f t="shared" si="13"/>
        <v>#N/A</v>
      </c>
      <c r="AS21" s="657"/>
      <c r="AT21" s="495"/>
      <c r="AU21" s="416"/>
      <c r="AV21" s="416"/>
      <c r="AW21" s="495" t="e">
        <f t="shared" si="15"/>
        <v>#N/A</v>
      </c>
      <c r="AX21" s="657"/>
      <c r="AZ21" s="398" t="e">
        <f t="shared" si="17"/>
        <v>#N/A</v>
      </c>
      <c r="BA21" s="657"/>
    </row>
    <row r="22" spans="2:53" ht="15.75">
      <c r="B22" s="661" t="s">
        <v>163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36" t="s">
        <v>156</v>
      </c>
      <c r="O22" s="636" t="s">
        <v>105</v>
      </c>
      <c r="P22" s="642">
        <f>P2+7</f>
        <v>46175</v>
      </c>
      <c r="Q22" s="643"/>
      <c r="R22" s="643"/>
      <c r="S22" s="643"/>
      <c r="T22" s="643"/>
      <c r="U22" s="639">
        <f>P22+1</f>
        <v>46176</v>
      </c>
      <c r="V22" s="640"/>
      <c r="W22" s="640"/>
      <c r="X22" s="640"/>
      <c r="Y22" s="641"/>
      <c r="Z22" s="639">
        <f>U22+1</f>
        <v>46177</v>
      </c>
      <c r="AA22" s="640"/>
      <c r="AB22" s="640"/>
      <c r="AC22" s="640"/>
      <c r="AD22" s="641"/>
      <c r="AE22" s="639">
        <f>Z22+1</f>
        <v>46178</v>
      </c>
      <c r="AF22" s="640"/>
      <c r="AG22" s="640"/>
      <c r="AH22" s="640"/>
      <c r="AI22" s="641"/>
      <c r="AJ22" s="639">
        <f>AE22+1</f>
        <v>46179</v>
      </c>
      <c r="AK22" s="640"/>
      <c r="AL22" s="640"/>
      <c r="AM22" s="640"/>
      <c r="AN22" s="641"/>
      <c r="AO22" s="639">
        <f>AJ22+1</f>
        <v>46180</v>
      </c>
      <c r="AP22" s="640"/>
      <c r="AQ22" s="640"/>
      <c r="AR22" s="640"/>
      <c r="AS22" s="641"/>
      <c r="AT22" s="639">
        <f>AO22+1</f>
        <v>46181</v>
      </c>
      <c r="AU22" s="640"/>
      <c r="AV22" s="640"/>
      <c r="AW22" s="640"/>
      <c r="AX22" s="641"/>
    </row>
    <row r="23" spans="2:53" ht="15.75">
      <c r="B23" s="650"/>
      <c r="C23" s="650"/>
      <c r="D23" s="650"/>
      <c r="E23" s="650"/>
      <c r="F23" s="650"/>
      <c r="G23" s="650"/>
      <c r="H23" s="650"/>
      <c r="I23" s="204"/>
      <c r="J23" s="204"/>
      <c r="K23" s="204"/>
      <c r="L23" s="204"/>
      <c r="M23" s="205"/>
      <c r="N23" s="638"/>
      <c r="O23" s="638"/>
      <c r="P23" s="642" t="s">
        <v>318</v>
      </c>
      <c r="Q23" s="643"/>
      <c r="R23" s="643"/>
      <c r="S23" s="643"/>
      <c r="T23" s="643"/>
      <c r="U23" s="642" t="s">
        <v>319</v>
      </c>
      <c r="V23" s="643"/>
      <c r="W23" s="643"/>
      <c r="X23" s="643"/>
      <c r="Y23" s="643"/>
      <c r="Z23" s="642" t="s">
        <v>320</v>
      </c>
      <c r="AA23" s="643"/>
      <c r="AB23" s="643"/>
      <c r="AC23" s="643"/>
      <c r="AD23" s="643"/>
      <c r="AE23" s="642" t="s">
        <v>321</v>
      </c>
      <c r="AF23" s="643"/>
      <c r="AG23" s="643"/>
      <c r="AH23" s="643"/>
      <c r="AI23" s="643"/>
      <c r="AJ23" s="642" t="s">
        <v>322</v>
      </c>
      <c r="AK23" s="643"/>
      <c r="AL23" s="643"/>
      <c r="AM23" s="643"/>
      <c r="AN23" s="643"/>
      <c r="AO23" s="642" t="s">
        <v>323</v>
      </c>
      <c r="AP23" s="643"/>
      <c r="AQ23" s="643"/>
      <c r="AR23" s="643"/>
      <c r="AS23" s="643"/>
      <c r="AT23" s="642" t="s">
        <v>324</v>
      </c>
      <c r="AU23" s="643"/>
      <c r="AV23" s="643"/>
      <c r="AW23" s="643"/>
      <c r="AX23" s="643"/>
    </row>
    <row r="24" spans="2:53">
      <c r="B24" s="635" t="s">
        <v>154</v>
      </c>
      <c r="C24" s="635" t="s">
        <v>384</v>
      </c>
      <c r="D24" s="635"/>
      <c r="E24" s="635" t="s">
        <v>375</v>
      </c>
      <c r="F24" s="635"/>
      <c r="G24" s="635"/>
      <c r="H24" s="651" t="s">
        <v>371</v>
      </c>
      <c r="I24" s="619" t="s">
        <v>376</v>
      </c>
      <c r="J24" s="619"/>
      <c r="K24" s="619"/>
      <c r="L24" s="620" t="s">
        <v>371</v>
      </c>
      <c r="M24" s="626" t="s">
        <v>372</v>
      </c>
      <c r="N24" s="635"/>
      <c r="O24" s="635" t="s">
        <v>377</v>
      </c>
      <c r="P24" s="632" t="s">
        <v>373</v>
      </c>
      <c r="Q24" s="633"/>
      <c r="R24" s="633"/>
      <c r="S24" s="634"/>
      <c r="T24" s="635" t="s">
        <v>371</v>
      </c>
      <c r="U24" s="632" t="s">
        <v>373</v>
      </c>
      <c r="V24" s="633"/>
      <c r="W24" s="633"/>
      <c r="X24" s="634"/>
      <c r="Y24" s="635" t="s">
        <v>371</v>
      </c>
      <c r="Z24" s="632" t="s">
        <v>373</v>
      </c>
      <c r="AA24" s="633"/>
      <c r="AB24" s="633"/>
      <c r="AC24" s="634"/>
      <c r="AD24" s="635" t="s">
        <v>371</v>
      </c>
      <c r="AE24" s="632" t="s">
        <v>373</v>
      </c>
      <c r="AF24" s="633"/>
      <c r="AG24" s="633"/>
      <c r="AH24" s="634"/>
      <c r="AI24" s="635" t="s">
        <v>371</v>
      </c>
      <c r="AJ24" s="632" t="s">
        <v>373</v>
      </c>
      <c r="AK24" s="633"/>
      <c r="AL24" s="633"/>
      <c r="AM24" s="634"/>
      <c r="AN24" s="635" t="s">
        <v>371</v>
      </c>
      <c r="AO24" s="632" t="s">
        <v>373</v>
      </c>
      <c r="AP24" s="633"/>
      <c r="AQ24" s="633"/>
      <c r="AR24" s="634"/>
      <c r="AS24" s="635" t="s">
        <v>371</v>
      </c>
      <c r="AT24" s="632" t="s">
        <v>373</v>
      </c>
      <c r="AU24" s="633"/>
      <c r="AV24" s="633"/>
      <c r="AW24" s="634"/>
      <c r="AX24" s="635" t="s">
        <v>371</v>
      </c>
      <c r="BA24" s="635" t="s">
        <v>371</v>
      </c>
    </row>
    <row r="25" spans="2:53">
      <c r="B25" s="635"/>
      <c r="C25" s="635"/>
      <c r="D25" s="635"/>
      <c r="E25" s="635" t="s">
        <v>378</v>
      </c>
      <c r="F25" s="635"/>
      <c r="G25" s="635"/>
      <c r="H25" s="652"/>
      <c r="I25" s="619" t="s">
        <v>378</v>
      </c>
      <c r="J25" s="619"/>
      <c r="K25" s="619"/>
      <c r="L25" s="621"/>
      <c r="M25" s="627"/>
      <c r="N25" s="635"/>
      <c r="O25" s="635"/>
      <c r="P25" s="632" t="s">
        <v>379</v>
      </c>
      <c r="Q25" s="633"/>
      <c r="R25" s="633"/>
      <c r="S25" s="634"/>
      <c r="T25" s="635"/>
      <c r="U25" s="632" t="s">
        <v>379</v>
      </c>
      <c r="V25" s="633"/>
      <c r="W25" s="633"/>
      <c r="X25" s="634"/>
      <c r="Y25" s="635"/>
      <c r="Z25" s="632" t="s">
        <v>379</v>
      </c>
      <c r="AA25" s="633"/>
      <c r="AB25" s="633"/>
      <c r="AC25" s="634"/>
      <c r="AD25" s="635"/>
      <c r="AE25" s="632" t="s">
        <v>379</v>
      </c>
      <c r="AF25" s="633"/>
      <c r="AG25" s="633"/>
      <c r="AH25" s="634"/>
      <c r="AI25" s="635"/>
      <c r="AJ25" s="632" t="s">
        <v>379</v>
      </c>
      <c r="AK25" s="633"/>
      <c r="AL25" s="633"/>
      <c r="AM25" s="634"/>
      <c r="AN25" s="635"/>
      <c r="AO25" s="632" t="s">
        <v>379</v>
      </c>
      <c r="AP25" s="633"/>
      <c r="AQ25" s="633"/>
      <c r="AR25" s="634"/>
      <c r="AS25" s="635"/>
      <c r="AT25" s="632" t="s">
        <v>379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408" t="s">
        <v>380</v>
      </c>
      <c r="F26" s="408" t="s">
        <v>381</v>
      </c>
      <c r="G26" s="408" t="s">
        <v>382</v>
      </c>
      <c r="H26" s="653"/>
      <c r="I26" s="407" t="s">
        <v>380</v>
      </c>
      <c r="J26" s="407" t="s">
        <v>381</v>
      </c>
      <c r="K26" s="407" t="s">
        <v>382</v>
      </c>
      <c r="L26" s="622"/>
      <c r="M26" s="628"/>
      <c r="N26" s="635"/>
      <c r="O26" s="635"/>
      <c r="P26" s="408" t="s">
        <v>380</v>
      </c>
      <c r="Q26" s="408" t="s">
        <v>381</v>
      </c>
      <c r="R26" s="408" t="s">
        <v>382</v>
      </c>
      <c r="S26" s="408" t="s">
        <v>372</v>
      </c>
      <c r="T26" s="635"/>
      <c r="U26" s="408" t="s">
        <v>380</v>
      </c>
      <c r="V26" s="408" t="s">
        <v>381</v>
      </c>
      <c r="W26" s="408" t="s">
        <v>382</v>
      </c>
      <c r="X26" s="408" t="s">
        <v>372</v>
      </c>
      <c r="Y26" s="635"/>
      <c r="Z26" s="408" t="s">
        <v>380</v>
      </c>
      <c r="AA26" s="408" t="s">
        <v>381</v>
      </c>
      <c r="AB26" s="408" t="s">
        <v>382</v>
      </c>
      <c r="AC26" s="408" t="s">
        <v>372</v>
      </c>
      <c r="AD26" s="635"/>
      <c r="AE26" s="408" t="s">
        <v>380</v>
      </c>
      <c r="AF26" s="408" t="s">
        <v>381</v>
      </c>
      <c r="AG26" s="408" t="s">
        <v>382</v>
      </c>
      <c r="AH26" s="408" t="s">
        <v>372</v>
      </c>
      <c r="AI26" s="635"/>
      <c r="AJ26" s="408" t="s">
        <v>380</v>
      </c>
      <c r="AK26" s="408" t="s">
        <v>381</v>
      </c>
      <c r="AL26" s="408" t="s">
        <v>382</v>
      </c>
      <c r="AM26" s="408" t="s">
        <v>372</v>
      </c>
      <c r="AN26" s="635"/>
      <c r="AO26" s="408" t="s">
        <v>380</v>
      </c>
      <c r="AP26" s="408" t="s">
        <v>381</v>
      </c>
      <c r="AQ26" s="408" t="s">
        <v>382</v>
      </c>
      <c r="AR26" s="408" t="s">
        <v>372</v>
      </c>
      <c r="AS26" s="635"/>
      <c r="AT26" s="408" t="s">
        <v>380</v>
      </c>
      <c r="AU26" s="408" t="s">
        <v>381</v>
      </c>
      <c r="AV26" s="408" t="s">
        <v>382</v>
      </c>
      <c r="AW26" s="408" t="s">
        <v>372</v>
      </c>
      <c r="AX26" s="635"/>
      <c r="AZ26" s="397" t="s">
        <v>372</v>
      </c>
      <c r="BA26" s="635"/>
    </row>
    <row r="27" spans="2:53">
      <c r="B27" s="635" t="s">
        <v>132</v>
      </c>
      <c r="C27" s="409">
        <v>1</v>
      </c>
      <c r="D27" s="225" t="s">
        <v>701</v>
      </c>
      <c r="E27" s="416">
        <v>17</v>
      </c>
      <c r="F27" s="409">
        <v>1440</v>
      </c>
      <c r="G27" s="410">
        <v>84.705882352941174</v>
      </c>
      <c r="H27" s="685">
        <f>AVERAGE(G27:G41)</f>
        <v>79.694863100435867</v>
      </c>
      <c r="I27" s="413">
        <f t="shared" ref="I27:I40" si="19">IFERROR(AVERAGE(P27,U27,Z27,AE27,AJ27,AO27,AT27),"-")</f>
        <v>17</v>
      </c>
      <c r="J27" s="413">
        <f t="shared" ref="J27:J40" si="20">IFERROR(AVERAGE(Q27,V27,AA27,AF27,AK27,AP27,AU27),"-")</f>
        <v>1280.228336174825</v>
      </c>
      <c r="K27" s="199">
        <f t="shared" ref="K27:K40" si="21">IFERROR(AVERAGE(R27,W27,AB27,AG27,AL27,AQ27,AV27),"-")</f>
        <v>75.307549186754414</v>
      </c>
      <c r="L27" s="616">
        <f>IFERROR(AVERAGE(K27:K41),"-")</f>
        <v>71.995438102013637</v>
      </c>
      <c r="M27" s="415">
        <f>RANK(K27, K$24:$K$41)</f>
        <v>4</v>
      </c>
      <c r="N27" s="635"/>
      <c r="O27" s="635"/>
      <c r="P27" s="539">
        <v>17</v>
      </c>
      <c r="Q27" s="416">
        <v>1280.7920792079212</v>
      </c>
      <c r="R27" s="416">
        <v>75.340710541642423</v>
      </c>
      <c r="S27" s="539">
        <f t="shared" ref="S27:S41" si="22">RANK(R27, R$27:R$41)</f>
        <v>4</v>
      </c>
      <c r="T27" s="644">
        <f t="shared" ref="T27" si="23">AVERAGE(R27:R41)</f>
        <v>72.047407516695998</v>
      </c>
      <c r="U27" s="539">
        <v>17</v>
      </c>
      <c r="V27" s="416">
        <v>1280.8695652173915</v>
      </c>
      <c r="W27" s="416">
        <v>75.345268542199506</v>
      </c>
      <c r="X27" s="539">
        <f t="shared" ref="X27:X41" si="24">RANK(W27, W$27:W$41)</f>
        <v>4</v>
      </c>
      <c r="Y27" s="644">
        <f t="shared" ref="Y27" si="25">AVERAGE(W27:W41)</f>
        <v>71.861646612382074</v>
      </c>
      <c r="Z27" s="539">
        <v>17</v>
      </c>
      <c r="AA27" s="416">
        <v>1303.3734939759031</v>
      </c>
      <c r="AB27" s="416">
        <v>76.669029057406064</v>
      </c>
      <c r="AC27" s="539">
        <f t="shared" ref="AC27:AC41" si="26">RANK(AB27, AB$27:AB$41)</f>
        <v>4</v>
      </c>
      <c r="AD27" s="644">
        <f t="shared" ref="AD27" si="27">AVERAGE(AB27:AB41)</f>
        <v>72.276469540918328</v>
      </c>
      <c r="AE27" s="539">
        <v>17</v>
      </c>
      <c r="AF27" s="416">
        <v>1260.7792207792199</v>
      </c>
      <c r="AG27" s="416">
        <v>74.163483575248236</v>
      </c>
      <c r="AH27" s="539">
        <f t="shared" ref="AH27:AH41" si="28">RANK(AG27, AG$27:AG$41)</f>
        <v>5</v>
      </c>
      <c r="AI27" s="644">
        <f t="shared" ref="AI27" si="29">AVERAGE(AG27:AG41)</f>
        <v>71.024881944957443</v>
      </c>
      <c r="AJ27" s="539">
        <v>17</v>
      </c>
      <c r="AK27" s="416">
        <v>1283.7362637362637</v>
      </c>
      <c r="AL27" s="416">
        <v>75.513897866839045</v>
      </c>
      <c r="AM27" s="539">
        <f t="shared" ref="AM27:AM41" si="30">RANK(AL27, AL$27:AL$41)</f>
        <v>5</v>
      </c>
      <c r="AN27" s="644">
        <f t="shared" ref="AN27" si="31">AVERAGE(AL27:AL41)</f>
        <v>72.200317411053462</v>
      </c>
      <c r="AO27" s="539">
        <v>17</v>
      </c>
      <c r="AP27" s="416">
        <v>1281.8691588785055</v>
      </c>
      <c r="AQ27" s="416">
        <v>75.40406816932385</v>
      </c>
      <c r="AR27" s="539">
        <f t="shared" ref="AR27:AR41" si="32">RANK(AQ27, AQ$27:AQ$41)</f>
        <v>5</v>
      </c>
      <c r="AS27" s="644">
        <f t="shared" ref="AS27" si="33">AVERAGE(AQ27:AQ41)</f>
        <v>72.360706568910217</v>
      </c>
      <c r="AT27" s="539">
        <v>17</v>
      </c>
      <c r="AU27" s="416">
        <v>1270.1785714285704</v>
      </c>
      <c r="AV27" s="416">
        <v>74.716386554621792</v>
      </c>
      <c r="AW27" s="539">
        <f t="shared" ref="AW27:AW41" si="34">RANK(AV27, AV$27:AV$41)</f>
        <v>6</v>
      </c>
      <c r="AX27" s="644">
        <f t="shared" ref="AX27" si="35">AVERAGE(AV27:AV41)</f>
        <v>72.196637119178064</v>
      </c>
      <c r="AZ27" s="398" t="e">
        <f t="shared" ref="AZ27:AZ41" si="36">RANK(AY27, AY$27:AY$41)</f>
        <v>#N/A</v>
      </c>
      <c r="BA27" s="644" t="e">
        <f t="shared" ref="BA27" si="37">AVERAGE(AY27:AY41)</f>
        <v>#DIV/0!</v>
      </c>
    </row>
    <row r="28" spans="2:53">
      <c r="B28" s="643"/>
      <c r="C28" s="409">
        <v>2</v>
      </c>
      <c r="D28" s="225" t="s">
        <v>348</v>
      </c>
      <c r="E28" s="416">
        <v>18</v>
      </c>
      <c r="F28" s="409">
        <v>1440</v>
      </c>
      <c r="G28" s="410">
        <v>80</v>
      </c>
      <c r="H28" s="686"/>
      <c r="I28" s="413">
        <f t="shared" si="19"/>
        <v>18</v>
      </c>
      <c r="J28" s="413">
        <f t="shared" si="20"/>
        <v>1338.9675078921766</v>
      </c>
      <c r="K28" s="199">
        <f t="shared" si="21"/>
        <v>74.387083771787587</v>
      </c>
      <c r="L28" s="617"/>
      <c r="M28" s="419">
        <f>RANK(K28, K$24:$K$41)</f>
        <v>5</v>
      </c>
      <c r="N28" s="635"/>
      <c r="O28" s="635"/>
      <c r="P28" s="539">
        <v>18</v>
      </c>
      <c r="Q28" s="416">
        <v>1341.2281690140849</v>
      </c>
      <c r="R28" s="416">
        <v>74.512676056338051</v>
      </c>
      <c r="S28" s="539">
        <f t="shared" si="22"/>
        <v>6</v>
      </c>
      <c r="T28" s="645"/>
      <c r="U28" s="539">
        <v>18</v>
      </c>
      <c r="V28" s="416">
        <v>1342.3764705882352</v>
      </c>
      <c r="W28" s="416">
        <v>74.576470588235281</v>
      </c>
      <c r="X28" s="539">
        <f t="shared" si="24"/>
        <v>6</v>
      </c>
      <c r="Y28" s="645"/>
      <c r="Z28" s="539">
        <v>18</v>
      </c>
      <c r="AA28" s="416">
        <v>1326.7636363636364</v>
      </c>
      <c r="AB28" s="416">
        <v>73.709090909090904</v>
      </c>
      <c r="AC28" s="539">
        <f t="shared" si="26"/>
        <v>6</v>
      </c>
      <c r="AD28" s="645"/>
      <c r="AE28" s="539">
        <v>18</v>
      </c>
      <c r="AF28" s="416">
        <v>1343.3333333333335</v>
      </c>
      <c r="AG28" s="416">
        <v>74.629629629629633</v>
      </c>
      <c r="AH28" s="539">
        <f t="shared" si="28"/>
        <v>4</v>
      </c>
      <c r="AI28" s="645"/>
      <c r="AJ28" s="539">
        <v>18</v>
      </c>
      <c r="AK28" s="416">
        <v>1333.1250000000005</v>
      </c>
      <c r="AL28" s="416">
        <v>74.062500000000028</v>
      </c>
      <c r="AM28" s="539">
        <f t="shared" si="30"/>
        <v>6</v>
      </c>
      <c r="AN28" s="645"/>
      <c r="AO28" s="539">
        <v>18</v>
      </c>
      <c r="AP28" s="416">
        <v>1335.135135135135</v>
      </c>
      <c r="AQ28" s="416">
        <v>74.174174174174169</v>
      </c>
      <c r="AR28" s="539">
        <f t="shared" si="32"/>
        <v>6</v>
      </c>
      <c r="AS28" s="645"/>
      <c r="AT28" s="539">
        <v>18</v>
      </c>
      <c r="AU28" s="416">
        <v>1350.8108108108108</v>
      </c>
      <c r="AV28" s="416">
        <v>75.045045045045043</v>
      </c>
      <c r="AW28" s="539">
        <f t="shared" si="34"/>
        <v>5</v>
      </c>
      <c r="AX28" s="645"/>
      <c r="AZ28" s="398" t="e">
        <f t="shared" si="36"/>
        <v>#N/A</v>
      </c>
      <c r="BA28" s="645"/>
    </row>
    <row r="29" spans="2:53">
      <c r="B29" s="643"/>
      <c r="C29" s="409">
        <v>3</v>
      </c>
      <c r="D29" s="225" t="s">
        <v>349</v>
      </c>
      <c r="E29" s="416">
        <v>18</v>
      </c>
      <c r="F29" s="409">
        <v>1440</v>
      </c>
      <c r="G29" s="410">
        <v>80</v>
      </c>
      <c r="H29" s="686"/>
      <c r="I29" s="413">
        <f t="shared" si="19"/>
        <v>18</v>
      </c>
      <c r="J29" s="413">
        <f t="shared" si="20"/>
        <v>1288.7493585441916</v>
      </c>
      <c r="K29" s="199">
        <f t="shared" si="21"/>
        <v>71.597186585788421</v>
      </c>
      <c r="L29" s="617"/>
      <c r="M29" s="419">
        <f>RANK(K29, K$24:$K$41)</f>
        <v>7</v>
      </c>
      <c r="N29" s="635"/>
      <c r="O29" s="635"/>
      <c r="P29" s="539">
        <v>18</v>
      </c>
      <c r="Q29" s="416">
        <v>1257.5000000000005</v>
      </c>
      <c r="R29" s="416">
        <v>69.861111111111143</v>
      </c>
      <c r="S29" s="539">
        <f t="shared" si="22"/>
        <v>9</v>
      </c>
      <c r="T29" s="645"/>
      <c r="U29" s="539">
        <v>18</v>
      </c>
      <c r="V29" s="416">
        <v>1257.4468085106384</v>
      </c>
      <c r="W29" s="416">
        <v>69.858156028368796</v>
      </c>
      <c r="X29" s="539">
        <f t="shared" si="24"/>
        <v>9</v>
      </c>
      <c r="Y29" s="645"/>
      <c r="Z29" s="539">
        <v>18</v>
      </c>
      <c r="AA29" s="416">
        <v>1311.8181818181818</v>
      </c>
      <c r="AB29" s="416">
        <v>72.878787878787875</v>
      </c>
      <c r="AC29" s="539">
        <f t="shared" si="26"/>
        <v>7</v>
      </c>
      <c r="AD29" s="645"/>
      <c r="AE29" s="539">
        <v>18</v>
      </c>
      <c r="AF29" s="416">
        <v>1264.285714285714</v>
      </c>
      <c r="AG29" s="416">
        <v>70.238095238095227</v>
      </c>
      <c r="AH29" s="539">
        <f t="shared" si="28"/>
        <v>8</v>
      </c>
      <c r="AI29" s="645"/>
      <c r="AJ29" s="539">
        <v>18</v>
      </c>
      <c r="AK29" s="416">
        <v>1315.909090909091</v>
      </c>
      <c r="AL29" s="416">
        <v>73.106060606060609</v>
      </c>
      <c r="AM29" s="539">
        <f t="shared" si="30"/>
        <v>7</v>
      </c>
      <c r="AN29" s="645"/>
      <c r="AO29" s="539">
        <v>18</v>
      </c>
      <c r="AP29" s="416">
        <v>1320.0000000000005</v>
      </c>
      <c r="AQ29" s="416">
        <v>73.333333333333357</v>
      </c>
      <c r="AR29" s="539">
        <f t="shared" si="32"/>
        <v>7</v>
      </c>
      <c r="AS29" s="645"/>
      <c r="AT29" s="539">
        <v>18</v>
      </c>
      <c r="AU29" s="416">
        <v>1294.2857142857147</v>
      </c>
      <c r="AV29" s="416">
        <v>71.904761904761926</v>
      </c>
      <c r="AW29" s="539">
        <f t="shared" si="34"/>
        <v>7</v>
      </c>
      <c r="AX29" s="645"/>
      <c r="AZ29" s="398" t="e">
        <f t="shared" si="36"/>
        <v>#N/A</v>
      </c>
      <c r="BA29" s="645"/>
    </row>
    <row r="30" spans="2:53">
      <c r="B30" s="643"/>
      <c r="C30" s="409">
        <v>4</v>
      </c>
      <c r="D30" s="225" t="s">
        <v>350</v>
      </c>
      <c r="E30" s="416">
        <v>17</v>
      </c>
      <c r="F30" s="409">
        <v>1440</v>
      </c>
      <c r="G30" s="410">
        <v>84.705882352941174</v>
      </c>
      <c r="H30" s="686"/>
      <c r="I30" s="413">
        <f t="shared" si="19"/>
        <v>17</v>
      </c>
      <c r="J30" s="413">
        <f t="shared" si="20"/>
        <v>1346.8101406647036</v>
      </c>
      <c r="K30" s="199">
        <f t="shared" si="21"/>
        <v>79.224125921453151</v>
      </c>
      <c r="L30" s="617"/>
      <c r="M30" s="419">
        <f>RANK(K30, K$24:$K$41)</f>
        <v>3</v>
      </c>
      <c r="N30" s="635"/>
      <c r="O30" s="635"/>
      <c r="P30" s="539">
        <v>17</v>
      </c>
      <c r="Q30" s="416">
        <v>1344.2696629213483</v>
      </c>
      <c r="R30" s="416">
        <v>79.07468605419696</v>
      </c>
      <c r="S30" s="539">
        <f t="shared" si="22"/>
        <v>2</v>
      </c>
      <c r="T30" s="645"/>
      <c r="U30" s="539">
        <v>17</v>
      </c>
      <c r="V30" s="416">
        <v>1346.0240963855417</v>
      </c>
      <c r="W30" s="416">
        <v>79.177888022678928</v>
      </c>
      <c r="X30" s="539">
        <f t="shared" si="24"/>
        <v>3</v>
      </c>
      <c r="Y30" s="645"/>
      <c r="Z30" s="539">
        <v>17</v>
      </c>
      <c r="AA30" s="416">
        <v>1321.4999999999995</v>
      </c>
      <c r="AB30" s="416">
        <v>77.73529411764703</v>
      </c>
      <c r="AC30" s="539">
        <f t="shared" si="26"/>
        <v>3</v>
      </c>
      <c r="AD30" s="645"/>
      <c r="AE30" s="539">
        <v>17</v>
      </c>
      <c r="AF30" s="416">
        <v>1362.9850746268676</v>
      </c>
      <c r="AG30" s="416">
        <v>80.175592625109857</v>
      </c>
      <c r="AH30" s="539">
        <f t="shared" si="28"/>
        <v>2</v>
      </c>
      <c r="AI30" s="645"/>
      <c r="AJ30" s="539">
        <v>17</v>
      </c>
      <c r="AK30" s="416">
        <v>1347.3417721518981</v>
      </c>
      <c r="AL30" s="416">
        <v>79.25539836187636</v>
      </c>
      <c r="AM30" s="539">
        <f t="shared" si="30"/>
        <v>3</v>
      </c>
      <c r="AN30" s="645"/>
      <c r="AO30" s="539">
        <v>17</v>
      </c>
      <c r="AP30" s="416">
        <v>1359.4117647058829</v>
      </c>
      <c r="AQ30" s="416">
        <v>79.965397923875457</v>
      </c>
      <c r="AR30" s="539">
        <f t="shared" si="32"/>
        <v>2</v>
      </c>
      <c r="AS30" s="645"/>
      <c r="AT30" s="539">
        <v>17</v>
      </c>
      <c r="AU30" s="416">
        <v>1346.1386138613868</v>
      </c>
      <c r="AV30" s="416">
        <v>79.184624344787466</v>
      </c>
      <c r="AW30" s="539">
        <f t="shared" si="34"/>
        <v>2</v>
      </c>
      <c r="AX30" s="645"/>
      <c r="AZ30" s="398" t="e">
        <f t="shared" si="36"/>
        <v>#N/A</v>
      </c>
      <c r="BA30" s="645"/>
    </row>
    <row r="31" spans="2:53">
      <c r="B31" s="643"/>
      <c r="C31" s="409">
        <v>5</v>
      </c>
      <c r="D31" s="225" t="s">
        <v>351</v>
      </c>
      <c r="E31" s="416">
        <v>17</v>
      </c>
      <c r="F31" s="409">
        <v>1440</v>
      </c>
      <c r="G31" s="410">
        <v>84.705882352941174</v>
      </c>
      <c r="H31" s="686"/>
      <c r="I31" s="413">
        <f t="shared" si="19"/>
        <v>17</v>
      </c>
      <c r="J31" s="413">
        <f t="shared" si="20"/>
        <v>1261.0703343237888</v>
      </c>
      <c r="K31" s="199">
        <f t="shared" si="21"/>
        <v>74.180607901399327</v>
      </c>
      <c r="L31" s="617"/>
      <c r="M31" s="419">
        <f>RANK(K31, K$24:$K$41)</f>
        <v>6</v>
      </c>
      <c r="N31" s="635"/>
      <c r="O31" s="635"/>
      <c r="P31" s="539">
        <v>17</v>
      </c>
      <c r="Q31" s="416">
        <v>1268.5714285714273</v>
      </c>
      <c r="R31" s="416">
        <v>74.621848739495718</v>
      </c>
      <c r="S31" s="539">
        <f t="shared" si="22"/>
        <v>5</v>
      </c>
      <c r="T31" s="645"/>
      <c r="U31" s="539">
        <v>17</v>
      </c>
      <c r="V31" s="416">
        <v>1269.3749999999982</v>
      </c>
      <c r="W31" s="416">
        <v>74.669117647058712</v>
      </c>
      <c r="X31" s="539">
        <f t="shared" si="24"/>
        <v>5</v>
      </c>
      <c r="Y31" s="645"/>
      <c r="Z31" s="539">
        <v>17</v>
      </c>
      <c r="AA31" s="416">
        <v>1296.774193548385</v>
      </c>
      <c r="AB31" s="416">
        <v>76.280834914610878</v>
      </c>
      <c r="AC31" s="539">
        <f t="shared" si="26"/>
        <v>5</v>
      </c>
      <c r="AD31" s="645"/>
      <c r="AE31" s="539">
        <v>17</v>
      </c>
      <c r="AF31" s="416">
        <v>1120.7142857142833</v>
      </c>
      <c r="AG31" s="416">
        <v>65.924369747899021</v>
      </c>
      <c r="AH31" s="539">
        <f t="shared" si="28"/>
        <v>11</v>
      </c>
      <c r="AI31" s="645"/>
      <c r="AJ31" s="539">
        <v>17</v>
      </c>
      <c r="AK31" s="416">
        <v>1283.9999999999977</v>
      </c>
      <c r="AL31" s="416">
        <v>75.529411764705742</v>
      </c>
      <c r="AM31" s="539">
        <f t="shared" si="30"/>
        <v>4</v>
      </c>
      <c r="AN31" s="645"/>
      <c r="AO31" s="539">
        <v>17</v>
      </c>
      <c r="AP31" s="416">
        <v>1295.6249999999982</v>
      </c>
      <c r="AQ31" s="416">
        <v>76.213235294117538</v>
      </c>
      <c r="AR31" s="539">
        <f t="shared" si="32"/>
        <v>4</v>
      </c>
      <c r="AS31" s="645"/>
      <c r="AT31" s="539">
        <v>17</v>
      </c>
      <c r="AU31" s="416">
        <v>1292.4324324324314</v>
      </c>
      <c r="AV31" s="416">
        <v>76.025437201907721</v>
      </c>
      <c r="AW31" s="539">
        <f t="shared" si="34"/>
        <v>4</v>
      </c>
      <c r="AX31" s="645"/>
      <c r="AZ31" s="398" t="e">
        <f t="shared" si="36"/>
        <v>#N/A</v>
      </c>
      <c r="BA31" s="645"/>
    </row>
    <row r="32" spans="2:53">
      <c r="B32" s="643"/>
      <c r="C32" s="409">
        <v>6</v>
      </c>
      <c r="D32" s="225" t="s">
        <v>352</v>
      </c>
      <c r="E32" s="416">
        <v>21</v>
      </c>
      <c r="F32" s="409">
        <v>1385</v>
      </c>
      <c r="G32" s="410">
        <v>65.952380952380949</v>
      </c>
      <c r="H32" s="686"/>
      <c r="I32" s="413">
        <f t="shared" si="19"/>
        <v>21</v>
      </c>
      <c r="J32" s="413">
        <f t="shared" si="20"/>
        <v>1249.9451267201891</v>
      </c>
      <c r="K32" s="199">
        <f t="shared" si="21"/>
        <v>59.521196510485197</v>
      </c>
      <c r="L32" s="617"/>
      <c r="M32" s="419">
        <f>RANK(K32, K$24:$K$41)</f>
        <v>13</v>
      </c>
      <c r="N32" s="635"/>
      <c r="O32" s="635"/>
      <c r="P32" s="539">
        <v>21</v>
      </c>
      <c r="Q32" s="416">
        <v>1291.8750000000005</v>
      </c>
      <c r="R32" s="416">
        <v>61.517857142857167</v>
      </c>
      <c r="S32" s="539">
        <f t="shared" si="22"/>
        <v>13</v>
      </c>
      <c r="T32" s="645"/>
      <c r="U32" s="539">
        <v>21</v>
      </c>
      <c r="V32" s="416">
        <v>1250.9268292682923</v>
      </c>
      <c r="W32" s="416">
        <v>59.567944250871065</v>
      </c>
      <c r="X32" s="539">
        <f t="shared" si="24"/>
        <v>13</v>
      </c>
      <c r="Y32" s="645"/>
      <c r="Z32" s="539">
        <v>21</v>
      </c>
      <c r="AA32" s="416">
        <v>1219.120879120879</v>
      </c>
      <c r="AB32" s="416">
        <v>58.053375196232331</v>
      </c>
      <c r="AC32" s="539">
        <f t="shared" si="26"/>
        <v>13</v>
      </c>
      <c r="AD32" s="645"/>
      <c r="AE32" s="539">
        <v>21</v>
      </c>
      <c r="AF32" s="416">
        <v>1242.2222222222217</v>
      </c>
      <c r="AG32" s="416">
        <v>59.15343915343913</v>
      </c>
      <c r="AH32" s="539">
        <f t="shared" si="28"/>
        <v>13</v>
      </c>
      <c r="AI32" s="645"/>
      <c r="AJ32" s="539">
        <v>21</v>
      </c>
      <c r="AK32" s="416">
        <v>1230.9677419354841</v>
      </c>
      <c r="AL32" s="416">
        <v>58.617511520737338</v>
      </c>
      <c r="AM32" s="539">
        <f t="shared" si="30"/>
        <v>13</v>
      </c>
      <c r="AN32" s="645"/>
      <c r="AO32" s="539">
        <v>21</v>
      </c>
      <c r="AP32" s="416">
        <v>1265.689655172413</v>
      </c>
      <c r="AQ32" s="416">
        <v>60.270935960591096</v>
      </c>
      <c r="AR32" s="539">
        <f t="shared" si="32"/>
        <v>13</v>
      </c>
      <c r="AS32" s="645"/>
      <c r="AT32" s="539">
        <v>21</v>
      </c>
      <c r="AU32" s="416">
        <v>1248.8135593220334</v>
      </c>
      <c r="AV32" s="416">
        <v>59.467312348668258</v>
      </c>
      <c r="AW32" s="539">
        <f t="shared" si="34"/>
        <v>13</v>
      </c>
      <c r="AX32" s="645"/>
      <c r="AZ32" s="398" t="e">
        <f t="shared" si="36"/>
        <v>#N/A</v>
      </c>
      <c r="BA32" s="645"/>
    </row>
    <row r="33" spans="2:53">
      <c r="B33" s="643"/>
      <c r="C33" s="409">
        <v>7</v>
      </c>
      <c r="D33" s="225" t="s">
        <v>353</v>
      </c>
      <c r="E33" s="416">
        <v>19</v>
      </c>
      <c r="F33" s="409">
        <v>1440</v>
      </c>
      <c r="G33" s="410">
        <v>75.78947368421052</v>
      </c>
      <c r="H33" s="686"/>
      <c r="I33" s="413">
        <f t="shared" si="19"/>
        <v>19</v>
      </c>
      <c r="J33" s="413">
        <f t="shared" si="20"/>
        <v>1289.6506750607207</v>
      </c>
      <c r="K33" s="199">
        <f t="shared" si="21"/>
        <v>67.876351318985286</v>
      </c>
      <c r="L33" s="617"/>
      <c r="M33" s="419">
        <f>RANK(K33, K$24:$K$41)</f>
        <v>11</v>
      </c>
      <c r="N33" s="635"/>
      <c r="O33" s="635"/>
      <c r="P33" s="539">
        <v>19</v>
      </c>
      <c r="Q33" s="416">
        <v>1326.7346938775513</v>
      </c>
      <c r="R33" s="416">
        <v>69.828141783029011</v>
      </c>
      <c r="S33" s="539">
        <f t="shared" si="22"/>
        <v>10</v>
      </c>
      <c r="T33" s="645"/>
      <c r="U33" s="539">
        <v>19</v>
      </c>
      <c r="V33" s="416">
        <v>1283.1325301204815</v>
      </c>
      <c r="W33" s="416">
        <v>67.533291058972708</v>
      </c>
      <c r="X33" s="539">
        <f t="shared" si="24"/>
        <v>11</v>
      </c>
      <c r="Y33" s="645"/>
      <c r="Z33" s="539">
        <v>19</v>
      </c>
      <c r="AA33" s="416">
        <v>1278.6885245901651</v>
      </c>
      <c r="AB33" s="416">
        <v>67.29939603106132</v>
      </c>
      <c r="AC33" s="539">
        <f t="shared" si="26"/>
        <v>11</v>
      </c>
      <c r="AD33" s="645"/>
      <c r="AE33" s="539">
        <v>19</v>
      </c>
      <c r="AF33" s="416">
        <v>1267.6190476190488</v>
      </c>
      <c r="AG33" s="416">
        <v>66.716791979949946</v>
      </c>
      <c r="AH33" s="539">
        <f t="shared" si="28"/>
        <v>10</v>
      </c>
      <c r="AI33" s="645"/>
      <c r="AJ33" s="539">
        <v>19</v>
      </c>
      <c r="AK33" s="416">
        <v>1279.4366197183085</v>
      </c>
      <c r="AL33" s="416">
        <v>67.338769458858337</v>
      </c>
      <c r="AM33" s="539">
        <f t="shared" si="30"/>
        <v>11</v>
      </c>
      <c r="AN33" s="645"/>
      <c r="AO33" s="539">
        <v>19</v>
      </c>
      <c r="AP33" s="416">
        <v>1288.9887640449438</v>
      </c>
      <c r="AQ33" s="416">
        <v>67.841513897102303</v>
      </c>
      <c r="AR33" s="539">
        <f t="shared" si="32"/>
        <v>11</v>
      </c>
      <c r="AS33" s="645"/>
      <c r="AT33" s="539">
        <v>19</v>
      </c>
      <c r="AU33" s="416">
        <v>1302.9545454545455</v>
      </c>
      <c r="AV33" s="416">
        <v>68.576555023923447</v>
      </c>
      <c r="AW33" s="539">
        <f t="shared" si="34"/>
        <v>11</v>
      </c>
      <c r="AX33" s="645"/>
      <c r="AZ33" s="398" t="e">
        <f t="shared" si="36"/>
        <v>#N/A</v>
      </c>
      <c r="BA33" s="645"/>
    </row>
    <row r="34" spans="2:53">
      <c r="B34" s="643"/>
      <c r="C34" s="409">
        <v>8</v>
      </c>
      <c r="D34" s="225" t="s">
        <v>501</v>
      </c>
      <c r="E34" s="416">
        <v>18</v>
      </c>
      <c r="F34" s="409">
        <v>1385</v>
      </c>
      <c r="G34" s="410">
        <v>76.944444444444443</v>
      </c>
      <c r="H34" s="686"/>
      <c r="I34" s="413">
        <f t="shared" si="19"/>
        <v>18</v>
      </c>
      <c r="J34" s="413">
        <f t="shared" si="20"/>
        <v>1275.8258999499762</v>
      </c>
      <c r="K34" s="199">
        <f t="shared" si="21"/>
        <v>70.879216663887576</v>
      </c>
      <c r="L34" s="617"/>
      <c r="M34" s="419">
        <f>RANK(K34, K$24:$K$41)</f>
        <v>9</v>
      </c>
      <c r="N34" s="635"/>
      <c r="O34" s="635"/>
      <c r="P34" s="539">
        <v>18</v>
      </c>
      <c r="Q34" s="416">
        <v>1277.1428571428557</v>
      </c>
      <c r="R34" s="416">
        <v>70.952380952380878</v>
      </c>
      <c r="S34" s="539">
        <f t="shared" si="22"/>
        <v>8</v>
      </c>
      <c r="T34" s="645"/>
      <c r="U34" s="539">
        <v>18</v>
      </c>
      <c r="V34" s="416">
        <v>1278.1818181818196</v>
      </c>
      <c r="W34" s="416">
        <v>71.010101010101096</v>
      </c>
      <c r="X34" s="539">
        <f t="shared" si="24"/>
        <v>8</v>
      </c>
      <c r="Y34" s="645"/>
      <c r="Z34" s="539">
        <v>18</v>
      </c>
      <c r="AA34" s="416">
        <v>1293.0000000000014</v>
      </c>
      <c r="AB34" s="416">
        <v>71.833333333333414</v>
      </c>
      <c r="AC34" s="539">
        <f t="shared" si="26"/>
        <v>8</v>
      </c>
      <c r="AD34" s="645"/>
      <c r="AE34" s="539">
        <v>18</v>
      </c>
      <c r="AF34" s="416">
        <v>1276.9811320754725</v>
      </c>
      <c r="AG34" s="416">
        <v>70.943396226415132</v>
      </c>
      <c r="AH34" s="539">
        <f t="shared" si="28"/>
        <v>7</v>
      </c>
      <c r="AI34" s="645"/>
      <c r="AJ34" s="539">
        <v>18</v>
      </c>
      <c r="AK34" s="416">
        <v>1266.7741935483882</v>
      </c>
      <c r="AL34" s="416">
        <v>70.376344086021561</v>
      </c>
      <c r="AM34" s="539">
        <f t="shared" si="30"/>
        <v>9</v>
      </c>
      <c r="AN34" s="645"/>
      <c r="AO34" s="539">
        <v>18</v>
      </c>
      <c r="AP34" s="416">
        <v>1270.9090909090901</v>
      </c>
      <c r="AQ34" s="416">
        <v>70.606060606060566</v>
      </c>
      <c r="AR34" s="539">
        <f t="shared" si="32"/>
        <v>9</v>
      </c>
      <c r="AS34" s="645"/>
      <c r="AT34" s="539">
        <v>18</v>
      </c>
      <c r="AU34" s="416">
        <v>1267.7922077922069</v>
      </c>
      <c r="AV34" s="416">
        <v>70.432900432900382</v>
      </c>
      <c r="AW34" s="539">
        <f t="shared" si="34"/>
        <v>9</v>
      </c>
      <c r="AX34" s="645"/>
      <c r="AZ34" s="398" t="e">
        <f t="shared" si="36"/>
        <v>#N/A</v>
      </c>
      <c r="BA34" s="645"/>
    </row>
    <row r="35" spans="2:53">
      <c r="B35" s="643"/>
      <c r="C35" s="409">
        <v>9</v>
      </c>
      <c r="D35" s="225" t="s">
        <v>503</v>
      </c>
      <c r="E35" s="416">
        <v>18</v>
      </c>
      <c r="F35" s="409">
        <v>1385</v>
      </c>
      <c r="G35" s="410">
        <v>76.944444444444443</v>
      </c>
      <c r="H35" s="686"/>
      <c r="I35" s="413">
        <f t="shared" si="19"/>
        <v>18</v>
      </c>
      <c r="J35" s="413">
        <f t="shared" si="20"/>
        <v>1233.0362195330995</v>
      </c>
      <c r="K35" s="199">
        <f t="shared" si="21"/>
        <v>68.502012196283289</v>
      </c>
      <c r="L35" s="617"/>
      <c r="M35" s="419">
        <f>RANK(K35, K$24:$K$41)</f>
        <v>10</v>
      </c>
      <c r="N35" s="635"/>
      <c r="O35" s="635"/>
      <c r="P35" s="539">
        <v>18</v>
      </c>
      <c r="Q35" s="416">
        <v>1240.9756097560971</v>
      </c>
      <c r="R35" s="416">
        <v>68.94308943089429</v>
      </c>
      <c r="S35" s="539">
        <f t="shared" si="22"/>
        <v>11</v>
      </c>
      <c r="T35" s="645"/>
      <c r="U35" s="539">
        <v>18</v>
      </c>
      <c r="V35" s="416">
        <v>1227.5675675675668</v>
      </c>
      <c r="W35" s="416">
        <v>68.198198198198156</v>
      </c>
      <c r="X35" s="539">
        <f t="shared" si="24"/>
        <v>10</v>
      </c>
      <c r="Y35" s="645"/>
      <c r="Z35" s="539">
        <v>18</v>
      </c>
      <c r="AA35" s="416">
        <v>1214.9999999999995</v>
      </c>
      <c r="AB35" s="416">
        <v>67.499999999999972</v>
      </c>
      <c r="AC35" s="539">
        <f t="shared" si="26"/>
        <v>10</v>
      </c>
      <c r="AD35" s="645"/>
      <c r="AE35" s="539">
        <v>18</v>
      </c>
      <c r="AF35" s="416">
        <v>1229.9999999999984</v>
      </c>
      <c r="AG35" s="416">
        <v>68.333333333333243</v>
      </c>
      <c r="AH35" s="539">
        <f t="shared" si="28"/>
        <v>9</v>
      </c>
      <c r="AI35" s="645"/>
      <c r="AJ35" s="539">
        <v>18</v>
      </c>
      <c r="AK35" s="416">
        <v>1238.9999999999995</v>
      </c>
      <c r="AL35" s="416">
        <v>68.833333333333314</v>
      </c>
      <c r="AM35" s="539">
        <f t="shared" si="30"/>
        <v>10</v>
      </c>
      <c r="AN35" s="645"/>
      <c r="AO35" s="539">
        <v>18</v>
      </c>
      <c r="AP35" s="416">
        <v>1243.2558139534881</v>
      </c>
      <c r="AQ35" s="416">
        <v>69.069767441860449</v>
      </c>
      <c r="AR35" s="539">
        <f t="shared" si="32"/>
        <v>10</v>
      </c>
      <c r="AS35" s="645"/>
      <c r="AT35" s="539">
        <v>18</v>
      </c>
      <c r="AU35" s="416">
        <v>1235.4545454545455</v>
      </c>
      <c r="AV35" s="416">
        <v>68.63636363636364</v>
      </c>
      <c r="AW35" s="539">
        <f t="shared" si="34"/>
        <v>10</v>
      </c>
      <c r="AX35" s="645"/>
      <c r="AZ35" s="398" t="e">
        <f t="shared" si="36"/>
        <v>#N/A</v>
      </c>
      <c r="BA35" s="645"/>
    </row>
    <row r="36" spans="2:53">
      <c r="B36" s="643"/>
      <c r="C36" s="409">
        <v>10</v>
      </c>
      <c r="D36" s="225" t="s">
        <v>523</v>
      </c>
      <c r="E36" s="416">
        <v>16</v>
      </c>
      <c r="F36" s="409">
        <v>1440</v>
      </c>
      <c r="G36" s="410">
        <v>90</v>
      </c>
      <c r="H36" s="686"/>
      <c r="I36" s="413">
        <f t="shared" si="19"/>
        <v>16.142857142857142</v>
      </c>
      <c r="J36" s="413">
        <f t="shared" si="20"/>
        <v>1331.0474413095692</v>
      </c>
      <c r="K36" s="199">
        <f t="shared" si="21"/>
        <v>82.497187770923702</v>
      </c>
      <c r="L36" s="617"/>
      <c r="M36" s="419">
        <f>RANK(K36, K$24:$K$41)</f>
        <v>1</v>
      </c>
      <c r="N36" s="635"/>
      <c r="O36" s="635"/>
      <c r="P36" s="539">
        <v>17</v>
      </c>
      <c r="Q36" s="416">
        <v>1319.9999999999998</v>
      </c>
      <c r="R36" s="416">
        <v>77.647058823529392</v>
      </c>
      <c r="S36" s="539">
        <f t="shared" si="22"/>
        <v>3</v>
      </c>
      <c r="T36" s="645"/>
      <c r="U36" s="539">
        <v>16</v>
      </c>
      <c r="V36" s="416">
        <v>1327.7586206896544</v>
      </c>
      <c r="W36" s="416">
        <v>82.984913793103402</v>
      </c>
      <c r="X36" s="539">
        <f t="shared" si="24"/>
        <v>1</v>
      </c>
      <c r="Y36" s="645"/>
      <c r="Z36" s="539">
        <v>16</v>
      </c>
      <c r="AA36" s="416">
        <v>1359.6330275229368</v>
      </c>
      <c r="AB36" s="416">
        <v>84.97706422018355</v>
      </c>
      <c r="AC36" s="539">
        <f t="shared" si="26"/>
        <v>1</v>
      </c>
      <c r="AD36" s="645"/>
      <c r="AE36" s="539">
        <v>16</v>
      </c>
      <c r="AF36" s="416">
        <v>1324.675324675324</v>
      </c>
      <c r="AG36" s="416">
        <v>82.792207792207748</v>
      </c>
      <c r="AH36" s="539">
        <f t="shared" si="28"/>
        <v>1</v>
      </c>
      <c r="AI36" s="645"/>
      <c r="AJ36" s="539">
        <v>16</v>
      </c>
      <c r="AK36" s="416">
        <v>1324.8000000000004</v>
      </c>
      <c r="AL36" s="416">
        <v>82.800000000000026</v>
      </c>
      <c r="AM36" s="539">
        <f t="shared" si="30"/>
        <v>1</v>
      </c>
      <c r="AN36" s="645"/>
      <c r="AO36" s="539">
        <v>16</v>
      </c>
      <c r="AP36" s="416">
        <v>1320</v>
      </c>
      <c r="AQ36" s="416">
        <v>82.5</v>
      </c>
      <c r="AR36" s="539">
        <f t="shared" si="32"/>
        <v>1</v>
      </c>
      <c r="AS36" s="645"/>
      <c r="AT36" s="539">
        <v>16</v>
      </c>
      <c r="AU36" s="416">
        <v>1340.4651162790694</v>
      </c>
      <c r="AV36" s="416">
        <v>83.77906976744184</v>
      </c>
      <c r="AW36" s="539">
        <f t="shared" si="34"/>
        <v>1</v>
      </c>
      <c r="AX36" s="645"/>
      <c r="AZ36" s="398" t="e">
        <f t="shared" si="36"/>
        <v>#N/A</v>
      </c>
      <c r="BA36" s="645"/>
    </row>
    <row r="37" spans="2:53">
      <c r="B37" s="643"/>
      <c r="C37" s="409">
        <v>11</v>
      </c>
      <c r="D37" s="225" t="s">
        <v>580</v>
      </c>
      <c r="E37" s="416">
        <v>19</v>
      </c>
      <c r="F37" s="409">
        <v>1440</v>
      </c>
      <c r="G37" s="410">
        <v>75.78947368421052</v>
      </c>
      <c r="H37" s="686"/>
      <c r="I37" s="413">
        <f t="shared" si="19"/>
        <v>19</v>
      </c>
      <c r="J37" s="413">
        <f t="shared" si="20"/>
        <v>1353.5385748152219</v>
      </c>
      <c r="K37" s="199">
        <f t="shared" si="21"/>
        <v>71.238872358695872</v>
      </c>
      <c r="L37" s="617"/>
      <c r="M37" s="419">
        <f>RANK(K37, K$24:$K$41)</f>
        <v>8</v>
      </c>
      <c r="N37" s="635"/>
      <c r="O37" s="635"/>
      <c r="P37" s="539">
        <v>19</v>
      </c>
      <c r="Q37" s="416">
        <v>1350.9944751381215</v>
      </c>
      <c r="R37" s="416">
        <v>71.104972375690608</v>
      </c>
      <c r="S37" s="539">
        <f t="shared" si="22"/>
        <v>7</v>
      </c>
      <c r="T37" s="645"/>
      <c r="U37" s="539">
        <v>19</v>
      </c>
      <c r="V37" s="416">
        <v>1352.8881987577638</v>
      </c>
      <c r="W37" s="416">
        <v>71.204642039882302</v>
      </c>
      <c r="X37" s="539">
        <f t="shared" si="24"/>
        <v>7</v>
      </c>
      <c r="Y37" s="645"/>
      <c r="Z37" s="539">
        <v>19</v>
      </c>
      <c r="AA37" s="416">
        <v>1336.4292134831462</v>
      </c>
      <c r="AB37" s="416">
        <v>70.338379657007692</v>
      </c>
      <c r="AC37" s="539">
        <f t="shared" si="26"/>
        <v>9</v>
      </c>
      <c r="AD37" s="645"/>
      <c r="AE37" s="539">
        <v>19</v>
      </c>
      <c r="AF37" s="416">
        <v>1361.0292993630574</v>
      </c>
      <c r="AG37" s="416">
        <v>71.633121019108287</v>
      </c>
      <c r="AH37" s="539">
        <f t="shared" si="28"/>
        <v>6</v>
      </c>
      <c r="AI37" s="645"/>
      <c r="AJ37" s="539">
        <v>19</v>
      </c>
      <c r="AK37" s="416">
        <v>1350.9913043478257</v>
      </c>
      <c r="AL37" s="416">
        <v>71.104805491990831</v>
      </c>
      <c r="AM37" s="539">
        <f t="shared" si="30"/>
        <v>8</v>
      </c>
      <c r="AN37" s="645"/>
      <c r="AO37" s="539">
        <v>19</v>
      </c>
      <c r="AP37" s="416">
        <v>1357.9300699300702</v>
      </c>
      <c r="AQ37" s="416">
        <v>71.470003680530013</v>
      </c>
      <c r="AR37" s="539">
        <f t="shared" si="32"/>
        <v>8</v>
      </c>
      <c r="AS37" s="645"/>
      <c r="AT37" s="539">
        <v>19</v>
      </c>
      <c r="AU37" s="416">
        <v>1364.5074626865674</v>
      </c>
      <c r="AV37" s="416">
        <v>71.816182246661441</v>
      </c>
      <c r="AW37" s="539">
        <f t="shared" si="34"/>
        <v>8</v>
      </c>
      <c r="AX37" s="645"/>
      <c r="AZ37" s="398" t="e">
        <f t="shared" si="36"/>
        <v>#N/A</v>
      </c>
      <c r="BA37" s="645"/>
    </row>
    <row r="38" spans="2:53">
      <c r="B38" s="643"/>
      <c r="C38" s="409">
        <v>12</v>
      </c>
      <c r="D38" s="225" t="s">
        <v>612</v>
      </c>
      <c r="E38" s="416">
        <v>19</v>
      </c>
      <c r="F38" s="409">
        <v>1440</v>
      </c>
      <c r="G38" s="410">
        <v>75.78947368421052</v>
      </c>
      <c r="H38" s="686"/>
      <c r="I38" s="413">
        <f t="shared" si="19"/>
        <v>18</v>
      </c>
      <c r="J38" s="413">
        <f t="shared" si="20"/>
        <v>1100.1761530030069</v>
      </c>
      <c r="K38" s="199">
        <f t="shared" si="21"/>
        <v>61.120897389055941</v>
      </c>
      <c r="L38" s="617"/>
      <c r="M38" s="419">
        <f>RANK(K38, K$24:$K$41)</f>
        <v>12</v>
      </c>
      <c r="N38" s="635"/>
      <c r="O38" s="635"/>
      <c r="P38" s="539">
        <v>18</v>
      </c>
      <c r="Q38" s="416">
        <v>1118.3999999999969</v>
      </c>
      <c r="R38" s="416">
        <v>62.133333333333162</v>
      </c>
      <c r="S38" s="539">
        <f t="shared" si="22"/>
        <v>12</v>
      </c>
      <c r="T38" s="645"/>
      <c r="U38" s="539">
        <v>18</v>
      </c>
      <c r="V38" s="416">
        <v>1094.9999999999966</v>
      </c>
      <c r="W38" s="416">
        <v>60.833333333333144</v>
      </c>
      <c r="X38" s="539">
        <f t="shared" si="24"/>
        <v>12</v>
      </c>
      <c r="Y38" s="645"/>
      <c r="Z38" s="539">
        <v>18</v>
      </c>
      <c r="AA38" s="416">
        <v>1102.4999999999966</v>
      </c>
      <c r="AB38" s="416">
        <v>61.249999999999808</v>
      </c>
      <c r="AC38" s="539">
        <f t="shared" si="26"/>
        <v>12</v>
      </c>
      <c r="AD38" s="645"/>
      <c r="AE38" s="539">
        <v>18</v>
      </c>
      <c r="AF38" s="416">
        <v>1087.0588235294156</v>
      </c>
      <c r="AG38" s="416">
        <v>60.39215686274531</v>
      </c>
      <c r="AH38" s="539">
        <f t="shared" si="28"/>
        <v>12</v>
      </c>
      <c r="AI38" s="645"/>
      <c r="AJ38" s="539">
        <v>18</v>
      </c>
      <c r="AK38" s="416">
        <v>1116.0000000000039</v>
      </c>
      <c r="AL38" s="416">
        <v>62.000000000000213</v>
      </c>
      <c r="AM38" s="539">
        <f t="shared" si="30"/>
        <v>12</v>
      </c>
      <c r="AN38" s="645"/>
      <c r="AO38" s="539">
        <v>18</v>
      </c>
      <c r="AP38" s="416">
        <v>1093.0434782608736</v>
      </c>
      <c r="AQ38" s="416">
        <v>60.724637681159642</v>
      </c>
      <c r="AR38" s="539">
        <f t="shared" si="32"/>
        <v>12</v>
      </c>
      <c r="AS38" s="645"/>
      <c r="AT38" s="539">
        <v>18</v>
      </c>
      <c r="AU38" s="416">
        <v>1089.2307692307663</v>
      </c>
      <c r="AV38" s="416">
        <v>60.512820512820355</v>
      </c>
      <c r="AW38" s="539">
        <f t="shared" si="34"/>
        <v>12</v>
      </c>
      <c r="AX38" s="645"/>
      <c r="AZ38" s="398" t="e">
        <f t="shared" si="36"/>
        <v>#N/A</v>
      </c>
      <c r="BA38" s="645"/>
    </row>
    <row r="39" spans="2:53">
      <c r="B39" s="643"/>
      <c r="C39" s="409">
        <v>13</v>
      </c>
      <c r="D39" s="225" t="s">
        <v>619</v>
      </c>
      <c r="E39" s="416">
        <v>17</v>
      </c>
      <c r="F39" s="409">
        <v>1440</v>
      </c>
      <c r="G39" s="410">
        <v>84.705882352941174</v>
      </c>
      <c r="H39" s="686"/>
      <c r="I39" s="413">
        <f t="shared" si="19"/>
        <v>17</v>
      </c>
      <c r="J39" s="413">
        <f t="shared" si="20"/>
        <v>1353.3429317615207</v>
      </c>
      <c r="K39" s="199">
        <f t="shared" si="21"/>
        <v>79.608407750677685</v>
      </c>
      <c r="L39" s="617"/>
      <c r="M39" s="419">
        <f>RANK(K39, K$24:$K$41)</f>
        <v>2</v>
      </c>
      <c r="N39" s="635"/>
      <c r="O39" s="635"/>
      <c r="P39" s="539">
        <v>17</v>
      </c>
      <c r="Q39" s="416">
        <v>1378.333333333333</v>
      </c>
      <c r="R39" s="416">
        <v>81.078431372549005</v>
      </c>
      <c r="S39" s="539">
        <f t="shared" si="22"/>
        <v>1</v>
      </c>
      <c r="T39" s="645"/>
      <c r="U39" s="539">
        <v>17</v>
      </c>
      <c r="V39" s="416">
        <v>1347.1153846153841</v>
      </c>
      <c r="W39" s="416">
        <v>79.24208144796377</v>
      </c>
      <c r="X39" s="539">
        <f t="shared" si="24"/>
        <v>2</v>
      </c>
      <c r="Y39" s="645"/>
      <c r="Z39" s="539">
        <v>17</v>
      </c>
      <c r="AA39" s="416">
        <v>1378.1818181818176</v>
      </c>
      <c r="AB39" s="416">
        <v>81.069518716577505</v>
      </c>
      <c r="AC39" s="539">
        <f t="shared" si="26"/>
        <v>2</v>
      </c>
      <c r="AD39" s="645"/>
      <c r="AE39" s="539">
        <v>17</v>
      </c>
      <c r="AF39" s="416">
        <v>1329.8734177215197</v>
      </c>
      <c r="AG39" s="416">
        <v>78.227848101265863</v>
      </c>
      <c r="AH39" s="539">
        <f t="shared" si="28"/>
        <v>3</v>
      </c>
      <c r="AI39" s="645"/>
      <c r="AJ39" s="539">
        <v>17</v>
      </c>
      <c r="AK39" s="416">
        <v>1361.1235955056179</v>
      </c>
      <c r="AL39" s="416">
        <v>80.066093853271639</v>
      </c>
      <c r="AM39" s="539">
        <f t="shared" si="30"/>
        <v>2</v>
      </c>
      <c r="AN39" s="645"/>
      <c r="AO39" s="539">
        <v>17</v>
      </c>
      <c r="AP39" s="416">
        <v>1344.9729729729734</v>
      </c>
      <c r="AQ39" s="416">
        <v>79.116057233704311</v>
      </c>
      <c r="AR39" s="539">
        <f t="shared" si="32"/>
        <v>3</v>
      </c>
      <c r="AS39" s="645"/>
      <c r="AT39" s="539">
        <v>17</v>
      </c>
      <c r="AU39" s="416">
        <v>1333.7999999999995</v>
      </c>
      <c r="AV39" s="416">
        <v>78.458823529411731</v>
      </c>
      <c r="AW39" s="539">
        <f t="shared" si="34"/>
        <v>3</v>
      </c>
      <c r="AX39" s="645"/>
      <c r="AZ39" s="398" t="e">
        <f t="shared" si="36"/>
        <v>#N/A</v>
      </c>
      <c r="BA39" s="645"/>
    </row>
    <row r="40" spans="2:53">
      <c r="B40" s="643"/>
      <c r="C40" s="409">
        <v>14</v>
      </c>
      <c r="D40" s="225"/>
      <c r="E40" s="416"/>
      <c r="F40" s="409"/>
      <c r="G40" s="410"/>
      <c r="H40" s="686"/>
      <c r="I40" s="413" t="str">
        <f t="shared" si="19"/>
        <v>-</v>
      </c>
      <c r="J40" s="413" t="str">
        <f t="shared" si="20"/>
        <v>-</v>
      </c>
      <c r="K40" s="199" t="str">
        <f t="shared" si="21"/>
        <v>-</v>
      </c>
      <c r="L40" s="617"/>
      <c r="M40" s="419" t="e">
        <f>RANK(K40, K$24:$K$41)</f>
        <v>#VALUE!</v>
      </c>
      <c r="N40" s="635"/>
      <c r="O40" s="635"/>
      <c r="P40" s="539" t="s">
        <v>615</v>
      </c>
      <c r="Q40" s="416" t="s">
        <v>615</v>
      </c>
      <c r="R40" s="416" t="s">
        <v>615</v>
      </c>
      <c r="S40" s="539" t="e">
        <f t="shared" si="22"/>
        <v>#VALUE!</v>
      </c>
      <c r="T40" s="645"/>
      <c r="U40" s="539" t="s">
        <v>615</v>
      </c>
      <c r="V40" s="416" t="s">
        <v>615</v>
      </c>
      <c r="W40" s="416" t="s">
        <v>615</v>
      </c>
      <c r="X40" s="539" t="e">
        <f t="shared" si="24"/>
        <v>#VALUE!</v>
      </c>
      <c r="Y40" s="645"/>
      <c r="Z40" s="539" t="s">
        <v>615</v>
      </c>
      <c r="AA40" s="416" t="s">
        <v>615</v>
      </c>
      <c r="AB40" s="416" t="s">
        <v>615</v>
      </c>
      <c r="AC40" s="539" t="e">
        <f t="shared" si="26"/>
        <v>#VALUE!</v>
      </c>
      <c r="AD40" s="645"/>
      <c r="AE40" s="539" t="s">
        <v>615</v>
      </c>
      <c r="AF40" s="416" t="s">
        <v>615</v>
      </c>
      <c r="AG40" s="416" t="s">
        <v>615</v>
      </c>
      <c r="AH40" s="539" t="e">
        <f t="shared" si="28"/>
        <v>#VALUE!</v>
      </c>
      <c r="AI40" s="645"/>
      <c r="AJ40" s="539" t="s">
        <v>615</v>
      </c>
      <c r="AK40" s="416" t="s">
        <v>615</v>
      </c>
      <c r="AL40" s="416" t="s">
        <v>615</v>
      </c>
      <c r="AM40" s="539" t="e">
        <f t="shared" si="30"/>
        <v>#VALUE!</v>
      </c>
      <c r="AN40" s="645"/>
      <c r="AO40" s="539" t="s">
        <v>615</v>
      </c>
      <c r="AP40" s="416" t="s">
        <v>615</v>
      </c>
      <c r="AQ40" s="416" t="s">
        <v>615</v>
      </c>
      <c r="AR40" s="539" t="e">
        <f t="shared" si="32"/>
        <v>#VALUE!</v>
      </c>
      <c r="AS40" s="645"/>
      <c r="AT40" s="539" t="s">
        <v>615</v>
      </c>
      <c r="AU40" s="416" t="s">
        <v>615</v>
      </c>
      <c r="AV40" s="416" t="s">
        <v>615</v>
      </c>
      <c r="AW40" s="539" t="e">
        <f t="shared" si="34"/>
        <v>#VALUE!</v>
      </c>
      <c r="AX40" s="645"/>
      <c r="AZ40" s="398" t="e">
        <f t="shared" si="36"/>
        <v>#N/A</v>
      </c>
      <c r="BA40" s="645"/>
    </row>
    <row r="41" spans="2:53">
      <c r="B41" s="643"/>
      <c r="C41" s="409">
        <v>15</v>
      </c>
      <c r="D41" s="225"/>
      <c r="E41" s="416"/>
      <c r="F41" s="409"/>
      <c r="G41" s="410"/>
      <c r="H41" s="687"/>
      <c r="I41" s="201"/>
      <c r="J41" s="201"/>
      <c r="K41" s="201"/>
      <c r="L41" s="618"/>
      <c r="M41" s="418" t="e">
        <f>RANK(K41, K$24:$K$41)</f>
        <v>#N/A</v>
      </c>
      <c r="N41" s="635"/>
      <c r="O41" s="635"/>
      <c r="P41" s="539" t="s">
        <v>615</v>
      </c>
      <c r="Q41" s="416" t="s">
        <v>615</v>
      </c>
      <c r="R41" s="416" t="s">
        <v>615</v>
      </c>
      <c r="S41" s="539" t="e">
        <f t="shared" si="22"/>
        <v>#VALUE!</v>
      </c>
      <c r="T41" s="646"/>
      <c r="U41" s="539" t="s">
        <v>615</v>
      </c>
      <c r="V41" s="416" t="s">
        <v>615</v>
      </c>
      <c r="W41" s="416" t="s">
        <v>615</v>
      </c>
      <c r="X41" s="539" t="e">
        <f t="shared" si="24"/>
        <v>#VALUE!</v>
      </c>
      <c r="Y41" s="646"/>
      <c r="Z41" s="539" t="s">
        <v>615</v>
      </c>
      <c r="AA41" s="416" t="s">
        <v>615</v>
      </c>
      <c r="AB41" s="416" t="s">
        <v>615</v>
      </c>
      <c r="AC41" s="539" t="e">
        <f t="shared" si="26"/>
        <v>#VALUE!</v>
      </c>
      <c r="AD41" s="646"/>
      <c r="AE41" s="539" t="s">
        <v>615</v>
      </c>
      <c r="AF41" s="416" t="s">
        <v>615</v>
      </c>
      <c r="AG41" s="416" t="s">
        <v>615</v>
      </c>
      <c r="AH41" s="539" t="e">
        <f t="shared" si="28"/>
        <v>#VALUE!</v>
      </c>
      <c r="AI41" s="646"/>
      <c r="AJ41" s="539" t="s">
        <v>615</v>
      </c>
      <c r="AK41" s="416" t="s">
        <v>615</v>
      </c>
      <c r="AL41" s="416" t="s">
        <v>615</v>
      </c>
      <c r="AM41" s="539" t="e">
        <f t="shared" si="30"/>
        <v>#VALUE!</v>
      </c>
      <c r="AN41" s="646"/>
      <c r="AO41" s="539" t="s">
        <v>615</v>
      </c>
      <c r="AP41" s="416" t="s">
        <v>615</v>
      </c>
      <c r="AQ41" s="416" t="s">
        <v>615</v>
      </c>
      <c r="AR41" s="539" t="e">
        <f t="shared" si="32"/>
        <v>#VALUE!</v>
      </c>
      <c r="AS41" s="646"/>
      <c r="AT41" s="539" t="s">
        <v>615</v>
      </c>
      <c r="AU41" s="416" t="s">
        <v>615</v>
      </c>
      <c r="AV41" s="416" t="s">
        <v>615</v>
      </c>
      <c r="AW41" s="539" t="e">
        <f t="shared" si="34"/>
        <v>#VALUE!</v>
      </c>
      <c r="AX41" s="646"/>
      <c r="AZ41" s="398" t="e">
        <f t="shared" si="36"/>
        <v>#N/A</v>
      </c>
      <c r="BA41" s="646"/>
    </row>
    <row r="42" spans="2:53" ht="15.75">
      <c r="B42" s="661" t="s">
        <v>163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36" t="s">
        <v>156</v>
      </c>
      <c r="O42" s="636" t="s">
        <v>105</v>
      </c>
      <c r="P42" s="642">
        <f>P22+7</f>
        <v>46182</v>
      </c>
      <c r="Q42" s="643"/>
      <c r="R42" s="643"/>
      <c r="S42" s="643"/>
      <c r="T42" s="643"/>
      <c r="U42" s="639">
        <f>P42+1</f>
        <v>46183</v>
      </c>
      <c r="V42" s="640"/>
      <c r="W42" s="640"/>
      <c r="X42" s="640"/>
      <c r="Y42" s="641"/>
      <c r="Z42" s="639">
        <f>U42+1</f>
        <v>46184</v>
      </c>
      <c r="AA42" s="640"/>
      <c r="AB42" s="640"/>
      <c r="AC42" s="640"/>
      <c r="AD42" s="641"/>
      <c r="AE42" s="639">
        <f>Z42+1</f>
        <v>46185</v>
      </c>
      <c r="AF42" s="640"/>
      <c r="AG42" s="640"/>
      <c r="AH42" s="640"/>
      <c r="AI42" s="641"/>
      <c r="AJ42" s="639">
        <f>AE42+1</f>
        <v>46186</v>
      </c>
      <c r="AK42" s="640"/>
      <c r="AL42" s="640"/>
      <c r="AM42" s="640"/>
      <c r="AN42" s="641"/>
      <c r="AO42" s="639">
        <f>AJ42+1</f>
        <v>46187</v>
      </c>
      <c r="AP42" s="640"/>
      <c r="AQ42" s="640"/>
      <c r="AR42" s="640"/>
      <c r="AS42" s="641"/>
      <c r="AT42" s="639">
        <f>AO42+1</f>
        <v>46188</v>
      </c>
      <c r="AU42" s="640"/>
      <c r="AV42" s="640"/>
      <c r="AW42" s="640"/>
      <c r="AX42" s="641"/>
    </row>
    <row r="43" spans="2:53" ht="15.75">
      <c r="B43" s="650"/>
      <c r="C43" s="650"/>
      <c r="D43" s="650"/>
      <c r="E43" s="650"/>
      <c r="F43" s="650"/>
      <c r="G43" s="650"/>
      <c r="H43" s="650"/>
      <c r="I43" s="204"/>
      <c r="J43" s="204"/>
      <c r="K43" s="204"/>
      <c r="L43" s="204"/>
      <c r="M43" s="205"/>
      <c r="N43" s="638"/>
      <c r="O43" s="638"/>
      <c r="P43" s="642" t="s">
        <v>318</v>
      </c>
      <c r="Q43" s="643"/>
      <c r="R43" s="643"/>
      <c r="S43" s="643"/>
      <c r="T43" s="643"/>
      <c r="U43" s="642" t="s">
        <v>319</v>
      </c>
      <c r="V43" s="643"/>
      <c r="W43" s="643"/>
      <c r="X43" s="643"/>
      <c r="Y43" s="643"/>
      <c r="Z43" s="642" t="s">
        <v>320</v>
      </c>
      <c r="AA43" s="643"/>
      <c r="AB43" s="643"/>
      <c r="AC43" s="643"/>
      <c r="AD43" s="643"/>
      <c r="AE43" s="642" t="s">
        <v>321</v>
      </c>
      <c r="AF43" s="643"/>
      <c r="AG43" s="643"/>
      <c r="AH43" s="643"/>
      <c r="AI43" s="643"/>
      <c r="AJ43" s="642" t="s">
        <v>322</v>
      </c>
      <c r="AK43" s="643"/>
      <c r="AL43" s="643"/>
      <c r="AM43" s="643"/>
      <c r="AN43" s="643"/>
      <c r="AO43" s="642" t="s">
        <v>323</v>
      </c>
      <c r="AP43" s="643"/>
      <c r="AQ43" s="643"/>
      <c r="AR43" s="643"/>
      <c r="AS43" s="643"/>
      <c r="AT43" s="642" t="s">
        <v>324</v>
      </c>
      <c r="AU43" s="643"/>
      <c r="AV43" s="643"/>
      <c r="AW43" s="643"/>
      <c r="AX43" s="643"/>
    </row>
    <row r="44" spans="2:53">
      <c r="B44" s="635" t="s">
        <v>463</v>
      </c>
      <c r="C44" s="635" t="s">
        <v>384</v>
      </c>
      <c r="D44" s="635"/>
      <c r="E44" s="635" t="s">
        <v>375</v>
      </c>
      <c r="F44" s="635"/>
      <c r="G44" s="635"/>
      <c r="H44" s="651" t="s">
        <v>371</v>
      </c>
      <c r="I44" s="619" t="s">
        <v>376</v>
      </c>
      <c r="J44" s="619"/>
      <c r="K44" s="619"/>
      <c r="L44" s="620" t="s">
        <v>371</v>
      </c>
      <c r="M44" s="626" t="s">
        <v>372</v>
      </c>
      <c r="N44" s="635"/>
      <c r="O44" s="635" t="s">
        <v>377</v>
      </c>
      <c r="P44" s="632" t="s">
        <v>373</v>
      </c>
      <c r="Q44" s="633"/>
      <c r="R44" s="633"/>
      <c r="S44" s="634"/>
      <c r="T44" s="635" t="s">
        <v>371</v>
      </c>
      <c r="U44" s="632" t="s">
        <v>373</v>
      </c>
      <c r="V44" s="633"/>
      <c r="W44" s="633"/>
      <c r="X44" s="634"/>
      <c r="Y44" s="635" t="s">
        <v>371</v>
      </c>
      <c r="Z44" s="632" t="s">
        <v>373</v>
      </c>
      <c r="AA44" s="633"/>
      <c r="AB44" s="633"/>
      <c r="AC44" s="634"/>
      <c r="AD44" s="635" t="s">
        <v>371</v>
      </c>
      <c r="AE44" s="632" t="s">
        <v>373</v>
      </c>
      <c r="AF44" s="633"/>
      <c r="AG44" s="633"/>
      <c r="AH44" s="634"/>
      <c r="AI44" s="635" t="s">
        <v>371</v>
      </c>
      <c r="AJ44" s="632" t="s">
        <v>373</v>
      </c>
      <c r="AK44" s="633"/>
      <c r="AL44" s="633"/>
      <c r="AM44" s="634"/>
      <c r="AN44" s="635" t="s">
        <v>371</v>
      </c>
      <c r="AO44" s="632" t="s">
        <v>373</v>
      </c>
      <c r="AP44" s="633"/>
      <c r="AQ44" s="633"/>
      <c r="AR44" s="634"/>
      <c r="AS44" s="635" t="s">
        <v>371</v>
      </c>
      <c r="AT44" s="632" t="s">
        <v>373</v>
      </c>
      <c r="AU44" s="633"/>
      <c r="AV44" s="633"/>
      <c r="AW44" s="634"/>
      <c r="AX44" s="635" t="s">
        <v>371</v>
      </c>
      <c r="BA44" s="635" t="s">
        <v>371</v>
      </c>
    </row>
    <row r="45" spans="2:53">
      <c r="B45" s="635"/>
      <c r="C45" s="635"/>
      <c r="D45" s="635"/>
      <c r="E45" s="635" t="s">
        <v>378</v>
      </c>
      <c r="F45" s="635"/>
      <c r="G45" s="635"/>
      <c r="H45" s="652"/>
      <c r="I45" s="619" t="s">
        <v>378</v>
      </c>
      <c r="J45" s="619"/>
      <c r="K45" s="619"/>
      <c r="L45" s="621"/>
      <c r="M45" s="627"/>
      <c r="N45" s="635"/>
      <c r="O45" s="635"/>
      <c r="P45" s="632" t="s">
        <v>379</v>
      </c>
      <c r="Q45" s="633"/>
      <c r="R45" s="633"/>
      <c r="S45" s="634"/>
      <c r="T45" s="635"/>
      <c r="U45" s="632" t="s">
        <v>379</v>
      </c>
      <c r="V45" s="633"/>
      <c r="W45" s="633"/>
      <c r="X45" s="634"/>
      <c r="Y45" s="635"/>
      <c r="Z45" s="632" t="s">
        <v>379</v>
      </c>
      <c r="AA45" s="633"/>
      <c r="AB45" s="633"/>
      <c r="AC45" s="634"/>
      <c r="AD45" s="635"/>
      <c r="AE45" s="632" t="s">
        <v>379</v>
      </c>
      <c r="AF45" s="633"/>
      <c r="AG45" s="633"/>
      <c r="AH45" s="634"/>
      <c r="AI45" s="635"/>
      <c r="AJ45" s="632" t="s">
        <v>379</v>
      </c>
      <c r="AK45" s="633"/>
      <c r="AL45" s="633"/>
      <c r="AM45" s="634"/>
      <c r="AN45" s="635"/>
      <c r="AO45" s="632" t="s">
        <v>379</v>
      </c>
      <c r="AP45" s="633"/>
      <c r="AQ45" s="633"/>
      <c r="AR45" s="634"/>
      <c r="AS45" s="635"/>
      <c r="AT45" s="632" t="s">
        <v>379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408" t="s">
        <v>380</v>
      </c>
      <c r="F46" s="408" t="s">
        <v>381</v>
      </c>
      <c r="G46" s="408" t="s">
        <v>382</v>
      </c>
      <c r="H46" s="653"/>
      <c r="I46" s="407" t="s">
        <v>380</v>
      </c>
      <c r="J46" s="407" t="s">
        <v>381</v>
      </c>
      <c r="K46" s="407" t="s">
        <v>382</v>
      </c>
      <c r="L46" s="622"/>
      <c r="M46" s="628"/>
      <c r="N46" s="635"/>
      <c r="O46" s="635"/>
      <c r="P46" s="408" t="s">
        <v>380</v>
      </c>
      <c r="Q46" s="408" t="s">
        <v>381</v>
      </c>
      <c r="R46" s="408" t="s">
        <v>382</v>
      </c>
      <c r="S46" s="408" t="s">
        <v>372</v>
      </c>
      <c r="T46" s="635"/>
      <c r="U46" s="408" t="s">
        <v>380</v>
      </c>
      <c r="V46" s="408" t="s">
        <v>381</v>
      </c>
      <c r="W46" s="408" t="s">
        <v>382</v>
      </c>
      <c r="X46" s="408" t="s">
        <v>372</v>
      </c>
      <c r="Y46" s="635"/>
      <c r="Z46" s="408" t="s">
        <v>380</v>
      </c>
      <c r="AA46" s="408" t="s">
        <v>381</v>
      </c>
      <c r="AB46" s="408" t="s">
        <v>382</v>
      </c>
      <c r="AC46" s="408" t="s">
        <v>372</v>
      </c>
      <c r="AD46" s="635"/>
      <c r="AE46" s="408" t="s">
        <v>380</v>
      </c>
      <c r="AF46" s="408" t="s">
        <v>381</v>
      </c>
      <c r="AG46" s="408" t="s">
        <v>382</v>
      </c>
      <c r="AH46" s="408" t="s">
        <v>372</v>
      </c>
      <c r="AI46" s="635"/>
      <c r="AJ46" s="408" t="s">
        <v>380</v>
      </c>
      <c r="AK46" s="408" t="s">
        <v>381</v>
      </c>
      <c r="AL46" s="408" t="s">
        <v>382</v>
      </c>
      <c r="AM46" s="408" t="s">
        <v>372</v>
      </c>
      <c r="AN46" s="635"/>
      <c r="AO46" s="408" t="s">
        <v>380</v>
      </c>
      <c r="AP46" s="408" t="s">
        <v>381</v>
      </c>
      <c r="AQ46" s="408" t="s">
        <v>382</v>
      </c>
      <c r="AR46" s="408" t="s">
        <v>372</v>
      </c>
      <c r="AS46" s="635"/>
      <c r="AT46" s="408" t="s">
        <v>380</v>
      </c>
      <c r="AU46" s="408" t="s">
        <v>381</v>
      </c>
      <c r="AV46" s="408" t="s">
        <v>382</v>
      </c>
      <c r="AW46" s="408" t="s">
        <v>372</v>
      </c>
      <c r="AX46" s="635"/>
      <c r="AZ46" s="397" t="s">
        <v>579</v>
      </c>
      <c r="BA46" s="635"/>
    </row>
    <row r="47" spans="2:53">
      <c r="B47" s="635" t="s">
        <v>477</v>
      </c>
      <c r="C47" s="409">
        <v>1</v>
      </c>
      <c r="D47" s="225" t="s">
        <v>701</v>
      </c>
      <c r="E47" s="416">
        <v>17</v>
      </c>
      <c r="F47" s="495">
        <v>1440</v>
      </c>
      <c r="G47" s="496">
        <v>84.7</v>
      </c>
      <c r="H47" s="685">
        <f>AVERAGE(G47:G61)</f>
        <v>80.516666666666666</v>
      </c>
      <c r="I47" s="413">
        <f t="shared" ref="I47:I60" si="38">IFERROR(AVERAGE(P47,U47,Z47,AE47,AJ47,AO47,AT47),"-")</f>
        <v>17</v>
      </c>
      <c r="J47" s="413">
        <f t="shared" ref="J47:J60" si="39">IFERROR(AVERAGE(Q47,V47,AA47,AF47,AK47,AP47,AU47),"-")</f>
        <v>1260.4120143739176</v>
      </c>
      <c r="K47" s="199">
        <f t="shared" ref="K47:K60" si="40">IFERROR(AVERAGE(R47,W47,AB47,AG47,AL47,AQ47,AV47),"-")</f>
        <v>74.141883198465734</v>
      </c>
      <c r="L47" s="616">
        <f>IFERROR(AVERAGE(K47:K61),"-")</f>
        <v>71.085390314106604</v>
      </c>
      <c r="M47" s="415">
        <f>RANK(K47, K$47:$K$61)</f>
        <v>4</v>
      </c>
      <c r="N47" s="635"/>
      <c r="O47" s="635"/>
      <c r="P47" s="549">
        <v>17</v>
      </c>
      <c r="Q47" s="416">
        <v>1296.3461538461547</v>
      </c>
      <c r="R47" s="416">
        <v>76.255656108597336</v>
      </c>
      <c r="S47" s="549">
        <f t="shared" ref="S47:S61" si="41">RANK(R47, R$47:R$61)</f>
        <v>4</v>
      </c>
      <c r="T47" s="644">
        <f t="shared" ref="T47" si="42">AVERAGE(R47:R61)</f>
        <v>71.610497845189045</v>
      </c>
      <c r="U47" s="549">
        <v>17</v>
      </c>
      <c r="V47" s="416">
        <v>1247.4545454545462</v>
      </c>
      <c r="W47" s="416">
        <v>73.379679144385065</v>
      </c>
      <c r="X47" s="549">
        <f t="shared" ref="X47:X61" si="43">RANK(W47, W$47:W$61)</f>
        <v>4</v>
      </c>
      <c r="Y47" s="644">
        <f t="shared" ref="Y47" si="44">AVERAGE(W47:W61)</f>
        <v>70.526639347689382</v>
      </c>
      <c r="Z47" s="549">
        <v>17</v>
      </c>
      <c r="AA47" s="416">
        <v>1265.7692307692314</v>
      </c>
      <c r="AB47" s="416">
        <v>74.457013574660664</v>
      </c>
      <c r="AC47" s="549">
        <f t="shared" ref="AC47:AC61" si="45">RANK(AB47, AB$47:AB$61)</f>
        <v>5</v>
      </c>
      <c r="AD47" s="644">
        <f t="shared" ref="AD47" si="46">AVERAGE(AB47:AB61)</f>
        <v>71.552458044877042</v>
      </c>
      <c r="AE47" s="549">
        <v>17</v>
      </c>
      <c r="AF47" s="416">
        <v>1255.909090909091</v>
      </c>
      <c r="AG47" s="416">
        <v>73.877005347593581</v>
      </c>
      <c r="AH47" s="549">
        <f t="shared" ref="AH47:AH61" si="47">RANK(AG47, AG$47:AG$61)</f>
        <v>4</v>
      </c>
      <c r="AI47" s="644">
        <f t="shared" ref="AI47" si="48">AVERAGE(AG47:AG61)</f>
        <v>70.40553536911564</v>
      </c>
      <c r="AJ47" s="549">
        <v>17</v>
      </c>
      <c r="AK47" s="416">
        <v>1262.9702970297035</v>
      </c>
      <c r="AL47" s="416">
        <v>74.292370413511975</v>
      </c>
      <c r="AM47" s="549">
        <f t="shared" ref="AM47:AM61" si="49">RANK(AL47, AL$47:AL$61)</f>
        <v>4</v>
      </c>
      <c r="AN47" s="644">
        <f t="shared" ref="AN47" si="50">AVERAGE(AL47:AL61)</f>
        <v>69.79462469516362</v>
      </c>
      <c r="AO47" s="549">
        <v>17</v>
      </c>
      <c r="AP47" s="416">
        <v>1246.9565217391314</v>
      </c>
      <c r="AQ47" s="416">
        <v>73.350383631713612</v>
      </c>
      <c r="AR47" s="549">
        <f t="shared" ref="AR47:AR61" si="51">RANK(AQ47, AQ$47:AQ$61)</f>
        <v>5</v>
      </c>
      <c r="AS47" s="644">
        <f t="shared" ref="AS47" si="52">AVERAGE(AQ47:AQ61)</f>
        <v>71.277615365221493</v>
      </c>
      <c r="AT47" s="549">
        <v>17</v>
      </c>
      <c r="AU47" s="416">
        <v>1247.4782608695643</v>
      </c>
      <c r="AV47" s="416">
        <v>73.381074168797909</v>
      </c>
      <c r="AW47" s="549">
        <f t="shared" ref="AW47:AW61" si="53">RANK(AV47, AV$47:AV$61)</f>
        <v>5</v>
      </c>
      <c r="AX47" s="644">
        <f t="shared" ref="AX47" si="54">AVERAGE(AV47:AV61)</f>
        <v>72.430361531490107</v>
      </c>
      <c r="AZ47" s="398" t="e">
        <f t="shared" ref="AZ47:AZ61" si="55">RANK(AY47, AY$47:AY$61)</f>
        <v>#N/A</v>
      </c>
      <c r="BA47" s="644" t="e">
        <f t="shared" ref="BA47" si="56">AVERAGE(AY47:AY61)</f>
        <v>#DIV/0!</v>
      </c>
    </row>
    <row r="48" spans="2:53">
      <c r="B48" s="643"/>
      <c r="C48" s="409">
        <v>2</v>
      </c>
      <c r="D48" s="225" t="s">
        <v>349</v>
      </c>
      <c r="E48" s="416">
        <v>18</v>
      </c>
      <c r="F48" s="495">
        <v>1440</v>
      </c>
      <c r="G48" s="496">
        <v>80</v>
      </c>
      <c r="H48" s="686"/>
      <c r="I48" s="413">
        <f t="shared" si="38"/>
        <v>18</v>
      </c>
      <c r="J48" s="413">
        <f t="shared" si="39"/>
        <v>1286.4371831272679</v>
      </c>
      <c r="K48" s="199">
        <f t="shared" si="40"/>
        <v>71.468732395959321</v>
      </c>
      <c r="L48" s="617"/>
      <c r="M48" s="480">
        <f>RANK(K48, K$47:$K$61)</f>
        <v>5</v>
      </c>
      <c r="N48" s="635"/>
      <c r="O48" s="635"/>
      <c r="P48" s="549">
        <v>18</v>
      </c>
      <c r="Q48" s="416">
        <v>1323.7500000000005</v>
      </c>
      <c r="R48" s="416">
        <v>73.541666666666686</v>
      </c>
      <c r="S48" s="549">
        <f t="shared" si="41"/>
        <v>5</v>
      </c>
      <c r="T48" s="645"/>
      <c r="U48" s="549">
        <v>18</v>
      </c>
      <c r="V48" s="416">
        <v>1277.5000000000002</v>
      </c>
      <c r="W48" s="416">
        <v>70.972222222222229</v>
      </c>
      <c r="X48" s="549">
        <f t="shared" si="43"/>
        <v>7</v>
      </c>
      <c r="Y48" s="645"/>
      <c r="Z48" s="549">
        <v>18</v>
      </c>
      <c r="AA48" s="416">
        <v>1295.4545454545455</v>
      </c>
      <c r="AB48" s="416">
        <v>71.969696969696969</v>
      </c>
      <c r="AC48" s="549">
        <f t="shared" si="45"/>
        <v>6</v>
      </c>
      <c r="AD48" s="645"/>
      <c r="AE48" s="549">
        <v>18</v>
      </c>
      <c r="AF48" s="416">
        <v>1281.0810810810801</v>
      </c>
      <c r="AG48" s="416">
        <v>71.171171171171125</v>
      </c>
      <c r="AH48" s="549">
        <f t="shared" si="47"/>
        <v>5</v>
      </c>
      <c r="AI48" s="645"/>
      <c r="AJ48" s="549">
        <v>18</v>
      </c>
      <c r="AK48" s="416">
        <v>1262.9268292682921</v>
      </c>
      <c r="AL48" s="416">
        <v>70.162601626016226</v>
      </c>
      <c r="AM48" s="549">
        <f t="shared" si="49"/>
        <v>6</v>
      </c>
      <c r="AN48" s="645"/>
      <c r="AO48" s="549">
        <v>18</v>
      </c>
      <c r="AP48" s="416">
        <v>1267.8260869565217</v>
      </c>
      <c r="AQ48" s="416">
        <v>70.434782608695656</v>
      </c>
      <c r="AR48" s="549">
        <f t="shared" si="51"/>
        <v>8</v>
      </c>
      <c r="AS48" s="645"/>
      <c r="AT48" s="549">
        <v>18</v>
      </c>
      <c r="AU48" s="416">
        <v>1296.5217391304348</v>
      </c>
      <c r="AV48" s="416">
        <v>72.028985507246375</v>
      </c>
      <c r="AW48" s="549">
        <f t="shared" si="53"/>
        <v>6</v>
      </c>
      <c r="AX48" s="645"/>
      <c r="AZ48" s="398" t="e">
        <f t="shared" si="55"/>
        <v>#N/A</v>
      </c>
      <c r="BA48" s="645"/>
    </row>
    <row r="49" spans="2:53">
      <c r="B49" s="643"/>
      <c r="C49" s="409">
        <v>3</v>
      </c>
      <c r="D49" s="225" t="s">
        <v>350</v>
      </c>
      <c r="E49" s="416">
        <v>17</v>
      </c>
      <c r="F49" s="495">
        <v>1440</v>
      </c>
      <c r="G49" s="496">
        <v>84.7</v>
      </c>
      <c r="H49" s="686"/>
      <c r="I49" s="413">
        <f t="shared" si="38"/>
        <v>17</v>
      </c>
      <c r="J49" s="413">
        <f t="shared" si="39"/>
        <v>1334.3537714945871</v>
      </c>
      <c r="K49" s="199">
        <f t="shared" si="40"/>
        <v>78.491398323211001</v>
      </c>
      <c r="L49" s="617"/>
      <c r="M49" s="480">
        <f>RANK(K49, K$47:$K$61)</f>
        <v>2</v>
      </c>
      <c r="N49" s="635"/>
      <c r="O49" s="635"/>
      <c r="P49" s="549">
        <v>17</v>
      </c>
      <c r="Q49" s="416">
        <v>1331.7647058823536</v>
      </c>
      <c r="R49" s="416">
        <v>78.3391003460208</v>
      </c>
      <c r="S49" s="549">
        <f t="shared" si="41"/>
        <v>2</v>
      </c>
      <c r="T49" s="645"/>
      <c r="U49" s="549">
        <v>17</v>
      </c>
      <c r="V49" s="416">
        <v>1320</v>
      </c>
      <c r="W49" s="416">
        <v>77.647058823529406</v>
      </c>
      <c r="X49" s="549">
        <f t="shared" si="43"/>
        <v>2</v>
      </c>
      <c r="Y49" s="645"/>
      <c r="Z49" s="549">
        <v>17</v>
      </c>
      <c r="AA49" s="416">
        <v>1330.909090909091</v>
      </c>
      <c r="AB49" s="416">
        <v>78.288770053475943</v>
      </c>
      <c r="AC49" s="549">
        <f t="shared" si="45"/>
        <v>2</v>
      </c>
      <c r="AD49" s="645"/>
      <c r="AE49" s="549">
        <v>17</v>
      </c>
      <c r="AF49" s="416">
        <v>1343.0769230769224</v>
      </c>
      <c r="AG49" s="416">
        <v>79.004524886877789</v>
      </c>
      <c r="AH49" s="549">
        <f t="shared" si="47"/>
        <v>2</v>
      </c>
      <c r="AI49" s="645"/>
      <c r="AJ49" s="549">
        <v>17</v>
      </c>
      <c r="AK49" s="416">
        <v>1348.9887640449438</v>
      </c>
      <c r="AL49" s="416">
        <v>79.352280237937862</v>
      </c>
      <c r="AM49" s="549">
        <f t="shared" si="49"/>
        <v>2</v>
      </c>
      <c r="AN49" s="645"/>
      <c r="AO49" s="549">
        <v>17</v>
      </c>
      <c r="AP49" s="416">
        <v>1320.5940594059412</v>
      </c>
      <c r="AQ49" s="416">
        <v>77.682003494467125</v>
      </c>
      <c r="AR49" s="549">
        <f t="shared" si="51"/>
        <v>2</v>
      </c>
      <c r="AS49" s="645"/>
      <c r="AT49" s="549">
        <v>17</v>
      </c>
      <c r="AU49" s="416">
        <v>1345.1428571428578</v>
      </c>
      <c r="AV49" s="416">
        <v>79.126050420168099</v>
      </c>
      <c r="AW49" s="549">
        <f t="shared" si="53"/>
        <v>2</v>
      </c>
      <c r="AX49" s="645"/>
      <c r="AZ49" s="398" t="e">
        <f t="shared" si="55"/>
        <v>#N/A</v>
      </c>
      <c r="BA49" s="645"/>
    </row>
    <row r="50" spans="2:53">
      <c r="B50" s="643"/>
      <c r="C50" s="409">
        <v>4</v>
      </c>
      <c r="D50" s="225" t="s">
        <v>351</v>
      </c>
      <c r="E50" s="416">
        <v>17</v>
      </c>
      <c r="F50" s="495">
        <v>1440</v>
      </c>
      <c r="G50" s="496">
        <v>84.7</v>
      </c>
      <c r="H50" s="686"/>
      <c r="I50" s="413">
        <f t="shared" si="38"/>
        <v>17.285714285714285</v>
      </c>
      <c r="J50" s="413">
        <f t="shared" si="39"/>
        <v>1232.4717601326233</v>
      </c>
      <c r="K50" s="199">
        <f t="shared" si="40"/>
        <v>71.298376493454469</v>
      </c>
      <c r="L50" s="617"/>
      <c r="M50" s="480">
        <f>RANK(K50, K$47:$K$61)</f>
        <v>6</v>
      </c>
      <c r="N50" s="635"/>
      <c r="O50" s="635"/>
      <c r="P50" s="549">
        <v>18</v>
      </c>
      <c r="Q50" s="416">
        <v>1289.1428571428557</v>
      </c>
      <c r="R50" s="416">
        <v>71.619047619047535</v>
      </c>
      <c r="S50" s="549">
        <f t="shared" si="41"/>
        <v>6</v>
      </c>
      <c r="T50" s="645"/>
      <c r="U50" s="549">
        <v>18</v>
      </c>
      <c r="V50" s="416">
        <v>1281.1764705882338</v>
      </c>
      <c r="W50" s="416">
        <v>71.176470588235205</v>
      </c>
      <c r="X50" s="549">
        <f t="shared" si="43"/>
        <v>6</v>
      </c>
      <c r="Y50" s="645"/>
      <c r="Z50" s="549">
        <v>17</v>
      </c>
      <c r="AA50" s="416">
        <v>1282.6666666666665</v>
      </c>
      <c r="AB50" s="416">
        <v>75.45098039215685</v>
      </c>
      <c r="AC50" s="549">
        <f t="shared" si="45"/>
        <v>4</v>
      </c>
      <c r="AD50" s="645"/>
      <c r="AE50" s="549">
        <v>17</v>
      </c>
      <c r="AF50" s="416">
        <v>1069.2857142857119</v>
      </c>
      <c r="AG50" s="416">
        <v>62.899159663865412</v>
      </c>
      <c r="AH50" s="549">
        <f t="shared" si="47"/>
        <v>10</v>
      </c>
      <c r="AI50" s="645"/>
      <c r="AJ50" s="549">
        <v>17</v>
      </c>
      <c r="AK50" s="416">
        <v>1097.9999999999982</v>
      </c>
      <c r="AL50" s="416">
        <v>64.588235294117538</v>
      </c>
      <c r="AM50" s="549">
        <f t="shared" si="49"/>
        <v>10</v>
      </c>
      <c r="AN50" s="645"/>
      <c r="AO50" s="549">
        <v>17</v>
      </c>
      <c r="AP50" s="416">
        <v>1306.5306122448983</v>
      </c>
      <c r="AQ50" s="416">
        <v>76.854741896758725</v>
      </c>
      <c r="AR50" s="549">
        <f t="shared" si="51"/>
        <v>4</v>
      </c>
      <c r="AS50" s="645"/>
      <c r="AT50" s="549">
        <v>17</v>
      </c>
      <c r="AU50" s="416">
        <v>1300.4999999999995</v>
      </c>
      <c r="AV50" s="416">
        <v>76.499999999999972</v>
      </c>
      <c r="AW50" s="549">
        <f t="shared" si="53"/>
        <v>4</v>
      </c>
      <c r="AX50" s="645"/>
      <c r="AZ50" s="398" t="e">
        <f t="shared" si="55"/>
        <v>#N/A</v>
      </c>
      <c r="BA50" s="645"/>
    </row>
    <row r="51" spans="2:53">
      <c r="B51" s="643"/>
      <c r="C51" s="409">
        <v>5</v>
      </c>
      <c r="D51" s="225" t="s">
        <v>352</v>
      </c>
      <c r="E51" s="416">
        <v>21</v>
      </c>
      <c r="F51" s="495">
        <v>1385</v>
      </c>
      <c r="G51" s="496">
        <v>65.900000000000006</v>
      </c>
      <c r="H51" s="686"/>
      <c r="I51" s="413">
        <f t="shared" si="38"/>
        <v>21</v>
      </c>
      <c r="J51" s="413">
        <f t="shared" si="39"/>
        <v>1266.3232359215144</v>
      </c>
      <c r="K51" s="199">
        <f t="shared" si="40"/>
        <v>60.301106472453078</v>
      </c>
      <c r="L51" s="617"/>
      <c r="M51" s="480">
        <f>RANK(K51, K$47:$K$61)</f>
        <v>12</v>
      </c>
      <c r="N51" s="635"/>
      <c r="O51" s="635"/>
      <c r="P51" s="549">
        <v>21</v>
      </c>
      <c r="Q51" s="416">
        <v>1312.3728813559317</v>
      </c>
      <c r="R51" s="416">
        <v>62.493946731234843</v>
      </c>
      <c r="S51" s="549">
        <f t="shared" si="41"/>
        <v>11</v>
      </c>
      <c r="T51" s="645"/>
      <c r="U51" s="549">
        <v>21</v>
      </c>
      <c r="V51" s="416">
        <v>1295.7798165137624</v>
      </c>
      <c r="W51" s="416">
        <v>61.703800786369641</v>
      </c>
      <c r="X51" s="549">
        <f t="shared" si="43"/>
        <v>11</v>
      </c>
      <c r="Y51" s="645"/>
      <c r="Z51" s="549">
        <v>21</v>
      </c>
      <c r="AA51" s="416">
        <v>1244.8598130841128</v>
      </c>
      <c r="AB51" s="416">
        <v>59.279038718291091</v>
      </c>
      <c r="AC51" s="549">
        <f t="shared" si="45"/>
        <v>12</v>
      </c>
      <c r="AD51" s="645"/>
      <c r="AE51" s="549">
        <v>21</v>
      </c>
      <c r="AF51" s="416">
        <v>1260.7317073170727</v>
      </c>
      <c r="AG51" s="416">
        <v>60.034843205574894</v>
      </c>
      <c r="AH51" s="549">
        <f t="shared" si="47"/>
        <v>12</v>
      </c>
      <c r="AI51" s="645"/>
      <c r="AJ51" s="549">
        <v>21</v>
      </c>
      <c r="AK51" s="416">
        <v>1242.8571428571424</v>
      </c>
      <c r="AL51" s="416">
        <v>59.183673469387735</v>
      </c>
      <c r="AM51" s="549">
        <f t="shared" si="49"/>
        <v>11</v>
      </c>
      <c r="AN51" s="645"/>
      <c r="AO51" s="549">
        <v>21</v>
      </c>
      <c r="AP51" s="416">
        <v>1255.16129032258</v>
      </c>
      <c r="AQ51" s="416">
        <v>59.769585253456192</v>
      </c>
      <c r="AR51" s="549">
        <f t="shared" si="51"/>
        <v>12</v>
      </c>
      <c r="AS51" s="645"/>
      <c r="AT51" s="549">
        <v>21</v>
      </c>
      <c r="AU51" s="416">
        <v>1252.5000000000009</v>
      </c>
      <c r="AV51" s="416">
        <v>59.642857142857189</v>
      </c>
      <c r="AW51" s="549">
        <f t="shared" si="53"/>
        <v>12</v>
      </c>
      <c r="AX51" s="645"/>
      <c r="AZ51" s="398" t="e">
        <f t="shared" si="55"/>
        <v>#N/A</v>
      </c>
      <c r="BA51" s="645"/>
    </row>
    <row r="52" spans="2:53">
      <c r="B52" s="643"/>
      <c r="C52" s="409">
        <v>6</v>
      </c>
      <c r="D52" s="225" t="s">
        <v>353</v>
      </c>
      <c r="E52" s="416">
        <v>19</v>
      </c>
      <c r="F52" s="495">
        <v>1440</v>
      </c>
      <c r="G52" s="496">
        <v>75.8</v>
      </c>
      <c r="H52" s="686"/>
      <c r="I52" s="413">
        <f t="shared" si="38"/>
        <v>19.285714285714285</v>
      </c>
      <c r="J52" s="413">
        <f t="shared" si="39"/>
        <v>1308.1557086157045</v>
      </c>
      <c r="K52" s="199">
        <f t="shared" si="40"/>
        <v>67.842497664752628</v>
      </c>
      <c r="L52" s="617"/>
      <c r="M52" s="480">
        <f>RANK(K52, K$47:$K$61)</f>
        <v>10</v>
      </c>
      <c r="N52" s="635"/>
      <c r="O52" s="635"/>
      <c r="P52" s="549">
        <v>20</v>
      </c>
      <c r="Q52" s="416">
        <v>1351.5789473684213</v>
      </c>
      <c r="R52" s="416">
        <v>67.578947368421069</v>
      </c>
      <c r="S52" s="549">
        <f t="shared" si="41"/>
        <v>10</v>
      </c>
      <c r="T52" s="645"/>
      <c r="U52" s="549">
        <v>20</v>
      </c>
      <c r="V52" s="416">
        <v>1329.1764705882351</v>
      </c>
      <c r="W52" s="416">
        <v>66.45882352941176</v>
      </c>
      <c r="X52" s="549">
        <f t="shared" si="43"/>
        <v>10</v>
      </c>
      <c r="Y52" s="645"/>
      <c r="Z52" s="549">
        <v>19</v>
      </c>
      <c r="AA52" s="416">
        <v>1285.7142857142851</v>
      </c>
      <c r="AB52" s="416">
        <v>67.669172932330795</v>
      </c>
      <c r="AC52" s="549">
        <f t="shared" si="45"/>
        <v>10</v>
      </c>
      <c r="AD52" s="645"/>
      <c r="AE52" s="549">
        <v>19</v>
      </c>
      <c r="AF52" s="416">
        <v>1274.7692307692305</v>
      </c>
      <c r="AG52" s="416">
        <v>67.093117408906863</v>
      </c>
      <c r="AH52" s="549">
        <f t="shared" si="47"/>
        <v>9</v>
      </c>
      <c r="AI52" s="645"/>
      <c r="AJ52" s="549">
        <v>19</v>
      </c>
      <c r="AK52" s="416">
        <v>1304.7457627118656</v>
      </c>
      <c r="AL52" s="416">
        <v>68.670829616413982</v>
      </c>
      <c r="AM52" s="549">
        <f t="shared" si="49"/>
        <v>7</v>
      </c>
      <c r="AN52" s="645"/>
      <c r="AO52" s="549">
        <v>19</v>
      </c>
      <c r="AP52" s="416">
        <v>1306.1052631578948</v>
      </c>
      <c r="AQ52" s="416">
        <v>68.742382271468145</v>
      </c>
      <c r="AR52" s="549">
        <f t="shared" si="51"/>
        <v>10</v>
      </c>
      <c r="AS52" s="645"/>
      <c r="AT52" s="549">
        <v>19</v>
      </c>
      <c r="AU52" s="416">
        <v>1304.9999999999995</v>
      </c>
      <c r="AV52" s="416">
        <v>68.684210526315766</v>
      </c>
      <c r="AW52" s="549">
        <f t="shared" si="53"/>
        <v>9</v>
      </c>
      <c r="AX52" s="645"/>
      <c r="AZ52" s="398" t="e">
        <f t="shared" si="55"/>
        <v>#N/A</v>
      </c>
      <c r="BA52" s="645"/>
    </row>
    <row r="53" spans="2:53">
      <c r="B53" s="643"/>
      <c r="C53" s="409">
        <v>7</v>
      </c>
      <c r="D53" s="225" t="s">
        <v>501</v>
      </c>
      <c r="E53" s="416">
        <v>18</v>
      </c>
      <c r="F53" s="495">
        <v>1385</v>
      </c>
      <c r="G53" s="496">
        <v>76.900000000000006</v>
      </c>
      <c r="H53" s="686"/>
      <c r="I53" s="413">
        <f t="shared" si="38"/>
        <v>18</v>
      </c>
      <c r="J53" s="413">
        <f t="shared" si="39"/>
        <v>1263.4063354746324</v>
      </c>
      <c r="K53" s="199">
        <f t="shared" si="40"/>
        <v>70.189240859701798</v>
      </c>
      <c r="L53" s="617"/>
      <c r="M53" s="480">
        <f>RANK(K53, K$47:$K$61)</f>
        <v>8</v>
      </c>
      <c r="N53" s="635"/>
      <c r="O53" s="635"/>
      <c r="P53" s="549">
        <v>18</v>
      </c>
      <c r="Q53" s="416">
        <v>1276.799999999999</v>
      </c>
      <c r="R53" s="416">
        <v>70.93333333333328</v>
      </c>
      <c r="S53" s="549">
        <f t="shared" si="41"/>
        <v>8</v>
      </c>
      <c r="T53" s="645"/>
      <c r="U53" s="549">
        <v>18</v>
      </c>
      <c r="V53" s="416">
        <v>1271.3924050632904</v>
      </c>
      <c r="W53" s="416">
        <v>70.63291139240502</v>
      </c>
      <c r="X53" s="549">
        <f t="shared" si="43"/>
        <v>8</v>
      </c>
      <c r="Y53" s="645"/>
      <c r="Z53" s="549">
        <v>18</v>
      </c>
      <c r="AA53" s="416">
        <v>1271.9999999999991</v>
      </c>
      <c r="AB53" s="416">
        <v>70.666666666666615</v>
      </c>
      <c r="AC53" s="549">
        <f t="shared" si="45"/>
        <v>8</v>
      </c>
      <c r="AD53" s="645"/>
      <c r="AE53" s="549">
        <v>18</v>
      </c>
      <c r="AF53" s="416">
        <v>1275.9999999999993</v>
      </c>
      <c r="AG53" s="416">
        <v>70.888888888888857</v>
      </c>
      <c r="AH53" s="549">
        <f t="shared" si="47"/>
        <v>6</v>
      </c>
      <c r="AI53" s="645"/>
      <c r="AJ53" s="549">
        <v>18</v>
      </c>
      <c r="AK53" s="416">
        <v>1206.0869565217379</v>
      </c>
      <c r="AL53" s="416">
        <v>67.00483091787433</v>
      </c>
      <c r="AM53" s="549">
        <f t="shared" si="49"/>
        <v>9</v>
      </c>
      <c r="AN53" s="645"/>
      <c r="AO53" s="549">
        <v>18</v>
      </c>
      <c r="AP53" s="416">
        <v>1273.103448275863</v>
      </c>
      <c r="AQ53" s="416">
        <v>70.727969348659059</v>
      </c>
      <c r="AR53" s="549">
        <f t="shared" si="51"/>
        <v>7</v>
      </c>
      <c r="AS53" s="645"/>
      <c r="AT53" s="549">
        <v>18</v>
      </c>
      <c r="AU53" s="416">
        <v>1268.4615384615377</v>
      </c>
      <c r="AV53" s="416">
        <v>70.470085470085422</v>
      </c>
      <c r="AW53" s="549">
        <f t="shared" si="53"/>
        <v>8</v>
      </c>
      <c r="AX53" s="645"/>
      <c r="AZ53" s="398" t="e">
        <f t="shared" si="55"/>
        <v>#N/A</v>
      </c>
      <c r="BA53" s="645"/>
    </row>
    <row r="54" spans="2:53">
      <c r="B54" s="643"/>
      <c r="C54" s="409">
        <v>8</v>
      </c>
      <c r="D54" s="225" t="s">
        <v>503</v>
      </c>
      <c r="E54" s="416">
        <v>18</v>
      </c>
      <c r="F54" s="495">
        <v>1385</v>
      </c>
      <c r="G54" s="496">
        <v>76.900000000000006</v>
      </c>
      <c r="H54" s="686"/>
      <c r="I54" s="413">
        <f t="shared" si="38"/>
        <v>18</v>
      </c>
      <c r="J54" s="413">
        <f t="shared" si="39"/>
        <v>1231.3496451881038</v>
      </c>
      <c r="K54" s="199">
        <f t="shared" si="40"/>
        <v>68.408313621561305</v>
      </c>
      <c r="L54" s="617"/>
      <c r="M54" s="480">
        <f>RANK(K54, K$47:$K$61)</f>
        <v>9</v>
      </c>
      <c r="N54" s="635"/>
      <c r="O54" s="635"/>
      <c r="P54" s="549">
        <v>18</v>
      </c>
      <c r="Q54" s="416">
        <v>1238.1818181818182</v>
      </c>
      <c r="R54" s="416">
        <v>68.787878787878796</v>
      </c>
      <c r="S54" s="549">
        <f t="shared" si="41"/>
        <v>9</v>
      </c>
      <c r="T54" s="645"/>
      <c r="U54" s="549">
        <v>18</v>
      </c>
      <c r="V54" s="416">
        <v>1217.872340425532</v>
      </c>
      <c r="W54" s="416">
        <v>67.659574468085111</v>
      </c>
      <c r="X54" s="549">
        <f t="shared" si="43"/>
        <v>9</v>
      </c>
      <c r="Y54" s="645"/>
      <c r="Z54" s="549">
        <v>18</v>
      </c>
      <c r="AA54" s="416">
        <v>1252.3404255319151</v>
      </c>
      <c r="AB54" s="416">
        <v>69.574468085106389</v>
      </c>
      <c r="AC54" s="549">
        <f t="shared" si="45"/>
        <v>9</v>
      </c>
      <c r="AD54" s="645"/>
      <c r="AE54" s="549">
        <v>18</v>
      </c>
      <c r="AF54" s="416">
        <v>1217.8378378378368</v>
      </c>
      <c r="AG54" s="416">
        <v>67.657657657657595</v>
      </c>
      <c r="AH54" s="549">
        <f t="shared" si="47"/>
        <v>8</v>
      </c>
      <c r="AI54" s="645"/>
      <c r="AJ54" s="549">
        <v>18</v>
      </c>
      <c r="AK54" s="416">
        <v>1211.9999999999986</v>
      </c>
      <c r="AL54" s="416">
        <v>67.333333333333258</v>
      </c>
      <c r="AM54" s="549">
        <f t="shared" si="49"/>
        <v>8</v>
      </c>
      <c r="AN54" s="645"/>
      <c r="AO54" s="549">
        <v>18</v>
      </c>
      <c r="AP54" s="416">
        <v>1246.4150943396232</v>
      </c>
      <c r="AQ54" s="416">
        <v>69.245283018867951</v>
      </c>
      <c r="AR54" s="549">
        <f t="shared" si="51"/>
        <v>9</v>
      </c>
      <c r="AS54" s="645"/>
      <c r="AT54" s="549">
        <v>18</v>
      </c>
      <c r="AU54" s="416">
        <v>1234.8000000000004</v>
      </c>
      <c r="AV54" s="416">
        <v>68.600000000000023</v>
      </c>
      <c r="AW54" s="549">
        <f t="shared" si="53"/>
        <v>10</v>
      </c>
      <c r="AX54" s="645"/>
      <c r="AZ54" s="398" t="e">
        <f t="shared" si="55"/>
        <v>#N/A</v>
      </c>
      <c r="BA54" s="645"/>
    </row>
    <row r="55" spans="2:53">
      <c r="B55" s="643"/>
      <c r="C55" s="409">
        <v>9</v>
      </c>
      <c r="D55" s="225" t="s">
        <v>523</v>
      </c>
      <c r="E55" s="416">
        <v>16</v>
      </c>
      <c r="F55" s="495">
        <v>1440</v>
      </c>
      <c r="G55" s="496">
        <v>90</v>
      </c>
      <c r="H55" s="686"/>
      <c r="I55" s="413">
        <f t="shared" si="38"/>
        <v>16.571428571428573</v>
      </c>
      <c r="J55" s="413">
        <f t="shared" si="39"/>
        <v>1334.6689232399833</v>
      </c>
      <c r="K55" s="199">
        <f t="shared" si="40"/>
        <v>80.616022477855083</v>
      </c>
      <c r="L55" s="617"/>
      <c r="M55" s="480">
        <f>RANK(K55, K$47:$K$61)</f>
        <v>1</v>
      </c>
      <c r="N55" s="635"/>
      <c r="O55" s="635"/>
      <c r="P55" s="549">
        <v>17</v>
      </c>
      <c r="Q55" s="416">
        <v>1329.2307692307691</v>
      </c>
      <c r="R55" s="416">
        <v>78.19004524886877</v>
      </c>
      <c r="S55" s="549">
        <f t="shared" si="41"/>
        <v>3</v>
      </c>
      <c r="T55" s="645"/>
      <c r="U55" s="549">
        <v>17</v>
      </c>
      <c r="V55" s="416">
        <v>1322.9508196721308</v>
      </c>
      <c r="W55" s="416">
        <v>77.820636451301809</v>
      </c>
      <c r="X55" s="549">
        <f t="shared" si="43"/>
        <v>1</v>
      </c>
      <c r="Y55" s="645"/>
      <c r="Z55" s="549">
        <v>16</v>
      </c>
      <c r="AA55" s="416">
        <v>1318.4873949579826</v>
      </c>
      <c r="AB55" s="416">
        <v>82.405462184873912</v>
      </c>
      <c r="AC55" s="549">
        <f t="shared" si="45"/>
        <v>1</v>
      </c>
      <c r="AD55" s="645"/>
      <c r="AE55" s="549">
        <v>16</v>
      </c>
      <c r="AF55" s="416">
        <v>1342.5</v>
      </c>
      <c r="AG55" s="416">
        <v>83.90625</v>
      </c>
      <c r="AH55" s="549">
        <f t="shared" si="47"/>
        <v>1</v>
      </c>
      <c r="AI55" s="645"/>
      <c r="AJ55" s="549">
        <v>17</v>
      </c>
      <c r="AK55" s="416">
        <v>1353.6842105263167</v>
      </c>
      <c r="AL55" s="416">
        <v>79.628482972136283</v>
      </c>
      <c r="AM55" s="549">
        <f t="shared" si="49"/>
        <v>1</v>
      </c>
      <c r="AN55" s="645"/>
      <c r="AO55" s="549">
        <v>17</v>
      </c>
      <c r="AP55" s="416">
        <v>1326.8292682926824</v>
      </c>
      <c r="AQ55" s="416">
        <v>78.048780487804848</v>
      </c>
      <c r="AR55" s="549">
        <f t="shared" si="51"/>
        <v>1</v>
      </c>
      <c r="AS55" s="645"/>
      <c r="AT55" s="549">
        <v>16</v>
      </c>
      <c r="AU55" s="416">
        <v>1349.0000000000005</v>
      </c>
      <c r="AV55" s="416">
        <v>84.312500000000028</v>
      </c>
      <c r="AW55" s="549">
        <f t="shared" si="53"/>
        <v>1</v>
      </c>
      <c r="AX55" s="645"/>
      <c r="AZ55" s="398" t="e">
        <f t="shared" si="55"/>
        <v>#N/A</v>
      </c>
      <c r="BA55" s="645"/>
    </row>
    <row r="56" spans="2:53">
      <c r="B56" s="643"/>
      <c r="C56" s="409">
        <v>10</v>
      </c>
      <c r="D56" s="225" t="s">
        <v>580</v>
      </c>
      <c r="E56" s="416">
        <v>19</v>
      </c>
      <c r="F56" s="495">
        <v>1636</v>
      </c>
      <c r="G56" s="496">
        <v>86.1</v>
      </c>
      <c r="H56" s="686"/>
      <c r="I56" s="413">
        <f t="shared" si="38"/>
        <v>19</v>
      </c>
      <c r="J56" s="413">
        <f t="shared" si="39"/>
        <v>1351.9413309322097</v>
      </c>
      <c r="K56" s="199">
        <f t="shared" si="40"/>
        <v>71.154806891168931</v>
      </c>
      <c r="L56" s="617"/>
      <c r="M56" s="480">
        <f>RANK(K56, K$47:$K$61)</f>
        <v>7</v>
      </c>
      <c r="N56" s="635"/>
      <c r="O56" s="635"/>
      <c r="P56" s="549">
        <v>19</v>
      </c>
      <c r="Q56" s="416">
        <v>1348.9894736842107</v>
      </c>
      <c r="R56" s="416">
        <v>70.999445983379516</v>
      </c>
      <c r="S56" s="549">
        <f t="shared" si="41"/>
        <v>7</v>
      </c>
      <c r="T56" s="645"/>
      <c r="U56" s="549">
        <v>19</v>
      </c>
      <c r="V56" s="416">
        <v>1357.2857142857144</v>
      </c>
      <c r="W56" s="416">
        <v>71.436090225563916</v>
      </c>
      <c r="X56" s="549">
        <f t="shared" si="43"/>
        <v>5</v>
      </c>
      <c r="Y56" s="645"/>
      <c r="Z56" s="549">
        <v>19</v>
      </c>
      <c r="AA56" s="416">
        <v>1350.4485714285718</v>
      </c>
      <c r="AB56" s="416">
        <v>71.076240601503784</v>
      </c>
      <c r="AC56" s="549">
        <f t="shared" si="45"/>
        <v>7</v>
      </c>
      <c r="AD56" s="645"/>
      <c r="AE56" s="549">
        <v>19</v>
      </c>
      <c r="AF56" s="416">
        <v>1328.2127659574471</v>
      </c>
      <c r="AG56" s="416">
        <v>69.90593505039196</v>
      </c>
      <c r="AH56" s="549">
        <f t="shared" si="47"/>
        <v>7</v>
      </c>
      <c r="AI56" s="645"/>
      <c r="AJ56" s="549">
        <v>19</v>
      </c>
      <c r="AK56" s="416">
        <v>1361.5189873417721</v>
      </c>
      <c r="AL56" s="416">
        <v>71.658894070619581</v>
      </c>
      <c r="AM56" s="549">
        <f t="shared" si="49"/>
        <v>5</v>
      </c>
      <c r="AN56" s="645"/>
      <c r="AO56" s="549">
        <v>19</v>
      </c>
      <c r="AP56" s="416">
        <v>1358.0509090909093</v>
      </c>
      <c r="AQ56" s="416">
        <v>71.476363636363644</v>
      </c>
      <c r="AR56" s="549">
        <f t="shared" si="51"/>
        <v>6</v>
      </c>
      <c r="AS56" s="645"/>
      <c r="AT56" s="549">
        <v>19</v>
      </c>
      <c r="AU56" s="416">
        <v>1359.0828947368418</v>
      </c>
      <c r="AV56" s="416">
        <v>71.530678670360089</v>
      </c>
      <c r="AW56" s="549">
        <f t="shared" si="53"/>
        <v>7</v>
      </c>
      <c r="AX56" s="645"/>
      <c r="AZ56" s="398" t="e">
        <f t="shared" si="55"/>
        <v>#N/A</v>
      </c>
      <c r="BA56" s="645"/>
    </row>
    <row r="57" spans="2:53">
      <c r="B57" s="643"/>
      <c r="C57" s="409">
        <v>11</v>
      </c>
      <c r="D57" s="225" t="s">
        <v>612</v>
      </c>
      <c r="E57" s="416">
        <v>19</v>
      </c>
      <c r="F57" s="495">
        <v>1440</v>
      </c>
      <c r="G57" s="496">
        <v>75.8</v>
      </c>
      <c r="H57" s="686"/>
      <c r="I57" s="413">
        <f t="shared" si="38"/>
        <v>18</v>
      </c>
      <c r="J57" s="413">
        <f t="shared" si="39"/>
        <v>1107.7674076495621</v>
      </c>
      <c r="K57" s="199">
        <f t="shared" si="40"/>
        <v>61.542633758309009</v>
      </c>
      <c r="L57" s="617"/>
      <c r="M57" s="480">
        <f>RANK(K57, K$47:$K$61)</f>
        <v>11</v>
      </c>
      <c r="N57" s="635"/>
      <c r="O57" s="635"/>
      <c r="P57" s="549">
        <v>18</v>
      </c>
      <c r="Q57" s="416">
        <v>1091.999999999997</v>
      </c>
      <c r="R57" s="416">
        <v>60.666666666666501</v>
      </c>
      <c r="S57" s="549">
        <f t="shared" si="41"/>
        <v>12</v>
      </c>
      <c r="T57" s="645"/>
      <c r="U57" s="549">
        <v>18</v>
      </c>
      <c r="V57" s="416">
        <v>1103.9999999999968</v>
      </c>
      <c r="W57" s="416">
        <v>61.333333333333158</v>
      </c>
      <c r="X57" s="549">
        <f t="shared" si="43"/>
        <v>12</v>
      </c>
      <c r="Y57" s="645"/>
      <c r="Z57" s="549">
        <v>18</v>
      </c>
      <c r="AA57" s="416">
        <v>1082.6086956521779</v>
      </c>
      <c r="AB57" s="416">
        <v>60.144927536232103</v>
      </c>
      <c r="AC57" s="549">
        <f t="shared" si="45"/>
        <v>11</v>
      </c>
      <c r="AD57" s="645"/>
      <c r="AE57" s="549">
        <v>18</v>
      </c>
      <c r="AF57" s="416">
        <v>1117.5000000000041</v>
      </c>
      <c r="AG57" s="416">
        <v>62.083333333333563</v>
      </c>
      <c r="AH57" s="549">
        <f t="shared" si="47"/>
        <v>11</v>
      </c>
      <c r="AI57" s="645"/>
      <c r="AJ57" s="549">
        <v>18</v>
      </c>
      <c r="AK57" s="416">
        <v>1048.4210526315828</v>
      </c>
      <c r="AL57" s="416">
        <v>58.245614035087932</v>
      </c>
      <c r="AM57" s="549">
        <f t="shared" si="49"/>
        <v>12</v>
      </c>
      <c r="AN57" s="645"/>
      <c r="AO57" s="549">
        <v>18</v>
      </c>
      <c r="AP57" s="416">
        <v>1113.0000000000039</v>
      </c>
      <c r="AQ57" s="416">
        <v>61.833333333333549</v>
      </c>
      <c r="AR57" s="549">
        <f t="shared" si="51"/>
        <v>11</v>
      </c>
      <c r="AS57" s="645"/>
      <c r="AT57" s="549">
        <v>18</v>
      </c>
      <c r="AU57" s="416">
        <v>1196.8421052631722</v>
      </c>
      <c r="AV57" s="416">
        <v>66.491228070176234</v>
      </c>
      <c r="AW57" s="549">
        <f t="shared" si="53"/>
        <v>11</v>
      </c>
      <c r="AX57" s="645"/>
      <c r="AZ57" s="398" t="e">
        <f t="shared" si="55"/>
        <v>#N/A</v>
      </c>
      <c r="BA57" s="645"/>
    </row>
    <row r="58" spans="2:53">
      <c r="B58" s="643"/>
      <c r="C58" s="409">
        <v>12</v>
      </c>
      <c r="D58" s="225" t="s">
        <v>619</v>
      </c>
      <c r="E58" s="416">
        <v>17</v>
      </c>
      <c r="F58" s="495">
        <v>1440</v>
      </c>
      <c r="G58" s="496">
        <v>84.7</v>
      </c>
      <c r="H58" s="686"/>
      <c r="I58" s="413">
        <f t="shared" si="38"/>
        <v>17</v>
      </c>
      <c r="J58" s="413">
        <f t="shared" si="39"/>
        <v>1318.6844174105806</v>
      </c>
      <c r="K58" s="199">
        <f t="shared" si="40"/>
        <v>77.569671612387097</v>
      </c>
      <c r="L58" s="617"/>
      <c r="M58" s="480">
        <f>RANK(K58, K$47:$K$61)</f>
        <v>3</v>
      </c>
      <c r="N58" s="635"/>
      <c r="O58" s="635"/>
      <c r="P58" s="549">
        <v>17</v>
      </c>
      <c r="Q58" s="416">
        <v>1358.6440677966104</v>
      </c>
      <c r="R58" s="416">
        <v>79.92023928215356</v>
      </c>
      <c r="S58" s="549">
        <f t="shared" si="41"/>
        <v>1</v>
      </c>
      <c r="T58" s="645"/>
      <c r="U58" s="549">
        <v>17</v>
      </c>
      <c r="V58" s="416">
        <v>1293.6842105263158</v>
      </c>
      <c r="W58" s="416">
        <v>76.099071207430342</v>
      </c>
      <c r="X58" s="549">
        <f t="shared" si="43"/>
        <v>3</v>
      </c>
      <c r="Y58" s="645"/>
      <c r="Z58" s="549">
        <v>17</v>
      </c>
      <c r="AA58" s="416">
        <v>1319.9999999999998</v>
      </c>
      <c r="AB58" s="416">
        <v>77.647058823529392</v>
      </c>
      <c r="AC58" s="549">
        <f t="shared" si="45"/>
        <v>3</v>
      </c>
      <c r="AD58" s="645"/>
      <c r="AE58" s="549">
        <v>17</v>
      </c>
      <c r="AF58" s="416">
        <v>1297.8571428571424</v>
      </c>
      <c r="AG58" s="416">
        <v>76.344537815126031</v>
      </c>
      <c r="AH58" s="549">
        <f t="shared" si="47"/>
        <v>3</v>
      </c>
      <c r="AI58" s="645"/>
      <c r="AJ58" s="549">
        <v>17</v>
      </c>
      <c r="AK58" s="416">
        <v>1316.0439560439561</v>
      </c>
      <c r="AL58" s="416">
        <v>77.414350355526835</v>
      </c>
      <c r="AM58" s="549">
        <f t="shared" si="49"/>
        <v>3</v>
      </c>
      <c r="AN58" s="645"/>
      <c r="AO58" s="549">
        <v>17</v>
      </c>
      <c r="AP58" s="416">
        <v>1311.8181818181815</v>
      </c>
      <c r="AQ58" s="416">
        <v>77.165775401069496</v>
      </c>
      <c r="AR58" s="549">
        <f t="shared" si="51"/>
        <v>3</v>
      </c>
      <c r="AS58" s="645"/>
      <c r="AT58" s="549">
        <v>17</v>
      </c>
      <c r="AU58" s="416">
        <v>1332.7433628318583</v>
      </c>
      <c r="AV58" s="416">
        <v>78.396668401874024</v>
      </c>
      <c r="AW58" s="549">
        <f t="shared" si="53"/>
        <v>3</v>
      </c>
      <c r="AX58" s="645"/>
      <c r="AZ58" s="398" t="e">
        <f t="shared" si="55"/>
        <v>#N/A</v>
      </c>
      <c r="BA58" s="645"/>
    </row>
    <row r="59" spans="2:53">
      <c r="B59" s="643"/>
      <c r="C59" s="409">
        <v>13</v>
      </c>
      <c r="D59" s="225"/>
      <c r="E59" s="416"/>
      <c r="F59" s="495"/>
      <c r="G59" s="496"/>
      <c r="H59" s="686"/>
      <c r="I59" s="413" t="str">
        <f t="shared" si="38"/>
        <v>-</v>
      </c>
      <c r="J59" s="413" t="str">
        <f t="shared" si="39"/>
        <v>-</v>
      </c>
      <c r="K59" s="199" t="str">
        <f t="shared" si="40"/>
        <v>-</v>
      </c>
      <c r="L59" s="617"/>
      <c r="M59" s="480" t="e">
        <f>RANK(K59, K$47:$K$61)</f>
        <v>#VALUE!</v>
      </c>
      <c r="N59" s="635"/>
      <c r="O59" s="635"/>
      <c r="P59" s="549" t="s">
        <v>615</v>
      </c>
      <c r="Q59" s="416" t="s">
        <v>615</v>
      </c>
      <c r="R59" s="416" t="s">
        <v>615</v>
      </c>
      <c r="S59" s="549" t="e">
        <f t="shared" si="41"/>
        <v>#VALUE!</v>
      </c>
      <c r="T59" s="645"/>
      <c r="U59" s="549" t="s">
        <v>615</v>
      </c>
      <c r="V59" s="416" t="s">
        <v>615</v>
      </c>
      <c r="W59" s="416" t="s">
        <v>615</v>
      </c>
      <c r="X59" s="549" t="e">
        <f t="shared" si="43"/>
        <v>#VALUE!</v>
      </c>
      <c r="Y59" s="645"/>
      <c r="Z59" s="549" t="s">
        <v>615</v>
      </c>
      <c r="AA59" s="416" t="s">
        <v>615</v>
      </c>
      <c r="AB59" s="416" t="s">
        <v>615</v>
      </c>
      <c r="AC59" s="549" t="e">
        <f t="shared" si="45"/>
        <v>#VALUE!</v>
      </c>
      <c r="AD59" s="645"/>
      <c r="AE59" s="549" t="s">
        <v>615</v>
      </c>
      <c r="AF59" s="416" t="s">
        <v>615</v>
      </c>
      <c r="AG59" s="416" t="s">
        <v>615</v>
      </c>
      <c r="AH59" s="549" t="e">
        <f t="shared" si="47"/>
        <v>#VALUE!</v>
      </c>
      <c r="AI59" s="645"/>
      <c r="AJ59" s="549" t="s">
        <v>615</v>
      </c>
      <c r="AK59" s="416" t="s">
        <v>615</v>
      </c>
      <c r="AL59" s="416" t="s">
        <v>615</v>
      </c>
      <c r="AM59" s="549" t="e">
        <f t="shared" si="49"/>
        <v>#VALUE!</v>
      </c>
      <c r="AN59" s="645"/>
      <c r="AO59" s="549" t="s">
        <v>615</v>
      </c>
      <c r="AP59" s="416" t="s">
        <v>615</v>
      </c>
      <c r="AQ59" s="416" t="s">
        <v>615</v>
      </c>
      <c r="AR59" s="549" t="e">
        <f t="shared" si="51"/>
        <v>#VALUE!</v>
      </c>
      <c r="AS59" s="645"/>
      <c r="AT59" s="549" t="s">
        <v>615</v>
      </c>
      <c r="AU59" s="416" t="s">
        <v>615</v>
      </c>
      <c r="AV59" s="416" t="s">
        <v>615</v>
      </c>
      <c r="AW59" s="549" t="e">
        <f t="shared" si="53"/>
        <v>#VALUE!</v>
      </c>
      <c r="AX59" s="645"/>
      <c r="AZ59" s="398" t="e">
        <f t="shared" si="55"/>
        <v>#N/A</v>
      </c>
      <c r="BA59" s="645"/>
    </row>
    <row r="60" spans="2:53">
      <c r="B60" s="643"/>
      <c r="C60" s="409">
        <v>14</v>
      </c>
      <c r="D60" s="225"/>
      <c r="E60" s="416"/>
      <c r="F60" s="495"/>
      <c r="G60" s="496"/>
      <c r="H60" s="686"/>
      <c r="I60" s="413" t="str">
        <f t="shared" si="38"/>
        <v>-</v>
      </c>
      <c r="J60" s="413" t="str">
        <f t="shared" si="39"/>
        <v>-</v>
      </c>
      <c r="K60" s="199" t="str">
        <f t="shared" si="40"/>
        <v>-</v>
      </c>
      <c r="L60" s="617"/>
      <c r="M60" s="480" t="e">
        <f>RANK(K60, K$47:$K$61)</f>
        <v>#VALUE!</v>
      </c>
      <c r="N60" s="635"/>
      <c r="O60" s="635"/>
      <c r="P60" s="549" t="s">
        <v>615</v>
      </c>
      <c r="Q60" s="416" t="s">
        <v>615</v>
      </c>
      <c r="R60" s="416" t="s">
        <v>615</v>
      </c>
      <c r="S60" s="549" t="e">
        <f t="shared" si="41"/>
        <v>#VALUE!</v>
      </c>
      <c r="T60" s="645"/>
      <c r="U60" s="549" t="s">
        <v>615</v>
      </c>
      <c r="V60" s="416" t="s">
        <v>615</v>
      </c>
      <c r="W60" s="416" t="s">
        <v>615</v>
      </c>
      <c r="X60" s="549" t="e">
        <f t="shared" si="43"/>
        <v>#VALUE!</v>
      </c>
      <c r="Y60" s="645"/>
      <c r="Z60" s="549" t="s">
        <v>615</v>
      </c>
      <c r="AA60" s="416" t="s">
        <v>615</v>
      </c>
      <c r="AB60" s="416" t="s">
        <v>615</v>
      </c>
      <c r="AC60" s="549" t="e">
        <f t="shared" si="45"/>
        <v>#VALUE!</v>
      </c>
      <c r="AD60" s="645"/>
      <c r="AE60" s="549" t="s">
        <v>615</v>
      </c>
      <c r="AF60" s="416" t="s">
        <v>615</v>
      </c>
      <c r="AG60" s="416" t="s">
        <v>615</v>
      </c>
      <c r="AH60" s="549" t="e">
        <f t="shared" si="47"/>
        <v>#VALUE!</v>
      </c>
      <c r="AI60" s="645"/>
      <c r="AJ60" s="549" t="s">
        <v>615</v>
      </c>
      <c r="AK60" s="416" t="s">
        <v>615</v>
      </c>
      <c r="AL60" s="416" t="s">
        <v>615</v>
      </c>
      <c r="AM60" s="549" t="e">
        <f t="shared" si="49"/>
        <v>#VALUE!</v>
      </c>
      <c r="AN60" s="645"/>
      <c r="AO60" s="549" t="s">
        <v>615</v>
      </c>
      <c r="AP60" s="416" t="s">
        <v>615</v>
      </c>
      <c r="AQ60" s="416" t="s">
        <v>615</v>
      </c>
      <c r="AR60" s="549" t="e">
        <f t="shared" si="51"/>
        <v>#VALUE!</v>
      </c>
      <c r="AS60" s="645"/>
      <c r="AT60" s="549" t="s">
        <v>615</v>
      </c>
      <c r="AU60" s="416" t="s">
        <v>615</v>
      </c>
      <c r="AV60" s="416" t="s">
        <v>615</v>
      </c>
      <c r="AW60" s="549" t="e">
        <f t="shared" si="53"/>
        <v>#VALUE!</v>
      </c>
      <c r="AX60" s="645"/>
      <c r="AZ60" s="398" t="e">
        <f t="shared" si="55"/>
        <v>#N/A</v>
      </c>
      <c r="BA60" s="645"/>
    </row>
    <row r="61" spans="2:53">
      <c r="B61" s="643"/>
      <c r="C61" s="409">
        <v>15</v>
      </c>
      <c r="D61" s="225"/>
      <c r="E61" s="416"/>
      <c r="F61" s="495"/>
      <c r="G61" s="496"/>
      <c r="H61" s="687"/>
      <c r="I61" s="487" t="str">
        <f t="shared" ref="I61" si="57">IFERROR(AVERAGE(P61,U61,Z61,AE61,AJ61,AO61,AT61),"-")</f>
        <v>-</v>
      </c>
      <c r="J61" s="487" t="str">
        <f t="shared" ref="J61" si="58">IFERROR(AVERAGE(Q61,V61,AA61,AF61,AK61,AP61,AU61),"-")</f>
        <v>-</v>
      </c>
      <c r="K61" s="199" t="str">
        <f t="shared" ref="K61" si="59">IFERROR(AVERAGE(R61,W61,AB61,AG61,AL61,AQ61,AV61),"-")</f>
        <v>-</v>
      </c>
      <c r="L61" s="618"/>
      <c r="M61" s="480" t="e">
        <f>RANK(K61, K$47:$K$61)</f>
        <v>#VALUE!</v>
      </c>
      <c r="N61" s="635"/>
      <c r="O61" s="635"/>
      <c r="P61" s="549" t="s">
        <v>615</v>
      </c>
      <c r="Q61" s="416" t="s">
        <v>615</v>
      </c>
      <c r="R61" s="416" t="s">
        <v>615</v>
      </c>
      <c r="S61" s="549" t="e">
        <f t="shared" si="41"/>
        <v>#VALUE!</v>
      </c>
      <c r="T61" s="646"/>
      <c r="U61" s="549" t="s">
        <v>615</v>
      </c>
      <c r="V61" s="416" t="s">
        <v>615</v>
      </c>
      <c r="W61" s="416" t="s">
        <v>615</v>
      </c>
      <c r="X61" s="549" t="e">
        <f t="shared" si="43"/>
        <v>#VALUE!</v>
      </c>
      <c r="Y61" s="646"/>
      <c r="Z61" s="549" t="s">
        <v>615</v>
      </c>
      <c r="AA61" s="416" t="s">
        <v>615</v>
      </c>
      <c r="AB61" s="416" t="s">
        <v>615</v>
      </c>
      <c r="AC61" s="549" t="e">
        <f t="shared" si="45"/>
        <v>#VALUE!</v>
      </c>
      <c r="AD61" s="646"/>
      <c r="AE61" s="549" t="s">
        <v>615</v>
      </c>
      <c r="AF61" s="416" t="s">
        <v>615</v>
      </c>
      <c r="AG61" s="416" t="s">
        <v>615</v>
      </c>
      <c r="AH61" s="549" t="e">
        <f t="shared" si="47"/>
        <v>#VALUE!</v>
      </c>
      <c r="AI61" s="646"/>
      <c r="AJ61" s="549" t="s">
        <v>615</v>
      </c>
      <c r="AK61" s="416" t="s">
        <v>615</v>
      </c>
      <c r="AL61" s="416" t="s">
        <v>615</v>
      </c>
      <c r="AM61" s="549" t="e">
        <f t="shared" si="49"/>
        <v>#VALUE!</v>
      </c>
      <c r="AN61" s="646"/>
      <c r="AO61" s="549" t="s">
        <v>615</v>
      </c>
      <c r="AP61" s="416" t="s">
        <v>615</v>
      </c>
      <c r="AQ61" s="416" t="s">
        <v>615</v>
      </c>
      <c r="AR61" s="549" t="e">
        <f t="shared" si="51"/>
        <v>#VALUE!</v>
      </c>
      <c r="AS61" s="646"/>
      <c r="AT61" s="549" t="s">
        <v>615</v>
      </c>
      <c r="AU61" s="416" t="s">
        <v>615</v>
      </c>
      <c r="AV61" s="416" t="s">
        <v>615</v>
      </c>
      <c r="AW61" s="549" t="e">
        <f t="shared" si="53"/>
        <v>#VALUE!</v>
      </c>
      <c r="AX61" s="646"/>
      <c r="AZ61" s="398" t="e">
        <f t="shared" si="55"/>
        <v>#N/A</v>
      </c>
      <c r="BA61" s="646"/>
    </row>
    <row r="62" spans="2:53" ht="15.75">
      <c r="B62" s="647" t="s">
        <v>163</v>
      </c>
      <c r="C62" s="648"/>
      <c r="D62" s="648"/>
      <c r="E62" s="648"/>
      <c r="F62" s="648"/>
      <c r="G62" s="648"/>
      <c r="H62" s="649"/>
      <c r="I62" s="207"/>
      <c r="J62" s="207"/>
      <c r="K62" s="207"/>
      <c r="L62" s="207"/>
      <c r="M62" s="206"/>
      <c r="N62" s="636" t="s">
        <v>156</v>
      </c>
      <c r="O62" s="636" t="s">
        <v>105</v>
      </c>
      <c r="P62" s="642">
        <f>P42+7</f>
        <v>46189</v>
      </c>
      <c r="Q62" s="643"/>
      <c r="R62" s="643"/>
      <c r="S62" s="643"/>
      <c r="T62" s="643"/>
      <c r="U62" s="639">
        <f>P62+1</f>
        <v>46190</v>
      </c>
      <c r="V62" s="640"/>
      <c r="W62" s="640"/>
      <c r="X62" s="640"/>
      <c r="Y62" s="641"/>
      <c r="Z62" s="639">
        <f>U62+1</f>
        <v>46191</v>
      </c>
      <c r="AA62" s="640"/>
      <c r="AB62" s="640"/>
      <c r="AC62" s="640"/>
      <c r="AD62" s="641"/>
      <c r="AE62" s="639">
        <f>Z62+1</f>
        <v>46192</v>
      </c>
      <c r="AF62" s="640"/>
      <c r="AG62" s="640"/>
      <c r="AH62" s="640"/>
      <c r="AI62" s="641"/>
      <c r="AJ62" s="639">
        <f>AE62+1</f>
        <v>46193</v>
      </c>
      <c r="AK62" s="640"/>
      <c r="AL62" s="640"/>
      <c r="AM62" s="640"/>
      <c r="AN62" s="641"/>
      <c r="AO62" s="639">
        <f>AJ62+1</f>
        <v>46194</v>
      </c>
      <c r="AP62" s="640"/>
      <c r="AQ62" s="640"/>
      <c r="AR62" s="640"/>
      <c r="AS62" s="641"/>
      <c r="AT62" s="639">
        <f>AO62+1</f>
        <v>46195</v>
      </c>
      <c r="AU62" s="640"/>
      <c r="AV62" s="640"/>
      <c r="AW62" s="640"/>
      <c r="AX62" s="641"/>
    </row>
    <row r="63" spans="2:53" ht="15.75">
      <c r="B63" s="650"/>
      <c r="C63" s="650"/>
      <c r="D63" s="650"/>
      <c r="E63" s="650"/>
      <c r="F63" s="650"/>
      <c r="G63" s="650"/>
      <c r="H63" s="650"/>
      <c r="I63" s="204"/>
      <c r="J63" s="204"/>
      <c r="K63" s="204"/>
      <c r="L63" s="204"/>
      <c r="M63" s="205"/>
      <c r="N63" s="638"/>
      <c r="O63" s="638"/>
      <c r="P63" s="642" t="s">
        <v>318</v>
      </c>
      <c r="Q63" s="643"/>
      <c r="R63" s="643"/>
      <c r="S63" s="643"/>
      <c r="T63" s="643"/>
      <c r="U63" s="642" t="s">
        <v>319</v>
      </c>
      <c r="V63" s="643"/>
      <c r="W63" s="643"/>
      <c r="X63" s="643"/>
      <c r="Y63" s="643"/>
      <c r="Z63" s="642" t="s">
        <v>320</v>
      </c>
      <c r="AA63" s="643"/>
      <c r="AB63" s="643"/>
      <c r="AC63" s="643"/>
      <c r="AD63" s="643"/>
      <c r="AE63" s="642" t="s">
        <v>321</v>
      </c>
      <c r="AF63" s="643"/>
      <c r="AG63" s="643"/>
      <c r="AH63" s="643"/>
      <c r="AI63" s="643"/>
      <c r="AJ63" s="642" t="s">
        <v>322</v>
      </c>
      <c r="AK63" s="643"/>
      <c r="AL63" s="643"/>
      <c r="AM63" s="643"/>
      <c r="AN63" s="643"/>
      <c r="AO63" s="642" t="s">
        <v>323</v>
      </c>
      <c r="AP63" s="643"/>
      <c r="AQ63" s="643"/>
      <c r="AR63" s="643"/>
      <c r="AS63" s="643"/>
      <c r="AT63" s="642" t="s">
        <v>324</v>
      </c>
      <c r="AU63" s="643"/>
      <c r="AV63" s="643"/>
      <c r="AW63" s="643"/>
      <c r="AX63" s="643"/>
    </row>
    <row r="64" spans="2:53">
      <c r="B64" s="635" t="s">
        <v>374</v>
      </c>
      <c r="C64" s="635" t="s">
        <v>384</v>
      </c>
      <c r="D64" s="635"/>
      <c r="E64" s="635" t="s">
        <v>375</v>
      </c>
      <c r="F64" s="635"/>
      <c r="G64" s="635"/>
      <c r="H64" s="651" t="s">
        <v>371</v>
      </c>
      <c r="I64" s="619" t="s">
        <v>376</v>
      </c>
      <c r="J64" s="619"/>
      <c r="K64" s="619"/>
      <c r="L64" s="620" t="s">
        <v>371</v>
      </c>
      <c r="M64" s="626" t="s">
        <v>372</v>
      </c>
      <c r="N64" s="635"/>
      <c r="O64" s="635" t="s">
        <v>377</v>
      </c>
      <c r="P64" s="632" t="s">
        <v>373</v>
      </c>
      <c r="Q64" s="633"/>
      <c r="R64" s="633"/>
      <c r="S64" s="634"/>
      <c r="T64" s="635" t="s">
        <v>371</v>
      </c>
      <c r="U64" s="632" t="s">
        <v>373</v>
      </c>
      <c r="V64" s="633"/>
      <c r="W64" s="633"/>
      <c r="X64" s="634"/>
      <c r="Y64" s="635" t="s">
        <v>371</v>
      </c>
      <c r="Z64" s="632" t="s">
        <v>373</v>
      </c>
      <c r="AA64" s="633"/>
      <c r="AB64" s="633"/>
      <c r="AC64" s="634"/>
      <c r="AD64" s="635" t="s">
        <v>371</v>
      </c>
      <c r="AE64" s="632" t="s">
        <v>373</v>
      </c>
      <c r="AF64" s="633"/>
      <c r="AG64" s="633"/>
      <c r="AH64" s="634"/>
      <c r="AI64" s="635" t="s">
        <v>371</v>
      </c>
      <c r="AJ64" s="632" t="s">
        <v>373</v>
      </c>
      <c r="AK64" s="633"/>
      <c r="AL64" s="633"/>
      <c r="AM64" s="634"/>
      <c r="AN64" s="635" t="s">
        <v>371</v>
      </c>
      <c r="AO64" s="632" t="s">
        <v>373</v>
      </c>
      <c r="AP64" s="633"/>
      <c r="AQ64" s="633"/>
      <c r="AR64" s="634"/>
      <c r="AS64" s="635" t="s">
        <v>371</v>
      </c>
      <c r="AT64" s="632" t="s">
        <v>373</v>
      </c>
      <c r="AU64" s="633"/>
      <c r="AV64" s="633"/>
      <c r="AW64" s="634"/>
      <c r="AX64" s="635" t="s">
        <v>371</v>
      </c>
      <c r="BA64" s="635" t="s">
        <v>371</v>
      </c>
    </row>
    <row r="65" spans="2:53">
      <c r="B65" s="635"/>
      <c r="C65" s="635"/>
      <c r="D65" s="635"/>
      <c r="E65" s="635" t="s">
        <v>378</v>
      </c>
      <c r="F65" s="635"/>
      <c r="G65" s="635"/>
      <c r="H65" s="652"/>
      <c r="I65" s="619" t="s">
        <v>378</v>
      </c>
      <c r="J65" s="619"/>
      <c r="K65" s="619"/>
      <c r="L65" s="621"/>
      <c r="M65" s="627"/>
      <c r="N65" s="635"/>
      <c r="O65" s="635"/>
      <c r="P65" s="632" t="s">
        <v>379</v>
      </c>
      <c r="Q65" s="633"/>
      <c r="R65" s="633"/>
      <c r="S65" s="634"/>
      <c r="T65" s="635"/>
      <c r="U65" s="632" t="s">
        <v>379</v>
      </c>
      <c r="V65" s="633"/>
      <c r="W65" s="633"/>
      <c r="X65" s="634"/>
      <c r="Y65" s="635"/>
      <c r="Z65" s="632" t="s">
        <v>379</v>
      </c>
      <c r="AA65" s="633"/>
      <c r="AB65" s="633"/>
      <c r="AC65" s="634"/>
      <c r="AD65" s="635"/>
      <c r="AE65" s="632" t="s">
        <v>379</v>
      </c>
      <c r="AF65" s="633"/>
      <c r="AG65" s="633"/>
      <c r="AH65" s="634"/>
      <c r="AI65" s="635"/>
      <c r="AJ65" s="632" t="s">
        <v>379</v>
      </c>
      <c r="AK65" s="633"/>
      <c r="AL65" s="633"/>
      <c r="AM65" s="634"/>
      <c r="AN65" s="635"/>
      <c r="AO65" s="632" t="s">
        <v>379</v>
      </c>
      <c r="AP65" s="633"/>
      <c r="AQ65" s="633"/>
      <c r="AR65" s="634"/>
      <c r="AS65" s="635"/>
      <c r="AT65" s="632" t="s">
        <v>379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408" t="s">
        <v>380</v>
      </c>
      <c r="F66" s="408" t="s">
        <v>381</v>
      </c>
      <c r="G66" s="408" t="s">
        <v>382</v>
      </c>
      <c r="H66" s="653"/>
      <c r="I66" s="407" t="s">
        <v>380</v>
      </c>
      <c r="J66" s="407" t="s">
        <v>381</v>
      </c>
      <c r="K66" s="407" t="s">
        <v>382</v>
      </c>
      <c r="L66" s="622"/>
      <c r="M66" s="628"/>
      <c r="N66" s="635"/>
      <c r="O66" s="635"/>
      <c r="P66" s="408" t="s">
        <v>380</v>
      </c>
      <c r="Q66" s="408" t="s">
        <v>381</v>
      </c>
      <c r="R66" s="408" t="s">
        <v>382</v>
      </c>
      <c r="S66" s="408" t="s">
        <v>372</v>
      </c>
      <c r="T66" s="635"/>
      <c r="U66" s="408" t="s">
        <v>380</v>
      </c>
      <c r="V66" s="408" t="s">
        <v>381</v>
      </c>
      <c r="W66" s="408" t="s">
        <v>382</v>
      </c>
      <c r="X66" s="408" t="s">
        <v>372</v>
      </c>
      <c r="Y66" s="635"/>
      <c r="Z66" s="408" t="s">
        <v>380</v>
      </c>
      <c r="AA66" s="408" t="s">
        <v>381</v>
      </c>
      <c r="AB66" s="408" t="s">
        <v>382</v>
      </c>
      <c r="AC66" s="408" t="s">
        <v>372</v>
      </c>
      <c r="AD66" s="635"/>
      <c r="AE66" s="408" t="s">
        <v>380</v>
      </c>
      <c r="AF66" s="408" t="s">
        <v>381</v>
      </c>
      <c r="AG66" s="408" t="s">
        <v>382</v>
      </c>
      <c r="AH66" s="408" t="s">
        <v>372</v>
      </c>
      <c r="AI66" s="635"/>
      <c r="AJ66" s="408" t="s">
        <v>380</v>
      </c>
      <c r="AK66" s="408" t="s">
        <v>381</v>
      </c>
      <c r="AL66" s="408" t="s">
        <v>382</v>
      </c>
      <c r="AM66" s="408" t="s">
        <v>372</v>
      </c>
      <c r="AN66" s="635"/>
      <c r="AO66" s="408" t="s">
        <v>380</v>
      </c>
      <c r="AP66" s="408" t="s">
        <v>381</v>
      </c>
      <c r="AQ66" s="408" t="s">
        <v>382</v>
      </c>
      <c r="AR66" s="408" t="s">
        <v>372</v>
      </c>
      <c r="AS66" s="635"/>
      <c r="AT66" s="408" t="s">
        <v>380</v>
      </c>
      <c r="AU66" s="408" t="s">
        <v>381</v>
      </c>
      <c r="AV66" s="408" t="s">
        <v>382</v>
      </c>
      <c r="AW66" s="408" t="s">
        <v>372</v>
      </c>
      <c r="AX66" s="635"/>
      <c r="AZ66" s="397" t="s">
        <v>372</v>
      </c>
      <c r="BA66" s="635"/>
    </row>
    <row r="67" spans="2:53">
      <c r="B67" s="635" t="s">
        <v>397</v>
      </c>
      <c r="C67" s="409">
        <v>1</v>
      </c>
      <c r="D67" s="225"/>
      <c r="E67" s="416"/>
      <c r="F67" s="495"/>
      <c r="G67" s="496"/>
      <c r="H67" s="685" t="e">
        <f>AVERAGE(G67:G81)</f>
        <v>#DIV/0!</v>
      </c>
      <c r="I67" s="413" t="str">
        <f t="shared" ref="I67:I79" si="60">IFERROR(AVERAGE(P67,U67,Z67,AE67,AJ67,AO67,AT67),"-")</f>
        <v>-</v>
      </c>
      <c r="J67" s="413" t="str">
        <f t="shared" ref="J67:J79" si="61">IFERROR(AVERAGE(Q67,V67,AA67,AF67,AK67,AP67,AU67),"-")</f>
        <v>-</v>
      </c>
      <c r="K67" s="199" t="str">
        <f t="shared" ref="K67:K79" si="62">IFERROR(AVERAGE(R67,W67,AB67,AG67,AL67,AQ67,AV67),"-")</f>
        <v>-</v>
      </c>
      <c r="L67" s="616" t="str">
        <f>IFERROR(AVERAGE(K67:K81),"-")</f>
        <v>-</v>
      </c>
      <c r="M67" s="415" t="e">
        <f>RANK(K67, K$67:$K$81)</f>
        <v>#VALUE!</v>
      </c>
      <c r="N67" s="635"/>
      <c r="O67" s="635"/>
      <c r="P67" s="482"/>
      <c r="Q67" s="416"/>
      <c r="R67" s="416"/>
      <c r="S67" s="482"/>
      <c r="T67" s="644"/>
      <c r="U67" s="482"/>
      <c r="V67" s="416"/>
      <c r="W67" s="416"/>
      <c r="X67" s="482"/>
      <c r="Y67" s="644"/>
      <c r="Z67" s="482"/>
      <c r="AA67" s="416"/>
      <c r="AB67" s="416"/>
      <c r="AC67" s="482"/>
      <c r="AD67" s="644"/>
      <c r="AE67" s="482"/>
      <c r="AF67" s="416"/>
      <c r="AG67" s="416"/>
      <c r="AH67" s="482"/>
      <c r="AI67" s="644"/>
      <c r="AJ67" s="482"/>
      <c r="AK67" s="416"/>
      <c r="AL67" s="416"/>
      <c r="AM67" s="482"/>
      <c r="AN67" s="644"/>
      <c r="AO67" s="482"/>
      <c r="AP67" s="416"/>
      <c r="AQ67" s="416"/>
      <c r="AR67" s="482"/>
      <c r="AS67" s="644"/>
      <c r="AT67" s="482"/>
      <c r="AU67" s="416"/>
      <c r="AV67" s="416"/>
      <c r="AW67" s="482"/>
      <c r="AX67" s="644"/>
      <c r="AZ67" s="398" t="e">
        <f t="shared" ref="AZ67:AZ81" si="63">RANK(AY67, AY$67:AY$81)</f>
        <v>#N/A</v>
      </c>
      <c r="BA67" s="644" t="e">
        <f t="shared" ref="BA67" si="64">AVERAGE(AY67:AY81)</f>
        <v>#DIV/0!</v>
      </c>
    </row>
    <row r="68" spans="2:53">
      <c r="B68" s="643"/>
      <c r="C68" s="409">
        <v>2</v>
      </c>
      <c r="D68" s="225"/>
      <c r="E68" s="416"/>
      <c r="F68" s="495"/>
      <c r="G68" s="496"/>
      <c r="H68" s="686"/>
      <c r="I68" s="413" t="str">
        <f t="shared" si="60"/>
        <v>-</v>
      </c>
      <c r="J68" s="413" t="str">
        <f t="shared" si="61"/>
        <v>-</v>
      </c>
      <c r="K68" s="199" t="str">
        <f t="shared" si="62"/>
        <v>-</v>
      </c>
      <c r="L68" s="617"/>
      <c r="M68" s="488" t="e">
        <f>RANK(K68, K$67:$K$81)</f>
        <v>#VALUE!</v>
      </c>
      <c r="N68" s="635"/>
      <c r="O68" s="635"/>
      <c r="P68" s="482"/>
      <c r="Q68" s="416"/>
      <c r="R68" s="416"/>
      <c r="S68" s="482"/>
      <c r="T68" s="645"/>
      <c r="U68" s="482"/>
      <c r="V68" s="416"/>
      <c r="W68" s="416"/>
      <c r="X68" s="482"/>
      <c r="Y68" s="645"/>
      <c r="Z68" s="482"/>
      <c r="AA68" s="416"/>
      <c r="AB68" s="416"/>
      <c r="AC68" s="482"/>
      <c r="AD68" s="645"/>
      <c r="AE68" s="482"/>
      <c r="AF68" s="416"/>
      <c r="AG68" s="416"/>
      <c r="AH68" s="482"/>
      <c r="AI68" s="645"/>
      <c r="AJ68" s="482"/>
      <c r="AK68" s="416"/>
      <c r="AL68" s="416"/>
      <c r="AM68" s="482"/>
      <c r="AN68" s="645"/>
      <c r="AO68" s="482"/>
      <c r="AP68" s="416"/>
      <c r="AQ68" s="416"/>
      <c r="AR68" s="482"/>
      <c r="AS68" s="645"/>
      <c r="AT68" s="482"/>
      <c r="AU68" s="416"/>
      <c r="AV68" s="416"/>
      <c r="AW68" s="482"/>
      <c r="AX68" s="645"/>
      <c r="AZ68" s="398" t="e">
        <f t="shared" si="63"/>
        <v>#N/A</v>
      </c>
      <c r="BA68" s="645"/>
    </row>
    <row r="69" spans="2:53">
      <c r="B69" s="643"/>
      <c r="C69" s="409">
        <v>3</v>
      </c>
      <c r="D69" s="225"/>
      <c r="E69" s="416"/>
      <c r="F69" s="495"/>
      <c r="G69" s="496"/>
      <c r="H69" s="686"/>
      <c r="I69" s="413" t="str">
        <f t="shared" si="60"/>
        <v>-</v>
      </c>
      <c r="J69" s="413" t="str">
        <f t="shared" si="61"/>
        <v>-</v>
      </c>
      <c r="K69" s="199" t="str">
        <f t="shared" si="62"/>
        <v>-</v>
      </c>
      <c r="L69" s="617"/>
      <c r="M69" s="488" t="e">
        <f>RANK(K69, K$67:$K$81)</f>
        <v>#VALUE!</v>
      </c>
      <c r="N69" s="635"/>
      <c r="O69" s="635"/>
      <c r="P69" s="482"/>
      <c r="Q69" s="416"/>
      <c r="R69" s="416"/>
      <c r="S69" s="482"/>
      <c r="T69" s="645"/>
      <c r="U69" s="482"/>
      <c r="V69" s="416"/>
      <c r="W69" s="416"/>
      <c r="X69" s="482"/>
      <c r="Y69" s="645"/>
      <c r="Z69" s="482"/>
      <c r="AA69" s="416"/>
      <c r="AB69" s="416"/>
      <c r="AC69" s="482"/>
      <c r="AD69" s="645"/>
      <c r="AE69" s="482"/>
      <c r="AF69" s="416"/>
      <c r="AG69" s="416"/>
      <c r="AH69" s="482"/>
      <c r="AI69" s="645"/>
      <c r="AJ69" s="482"/>
      <c r="AK69" s="416"/>
      <c r="AL69" s="416"/>
      <c r="AM69" s="482"/>
      <c r="AN69" s="645"/>
      <c r="AO69" s="482"/>
      <c r="AP69" s="416"/>
      <c r="AQ69" s="416"/>
      <c r="AR69" s="482"/>
      <c r="AS69" s="645"/>
      <c r="AT69" s="482"/>
      <c r="AU69" s="416"/>
      <c r="AV69" s="416"/>
      <c r="AW69" s="482"/>
      <c r="AX69" s="645"/>
      <c r="AZ69" s="398" t="e">
        <f t="shared" si="63"/>
        <v>#N/A</v>
      </c>
      <c r="BA69" s="645"/>
    </row>
    <row r="70" spans="2:53">
      <c r="B70" s="643"/>
      <c r="C70" s="409">
        <v>4</v>
      </c>
      <c r="D70" s="225"/>
      <c r="E70" s="416"/>
      <c r="F70" s="495"/>
      <c r="G70" s="496"/>
      <c r="H70" s="686"/>
      <c r="I70" s="413" t="str">
        <f t="shared" si="60"/>
        <v>-</v>
      </c>
      <c r="J70" s="413" t="str">
        <f t="shared" si="61"/>
        <v>-</v>
      </c>
      <c r="K70" s="199" t="str">
        <f t="shared" si="62"/>
        <v>-</v>
      </c>
      <c r="L70" s="617"/>
      <c r="M70" s="488" t="e">
        <f>RANK(K70, K$67:$K$81)</f>
        <v>#VALUE!</v>
      </c>
      <c r="N70" s="635"/>
      <c r="O70" s="635"/>
      <c r="P70" s="482"/>
      <c r="Q70" s="416"/>
      <c r="R70" s="416"/>
      <c r="S70" s="482"/>
      <c r="T70" s="645"/>
      <c r="U70" s="482"/>
      <c r="V70" s="416"/>
      <c r="W70" s="416"/>
      <c r="X70" s="482"/>
      <c r="Y70" s="645"/>
      <c r="Z70" s="482"/>
      <c r="AA70" s="416"/>
      <c r="AB70" s="416"/>
      <c r="AC70" s="482"/>
      <c r="AD70" s="645"/>
      <c r="AE70" s="482"/>
      <c r="AF70" s="416"/>
      <c r="AG70" s="416"/>
      <c r="AH70" s="482"/>
      <c r="AI70" s="645"/>
      <c r="AJ70" s="482"/>
      <c r="AK70" s="416"/>
      <c r="AL70" s="416"/>
      <c r="AM70" s="482"/>
      <c r="AN70" s="645"/>
      <c r="AO70" s="482"/>
      <c r="AP70" s="416"/>
      <c r="AQ70" s="416"/>
      <c r="AR70" s="482"/>
      <c r="AS70" s="645"/>
      <c r="AT70" s="482"/>
      <c r="AU70" s="416"/>
      <c r="AV70" s="416"/>
      <c r="AW70" s="482"/>
      <c r="AX70" s="645"/>
      <c r="AZ70" s="398" t="e">
        <f t="shared" si="63"/>
        <v>#N/A</v>
      </c>
      <c r="BA70" s="645"/>
    </row>
    <row r="71" spans="2:53">
      <c r="B71" s="643"/>
      <c r="C71" s="409">
        <v>5</v>
      </c>
      <c r="D71" s="225"/>
      <c r="E71" s="416"/>
      <c r="F71" s="495"/>
      <c r="G71" s="496"/>
      <c r="H71" s="686"/>
      <c r="I71" s="413" t="str">
        <f t="shared" si="60"/>
        <v>-</v>
      </c>
      <c r="J71" s="413" t="str">
        <f t="shared" si="61"/>
        <v>-</v>
      </c>
      <c r="K71" s="199" t="str">
        <f t="shared" si="62"/>
        <v>-</v>
      </c>
      <c r="L71" s="617"/>
      <c r="M71" s="488" t="e">
        <f>RANK(K71, K$67:$K$81)</f>
        <v>#VALUE!</v>
      </c>
      <c r="N71" s="635"/>
      <c r="O71" s="635"/>
      <c r="P71" s="482"/>
      <c r="Q71" s="416"/>
      <c r="R71" s="416"/>
      <c r="S71" s="482"/>
      <c r="T71" s="645"/>
      <c r="U71" s="482"/>
      <c r="V71" s="416"/>
      <c r="W71" s="416"/>
      <c r="X71" s="482"/>
      <c r="Y71" s="645"/>
      <c r="Z71" s="482"/>
      <c r="AA71" s="416"/>
      <c r="AB71" s="416"/>
      <c r="AC71" s="482"/>
      <c r="AD71" s="645"/>
      <c r="AE71" s="482"/>
      <c r="AF71" s="416"/>
      <c r="AG71" s="416"/>
      <c r="AH71" s="482"/>
      <c r="AI71" s="645"/>
      <c r="AJ71" s="482"/>
      <c r="AK71" s="416"/>
      <c r="AL71" s="416"/>
      <c r="AM71" s="482"/>
      <c r="AN71" s="645"/>
      <c r="AO71" s="482"/>
      <c r="AP71" s="416"/>
      <c r="AQ71" s="416"/>
      <c r="AR71" s="482"/>
      <c r="AS71" s="645"/>
      <c r="AT71" s="482"/>
      <c r="AU71" s="416"/>
      <c r="AV71" s="416"/>
      <c r="AW71" s="482"/>
      <c r="AX71" s="645"/>
      <c r="AZ71" s="398" t="e">
        <f t="shared" si="63"/>
        <v>#N/A</v>
      </c>
      <c r="BA71" s="645"/>
    </row>
    <row r="72" spans="2:53">
      <c r="B72" s="643"/>
      <c r="C72" s="409">
        <v>6</v>
      </c>
      <c r="D72" s="225"/>
      <c r="E72" s="416"/>
      <c r="F72" s="495"/>
      <c r="G72" s="496"/>
      <c r="H72" s="686"/>
      <c r="I72" s="413" t="str">
        <f t="shared" si="60"/>
        <v>-</v>
      </c>
      <c r="J72" s="413" t="str">
        <f t="shared" si="61"/>
        <v>-</v>
      </c>
      <c r="K72" s="199" t="str">
        <f t="shared" si="62"/>
        <v>-</v>
      </c>
      <c r="L72" s="617"/>
      <c r="M72" s="488" t="e">
        <f>RANK(K72, K$67:$K$81)</f>
        <v>#VALUE!</v>
      </c>
      <c r="N72" s="635"/>
      <c r="O72" s="635"/>
      <c r="P72" s="482"/>
      <c r="Q72" s="416"/>
      <c r="R72" s="416"/>
      <c r="S72" s="482"/>
      <c r="T72" s="645"/>
      <c r="U72" s="482"/>
      <c r="V72" s="416"/>
      <c r="W72" s="416"/>
      <c r="X72" s="482"/>
      <c r="Y72" s="645"/>
      <c r="Z72" s="482"/>
      <c r="AA72" s="416"/>
      <c r="AB72" s="416"/>
      <c r="AC72" s="482"/>
      <c r="AD72" s="645"/>
      <c r="AE72" s="482"/>
      <c r="AF72" s="416"/>
      <c r="AG72" s="416"/>
      <c r="AH72" s="482"/>
      <c r="AI72" s="645"/>
      <c r="AJ72" s="482"/>
      <c r="AK72" s="416"/>
      <c r="AL72" s="416"/>
      <c r="AM72" s="482"/>
      <c r="AN72" s="645"/>
      <c r="AO72" s="482"/>
      <c r="AP72" s="416"/>
      <c r="AQ72" s="416"/>
      <c r="AR72" s="482"/>
      <c r="AS72" s="645"/>
      <c r="AT72" s="482"/>
      <c r="AU72" s="416"/>
      <c r="AV72" s="416"/>
      <c r="AW72" s="482"/>
      <c r="AX72" s="645"/>
      <c r="AZ72" s="398" t="e">
        <f t="shared" si="63"/>
        <v>#N/A</v>
      </c>
      <c r="BA72" s="645"/>
    </row>
    <row r="73" spans="2:53">
      <c r="B73" s="643"/>
      <c r="C73" s="409">
        <v>7</v>
      </c>
      <c r="D73" s="225"/>
      <c r="E73" s="416"/>
      <c r="F73" s="495"/>
      <c r="G73" s="496"/>
      <c r="H73" s="686"/>
      <c r="I73" s="413" t="str">
        <f t="shared" si="60"/>
        <v>-</v>
      </c>
      <c r="J73" s="413" t="str">
        <f t="shared" si="61"/>
        <v>-</v>
      </c>
      <c r="K73" s="199" t="str">
        <f t="shared" si="62"/>
        <v>-</v>
      </c>
      <c r="L73" s="617"/>
      <c r="M73" s="488" t="e">
        <f>RANK(K73, K$67:$K$81)</f>
        <v>#VALUE!</v>
      </c>
      <c r="N73" s="635"/>
      <c r="O73" s="635"/>
      <c r="P73" s="482"/>
      <c r="Q73" s="416"/>
      <c r="R73" s="416"/>
      <c r="S73" s="482"/>
      <c r="T73" s="645"/>
      <c r="U73" s="482"/>
      <c r="V73" s="416"/>
      <c r="W73" s="416"/>
      <c r="X73" s="482"/>
      <c r="Y73" s="645"/>
      <c r="Z73" s="482"/>
      <c r="AA73" s="416"/>
      <c r="AB73" s="416"/>
      <c r="AC73" s="482"/>
      <c r="AD73" s="645"/>
      <c r="AE73" s="482"/>
      <c r="AF73" s="416"/>
      <c r="AG73" s="416"/>
      <c r="AH73" s="482"/>
      <c r="AI73" s="645"/>
      <c r="AJ73" s="482"/>
      <c r="AK73" s="416"/>
      <c r="AL73" s="416"/>
      <c r="AM73" s="482"/>
      <c r="AN73" s="645"/>
      <c r="AO73" s="482"/>
      <c r="AP73" s="416"/>
      <c r="AQ73" s="416"/>
      <c r="AR73" s="482"/>
      <c r="AS73" s="645"/>
      <c r="AT73" s="482"/>
      <c r="AU73" s="416"/>
      <c r="AV73" s="416"/>
      <c r="AW73" s="482"/>
      <c r="AX73" s="645"/>
      <c r="AZ73" s="398" t="e">
        <f t="shared" si="63"/>
        <v>#N/A</v>
      </c>
      <c r="BA73" s="645"/>
    </row>
    <row r="74" spans="2:53">
      <c r="B74" s="643"/>
      <c r="C74" s="409">
        <v>8</v>
      </c>
      <c r="D74" s="225"/>
      <c r="E74" s="416"/>
      <c r="F74" s="495"/>
      <c r="G74" s="496"/>
      <c r="H74" s="686"/>
      <c r="I74" s="413" t="str">
        <f t="shared" si="60"/>
        <v>-</v>
      </c>
      <c r="J74" s="413" t="str">
        <f t="shared" si="61"/>
        <v>-</v>
      </c>
      <c r="K74" s="199" t="str">
        <f t="shared" si="62"/>
        <v>-</v>
      </c>
      <c r="L74" s="617"/>
      <c r="M74" s="488" t="e">
        <f>RANK(K74, K$67:$K$81)</f>
        <v>#VALUE!</v>
      </c>
      <c r="N74" s="635"/>
      <c r="O74" s="635"/>
      <c r="P74" s="482"/>
      <c r="Q74" s="416"/>
      <c r="R74" s="416"/>
      <c r="S74" s="482"/>
      <c r="T74" s="645"/>
      <c r="U74" s="482"/>
      <c r="V74" s="416"/>
      <c r="W74" s="416"/>
      <c r="X74" s="482"/>
      <c r="Y74" s="645"/>
      <c r="Z74" s="482"/>
      <c r="AA74" s="416"/>
      <c r="AB74" s="416"/>
      <c r="AC74" s="482"/>
      <c r="AD74" s="645"/>
      <c r="AE74" s="482"/>
      <c r="AF74" s="416"/>
      <c r="AG74" s="416"/>
      <c r="AH74" s="482"/>
      <c r="AI74" s="645"/>
      <c r="AJ74" s="482"/>
      <c r="AK74" s="416"/>
      <c r="AL74" s="416"/>
      <c r="AM74" s="482"/>
      <c r="AN74" s="645"/>
      <c r="AO74" s="482"/>
      <c r="AP74" s="416"/>
      <c r="AQ74" s="416"/>
      <c r="AR74" s="482"/>
      <c r="AS74" s="645"/>
      <c r="AT74" s="482"/>
      <c r="AU74" s="416"/>
      <c r="AV74" s="416"/>
      <c r="AW74" s="482"/>
      <c r="AX74" s="645"/>
      <c r="AZ74" s="398" t="e">
        <f t="shared" si="63"/>
        <v>#N/A</v>
      </c>
      <c r="BA74" s="645"/>
    </row>
    <row r="75" spans="2:53">
      <c r="B75" s="643"/>
      <c r="C75" s="409">
        <v>9</v>
      </c>
      <c r="D75" s="225"/>
      <c r="E75" s="416"/>
      <c r="F75" s="495"/>
      <c r="G75" s="496"/>
      <c r="H75" s="686"/>
      <c r="I75" s="413" t="str">
        <f t="shared" si="60"/>
        <v>-</v>
      </c>
      <c r="J75" s="413" t="str">
        <f t="shared" si="61"/>
        <v>-</v>
      </c>
      <c r="K75" s="199" t="str">
        <f t="shared" si="62"/>
        <v>-</v>
      </c>
      <c r="L75" s="617"/>
      <c r="M75" s="488" t="e">
        <f>RANK(K75, K$67:$K$81)</f>
        <v>#VALUE!</v>
      </c>
      <c r="N75" s="635"/>
      <c r="O75" s="635"/>
      <c r="P75" s="482"/>
      <c r="Q75" s="416"/>
      <c r="R75" s="416"/>
      <c r="S75" s="482"/>
      <c r="T75" s="645"/>
      <c r="U75" s="482"/>
      <c r="V75" s="416"/>
      <c r="W75" s="416"/>
      <c r="X75" s="482"/>
      <c r="Y75" s="645"/>
      <c r="Z75" s="482"/>
      <c r="AA75" s="416"/>
      <c r="AB75" s="416"/>
      <c r="AC75" s="482"/>
      <c r="AD75" s="645"/>
      <c r="AE75" s="482"/>
      <c r="AF75" s="416"/>
      <c r="AG75" s="416"/>
      <c r="AH75" s="482"/>
      <c r="AI75" s="645"/>
      <c r="AJ75" s="482"/>
      <c r="AK75" s="416"/>
      <c r="AL75" s="416"/>
      <c r="AM75" s="482"/>
      <c r="AN75" s="645"/>
      <c r="AO75" s="482"/>
      <c r="AP75" s="416"/>
      <c r="AQ75" s="416"/>
      <c r="AR75" s="482"/>
      <c r="AS75" s="645"/>
      <c r="AT75" s="482"/>
      <c r="AU75" s="416"/>
      <c r="AV75" s="416"/>
      <c r="AW75" s="482"/>
      <c r="AX75" s="645"/>
      <c r="AZ75" s="398" t="e">
        <f t="shared" si="63"/>
        <v>#N/A</v>
      </c>
      <c r="BA75" s="645"/>
    </row>
    <row r="76" spans="2:53">
      <c r="B76" s="643"/>
      <c r="C76" s="409">
        <v>10</v>
      </c>
      <c r="D76" s="225"/>
      <c r="E76" s="416"/>
      <c r="F76" s="495"/>
      <c r="G76" s="496"/>
      <c r="H76" s="686"/>
      <c r="I76" s="413" t="str">
        <f t="shared" si="60"/>
        <v>-</v>
      </c>
      <c r="J76" s="413" t="str">
        <f t="shared" si="61"/>
        <v>-</v>
      </c>
      <c r="K76" s="199" t="str">
        <f t="shared" si="62"/>
        <v>-</v>
      </c>
      <c r="L76" s="617"/>
      <c r="M76" s="488" t="e">
        <f>RANK(K76, K$67:$K$81)</f>
        <v>#VALUE!</v>
      </c>
      <c r="N76" s="635"/>
      <c r="O76" s="635"/>
      <c r="P76" s="482"/>
      <c r="Q76" s="416"/>
      <c r="R76" s="416"/>
      <c r="S76" s="482"/>
      <c r="T76" s="645"/>
      <c r="U76" s="482"/>
      <c r="V76" s="416"/>
      <c r="W76" s="416"/>
      <c r="X76" s="482"/>
      <c r="Y76" s="645"/>
      <c r="Z76" s="482"/>
      <c r="AA76" s="416"/>
      <c r="AB76" s="416"/>
      <c r="AC76" s="482"/>
      <c r="AD76" s="645"/>
      <c r="AE76" s="482"/>
      <c r="AF76" s="416"/>
      <c r="AG76" s="416"/>
      <c r="AH76" s="482"/>
      <c r="AI76" s="645"/>
      <c r="AJ76" s="482"/>
      <c r="AK76" s="416"/>
      <c r="AL76" s="416"/>
      <c r="AM76" s="482"/>
      <c r="AN76" s="645"/>
      <c r="AO76" s="482"/>
      <c r="AP76" s="416"/>
      <c r="AQ76" s="416"/>
      <c r="AR76" s="482"/>
      <c r="AS76" s="645"/>
      <c r="AT76" s="482"/>
      <c r="AU76" s="416"/>
      <c r="AV76" s="416"/>
      <c r="AW76" s="482"/>
      <c r="AX76" s="645"/>
      <c r="AZ76" s="398" t="e">
        <f t="shared" si="63"/>
        <v>#N/A</v>
      </c>
      <c r="BA76" s="645"/>
    </row>
    <row r="77" spans="2:53">
      <c r="B77" s="643"/>
      <c r="C77" s="409">
        <v>11</v>
      </c>
      <c r="D77" s="225"/>
      <c r="E77" s="416"/>
      <c r="F77" s="495"/>
      <c r="G77" s="496"/>
      <c r="H77" s="686"/>
      <c r="I77" s="413" t="str">
        <f t="shared" si="60"/>
        <v>-</v>
      </c>
      <c r="J77" s="413" t="str">
        <f t="shared" si="61"/>
        <v>-</v>
      </c>
      <c r="K77" s="199" t="str">
        <f t="shared" si="62"/>
        <v>-</v>
      </c>
      <c r="L77" s="617"/>
      <c r="M77" s="488" t="e">
        <f>RANK(K77, K$67:$K$81)</f>
        <v>#VALUE!</v>
      </c>
      <c r="N77" s="635"/>
      <c r="O77" s="635"/>
      <c r="P77" s="482"/>
      <c r="Q77" s="416"/>
      <c r="R77" s="416"/>
      <c r="S77" s="482"/>
      <c r="T77" s="645"/>
      <c r="U77" s="482"/>
      <c r="V77" s="416"/>
      <c r="W77" s="416"/>
      <c r="X77" s="482"/>
      <c r="Y77" s="645"/>
      <c r="Z77" s="482"/>
      <c r="AA77" s="416"/>
      <c r="AB77" s="416"/>
      <c r="AC77" s="482"/>
      <c r="AD77" s="645"/>
      <c r="AE77" s="482"/>
      <c r="AF77" s="416"/>
      <c r="AG77" s="416"/>
      <c r="AH77" s="482"/>
      <c r="AI77" s="645"/>
      <c r="AJ77" s="482"/>
      <c r="AK77" s="416"/>
      <c r="AL77" s="416"/>
      <c r="AM77" s="482"/>
      <c r="AN77" s="645"/>
      <c r="AO77" s="482"/>
      <c r="AP77" s="416"/>
      <c r="AQ77" s="416"/>
      <c r="AR77" s="482"/>
      <c r="AS77" s="645"/>
      <c r="AT77" s="482"/>
      <c r="AU77" s="416"/>
      <c r="AV77" s="416"/>
      <c r="AW77" s="482"/>
      <c r="AX77" s="645"/>
      <c r="AZ77" s="398" t="e">
        <f t="shared" si="63"/>
        <v>#N/A</v>
      </c>
      <c r="BA77" s="645"/>
    </row>
    <row r="78" spans="2:53">
      <c r="B78" s="643"/>
      <c r="C78" s="409">
        <v>12</v>
      </c>
      <c r="D78" s="225"/>
      <c r="E78" s="416"/>
      <c r="F78" s="495"/>
      <c r="G78" s="496"/>
      <c r="H78" s="686"/>
      <c r="I78" s="413" t="str">
        <f t="shared" si="60"/>
        <v>-</v>
      </c>
      <c r="J78" s="413" t="str">
        <f t="shared" si="61"/>
        <v>-</v>
      </c>
      <c r="K78" s="199" t="str">
        <f t="shared" si="62"/>
        <v>-</v>
      </c>
      <c r="L78" s="617"/>
      <c r="M78" s="488" t="e">
        <f>RANK(K78, K$67:$K$81)</f>
        <v>#VALUE!</v>
      </c>
      <c r="N78" s="635"/>
      <c r="O78" s="635"/>
      <c r="P78" s="482"/>
      <c r="Q78" s="416"/>
      <c r="R78" s="416"/>
      <c r="S78" s="482"/>
      <c r="T78" s="645"/>
      <c r="U78" s="482"/>
      <c r="V78" s="416"/>
      <c r="W78" s="416"/>
      <c r="X78" s="482"/>
      <c r="Y78" s="645"/>
      <c r="Z78" s="482"/>
      <c r="AA78" s="416"/>
      <c r="AB78" s="416"/>
      <c r="AC78" s="482"/>
      <c r="AD78" s="645"/>
      <c r="AE78" s="482"/>
      <c r="AF78" s="416"/>
      <c r="AG78" s="416"/>
      <c r="AH78" s="482"/>
      <c r="AI78" s="645"/>
      <c r="AJ78" s="482"/>
      <c r="AK78" s="416"/>
      <c r="AL78" s="416"/>
      <c r="AM78" s="482"/>
      <c r="AN78" s="645"/>
      <c r="AO78" s="482"/>
      <c r="AP78" s="416"/>
      <c r="AQ78" s="416"/>
      <c r="AR78" s="482"/>
      <c r="AS78" s="645"/>
      <c r="AT78" s="482"/>
      <c r="AU78" s="416"/>
      <c r="AV78" s="416"/>
      <c r="AW78" s="482"/>
      <c r="AX78" s="645"/>
      <c r="AZ78" s="398" t="e">
        <f t="shared" si="63"/>
        <v>#N/A</v>
      </c>
      <c r="BA78" s="645"/>
    </row>
    <row r="79" spans="2:53">
      <c r="B79" s="643"/>
      <c r="C79" s="409">
        <v>13</v>
      </c>
      <c r="D79" s="225"/>
      <c r="E79" s="416"/>
      <c r="F79" s="495"/>
      <c r="G79" s="496"/>
      <c r="H79" s="686"/>
      <c r="I79" s="413" t="str">
        <f t="shared" si="60"/>
        <v>-</v>
      </c>
      <c r="J79" s="413" t="str">
        <f t="shared" si="61"/>
        <v>-</v>
      </c>
      <c r="K79" s="199" t="str">
        <f t="shared" si="62"/>
        <v>-</v>
      </c>
      <c r="L79" s="617"/>
      <c r="M79" s="488" t="e">
        <f>RANK(K79, K$67:$K$81)</f>
        <v>#VALUE!</v>
      </c>
      <c r="N79" s="635"/>
      <c r="O79" s="635"/>
      <c r="P79" s="482"/>
      <c r="Q79" s="416"/>
      <c r="R79" s="416"/>
      <c r="S79" s="482"/>
      <c r="T79" s="645"/>
      <c r="U79" s="482"/>
      <c r="V79" s="416"/>
      <c r="W79" s="416"/>
      <c r="X79" s="482"/>
      <c r="Y79" s="645"/>
      <c r="Z79" s="482"/>
      <c r="AA79" s="416"/>
      <c r="AB79" s="416"/>
      <c r="AC79" s="482"/>
      <c r="AD79" s="645"/>
      <c r="AE79" s="482"/>
      <c r="AF79" s="416"/>
      <c r="AG79" s="416"/>
      <c r="AH79" s="482"/>
      <c r="AI79" s="645"/>
      <c r="AJ79" s="482"/>
      <c r="AK79" s="416"/>
      <c r="AL79" s="416"/>
      <c r="AM79" s="482"/>
      <c r="AN79" s="645"/>
      <c r="AO79" s="482"/>
      <c r="AP79" s="416"/>
      <c r="AQ79" s="416"/>
      <c r="AR79" s="482"/>
      <c r="AS79" s="645"/>
      <c r="AT79" s="482"/>
      <c r="AU79" s="416"/>
      <c r="AV79" s="416"/>
      <c r="AW79" s="482"/>
      <c r="AX79" s="645"/>
      <c r="AZ79" s="398" t="e">
        <f t="shared" si="63"/>
        <v>#N/A</v>
      </c>
      <c r="BA79" s="645"/>
    </row>
    <row r="80" spans="2:53">
      <c r="B80" s="643"/>
      <c r="C80" s="409">
        <v>14</v>
      </c>
      <c r="D80" s="225"/>
      <c r="E80" s="416"/>
      <c r="F80" s="495"/>
      <c r="G80" s="496"/>
      <c r="H80" s="686"/>
      <c r="I80" s="487" t="str">
        <f t="shared" ref="I80:I81" si="65">IFERROR(AVERAGE(P80,U80,Z80,AE80,AJ80,AO80,AT80),"-")</f>
        <v>-</v>
      </c>
      <c r="J80" s="487" t="str">
        <f t="shared" ref="J80:J81" si="66">IFERROR(AVERAGE(Q80,V80,AA80,AF80,AK80,AP80,AU80),"-")</f>
        <v>-</v>
      </c>
      <c r="K80" s="199" t="str">
        <f t="shared" ref="K80:K81" si="67">IFERROR(AVERAGE(R80,W80,AB80,AG80,AL80,AQ80,AV80),"-")</f>
        <v>-</v>
      </c>
      <c r="L80" s="617"/>
      <c r="M80" s="488" t="e">
        <f>RANK(K80, K$67:$K$81)</f>
        <v>#VALUE!</v>
      </c>
      <c r="N80" s="635"/>
      <c r="O80" s="635"/>
      <c r="P80" s="482"/>
      <c r="Q80" s="416"/>
      <c r="R80" s="416"/>
      <c r="S80" s="482"/>
      <c r="T80" s="645"/>
      <c r="U80" s="486"/>
      <c r="V80" s="416"/>
      <c r="W80" s="416"/>
      <c r="X80" s="482"/>
      <c r="Y80" s="645"/>
      <c r="Z80" s="486"/>
      <c r="AA80" s="416"/>
      <c r="AB80" s="416"/>
      <c r="AC80" s="482"/>
      <c r="AD80" s="645"/>
      <c r="AE80" s="486"/>
      <c r="AF80" s="416"/>
      <c r="AG80" s="416"/>
      <c r="AH80" s="482"/>
      <c r="AI80" s="645"/>
      <c r="AJ80" s="486"/>
      <c r="AK80" s="416"/>
      <c r="AL80" s="416"/>
      <c r="AM80" s="482"/>
      <c r="AN80" s="645"/>
      <c r="AO80" s="486"/>
      <c r="AP80" s="416"/>
      <c r="AQ80" s="416"/>
      <c r="AR80" s="482"/>
      <c r="AS80" s="645"/>
      <c r="AT80" s="486"/>
      <c r="AU80" s="416"/>
      <c r="AV80" s="416"/>
      <c r="AW80" s="482"/>
      <c r="AX80" s="645"/>
      <c r="AZ80" s="398" t="e">
        <f t="shared" si="63"/>
        <v>#N/A</v>
      </c>
      <c r="BA80" s="645"/>
    </row>
    <row r="81" spans="2:53">
      <c r="B81" s="643"/>
      <c r="C81" s="409">
        <v>15</v>
      </c>
      <c r="D81" s="225"/>
      <c r="E81" s="416"/>
      <c r="F81" s="495"/>
      <c r="G81" s="496"/>
      <c r="H81" s="687"/>
      <c r="I81" s="487" t="str">
        <f t="shared" si="65"/>
        <v>-</v>
      </c>
      <c r="J81" s="487" t="str">
        <f t="shared" si="66"/>
        <v>-</v>
      </c>
      <c r="K81" s="199" t="str">
        <f t="shared" si="67"/>
        <v>-</v>
      </c>
      <c r="L81" s="618"/>
      <c r="M81" s="488" t="e">
        <f>RANK(K81, K$67:$K$81)</f>
        <v>#VALUE!</v>
      </c>
      <c r="N81" s="635"/>
      <c r="O81" s="635"/>
      <c r="P81" s="482"/>
      <c r="Q81" s="416"/>
      <c r="R81" s="416"/>
      <c r="S81" s="482"/>
      <c r="T81" s="646"/>
      <c r="U81" s="486"/>
      <c r="V81" s="416"/>
      <c r="W81" s="416"/>
      <c r="X81" s="482"/>
      <c r="Y81" s="646"/>
      <c r="Z81" s="486"/>
      <c r="AA81" s="416"/>
      <c r="AB81" s="416"/>
      <c r="AC81" s="482"/>
      <c r="AD81" s="646"/>
      <c r="AE81" s="486"/>
      <c r="AF81" s="416"/>
      <c r="AG81" s="416"/>
      <c r="AH81" s="482"/>
      <c r="AI81" s="646"/>
      <c r="AJ81" s="486"/>
      <c r="AK81" s="416"/>
      <c r="AL81" s="416"/>
      <c r="AM81" s="482"/>
      <c r="AN81" s="646"/>
      <c r="AO81" s="486"/>
      <c r="AP81" s="416"/>
      <c r="AQ81" s="416"/>
      <c r="AR81" s="482"/>
      <c r="AS81" s="646"/>
      <c r="AT81" s="486"/>
      <c r="AU81" s="416"/>
      <c r="AV81" s="416"/>
      <c r="AW81" s="482"/>
      <c r="AX81" s="646"/>
      <c r="AZ81" s="398" t="e">
        <f t="shared" si="63"/>
        <v>#N/A</v>
      </c>
      <c r="BA81" s="646"/>
    </row>
    <row r="82" spans="2:53" ht="15.75">
      <c r="B82" s="647" t="s">
        <v>163</v>
      </c>
      <c r="C82" s="648"/>
      <c r="D82" s="648"/>
      <c r="E82" s="648"/>
      <c r="F82" s="648"/>
      <c r="G82" s="648"/>
      <c r="H82" s="649"/>
      <c r="I82" s="207"/>
      <c r="J82" s="207"/>
      <c r="K82" s="207"/>
      <c r="L82" s="207"/>
      <c r="M82" s="206"/>
      <c r="N82" s="636" t="s">
        <v>156</v>
      </c>
      <c r="O82" s="636" t="s">
        <v>105</v>
      </c>
      <c r="P82" s="642">
        <f>P62+7</f>
        <v>46196</v>
      </c>
      <c r="Q82" s="643"/>
      <c r="R82" s="643"/>
      <c r="S82" s="643"/>
      <c r="T82" s="643"/>
      <c r="U82" s="639">
        <f>P82+1</f>
        <v>46197</v>
      </c>
      <c r="V82" s="640"/>
      <c r="W82" s="640"/>
      <c r="X82" s="640"/>
      <c r="Y82" s="641"/>
      <c r="Z82" s="639">
        <f>U82+1</f>
        <v>46198</v>
      </c>
      <c r="AA82" s="640"/>
      <c r="AB82" s="640"/>
      <c r="AC82" s="640"/>
      <c r="AD82" s="641"/>
      <c r="AE82" s="639">
        <f>Z82+1</f>
        <v>46199</v>
      </c>
      <c r="AF82" s="640"/>
      <c r="AG82" s="640"/>
      <c r="AH82" s="640"/>
      <c r="AI82" s="641"/>
      <c r="AJ82" s="639">
        <f>AE82+1</f>
        <v>46200</v>
      </c>
      <c r="AK82" s="640"/>
      <c r="AL82" s="640"/>
      <c r="AM82" s="640"/>
      <c r="AN82" s="641"/>
      <c r="AO82" s="639">
        <f>AJ82+1</f>
        <v>46201</v>
      </c>
      <c r="AP82" s="640"/>
      <c r="AQ82" s="640"/>
      <c r="AR82" s="640"/>
      <c r="AS82" s="641"/>
      <c r="AT82" s="639">
        <f>AO82+1</f>
        <v>46202</v>
      </c>
      <c r="AU82" s="640"/>
      <c r="AV82" s="640"/>
      <c r="AW82" s="640"/>
      <c r="AX82" s="641"/>
    </row>
    <row r="83" spans="2:53" ht="15.75">
      <c r="B83" s="650"/>
      <c r="C83" s="650"/>
      <c r="D83" s="650"/>
      <c r="E83" s="650"/>
      <c r="F83" s="650"/>
      <c r="G83" s="650"/>
      <c r="H83" s="650"/>
      <c r="I83" s="204"/>
      <c r="J83" s="204"/>
      <c r="K83" s="204"/>
      <c r="L83" s="204"/>
      <c r="M83" s="205"/>
      <c r="N83" s="638"/>
      <c r="O83" s="638"/>
      <c r="P83" s="642" t="s">
        <v>318</v>
      </c>
      <c r="Q83" s="643"/>
      <c r="R83" s="643"/>
      <c r="S83" s="643"/>
      <c r="T83" s="643"/>
      <c r="U83" s="642" t="s">
        <v>319</v>
      </c>
      <c r="V83" s="643"/>
      <c r="W83" s="643"/>
      <c r="X83" s="643"/>
      <c r="Y83" s="643"/>
      <c r="Z83" s="642" t="s">
        <v>320</v>
      </c>
      <c r="AA83" s="643"/>
      <c r="AB83" s="643"/>
      <c r="AC83" s="643"/>
      <c r="AD83" s="643"/>
      <c r="AE83" s="642" t="s">
        <v>321</v>
      </c>
      <c r="AF83" s="643"/>
      <c r="AG83" s="643"/>
      <c r="AH83" s="643"/>
      <c r="AI83" s="643"/>
      <c r="AJ83" s="642" t="s">
        <v>322</v>
      </c>
      <c r="AK83" s="643"/>
      <c r="AL83" s="643"/>
      <c r="AM83" s="643"/>
      <c r="AN83" s="643"/>
      <c r="AO83" s="642" t="s">
        <v>323</v>
      </c>
      <c r="AP83" s="643"/>
      <c r="AQ83" s="643"/>
      <c r="AR83" s="643"/>
      <c r="AS83" s="643"/>
      <c r="AT83" s="642" t="s">
        <v>324</v>
      </c>
      <c r="AU83" s="643"/>
      <c r="AV83" s="643"/>
      <c r="AW83" s="643"/>
      <c r="AX83" s="643"/>
    </row>
    <row r="84" spans="2:53">
      <c r="B84" s="635" t="s">
        <v>399</v>
      </c>
      <c r="C84" s="635" t="s">
        <v>384</v>
      </c>
      <c r="D84" s="635"/>
      <c r="E84" s="635" t="s">
        <v>375</v>
      </c>
      <c r="F84" s="635"/>
      <c r="G84" s="635"/>
      <c r="H84" s="651" t="s">
        <v>371</v>
      </c>
      <c r="I84" s="619" t="s">
        <v>376</v>
      </c>
      <c r="J84" s="619"/>
      <c r="K84" s="619"/>
      <c r="L84" s="620" t="s">
        <v>371</v>
      </c>
      <c r="M84" s="626" t="s">
        <v>372</v>
      </c>
      <c r="N84" s="635"/>
      <c r="O84" s="635" t="s">
        <v>377</v>
      </c>
      <c r="P84" s="632" t="s">
        <v>373</v>
      </c>
      <c r="Q84" s="633"/>
      <c r="R84" s="633"/>
      <c r="S84" s="634"/>
      <c r="T84" s="635" t="s">
        <v>371</v>
      </c>
      <c r="U84" s="632" t="s">
        <v>373</v>
      </c>
      <c r="V84" s="633"/>
      <c r="W84" s="633"/>
      <c r="X84" s="634"/>
      <c r="Y84" s="635" t="s">
        <v>371</v>
      </c>
      <c r="Z84" s="632" t="s">
        <v>373</v>
      </c>
      <c r="AA84" s="633"/>
      <c r="AB84" s="633"/>
      <c r="AC84" s="634"/>
      <c r="AD84" s="635" t="s">
        <v>371</v>
      </c>
      <c r="AE84" s="632" t="s">
        <v>373</v>
      </c>
      <c r="AF84" s="633"/>
      <c r="AG84" s="633"/>
      <c r="AH84" s="634"/>
      <c r="AI84" s="635" t="s">
        <v>371</v>
      </c>
      <c r="AJ84" s="632" t="s">
        <v>373</v>
      </c>
      <c r="AK84" s="633"/>
      <c r="AL84" s="633"/>
      <c r="AM84" s="634"/>
      <c r="AN84" s="635" t="s">
        <v>371</v>
      </c>
      <c r="AO84" s="632" t="s">
        <v>373</v>
      </c>
      <c r="AP84" s="633"/>
      <c r="AQ84" s="633"/>
      <c r="AR84" s="634"/>
      <c r="AS84" s="635" t="s">
        <v>371</v>
      </c>
      <c r="AT84" s="632" t="s">
        <v>373</v>
      </c>
      <c r="AU84" s="633"/>
      <c r="AV84" s="633"/>
      <c r="AW84" s="634"/>
      <c r="AX84" s="635" t="s">
        <v>371</v>
      </c>
      <c r="BA84" s="635" t="s">
        <v>371</v>
      </c>
    </row>
    <row r="85" spans="2:53">
      <c r="B85" s="635"/>
      <c r="C85" s="635"/>
      <c r="D85" s="635"/>
      <c r="E85" s="635" t="s">
        <v>378</v>
      </c>
      <c r="F85" s="635"/>
      <c r="G85" s="635"/>
      <c r="H85" s="652"/>
      <c r="I85" s="619" t="s">
        <v>378</v>
      </c>
      <c r="J85" s="619"/>
      <c r="K85" s="619"/>
      <c r="L85" s="621"/>
      <c r="M85" s="627"/>
      <c r="N85" s="635"/>
      <c r="O85" s="635"/>
      <c r="P85" s="632" t="s">
        <v>379</v>
      </c>
      <c r="Q85" s="633"/>
      <c r="R85" s="633"/>
      <c r="S85" s="634"/>
      <c r="T85" s="635"/>
      <c r="U85" s="632" t="s">
        <v>379</v>
      </c>
      <c r="V85" s="633"/>
      <c r="W85" s="633"/>
      <c r="X85" s="634"/>
      <c r="Y85" s="635"/>
      <c r="Z85" s="632" t="s">
        <v>379</v>
      </c>
      <c r="AA85" s="633"/>
      <c r="AB85" s="633"/>
      <c r="AC85" s="634"/>
      <c r="AD85" s="635"/>
      <c r="AE85" s="632" t="s">
        <v>379</v>
      </c>
      <c r="AF85" s="633"/>
      <c r="AG85" s="633"/>
      <c r="AH85" s="634"/>
      <c r="AI85" s="635"/>
      <c r="AJ85" s="632" t="s">
        <v>379</v>
      </c>
      <c r="AK85" s="633"/>
      <c r="AL85" s="633"/>
      <c r="AM85" s="634"/>
      <c r="AN85" s="635"/>
      <c r="AO85" s="632" t="s">
        <v>379</v>
      </c>
      <c r="AP85" s="633"/>
      <c r="AQ85" s="633"/>
      <c r="AR85" s="634"/>
      <c r="AS85" s="635"/>
      <c r="AT85" s="632" t="s">
        <v>379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408" t="s">
        <v>380</v>
      </c>
      <c r="F86" s="408" t="s">
        <v>381</v>
      </c>
      <c r="G86" s="408" t="s">
        <v>382</v>
      </c>
      <c r="H86" s="653"/>
      <c r="I86" s="407" t="s">
        <v>380</v>
      </c>
      <c r="J86" s="407" t="s">
        <v>381</v>
      </c>
      <c r="K86" s="407" t="s">
        <v>382</v>
      </c>
      <c r="L86" s="622"/>
      <c r="M86" s="628"/>
      <c r="N86" s="635"/>
      <c r="O86" s="635"/>
      <c r="P86" s="408" t="s">
        <v>380</v>
      </c>
      <c r="Q86" s="408" t="s">
        <v>381</v>
      </c>
      <c r="R86" s="408" t="s">
        <v>382</v>
      </c>
      <c r="S86" s="408" t="s">
        <v>372</v>
      </c>
      <c r="T86" s="635"/>
      <c r="U86" s="408" t="s">
        <v>380</v>
      </c>
      <c r="V86" s="408" t="s">
        <v>381</v>
      </c>
      <c r="W86" s="408" t="s">
        <v>382</v>
      </c>
      <c r="X86" s="408" t="s">
        <v>372</v>
      </c>
      <c r="Y86" s="635"/>
      <c r="Z86" s="408" t="s">
        <v>380</v>
      </c>
      <c r="AA86" s="408" t="s">
        <v>381</v>
      </c>
      <c r="AB86" s="408" t="s">
        <v>382</v>
      </c>
      <c r="AC86" s="408" t="s">
        <v>372</v>
      </c>
      <c r="AD86" s="635"/>
      <c r="AE86" s="408" t="s">
        <v>380</v>
      </c>
      <c r="AF86" s="408" t="s">
        <v>381</v>
      </c>
      <c r="AG86" s="408" t="s">
        <v>382</v>
      </c>
      <c r="AH86" s="408" t="s">
        <v>372</v>
      </c>
      <c r="AI86" s="635"/>
      <c r="AJ86" s="408" t="s">
        <v>380</v>
      </c>
      <c r="AK86" s="408" t="s">
        <v>381</v>
      </c>
      <c r="AL86" s="408" t="s">
        <v>382</v>
      </c>
      <c r="AM86" s="408" t="s">
        <v>372</v>
      </c>
      <c r="AN86" s="635"/>
      <c r="AO86" s="408" t="s">
        <v>380</v>
      </c>
      <c r="AP86" s="408" t="s">
        <v>381</v>
      </c>
      <c r="AQ86" s="408" t="s">
        <v>382</v>
      </c>
      <c r="AR86" s="408" t="s">
        <v>372</v>
      </c>
      <c r="AS86" s="635"/>
      <c r="AT86" s="408" t="s">
        <v>380</v>
      </c>
      <c r="AU86" s="408" t="s">
        <v>381</v>
      </c>
      <c r="AV86" s="408" t="s">
        <v>382</v>
      </c>
      <c r="AW86" s="408" t="s">
        <v>372</v>
      </c>
      <c r="AX86" s="635"/>
      <c r="AZ86" s="397" t="s">
        <v>372</v>
      </c>
      <c r="BA86" s="635"/>
    </row>
    <row r="87" spans="2:53">
      <c r="B87" s="635" t="s">
        <v>415</v>
      </c>
      <c r="C87" s="409">
        <v>1</v>
      </c>
      <c r="D87" s="225"/>
      <c r="E87" s="416"/>
      <c r="F87" s="409"/>
      <c r="G87" s="410"/>
      <c r="H87" s="685" t="e">
        <f>AVERAGE(G87:G101)</f>
        <v>#DIV/0!</v>
      </c>
      <c r="I87" s="413" t="str">
        <f t="shared" ref="I87:I100" si="68">IFERROR(AVERAGE(P87,U87,Z87,AE87,AJ87,AO87,AT87),"-")</f>
        <v>-</v>
      </c>
      <c r="J87" s="413" t="str">
        <f t="shared" ref="J87:J100" si="69">IFERROR(AVERAGE(Q87,V87,AA87,AF87,AK87,AP87,AU87),"-")</f>
        <v>-</v>
      </c>
      <c r="K87" s="199" t="str">
        <f t="shared" ref="K87:K100" si="70">IFERROR(AVERAGE(R87,W87,AB87,AG87,AL87,AQ87,AV87),"-")</f>
        <v>-</v>
      </c>
      <c r="L87" s="616" t="str">
        <f>IFERROR(AVERAGE(K87:K101),"-")</f>
        <v>-</v>
      </c>
      <c r="M87" s="415" t="e">
        <f>RANK(K87, K$107:$K$121)</f>
        <v>#VALUE!</v>
      </c>
      <c r="N87" s="635"/>
      <c r="O87" s="635"/>
      <c r="P87" s="490"/>
      <c r="Q87" s="416"/>
      <c r="R87" s="416"/>
      <c r="S87" s="490"/>
      <c r="T87" s="657"/>
      <c r="U87" s="490"/>
      <c r="V87" s="416"/>
      <c r="W87" s="416"/>
      <c r="X87" s="490"/>
      <c r="Y87" s="657"/>
      <c r="Z87" s="490"/>
      <c r="AA87" s="416"/>
      <c r="AB87" s="416"/>
      <c r="AC87" s="490"/>
      <c r="AD87" s="657"/>
      <c r="AE87" s="490"/>
      <c r="AF87" s="416"/>
      <c r="AG87" s="416"/>
      <c r="AH87" s="490"/>
      <c r="AI87" s="657"/>
      <c r="AJ87" s="490"/>
      <c r="AK87" s="416"/>
      <c r="AL87" s="416"/>
      <c r="AM87" s="490"/>
      <c r="AN87" s="657"/>
      <c r="AO87" s="490"/>
      <c r="AP87" s="416"/>
      <c r="AQ87" s="416"/>
      <c r="AR87" s="490"/>
      <c r="AS87" s="657"/>
      <c r="AT87" s="490"/>
      <c r="AU87" s="416"/>
      <c r="AV87" s="416"/>
      <c r="AW87" s="490"/>
      <c r="AX87" s="657"/>
      <c r="AZ87" s="398" t="e">
        <f t="shared" ref="AZ87:AZ101" si="71">RANK(AY87, AY$87:AY$101)</f>
        <v>#N/A</v>
      </c>
      <c r="BA87" s="657" t="e">
        <f t="shared" ref="BA87" si="72">AVERAGE(AY87:AY101)</f>
        <v>#DIV/0!</v>
      </c>
    </row>
    <row r="88" spans="2:53">
      <c r="B88" s="643"/>
      <c r="C88" s="409">
        <v>2</v>
      </c>
      <c r="D88" s="225"/>
      <c r="E88" s="416"/>
      <c r="F88" s="409"/>
      <c r="G88" s="410"/>
      <c r="H88" s="686"/>
      <c r="I88" s="413" t="str">
        <f t="shared" si="68"/>
        <v>-</v>
      </c>
      <c r="J88" s="413" t="str">
        <f t="shared" si="69"/>
        <v>-</v>
      </c>
      <c r="K88" s="199" t="str">
        <f t="shared" si="70"/>
        <v>-</v>
      </c>
      <c r="L88" s="617"/>
      <c r="M88" s="415" t="e">
        <f>RANK(K88, K$107:$K$121)</f>
        <v>#VALUE!</v>
      </c>
      <c r="N88" s="635"/>
      <c r="O88" s="635"/>
      <c r="P88" s="490"/>
      <c r="Q88" s="416"/>
      <c r="R88" s="416"/>
      <c r="S88" s="490"/>
      <c r="T88" s="657"/>
      <c r="U88" s="490"/>
      <c r="V88" s="416"/>
      <c r="W88" s="416"/>
      <c r="X88" s="490"/>
      <c r="Y88" s="657"/>
      <c r="Z88" s="490"/>
      <c r="AA88" s="416"/>
      <c r="AB88" s="416"/>
      <c r="AC88" s="490"/>
      <c r="AD88" s="657"/>
      <c r="AE88" s="490"/>
      <c r="AF88" s="416"/>
      <c r="AG88" s="416"/>
      <c r="AH88" s="490"/>
      <c r="AI88" s="657"/>
      <c r="AJ88" s="490"/>
      <c r="AK88" s="416"/>
      <c r="AL88" s="416"/>
      <c r="AM88" s="490"/>
      <c r="AN88" s="657"/>
      <c r="AO88" s="490"/>
      <c r="AP88" s="416"/>
      <c r="AQ88" s="416"/>
      <c r="AR88" s="490"/>
      <c r="AS88" s="657"/>
      <c r="AT88" s="490"/>
      <c r="AU88" s="416"/>
      <c r="AV88" s="416"/>
      <c r="AW88" s="490"/>
      <c r="AX88" s="657"/>
      <c r="AZ88" s="398" t="e">
        <f t="shared" si="71"/>
        <v>#N/A</v>
      </c>
      <c r="BA88" s="657"/>
    </row>
    <row r="89" spans="2:53">
      <c r="B89" s="643"/>
      <c r="C89" s="409">
        <v>3</v>
      </c>
      <c r="D89" s="225"/>
      <c r="E89" s="416"/>
      <c r="F89" s="409"/>
      <c r="G89" s="410"/>
      <c r="H89" s="686"/>
      <c r="I89" s="413" t="str">
        <f t="shared" si="68"/>
        <v>-</v>
      </c>
      <c r="J89" s="413" t="str">
        <f t="shared" si="69"/>
        <v>-</v>
      </c>
      <c r="K89" s="199" t="str">
        <f t="shared" si="70"/>
        <v>-</v>
      </c>
      <c r="L89" s="617"/>
      <c r="M89" s="415" t="e">
        <f>RANK(K89, K$107:$K$121)</f>
        <v>#VALUE!</v>
      </c>
      <c r="N89" s="635"/>
      <c r="O89" s="635"/>
      <c r="P89" s="490"/>
      <c r="Q89" s="416"/>
      <c r="R89" s="416"/>
      <c r="S89" s="490"/>
      <c r="T89" s="657"/>
      <c r="U89" s="490"/>
      <c r="V89" s="416"/>
      <c r="W89" s="416"/>
      <c r="X89" s="490"/>
      <c r="Y89" s="657"/>
      <c r="Z89" s="490"/>
      <c r="AA89" s="416"/>
      <c r="AB89" s="416"/>
      <c r="AC89" s="490"/>
      <c r="AD89" s="657"/>
      <c r="AE89" s="490"/>
      <c r="AF89" s="416"/>
      <c r="AG89" s="416"/>
      <c r="AH89" s="490"/>
      <c r="AI89" s="657"/>
      <c r="AJ89" s="490"/>
      <c r="AK89" s="416"/>
      <c r="AL89" s="416"/>
      <c r="AM89" s="490"/>
      <c r="AN89" s="657"/>
      <c r="AO89" s="490"/>
      <c r="AP89" s="416"/>
      <c r="AQ89" s="416"/>
      <c r="AR89" s="490"/>
      <c r="AS89" s="657"/>
      <c r="AT89" s="490"/>
      <c r="AU89" s="416"/>
      <c r="AV89" s="416"/>
      <c r="AW89" s="490"/>
      <c r="AX89" s="657"/>
      <c r="AZ89" s="398" t="e">
        <f t="shared" si="71"/>
        <v>#N/A</v>
      </c>
      <c r="BA89" s="657"/>
    </row>
    <row r="90" spans="2:53">
      <c r="B90" s="643"/>
      <c r="C90" s="409">
        <v>4</v>
      </c>
      <c r="D90" s="225"/>
      <c r="E90" s="416"/>
      <c r="F90" s="409"/>
      <c r="G90" s="410"/>
      <c r="H90" s="686"/>
      <c r="I90" s="413" t="str">
        <f t="shared" si="68"/>
        <v>-</v>
      </c>
      <c r="J90" s="413" t="str">
        <f t="shared" si="69"/>
        <v>-</v>
      </c>
      <c r="K90" s="199" t="str">
        <f t="shared" si="70"/>
        <v>-</v>
      </c>
      <c r="L90" s="617"/>
      <c r="M90" s="415" t="e">
        <f>RANK(K90, K$107:$K$121)</f>
        <v>#VALUE!</v>
      </c>
      <c r="N90" s="635"/>
      <c r="O90" s="635"/>
      <c r="P90" s="490"/>
      <c r="Q90" s="416"/>
      <c r="R90" s="416"/>
      <c r="S90" s="490"/>
      <c r="T90" s="657"/>
      <c r="U90" s="490"/>
      <c r="V90" s="416"/>
      <c r="W90" s="416"/>
      <c r="X90" s="490"/>
      <c r="Y90" s="657"/>
      <c r="Z90" s="490"/>
      <c r="AA90" s="416"/>
      <c r="AB90" s="416"/>
      <c r="AC90" s="490"/>
      <c r="AD90" s="657"/>
      <c r="AE90" s="490"/>
      <c r="AF90" s="416"/>
      <c r="AG90" s="416"/>
      <c r="AH90" s="490"/>
      <c r="AI90" s="657"/>
      <c r="AJ90" s="490"/>
      <c r="AK90" s="416"/>
      <c r="AL90" s="416"/>
      <c r="AM90" s="490"/>
      <c r="AN90" s="657"/>
      <c r="AO90" s="490"/>
      <c r="AP90" s="416"/>
      <c r="AQ90" s="416"/>
      <c r="AR90" s="490"/>
      <c r="AS90" s="657"/>
      <c r="AT90" s="490"/>
      <c r="AU90" s="416"/>
      <c r="AV90" s="416"/>
      <c r="AW90" s="490"/>
      <c r="AX90" s="657"/>
      <c r="AZ90" s="398" t="e">
        <f t="shared" si="71"/>
        <v>#N/A</v>
      </c>
      <c r="BA90" s="657"/>
    </row>
    <row r="91" spans="2:53">
      <c r="B91" s="643"/>
      <c r="C91" s="409">
        <v>5</v>
      </c>
      <c r="D91" s="225"/>
      <c r="E91" s="416"/>
      <c r="F91" s="409"/>
      <c r="G91" s="410"/>
      <c r="H91" s="686"/>
      <c r="I91" s="413" t="str">
        <f t="shared" si="68"/>
        <v>-</v>
      </c>
      <c r="J91" s="413" t="str">
        <f t="shared" si="69"/>
        <v>-</v>
      </c>
      <c r="K91" s="199" t="str">
        <f t="shared" si="70"/>
        <v>-</v>
      </c>
      <c r="L91" s="617"/>
      <c r="M91" s="415" t="e">
        <f>RANK(K91, K$107:$K$121)</f>
        <v>#VALUE!</v>
      </c>
      <c r="N91" s="635"/>
      <c r="O91" s="635"/>
      <c r="P91" s="490"/>
      <c r="Q91" s="416"/>
      <c r="R91" s="416"/>
      <c r="S91" s="490"/>
      <c r="T91" s="657"/>
      <c r="U91" s="490"/>
      <c r="V91" s="416"/>
      <c r="W91" s="416"/>
      <c r="X91" s="490"/>
      <c r="Y91" s="657"/>
      <c r="Z91" s="490"/>
      <c r="AA91" s="416"/>
      <c r="AB91" s="416"/>
      <c r="AC91" s="490"/>
      <c r="AD91" s="657"/>
      <c r="AE91" s="490"/>
      <c r="AF91" s="416"/>
      <c r="AG91" s="416"/>
      <c r="AH91" s="490"/>
      <c r="AI91" s="657"/>
      <c r="AJ91" s="490"/>
      <c r="AK91" s="416"/>
      <c r="AL91" s="416"/>
      <c r="AM91" s="490"/>
      <c r="AN91" s="657"/>
      <c r="AO91" s="490"/>
      <c r="AP91" s="416"/>
      <c r="AQ91" s="416"/>
      <c r="AR91" s="490"/>
      <c r="AS91" s="657"/>
      <c r="AT91" s="490"/>
      <c r="AU91" s="416"/>
      <c r="AV91" s="416"/>
      <c r="AW91" s="490"/>
      <c r="AX91" s="657"/>
      <c r="AZ91" s="398" t="e">
        <f t="shared" si="71"/>
        <v>#N/A</v>
      </c>
      <c r="BA91" s="657"/>
    </row>
    <row r="92" spans="2:53">
      <c r="B92" s="643"/>
      <c r="C92" s="409">
        <v>6</v>
      </c>
      <c r="D92" s="225"/>
      <c r="E92" s="416"/>
      <c r="F92" s="409"/>
      <c r="G92" s="410"/>
      <c r="H92" s="686"/>
      <c r="I92" s="413" t="str">
        <f t="shared" si="68"/>
        <v>-</v>
      </c>
      <c r="J92" s="413" t="str">
        <f t="shared" si="69"/>
        <v>-</v>
      </c>
      <c r="K92" s="199" t="str">
        <f t="shared" si="70"/>
        <v>-</v>
      </c>
      <c r="L92" s="617"/>
      <c r="M92" s="415" t="e">
        <f>RANK(K92, K$107:$K$121)</f>
        <v>#VALUE!</v>
      </c>
      <c r="N92" s="635"/>
      <c r="O92" s="635"/>
      <c r="P92" s="490"/>
      <c r="Q92" s="416"/>
      <c r="R92" s="416"/>
      <c r="S92" s="490"/>
      <c r="T92" s="657"/>
      <c r="U92" s="490"/>
      <c r="V92" s="416"/>
      <c r="W92" s="416"/>
      <c r="X92" s="490"/>
      <c r="Y92" s="657"/>
      <c r="Z92" s="490"/>
      <c r="AA92" s="416"/>
      <c r="AB92" s="416"/>
      <c r="AC92" s="490"/>
      <c r="AD92" s="657"/>
      <c r="AE92" s="490"/>
      <c r="AF92" s="416"/>
      <c r="AG92" s="416"/>
      <c r="AH92" s="490"/>
      <c r="AI92" s="657"/>
      <c r="AJ92" s="490"/>
      <c r="AK92" s="416"/>
      <c r="AL92" s="416"/>
      <c r="AM92" s="490"/>
      <c r="AN92" s="657"/>
      <c r="AO92" s="490"/>
      <c r="AP92" s="416"/>
      <c r="AQ92" s="416"/>
      <c r="AR92" s="490"/>
      <c r="AS92" s="657"/>
      <c r="AT92" s="490"/>
      <c r="AU92" s="416"/>
      <c r="AV92" s="416"/>
      <c r="AW92" s="490"/>
      <c r="AX92" s="657"/>
      <c r="AZ92" s="398" t="e">
        <f t="shared" si="71"/>
        <v>#N/A</v>
      </c>
      <c r="BA92" s="657"/>
    </row>
    <row r="93" spans="2:53">
      <c r="B93" s="643"/>
      <c r="C93" s="409">
        <v>7</v>
      </c>
      <c r="D93" s="225"/>
      <c r="E93" s="416"/>
      <c r="F93" s="409"/>
      <c r="G93" s="410"/>
      <c r="H93" s="686"/>
      <c r="I93" s="413" t="str">
        <f t="shared" si="68"/>
        <v>-</v>
      </c>
      <c r="J93" s="413" t="str">
        <f t="shared" si="69"/>
        <v>-</v>
      </c>
      <c r="K93" s="199" t="str">
        <f t="shared" si="70"/>
        <v>-</v>
      </c>
      <c r="L93" s="617"/>
      <c r="M93" s="415" t="e">
        <f>RANK(K93, K$107:$K$121)</f>
        <v>#VALUE!</v>
      </c>
      <c r="N93" s="635"/>
      <c r="O93" s="635"/>
      <c r="P93" s="490"/>
      <c r="Q93" s="416"/>
      <c r="R93" s="416"/>
      <c r="S93" s="490"/>
      <c r="T93" s="657"/>
      <c r="U93" s="490"/>
      <c r="V93" s="416"/>
      <c r="W93" s="416"/>
      <c r="X93" s="490"/>
      <c r="Y93" s="657"/>
      <c r="Z93" s="490"/>
      <c r="AA93" s="416"/>
      <c r="AB93" s="416"/>
      <c r="AC93" s="490"/>
      <c r="AD93" s="657"/>
      <c r="AE93" s="490"/>
      <c r="AF93" s="416"/>
      <c r="AG93" s="416"/>
      <c r="AH93" s="490"/>
      <c r="AI93" s="657"/>
      <c r="AJ93" s="490"/>
      <c r="AK93" s="416"/>
      <c r="AL93" s="416"/>
      <c r="AM93" s="490"/>
      <c r="AN93" s="657"/>
      <c r="AO93" s="490"/>
      <c r="AP93" s="416"/>
      <c r="AQ93" s="416"/>
      <c r="AR93" s="490"/>
      <c r="AS93" s="657"/>
      <c r="AT93" s="490"/>
      <c r="AU93" s="416"/>
      <c r="AV93" s="416"/>
      <c r="AW93" s="490"/>
      <c r="AX93" s="657"/>
      <c r="AZ93" s="398" t="e">
        <f t="shared" si="71"/>
        <v>#N/A</v>
      </c>
      <c r="BA93" s="657"/>
    </row>
    <row r="94" spans="2:53">
      <c r="B94" s="643"/>
      <c r="C94" s="409">
        <v>8</v>
      </c>
      <c r="D94" s="225"/>
      <c r="E94" s="416"/>
      <c r="F94" s="409"/>
      <c r="G94" s="410"/>
      <c r="H94" s="686"/>
      <c r="I94" s="413" t="str">
        <f t="shared" si="68"/>
        <v>-</v>
      </c>
      <c r="J94" s="413" t="str">
        <f t="shared" si="69"/>
        <v>-</v>
      </c>
      <c r="K94" s="199" t="str">
        <f t="shared" si="70"/>
        <v>-</v>
      </c>
      <c r="L94" s="617"/>
      <c r="M94" s="415" t="e">
        <f>RANK(K94, K$107:$K$121)</f>
        <v>#VALUE!</v>
      </c>
      <c r="N94" s="635"/>
      <c r="O94" s="635"/>
      <c r="P94" s="490"/>
      <c r="Q94" s="416"/>
      <c r="R94" s="416"/>
      <c r="S94" s="490"/>
      <c r="T94" s="657"/>
      <c r="U94" s="490"/>
      <c r="V94" s="416"/>
      <c r="W94" s="416"/>
      <c r="X94" s="490"/>
      <c r="Y94" s="657"/>
      <c r="Z94" s="490"/>
      <c r="AA94" s="416"/>
      <c r="AB94" s="416"/>
      <c r="AC94" s="490"/>
      <c r="AD94" s="657"/>
      <c r="AE94" s="490"/>
      <c r="AF94" s="416"/>
      <c r="AG94" s="416"/>
      <c r="AH94" s="490"/>
      <c r="AI94" s="657"/>
      <c r="AJ94" s="490"/>
      <c r="AK94" s="416"/>
      <c r="AL94" s="416"/>
      <c r="AM94" s="490"/>
      <c r="AN94" s="657"/>
      <c r="AO94" s="490"/>
      <c r="AP94" s="416"/>
      <c r="AQ94" s="416"/>
      <c r="AR94" s="490"/>
      <c r="AS94" s="657"/>
      <c r="AT94" s="490"/>
      <c r="AU94" s="416"/>
      <c r="AV94" s="416"/>
      <c r="AW94" s="490"/>
      <c r="AX94" s="657"/>
      <c r="AZ94" s="398" t="e">
        <f t="shared" si="71"/>
        <v>#N/A</v>
      </c>
      <c r="BA94" s="657"/>
    </row>
    <row r="95" spans="2:53">
      <c r="B95" s="643"/>
      <c r="C95" s="409">
        <v>9</v>
      </c>
      <c r="D95" s="225"/>
      <c r="E95" s="416"/>
      <c r="F95" s="409"/>
      <c r="G95" s="410"/>
      <c r="H95" s="686"/>
      <c r="I95" s="413" t="str">
        <f t="shared" si="68"/>
        <v>-</v>
      </c>
      <c r="J95" s="413" t="str">
        <f t="shared" si="69"/>
        <v>-</v>
      </c>
      <c r="K95" s="199" t="str">
        <f t="shared" si="70"/>
        <v>-</v>
      </c>
      <c r="L95" s="617"/>
      <c r="M95" s="415" t="e">
        <f>RANK(K95, K$107:$K$121)</f>
        <v>#VALUE!</v>
      </c>
      <c r="N95" s="635"/>
      <c r="O95" s="635"/>
      <c r="P95" s="490"/>
      <c r="Q95" s="416"/>
      <c r="R95" s="416"/>
      <c r="S95" s="490"/>
      <c r="T95" s="657"/>
      <c r="U95" s="490"/>
      <c r="V95" s="416"/>
      <c r="W95" s="416"/>
      <c r="X95" s="490"/>
      <c r="Y95" s="657"/>
      <c r="Z95" s="490"/>
      <c r="AA95" s="416"/>
      <c r="AB95" s="416"/>
      <c r="AC95" s="490"/>
      <c r="AD95" s="657"/>
      <c r="AE95" s="490"/>
      <c r="AF95" s="416"/>
      <c r="AG95" s="416"/>
      <c r="AH95" s="490"/>
      <c r="AI95" s="657"/>
      <c r="AJ95" s="490"/>
      <c r="AK95" s="416"/>
      <c r="AL95" s="416"/>
      <c r="AM95" s="490"/>
      <c r="AN95" s="657"/>
      <c r="AO95" s="490"/>
      <c r="AP95" s="416"/>
      <c r="AQ95" s="416"/>
      <c r="AR95" s="490"/>
      <c r="AS95" s="657"/>
      <c r="AT95" s="490"/>
      <c r="AU95" s="416"/>
      <c r="AV95" s="416"/>
      <c r="AW95" s="490"/>
      <c r="AX95" s="657"/>
      <c r="AZ95" s="398" t="e">
        <f t="shared" si="71"/>
        <v>#N/A</v>
      </c>
      <c r="BA95" s="657"/>
    </row>
    <row r="96" spans="2:53">
      <c r="B96" s="643"/>
      <c r="C96" s="409">
        <v>10</v>
      </c>
      <c r="D96" s="225"/>
      <c r="E96" s="416"/>
      <c r="F96" s="409"/>
      <c r="G96" s="410"/>
      <c r="H96" s="686"/>
      <c r="I96" s="413" t="str">
        <f t="shared" si="68"/>
        <v>-</v>
      </c>
      <c r="J96" s="413" t="str">
        <f t="shared" si="69"/>
        <v>-</v>
      </c>
      <c r="K96" s="199" t="str">
        <f t="shared" si="70"/>
        <v>-</v>
      </c>
      <c r="L96" s="617"/>
      <c r="M96" s="415" t="e">
        <f>RANK(K96, K$107:$K$121)</f>
        <v>#VALUE!</v>
      </c>
      <c r="N96" s="635"/>
      <c r="O96" s="635"/>
      <c r="P96" s="490"/>
      <c r="Q96" s="416"/>
      <c r="R96" s="416"/>
      <c r="S96" s="490"/>
      <c r="T96" s="657"/>
      <c r="U96" s="490"/>
      <c r="V96" s="416"/>
      <c r="W96" s="416"/>
      <c r="X96" s="490"/>
      <c r="Y96" s="657"/>
      <c r="Z96" s="490"/>
      <c r="AA96" s="416"/>
      <c r="AB96" s="416"/>
      <c r="AC96" s="490"/>
      <c r="AD96" s="657"/>
      <c r="AE96" s="490"/>
      <c r="AF96" s="416"/>
      <c r="AG96" s="416"/>
      <c r="AH96" s="490"/>
      <c r="AI96" s="657"/>
      <c r="AJ96" s="490"/>
      <c r="AK96" s="416"/>
      <c r="AL96" s="416"/>
      <c r="AM96" s="490"/>
      <c r="AN96" s="657"/>
      <c r="AO96" s="490"/>
      <c r="AP96" s="416"/>
      <c r="AQ96" s="416"/>
      <c r="AR96" s="490"/>
      <c r="AS96" s="657"/>
      <c r="AT96" s="490"/>
      <c r="AU96" s="416"/>
      <c r="AV96" s="416"/>
      <c r="AW96" s="490"/>
      <c r="AX96" s="657"/>
      <c r="AZ96" s="398" t="e">
        <f t="shared" si="71"/>
        <v>#N/A</v>
      </c>
      <c r="BA96" s="657"/>
    </row>
    <row r="97" spans="2:53">
      <c r="B97" s="643"/>
      <c r="C97" s="409">
        <v>11</v>
      </c>
      <c r="D97" s="225"/>
      <c r="E97" s="416"/>
      <c r="F97" s="409"/>
      <c r="G97" s="410"/>
      <c r="H97" s="686"/>
      <c r="I97" s="413" t="str">
        <f t="shared" si="68"/>
        <v>-</v>
      </c>
      <c r="J97" s="413" t="str">
        <f t="shared" si="69"/>
        <v>-</v>
      </c>
      <c r="K97" s="199" t="str">
        <f t="shared" si="70"/>
        <v>-</v>
      </c>
      <c r="L97" s="617"/>
      <c r="M97" s="415" t="e">
        <f>RANK(K97, K$107:$K$121)</f>
        <v>#VALUE!</v>
      </c>
      <c r="N97" s="635"/>
      <c r="O97" s="635"/>
      <c r="P97" s="490"/>
      <c r="Q97" s="416"/>
      <c r="R97" s="416"/>
      <c r="S97" s="490"/>
      <c r="T97" s="657"/>
      <c r="U97" s="490"/>
      <c r="V97" s="416"/>
      <c r="W97" s="416"/>
      <c r="X97" s="490"/>
      <c r="Y97" s="657"/>
      <c r="Z97" s="490"/>
      <c r="AA97" s="416"/>
      <c r="AB97" s="416"/>
      <c r="AC97" s="490"/>
      <c r="AD97" s="657"/>
      <c r="AE97" s="490"/>
      <c r="AF97" s="416"/>
      <c r="AG97" s="416"/>
      <c r="AH97" s="490"/>
      <c r="AI97" s="657"/>
      <c r="AJ97" s="490"/>
      <c r="AK97" s="416"/>
      <c r="AL97" s="416"/>
      <c r="AM97" s="490"/>
      <c r="AN97" s="657"/>
      <c r="AO97" s="490"/>
      <c r="AP97" s="416"/>
      <c r="AQ97" s="416"/>
      <c r="AR97" s="490"/>
      <c r="AS97" s="657"/>
      <c r="AT97" s="490"/>
      <c r="AU97" s="416"/>
      <c r="AV97" s="416"/>
      <c r="AW97" s="490"/>
      <c r="AX97" s="657"/>
      <c r="AZ97" s="398" t="e">
        <f t="shared" si="71"/>
        <v>#N/A</v>
      </c>
      <c r="BA97" s="657"/>
    </row>
    <row r="98" spans="2:53">
      <c r="B98" s="643"/>
      <c r="C98" s="409">
        <v>12</v>
      </c>
      <c r="D98" s="225"/>
      <c r="E98" s="416"/>
      <c r="F98" s="409"/>
      <c r="G98" s="410"/>
      <c r="H98" s="686"/>
      <c r="I98" s="413" t="str">
        <f t="shared" si="68"/>
        <v>-</v>
      </c>
      <c r="J98" s="413" t="str">
        <f t="shared" si="69"/>
        <v>-</v>
      </c>
      <c r="K98" s="199" t="str">
        <f t="shared" si="70"/>
        <v>-</v>
      </c>
      <c r="L98" s="617"/>
      <c r="M98" s="415" t="e">
        <f>RANK(K98, K$107:$K$121)</f>
        <v>#VALUE!</v>
      </c>
      <c r="N98" s="635"/>
      <c r="O98" s="635"/>
      <c r="P98" s="490"/>
      <c r="Q98" s="416"/>
      <c r="R98" s="416"/>
      <c r="S98" s="490"/>
      <c r="T98" s="657"/>
      <c r="U98" s="490"/>
      <c r="V98" s="416"/>
      <c r="W98" s="416"/>
      <c r="X98" s="490"/>
      <c r="Y98" s="657"/>
      <c r="Z98" s="490"/>
      <c r="AA98" s="416"/>
      <c r="AB98" s="416"/>
      <c r="AC98" s="490"/>
      <c r="AD98" s="657"/>
      <c r="AE98" s="490"/>
      <c r="AF98" s="416"/>
      <c r="AG98" s="416"/>
      <c r="AH98" s="490"/>
      <c r="AI98" s="657"/>
      <c r="AJ98" s="490"/>
      <c r="AK98" s="416"/>
      <c r="AL98" s="416"/>
      <c r="AM98" s="490"/>
      <c r="AN98" s="657"/>
      <c r="AO98" s="490"/>
      <c r="AP98" s="416"/>
      <c r="AQ98" s="416"/>
      <c r="AR98" s="490"/>
      <c r="AS98" s="657"/>
      <c r="AT98" s="490"/>
      <c r="AU98" s="416"/>
      <c r="AV98" s="416"/>
      <c r="AW98" s="490"/>
      <c r="AX98" s="657"/>
      <c r="AZ98" s="398" t="e">
        <f t="shared" si="71"/>
        <v>#N/A</v>
      </c>
      <c r="BA98" s="657"/>
    </row>
    <row r="99" spans="2:53">
      <c r="B99" s="643"/>
      <c r="C99" s="409">
        <v>13</v>
      </c>
      <c r="D99" s="225"/>
      <c r="E99" s="416"/>
      <c r="F99" s="409"/>
      <c r="G99" s="410"/>
      <c r="H99" s="686"/>
      <c r="I99" s="413" t="str">
        <f t="shared" si="68"/>
        <v>-</v>
      </c>
      <c r="J99" s="413" t="str">
        <f t="shared" si="69"/>
        <v>-</v>
      </c>
      <c r="K99" s="199" t="str">
        <f t="shared" si="70"/>
        <v>-</v>
      </c>
      <c r="L99" s="617"/>
      <c r="M99" s="415" t="e">
        <f>RANK(K99, K$107:$K$121)</f>
        <v>#VALUE!</v>
      </c>
      <c r="N99" s="635"/>
      <c r="O99" s="635"/>
      <c r="P99" s="490"/>
      <c r="Q99" s="416"/>
      <c r="R99" s="416"/>
      <c r="S99" s="490"/>
      <c r="T99" s="657"/>
      <c r="U99" s="490"/>
      <c r="V99" s="416"/>
      <c r="W99" s="416"/>
      <c r="X99" s="490"/>
      <c r="Y99" s="657"/>
      <c r="Z99" s="490"/>
      <c r="AA99" s="416"/>
      <c r="AB99" s="416"/>
      <c r="AC99" s="490"/>
      <c r="AD99" s="657"/>
      <c r="AE99" s="490"/>
      <c r="AF99" s="416"/>
      <c r="AG99" s="416"/>
      <c r="AH99" s="490"/>
      <c r="AI99" s="657"/>
      <c r="AJ99" s="490"/>
      <c r="AK99" s="416"/>
      <c r="AL99" s="416"/>
      <c r="AM99" s="490"/>
      <c r="AN99" s="657"/>
      <c r="AO99" s="490"/>
      <c r="AP99" s="416"/>
      <c r="AQ99" s="416"/>
      <c r="AR99" s="490"/>
      <c r="AS99" s="657"/>
      <c r="AT99" s="490"/>
      <c r="AU99" s="416"/>
      <c r="AV99" s="416"/>
      <c r="AW99" s="490"/>
      <c r="AX99" s="657"/>
      <c r="AZ99" s="398" t="e">
        <f t="shared" si="71"/>
        <v>#N/A</v>
      </c>
      <c r="BA99" s="657"/>
    </row>
    <row r="100" spans="2:53">
      <c r="B100" s="643"/>
      <c r="C100" s="409">
        <v>14</v>
      </c>
      <c r="D100" s="225"/>
      <c r="E100" s="416"/>
      <c r="F100" s="409"/>
      <c r="G100" s="410"/>
      <c r="H100" s="686"/>
      <c r="I100" s="413" t="str">
        <f t="shared" si="68"/>
        <v>-</v>
      </c>
      <c r="J100" s="413" t="str">
        <f t="shared" si="69"/>
        <v>-</v>
      </c>
      <c r="K100" s="199" t="str">
        <f t="shared" si="70"/>
        <v>-</v>
      </c>
      <c r="L100" s="617"/>
      <c r="M100" s="415" t="e">
        <f>RANK(K100, K$107:$K$121)</f>
        <v>#VALUE!</v>
      </c>
      <c r="N100" s="635"/>
      <c r="O100" s="635"/>
      <c r="P100" s="490"/>
      <c r="Q100" s="416"/>
      <c r="R100" s="416"/>
      <c r="S100" s="490"/>
      <c r="T100" s="657"/>
      <c r="U100" s="490"/>
      <c r="V100" s="416"/>
      <c r="W100" s="416"/>
      <c r="X100" s="490"/>
      <c r="Y100" s="657"/>
      <c r="Z100" s="490"/>
      <c r="AA100" s="416"/>
      <c r="AB100" s="416"/>
      <c r="AC100" s="490"/>
      <c r="AD100" s="657"/>
      <c r="AE100" s="490"/>
      <c r="AF100" s="416"/>
      <c r="AG100" s="416"/>
      <c r="AH100" s="490"/>
      <c r="AI100" s="657"/>
      <c r="AJ100" s="490"/>
      <c r="AK100" s="416"/>
      <c r="AL100" s="416"/>
      <c r="AM100" s="490"/>
      <c r="AN100" s="657"/>
      <c r="AO100" s="490"/>
      <c r="AP100" s="416"/>
      <c r="AQ100" s="416"/>
      <c r="AR100" s="490"/>
      <c r="AS100" s="657"/>
      <c r="AT100" s="490"/>
      <c r="AU100" s="416"/>
      <c r="AV100" s="416"/>
      <c r="AW100" s="490"/>
      <c r="AX100" s="657"/>
      <c r="AZ100" s="398" t="e">
        <f t="shared" si="71"/>
        <v>#N/A</v>
      </c>
      <c r="BA100" s="657"/>
    </row>
    <row r="101" spans="2:53">
      <c r="B101" s="643"/>
      <c r="C101" s="409">
        <v>15</v>
      </c>
      <c r="D101" s="225"/>
      <c r="E101" s="416"/>
      <c r="F101" s="409"/>
      <c r="G101" s="410"/>
      <c r="H101" s="687"/>
      <c r="I101" s="487" t="str">
        <f t="shared" ref="I101" si="73">IFERROR(AVERAGE(P101,U101,Z101,AE101,AJ101,AO101,AT101),"-")</f>
        <v>-</v>
      </c>
      <c r="J101" s="487" t="str">
        <f t="shared" ref="J101" si="74">IFERROR(AVERAGE(Q101,V101,AA101,AF101,AK101,AP101,AU101),"-")</f>
        <v>-</v>
      </c>
      <c r="K101" s="199" t="str">
        <f t="shared" ref="K101" si="75">IFERROR(AVERAGE(R101,W101,AB101,AG101,AL101,AQ101,AV101),"-")</f>
        <v>-</v>
      </c>
      <c r="L101" s="618"/>
      <c r="M101" s="415" t="e">
        <f>RANK(K101, K$107:$K$121)</f>
        <v>#VALUE!</v>
      </c>
      <c r="N101" s="635"/>
      <c r="O101" s="635"/>
      <c r="P101" s="490"/>
      <c r="Q101" s="416"/>
      <c r="R101" s="416"/>
      <c r="S101" s="490"/>
      <c r="T101" s="657"/>
      <c r="U101" s="490"/>
      <c r="V101" s="416"/>
      <c r="W101" s="416"/>
      <c r="X101" s="490"/>
      <c r="Y101" s="657"/>
      <c r="Z101" s="490"/>
      <c r="AA101" s="416"/>
      <c r="AB101" s="416"/>
      <c r="AC101" s="490"/>
      <c r="AD101" s="657"/>
      <c r="AE101" s="490"/>
      <c r="AF101" s="416"/>
      <c r="AG101" s="416"/>
      <c r="AH101" s="490"/>
      <c r="AI101" s="657"/>
      <c r="AJ101" s="490"/>
      <c r="AK101" s="416"/>
      <c r="AL101" s="416"/>
      <c r="AM101" s="490"/>
      <c r="AN101" s="657"/>
      <c r="AO101" s="490"/>
      <c r="AP101" s="416"/>
      <c r="AQ101" s="416"/>
      <c r="AR101" s="490"/>
      <c r="AS101" s="657"/>
      <c r="AT101" s="490"/>
      <c r="AU101" s="416"/>
      <c r="AV101" s="416"/>
      <c r="AW101" s="490"/>
      <c r="AX101" s="657"/>
      <c r="AZ101" s="398" t="e">
        <f t="shared" si="71"/>
        <v>#N/A</v>
      </c>
      <c r="BA101" s="657"/>
    </row>
    <row r="102" spans="2:53" ht="15.75">
      <c r="B102" s="647" t="s">
        <v>163</v>
      </c>
      <c r="C102" s="648"/>
      <c r="D102" s="648"/>
      <c r="E102" s="648"/>
      <c r="F102" s="648"/>
      <c r="G102" s="648"/>
      <c r="H102" s="649"/>
      <c r="I102" s="207"/>
      <c r="J102" s="207"/>
      <c r="K102" s="207"/>
      <c r="L102" s="207"/>
      <c r="M102" s="206"/>
      <c r="N102" s="636" t="s">
        <v>156</v>
      </c>
      <c r="O102" s="636" t="s">
        <v>105</v>
      </c>
      <c r="P102" s="642">
        <f>P82+7</f>
        <v>46203</v>
      </c>
      <c r="Q102" s="643"/>
      <c r="R102" s="643"/>
      <c r="S102" s="643"/>
      <c r="T102" s="643"/>
      <c r="U102" s="639">
        <f>P102+1</f>
        <v>46204</v>
      </c>
      <c r="V102" s="640"/>
      <c r="W102" s="640"/>
      <c r="X102" s="640"/>
      <c r="Y102" s="641"/>
      <c r="Z102" s="639">
        <f>U102+1</f>
        <v>46205</v>
      </c>
      <c r="AA102" s="640"/>
      <c r="AB102" s="640"/>
      <c r="AC102" s="640"/>
      <c r="AD102" s="641"/>
      <c r="AE102" s="639">
        <f>Z102+1</f>
        <v>46206</v>
      </c>
      <c r="AF102" s="640"/>
      <c r="AG102" s="640"/>
      <c r="AH102" s="640"/>
      <c r="AI102" s="641"/>
      <c r="AJ102" s="639">
        <f>AE102+1</f>
        <v>46207</v>
      </c>
      <c r="AK102" s="640"/>
      <c r="AL102" s="640"/>
      <c r="AM102" s="640"/>
      <c r="AN102" s="641"/>
      <c r="AO102" s="639">
        <f>AJ102+1</f>
        <v>46208</v>
      </c>
      <c r="AP102" s="640"/>
      <c r="AQ102" s="640"/>
      <c r="AR102" s="640"/>
      <c r="AS102" s="641"/>
      <c r="AT102" s="639">
        <f>AO102+1</f>
        <v>46209</v>
      </c>
      <c r="AU102" s="640"/>
      <c r="AV102" s="640"/>
      <c r="AW102" s="640"/>
      <c r="AX102" s="641"/>
    </row>
    <row r="103" spans="2:53" ht="15.75">
      <c r="B103" s="650"/>
      <c r="C103" s="650"/>
      <c r="D103" s="650"/>
      <c r="E103" s="650"/>
      <c r="F103" s="650"/>
      <c r="G103" s="650"/>
      <c r="H103" s="650"/>
      <c r="I103" s="204"/>
      <c r="J103" s="204"/>
      <c r="K103" s="204"/>
      <c r="L103" s="204"/>
      <c r="M103" s="205"/>
      <c r="N103" s="638"/>
      <c r="O103" s="638"/>
      <c r="P103" s="642" t="s">
        <v>158</v>
      </c>
      <c r="Q103" s="643"/>
      <c r="R103" s="643"/>
      <c r="S103" s="643"/>
      <c r="T103" s="643"/>
      <c r="U103" s="642" t="s">
        <v>114</v>
      </c>
      <c r="V103" s="643"/>
      <c r="W103" s="643"/>
      <c r="X103" s="643"/>
      <c r="Y103" s="643"/>
      <c r="Z103" s="642" t="s">
        <v>159</v>
      </c>
      <c r="AA103" s="643"/>
      <c r="AB103" s="643"/>
      <c r="AC103" s="643"/>
      <c r="AD103" s="643"/>
      <c r="AE103" s="642" t="s">
        <v>157</v>
      </c>
      <c r="AF103" s="643"/>
      <c r="AG103" s="643"/>
      <c r="AH103" s="643"/>
      <c r="AI103" s="643"/>
      <c r="AJ103" s="642" t="s">
        <v>160</v>
      </c>
      <c r="AK103" s="643"/>
      <c r="AL103" s="643"/>
      <c r="AM103" s="643"/>
      <c r="AN103" s="643"/>
      <c r="AO103" s="642" t="s">
        <v>115</v>
      </c>
      <c r="AP103" s="643"/>
      <c r="AQ103" s="643"/>
      <c r="AR103" s="643"/>
      <c r="AS103" s="643"/>
      <c r="AT103" s="642" t="s">
        <v>162</v>
      </c>
      <c r="AU103" s="643"/>
      <c r="AV103" s="643"/>
      <c r="AW103" s="643"/>
      <c r="AX103" s="643"/>
    </row>
    <row r="104" spans="2:53">
      <c r="B104" s="635" t="s">
        <v>154</v>
      </c>
      <c r="C104" s="635" t="s">
        <v>384</v>
      </c>
      <c r="D104" s="635"/>
      <c r="E104" s="635" t="s">
        <v>375</v>
      </c>
      <c r="F104" s="635"/>
      <c r="G104" s="635"/>
      <c r="H104" s="651" t="s">
        <v>371</v>
      </c>
      <c r="I104" s="619" t="s">
        <v>376</v>
      </c>
      <c r="J104" s="619"/>
      <c r="K104" s="619"/>
      <c r="L104" s="620" t="s">
        <v>371</v>
      </c>
      <c r="M104" s="626" t="s">
        <v>372</v>
      </c>
      <c r="N104" s="635"/>
      <c r="O104" s="635" t="s">
        <v>377</v>
      </c>
      <c r="P104" s="632" t="s">
        <v>373</v>
      </c>
      <c r="Q104" s="633"/>
      <c r="R104" s="633"/>
      <c r="S104" s="634"/>
      <c r="T104" s="635" t="s">
        <v>371</v>
      </c>
      <c r="U104" s="632" t="s">
        <v>373</v>
      </c>
      <c r="V104" s="633"/>
      <c r="W104" s="633"/>
      <c r="X104" s="634"/>
      <c r="Y104" s="635" t="s">
        <v>371</v>
      </c>
      <c r="Z104" s="632" t="s">
        <v>373</v>
      </c>
      <c r="AA104" s="633"/>
      <c r="AB104" s="633"/>
      <c r="AC104" s="634"/>
      <c r="AD104" s="635" t="s">
        <v>371</v>
      </c>
      <c r="AE104" s="632" t="s">
        <v>373</v>
      </c>
      <c r="AF104" s="633"/>
      <c r="AG104" s="633"/>
      <c r="AH104" s="634"/>
      <c r="AI104" s="635" t="s">
        <v>371</v>
      </c>
      <c r="AJ104" s="632" t="s">
        <v>373</v>
      </c>
      <c r="AK104" s="633"/>
      <c r="AL104" s="633"/>
      <c r="AM104" s="634"/>
      <c r="AN104" s="635" t="s">
        <v>371</v>
      </c>
      <c r="AO104" s="632" t="s">
        <v>373</v>
      </c>
      <c r="AP104" s="633"/>
      <c r="AQ104" s="633"/>
      <c r="AR104" s="634"/>
      <c r="AS104" s="635" t="s">
        <v>371</v>
      </c>
      <c r="AT104" s="632" t="s">
        <v>373</v>
      </c>
      <c r="AU104" s="633"/>
      <c r="AV104" s="633"/>
      <c r="AW104" s="634"/>
      <c r="AX104" s="635" t="s">
        <v>371</v>
      </c>
      <c r="BA104" s="635" t="s">
        <v>371</v>
      </c>
    </row>
    <row r="105" spans="2:53">
      <c r="B105" s="635"/>
      <c r="C105" s="635"/>
      <c r="D105" s="635"/>
      <c r="E105" s="635" t="s">
        <v>378</v>
      </c>
      <c r="F105" s="635"/>
      <c r="G105" s="635"/>
      <c r="H105" s="652"/>
      <c r="I105" s="619" t="s">
        <v>378</v>
      </c>
      <c r="J105" s="619"/>
      <c r="K105" s="619"/>
      <c r="L105" s="621"/>
      <c r="M105" s="627"/>
      <c r="N105" s="635"/>
      <c r="O105" s="635"/>
      <c r="P105" s="632" t="s">
        <v>379</v>
      </c>
      <c r="Q105" s="633"/>
      <c r="R105" s="633"/>
      <c r="S105" s="634"/>
      <c r="T105" s="635"/>
      <c r="U105" s="632" t="s">
        <v>379</v>
      </c>
      <c r="V105" s="633"/>
      <c r="W105" s="633"/>
      <c r="X105" s="634"/>
      <c r="Y105" s="635"/>
      <c r="Z105" s="632" t="s">
        <v>379</v>
      </c>
      <c r="AA105" s="633"/>
      <c r="AB105" s="633"/>
      <c r="AC105" s="634"/>
      <c r="AD105" s="635"/>
      <c r="AE105" s="632" t="s">
        <v>379</v>
      </c>
      <c r="AF105" s="633"/>
      <c r="AG105" s="633"/>
      <c r="AH105" s="634"/>
      <c r="AI105" s="635"/>
      <c r="AJ105" s="632" t="s">
        <v>379</v>
      </c>
      <c r="AK105" s="633"/>
      <c r="AL105" s="633"/>
      <c r="AM105" s="634"/>
      <c r="AN105" s="635"/>
      <c r="AO105" s="632" t="s">
        <v>379</v>
      </c>
      <c r="AP105" s="633"/>
      <c r="AQ105" s="633"/>
      <c r="AR105" s="634"/>
      <c r="AS105" s="635"/>
      <c r="AT105" s="632" t="s">
        <v>379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12" t="s">
        <v>380</v>
      </c>
      <c r="F106" s="312" t="s">
        <v>381</v>
      </c>
      <c r="G106" s="312" t="s">
        <v>382</v>
      </c>
      <c r="H106" s="653"/>
      <c r="I106" s="313" t="s">
        <v>380</v>
      </c>
      <c r="J106" s="313" t="s">
        <v>381</v>
      </c>
      <c r="K106" s="313" t="s">
        <v>382</v>
      </c>
      <c r="L106" s="622"/>
      <c r="M106" s="628"/>
      <c r="N106" s="635"/>
      <c r="O106" s="635"/>
      <c r="P106" s="312" t="s">
        <v>380</v>
      </c>
      <c r="Q106" s="312" t="s">
        <v>381</v>
      </c>
      <c r="R106" s="312" t="s">
        <v>382</v>
      </c>
      <c r="S106" s="312" t="s">
        <v>372</v>
      </c>
      <c r="T106" s="635"/>
      <c r="U106" s="312" t="s">
        <v>380</v>
      </c>
      <c r="V106" s="312" t="s">
        <v>381</v>
      </c>
      <c r="W106" s="312" t="s">
        <v>382</v>
      </c>
      <c r="X106" s="312" t="s">
        <v>372</v>
      </c>
      <c r="Y106" s="635"/>
      <c r="Z106" s="312" t="s">
        <v>380</v>
      </c>
      <c r="AA106" s="312" t="s">
        <v>381</v>
      </c>
      <c r="AB106" s="312" t="s">
        <v>382</v>
      </c>
      <c r="AC106" s="312" t="s">
        <v>372</v>
      </c>
      <c r="AD106" s="635"/>
      <c r="AE106" s="312" t="s">
        <v>380</v>
      </c>
      <c r="AF106" s="312" t="s">
        <v>381</v>
      </c>
      <c r="AG106" s="312" t="s">
        <v>382</v>
      </c>
      <c r="AH106" s="312" t="s">
        <v>372</v>
      </c>
      <c r="AI106" s="635"/>
      <c r="AJ106" s="312" t="s">
        <v>380</v>
      </c>
      <c r="AK106" s="312" t="s">
        <v>381</v>
      </c>
      <c r="AL106" s="312" t="s">
        <v>382</v>
      </c>
      <c r="AM106" s="312" t="s">
        <v>372</v>
      </c>
      <c r="AN106" s="635"/>
      <c r="AO106" s="312" t="s">
        <v>380</v>
      </c>
      <c r="AP106" s="312" t="s">
        <v>381</v>
      </c>
      <c r="AQ106" s="312" t="s">
        <v>382</v>
      </c>
      <c r="AR106" s="312" t="s">
        <v>372</v>
      </c>
      <c r="AS106" s="635"/>
      <c r="AT106" s="312" t="s">
        <v>380</v>
      </c>
      <c r="AU106" s="312" t="s">
        <v>381</v>
      </c>
      <c r="AV106" s="312" t="s">
        <v>382</v>
      </c>
      <c r="AW106" s="312" t="s">
        <v>372</v>
      </c>
      <c r="AX106" s="635"/>
      <c r="AZ106" s="397" t="s">
        <v>372</v>
      </c>
      <c r="BA106" s="635"/>
    </row>
    <row r="107" spans="2:53">
      <c r="B107" s="635" t="s">
        <v>132</v>
      </c>
      <c r="C107" s="311">
        <v>1</v>
      </c>
      <c r="D107" s="225"/>
      <c r="E107" s="181"/>
      <c r="F107" s="371"/>
      <c r="G107" s="372"/>
      <c r="H107" s="685" t="e">
        <f>AVERAGE(G107:G121)</f>
        <v>#DIV/0!</v>
      </c>
      <c r="I107" s="391" t="str">
        <f t="shared" ref="I107:I120" si="76">IFERROR(AVERAGE(P107,U107,Z107,AE107,AJ107,AO107,AT107),"-")</f>
        <v>-</v>
      </c>
      <c r="J107" s="391" t="str">
        <f t="shared" ref="J107:J120" si="77">IFERROR(AVERAGE(Q107,V107,AA107,AF107,AK107,AP107,AU107),"-")</f>
        <v>-</v>
      </c>
      <c r="K107" s="199" t="str">
        <f t="shared" ref="K107:K120" si="78">IFERROR(AVERAGE(R107,W107,AB107,AG107,AL107,AQ107,AV107),"-")</f>
        <v>-</v>
      </c>
      <c r="L107" s="616" t="str">
        <f>IFERROR(AVERAGE(K107:K121),"-")</f>
        <v>-</v>
      </c>
      <c r="M107" s="200" t="e">
        <f>RANK(K107, K$107:$K$121)</f>
        <v>#VALUE!</v>
      </c>
      <c r="N107" s="635"/>
      <c r="O107" s="635"/>
      <c r="P107" s="181"/>
      <c r="Q107" s="314"/>
      <c r="R107" s="314"/>
      <c r="S107" s="311" t="e">
        <f>RANK(R107, R$107:R$121)</f>
        <v>#N/A</v>
      </c>
      <c r="T107" s="685" t="e">
        <f>AVERAGE(R107:R121)</f>
        <v>#DIV/0!</v>
      </c>
      <c r="U107" s="181"/>
      <c r="V107" s="372"/>
      <c r="W107" s="372"/>
      <c r="X107" s="311" t="e">
        <f>RANK(W107, W$107:W$121)</f>
        <v>#N/A</v>
      </c>
      <c r="Y107" s="685" t="e">
        <f>AVERAGE(W107:W121)</f>
        <v>#DIV/0!</v>
      </c>
      <c r="Z107" s="181"/>
      <c r="AA107" s="372"/>
      <c r="AB107" s="372"/>
      <c r="AC107" s="311" t="e">
        <f>RANK(AB107, AB$107:AB$121)</f>
        <v>#N/A</v>
      </c>
      <c r="AD107" s="685" t="e">
        <f>AVERAGE(AB107:AB121)</f>
        <v>#DIV/0!</v>
      </c>
      <c r="AE107" s="181"/>
      <c r="AF107" s="372"/>
      <c r="AG107" s="372"/>
      <c r="AH107" s="311" t="e">
        <f>RANK(AG107, AG$107:AG$121)</f>
        <v>#N/A</v>
      </c>
      <c r="AI107" s="685" t="e">
        <f>AVERAGE(AG107:AG121)</f>
        <v>#DIV/0!</v>
      </c>
      <c r="AJ107" s="181"/>
      <c r="AK107" s="372"/>
      <c r="AL107" s="372"/>
      <c r="AM107" s="311" t="e">
        <f>RANK(AL107, AL$107:AL$121)</f>
        <v>#N/A</v>
      </c>
      <c r="AN107" s="685" t="e">
        <f>AVERAGE(AL107:AL121)</f>
        <v>#DIV/0!</v>
      </c>
      <c r="AO107" s="181"/>
      <c r="AP107" s="372"/>
      <c r="AQ107" s="372"/>
      <c r="AR107" s="311" t="e">
        <f>RANK(AQ107, AQ$107:AQ$121)</f>
        <v>#N/A</v>
      </c>
      <c r="AS107" s="685" t="e">
        <f>AVERAGE(AQ107:AQ121)</f>
        <v>#DIV/0!</v>
      </c>
      <c r="AT107" s="181"/>
      <c r="AU107" s="372"/>
      <c r="AV107" s="372"/>
      <c r="AW107" s="311" t="e">
        <f>RANK(AV107, AV$107:AV$121)</f>
        <v>#N/A</v>
      </c>
      <c r="AX107" s="657" t="e">
        <f>AVERAGE(AV107:AV121)</f>
        <v>#DIV/0!</v>
      </c>
      <c r="AZ107" s="398" t="e">
        <f>RANK(AY107, AY$107:AY$121)</f>
        <v>#N/A</v>
      </c>
      <c r="BA107" s="657" t="e">
        <f>AVERAGE(AY107:AY121)</f>
        <v>#DIV/0!</v>
      </c>
    </row>
    <row r="108" spans="2:53">
      <c r="B108" s="643"/>
      <c r="C108" s="311">
        <v>2</v>
      </c>
      <c r="D108" s="225"/>
      <c r="E108" s="181"/>
      <c r="F108" s="371"/>
      <c r="G108" s="372"/>
      <c r="H108" s="686"/>
      <c r="I108" s="391" t="str">
        <f t="shared" si="76"/>
        <v>-</v>
      </c>
      <c r="J108" s="391" t="str">
        <f t="shared" si="77"/>
        <v>-</v>
      </c>
      <c r="K108" s="199" t="str">
        <f t="shared" si="78"/>
        <v>-</v>
      </c>
      <c r="L108" s="617"/>
      <c r="M108" s="323" t="e">
        <f>RANK(K108, K$107:$K$121)</f>
        <v>#VALUE!</v>
      </c>
      <c r="N108" s="635"/>
      <c r="O108" s="635"/>
      <c r="P108" s="311"/>
      <c r="Q108" s="314"/>
      <c r="R108" s="314"/>
      <c r="S108" s="321" t="e">
        <f t="shared" ref="S108:S121" si="79">RANK(R108, R$107:R$121)</f>
        <v>#N/A</v>
      </c>
      <c r="T108" s="686"/>
      <c r="U108" s="371"/>
      <c r="V108" s="372"/>
      <c r="W108" s="372"/>
      <c r="X108" s="311" t="e">
        <f t="shared" ref="X108:X121" si="80">RANK(W108, W$107:W$121)</f>
        <v>#N/A</v>
      </c>
      <c r="Y108" s="686"/>
      <c r="Z108" s="371"/>
      <c r="AA108" s="372"/>
      <c r="AB108" s="372"/>
      <c r="AC108" s="311" t="e">
        <f t="shared" ref="AC108:AC121" si="81">RANK(AB108, AB$107:AB$121)</f>
        <v>#N/A</v>
      </c>
      <c r="AD108" s="686"/>
      <c r="AE108" s="371"/>
      <c r="AF108" s="372"/>
      <c r="AG108" s="372"/>
      <c r="AH108" s="311" t="e">
        <f t="shared" ref="AH108:AH121" si="82">RANK(AG108, AG$107:AG$121)</f>
        <v>#N/A</v>
      </c>
      <c r="AI108" s="686"/>
      <c r="AJ108" s="371"/>
      <c r="AK108" s="372"/>
      <c r="AL108" s="372"/>
      <c r="AM108" s="311" t="e">
        <f t="shared" ref="AM108:AM121" si="83">RANK(AL108, AL$107:AL$121)</f>
        <v>#N/A</v>
      </c>
      <c r="AN108" s="686"/>
      <c r="AO108" s="371"/>
      <c r="AP108" s="372"/>
      <c r="AQ108" s="372"/>
      <c r="AR108" s="311" t="e">
        <f t="shared" ref="AR108:AR121" si="84">RANK(AQ108, AQ$107:AQ$121)</f>
        <v>#N/A</v>
      </c>
      <c r="AS108" s="686"/>
      <c r="AT108" s="371"/>
      <c r="AU108" s="372"/>
      <c r="AV108" s="372"/>
      <c r="AW108" s="311" t="e">
        <f t="shared" ref="AW108:AW121" si="85">RANK(AV108, AV$107:AV$121)</f>
        <v>#N/A</v>
      </c>
      <c r="AX108" s="657"/>
      <c r="AZ108" s="398" t="e">
        <f t="shared" ref="AZ108:AZ121" si="86">RANK(AY108, AY$107:AY$121)</f>
        <v>#N/A</v>
      </c>
      <c r="BA108" s="657"/>
    </row>
    <row r="109" spans="2:53">
      <c r="B109" s="643"/>
      <c r="C109" s="311">
        <v>3</v>
      </c>
      <c r="D109" s="225"/>
      <c r="E109" s="181"/>
      <c r="F109" s="371"/>
      <c r="G109" s="372"/>
      <c r="H109" s="686"/>
      <c r="I109" s="391" t="str">
        <f t="shared" si="76"/>
        <v>-</v>
      </c>
      <c r="J109" s="391" t="str">
        <f t="shared" si="77"/>
        <v>-</v>
      </c>
      <c r="K109" s="199" t="str">
        <f t="shared" si="78"/>
        <v>-</v>
      </c>
      <c r="L109" s="617"/>
      <c r="M109" s="323" t="e">
        <f>RANK(K109, K$107:$K$121)</f>
        <v>#VALUE!</v>
      </c>
      <c r="N109" s="635"/>
      <c r="O109" s="635"/>
      <c r="P109" s="311"/>
      <c r="Q109" s="314"/>
      <c r="R109" s="314"/>
      <c r="S109" s="321" t="e">
        <f t="shared" si="79"/>
        <v>#N/A</v>
      </c>
      <c r="T109" s="686"/>
      <c r="U109" s="371"/>
      <c r="V109" s="372"/>
      <c r="W109" s="372"/>
      <c r="X109" s="311" t="e">
        <f t="shared" si="80"/>
        <v>#N/A</v>
      </c>
      <c r="Y109" s="686"/>
      <c r="Z109" s="371"/>
      <c r="AA109" s="372"/>
      <c r="AB109" s="372"/>
      <c r="AC109" s="311" t="e">
        <f t="shared" si="81"/>
        <v>#N/A</v>
      </c>
      <c r="AD109" s="686"/>
      <c r="AE109" s="371"/>
      <c r="AF109" s="372"/>
      <c r="AG109" s="372"/>
      <c r="AH109" s="311" t="e">
        <f t="shared" si="82"/>
        <v>#N/A</v>
      </c>
      <c r="AI109" s="686"/>
      <c r="AJ109" s="371"/>
      <c r="AK109" s="372"/>
      <c r="AL109" s="372"/>
      <c r="AM109" s="311" t="e">
        <f t="shared" si="83"/>
        <v>#N/A</v>
      </c>
      <c r="AN109" s="686"/>
      <c r="AO109" s="371"/>
      <c r="AP109" s="372"/>
      <c r="AQ109" s="372"/>
      <c r="AR109" s="311" t="e">
        <f t="shared" si="84"/>
        <v>#N/A</v>
      </c>
      <c r="AS109" s="686"/>
      <c r="AT109" s="371"/>
      <c r="AU109" s="372"/>
      <c r="AV109" s="372"/>
      <c r="AW109" s="311" t="e">
        <f t="shared" si="85"/>
        <v>#N/A</v>
      </c>
      <c r="AX109" s="657"/>
      <c r="AZ109" s="398" t="e">
        <f t="shared" si="86"/>
        <v>#N/A</v>
      </c>
      <c r="BA109" s="657"/>
    </row>
    <row r="110" spans="2:53">
      <c r="B110" s="643"/>
      <c r="C110" s="311">
        <v>4</v>
      </c>
      <c r="D110" s="225"/>
      <c r="E110" s="181"/>
      <c r="F110" s="371"/>
      <c r="G110" s="372"/>
      <c r="H110" s="686"/>
      <c r="I110" s="391" t="str">
        <f t="shared" si="76"/>
        <v>-</v>
      </c>
      <c r="J110" s="391" t="str">
        <f t="shared" si="77"/>
        <v>-</v>
      </c>
      <c r="K110" s="199" t="str">
        <f t="shared" si="78"/>
        <v>-</v>
      </c>
      <c r="L110" s="617"/>
      <c r="M110" s="323" t="e">
        <f>RANK(K110, K$107:$K$121)</f>
        <v>#VALUE!</v>
      </c>
      <c r="N110" s="635"/>
      <c r="O110" s="635"/>
      <c r="P110" s="311"/>
      <c r="Q110" s="314"/>
      <c r="R110" s="314"/>
      <c r="S110" s="321" t="e">
        <f t="shared" si="79"/>
        <v>#N/A</v>
      </c>
      <c r="T110" s="686"/>
      <c r="U110" s="371"/>
      <c r="V110" s="372"/>
      <c r="W110" s="372"/>
      <c r="X110" s="311" t="e">
        <f t="shared" si="80"/>
        <v>#N/A</v>
      </c>
      <c r="Y110" s="686"/>
      <c r="Z110" s="371"/>
      <c r="AA110" s="372"/>
      <c r="AB110" s="372"/>
      <c r="AC110" s="311" t="e">
        <f t="shared" si="81"/>
        <v>#N/A</v>
      </c>
      <c r="AD110" s="686"/>
      <c r="AE110" s="371"/>
      <c r="AF110" s="372"/>
      <c r="AG110" s="372"/>
      <c r="AH110" s="311" t="e">
        <f t="shared" si="82"/>
        <v>#N/A</v>
      </c>
      <c r="AI110" s="686"/>
      <c r="AJ110" s="371"/>
      <c r="AK110" s="372"/>
      <c r="AL110" s="372"/>
      <c r="AM110" s="311" t="e">
        <f t="shared" si="83"/>
        <v>#N/A</v>
      </c>
      <c r="AN110" s="686"/>
      <c r="AO110" s="371"/>
      <c r="AP110" s="372"/>
      <c r="AQ110" s="372"/>
      <c r="AR110" s="311" t="e">
        <f t="shared" si="84"/>
        <v>#N/A</v>
      </c>
      <c r="AS110" s="686"/>
      <c r="AT110" s="371"/>
      <c r="AU110" s="372"/>
      <c r="AV110" s="372"/>
      <c r="AW110" s="311" t="e">
        <f t="shared" si="85"/>
        <v>#N/A</v>
      </c>
      <c r="AX110" s="657"/>
      <c r="AZ110" s="398" t="e">
        <f t="shared" si="86"/>
        <v>#N/A</v>
      </c>
      <c r="BA110" s="657"/>
    </row>
    <row r="111" spans="2:53">
      <c r="B111" s="643"/>
      <c r="C111" s="311">
        <v>5</v>
      </c>
      <c r="D111" s="225"/>
      <c r="E111" s="181"/>
      <c r="F111" s="371"/>
      <c r="G111" s="372"/>
      <c r="H111" s="686"/>
      <c r="I111" s="391" t="str">
        <f t="shared" si="76"/>
        <v>-</v>
      </c>
      <c r="J111" s="391" t="str">
        <f t="shared" si="77"/>
        <v>-</v>
      </c>
      <c r="K111" s="199" t="str">
        <f t="shared" si="78"/>
        <v>-</v>
      </c>
      <c r="L111" s="617"/>
      <c r="M111" s="323" t="e">
        <f>RANK(K111, K$107:$K$121)</f>
        <v>#VALUE!</v>
      </c>
      <c r="N111" s="635"/>
      <c r="O111" s="635"/>
      <c r="P111" s="311"/>
      <c r="Q111" s="314"/>
      <c r="R111" s="314"/>
      <c r="S111" s="321" t="e">
        <f t="shared" si="79"/>
        <v>#N/A</v>
      </c>
      <c r="T111" s="686"/>
      <c r="U111" s="371"/>
      <c r="V111" s="372"/>
      <c r="W111" s="372"/>
      <c r="X111" s="311" t="e">
        <f t="shared" si="80"/>
        <v>#N/A</v>
      </c>
      <c r="Y111" s="686"/>
      <c r="Z111" s="371"/>
      <c r="AA111" s="372"/>
      <c r="AB111" s="372"/>
      <c r="AC111" s="311" t="e">
        <f t="shared" si="81"/>
        <v>#N/A</v>
      </c>
      <c r="AD111" s="686"/>
      <c r="AE111" s="371"/>
      <c r="AF111" s="372"/>
      <c r="AG111" s="372"/>
      <c r="AH111" s="311" t="e">
        <f t="shared" si="82"/>
        <v>#N/A</v>
      </c>
      <c r="AI111" s="686"/>
      <c r="AJ111" s="371"/>
      <c r="AK111" s="372"/>
      <c r="AL111" s="372"/>
      <c r="AM111" s="311" t="e">
        <f t="shared" si="83"/>
        <v>#N/A</v>
      </c>
      <c r="AN111" s="686"/>
      <c r="AO111" s="371"/>
      <c r="AP111" s="372"/>
      <c r="AQ111" s="372"/>
      <c r="AR111" s="311" t="e">
        <f t="shared" si="84"/>
        <v>#N/A</v>
      </c>
      <c r="AS111" s="686"/>
      <c r="AT111" s="371"/>
      <c r="AU111" s="372"/>
      <c r="AV111" s="372"/>
      <c r="AW111" s="311" t="e">
        <f t="shared" si="85"/>
        <v>#N/A</v>
      </c>
      <c r="AX111" s="657"/>
      <c r="AZ111" s="398" t="e">
        <f t="shared" si="86"/>
        <v>#N/A</v>
      </c>
      <c r="BA111" s="657"/>
    </row>
    <row r="112" spans="2:53">
      <c r="B112" s="643"/>
      <c r="C112" s="311">
        <v>6</v>
      </c>
      <c r="D112" s="225"/>
      <c r="E112" s="181"/>
      <c r="F112" s="371"/>
      <c r="G112" s="372"/>
      <c r="H112" s="686"/>
      <c r="I112" s="391" t="str">
        <f t="shared" si="76"/>
        <v>-</v>
      </c>
      <c r="J112" s="391" t="str">
        <f t="shared" si="77"/>
        <v>-</v>
      </c>
      <c r="K112" s="199" t="str">
        <f t="shared" si="78"/>
        <v>-</v>
      </c>
      <c r="L112" s="617"/>
      <c r="M112" s="323" t="e">
        <f>RANK(K112, K$107:$K$121)</f>
        <v>#VALUE!</v>
      </c>
      <c r="N112" s="635"/>
      <c r="O112" s="635"/>
      <c r="P112" s="311"/>
      <c r="Q112" s="314"/>
      <c r="R112" s="314"/>
      <c r="S112" s="321" t="e">
        <f t="shared" si="79"/>
        <v>#N/A</v>
      </c>
      <c r="T112" s="686"/>
      <c r="U112" s="371"/>
      <c r="V112" s="372"/>
      <c r="W112" s="372"/>
      <c r="X112" s="311" t="e">
        <f t="shared" si="80"/>
        <v>#N/A</v>
      </c>
      <c r="Y112" s="686"/>
      <c r="Z112" s="371"/>
      <c r="AA112" s="372"/>
      <c r="AB112" s="372"/>
      <c r="AC112" s="311" t="e">
        <f t="shared" si="81"/>
        <v>#N/A</v>
      </c>
      <c r="AD112" s="686"/>
      <c r="AE112" s="371"/>
      <c r="AF112" s="372"/>
      <c r="AG112" s="372"/>
      <c r="AH112" s="311" t="e">
        <f t="shared" si="82"/>
        <v>#N/A</v>
      </c>
      <c r="AI112" s="686"/>
      <c r="AJ112" s="371"/>
      <c r="AK112" s="372"/>
      <c r="AL112" s="372"/>
      <c r="AM112" s="311" t="e">
        <f t="shared" si="83"/>
        <v>#N/A</v>
      </c>
      <c r="AN112" s="686"/>
      <c r="AO112" s="371"/>
      <c r="AP112" s="372"/>
      <c r="AQ112" s="372"/>
      <c r="AR112" s="311" t="e">
        <f t="shared" si="84"/>
        <v>#N/A</v>
      </c>
      <c r="AS112" s="686"/>
      <c r="AT112" s="371"/>
      <c r="AU112" s="372"/>
      <c r="AV112" s="372"/>
      <c r="AW112" s="311" t="e">
        <f t="shared" si="85"/>
        <v>#N/A</v>
      </c>
      <c r="AX112" s="657"/>
      <c r="AZ112" s="398" t="e">
        <f t="shared" si="86"/>
        <v>#N/A</v>
      </c>
      <c r="BA112" s="657"/>
    </row>
    <row r="113" spans="2:53">
      <c r="B113" s="643"/>
      <c r="C113" s="311">
        <v>7</v>
      </c>
      <c r="D113" s="225"/>
      <c r="E113" s="181"/>
      <c r="F113" s="371"/>
      <c r="G113" s="372"/>
      <c r="H113" s="686"/>
      <c r="I113" s="391" t="str">
        <f t="shared" si="76"/>
        <v>-</v>
      </c>
      <c r="J113" s="391" t="str">
        <f t="shared" si="77"/>
        <v>-</v>
      </c>
      <c r="K113" s="199" t="str">
        <f t="shared" si="78"/>
        <v>-</v>
      </c>
      <c r="L113" s="617"/>
      <c r="M113" s="323" t="e">
        <f>RANK(K113, K$107:$K$121)</f>
        <v>#VALUE!</v>
      </c>
      <c r="N113" s="635"/>
      <c r="O113" s="635"/>
      <c r="P113" s="311"/>
      <c r="Q113" s="314"/>
      <c r="R113" s="314"/>
      <c r="S113" s="321" t="e">
        <f t="shared" si="79"/>
        <v>#N/A</v>
      </c>
      <c r="T113" s="686"/>
      <c r="U113" s="371"/>
      <c r="V113" s="372"/>
      <c r="W113" s="372"/>
      <c r="X113" s="311" t="e">
        <f t="shared" si="80"/>
        <v>#N/A</v>
      </c>
      <c r="Y113" s="686"/>
      <c r="Z113" s="371"/>
      <c r="AA113" s="372"/>
      <c r="AB113" s="372"/>
      <c r="AC113" s="311" t="e">
        <f t="shared" si="81"/>
        <v>#N/A</v>
      </c>
      <c r="AD113" s="686"/>
      <c r="AE113" s="371"/>
      <c r="AF113" s="372"/>
      <c r="AG113" s="372"/>
      <c r="AH113" s="311" t="e">
        <f t="shared" si="82"/>
        <v>#N/A</v>
      </c>
      <c r="AI113" s="686"/>
      <c r="AJ113" s="371"/>
      <c r="AK113" s="372"/>
      <c r="AL113" s="372"/>
      <c r="AM113" s="311" t="e">
        <f t="shared" si="83"/>
        <v>#N/A</v>
      </c>
      <c r="AN113" s="686"/>
      <c r="AO113" s="371"/>
      <c r="AP113" s="372"/>
      <c r="AQ113" s="372"/>
      <c r="AR113" s="311" t="e">
        <f t="shared" si="84"/>
        <v>#N/A</v>
      </c>
      <c r="AS113" s="686"/>
      <c r="AT113" s="371"/>
      <c r="AU113" s="372"/>
      <c r="AV113" s="372"/>
      <c r="AW113" s="311" t="e">
        <f t="shared" si="85"/>
        <v>#N/A</v>
      </c>
      <c r="AX113" s="657"/>
      <c r="AZ113" s="398" t="e">
        <f t="shared" si="86"/>
        <v>#N/A</v>
      </c>
      <c r="BA113" s="657"/>
    </row>
    <row r="114" spans="2:53">
      <c r="B114" s="643"/>
      <c r="C114" s="311">
        <v>8</v>
      </c>
      <c r="D114" s="225"/>
      <c r="E114" s="181"/>
      <c r="F114" s="371"/>
      <c r="G114" s="372"/>
      <c r="H114" s="686"/>
      <c r="I114" s="391" t="str">
        <f t="shared" si="76"/>
        <v>-</v>
      </c>
      <c r="J114" s="391" t="str">
        <f t="shared" si="77"/>
        <v>-</v>
      </c>
      <c r="K114" s="199" t="str">
        <f t="shared" si="78"/>
        <v>-</v>
      </c>
      <c r="L114" s="617"/>
      <c r="M114" s="323" t="e">
        <f>RANK(K114, K$107:$K$121)</f>
        <v>#VALUE!</v>
      </c>
      <c r="N114" s="635"/>
      <c r="O114" s="635"/>
      <c r="P114" s="311"/>
      <c r="Q114" s="314"/>
      <c r="R114" s="314"/>
      <c r="S114" s="321" t="e">
        <f t="shared" si="79"/>
        <v>#N/A</v>
      </c>
      <c r="T114" s="686"/>
      <c r="U114" s="371"/>
      <c r="V114" s="372"/>
      <c r="W114" s="372"/>
      <c r="X114" s="311" t="e">
        <f t="shared" si="80"/>
        <v>#N/A</v>
      </c>
      <c r="Y114" s="686"/>
      <c r="Z114" s="371"/>
      <c r="AA114" s="372"/>
      <c r="AB114" s="372"/>
      <c r="AC114" s="311" t="e">
        <f t="shared" si="81"/>
        <v>#N/A</v>
      </c>
      <c r="AD114" s="686"/>
      <c r="AE114" s="371"/>
      <c r="AF114" s="372"/>
      <c r="AG114" s="372"/>
      <c r="AH114" s="311" t="e">
        <f t="shared" si="82"/>
        <v>#N/A</v>
      </c>
      <c r="AI114" s="686"/>
      <c r="AJ114" s="371"/>
      <c r="AK114" s="372"/>
      <c r="AL114" s="372"/>
      <c r="AM114" s="311" t="e">
        <f t="shared" si="83"/>
        <v>#N/A</v>
      </c>
      <c r="AN114" s="686"/>
      <c r="AO114" s="371"/>
      <c r="AP114" s="372"/>
      <c r="AQ114" s="372"/>
      <c r="AR114" s="311" t="e">
        <f t="shared" si="84"/>
        <v>#N/A</v>
      </c>
      <c r="AS114" s="686"/>
      <c r="AT114" s="371"/>
      <c r="AU114" s="372"/>
      <c r="AV114" s="372"/>
      <c r="AW114" s="311" t="e">
        <f t="shared" si="85"/>
        <v>#N/A</v>
      </c>
      <c r="AX114" s="657"/>
      <c r="AZ114" s="398" t="e">
        <f t="shared" si="86"/>
        <v>#N/A</v>
      </c>
      <c r="BA114" s="657"/>
    </row>
    <row r="115" spans="2:53">
      <c r="B115" s="643"/>
      <c r="C115" s="311">
        <v>9</v>
      </c>
      <c r="D115" s="225"/>
      <c r="E115" s="181"/>
      <c r="F115" s="371"/>
      <c r="G115" s="372"/>
      <c r="H115" s="686"/>
      <c r="I115" s="391" t="str">
        <f t="shared" si="76"/>
        <v>-</v>
      </c>
      <c r="J115" s="391" t="str">
        <f t="shared" si="77"/>
        <v>-</v>
      </c>
      <c r="K115" s="199" t="str">
        <f t="shared" si="78"/>
        <v>-</v>
      </c>
      <c r="L115" s="617"/>
      <c r="M115" s="323" t="e">
        <f>RANK(K115, K$107:$K$121)</f>
        <v>#VALUE!</v>
      </c>
      <c r="N115" s="635"/>
      <c r="O115" s="635"/>
      <c r="P115" s="311"/>
      <c r="Q115" s="314"/>
      <c r="R115" s="314"/>
      <c r="S115" s="321" t="e">
        <f t="shared" si="79"/>
        <v>#N/A</v>
      </c>
      <c r="T115" s="686"/>
      <c r="U115" s="371"/>
      <c r="V115" s="372"/>
      <c r="W115" s="372"/>
      <c r="X115" s="311" t="e">
        <f t="shared" si="80"/>
        <v>#N/A</v>
      </c>
      <c r="Y115" s="686"/>
      <c r="Z115" s="371"/>
      <c r="AA115" s="372"/>
      <c r="AB115" s="372"/>
      <c r="AC115" s="311" t="e">
        <f t="shared" si="81"/>
        <v>#N/A</v>
      </c>
      <c r="AD115" s="686"/>
      <c r="AE115" s="371"/>
      <c r="AF115" s="372"/>
      <c r="AG115" s="372"/>
      <c r="AH115" s="311" t="e">
        <f t="shared" si="82"/>
        <v>#N/A</v>
      </c>
      <c r="AI115" s="686"/>
      <c r="AJ115" s="371"/>
      <c r="AK115" s="372"/>
      <c r="AL115" s="372"/>
      <c r="AM115" s="311" t="e">
        <f t="shared" si="83"/>
        <v>#N/A</v>
      </c>
      <c r="AN115" s="686"/>
      <c r="AO115" s="371"/>
      <c r="AP115" s="372"/>
      <c r="AQ115" s="372"/>
      <c r="AR115" s="311" t="e">
        <f t="shared" si="84"/>
        <v>#N/A</v>
      </c>
      <c r="AS115" s="686"/>
      <c r="AT115" s="371"/>
      <c r="AU115" s="372"/>
      <c r="AV115" s="372"/>
      <c r="AW115" s="311" t="e">
        <f t="shared" si="85"/>
        <v>#N/A</v>
      </c>
      <c r="AX115" s="657"/>
      <c r="AZ115" s="398" t="e">
        <f t="shared" si="86"/>
        <v>#N/A</v>
      </c>
      <c r="BA115" s="657"/>
    </row>
    <row r="116" spans="2:53">
      <c r="B116" s="643"/>
      <c r="C116" s="311">
        <v>10</v>
      </c>
      <c r="D116" s="225"/>
      <c r="E116" s="181"/>
      <c r="F116" s="371"/>
      <c r="G116" s="372"/>
      <c r="H116" s="686"/>
      <c r="I116" s="391" t="str">
        <f t="shared" si="76"/>
        <v>-</v>
      </c>
      <c r="J116" s="391" t="str">
        <f t="shared" si="77"/>
        <v>-</v>
      </c>
      <c r="K116" s="199" t="str">
        <f t="shared" si="78"/>
        <v>-</v>
      </c>
      <c r="L116" s="617"/>
      <c r="M116" s="323" t="e">
        <f>RANK(K116, K$107:$K$121)</f>
        <v>#VALUE!</v>
      </c>
      <c r="N116" s="635"/>
      <c r="O116" s="635"/>
      <c r="P116" s="311"/>
      <c r="Q116" s="314"/>
      <c r="R116" s="314"/>
      <c r="S116" s="321" t="e">
        <f t="shared" si="79"/>
        <v>#N/A</v>
      </c>
      <c r="T116" s="686"/>
      <c r="U116" s="371"/>
      <c r="V116" s="372"/>
      <c r="W116" s="372"/>
      <c r="X116" s="311" t="e">
        <f t="shared" si="80"/>
        <v>#N/A</v>
      </c>
      <c r="Y116" s="686"/>
      <c r="Z116" s="371"/>
      <c r="AA116" s="372"/>
      <c r="AB116" s="372"/>
      <c r="AC116" s="311" t="e">
        <f t="shared" si="81"/>
        <v>#N/A</v>
      </c>
      <c r="AD116" s="686"/>
      <c r="AE116" s="371"/>
      <c r="AF116" s="372"/>
      <c r="AG116" s="372"/>
      <c r="AH116" s="311" t="e">
        <f t="shared" si="82"/>
        <v>#N/A</v>
      </c>
      <c r="AI116" s="686"/>
      <c r="AJ116" s="371"/>
      <c r="AK116" s="372"/>
      <c r="AL116" s="372"/>
      <c r="AM116" s="311" t="e">
        <f t="shared" si="83"/>
        <v>#N/A</v>
      </c>
      <c r="AN116" s="686"/>
      <c r="AO116" s="371"/>
      <c r="AP116" s="372"/>
      <c r="AQ116" s="372"/>
      <c r="AR116" s="311" t="e">
        <f t="shared" si="84"/>
        <v>#N/A</v>
      </c>
      <c r="AS116" s="686"/>
      <c r="AT116" s="371"/>
      <c r="AU116" s="372"/>
      <c r="AV116" s="372"/>
      <c r="AW116" s="311" t="e">
        <f t="shared" si="85"/>
        <v>#N/A</v>
      </c>
      <c r="AX116" s="657"/>
      <c r="AZ116" s="398" t="e">
        <f t="shared" si="86"/>
        <v>#N/A</v>
      </c>
      <c r="BA116" s="657"/>
    </row>
    <row r="117" spans="2:53">
      <c r="B117" s="643"/>
      <c r="C117" s="311">
        <v>11</v>
      </c>
      <c r="D117" s="225"/>
      <c r="E117" s="181"/>
      <c r="F117" s="371"/>
      <c r="G117" s="372"/>
      <c r="H117" s="686"/>
      <c r="I117" s="391" t="str">
        <f t="shared" si="76"/>
        <v>-</v>
      </c>
      <c r="J117" s="391" t="str">
        <f t="shared" si="77"/>
        <v>-</v>
      </c>
      <c r="K117" s="199" t="str">
        <f t="shared" si="78"/>
        <v>-</v>
      </c>
      <c r="L117" s="617"/>
      <c r="M117" s="323" t="e">
        <f>RANK(K117, K$107:$K$121)</f>
        <v>#VALUE!</v>
      </c>
      <c r="N117" s="635"/>
      <c r="O117" s="635"/>
      <c r="P117" s="311"/>
      <c r="Q117" s="314"/>
      <c r="R117" s="314"/>
      <c r="S117" s="321" t="e">
        <f t="shared" si="79"/>
        <v>#N/A</v>
      </c>
      <c r="T117" s="686"/>
      <c r="U117" s="371"/>
      <c r="V117" s="372"/>
      <c r="W117" s="372"/>
      <c r="X117" s="311" t="e">
        <f t="shared" si="80"/>
        <v>#N/A</v>
      </c>
      <c r="Y117" s="686"/>
      <c r="Z117" s="371"/>
      <c r="AA117" s="372"/>
      <c r="AB117" s="372"/>
      <c r="AC117" s="311" t="e">
        <f t="shared" si="81"/>
        <v>#N/A</v>
      </c>
      <c r="AD117" s="686"/>
      <c r="AE117" s="371"/>
      <c r="AF117" s="372"/>
      <c r="AG117" s="372"/>
      <c r="AH117" s="311" t="e">
        <f t="shared" si="82"/>
        <v>#N/A</v>
      </c>
      <c r="AI117" s="686"/>
      <c r="AJ117" s="371"/>
      <c r="AK117" s="372"/>
      <c r="AL117" s="372"/>
      <c r="AM117" s="311" t="e">
        <f t="shared" si="83"/>
        <v>#N/A</v>
      </c>
      <c r="AN117" s="686"/>
      <c r="AO117" s="371"/>
      <c r="AP117" s="372"/>
      <c r="AQ117" s="372"/>
      <c r="AR117" s="311" t="e">
        <f t="shared" si="84"/>
        <v>#N/A</v>
      </c>
      <c r="AS117" s="686"/>
      <c r="AT117" s="371"/>
      <c r="AU117" s="372"/>
      <c r="AV117" s="372"/>
      <c r="AW117" s="311" t="e">
        <f t="shared" si="85"/>
        <v>#N/A</v>
      </c>
      <c r="AX117" s="657"/>
      <c r="AZ117" s="398" t="e">
        <f t="shared" si="86"/>
        <v>#N/A</v>
      </c>
      <c r="BA117" s="657"/>
    </row>
    <row r="118" spans="2:53">
      <c r="B118" s="643"/>
      <c r="C118" s="311">
        <v>12</v>
      </c>
      <c r="D118" s="225"/>
      <c r="E118" s="181"/>
      <c r="F118" s="371"/>
      <c r="G118" s="372"/>
      <c r="H118" s="686"/>
      <c r="I118" s="391" t="str">
        <f t="shared" si="76"/>
        <v>-</v>
      </c>
      <c r="J118" s="391" t="str">
        <f t="shared" si="77"/>
        <v>-</v>
      </c>
      <c r="K118" s="199" t="str">
        <f t="shared" si="78"/>
        <v>-</v>
      </c>
      <c r="L118" s="617"/>
      <c r="M118" s="323" t="e">
        <f>RANK(K118, K$107:$K$121)</f>
        <v>#VALUE!</v>
      </c>
      <c r="N118" s="635"/>
      <c r="O118" s="635"/>
      <c r="P118" s="311"/>
      <c r="Q118" s="314"/>
      <c r="R118" s="314"/>
      <c r="S118" s="321" t="e">
        <f t="shared" si="79"/>
        <v>#N/A</v>
      </c>
      <c r="T118" s="686"/>
      <c r="U118" s="371"/>
      <c r="V118" s="372"/>
      <c r="W118" s="372"/>
      <c r="X118" s="311" t="e">
        <f t="shared" si="80"/>
        <v>#N/A</v>
      </c>
      <c r="Y118" s="686"/>
      <c r="Z118" s="371"/>
      <c r="AA118" s="372"/>
      <c r="AB118" s="372"/>
      <c r="AC118" s="311" t="e">
        <f t="shared" si="81"/>
        <v>#N/A</v>
      </c>
      <c r="AD118" s="686"/>
      <c r="AE118" s="371"/>
      <c r="AF118" s="372"/>
      <c r="AG118" s="372"/>
      <c r="AH118" s="311" t="e">
        <f t="shared" si="82"/>
        <v>#N/A</v>
      </c>
      <c r="AI118" s="686"/>
      <c r="AJ118" s="371"/>
      <c r="AK118" s="372"/>
      <c r="AL118" s="372"/>
      <c r="AM118" s="311" t="e">
        <f t="shared" si="83"/>
        <v>#N/A</v>
      </c>
      <c r="AN118" s="686"/>
      <c r="AO118" s="371"/>
      <c r="AP118" s="372"/>
      <c r="AQ118" s="372"/>
      <c r="AR118" s="311" t="e">
        <f t="shared" si="84"/>
        <v>#N/A</v>
      </c>
      <c r="AS118" s="686"/>
      <c r="AT118" s="371"/>
      <c r="AU118" s="372"/>
      <c r="AV118" s="372"/>
      <c r="AW118" s="311" t="e">
        <f t="shared" si="85"/>
        <v>#N/A</v>
      </c>
      <c r="AX118" s="657"/>
      <c r="AZ118" s="398" t="e">
        <f t="shared" si="86"/>
        <v>#N/A</v>
      </c>
      <c r="BA118" s="657"/>
    </row>
    <row r="119" spans="2:53">
      <c r="B119" s="643"/>
      <c r="C119" s="311">
        <v>13</v>
      </c>
      <c r="D119" s="225"/>
      <c r="E119" s="181"/>
      <c r="F119" s="371"/>
      <c r="G119" s="372"/>
      <c r="H119" s="686"/>
      <c r="I119" s="391" t="str">
        <f t="shared" si="76"/>
        <v>-</v>
      </c>
      <c r="J119" s="391" t="str">
        <f t="shared" si="77"/>
        <v>-</v>
      </c>
      <c r="K119" s="199" t="str">
        <f t="shared" si="78"/>
        <v>-</v>
      </c>
      <c r="L119" s="617"/>
      <c r="M119" s="323" t="e">
        <f>RANK(K119, K$107:$K$121)</f>
        <v>#VALUE!</v>
      </c>
      <c r="N119" s="635"/>
      <c r="O119" s="635"/>
      <c r="P119" s="311"/>
      <c r="Q119" s="314"/>
      <c r="R119" s="314"/>
      <c r="S119" s="321" t="e">
        <f t="shared" si="79"/>
        <v>#N/A</v>
      </c>
      <c r="T119" s="686"/>
      <c r="U119" s="371"/>
      <c r="V119" s="372"/>
      <c r="W119" s="372"/>
      <c r="X119" s="311" t="e">
        <f t="shared" si="80"/>
        <v>#N/A</v>
      </c>
      <c r="Y119" s="686"/>
      <c r="Z119" s="371"/>
      <c r="AA119" s="372"/>
      <c r="AB119" s="372"/>
      <c r="AC119" s="311" t="e">
        <f t="shared" si="81"/>
        <v>#N/A</v>
      </c>
      <c r="AD119" s="686"/>
      <c r="AE119" s="371"/>
      <c r="AF119" s="372"/>
      <c r="AG119" s="372"/>
      <c r="AH119" s="311" t="e">
        <f t="shared" si="82"/>
        <v>#N/A</v>
      </c>
      <c r="AI119" s="686"/>
      <c r="AJ119" s="371"/>
      <c r="AK119" s="372"/>
      <c r="AL119" s="372"/>
      <c r="AM119" s="311" t="e">
        <f t="shared" si="83"/>
        <v>#N/A</v>
      </c>
      <c r="AN119" s="686"/>
      <c r="AO119" s="371"/>
      <c r="AP119" s="372"/>
      <c r="AQ119" s="372"/>
      <c r="AR119" s="311" t="e">
        <f t="shared" si="84"/>
        <v>#N/A</v>
      </c>
      <c r="AS119" s="686"/>
      <c r="AT119" s="371"/>
      <c r="AU119" s="372"/>
      <c r="AV119" s="372"/>
      <c r="AW119" s="311" t="e">
        <f t="shared" si="85"/>
        <v>#N/A</v>
      </c>
      <c r="AX119" s="657"/>
      <c r="AZ119" s="398" t="e">
        <f t="shared" si="86"/>
        <v>#N/A</v>
      </c>
      <c r="BA119" s="657"/>
    </row>
    <row r="120" spans="2:53">
      <c r="B120" s="643"/>
      <c r="C120" s="311">
        <v>14</v>
      </c>
      <c r="D120" s="225"/>
      <c r="E120" s="181"/>
      <c r="F120" s="371"/>
      <c r="G120" s="372"/>
      <c r="H120" s="686"/>
      <c r="I120" s="391" t="str">
        <f t="shared" si="76"/>
        <v>-</v>
      </c>
      <c r="J120" s="391" t="str">
        <f t="shared" si="77"/>
        <v>-</v>
      </c>
      <c r="K120" s="199" t="str">
        <f t="shared" si="78"/>
        <v>-</v>
      </c>
      <c r="L120" s="617"/>
      <c r="M120" s="323" t="e">
        <f>RANK(K120, K$107:$K$121)</f>
        <v>#VALUE!</v>
      </c>
      <c r="N120" s="635"/>
      <c r="O120" s="635"/>
      <c r="P120" s="311"/>
      <c r="Q120" s="314"/>
      <c r="R120" s="314"/>
      <c r="S120" s="321" t="e">
        <f t="shared" si="79"/>
        <v>#N/A</v>
      </c>
      <c r="T120" s="686"/>
      <c r="U120" s="371"/>
      <c r="V120" s="372"/>
      <c r="W120" s="372"/>
      <c r="X120" s="311" t="e">
        <f t="shared" si="80"/>
        <v>#N/A</v>
      </c>
      <c r="Y120" s="686"/>
      <c r="Z120" s="371"/>
      <c r="AA120" s="372"/>
      <c r="AB120" s="372"/>
      <c r="AC120" s="311" t="e">
        <f t="shared" si="81"/>
        <v>#N/A</v>
      </c>
      <c r="AD120" s="686"/>
      <c r="AE120" s="371"/>
      <c r="AF120" s="372"/>
      <c r="AG120" s="372"/>
      <c r="AH120" s="311" t="e">
        <f t="shared" si="82"/>
        <v>#N/A</v>
      </c>
      <c r="AI120" s="686"/>
      <c r="AJ120" s="371"/>
      <c r="AK120" s="372"/>
      <c r="AL120" s="372"/>
      <c r="AM120" s="311" t="e">
        <f t="shared" si="83"/>
        <v>#N/A</v>
      </c>
      <c r="AN120" s="686"/>
      <c r="AO120" s="371"/>
      <c r="AP120" s="372"/>
      <c r="AQ120" s="372"/>
      <c r="AR120" s="311" t="e">
        <f t="shared" si="84"/>
        <v>#N/A</v>
      </c>
      <c r="AS120" s="686"/>
      <c r="AT120" s="371"/>
      <c r="AU120" s="372"/>
      <c r="AV120" s="372"/>
      <c r="AW120" s="311" t="e">
        <f t="shared" si="85"/>
        <v>#N/A</v>
      </c>
      <c r="AX120" s="657"/>
      <c r="AZ120" s="398" t="e">
        <f t="shared" si="86"/>
        <v>#N/A</v>
      </c>
      <c r="BA120" s="657"/>
    </row>
    <row r="121" spans="2:53">
      <c r="B121" s="643"/>
      <c r="C121" s="311">
        <v>15</v>
      </c>
      <c r="D121" s="225"/>
      <c r="E121" s="181"/>
      <c r="F121" s="371"/>
      <c r="G121" s="372"/>
      <c r="H121" s="687"/>
      <c r="I121" s="201"/>
      <c r="J121" s="201"/>
      <c r="K121" s="201"/>
      <c r="L121" s="618"/>
      <c r="M121" s="323" t="e">
        <f>RANK(K121, K$107:$K$121)</f>
        <v>#N/A</v>
      </c>
      <c r="N121" s="635"/>
      <c r="O121" s="635"/>
      <c r="P121" s="311"/>
      <c r="Q121" s="314"/>
      <c r="R121" s="314"/>
      <c r="S121" s="321" t="e">
        <f t="shared" si="79"/>
        <v>#N/A</v>
      </c>
      <c r="T121" s="687"/>
      <c r="U121" s="371"/>
      <c r="V121" s="372"/>
      <c r="W121" s="372"/>
      <c r="X121" s="311" t="e">
        <f t="shared" si="80"/>
        <v>#N/A</v>
      </c>
      <c r="Y121" s="687"/>
      <c r="Z121" s="371"/>
      <c r="AA121" s="372"/>
      <c r="AB121" s="372"/>
      <c r="AC121" s="311" t="e">
        <f t="shared" si="81"/>
        <v>#N/A</v>
      </c>
      <c r="AD121" s="687"/>
      <c r="AE121" s="371"/>
      <c r="AF121" s="372"/>
      <c r="AG121" s="372"/>
      <c r="AH121" s="311" t="e">
        <f t="shared" si="82"/>
        <v>#N/A</v>
      </c>
      <c r="AI121" s="687"/>
      <c r="AJ121" s="371"/>
      <c r="AK121" s="372"/>
      <c r="AL121" s="372"/>
      <c r="AM121" s="311" t="e">
        <f t="shared" si="83"/>
        <v>#N/A</v>
      </c>
      <c r="AN121" s="687"/>
      <c r="AO121" s="371"/>
      <c r="AP121" s="372"/>
      <c r="AQ121" s="372"/>
      <c r="AR121" s="311" t="e">
        <f t="shared" si="84"/>
        <v>#N/A</v>
      </c>
      <c r="AS121" s="687"/>
      <c r="AT121" s="371"/>
      <c r="AU121" s="372"/>
      <c r="AV121" s="372"/>
      <c r="AW121" s="311" t="e">
        <f t="shared" si="85"/>
        <v>#N/A</v>
      </c>
      <c r="AX121" s="657"/>
      <c r="AZ121" s="398" t="e">
        <f t="shared" si="86"/>
        <v>#N/A</v>
      </c>
      <c r="BA121" s="657"/>
    </row>
    <row r="123" spans="2:53" ht="15.75">
      <c r="B123" s="674" t="s">
        <v>482</v>
      </c>
      <c r="C123" s="675"/>
      <c r="D123" s="675"/>
      <c r="E123" s="675"/>
      <c r="F123" s="675"/>
      <c r="G123" s="675"/>
      <c r="H123" s="676"/>
      <c r="I123" s="315"/>
      <c r="J123" s="315"/>
      <c r="K123" s="315"/>
      <c r="L123" s="315"/>
      <c r="M123" s="316"/>
    </row>
    <row r="124" spans="2:53" ht="15.75">
      <c r="B124" s="677"/>
      <c r="C124" s="677"/>
      <c r="D124" s="677"/>
      <c r="E124" s="677"/>
      <c r="F124" s="677"/>
      <c r="G124" s="677"/>
      <c r="H124" s="677"/>
      <c r="I124" s="317"/>
      <c r="J124" s="317"/>
      <c r="K124" s="317"/>
      <c r="L124" s="317"/>
      <c r="M124" s="318"/>
    </row>
    <row r="125" spans="2:53">
      <c r="B125" s="635" t="s">
        <v>483</v>
      </c>
      <c r="C125" s="635" t="s">
        <v>484</v>
      </c>
      <c r="D125" s="635"/>
      <c r="E125" s="635" t="s">
        <v>485</v>
      </c>
      <c r="F125" s="635"/>
      <c r="G125" s="635"/>
      <c r="H125" s="651" t="s">
        <v>486</v>
      </c>
      <c r="I125" s="678" t="s">
        <v>487</v>
      </c>
      <c r="J125" s="678"/>
      <c r="K125" s="678"/>
      <c r="L125" s="691" t="s">
        <v>486</v>
      </c>
      <c r="M125" s="694" t="s">
        <v>488</v>
      </c>
    </row>
    <row r="126" spans="2:53">
      <c r="B126" s="635"/>
      <c r="C126" s="635"/>
      <c r="D126" s="635"/>
      <c r="E126" s="635" t="s">
        <v>489</v>
      </c>
      <c r="F126" s="635"/>
      <c r="G126" s="635"/>
      <c r="H126" s="652"/>
      <c r="I126" s="678" t="s">
        <v>489</v>
      </c>
      <c r="J126" s="678"/>
      <c r="K126" s="678"/>
      <c r="L126" s="692"/>
      <c r="M126" s="695"/>
    </row>
    <row r="127" spans="2:53">
      <c r="B127" s="635"/>
      <c r="C127" s="635"/>
      <c r="D127" s="635"/>
      <c r="E127" s="312" t="s">
        <v>490</v>
      </c>
      <c r="F127" s="312" t="s">
        <v>491</v>
      </c>
      <c r="G127" s="312" t="s">
        <v>492</v>
      </c>
      <c r="H127" s="653"/>
      <c r="I127" s="319" t="s">
        <v>490</v>
      </c>
      <c r="J127" s="319" t="s">
        <v>491</v>
      </c>
      <c r="K127" s="319" t="s">
        <v>492</v>
      </c>
      <c r="L127" s="693"/>
      <c r="M127" s="696"/>
    </row>
    <row r="128" spans="2:53">
      <c r="B128" s="635" t="s">
        <v>498</v>
      </c>
      <c r="C128" s="311">
        <v>1</v>
      </c>
      <c r="D128" s="225"/>
      <c r="E128" s="181"/>
      <c r="F128" s="311"/>
      <c r="G128" s="314"/>
      <c r="H128" s="685" t="e">
        <f>AVERAGE(G128:G142)</f>
        <v>#DIV/0!</v>
      </c>
      <c r="I128" s="198" t="e">
        <f t="shared" ref="I128:J135" si="87">AVERAGEIF($D$7:$D$121,$D128,I$7:I$121)</f>
        <v>#DIV/0!</v>
      </c>
      <c r="J128" s="198" t="e">
        <f t="shared" si="87"/>
        <v>#DIV/0!</v>
      </c>
      <c r="K128" s="198" t="e">
        <f t="shared" ref="K128:K135" si="88">AVERAGEIF($D$7:$D$121,$D128,K$7:K$121)</f>
        <v>#DIV/0!</v>
      </c>
      <c r="L128" s="688" t="e">
        <f>AVERAGE(K128:K142)</f>
        <v>#DIV/0!</v>
      </c>
      <c r="M128" s="198" t="e">
        <f>RANK(K128, K$128:$K$142)</f>
        <v>#DIV/0!</v>
      </c>
    </row>
    <row r="129" spans="2:39">
      <c r="B129" s="643"/>
      <c r="C129" s="311">
        <v>2</v>
      </c>
      <c r="D129" s="225"/>
      <c r="E129" s="181"/>
      <c r="F129" s="311"/>
      <c r="G129" s="314"/>
      <c r="H129" s="686"/>
      <c r="I129" s="198" t="e">
        <f t="shared" si="87"/>
        <v>#DIV/0!</v>
      </c>
      <c r="J129" s="198" t="e">
        <f t="shared" si="87"/>
        <v>#DIV/0!</v>
      </c>
      <c r="K129" s="198" t="e">
        <f t="shared" si="88"/>
        <v>#DIV/0!</v>
      </c>
      <c r="L129" s="689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311">
        <v>3</v>
      </c>
      <c r="D130" s="225"/>
      <c r="E130" s="181"/>
      <c r="F130" s="311"/>
      <c r="G130" s="314"/>
      <c r="H130" s="686"/>
      <c r="I130" s="198" t="e">
        <f t="shared" si="87"/>
        <v>#DIV/0!</v>
      </c>
      <c r="J130" s="198" t="e">
        <f t="shared" si="87"/>
        <v>#DIV/0!</v>
      </c>
      <c r="K130" s="198" t="e">
        <f t="shared" si="88"/>
        <v>#DIV/0!</v>
      </c>
      <c r="L130" s="689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311">
        <v>4</v>
      </c>
      <c r="D131" s="225"/>
      <c r="E131" s="181"/>
      <c r="F131" s="311"/>
      <c r="G131" s="314"/>
      <c r="H131" s="686"/>
      <c r="I131" s="198" t="e">
        <f t="shared" si="87"/>
        <v>#DIV/0!</v>
      </c>
      <c r="J131" s="198" t="e">
        <f t="shared" si="87"/>
        <v>#DIV/0!</v>
      </c>
      <c r="K131" s="198" t="e">
        <f t="shared" si="88"/>
        <v>#DIV/0!</v>
      </c>
      <c r="L131" s="689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311">
        <v>5</v>
      </c>
      <c r="D132" s="225"/>
      <c r="E132" s="181"/>
      <c r="F132" s="311"/>
      <c r="G132" s="314"/>
      <c r="H132" s="686"/>
      <c r="I132" s="198" t="e">
        <f t="shared" si="87"/>
        <v>#DIV/0!</v>
      </c>
      <c r="J132" s="198" t="e">
        <f t="shared" si="87"/>
        <v>#DIV/0!</v>
      </c>
      <c r="K132" s="198" t="e">
        <f t="shared" si="88"/>
        <v>#DIV/0!</v>
      </c>
      <c r="L132" s="689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311">
        <v>6</v>
      </c>
      <c r="D133" s="320"/>
      <c r="E133" s="181"/>
      <c r="F133" s="311"/>
      <c r="G133" s="314"/>
      <c r="H133" s="686"/>
      <c r="I133" s="198" t="e">
        <f t="shared" si="87"/>
        <v>#DIV/0!</v>
      </c>
      <c r="J133" s="198" t="e">
        <f t="shared" si="87"/>
        <v>#DIV/0!</v>
      </c>
      <c r="K133" s="198" t="e">
        <f t="shared" si="88"/>
        <v>#DIV/0!</v>
      </c>
      <c r="L133" s="689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311">
        <v>7</v>
      </c>
      <c r="D134" s="225"/>
      <c r="E134" s="181"/>
      <c r="F134" s="311"/>
      <c r="G134" s="314"/>
      <c r="H134" s="686"/>
      <c r="I134" s="198" t="e">
        <f t="shared" si="87"/>
        <v>#DIV/0!</v>
      </c>
      <c r="J134" s="198" t="e">
        <f t="shared" si="87"/>
        <v>#DIV/0!</v>
      </c>
      <c r="K134" s="198" t="e">
        <f t="shared" si="88"/>
        <v>#DIV/0!</v>
      </c>
      <c r="L134" s="689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311">
        <v>8</v>
      </c>
      <c r="D135" s="225"/>
      <c r="E135" s="181"/>
      <c r="F135" s="311"/>
      <c r="G135" s="314"/>
      <c r="H135" s="686"/>
      <c r="I135" s="198" t="e">
        <f t="shared" si="87"/>
        <v>#DIV/0!</v>
      </c>
      <c r="J135" s="198" t="e">
        <f t="shared" si="87"/>
        <v>#DIV/0!</v>
      </c>
      <c r="K135" s="198" t="e">
        <f t="shared" si="88"/>
        <v>#DIV/0!</v>
      </c>
      <c r="L135" s="689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311">
        <v>9</v>
      </c>
      <c r="D136" s="225"/>
      <c r="E136" s="311"/>
      <c r="F136" s="311"/>
      <c r="G136" s="311"/>
      <c r="H136" s="686"/>
      <c r="I136" s="198"/>
      <c r="J136" s="198"/>
      <c r="K136" s="198"/>
      <c r="L136" s="689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311">
        <v>10</v>
      </c>
      <c r="D137" s="225"/>
      <c r="E137" s="311"/>
      <c r="F137" s="311"/>
      <c r="G137" s="311"/>
      <c r="H137" s="686"/>
      <c r="I137" s="198"/>
      <c r="J137" s="198"/>
      <c r="K137" s="198"/>
      <c r="L137" s="689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311">
        <v>11</v>
      </c>
      <c r="D138" s="225"/>
      <c r="E138" s="311"/>
      <c r="F138" s="311"/>
      <c r="G138" s="311"/>
      <c r="H138" s="686"/>
      <c r="I138" s="198"/>
      <c r="J138" s="198"/>
      <c r="K138" s="198"/>
      <c r="L138" s="689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311">
        <v>12</v>
      </c>
      <c r="D139" s="225"/>
      <c r="E139" s="311"/>
      <c r="F139" s="311"/>
      <c r="G139" s="311"/>
      <c r="H139" s="686"/>
      <c r="I139" s="198"/>
      <c r="J139" s="198"/>
      <c r="K139" s="198"/>
      <c r="L139" s="689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311">
        <v>13</v>
      </c>
      <c r="D140" s="225"/>
      <c r="E140" s="311"/>
      <c r="F140" s="311"/>
      <c r="G140" s="311"/>
      <c r="H140" s="686"/>
      <c r="I140" s="198"/>
      <c r="J140" s="198"/>
      <c r="K140" s="198"/>
      <c r="L140" s="689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311">
        <v>14</v>
      </c>
      <c r="D141" s="225"/>
      <c r="E141" s="311"/>
      <c r="F141" s="311"/>
      <c r="G141" s="311"/>
      <c r="H141" s="686"/>
      <c r="I141" s="198"/>
      <c r="J141" s="198"/>
      <c r="K141" s="198"/>
      <c r="L141" s="689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311">
        <v>15</v>
      </c>
      <c r="D142" s="225"/>
      <c r="E142" s="311"/>
      <c r="F142" s="311"/>
      <c r="G142" s="311"/>
      <c r="H142" s="687"/>
      <c r="I142" s="198"/>
      <c r="J142" s="198"/>
      <c r="K142" s="198"/>
      <c r="L142" s="690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1" zoomScale="55" zoomScaleNormal="55" workbookViewId="0">
      <pane xSplit="15" topLeftCell="AK1" activePane="topRight" state="frozen"/>
      <selection activeCell="T27" sqref="S27:T41"/>
      <selection pane="topRight" activeCell="S51" sqref="S5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84.276739165803988</v>
      </c>
    </row>
    <row r="2" spans="1:53" ht="15.75">
      <c r="A2" s="81"/>
      <c r="B2" s="647" t="s">
        <v>163</v>
      </c>
      <c r="C2" s="647"/>
      <c r="D2" s="647"/>
      <c r="E2" s="647"/>
      <c r="F2" s="647"/>
      <c r="G2" s="647"/>
      <c r="H2" s="647"/>
      <c r="I2" s="292"/>
      <c r="J2" s="292"/>
      <c r="K2" s="292"/>
      <c r="L2" s="292"/>
      <c r="M2" s="196"/>
      <c r="N2" s="636" t="s">
        <v>156</v>
      </c>
      <c r="O2" s="636" t="s">
        <v>155</v>
      </c>
      <c r="P2" s="663">
        <v>46168</v>
      </c>
      <c r="Q2" s="664"/>
      <c r="R2" s="664"/>
      <c r="S2" s="664"/>
      <c r="T2" s="665"/>
      <c r="U2" s="642">
        <f>P2+1</f>
        <v>46169</v>
      </c>
      <c r="V2" s="643"/>
      <c r="W2" s="643"/>
      <c r="X2" s="643"/>
      <c r="Y2" s="643"/>
      <c r="Z2" s="642">
        <f>U2+1</f>
        <v>46170</v>
      </c>
      <c r="AA2" s="643"/>
      <c r="AB2" s="643"/>
      <c r="AC2" s="643"/>
      <c r="AD2" s="643"/>
      <c r="AE2" s="642">
        <f>Z2+1</f>
        <v>46171</v>
      </c>
      <c r="AF2" s="643"/>
      <c r="AG2" s="643"/>
      <c r="AH2" s="643"/>
      <c r="AI2" s="643"/>
      <c r="AJ2" s="642">
        <f>AE2+1</f>
        <v>46172</v>
      </c>
      <c r="AK2" s="643"/>
      <c r="AL2" s="643"/>
      <c r="AM2" s="643"/>
      <c r="AN2" s="643"/>
      <c r="AO2" s="642">
        <f>AJ2+1</f>
        <v>46173</v>
      </c>
      <c r="AP2" s="643"/>
      <c r="AQ2" s="643"/>
      <c r="AR2" s="643"/>
      <c r="AS2" s="643"/>
      <c r="AT2" s="639">
        <f>AO2+1</f>
        <v>46174</v>
      </c>
      <c r="AU2" s="640"/>
      <c r="AV2" s="640"/>
      <c r="AW2" s="640"/>
      <c r="AX2" s="641"/>
    </row>
    <row r="3" spans="1:53" ht="15.75">
      <c r="A3" s="81"/>
      <c r="B3" s="666"/>
      <c r="C3" s="666"/>
      <c r="D3" s="666"/>
      <c r="E3" s="666"/>
      <c r="F3" s="666"/>
      <c r="G3" s="666"/>
      <c r="H3" s="666"/>
      <c r="I3" s="293"/>
      <c r="J3" s="293"/>
      <c r="K3" s="293"/>
      <c r="L3" s="293"/>
      <c r="M3" s="197"/>
      <c r="N3" s="638"/>
      <c r="O3" s="638"/>
      <c r="P3" s="639" t="s">
        <v>158</v>
      </c>
      <c r="Q3" s="640"/>
      <c r="R3" s="640"/>
      <c r="S3" s="640"/>
      <c r="T3" s="641"/>
      <c r="U3" s="639" t="s">
        <v>114</v>
      </c>
      <c r="V3" s="640"/>
      <c r="W3" s="640"/>
      <c r="X3" s="640"/>
      <c r="Y3" s="641"/>
      <c r="Z3" s="639" t="s">
        <v>159</v>
      </c>
      <c r="AA3" s="640"/>
      <c r="AB3" s="640"/>
      <c r="AC3" s="640"/>
      <c r="AD3" s="641"/>
      <c r="AE3" s="639" t="s">
        <v>157</v>
      </c>
      <c r="AF3" s="640"/>
      <c r="AG3" s="640"/>
      <c r="AH3" s="640"/>
      <c r="AI3" s="641"/>
      <c r="AJ3" s="639" t="s">
        <v>160</v>
      </c>
      <c r="AK3" s="640"/>
      <c r="AL3" s="640"/>
      <c r="AM3" s="640"/>
      <c r="AN3" s="641"/>
      <c r="AO3" s="639" t="s">
        <v>161</v>
      </c>
      <c r="AP3" s="640"/>
      <c r="AQ3" s="640"/>
      <c r="AR3" s="640"/>
      <c r="AS3" s="641"/>
      <c r="AT3" s="639" t="s">
        <v>162</v>
      </c>
      <c r="AU3" s="640"/>
      <c r="AV3" s="640"/>
      <c r="AW3" s="640"/>
      <c r="AX3" s="641"/>
    </row>
    <row r="4" spans="1:53" ht="14.25">
      <c r="A4" s="81"/>
      <c r="B4" s="635" t="s">
        <v>548</v>
      </c>
      <c r="C4" s="635" t="s">
        <v>384</v>
      </c>
      <c r="D4" s="635"/>
      <c r="E4" s="635" t="s">
        <v>375</v>
      </c>
      <c r="F4" s="635"/>
      <c r="G4" s="635"/>
      <c r="H4" s="651" t="s">
        <v>371</v>
      </c>
      <c r="I4" s="619" t="s">
        <v>376</v>
      </c>
      <c r="J4" s="619"/>
      <c r="K4" s="619"/>
      <c r="L4" s="620" t="s">
        <v>371</v>
      </c>
      <c r="M4" s="626" t="s">
        <v>372</v>
      </c>
      <c r="N4" s="635"/>
      <c r="O4" s="635" t="s">
        <v>377</v>
      </c>
      <c r="P4" s="632" t="s">
        <v>373</v>
      </c>
      <c r="Q4" s="633"/>
      <c r="R4" s="633"/>
      <c r="S4" s="634"/>
      <c r="T4" s="635" t="s">
        <v>371</v>
      </c>
      <c r="U4" s="632" t="s">
        <v>373</v>
      </c>
      <c r="V4" s="633"/>
      <c r="W4" s="633"/>
      <c r="X4" s="634"/>
      <c r="Y4" s="635" t="s">
        <v>371</v>
      </c>
      <c r="Z4" s="632" t="s">
        <v>373</v>
      </c>
      <c r="AA4" s="633"/>
      <c r="AB4" s="633"/>
      <c r="AC4" s="634"/>
      <c r="AD4" s="635" t="s">
        <v>371</v>
      </c>
      <c r="AE4" s="632" t="s">
        <v>373</v>
      </c>
      <c r="AF4" s="633"/>
      <c r="AG4" s="633"/>
      <c r="AH4" s="634"/>
      <c r="AI4" s="635" t="s">
        <v>371</v>
      </c>
      <c r="AJ4" s="632" t="s">
        <v>373</v>
      </c>
      <c r="AK4" s="633"/>
      <c r="AL4" s="633"/>
      <c r="AM4" s="634"/>
      <c r="AN4" s="635" t="s">
        <v>371</v>
      </c>
      <c r="AO4" s="632" t="s">
        <v>373</v>
      </c>
      <c r="AP4" s="633"/>
      <c r="AQ4" s="633"/>
      <c r="AR4" s="634"/>
      <c r="AS4" s="635" t="s">
        <v>371</v>
      </c>
      <c r="AT4" s="632" t="s">
        <v>373</v>
      </c>
      <c r="AU4" s="633"/>
      <c r="AV4" s="633"/>
      <c r="AW4" s="634"/>
      <c r="AX4" s="635" t="s">
        <v>371</v>
      </c>
      <c r="BA4" s="635" t="s">
        <v>371</v>
      </c>
    </row>
    <row r="5" spans="1:53" ht="14.25">
      <c r="A5" s="81"/>
      <c r="B5" s="635"/>
      <c r="C5" s="635"/>
      <c r="D5" s="635"/>
      <c r="E5" s="635" t="s">
        <v>378</v>
      </c>
      <c r="F5" s="635"/>
      <c r="G5" s="635"/>
      <c r="H5" s="652"/>
      <c r="I5" s="619" t="s">
        <v>378</v>
      </c>
      <c r="J5" s="619"/>
      <c r="K5" s="619"/>
      <c r="L5" s="621"/>
      <c r="M5" s="627"/>
      <c r="N5" s="635"/>
      <c r="O5" s="635"/>
      <c r="P5" s="632" t="s">
        <v>379</v>
      </c>
      <c r="Q5" s="633"/>
      <c r="R5" s="633"/>
      <c r="S5" s="634"/>
      <c r="T5" s="635"/>
      <c r="U5" s="632" t="s">
        <v>379</v>
      </c>
      <c r="V5" s="633"/>
      <c r="W5" s="633"/>
      <c r="X5" s="634"/>
      <c r="Y5" s="635"/>
      <c r="Z5" s="632" t="s">
        <v>379</v>
      </c>
      <c r="AA5" s="633"/>
      <c r="AB5" s="633"/>
      <c r="AC5" s="634"/>
      <c r="AD5" s="635"/>
      <c r="AE5" s="632" t="s">
        <v>379</v>
      </c>
      <c r="AF5" s="633"/>
      <c r="AG5" s="633"/>
      <c r="AH5" s="634"/>
      <c r="AI5" s="635"/>
      <c r="AJ5" s="632" t="s">
        <v>379</v>
      </c>
      <c r="AK5" s="633"/>
      <c r="AL5" s="633"/>
      <c r="AM5" s="634"/>
      <c r="AN5" s="635"/>
      <c r="AO5" s="632" t="s">
        <v>379</v>
      </c>
      <c r="AP5" s="633"/>
      <c r="AQ5" s="633"/>
      <c r="AR5" s="634"/>
      <c r="AS5" s="635"/>
      <c r="AT5" s="632" t="s">
        <v>379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408" t="s">
        <v>380</v>
      </c>
      <c r="F6" s="408" t="s">
        <v>381</v>
      </c>
      <c r="G6" s="408" t="s">
        <v>382</v>
      </c>
      <c r="H6" s="653"/>
      <c r="I6" s="407" t="s">
        <v>380</v>
      </c>
      <c r="J6" s="407" t="s">
        <v>381</v>
      </c>
      <c r="K6" s="407" t="s">
        <v>382</v>
      </c>
      <c r="L6" s="622"/>
      <c r="M6" s="628"/>
      <c r="N6" s="635"/>
      <c r="O6" s="635"/>
      <c r="P6" s="408" t="s">
        <v>380</v>
      </c>
      <c r="Q6" s="408" t="s">
        <v>381</v>
      </c>
      <c r="R6" s="408" t="s">
        <v>382</v>
      </c>
      <c r="S6" s="408" t="s">
        <v>372</v>
      </c>
      <c r="T6" s="635"/>
      <c r="U6" s="408" t="s">
        <v>380</v>
      </c>
      <c r="V6" s="408" t="s">
        <v>381</v>
      </c>
      <c r="W6" s="408" t="s">
        <v>382</v>
      </c>
      <c r="X6" s="408" t="s">
        <v>372</v>
      </c>
      <c r="Y6" s="635"/>
      <c r="Z6" s="408" t="s">
        <v>380</v>
      </c>
      <c r="AA6" s="408" t="s">
        <v>381</v>
      </c>
      <c r="AB6" s="408" t="s">
        <v>382</v>
      </c>
      <c r="AC6" s="408" t="s">
        <v>372</v>
      </c>
      <c r="AD6" s="635"/>
      <c r="AE6" s="408" t="s">
        <v>380</v>
      </c>
      <c r="AF6" s="408" t="s">
        <v>381</v>
      </c>
      <c r="AG6" s="408" t="s">
        <v>382</v>
      </c>
      <c r="AH6" s="408" t="s">
        <v>372</v>
      </c>
      <c r="AI6" s="635"/>
      <c r="AJ6" s="408" t="s">
        <v>380</v>
      </c>
      <c r="AK6" s="408" t="s">
        <v>381</v>
      </c>
      <c r="AL6" s="408" t="s">
        <v>382</v>
      </c>
      <c r="AM6" s="408" t="s">
        <v>372</v>
      </c>
      <c r="AN6" s="635"/>
      <c r="AO6" s="408" t="s">
        <v>380</v>
      </c>
      <c r="AP6" s="408" t="s">
        <v>381</v>
      </c>
      <c r="AQ6" s="408" t="s">
        <v>382</v>
      </c>
      <c r="AR6" s="408" t="s">
        <v>372</v>
      </c>
      <c r="AS6" s="635"/>
      <c r="AT6" s="408" t="s">
        <v>380</v>
      </c>
      <c r="AU6" s="408" t="s">
        <v>381</v>
      </c>
      <c r="AV6" s="408" t="s">
        <v>382</v>
      </c>
      <c r="AW6" s="408" t="s">
        <v>372</v>
      </c>
      <c r="AX6" s="635"/>
      <c r="AZ6" s="397" t="s">
        <v>372</v>
      </c>
      <c r="BA6" s="635"/>
    </row>
    <row r="7" spans="1:53" ht="14.25">
      <c r="A7" s="81"/>
      <c r="B7" s="635" t="s">
        <v>135</v>
      </c>
      <c r="C7" s="409">
        <v>1</v>
      </c>
      <c r="D7" s="225" t="s">
        <v>638</v>
      </c>
      <c r="E7" s="416">
        <v>14</v>
      </c>
      <c r="F7" s="495">
        <v>1500</v>
      </c>
      <c r="G7" s="496">
        <v>107.14285714285714</v>
      </c>
      <c r="H7" s="685">
        <f>AVERAGE(G7:G21)</f>
        <v>96.992396958783516</v>
      </c>
      <c r="I7" s="413">
        <f t="shared" ref="I7:I20" si="0">IFERROR(AVERAGE(P7,U7,Z7,AE7,AJ7,AO7,AT7),"-")</f>
        <v>14</v>
      </c>
      <c r="J7" s="413">
        <f t="shared" ref="J7:J20" si="1">IFERROR(AVERAGE(Q7,V7,AA7,AF7,AK7,AP7,AU7),"-")</f>
        <v>1485.0096676540836</v>
      </c>
      <c r="K7" s="199">
        <f t="shared" ref="K7:K20" si="2">IFERROR(AVERAGE(R7,W7,AB7,AG7,AL7,AQ7,AV7),"-")</f>
        <v>106.07211911814882</v>
      </c>
      <c r="L7" s="616">
        <f>IFERROR(AVERAGE(K7:K21),"-")</f>
        <v>85.520419309778418</v>
      </c>
      <c r="M7" s="415">
        <f>RANK(K7, K$7:$K$21)</f>
        <v>1</v>
      </c>
      <c r="N7" s="635"/>
      <c r="O7" s="635"/>
      <c r="P7" s="495">
        <v>14</v>
      </c>
      <c r="Q7" s="416">
        <v>1471.1111111111104</v>
      </c>
      <c r="R7" s="416">
        <v>105.07936507936503</v>
      </c>
      <c r="S7" s="499">
        <f t="shared" ref="S7:S21" si="3">RANK(R7, R$7:R$21)</f>
        <v>1</v>
      </c>
      <c r="T7" s="704">
        <f t="shared" ref="T7" si="4">AVERAGE(R7:R21)</f>
        <v>85.579309041682578</v>
      </c>
      <c r="U7" s="495">
        <v>14</v>
      </c>
      <c r="V7" s="416">
        <v>1480.2439024390237</v>
      </c>
      <c r="W7" s="416">
        <v>105.73170731707312</v>
      </c>
      <c r="X7" s="499">
        <f t="shared" ref="X7:X21" si="5">RANK(W7, W$7:W$21)</f>
        <v>1</v>
      </c>
      <c r="Y7" s="704">
        <f t="shared" ref="Y7" si="6">AVERAGE(W7:W21)</f>
        <v>85.073356994869343</v>
      </c>
      <c r="Z7" s="495">
        <v>14</v>
      </c>
      <c r="AA7" s="416">
        <v>1490.5263157894742</v>
      </c>
      <c r="AB7" s="416">
        <v>106.46616541353387</v>
      </c>
      <c r="AC7" s="499">
        <f t="shared" ref="AC7:AC21" si="7">RANK(AB7, AB$7:AB$21)</f>
        <v>1</v>
      </c>
      <c r="AD7" s="704">
        <f t="shared" ref="AD7" si="8">AVERAGE(AB7:AB21)</f>
        <v>86.026033750516618</v>
      </c>
      <c r="AE7" s="495">
        <v>14</v>
      </c>
      <c r="AF7" s="416">
        <v>1491.0810810810817</v>
      </c>
      <c r="AG7" s="416">
        <v>106.50579150579155</v>
      </c>
      <c r="AH7" s="499">
        <f t="shared" ref="AH7:AH21" si="9">RANK(AG7, AG$7:AG$21)</f>
        <v>1</v>
      </c>
      <c r="AI7" s="704">
        <f t="shared" ref="AI7" si="10">AVERAGE(AG7:AG21)</f>
        <v>85.306113215706162</v>
      </c>
      <c r="AJ7" s="495">
        <v>14</v>
      </c>
      <c r="AK7" s="416">
        <v>1499.9999999999995</v>
      </c>
      <c r="AL7" s="416">
        <v>107.14285714285711</v>
      </c>
      <c r="AM7" s="499">
        <f t="shared" ref="AM7:AM21" si="11">RANK(AL7, AL$7:AL$21)</f>
        <v>1</v>
      </c>
      <c r="AN7" s="704">
        <f t="shared" ref="AN7" si="12">AVERAGE(AL7:AL21)</f>
        <v>85.823889950584274</v>
      </c>
      <c r="AO7" s="495">
        <v>14</v>
      </c>
      <c r="AP7" s="416">
        <v>1474.1052631578948</v>
      </c>
      <c r="AQ7" s="416">
        <v>105.29323308270678</v>
      </c>
      <c r="AR7" s="499">
        <f t="shared" ref="AR7:AR21" si="13">RANK(AQ7, AQ$7:AQ$21)</f>
        <v>1</v>
      </c>
      <c r="AS7" s="704">
        <f t="shared" ref="AS7" si="14">AVERAGE(AQ7:AQ21)</f>
        <v>85.120148500725008</v>
      </c>
      <c r="AT7" s="495">
        <v>14</v>
      </c>
      <c r="AU7" s="416">
        <v>1487.9999999999995</v>
      </c>
      <c r="AV7" s="416">
        <v>106.28571428571425</v>
      </c>
      <c r="AW7" s="499">
        <f t="shared" ref="AW7:AW21" si="15">RANK(AV7, AV$7:AV$21)</f>
        <v>1</v>
      </c>
      <c r="AX7" s="704">
        <f t="shared" ref="AX7" si="16">AVERAGE(AV7:AV21)</f>
        <v>85.714083714364932</v>
      </c>
      <c r="AZ7" s="400" t="e">
        <f t="shared" ref="AZ7:AZ21" si="17">RANK(AY7, AY$7:AY$21)</f>
        <v>#N/A</v>
      </c>
      <c r="BA7" s="704" t="e">
        <f t="shared" ref="BA7" si="18">AVERAGE(AY7:AY21)</f>
        <v>#DIV/0!</v>
      </c>
    </row>
    <row r="8" spans="1:53" ht="15" customHeight="1">
      <c r="A8" s="81"/>
      <c r="B8" s="668"/>
      <c r="C8" s="409">
        <v>2</v>
      </c>
      <c r="D8" s="225" t="s">
        <v>532</v>
      </c>
      <c r="E8" s="416">
        <v>16</v>
      </c>
      <c r="F8" s="495">
        <v>1636</v>
      </c>
      <c r="G8" s="496">
        <v>102.25</v>
      </c>
      <c r="H8" s="686"/>
      <c r="I8" s="413">
        <f t="shared" si="0"/>
        <v>17</v>
      </c>
      <c r="J8" s="413">
        <f t="shared" si="1"/>
        <v>1433.3147430638655</v>
      </c>
      <c r="K8" s="199">
        <f t="shared" si="2"/>
        <v>84.312631944933273</v>
      </c>
      <c r="L8" s="617"/>
      <c r="M8" s="415">
        <f>RANK(K8, K$7:$K$21)</f>
        <v>3</v>
      </c>
      <c r="N8" s="635"/>
      <c r="O8" s="635"/>
      <c r="P8" s="495">
        <v>17</v>
      </c>
      <c r="Q8" s="416">
        <v>1436.1702127659578</v>
      </c>
      <c r="R8" s="416">
        <v>84.480600750938692</v>
      </c>
      <c r="S8" s="499">
        <f t="shared" si="3"/>
        <v>3</v>
      </c>
      <c r="T8" s="705"/>
      <c r="U8" s="495">
        <v>17</v>
      </c>
      <c r="V8" s="416">
        <v>1430.6133333333335</v>
      </c>
      <c r="W8" s="416">
        <v>84.153725490196081</v>
      </c>
      <c r="X8" s="499">
        <f t="shared" si="5"/>
        <v>3</v>
      </c>
      <c r="Y8" s="705"/>
      <c r="Z8" s="495">
        <v>17</v>
      </c>
      <c r="AA8" s="416">
        <v>1439.3720930232555</v>
      </c>
      <c r="AB8" s="416">
        <v>84.668946648426797</v>
      </c>
      <c r="AC8" s="499">
        <f t="shared" si="7"/>
        <v>3</v>
      </c>
      <c r="AD8" s="705"/>
      <c r="AE8" s="495">
        <v>17</v>
      </c>
      <c r="AF8" s="416">
        <v>1417.4999999999995</v>
      </c>
      <c r="AG8" s="416">
        <v>83.38235294117645</v>
      </c>
      <c r="AH8" s="499">
        <f t="shared" si="9"/>
        <v>3</v>
      </c>
      <c r="AI8" s="705"/>
      <c r="AJ8" s="495">
        <v>17</v>
      </c>
      <c r="AK8" s="416">
        <v>1445.2608695652173</v>
      </c>
      <c r="AL8" s="416">
        <v>85.015345268542191</v>
      </c>
      <c r="AM8" s="499">
        <f t="shared" si="11"/>
        <v>4</v>
      </c>
      <c r="AN8" s="705"/>
      <c r="AO8" s="495">
        <v>17</v>
      </c>
      <c r="AP8" s="416">
        <v>1429.6438356164388</v>
      </c>
      <c r="AQ8" s="416">
        <v>84.096696212731686</v>
      </c>
      <c r="AR8" s="499">
        <f t="shared" si="13"/>
        <v>4</v>
      </c>
      <c r="AS8" s="705"/>
      <c r="AT8" s="495">
        <v>17</v>
      </c>
      <c r="AU8" s="416">
        <v>1434.6428571428576</v>
      </c>
      <c r="AV8" s="416">
        <v>84.390756302521027</v>
      </c>
      <c r="AW8" s="499">
        <f t="shared" si="15"/>
        <v>3</v>
      </c>
      <c r="AX8" s="705"/>
      <c r="AZ8" s="400" t="e">
        <f t="shared" si="17"/>
        <v>#N/A</v>
      </c>
      <c r="BA8" s="705"/>
    </row>
    <row r="9" spans="1:53" ht="14.25">
      <c r="A9" s="81"/>
      <c r="B9" s="668"/>
      <c r="C9" s="409">
        <v>3</v>
      </c>
      <c r="D9" s="225" t="s">
        <v>628</v>
      </c>
      <c r="E9" s="416">
        <v>16</v>
      </c>
      <c r="F9" s="495">
        <v>1500</v>
      </c>
      <c r="G9" s="496">
        <v>93.75</v>
      </c>
      <c r="H9" s="686"/>
      <c r="I9" s="413">
        <f t="shared" si="0"/>
        <v>17</v>
      </c>
      <c r="J9" s="413">
        <f t="shared" si="1"/>
        <v>1392.2802197285712</v>
      </c>
      <c r="K9" s="199">
        <f t="shared" si="2"/>
        <v>81.898836454621829</v>
      </c>
      <c r="L9" s="617"/>
      <c r="M9" s="415">
        <f>RANK(K9, K$7:$K$21)</f>
        <v>5</v>
      </c>
      <c r="N9" s="635"/>
      <c r="O9" s="635"/>
      <c r="P9" s="495">
        <v>17</v>
      </c>
      <c r="Q9" s="416">
        <v>1402.0819672131142</v>
      </c>
      <c r="R9" s="416">
        <v>82.475409836065538</v>
      </c>
      <c r="S9" s="499">
        <f t="shared" si="3"/>
        <v>4</v>
      </c>
      <c r="T9" s="705"/>
      <c r="U9" s="495">
        <v>17</v>
      </c>
      <c r="V9" s="416">
        <v>1400.7499999999993</v>
      </c>
      <c r="W9" s="416">
        <v>82.397058823529377</v>
      </c>
      <c r="X9" s="499">
        <f t="shared" si="5"/>
        <v>4</v>
      </c>
      <c r="Y9" s="705"/>
      <c r="Z9" s="495">
        <v>17</v>
      </c>
      <c r="AA9" s="416">
        <v>1382.7894736842118</v>
      </c>
      <c r="AB9" s="416">
        <v>81.340557275541869</v>
      </c>
      <c r="AC9" s="499">
        <f t="shared" si="7"/>
        <v>6</v>
      </c>
      <c r="AD9" s="705"/>
      <c r="AE9" s="495">
        <v>17</v>
      </c>
      <c r="AF9" s="416">
        <v>1372.1632653061231</v>
      </c>
      <c r="AG9" s="416">
        <v>80.715486194477833</v>
      </c>
      <c r="AH9" s="499">
        <f t="shared" si="9"/>
        <v>5</v>
      </c>
      <c r="AI9" s="705"/>
      <c r="AJ9" s="495">
        <v>17</v>
      </c>
      <c r="AK9" s="416">
        <v>1394.5862068965509</v>
      </c>
      <c r="AL9" s="416">
        <v>82.034482758620641</v>
      </c>
      <c r="AM9" s="499">
        <f t="shared" si="11"/>
        <v>5</v>
      </c>
      <c r="AN9" s="705"/>
      <c r="AO9" s="495">
        <v>17</v>
      </c>
      <c r="AP9" s="416">
        <v>1403.3906249999998</v>
      </c>
      <c r="AQ9" s="416">
        <v>82.552389705882334</v>
      </c>
      <c r="AR9" s="499">
        <f t="shared" si="13"/>
        <v>5</v>
      </c>
      <c r="AS9" s="705"/>
      <c r="AT9" s="495">
        <v>17</v>
      </c>
      <c r="AU9" s="416">
        <v>1390.1999999999996</v>
      </c>
      <c r="AV9" s="416">
        <v>81.77647058823527</v>
      </c>
      <c r="AW9" s="499">
        <f t="shared" si="15"/>
        <v>5</v>
      </c>
      <c r="AX9" s="705"/>
      <c r="AZ9" s="400" t="e">
        <f t="shared" si="17"/>
        <v>#N/A</v>
      </c>
      <c r="BA9" s="705"/>
    </row>
    <row r="10" spans="1:53" ht="14.25">
      <c r="A10" s="81"/>
      <c r="B10" s="668"/>
      <c r="C10" s="409">
        <v>4</v>
      </c>
      <c r="D10" s="225" t="s">
        <v>618</v>
      </c>
      <c r="E10" s="416">
        <v>15</v>
      </c>
      <c r="F10" s="495">
        <v>1500</v>
      </c>
      <c r="G10" s="496">
        <v>100</v>
      </c>
      <c r="H10" s="686"/>
      <c r="I10" s="413">
        <f t="shared" si="0"/>
        <v>15.142857142857142</v>
      </c>
      <c r="J10" s="413">
        <f t="shared" si="1"/>
        <v>1322.5192087332089</v>
      </c>
      <c r="K10" s="199">
        <f t="shared" si="2"/>
        <v>87.387762063695419</v>
      </c>
      <c r="L10" s="617"/>
      <c r="M10" s="415">
        <f>RANK(K10, K$7:$K$21)</f>
        <v>2</v>
      </c>
      <c r="N10" s="635"/>
      <c r="O10" s="635"/>
      <c r="P10" s="495">
        <v>16</v>
      </c>
      <c r="Q10" s="416">
        <v>1310.7111111111101</v>
      </c>
      <c r="R10" s="416">
        <v>81.91944444444438</v>
      </c>
      <c r="S10" s="499">
        <f t="shared" si="3"/>
        <v>6</v>
      </c>
      <c r="T10" s="705"/>
      <c r="U10" s="495">
        <v>15</v>
      </c>
      <c r="V10" s="416">
        <v>1331.1570247933887</v>
      </c>
      <c r="W10" s="416">
        <v>88.743801652892586</v>
      </c>
      <c r="X10" s="499">
        <f t="shared" si="5"/>
        <v>2</v>
      </c>
      <c r="Y10" s="705"/>
      <c r="Z10" s="495">
        <v>15</v>
      </c>
      <c r="AA10" s="416">
        <v>1328.2054054054051</v>
      </c>
      <c r="AB10" s="416">
        <v>88.547027027027013</v>
      </c>
      <c r="AC10" s="499">
        <f t="shared" si="7"/>
        <v>2</v>
      </c>
      <c r="AD10" s="705"/>
      <c r="AE10" s="495">
        <v>15</v>
      </c>
      <c r="AF10" s="416">
        <v>1333.4911242603553</v>
      </c>
      <c r="AG10" s="416">
        <v>88.899408284023679</v>
      </c>
      <c r="AH10" s="499">
        <f t="shared" si="9"/>
        <v>2</v>
      </c>
      <c r="AI10" s="705"/>
      <c r="AJ10" s="495">
        <v>15</v>
      </c>
      <c r="AK10" s="416">
        <v>1318.4293193717276</v>
      </c>
      <c r="AL10" s="416">
        <v>87.895287958115176</v>
      </c>
      <c r="AM10" s="499">
        <f t="shared" si="11"/>
        <v>2</v>
      </c>
      <c r="AN10" s="705"/>
      <c r="AO10" s="495">
        <v>15</v>
      </c>
      <c r="AP10" s="416">
        <v>1314.9333333333334</v>
      </c>
      <c r="AQ10" s="416">
        <v>87.662222222222226</v>
      </c>
      <c r="AR10" s="499">
        <f t="shared" si="13"/>
        <v>2</v>
      </c>
      <c r="AS10" s="705"/>
      <c r="AT10" s="495">
        <v>15</v>
      </c>
      <c r="AU10" s="416">
        <v>1320.707142857143</v>
      </c>
      <c r="AV10" s="416">
        <v>88.047142857142873</v>
      </c>
      <c r="AW10" s="499">
        <f t="shared" si="15"/>
        <v>2</v>
      </c>
      <c r="AX10" s="705"/>
      <c r="AZ10" s="400" t="e">
        <f t="shared" si="17"/>
        <v>#N/A</v>
      </c>
      <c r="BA10" s="705"/>
    </row>
    <row r="11" spans="1:53" ht="14.25">
      <c r="A11" s="81"/>
      <c r="B11" s="668"/>
      <c r="C11" s="409">
        <v>5</v>
      </c>
      <c r="D11" s="225" t="s">
        <v>631</v>
      </c>
      <c r="E11" s="416">
        <v>17</v>
      </c>
      <c r="F11" s="495">
        <v>1636</v>
      </c>
      <c r="G11" s="496">
        <v>96.235294117647058</v>
      </c>
      <c r="H11" s="686"/>
      <c r="I11" s="413">
        <f t="shared" si="0"/>
        <v>17</v>
      </c>
      <c r="J11" s="413">
        <f t="shared" si="1"/>
        <v>1306.8059290298838</v>
      </c>
      <c r="K11" s="199">
        <f t="shared" si="2"/>
        <v>76.870937001757866</v>
      </c>
      <c r="L11" s="617"/>
      <c r="M11" s="415">
        <f>RANK(K11, K$7:$K$21)</f>
        <v>7</v>
      </c>
      <c r="N11" s="635"/>
      <c r="O11" s="635"/>
      <c r="P11" s="495">
        <v>17</v>
      </c>
      <c r="Q11" s="416">
        <v>1319.4174757281558</v>
      </c>
      <c r="R11" s="416">
        <v>77.612792689891521</v>
      </c>
      <c r="S11" s="499">
        <f t="shared" si="3"/>
        <v>7</v>
      </c>
      <c r="T11" s="705"/>
      <c r="U11" s="495">
        <v>17</v>
      </c>
      <c r="V11" s="416">
        <v>1301.6326530612248</v>
      </c>
      <c r="W11" s="416">
        <v>76.566626650660282</v>
      </c>
      <c r="X11" s="499">
        <f t="shared" si="5"/>
        <v>7</v>
      </c>
      <c r="Y11" s="705"/>
      <c r="Z11" s="495">
        <v>17</v>
      </c>
      <c r="AA11" s="416">
        <v>1299.1578947368423</v>
      </c>
      <c r="AB11" s="416">
        <v>76.421052631578959</v>
      </c>
      <c r="AC11" s="499">
        <f t="shared" si="7"/>
        <v>7</v>
      </c>
      <c r="AD11" s="705"/>
      <c r="AE11" s="495">
        <v>17</v>
      </c>
      <c r="AF11" s="416">
        <v>1324.3373493975901</v>
      </c>
      <c r="AG11" s="416">
        <v>77.902197023387657</v>
      </c>
      <c r="AH11" s="499">
        <f t="shared" si="9"/>
        <v>6</v>
      </c>
      <c r="AI11" s="705"/>
      <c r="AJ11" s="495">
        <v>17</v>
      </c>
      <c r="AK11" s="416">
        <v>1309.4845360824747</v>
      </c>
      <c r="AL11" s="416">
        <v>77.028502122498509</v>
      </c>
      <c r="AM11" s="499">
        <f t="shared" si="11"/>
        <v>6</v>
      </c>
      <c r="AN11" s="705"/>
      <c r="AO11" s="495">
        <v>17</v>
      </c>
      <c r="AP11" s="416">
        <v>1293.3333333333333</v>
      </c>
      <c r="AQ11" s="416">
        <v>76.078431372549019</v>
      </c>
      <c r="AR11" s="499">
        <f t="shared" si="13"/>
        <v>6</v>
      </c>
      <c r="AS11" s="705"/>
      <c r="AT11" s="495">
        <v>17</v>
      </c>
      <c r="AU11" s="416">
        <v>1300.2782608695654</v>
      </c>
      <c r="AV11" s="416">
        <v>76.486956521739145</v>
      </c>
      <c r="AW11" s="499">
        <f t="shared" si="15"/>
        <v>7</v>
      </c>
      <c r="AX11" s="705"/>
      <c r="AZ11" s="400" t="e">
        <f t="shared" si="17"/>
        <v>#N/A</v>
      </c>
      <c r="BA11" s="705"/>
    </row>
    <row r="12" spans="1:53" ht="14.25">
      <c r="A12" s="81"/>
      <c r="B12" s="668"/>
      <c r="C12" s="409">
        <v>6</v>
      </c>
      <c r="D12" s="225" t="s">
        <v>705</v>
      </c>
      <c r="E12" s="416">
        <v>18</v>
      </c>
      <c r="F12" s="495">
        <v>1500</v>
      </c>
      <c r="G12" s="496">
        <v>83.333333333333329</v>
      </c>
      <c r="H12" s="686"/>
      <c r="I12" s="413">
        <f t="shared" si="0"/>
        <v>17.571428571428573</v>
      </c>
      <c r="J12" s="413">
        <f t="shared" si="1"/>
        <v>1378.8771277568117</v>
      </c>
      <c r="K12" s="199">
        <f t="shared" si="2"/>
        <v>78.540605464795661</v>
      </c>
      <c r="L12" s="617"/>
      <c r="M12" s="415">
        <f>RANK(K12, K$7:$K$21)</f>
        <v>6</v>
      </c>
      <c r="N12" s="635"/>
      <c r="O12" s="635"/>
      <c r="P12" s="495">
        <v>17</v>
      </c>
      <c r="Q12" s="416">
        <v>1398.9350649350654</v>
      </c>
      <c r="R12" s="416">
        <v>82.290297937356783</v>
      </c>
      <c r="S12" s="499">
        <f t="shared" si="3"/>
        <v>5</v>
      </c>
      <c r="T12" s="705"/>
      <c r="U12" s="495">
        <v>18</v>
      </c>
      <c r="V12" s="416">
        <v>1388.0704225352115</v>
      </c>
      <c r="W12" s="416">
        <v>77.115023474178415</v>
      </c>
      <c r="X12" s="499">
        <f t="shared" si="5"/>
        <v>6</v>
      </c>
      <c r="Y12" s="705"/>
      <c r="Z12" s="495">
        <v>17</v>
      </c>
      <c r="AA12" s="416">
        <v>1390.6438356164385</v>
      </c>
      <c r="AB12" s="416">
        <v>81.80257856567286</v>
      </c>
      <c r="AC12" s="499">
        <f t="shared" si="7"/>
        <v>5</v>
      </c>
      <c r="AD12" s="705"/>
      <c r="AE12" s="495">
        <v>18</v>
      </c>
      <c r="AF12" s="416">
        <v>1378.5230769230775</v>
      </c>
      <c r="AG12" s="416">
        <v>76.584615384615418</v>
      </c>
      <c r="AH12" s="499">
        <f t="shared" si="9"/>
        <v>7</v>
      </c>
      <c r="AI12" s="705"/>
      <c r="AJ12" s="495">
        <v>18</v>
      </c>
      <c r="AK12" s="416">
        <v>1374.24</v>
      </c>
      <c r="AL12" s="416">
        <v>76.346666666666664</v>
      </c>
      <c r="AM12" s="499">
        <f t="shared" si="11"/>
        <v>7</v>
      </c>
      <c r="AN12" s="705"/>
      <c r="AO12" s="495">
        <v>18</v>
      </c>
      <c r="AP12" s="416">
        <v>1363.7076923076918</v>
      </c>
      <c r="AQ12" s="416">
        <v>75.761538461538436</v>
      </c>
      <c r="AR12" s="499">
        <f t="shared" si="13"/>
        <v>7</v>
      </c>
      <c r="AS12" s="705"/>
      <c r="AT12" s="495">
        <v>17</v>
      </c>
      <c r="AU12" s="416">
        <v>1358.0198019801974</v>
      </c>
      <c r="AV12" s="416">
        <v>79.883517763541022</v>
      </c>
      <c r="AW12" s="499">
        <f t="shared" si="15"/>
        <v>6</v>
      </c>
      <c r="AX12" s="705"/>
      <c r="AZ12" s="400" t="e">
        <f t="shared" si="17"/>
        <v>#N/A</v>
      </c>
      <c r="BA12" s="705"/>
    </row>
    <row r="13" spans="1:53" ht="14.25">
      <c r="A13" s="81"/>
      <c r="B13" s="668"/>
      <c r="C13" s="409">
        <v>7</v>
      </c>
      <c r="D13" s="225" t="s">
        <v>717</v>
      </c>
      <c r="E13" s="416">
        <v>17</v>
      </c>
      <c r="F13" s="495">
        <v>1636</v>
      </c>
      <c r="G13" s="496">
        <v>96.235294117647058</v>
      </c>
      <c r="H13" s="686"/>
      <c r="I13" s="413">
        <f t="shared" si="0"/>
        <v>17.142857142857142</v>
      </c>
      <c r="J13" s="413">
        <f t="shared" si="1"/>
        <v>1432.0643838420833</v>
      </c>
      <c r="K13" s="199">
        <f t="shared" si="2"/>
        <v>83.560043120496033</v>
      </c>
      <c r="L13" s="617"/>
      <c r="M13" s="415">
        <f>RANK(K13, K$7:$K$21)</f>
        <v>4</v>
      </c>
      <c r="N13" s="635"/>
      <c r="O13" s="635"/>
      <c r="P13" s="495">
        <v>17</v>
      </c>
      <c r="Q13" s="416">
        <v>1448.3532934131738</v>
      </c>
      <c r="R13" s="416">
        <v>85.197252553716112</v>
      </c>
      <c r="S13" s="499">
        <f t="shared" si="3"/>
        <v>2</v>
      </c>
      <c r="T13" s="705"/>
      <c r="U13" s="495">
        <v>18</v>
      </c>
      <c r="V13" s="416">
        <v>1454.5</v>
      </c>
      <c r="W13" s="416">
        <v>80.805555555555557</v>
      </c>
      <c r="X13" s="499">
        <f t="shared" si="5"/>
        <v>5</v>
      </c>
      <c r="Y13" s="705"/>
      <c r="Z13" s="495">
        <v>17</v>
      </c>
      <c r="AA13" s="416">
        <v>1409.9104477611929</v>
      </c>
      <c r="AB13" s="416">
        <v>82.935908691834882</v>
      </c>
      <c r="AC13" s="499">
        <f t="shared" si="7"/>
        <v>4</v>
      </c>
      <c r="AD13" s="705"/>
      <c r="AE13" s="495">
        <v>17</v>
      </c>
      <c r="AF13" s="416">
        <v>1413.5999999999995</v>
      </c>
      <c r="AG13" s="416">
        <v>83.152941176470563</v>
      </c>
      <c r="AH13" s="499">
        <f t="shared" si="9"/>
        <v>4</v>
      </c>
      <c r="AI13" s="705"/>
      <c r="AJ13" s="495">
        <v>17</v>
      </c>
      <c r="AK13" s="416">
        <v>1450.1694915254238</v>
      </c>
      <c r="AL13" s="416">
        <v>85.30408773678964</v>
      </c>
      <c r="AM13" s="499">
        <f t="shared" si="11"/>
        <v>3</v>
      </c>
      <c r="AN13" s="705"/>
      <c r="AO13" s="495">
        <v>17</v>
      </c>
      <c r="AP13" s="416">
        <v>1434.7409836065569</v>
      </c>
      <c r="AQ13" s="416">
        <v>84.396528447444524</v>
      </c>
      <c r="AR13" s="499">
        <f t="shared" si="13"/>
        <v>3</v>
      </c>
      <c r="AS13" s="705"/>
      <c r="AT13" s="495">
        <v>17</v>
      </c>
      <c r="AU13" s="416">
        <v>1413.1764705882358</v>
      </c>
      <c r="AV13" s="416">
        <v>83.128027681660924</v>
      </c>
      <c r="AW13" s="499">
        <f t="shared" si="15"/>
        <v>4</v>
      </c>
      <c r="AX13" s="705"/>
      <c r="AZ13" s="400" t="e">
        <f t="shared" si="17"/>
        <v>#N/A</v>
      </c>
      <c r="BA13" s="705"/>
    </row>
    <row r="14" spans="1:53" ht="14.25">
      <c r="A14" s="81"/>
      <c r="B14" s="668"/>
      <c r="C14" s="409">
        <v>8</v>
      </c>
      <c r="D14" s="225"/>
      <c r="E14" s="416"/>
      <c r="F14" s="495"/>
      <c r="G14" s="496"/>
      <c r="H14" s="686"/>
      <c r="I14" s="413" t="str">
        <f t="shared" si="0"/>
        <v>-</v>
      </c>
      <c r="J14" s="413" t="str">
        <f t="shared" si="1"/>
        <v>-</v>
      </c>
      <c r="K14" s="199" t="str">
        <f t="shared" si="2"/>
        <v>-</v>
      </c>
      <c r="L14" s="617"/>
      <c r="M14" s="415" t="e">
        <f>RANK(K14, K$7:$K$21)</f>
        <v>#VALUE!</v>
      </c>
      <c r="N14" s="635"/>
      <c r="O14" s="635"/>
      <c r="P14" s="495"/>
      <c r="Q14" s="416"/>
      <c r="R14" s="416"/>
      <c r="S14" s="499" t="e">
        <f t="shared" si="3"/>
        <v>#N/A</v>
      </c>
      <c r="T14" s="705"/>
      <c r="U14" s="495"/>
      <c r="V14" s="416"/>
      <c r="W14" s="416"/>
      <c r="X14" s="499" t="e">
        <f t="shared" si="5"/>
        <v>#N/A</v>
      </c>
      <c r="Y14" s="705"/>
      <c r="Z14" s="495"/>
      <c r="AA14" s="416"/>
      <c r="AB14" s="416"/>
      <c r="AC14" s="499" t="e">
        <f t="shared" si="7"/>
        <v>#N/A</v>
      </c>
      <c r="AD14" s="705"/>
      <c r="AE14" s="495"/>
      <c r="AF14" s="416"/>
      <c r="AG14" s="416"/>
      <c r="AH14" s="499" t="e">
        <f t="shared" si="9"/>
        <v>#N/A</v>
      </c>
      <c r="AI14" s="705"/>
      <c r="AJ14" s="495"/>
      <c r="AK14" s="416"/>
      <c r="AL14" s="416"/>
      <c r="AM14" s="499" t="e">
        <f t="shared" si="11"/>
        <v>#N/A</v>
      </c>
      <c r="AN14" s="705"/>
      <c r="AO14" s="495"/>
      <c r="AP14" s="416"/>
      <c r="AQ14" s="416"/>
      <c r="AR14" s="499" t="e">
        <f t="shared" si="13"/>
        <v>#N/A</v>
      </c>
      <c r="AS14" s="705"/>
      <c r="AT14" s="495"/>
      <c r="AU14" s="416"/>
      <c r="AV14" s="416"/>
      <c r="AW14" s="499" t="e">
        <f t="shared" si="15"/>
        <v>#N/A</v>
      </c>
      <c r="AX14" s="705"/>
      <c r="AZ14" s="400" t="e">
        <f t="shared" si="17"/>
        <v>#N/A</v>
      </c>
      <c r="BA14" s="705"/>
    </row>
    <row r="15" spans="1:53" ht="14.25">
      <c r="A15" s="81"/>
      <c r="B15" s="668"/>
      <c r="C15" s="409">
        <v>9</v>
      </c>
      <c r="D15" s="225"/>
      <c r="E15" s="416"/>
      <c r="F15" s="495"/>
      <c r="G15" s="496"/>
      <c r="H15" s="686"/>
      <c r="I15" s="413" t="str">
        <f t="shared" si="0"/>
        <v>-</v>
      </c>
      <c r="J15" s="413" t="str">
        <f t="shared" si="1"/>
        <v>-</v>
      </c>
      <c r="K15" s="199" t="str">
        <f t="shared" si="2"/>
        <v>-</v>
      </c>
      <c r="L15" s="617"/>
      <c r="M15" s="415" t="e">
        <f>RANK(K15, K$7:$K$21)</f>
        <v>#VALUE!</v>
      </c>
      <c r="N15" s="635"/>
      <c r="O15" s="635"/>
      <c r="P15" s="495"/>
      <c r="Q15" s="416"/>
      <c r="R15" s="416"/>
      <c r="S15" s="499" t="e">
        <f t="shared" si="3"/>
        <v>#N/A</v>
      </c>
      <c r="T15" s="705"/>
      <c r="U15" s="495"/>
      <c r="V15" s="416"/>
      <c r="W15" s="416"/>
      <c r="X15" s="499" t="e">
        <f t="shared" si="5"/>
        <v>#N/A</v>
      </c>
      <c r="Y15" s="705"/>
      <c r="Z15" s="495"/>
      <c r="AA15" s="416"/>
      <c r="AB15" s="416"/>
      <c r="AC15" s="499" t="e">
        <f t="shared" si="7"/>
        <v>#N/A</v>
      </c>
      <c r="AD15" s="705"/>
      <c r="AE15" s="495"/>
      <c r="AF15" s="416"/>
      <c r="AG15" s="416"/>
      <c r="AH15" s="499" t="e">
        <f t="shared" si="9"/>
        <v>#N/A</v>
      </c>
      <c r="AI15" s="705"/>
      <c r="AJ15" s="495"/>
      <c r="AK15" s="416"/>
      <c r="AL15" s="416"/>
      <c r="AM15" s="499" t="e">
        <f t="shared" si="11"/>
        <v>#N/A</v>
      </c>
      <c r="AN15" s="705"/>
      <c r="AO15" s="495"/>
      <c r="AP15" s="416"/>
      <c r="AQ15" s="416"/>
      <c r="AR15" s="499" t="e">
        <f t="shared" si="13"/>
        <v>#N/A</v>
      </c>
      <c r="AS15" s="705"/>
      <c r="AT15" s="495"/>
      <c r="AU15" s="416"/>
      <c r="AV15" s="416"/>
      <c r="AW15" s="499" t="e">
        <f t="shared" si="15"/>
        <v>#N/A</v>
      </c>
      <c r="AX15" s="705"/>
      <c r="AZ15" s="400" t="e">
        <f t="shared" si="17"/>
        <v>#N/A</v>
      </c>
      <c r="BA15" s="705"/>
    </row>
    <row r="16" spans="1:53" ht="14.25">
      <c r="A16" s="81"/>
      <c r="B16" s="668"/>
      <c r="C16" s="409">
        <v>10</v>
      </c>
      <c r="D16" s="225"/>
      <c r="E16" s="416"/>
      <c r="F16" s="495"/>
      <c r="G16" s="496"/>
      <c r="H16" s="686"/>
      <c r="I16" s="413" t="str">
        <f t="shared" si="0"/>
        <v>-</v>
      </c>
      <c r="J16" s="413" t="str">
        <f t="shared" si="1"/>
        <v>-</v>
      </c>
      <c r="K16" s="199" t="str">
        <f t="shared" si="2"/>
        <v>-</v>
      </c>
      <c r="L16" s="617"/>
      <c r="M16" s="415" t="e">
        <f>RANK(K16, K$7:$K$21)</f>
        <v>#VALUE!</v>
      </c>
      <c r="N16" s="635"/>
      <c r="O16" s="635"/>
      <c r="P16" s="495"/>
      <c r="Q16" s="416"/>
      <c r="R16" s="416"/>
      <c r="S16" s="499" t="e">
        <f t="shared" si="3"/>
        <v>#N/A</v>
      </c>
      <c r="T16" s="705"/>
      <c r="U16" s="495"/>
      <c r="V16" s="416"/>
      <c r="W16" s="416"/>
      <c r="X16" s="499" t="e">
        <f t="shared" si="5"/>
        <v>#N/A</v>
      </c>
      <c r="Y16" s="705"/>
      <c r="Z16" s="495"/>
      <c r="AA16" s="416"/>
      <c r="AB16" s="416"/>
      <c r="AC16" s="499" t="e">
        <f t="shared" si="7"/>
        <v>#N/A</v>
      </c>
      <c r="AD16" s="705"/>
      <c r="AE16" s="495"/>
      <c r="AF16" s="416"/>
      <c r="AG16" s="416"/>
      <c r="AH16" s="499" t="e">
        <f t="shared" si="9"/>
        <v>#N/A</v>
      </c>
      <c r="AI16" s="705"/>
      <c r="AJ16" s="495"/>
      <c r="AK16" s="416"/>
      <c r="AL16" s="416"/>
      <c r="AM16" s="499" t="e">
        <f t="shared" si="11"/>
        <v>#N/A</v>
      </c>
      <c r="AN16" s="705"/>
      <c r="AO16" s="495"/>
      <c r="AP16" s="416"/>
      <c r="AQ16" s="416"/>
      <c r="AR16" s="499" t="e">
        <f t="shared" si="13"/>
        <v>#N/A</v>
      </c>
      <c r="AS16" s="705"/>
      <c r="AT16" s="495"/>
      <c r="AU16" s="416"/>
      <c r="AV16" s="416"/>
      <c r="AW16" s="499" t="e">
        <f t="shared" si="15"/>
        <v>#N/A</v>
      </c>
      <c r="AX16" s="705"/>
      <c r="AZ16" s="400" t="e">
        <f t="shared" si="17"/>
        <v>#N/A</v>
      </c>
      <c r="BA16" s="705"/>
    </row>
    <row r="17" spans="2:53">
      <c r="B17" s="668"/>
      <c r="C17" s="409">
        <v>11</v>
      </c>
      <c r="D17" s="225"/>
      <c r="E17" s="416"/>
      <c r="F17" s="495"/>
      <c r="G17" s="496"/>
      <c r="H17" s="686"/>
      <c r="I17" s="413" t="str">
        <f t="shared" si="0"/>
        <v>-</v>
      </c>
      <c r="J17" s="413" t="str">
        <f t="shared" si="1"/>
        <v>-</v>
      </c>
      <c r="K17" s="199" t="str">
        <f t="shared" si="2"/>
        <v>-</v>
      </c>
      <c r="L17" s="617"/>
      <c r="M17" s="415" t="e">
        <f>RANK(K17, K$7:$K$21)</f>
        <v>#VALUE!</v>
      </c>
      <c r="N17" s="635"/>
      <c r="O17" s="635"/>
      <c r="P17" s="495"/>
      <c r="Q17" s="416"/>
      <c r="R17" s="416"/>
      <c r="S17" s="499" t="e">
        <f t="shared" si="3"/>
        <v>#N/A</v>
      </c>
      <c r="T17" s="705"/>
      <c r="U17" s="495"/>
      <c r="V17" s="416"/>
      <c r="W17" s="416"/>
      <c r="X17" s="499" t="e">
        <f t="shared" si="5"/>
        <v>#N/A</v>
      </c>
      <c r="Y17" s="705"/>
      <c r="Z17" s="495"/>
      <c r="AA17" s="416"/>
      <c r="AB17" s="416"/>
      <c r="AC17" s="499" t="e">
        <f t="shared" si="7"/>
        <v>#N/A</v>
      </c>
      <c r="AD17" s="705"/>
      <c r="AE17" s="495"/>
      <c r="AF17" s="416"/>
      <c r="AG17" s="416"/>
      <c r="AH17" s="499" t="e">
        <f t="shared" si="9"/>
        <v>#N/A</v>
      </c>
      <c r="AI17" s="705"/>
      <c r="AJ17" s="495"/>
      <c r="AK17" s="416"/>
      <c r="AL17" s="416"/>
      <c r="AM17" s="499" t="e">
        <f t="shared" si="11"/>
        <v>#N/A</v>
      </c>
      <c r="AN17" s="705"/>
      <c r="AO17" s="495"/>
      <c r="AP17" s="416"/>
      <c r="AQ17" s="416"/>
      <c r="AR17" s="499" t="e">
        <f t="shared" si="13"/>
        <v>#N/A</v>
      </c>
      <c r="AS17" s="705"/>
      <c r="AT17" s="495"/>
      <c r="AU17" s="416"/>
      <c r="AV17" s="416"/>
      <c r="AW17" s="499" t="e">
        <f t="shared" si="15"/>
        <v>#N/A</v>
      </c>
      <c r="AX17" s="705"/>
      <c r="AZ17" s="400" t="e">
        <f t="shared" si="17"/>
        <v>#N/A</v>
      </c>
      <c r="BA17" s="705"/>
    </row>
    <row r="18" spans="2:53">
      <c r="B18" s="668"/>
      <c r="C18" s="409">
        <v>12</v>
      </c>
      <c r="D18" s="225"/>
      <c r="E18" s="416"/>
      <c r="F18" s="495"/>
      <c r="G18" s="496"/>
      <c r="H18" s="686"/>
      <c r="I18" s="413" t="str">
        <f t="shared" si="0"/>
        <v>-</v>
      </c>
      <c r="J18" s="413" t="str">
        <f t="shared" si="1"/>
        <v>-</v>
      </c>
      <c r="K18" s="199" t="str">
        <f t="shared" si="2"/>
        <v>-</v>
      </c>
      <c r="L18" s="617"/>
      <c r="M18" s="415" t="e">
        <f>RANK(K18, K$7:$K$21)</f>
        <v>#VALUE!</v>
      </c>
      <c r="N18" s="635"/>
      <c r="O18" s="635"/>
      <c r="P18" s="495"/>
      <c r="Q18" s="416"/>
      <c r="R18" s="416"/>
      <c r="S18" s="499" t="e">
        <f t="shared" si="3"/>
        <v>#N/A</v>
      </c>
      <c r="T18" s="705"/>
      <c r="U18" s="495"/>
      <c r="V18" s="416"/>
      <c r="W18" s="416"/>
      <c r="X18" s="499" t="e">
        <f t="shared" si="5"/>
        <v>#N/A</v>
      </c>
      <c r="Y18" s="705"/>
      <c r="Z18" s="495"/>
      <c r="AA18" s="416"/>
      <c r="AB18" s="416"/>
      <c r="AC18" s="499" t="e">
        <f t="shared" si="7"/>
        <v>#N/A</v>
      </c>
      <c r="AD18" s="705"/>
      <c r="AE18" s="495"/>
      <c r="AF18" s="416"/>
      <c r="AG18" s="416"/>
      <c r="AH18" s="499" t="e">
        <f t="shared" si="9"/>
        <v>#N/A</v>
      </c>
      <c r="AI18" s="705"/>
      <c r="AJ18" s="495"/>
      <c r="AK18" s="416"/>
      <c r="AL18" s="416"/>
      <c r="AM18" s="499" t="e">
        <f t="shared" si="11"/>
        <v>#N/A</v>
      </c>
      <c r="AN18" s="705"/>
      <c r="AO18" s="495"/>
      <c r="AP18" s="416"/>
      <c r="AQ18" s="416"/>
      <c r="AR18" s="499" t="e">
        <f t="shared" si="13"/>
        <v>#N/A</v>
      </c>
      <c r="AS18" s="705"/>
      <c r="AT18" s="495"/>
      <c r="AU18" s="416"/>
      <c r="AV18" s="416"/>
      <c r="AW18" s="499" t="e">
        <f t="shared" si="15"/>
        <v>#N/A</v>
      </c>
      <c r="AX18" s="705"/>
      <c r="AZ18" s="400" t="e">
        <f t="shared" si="17"/>
        <v>#N/A</v>
      </c>
      <c r="BA18" s="705"/>
    </row>
    <row r="19" spans="2:53">
      <c r="B19" s="668"/>
      <c r="C19" s="409">
        <v>13</v>
      </c>
      <c r="D19" s="225"/>
      <c r="E19" s="416"/>
      <c r="F19" s="495"/>
      <c r="G19" s="496"/>
      <c r="H19" s="686"/>
      <c r="I19" s="413" t="str">
        <f t="shared" si="0"/>
        <v>-</v>
      </c>
      <c r="J19" s="413" t="str">
        <f t="shared" si="1"/>
        <v>-</v>
      </c>
      <c r="K19" s="199" t="str">
        <f t="shared" si="2"/>
        <v>-</v>
      </c>
      <c r="L19" s="617"/>
      <c r="M19" s="415" t="e">
        <f>RANK(K19, K$7:$K$21)</f>
        <v>#VALUE!</v>
      </c>
      <c r="N19" s="635"/>
      <c r="O19" s="635"/>
      <c r="P19" s="495"/>
      <c r="Q19" s="416"/>
      <c r="R19" s="416"/>
      <c r="S19" s="499" t="e">
        <f t="shared" si="3"/>
        <v>#N/A</v>
      </c>
      <c r="T19" s="705"/>
      <c r="U19" s="495"/>
      <c r="V19" s="416"/>
      <c r="W19" s="416"/>
      <c r="X19" s="499" t="e">
        <f t="shared" si="5"/>
        <v>#N/A</v>
      </c>
      <c r="Y19" s="705"/>
      <c r="Z19" s="495"/>
      <c r="AA19" s="416"/>
      <c r="AB19" s="416"/>
      <c r="AC19" s="499" t="e">
        <f t="shared" si="7"/>
        <v>#N/A</v>
      </c>
      <c r="AD19" s="705"/>
      <c r="AE19" s="495"/>
      <c r="AF19" s="416"/>
      <c r="AG19" s="416"/>
      <c r="AH19" s="499" t="e">
        <f t="shared" si="9"/>
        <v>#N/A</v>
      </c>
      <c r="AI19" s="705"/>
      <c r="AJ19" s="495"/>
      <c r="AK19" s="416"/>
      <c r="AL19" s="416"/>
      <c r="AM19" s="499" t="e">
        <f t="shared" si="11"/>
        <v>#N/A</v>
      </c>
      <c r="AN19" s="705"/>
      <c r="AO19" s="495"/>
      <c r="AP19" s="416"/>
      <c r="AQ19" s="416"/>
      <c r="AR19" s="499" t="e">
        <f t="shared" si="13"/>
        <v>#N/A</v>
      </c>
      <c r="AS19" s="705"/>
      <c r="AT19" s="495"/>
      <c r="AU19" s="416"/>
      <c r="AV19" s="416"/>
      <c r="AW19" s="499" t="e">
        <f t="shared" si="15"/>
        <v>#N/A</v>
      </c>
      <c r="AX19" s="705"/>
      <c r="AZ19" s="400" t="e">
        <f t="shared" si="17"/>
        <v>#N/A</v>
      </c>
      <c r="BA19" s="705"/>
    </row>
    <row r="20" spans="2:53">
      <c r="B20" s="668"/>
      <c r="C20" s="409">
        <v>14</v>
      </c>
      <c r="D20" s="225"/>
      <c r="E20" s="416"/>
      <c r="F20" s="495"/>
      <c r="G20" s="496"/>
      <c r="H20" s="686"/>
      <c r="I20" s="413" t="str">
        <f t="shared" si="0"/>
        <v>-</v>
      </c>
      <c r="J20" s="413" t="str">
        <f t="shared" si="1"/>
        <v>-</v>
      </c>
      <c r="K20" s="199" t="str">
        <f t="shared" si="2"/>
        <v>-</v>
      </c>
      <c r="L20" s="617"/>
      <c r="M20" s="415" t="e">
        <f>RANK(K20, K$7:$K$21)</f>
        <v>#VALUE!</v>
      </c>
      <c r="N20" s="635"/>
      <c r="O20" s="635"/>
      <c r="P20" s="495"/>
      <c r="Q20" s="416"/>
      <c r="R20" s="416"/>
      <c r="S20" s="499" t="e">
        <f t="shared" si="3"/>
        <v>#N/A</v>
      </c>
      <c r="T20" s="705"/>
      <c r="U20" s="495"/>
      <c r="V20" s="416"/>
      <c r="W20" s="416"/>
      <c r="X20" s="499" t="e">
        <f t="shared" si="5"/>
        <v>#N/A</v>
      </c>
      <c r="Y20" s="705"/>
      <c r="Z20" s="495"/>
      <c r="AA20" s="416"/>
      <c r="AB20" s="416"/>
      <c r="AC20" s="499" t="e">
        <f t="shared" si="7"/>
        <v>#N/A</v>
      </c>
      <c r="AD20" s="705"/>
      <c r="AE20" s="495"/>
      <c r="AF20" s="416"/>
      <c r="AG20" s="416"/>
      <c r="AH20" s="499" t="e">
        <f t="shared" si="9"/>
        <v>#N/A</v>
      </c>
      <c r="AI20" s="705"/>
      <c r="AJ20" s="495"/>
      <c r="AK20" s="416"/>
      <c r="AL20" s="416"/>
      <c r="AM20" s="499" t="e">
        <f t="shared" si="11"/>
        <v>#N/A</v>
      </c>
      <c r="AN20" s="705"/>
      <c r="AO20" s="495"/>
      <c r="AP20" s="416"/>
      <c r="AQ20" s="416"/>
      <c r="AR20" s="499" t="e">
        <f t="shared" si="13"/>
        <v>#N/A</v>
      </c>
      <c r="AS20" s="705"/>
      <c r="AT20" s="495"/>
      <c r="AU20" s="416"/>
      <c r="AV20" s="416"/>
      <c r="AW20" s="499" t="e">
        <f t="shared" si="15"/>
        <v>#N/A</v>
      </c>
      <c r="AX20" s="705"/>
      <c r="AZ20" s="400" t="e">
        <f t="shared" si="17"/>
        <v>#N/A</v>
      </c>
      <c r="BA20" s="705"/>
    </row>
    <row r="21" spans="2:53">
      <c r="B21" s="668"/>
      <c r="C21" s="409">
        <v>15</v>
      </c>
      <c r="D21" s="225"/>
      <c r="E21" s="416"/>
      <c r="F21" s="495"/>
      <c r="G21" s="496"/>
      <c r="H21" s="687"/>
      <c r="I21" s="411"/>
      <c r="J21" s="411"/>
      <c r="K21" s="411"/>
      <c r="L21" s="618"/>
      <c r="M21" s="415" t="e">
        <f>RANK(K21, K$7:$K$21)</f>
        <v>#N/A</v>
      </c>
      <c r="N21" s="635"/>
      <c r="O21" s="635"/>
      <c r="P21" s="495"/>
      <c r="Q21" s="416"/>
      <c r="R21" s="416"/>
      <c r="S21" s="499" t="e">
        <f t="shared" si="3"/>
        <v>#N/A</v>
      </c>
      <c r="T21" s="706"/>
      <c r="U21" s="495"/>
      <c r="V21" s="416"/>
      <c r="W21" s="416"/>
      <c r="X21" s="499" t="e">
        <f t="shared" si="5"/>
        <v>#N/A</v>
      </c>
      <c r="Y21" s="706"/>
      <c r="Z21" s="495"/>
      <c r="AA21" s="416"/>
      <c r="AB21" s="416"/>
      <c r="AC21" s="499" t="e">
        <f t="shared" si="7"/>
        <v>#N/A</v>
      </c>
      <c r="AD21" s="706"/>
      <c r="AE21" s="495"/>
      <c r="AF21" s="416"/>
      <c r="AG21" s="416"/>
      <c r="AH21" s="499" t="e">
        <f t="shared" si="9"/>
        <v>#N/A</v>
      </c>
      <c r="AI21" s="706"/>
      <c r="AJ21" s="495"/>
      <c r="AK21" s="416"/>
      <c r="AL21" s="416"/>
      <c r="AM21" s="499" t="e">
        <f t="shared" si="11"/>
        <v>#N/A</v>
      </c>
      <c r="AN21" s="706"/>
      <c r="AO21" s="495"/>
      <c r="AP21" s="416"/>
      <c r="AQ21" s="416"/>
      <c r="AR21" s="499" t="e">
        <f t="shared" si="13"/>
        <v>#N/A</v>
      </c>
      <c r="AS21" s="706"/>
      <c r="AT21" s="495"/>
      <c r="AU21" s="416"/>
      <c r="AV21" s="416"/>
      <c r="AW21" s="499" t="e">
        <f t="shared" si="15"/>
        <v>#N/A</v>
      </c>
      <c r="AX21" s="706"/>
      <c r="AZ21" s="400" t="e">
        <f t="shared" si="17"/>
        <v>#N/A</v>
      </c>
      <c r="BA21" s="706"/>
    </row>
    <row r="22" spans="2:53" ht="15.75">
      <c r="B22" s="661" t="s">
        <v>163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36" t="s">
        <v>156</v>
      </c>
      <c r="O22" s="636" t="s">
        <v>105</v>
      </c>
      <c r="P22" s="642">
        <f>P2+7</f>
        <v>46175</v>
      </c>
      <c r="Q22" s="643"/>
      <c r="R22" s="643"/>
      <c r="S22" s="643"/>
      <c r="T22" s="643"/>
      <c r="U22" s="639">
        <f>P22+1</f>
        <v>46176</v>
      </c>
      <c r="V22" s="640"/>
      <c r="W22" s="640"/>
      <c r="X22" s="640"/>
      <c r="Y22" s="641"/>
      <c r="Z22" s="639">
        <f>U22+1</f>
        <v>46177</v>
      </c>
      <c r="AA22" s="640"/>
      <c r="AB22" s="640"/>
      <c r="AC22" s="640"/>
      <c r="AD22" s="641"/>
      <c r="AE22" s="639">
        <f>Z22+1</f>
        <v>46178</v>
      </c>
      <c r="AF22" s="640"/>
      <c r="AG22" s="640"/>
      <c r="AH22" s="640"/>
      <c r="AI22" s="641"/>
      <c r="AJ22" s="639">
        <f>AE22+1</f>
        <v>46179</v>
      </c>
      <c r="AK22" s="640"/>
      <c r="AL22" s="640"/>
      <c r="AM22" s="640"/>
      <c r="AN22" s="641"/>
      <c r="AO22" s="639">
        <f>AJ22+1</f>
        <v>46180</v>
      </c>
      <c r="AP22" s="640"/>
      <c r="AQ22" s="640"/>
      <c r="AR22" s="640"/>
      <c r="AS22" s="641"/>
      <c r="AT22" s="639">
        <f>AO22+1</f>
        <v>46181</v>
      </c>
      <c r="AU22" s="640"/>
      <c r="AV22" s="640"/>
      <c r="AW22" s="640"/>
      <c r="AX22" s="641"/>
    </row>
    <row r="23" spans="2:53" ht="15.75">
      <c r="B23" s="650"/>
      <c r="C23" s="650"/>
      <c r="D23" s="650"/>
      <c r="E23" s="650"/>
      <c r="F23" s="650"/>
      <c r="G23" s="650"/>
      <c r="H23" s="650"/>
      <c r="I23" s="204"/>
      <c r="J23" s="204"/>
      <c r="K23" s="204"/>
      <c r="L23" s="204"/>
      <c r="M23" s="205"/>
      <c r="N23" s="638"/>
      <c r="O23" s="638"/>
      <c r="P23" s="642" t="s">
        <v>318</v>
      </c>
      <c r="Q23" s="643"/>
      <c r="R23" s="643"/>
      <c r="S23" s="643"/>
      <c r="T23" s="643"/>
      <c r="U23" s="642" t="s">
        <v>319</v>
      </c>
      <c r="V23" s="643"/>
      <c r="W23" s="643"/>
      <c r="X23" s="643"/>
      <c r="Y23" s="643"/>
      <c r="Z23" s="642" t="s">
        <v>320</v>
      </c>
      <c r="AA23" s="643"/>
      <c r="AB23" s="643"/>
      <c r="AC23" s="643"/>
      <c r="AD23" s="643"/>
      <c r="AE23" s="642" t="s">
        <v>321</v>
      </c>
      <c r="AF23" s="643"/>
      <c r="AG23" s="643"/>
      <c r="AH23" s="643"/>
      <c r="AI23" s="643"/>
      <c r="AJ23" s="642" t="s">
        <v>322</v>
      </c>
      <c r="AK23" s="643"/>
      <c r="AL23" s="643"/>
      <c r="AM23" s="643"/>
      <c r="AN23" s="643"/>
      <c r="AO23" s="642" t="s">
        <v>323</v>
      </c>
      <c r="AP23" s="643"/>
      <c r="AQ23" s="643"/>
      <c r="AR23" s="643"/>
      <c r="AS23" s="643"/>
      <c r="AT23" s="642" t="s">
        <v>324</v>
      </c>
      <c r="AU23" s="643"/>
      <c r="AV23" s="643"/>
      <c r="AW23" s="643"/>
      <c r="AX23" s="643"/>
    </row>
    <row r="24" spans="2:53">
      <c r="B24" s="635" t="s">
        <v>374</v>
      </c>
      <c r="C24" s="635" t="s">
        <v>549</v>
      </c>
      <c r="D24" s="635"/>
      <c r="E24" s="635" t="s">
        <v>550</v>
      </c>
      <c r="F24" s="635"/>
      <c r="G24" s="635"/>
      <c r="H24" s="651" t="s">
        <v>551</v>
      </c>
      <c r="I24" s="635" t="s">
        <v>552</v>
      </c>
      <c r="J24" s="635"/>
      <c r="K24" s="635"/>
      <c r="L24" s="651" t="s">
        <v>371</v>
      </c>
      <c r="M24" s="636" t="s">
        <v>553</v>
      </c>
      <c r="N24" s="635"/>
      <c r="O24" s="635" t="s">
        <v>554</v>
      </c>
      <c r="P24" s="632" t="s">
        <v>373</v>
      </c>
      <c r="Q24" s="633"/>
      <c r="R24" s="633"/>
      <c r="S24" s="634"/>
      <c r="T24" s="635" t="s">
        <v>371</v>
      </c>
      <c r="U24" s="632" t="s">
        <v>373</v>
      </c>
      <c r="V24" s="633"/>
      <c r="W24" s="633"/>
      <c r="X24" s="634"/>
      <c r="Y24" s="635" t="s">
        <v>371</v>
      </c>
      <c r="Z24" s="632" t="s">
        <v>373</v>
      </c>
      <c r="AA24" s="633"/>
      <c r="AB24" s="633"/>
      <c r="AC24" s="634"/>
      <c r="AD24" s="635" t="s">
        <v>371</v>
      </c>
      <c r="AE24" s="632" t="s">
        <v>373</v>
      </c>
      <c r="AF24" s="633"/>
      <c r="AG24" s="633"/>
      <c r="AH24" s="634"/>
      <c r="AI24" s="635" t="s">
        <v>371</v>
      </c>
      <c r="AJ24" s="632" t="s">
        <v>373</v>
      </c>
      <c r="AK24" s="633"/>
      <c r="AL24" s="633"/>
      <c r="AM24" s="634"/>
      <c r="AN24" s="635" t="s">
        <v>371</v>
      </c>
      <c r="AO24" s="632" t="s">
        <v>373</v>
      </c>
      <c r="AP24" s="633"/>
      <c r="AQ24" s="633"/>
      <c r="AR24" s="634"/>
      <c r="AS24" s="635" t="s">
        <v>371</v>
      </c>
      <c r="AT24" s="632" t="s">
        <v>373</v>
      </c>
      <c r="AU24" s="633"/>
      <c r="AV24" s="633"/>
      <c r="AW24" s="634"/>
      <c r="AX24" s="635" t="s">
        <v>371</v>
      </c>
      <c r="BA24" s="635" t="s">
        <v>371</v>
      </c>
    </row>
    <row r="25" spans="2:53">
      <c r="B25" s="635"/>
      <c r="C25" s="635"/>
      <c r="D25" s="635"/>
      <c r="E25" s="635" t="s">
        <v>555</v>
      </c>
      <c r="F25" s="635"/>
      <c r="G25" s="635"/>
      <c r="H25" s="652"/>
      <c r="I25" s="635" t="s">
        <v>555</v>
      </c>
      <c r="J25" s="635"/>
      <c r="K25" s="635"/>
      <c r="L25" s="652"/>
      <c r="M25" s="637"/>
      <c r="N25" s="635"/>
      <c r="O25" s="635"/>
      <c r="P25" s="632" t="s">
        <v>379</v>
      </c>
      <c r="Q25" s="633"/>
      <c r="R25" s="633"/>
      <c r="S25" s="634"/>
      <c r="T25" s="635"/>
      <c r="U25" s="632" t="s">
        <v>379</v>
      </c>
      <c r="V25" s="633"/>
      <c r="W25" s="633"/>
      <c r="X25" s="634"/>
      <c r="Y25" s="635"/>
      <c r="Z25" s="632" t="s">
        <v>379</v>
      </c>
      <c r="AA25" s="633"/>
      <c r="AB25" s="633"/>
      <c r="AC25" s="634"/>
      <c r="AD25" s="635"/>
      <c r="AE25" s="632" t="s">
        <v>379</v>
      </c>
      <c r="AF25" s="633"/>
      <c r="AG25" s="633"/>
      <c r="AH25" s="634"/>
      <c r="AI25" s="635"/>
      <c r="AJ25" s="632" t="s">
        <v>379</v>
      </c>
      <c r="AK25" s="633"/>
      <c r="AL25" s="633"/>
      <c r="AM25" s="634"/>
      <c r="AN25" s="635"/>
      <c r="AO25" s="632" t="s">
        <v>379</v>
      </c>
      <c r="AP25" s="633"/>
      <c r="AQ25" s="633"/>
      <c r="AR25" s="634"/>
      <c r="AS25" s="635"/>
      <c r="AT25" s="632" t="s">
        <v>379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408" t="s">
        <v>556</v>
      </c>
      <c r="F26" s="408" t="s">
        <v>557</v>
      </c>
      <c r="G26" s="408" t="s">
        <v>558</v>
      </c>
      <c r="H26" s="653"/>
      <c r="I26" s="408" t="s">
        <v>556</v>
      </c>
      <c r="J26" s="408" t="s">
        <v>557</v>
      </c>
      <c r="K26" s="408" t="s">
        <v>558</v>
      </c>
      <c r="L26" s="653"/>
      <c r="M26" s="638"/>
      <c r="N26" s="635"/>
      <c r="O26" s="635"/>
      <c r="P26" s="408" t="s">
        <v>380</v>
      </c>
      <c r="Q26" s="408" t="s">
        <v>381</v>
      </c>
      <c r="R26" s="408" t="s">
        <v>382</v>
      </c>
      <c r="S26" s="408" t="s">
        <v>372</v>
      </c>
      <c r="T26" s="635"/>
      <c r="U26" s="408" t="s">
        <v>380</v>
      </c>
      <c r="V26" s="408" t="s">
        <v>381</v>
      </c>
      <c r="W26" s="408" t="s">
        <v>382</v>
      </c>
      <c r="X26" s="408" t="s">
        <v>372</v>
      </c>
      <c r="Y26" s="635"/>
      <c r="Z26" s="408" t="s">
        <v>380</v>
      </c>
      <c r="AA26" s="408" t="s">
        <v>381</v>
      </c>
      <c r="AB26" s="408" t="s">
        <v>382</v>
      </c>
      <c r="AC26" s="408" t="s">
        <v>372</v>
      </c>
      <c r="AD26" s="635"/>
      <c r="AE26" s="408" t="s">
        <v>380</v>
      </c>
      <c r="AF26" s="408" t="s">
        <v>381</v>
      </c>
      <c r="AG26" s="408" t="s">
        <v>382</v>
      </c>
      <c r="AH26" s="408" t="s">
        <v>372</v>
      </c>
      <c r="AI26" s="635"/>
      <c r="AJ26" s="408" t="s">
        <v>380</v>
      </c>
      <c r="AK26" s="408" t="s">
        <v>381</v>
      </c>
      <c r="AL26" s="408" t="s">
        <v>382</v>
      </c>
      <c r="AM26" s="408" t="s">
        <v>372</v>
      </c>
      <c r="AN26" s="635"/>
      <c r="AO26" s="408" t="s">
        <v>380</v>
      </c>
      <c r="AP26" s="408" t="s">
        <v>381</v>
      </c>
      <c r="AQ26" s="408" t="s">
        <v>382</v>
      </c>
      <c r="AR26" s="408" t="s">
        <v>372</v>
      </c>
      <c r="AS26" s="635"/>
      <c r="AT26" s="408" t="s">
        <v>380</v>
      </c>
      <c r="AU26" s="408" t="s">
        <v>381</v>
      </c>
      <c r="AV26" s="408" t="s">
        <v>382</v>
      </c>
      <c r="AW26" s="408" t="s">
        <v>372</v>
      </c>
      <c r="AX26" s="635"/>
      <c r="AZ26" s="397" t="s">
        <v>372</v>
      </c>
      <c r="BA26" s="635"/>
    </row>
    <row r="27" spans="2:53">
      <c r="B27" s="635" t="s">
        <v>386</v>
      </c>
      <c r="C27" s="411">
        <v>1</v>
      </c>
      <c r="D27" s="225" t="s">
        <v>638</v>
      </c>
      <c r="E27" s="416">
        <v>14</v>
      </c>
      <c r="F27" s="409">
        <v>1500</v>
      </c>
      <c r="G27" s="410">
        <v>107.14285714285714</v>
      </c>
      <c r="H27" s="679">
        <f>AVERAGE(G27:G41)</f>
        <v>96.992396958783516</v>
      </c>
      <c r="I27" s="413">
        <f t="shared" ref="I27:I40" si="19">IFERROR(AVERAGE(P27,U27,Z27,AE27,AJ27,AO27,AT27),"-")</f>
        <v>14</v>
      </c>
      <c r="J27" s="413">
        <f t="shared" ref="J27:J40" si="20">IFERROR(AVERAGE(Q27,V27,AA27,AF27,AK27,AP27,AU27),"-")</f>
        <v>1389.9606017797698</v>
      </c>
      <c r="K27" s="199">
        <f t="shared" ref="K27:K40" si="21">IFERROR(AVERAGE(R27,W27,AB27,AG27,AL27,AQ27,AV27),"-")</f>
        <v>99.28290012712641</v>
      </c>
      <c r="L27" s="616">
        <f>IFERROR(AVERAGE(K27:K41),"-")</f>
        <v>84.277714828679365</v>
      </c>
      <c r="M27" s="417">
        <f>RANK(K27, K$24:$K$41)</f>
        <v>1</v>
      </c>
      <c r="N27" s="635"/>
      <c r="O27" s="635"/>
      <c r="P27" s="539">
        <v>14</v>
      </c>
      <c r="Q27" s="416">
        <v>1402.8571428571424</v>
      </c>
      <c r="R27" s="416">
        <v>100.20408163265303</v>
      </c>
      <c r="S27" s="539">
        <f t="shared" ref="S27:S41" si="22">RANK(R27, R$27:R$41)</f>
        <v>1</v>
      </c>
      <c r="T27" s="644">
        <f t="shared" ref="T27" si="23">AVERAGE(R27:R41)</f>
        <v>84.798212951017561</v>
      </c>
      <c r="U27" s="539">
        <v>14</v>
      </c>
      <c r="V27" s="416">
        <v>1397.7777777777771</v>
      </c>
      <c r="W27" s="416">
        <v>99.841269841269792</v>
      </c>
      <c r="X27" s="539">
        <f t="shared" ref="X27:X41" si="24">RANK(W27, W$27:W$41)</f>
        <v>1</v>
      </c>
      <c r="Y27" s="644">
        <f t="shared" ref="Y27" si="25">AVERAGE(W27:W41)</f>
        <v>85.826280014323373</v>
      </c>
      <c r="Z27" s="539">
        <v>14</v>
      </c>
      <c r="AA27" s="416">
        <v>1378.4999999999995</v>
      </c>
      <c r="AB27" s="416">
        <v>98.46428571428568</v>
      </c>
      <c r="AC27" s="539">
        <f t="shared" ref="AC27:AC41" si="26">RANK(AB27, AB$27:AB$41)</f>
        <v>1</v>
      </c>
      <c r="AD27" s="644">
        <f t="shared" ref="AD27" si="27">AVERAGE(AB27:AB41)</f>
        <v>83.22554622516823</v>
      </c>
      <c r="AE27" s="539">
        <v>14</v>
      </c>
      <c r="AF27" s="416">
        <v>1380.8108108108113</v>
      </c>
      <c r="AG27" s="416">
        <v>98.629343629343666</v>
      </c>
      <c r="AH27" s="539">
        <f t="shared" ref="AH27:AH41" si="28">RANK(AG27, AG$27:AG$41)</f>
        <v>1</v>
      </c>
      <c r="AI27" s="644">
        <f t="shared" ref="AI27" si="29">AVERAGE(AG27:AG41)</f>
        <v>84.412901224911124</v>
      </c>
      <c r="AJ27" s="539">
        <v>14</v>
      </c>
      <c r="AK27" s="416">
        <v>1382.2784810126575</v>
      </c>
      <c r="AL27" s="416">
        <v>98.734177215189817</v>
      </c>
      <c r="AM27" s="539">
        <f t="shared" ref="AM27:AM41" si="30">RANK(AL27, AL$27:AL$41)</f>
        <v>1</v>
      </c>
      <c r="AN27" s="644">
        <f t="shared" ref="AN27" si="31">AVERAGE(AL27:AL41)</f>
        <v>83.654282969464703</v>
      </c>
      <c r="AO27" s="539">
        <v>14</v>
      </c>
      <c r="AP27" s="416">
        <v>1399.3750000000002</v>
      </c>
      <c r="AQ27" s="416">
        <v>99.955357142857153</v>
      </c>
      <c r="AR27" s="539">
        <f t="shared" ref="AR27:AR41" si="32">RANK(AQ27, AQ$27:AQ$41)</f>
        <v>1</v>
      </c>
      <c r="AS27" s="644">
        <f t="shared" ref="AS27" si="33">AVERAGE(AQ27:AQ41)</f>
        <v>82.928378862214558</v>
      </c>
      <c r="AT27" s="539">
        <v>14</v>
      </c>
      <c r="AU27" s="416">
        <v>1388.1250000000002</v>
      </c>
      <c r="AV27" s="416">
        <v>99.151785714285737</v>
      </c>
      <c r="AW27" s="539">
        <f t="shared" ref="AW27:AW41" si="34">RANK(AV27, AV$27:AV$41)</f>
        <v>1</v>
      </c>
      <c r="AX27" s="644">
        <f t="shared" ref="AX27" si="35">AVERAGE(AV27:AV41)</f>
        <v>84.174224718016589</v>
      </c>
      <c r="AZ27" s="398" t="e">
        <f t="shared" ref="AZ27:AZ41" si="36">RANK(AY27, AY$27:AY$41)</f>
        <v>#N/A</v>
      </c>
      <c r="BA27" s="644" t="e">
        <f t="shared" ref="BA27" si="37">AVERAGE(AY27:AY41)</f>
        <v>#DIV/0!</v>
      </c>
    </row>
    <row r="28" spans="2:53">
      <c r="B28" s="643"/>
      <c r="C28" s="411">
        <v>2</v>
      </c>
      <c r="D28" s="225" t="s">
        <v>532</v>
      </c>
      <c r="E28" s="416">
        <v>16</v>
      </c>
      <c r="F28" s="409">
        <v>1636</v>
      </c>
      <c r="G28" s="410">
        <v>102.25</v>
      </c>
      <c r="H28" s="680"/>
      <c r="I28" s="413">
        <f t="shared" si="19"/>
        <v>16.714285714285715</v>
      </c>
      <c r="J28" s="413">
        <f t="shared" si="20"/>
        <v>1395.8186248905113</v>
      </c>
      <c r="K28" s="199">
        <f t="shared" si="21"/>
        <v>83.561951187367612</v>
      </c>
      <c r="L28" s="617"/>
      <c r="M28" s="420">
        <f>RANK(K28, K$24:$K$41)</f>
        <v>4</v>
      </c>
      <c r="N28" s="635"/>
      <c r="O28" s="635"/>
      <c r="P28" s="539">
        <v>17</v>
      </c>
      <c r="Q28" s="416">
        <v>1414.3593749999998</v>
      </c>
      <c r="R28" s="416">
        <v>83.197610294117638</v>
      </c>
      <c r="S28" s="539">
        <f t="shared" si="22"/>
        <v>4</v>
      </c>
      <c r="T28" s="645"/>
      <c r="U28" s="539">
        <v>17</v>
      </c>
      <c r="V28" s="416">
        <v>1458.2033898305078</v>
      </c>
      <c r="W28" s="416">
        <v>85.776669990029873</v>
      </c>
      <c r="X28" s="539">
        <f t="shared" si="24"/>
        <v>4</v>
      </c>
      <c r="Y28" s="645"/>
      <c r="Z28" s="539">
        <v>17</v>
      </c>
      <c r="AA28" s="416">
        <v>1369.2656249999998</v>
      </c>
      <c r="AB28" s="416">
        <v>80.54503676470587</v>
      </c>
      <c r="AC28" s="539">
        <f t="shared" si="26"/>
        <v>5</v>
      </c>
      <c r="AD28" s="645"/>
      <c r="AE28" s="539">
        <v>16</v>
      </c>
      <c r="AF28" s="416">
        <v>1382.6603773584914</v>
      </c>
      <c r="AG28" s="416">
        <v>86.41627358490571</v>
      </c>
      <c r="AH28" s="539">
        <f t="shared" si="28"/>
        <v>3</v>
      </c>
      <c r="AI28" s="645"/>
      <c r="AJ28" s="539">
        <v>16</v>
      </c>
      <c r="AK28" s="416">
        <v>1387.608695652174</v>
      </c>
      <c r="AL28" s="416">
        <v>86.725543478260875</v>
      </c>
      <c r="AM28" s="539">
        <f t="shared" si="30"/>
        <v>2</v>
      </c>
      <c r="AN28" s="645"/>
      <c r="AO28" s="539">
        <v>17</v>
      </c>
      <c r="AP28" s="416">
        <v>1376.8481012658237</v>
      </c>
      <c r="AQ28" s="416">
        <v>80.991064780342569</v>
      </c>
      <c r="AR28" s="539">
        <f t="shared" si="32"/>
        <v>4</v>
      </c>
      <c r="AS28" s="645"/>
      <c r="AT28" s="539">
        <v>17</v>
      </c>
      <c r="AU28" s="416">
        <v>1381.7848101265818</v>
      </c>
      <c r="AV28" s="416">
        <v>81.281459419210691</v>
      </c>
      <c r="AW28" s="539">
        <f t="shared" si="34"/>
        <v>4</v>
      </c>
      <c r="AX28" s="645"/>
      <c r="AZ28" s="398" t="e">
        <f t="shared" si="36"/>
        <v>#N/A</v>
      </c>
      <c r="BA28" s="645"/>
    </row>
    <row r="29" spans="2:53">
      <c r="B29" s="643"/>
      <c r="C29" s="411">
        <v>3</v>
      </c>
      <c r="D29" s="225" t="s">
        <v>628</v>
      </c>
      <c r="E29" s="416">
        <v>16</v>
      </c>
      <c r="F29" s="409">
        <v>1500</v>
      </c>
      <c r="G29" s="410">
        <v>93.75</v>
      </c>
      <c r="H29" s="680"/>
      <c r="I29" s="413">
        <f t="shared" si="19"/>
        <v>16.25</v>
      </c>
      <c r="J29" s="413">
        <f t="shared" si="20"/>
        <v>1392.4127930734151</v>
      </c>
      <c r="K29" s="199">
        <f t="shared" si="21"/>
        <v>85.742041466390532</v>
      </c>
      <c r="L29" s="617"/>
      <c r="M29" s="420">
        <f>RANK(K29, K$24:$K$41)</f>
        <v>2</v>
      </c>
      <c r="N29" s="635"/>
      <c r="O29" s="635"/>
      <c r="P29" s="539">
        <v>17</v>
      </c>
      <c r="Q29" s="416">
        <v>1396.7288135593215</v>
      </c>
      <c r="R29" s="416">
        <v>82.160518444665968</v>
      </c>
      <c r="S29" s="539">
        <f t="shared" si="22"/>
        <v>5</v>
      </c>
      <c r="T29" s="645"/>
      <c r="U29" s="539">
        <v>16</v>
      </c>
      <c r="V29" s="416">
        <v>1402.5283018867933</v>
      </c>
      <c r="W29" s="416">
        <v>87.658018867924582</v>
      </c>
      <c r="X29" s="539">
        <f t="shared" si="24"/>
        <v>2</v>
      </c>
      <c r="Y29" s="645"/>
      <c r="Z29" s="539">
        <v>16</v>
      </c>
      <c r="AA29" s="416">
        <v>1377.2777777777783</v>
      </c>
      <c r="AB29" s="416">
        <v>86.079861111111143</v>
      </c>
      <c r="AC29" s="539">
        <f t="shared" si="26"/>
        <v>2</v>
      </c>
      <c r="AD29" s="645"/>
      <c r="AE29" s="539">
        <v>16</v>
      </c>
      <c r="AF29" s="416">
        <v>1393.1162790697674</v>
      </c>
      <c r="AG29" s="416">
        <v>87.069767441860463</v>
      </c>
      <c r="AH29" s="539">
        <f t="shared" si="28"/>
        <v>2</v>
      </c>
      <c r="AI29" s="645"/>
      <c r="AJ29" s="539" t="s">
        <v>615</v>
      </c>
      <c r="AK29" s="416" t="s">
        <v>615</v>
      </c>
      <c r="AL29" s="416" t="s">
        <v>615</v>
      </c>
      <c r="AM29" s="539" t="e">
        <f t="shared" si="30"/>
        <v>#VALUE!</v>
      </c>
      <c r="AN29" s="645"/>
      <c r="AO29" s="539" t="s">
        <v>615</v>
      </c>
      <c r="AP29" s="416" t="s">
        <v>615</v>
      </c>
      <c r="AQ29" s="416" t="s">
        <v>615</v>
      </c>
      <c r="AR29" s="539" t="e">
        <f t="shared" si="32"/>
        <v>#VALUE!</v>
      </c>
      <c r="AS29" s="645"/>
      <c r="AT29" s="539" t="s">
        <v>615</v>
      </c>
      <c r="AU29" s="416" t="s">
        <v>615</v>
      </c>
      <c r="AV29" s="416" t="s">
        <v>615</v>
      </c>
      <c r="AW29" s="539" t="e">
        <f t="shared" si="34"/>
        <v>#VALUE!</v>
      </c>
      <c r="AX29" s="645"/>
      <c r="AZ29" s="398" t="e">
        <f t="shared" si="36"/>
        <v>#N/A</v>
      </c>
      <c r="BA29" s="645"/>
    </row>
    <row r="30" spans="2:53">
      <c r="B30" s="643"/>
      <c r="C30" s="411">
        <v>4</v>
      </c>
      <c r="D30" s="225" t="s">
        <v>618</v>
      </c>
      <c r="E30" s="416">
        <v>15</v>
      </c>
      <c r="F30" s="409">
        <v>1500</v>
      </c>
      <c r="G30" s="410">
        <v>100</v>
      </c>
      <c r="H30" s="680"/>
      <c r="I30" s="413">
        <f t="shared" si="19"/>
        <v>15.571428571428571</v>
      </c>
      <c r="J30" s="413">
        <f t="shared" si="20"/>
        <v>1313.1724721105759</v>
      </c>
      <c r="K30" s="199">
        <f t="shared" si="21"/>
        <v>84.429985143051908</v>
      </c>
      <c r="L30" s="617"/>
      <c r="M30" s="420">
        <f>RANK(K30, K$24:$K$41)</f>
        <v>3</v>
      </c>
      <c r="N30" s="635"/>
      <c r="O30" s="635"/>
      <c r="P30" s="539">
        <v>15</v>
      </c>
      <c r="Q30" s="416">
        <v>1328.7637795275589</v>
      </c>
      <c r="R30" s="416">
        <v>88.584251968503921</v>
      </c>
      <c r="S30" s="539">
        <f t="shared" si="22"/>
        <v>2</v>
      </c>
      <c r="T30" s="645"/>
      <c r="U30" s="539">
        <v>15</v>
      </c>
      <c r="V30" s="416">
        <v>1310.1891891891892</v>
      </c>
      <c r="W30" s="416">
        <v>87.345945945945942</v>
      </c>
      <c r="X30" s="539">
        <f t="shared" si="24"/>
        <v>3</v>
      </c>
      <c r="Y30" s="645"/>
      <c r="Z30" s="539">
        <v>16</v>
      </c>
      <c r="AA30" s="416">
        <v>1302.6035502958582</v>
      </c>
      <c r="AB30" s="416">
        <v>81.412721893491138</v>
      </c>
      <c r="AC30" s="539">
        <f t="shared" si="26"/>
        <v>4</v>
      </c>
      <c r="AD30" s="645"/>
      <c r="AE30" s="539">
        <v>16</v>
      </c>
      <c r="AF30" s="416">
        <v>1306.1842105263156</v>
      </c>
      <c r="AG30" s="416">
        <v>81.636513157894726</v>
      </c>
      <c r="AH30" s="539">
        <f t="shared" si="28"/>
        <v>5</v>
      </c>
      <c r="AI30" s="645"/>
      <c r="AJ30" s="539">
        <v>16</v>
      </c>
      <c r="AK30" s="416">
        <v>1310.7954545454545</v>
      </c>
      <c r="AL30" s="416">
        <v>81.924715909090907</v>
      </c>
      <c r="AM30" s="539">
        <f t="shared" si="30"/>
        <v>3</v>
      </c>
      <c r="AN30" s="645"/>
      <c r="AO30" s="539">
        <v>16</v>
      </c>
      <c r="AP30" s="416">
        <v>1313.3586206896548</v>
      </c>
      <c r="AQ30" s="416">
        <v>82.084913793103425</v>
      </c>
      <c r="AR30" s="539">
        <f t="shared" si="32"/>
        <v>2</v>
      </c>
      <c r="AS30" s="645"/>
      <c r="AT30" s="539">
        <v>15</v>
      </c>
      <c r="AU30" s="416">
        <v>1320.3124999999995</v>
      </c>
      <c r="AV30" s="416">
        <v>88.0208333333333</v>
      </c>
      <c r="AW30" s="539">
        <f t="shared" si="34"/>
        <v>2</v>
      </c>
      <c r="AX30" s="645"/>
      <c r="AZ30" s="398" t="e">
        <f t="shared" si="36"/>
        <v>#N/A</v>
      </c>
      <c r="BA30" s="645"/>
    </row>
    <row r="31" spans="2:53">
      <c r="B31" s="643"/>
      <c r="C31" s="411">
        <v>5</v>
      </c>
      <c r="D31" s="225" t="s">
        <v>631</v>
      </c>
      <c r="E31" s="416">
        <v>17</v>
      </c>
      <c r="F31" s="409">
        <v>1636</v>
      </c>
      <c r="G31" s="410">
        <v>96.235294117647058</v>
      </c>
      <c r="H31" s="680"/>
      <c r="I31" s="413">
        <f t="shared" si="19"/>
        <v>17</v>
      </c>
      <c r="J31" s="413">
        <f t="shared" si="20"/>
        <v>1314.9749415238723</v>
      </c>
      <c r="K31" s="199">
        <f t="shared" si="21"/>
        <v>77.351467148463072</v>
      </c>
      <c r="L31" s="617"/>
      <c r="M31" s="420">
        <f>RANK(K31, K$24:$K$41)</f>
        <v>6</v>
      </c>
      <c r="N31" s="635"/>
      <c r="O31" s="635"/>
      <c r="P31" s="539">
        <v>17</v>
      </c>
      <c r="Q31" s="416">
        <v>1296.6315789473688</v>
      </c>
      <c r="R31" s="416">
        <v>76.272445820433461</v>
      </c>
      <c r="S31" s="539">
        <f t="shared" si="22"/>
        <v>7</v>
      </c>
      <c r="T31" s="645"/>
      <c r="U31" s="539">
        <v>17</v>
      </c>
      <c r="V31" s="416">
        <v>1326.4285714285711</v>
      </c>
      <c r="W31" s="416">
        <v>78.025210084033588</v>
      </c>
      <c r="X31" s="539">
        <f t="shared" si="24"/>
        <v>6</v>
      </c>
      <c r="Y31" s="645"/>
      <c r="Z31" s="539">
        <v>17</v>
      </c>
      <c r="AA31" s="416">
        <v>1297.4117647058822</v>
      </c>
      <c r="AB31" s="416">
        <v>76.318339100346009</v>
      </c>
      <c r="AC31" s="539">
        <f t="shared" si="26"/>
        <v>7</v>
      </c>
      <c r="AD31" s="645"/>
      <c r="AE31" s="539">
        <v>17</v>
      </c>
      <c r="AF31" s="416">
        <v>1306.9565217391305</v>
      </c>
      <c r="AG31" s="416">
        <v>76.879795396419439</v>
      </c>
      <c r="AH31" s="539">
        <f t="shared" si="28"/>
        <v>7</v>
      </c>
      <c r="AI31" s="645"/>
      <c r="AJ31" s="539">
        <v>17</v>
      </c>
      <c r="AK31" s="416">
        <v>1323.8461538461545</v>
      </c>
      <c r="AL31" s="416">
        <v>77.873303167420858</v>
      </c>
      <c r="AM31" s="539">
        <f t="shared" si="30"/>
        <v>5</v>
      </c>
      <c r="AN31" s="645"/>
      <c r="AO31" s="539">
        <v>17</v>
      </c>
      <c r="AP31" s="416">
        <v>1324.7999999999995</v>
      </c>
      <c r="AQ31" s="416">
        <v>77.929411764705847</v>
      </c>
      <c r="AR31" s="539">
        <f t="shared" si="32"/>
        <v>5</v>
      </c>
      <c r="AS31" s="645"/>
      <c r="AT31" s="539">
        <v>17</v>
      </c>
      <c r="AU31" s="416">
        <v>1328.7500000000005</v>
      </c>
      <c r="AV31" s="416">
        <v>78.161764705882376</v>
      </c>
      <c r="AW31" s="539">
        <f t="shared" si="34"/>
        <v>5</v>
      </c>
      <c r="AX31" s="645"/>
      <c r="AZ31" s="398" t="e">
        <f t="shared" si="36"/>
        <v>#N/A</v>
      </c>
      <c r="BA31" s="645"/>
    </row>
    <row r="32" spans="2:53">
      <c r="B32" s="643"/>
      <c r="C32" s="411">
        <v>6</v>
      </c>
      <c r="D32" s="225" t="s">
        <v>705</v>
      </c>
      <c r="E32" s="416">
        <v>18</v>
      </c>
      <c r="F32" s="409">
        <v>1500</v>
      </c>
      <c r="G32" s="410">
        <v>83.333333333333329</v>
      </c>
      <c r="H32" s="680"/>
      <c r="I32" s="413">
        <f t="shared" si="19"/>
        <v>18</v>
      </c>
      <c r="J32" s="413">
        <f t="shared" si="20"/>
        <v>1374.8859138097887</v>
      </c>
      <c r="K32" s="199">
        <f t="shared" si="21"/>
        <v>76.382550767210503</v>
      </c>
      <c r="L32" s="617"/>
      <c r="M32" s="420">
        <f>RANK(K32, K$24:$K$41)</f>
        <v>7</v>
      </c>
      <c r="N32" s="635"/>
      <c r="O32" s="635"/>
      <c r="P32" s="539">
        <v>18</v>
      </c>
      <c r="Q32" s="416">
        <v>1396.3228915662646</v>
      </c>
      <c r="R32" s="416">
        <v>77.573493975903588</v>
      </c>
      <c r="S32" s="539">
        <f t="shared" si="22"/>
        <v>6</v>
      </c>
      <c r="T32" s="645"/>
      <c r="U32" s="539">
        <v>18</v>
      </c>
      <c r="V32" s="416">
        <v>1392.645569620254</v>
      </c>
      <c r="W32" s="416">
        <v>77.369198312236335</v>
      </c>
      <c r="X32" s="539">
        <f t="shared" si="24"/>
        <v>7</v>
      </c>
      <c r="Y32" s="645"/>
      <c r="Z32" s="539">
        <v>18</v>
      </c>
      <c r="AA32" s="416">
        <v>1386.552631578948</v>
      </c>
      <c r="AB32" s="416">
        <v>77.030701754386001</v>
      </c>
      <c r="AC32" s="539">
        <f t="shared" si="26"/>
        <v>6</v>
      </c>
      <c r="AD32" s="645"/>
      <c r="AE32" s="539">
        <v>18</v>
      </c>
      <c r="AF32" s="416">
        <v>1390.8088235294117</v>
      </c>
      <c r="AG32" s="416">
        <v>77.267156862745097</v>
      </c>
      <c r="AH32" s="539">
        <f t="shared" si="28"/>
        <v>6</v>
      </c>
      <c r="AI32" s="645"/>
      <c r="AJ32" s="539">
        <v>18</v>
      </c>
      <c r="AK32" s="416">
        <v>1355.6024096385538</v>
      </c>
      <c r="AL32" s="416">
        <v>75.31124497991965</v>
      </c>
      <c r="AM32" s="539">
        <f t="shared" si="30"/>
        <v>6</v>
      </c>
      <c r="AN32" s="645"/>
      <c r="AO32" s="539">
        <v>18</v>
      </c>
      <c r="AP32" s="416">
        <v>1352.1262135922327</v>
      </c>
      <c r="AQ32" s="416">
        <v>75.11812297734626</v>
      </c>
      <c r="AR32" s="539">
        <f t="shared" si="32"/>
        <v>6</v>
      </c>
      <c r="AS32" s="645"/>
      <c r="AT32" s="539">
        <v>18</v>
      </c>
      <c r="AU32" s="416">
        <v>1350.1428571428569</v>
      </c>
      <c r="AV32" s="416">
        <v>75.007936507936492</v>
      </c>
      <c r="AW32" s="539">
        <f t="shared" si="34"/>
        <v>6</v>
      </c>
      <c r="AX32" s="645"/>
      <c r="AZ32" s="398" t="e">
        <f t="shared" si="36"/>
        <v>#N/A</v>
      </c>
      <c r="BA32" s="645"/>
    </row>
    <row r="33" spans="2:53">
      <c r="B33" s="643"/>
      <c r="C33" s="411">
        <v>7</v>
      </c>
      <c r="D33" s="225" t="s">
        <v>717</v>
      </c>
      <c r="E33" s="416">
        <v>17</v>
      </c>
      <c r="F33" s="409">
        <v>1636</v>
      </c>
      <c r="G33" s="410">
        <v>96.235294117647058</v>
      </c>
      <c r="H33" s="680"/>
      <c r="I33" s="413">
        <f t="shared" si="19"/>
        <v>17</v>
      </c>
      <c r="J33" s="413">
        <f t="shared" si="20"/>
        <v>1414.282835339473</v>
      </c>
      <c r="K33" s="199">
        <f t="shared" si="21"/>
        <v>83.193107961145486</v>
      </c>
      <c r="L33" s="617"/>
      <c r="M33" s="420">
        <f>RANK(K33, K$24:$K$41)</f>
        <v>5</v>
      </c>
      <c r="N33" s="635"/>
      <c r="O33" s="635"/>
      <c r="P33" s="539">
        <v>17</v>
      </c>
      <c r="Q33" s="416">
        <v>1455.1165048543687</v>
      </c>
      <c r="R33" s="416">
        <v>85.595088520845223</v>
      </c>
      <c r="S33" s="539">
        <f t="shared" si="22"/>
        <v>3</v>
      </c>
      <c r="T33" s="645"/>
      <c r="U33" s="539">
        <v>17</v>
      </c>
      <c r="V33" s="416">
        <v>1441.0499999999995</v>
      </c>
      <c r="W33" s="416">
        <v>84.767647058823499</v>
      </c>
      <c r="X33" s="539">
        <f t="shared" si="24"/>
        <v>5</v>
      </c>
      <c r="Y33" s="645"/>
      <c r="Z33" s="539">
        <v>17</v>
      </c>
      <c r="AA33" s="416">
        <v>1406.3739130434785</v>
      </c>
      <c r="AB33" s="416">
        <v>82.727877237851672</v>
      </c>
      <c r="AC33" s="539">
        <f t="shared" si="26"/>
        <v>3</v>
      </c>
      <c r="AD33" s="645"/>
      <c r="AE33" s="539">
        <v>17</v>
      </c>
      <c r="AF33" s="416">
        <v>1410.8547945205482</v>
      </c>
      <c r="AG33" s="416">
        <v>82.991458501208726</v>
      </c>
      <c r="AH33" s="539">
        <f t="shared" si="28"/>
        <v>4</v>
      </c>
      <c r="AI33" s="645"/>
      <c r="AJ33" s="539">
        <v>17</v>
      </c>
      <c r="AK33" s="416">
        <v>1383.0641221374046</v>
      </c>
      <c r="AL33" s="416">
        <v>81.356713066906153</v>
      </c>
      <c r="AM33" s="539">
        <f t="shared" si="30"/>
        <v>4</v>
      </c>
      <c r="AN33" s="645"/>
      <c r="AO33" s="539">
        <v>17</v>
      </c>
      <c r="AP33" s="416">
        <v>1385.3538461538462</v>
      </c>
      <c r="AQ33" s="416">
        <v>81.491402714932136</v>
      </c>
      <c r="AR33" s="539">
        <f t="shared" si="32"/>
        <v>3</v>
      </c>
      <c r="AS33" s="645"/>
      <c r="AT33" s="539">
        <v>17</v>
      </c>
      <c r="AU33" s="416">
        <v>1418.1666666666663</v>
      </c>
      <c r="AV33" s="416">
        <v>83.421568627450952</v>
      </c>
      <c r="AW33" s="539">
        <f t="shared" si="34"/>
        <v>3</v>
      </c>
      <c r="AX33" s="645"/>
      <c r="AZ33" s="398" t="e">
        <f t="shared" si="36"/>
        <v>#N/A</v>
      </c>
      <c r="BA33" s="645"/>
    </row>
    <row r="34" spans="2:53">
      <c r="B34" s="643"/>
      <c r="C34" s="411">
        <v>8</v>
      </c>
      <c r="D34" s="225"/>
      <c r="E34" s="416"/>
      <c r="F34" s="409"/>
      <c r="G34" s="410"/>
      <c r="H34" s="680"/>
      <c r="I34" s="413" t="str">
        <f t="shared" si="19"/>
        <v>-</v>
      </c>
      <c r="J34" s="413" t="str">
        <f t="shared" si="20"/>
        <v>-</v>
      </c>
      <c r="K34" s="199" t="str">
        <f t="shared" si="21"/>
        <v>-</v>
      </c>
      <c r="L34" s="617"/>
      <c r="M34" s="420" t="e">
        <f>RANK(K34, K$24:$K$41)</f>
        <v>#VALUE!</v>
      </c>
      <c r="N34" s="635"/>
      <c r="O34" s="635"/>
      <c r="P34" s="539" t="s">
        <v>615</v>
      </c>
      <c r="Q34" s="416" t="s">
        <v>615</v>
      </c>
      <c r="R34" s="416" t="s">
        <v>615</v>
      </c>
      <c r="S34" s="539" t="e">
        <f t="shared" si="22"/>
        <v>#VALUE!</v>
      </c>
      <c r="T34" s="645"/>
      <c r="U34" s="539" t="s">
        <v>615</v>
      </c>
      <c r="V34" s="416" t="s">
        <v>615</v>
      </c>
      <c r="W34" s="416" t="s">
        <v>615</v>
      </c>
      <c r="X34" s="539" t="e">
        <f t="shared" si="24"/>
        <v>#VALUE!</v>
      </c>
      <c r="Y34" s="645"/>
      <c r="Z34" s="539" t="s">
        <v>615</v>
      </c>
      <c r="AA34" s="416" t="s">
        <v>615</v>
      </c>
      <c r="AB34" s="416" t="s">
        <v>615</v>
      </c>
      <c r="AC34" s="539" t="e">
        <f t="shared" si="26"/>
        <v>#VALUE!</v>
      </c>
      <c r="AD34" s="645"/>
      <c r="AE34" s="539" t="s">
        <v>615</v>
      </c>
      <c r="AF34" s="416" t="s">
        <v>615</v>
      </c>
      <c r="AG34" s="416" t="s">
        <v>615</v>
      </c>
      <c r="AH34" s="539" t="e">
        <f t="shared" si="28"/>
        <v>#VALUE!</v>
      </c>
      <c r="AI34" s="645"/>
      <c r="AJ34" s="539" t="s">
        <v>615</v>
      </c>
      <c r="AK34" s="416" t="s">
        <v>615</v>
      </c>
      <c r="AL34" s="416" t="s">
        <v>615</v>
      </c>
      <c r="AM34" s="539" t="e">
        <f t="shared" si="30"/>
        <v>#VALUE!</v>
      </c>
      <c r="AN34" s="645"/>
      <c r="AO34" s="539" t="s">
        <v>615</v>
      </c>
      <c r="AP34" s="416" t="s">
        <v>615</v>
      </c>
      <c r="AQ34" s="416" t="s">
        <v>615</v>
      </c>
      <c r="AR34" s="539" t="e">
        <f t="shared" si="32"/>
        <v>#VALUE!</v>
      </c>
      <c r="AS34" s="645"/>
      <c r="AT34" s="539" t="s">
        <v>615</v>
      </c>
      <c r="AU34" s="416" t="s">
        <v>615</v>
      </c>
      <c r="AV34" s="416" t="s">
        <v>615</v>
      </c>
      <c r="AW34" s="539" t="e">
        <f t="shared" si="34"/>
        <v>#VALUE!</v>
      </c>
      <c r="AX34" s="645"/>
      <c r="AZ34" s="398" t="e">
        <f t="shared" si="36"/>
        <v>#N/A</v>
      </c>
      <c r="BA34" s="645"/>
    </row>
    <row r="35" spans="2:53">
      <c r="B35" s="643"/>
      <c r="C35" s="411">
        <v>9</v>
      </c>
      <c r="D35" s="225"/>
      <c r="E35" s="416"/>
      <c r="F35" s="409"/>
      <c r="G35" s="410"/>
      <c r="H35" s="680"/>
      <c r="I35" s="413" t="str">
        <f t="shared" si="19"/>
        <v>-</v>
      </c>
      <c r="J35" s="413" t="str">
        <f t="shared" si="20"/>
        <v>-</v>
      </c>
      <c r="K35" s="199" t="str">
        <f t="shared" si="21"/>
        <v>-</v>
      </c>
      <c r="L35" s="617"/>
      <c r="M35" s="420" t="e">
        <f>RANK(K35, K$24:$K$41)</f>
        <v>#VALUE!</v>
      </c>
      <c r="N35" s="635"/>
      <c r="O35" s="635"/>
      <c r="P35" s="539" t="s">
        <v>615</v>
      </c>
      <c r="Q35" s="416" t="s">
        <v>615</v>
      </c>
      <c r="R35" s="416" t="s">
        <v>615</v>
      </c>
      <c r="S35" s="539" t="e">
        <f t="shared" si="22"/>
        <v>#VALUE!</v>
      </c>
      <c r="T35" s="645"/>
      <c r="U35" s="539" t="s">
        <v>615</v>
      </c>
      <c r="V35" s="416" t="s">
        <v>615</v>
      </c>
      <c r="W35" s="416" t="s">
        <v>615</v>
      </c>
      <c r="X35" s="539" t="e">
        <f t="shared" si="24"/>
        <v>#VALUE!</v>
      </c>
      <c r="Y35" s="645"/>
      <c r="Z35" s="539" t="s">
        <v>615</v>
      </c>
      <c r="AA35" s="416" t="s">
        <v>615</v>
      </c>
      <c r="AB35" s="416" t="s">
        <v>615</v>
      </c>
      <c r="AC35" s="539" t="e">
        <f t="shared" si="26"/>
        <v>#VALUE!</v>
      </c>
      <c r="AD35" s="645"/>
      <c r="AE35" s="539" t="s">
        <v>615</v>
      </c>
      <c r="AF35" s="416" t="s">
        <v>615</v>
      </c>
      <c r="AG35" s="416" t="s">
        <v>615</v>
      </c>
      <c r="AH35" s="539" t="e">
        <f t="shared" si="28"/>
        <v>#VALUE!</v>
      </c>
      <c r="AI35" s="645"/>
      <c r="AJ35" s="539" t="s">
        <v>615</v>
      </c>
      <c r="AK35" s="416" t="s">
        <v>615</v>
      </c>
      <c r="AL35" s="416" t="s">
        <v>615</v>
      </c>
      <c r="AM35" s="539" t="e">
        <f t="shared" si="30"/>
        <v>#VALUE!</v>
      </c>
      <c r="AN35" s="645"/>
      <c r="AO35" s="539" t="s">
        <v>615</v>
      </c>
      <c r="AP35" s="416" t="s">
        <v>615</v>
      </c>
      <c r="AQ35" s="416" t="s">
        <v>615</v>
      </c>
      <c r="AR35" s="539" t="e">
        <f t="shared" si="32"/>
        <v>#VALUE!</v>
      </c>
      <c r="AS35" s="645"/>
      <c r="AT35" s="539" t="s">
        <v>615</v>
      </c>
      <c r="AU35" s="416" t="s">
        <v>615</v>
      </c>
      <c r="AV35" s="416" t="s">
        <v>615</v>
      </c>
      <c r="AW35" s="539" t="e">
        <f t="shared" si="34"/>
        <v>#VALUE!</v>
      </c>
      <c r="AX35" s="645"/>
      <c r="AZ35" s="398" t="e">
        <f t="shared" si="36"/>
        <v>#N/A</v>
      </c>
      <c r="BA35" s="645"/>
    </row>
    <row r="36" spans="2:53">
      <c r="B36" s="643"/>
      <c r="C36" s="411">
        <v>10</v>
      </c>
      <c r="D36" s="225"/>
      <c r="E36" s="416"/>
      <c r="F36" s="409"/>
      <c r="G36" s="410"/>
      <c r="H36" s="680"/>
      <c r="I36" s="413" t="str">
        <f t="shared" si="19"/>
        <v>-</v>
      </c>
      <c r="J36" s="413" t="str">
        <f t="shared" si="20"/>
        <v>-</v>
      </c>
      <c r="K36" s="199" t="str">
        <f t="shared" si="21"/>
        <v>-</v>
      </c>
      <c r="L36" s="617"/>
      <c r="M36" s="420" t="e">
        <f>RANK(K36, K$24:$K$41)</f>
        <v>#VALUE!</v>
      </c>
      <c r="N36" s="635"/>
      <c r="O36" s="635"/>
      <c r="P36" s="539" t="s">
        <v>615</v>
      </c>
      <c r="Q36" s="416" t="s">
        <v>615</v>
      </c>
      <c r="R36" s="416" t="s">
        <v>615</v>
      </c>
      <c r="S36" s="539" t="e">
        <f t="shared" si="22"/>
        <v>#VALUE!</v>
      </c>
      <c r="T36" s="645"/>
      <c r="U36" s="539" t="s">
        <v>615</v>
      </c>
      <c r="V36" s="416" t="s">
        <v>615</v>
      </c>
      <c r="W36" s="416" t="s">
        <v>615</v>
      </c>
      <c r="X36" s="539" t="e">
        <f t="shared" si="24"/>
        <v>#VALUE!</v>
      </c>
      <c r="Y36" s="645"/>
      <c r="Z36" s="539" t="s">
        <v>615</v>
      </c>
      <c r="AA36" s="416" t="s">
        <v>615</v>
      </c>
      <c r="AB36" s="416" t="s">
        <v>615</v>
      </c>
      <c r="AC36" s="539" t="e">
        <f t="shared" si="26"/>
        <v>#VALUE!</v>
      </c>
      <c r="AD36" s="645"/>
      <c r="AE36" s="539" t="s">
        <v>615</v>
      </c>
      <c r="AF36" s="416" t="s">
        <v>615</v>
      </c>
      <c r="AG36" s="416" t="s">
        <v>615</v>
      </c>
      <c r="AH36" s="539" t="e">
        <f t="shared" si="28"/>
        <v>#VALUE!</v>
      </c>
      <c r="AI36" s="645"/>
      <c r="AJ36" s="539" t="s">
        <v>615</v>
      </c>
      <c r="AK36" s="416" t="s">
        <v>615</v>
      </c>
      <c r="AL36" s="416" t="s">
        <v>615</v>
      </c>
      <c r="AM36" s="539" t="e">
        <f t="shared" si="30"/>
        <v>#VALUE!</v>
      </c>
      <c r="AN36" s="645"/>
      <c r="AO36" s="539" t="s">
        <v>615</v>
      </c>
      <c r="AP36" s="416" t="s">
        <v>615</v>
      </c>
      <c r="AQ36" s="416" t="s">
        <v>615</v>
      </c>
      <c r="AR36" s="539" t="e">
        <f t="shared" si="32"/>
        <v>#VALUE!</v>
      </c>
      <c r="AS36" s="645"/>
      <c r="AT36" s="539" t="s">
        <v>615</v>
      </c>
      <c r="AU36" s="416" t="s">
        <v>615</v>
      </c>
      <c r="AV36" s="416" t="s">
        <v>615</v>
      </c>
      <c r="AW36" s="539" t="e">
        <f t="shared" si="34"/>
        <v>#VALUE!</v>
      </c>
      <c r="AX36" s="645"/>
      <c r="AZ36" s="398" t="e">
        <f t="shared" si="36"/>
        <v>#N/A</v>
      </c>
      <c r="BA36" s="645"/>
    </row>
    <row r="37" spans="2:53">
      <c r="B37" s="643"/>
      <c r="C37" s="411">
        <v>11</v>
      </c>
      <c r="D37" s="225"/>
      <c r="E37" s="416"/>
      <c r="F37" s="409"/>
      <c r="G37" s="410"/>
      <c r="H37" s="680"/>
      <c r="I37" s="413" t="str">
        <f t="shared" si="19"/>
        <v>-</v>
      </c>
      <c r="J37" s="413" t="str">
        <f t="shared" si="20"/>
        <v>-</v>
      </c>
      <c r="K37" s="199" t="str">
        <f t="shared" si="21"/>
        <v>-</v>
      </c>
      <c r="L37" s="617"/>
      <c r="M37" s="420" t="e">
        <f>RANK(K37, K$24:$K$41)</f>
        <v>#VALUE!</v>
      </c>
      <c r="N37" s="635"/>
      <c r="O37" s="635"/>
      <c r="P37" s="539" t="s">
        <v>615</v>
      </c>
      <c r="Q37" s="416" t="s">
        <v>615</v>
      </c>
      <c r="R37" s="416" t="s">
        <v>615</v>
      </c>
      <c r="S37" s="539" t="e">
        <f t="shared" si="22"/>
        <v>#VALUE!</v>
      </c>
      <c r="T37" s="645"/>
      <c r="U37" s="539" t="s">
        <v>615</v>
      </c>
      <c r="V37" s="416" t="s">
        <v>615</v>
      </c>
      <c r="W37" s="416" t="s">
        <v>615</v>
      </c>
      <c r="X37" s="539" t="e">
        <f t="shared" si="24"/>
        <v>#VALUE!</v>
      </c>
      <c r="Y37" s="645"/>
      <c r="Z37" s="539" t="s">
        <v>615</v>
      </c>
      <c r="AA37" s="416" t="s">
        <v>615</v>
      </c>
      <c r="AB37" s="416" t="s">
        <v>615</v>
      </c>
      <c r="AC37" s="539" t="e">
        <f t="shared" si="26"/>
        <v>#VALUE!</v>
      </c>
      <c r="AD37" s="645"/>
      <c r="AE37" s="539" t="s">
        <v>615</v>
      </c>
      <c r="AF37" s="416" t="s">
        <v>615</v>
      </c>
      <c r="AG37" s="416" t="s">
        <v>615</v>
      </c>
      <c r="AH37" s="539" t="e">
        <f t="shared" si="28"/>
        <v>#VALUE!</v>
      </c>
      <c r="AI37" s="645"/>
      <c r="AJ37" s="539" t="s">
        <v>615</v>
      </c>
      <c r="AK37" s="416" t="s">
        <v>615</v>
      </c>
      <c r="AL37" s="416" t="s">
        <v>615</v>
      </c>
      <c r="AM37" s="539" t="e">
        <f t="shared" si="30"/>
        <v>#VALUE!</v>
      </c>
      <c r="AN37" s="645"/>
      <c r="AO37" s="539" t="s">
        <v>615</v>
      </c>
      <c r="AP37" s="416" t="s">
        <v>615</v>
      </c>
      <c r="AQ37" s="416" t="s">
        <v>615</v>
      </c>
      <c r="AR37" s="539" t="e">
        <f t="shared" si="32"/>
        <v>#VALUE!</v>
      </c>
      <c r="AS37" s="645"/>
      <c r="AT37" s="539" t="s">
        <v>615</v>
      </c>
      <c r="AU37" s="416" t="s">
        <v>615</v>
      </c>
      <c r="AV37" s="416" t="s">
        <v>615</v>
      </c>
      <c r="AW37" s="539" t="e">
        <f t="shared" si="34"/>
        <v>#VALUE!</v>
      </c>
      <c r="AX37" s="645"/>
      <c r="AZ37" s="398" t="e">
        <f t="shared" si="36"/>
        <v>#N/A</v>
      </c>
      <c r="BA37" s="645"/>
    </row>
    <row r="38" spans="2:53">
      <c r="B38" s="643"/>
      <c r="C38" s="411">
        <v>12</v>
      </c>
      <c r="D38" s="225"/>
      <c r="E38" s="416"/>
      <c r="F38" s="409"/>
      <c r="G38" s="410"/>
      <c r="H38" s="680"/>
      <c r="I38" s="413" t="str">
        <f t="shared" si="19"/>
        <v>-</v>
      </c>
      <c r="J38" s="413" t="str">
        <f t="shared" si="20"/>
        <v>-</v>
      </c>
      <c r="K38" s="199" t="str">
        <f t="shared" si="21"/>
        <v>-</v>
      </c>
      <c r="L38" s="617"/>
      <c r="M38" s="420" t="e">
        <f>RANK(K38, K$24:$K$41)</f>
        <v>#VALUE!</v>
      </c>
      <c r="N38" s="635"/>
      <c r="O38" s="635"/>
      <c r="P38" s="539" t="s">
        <v>615</v>
      </c>
      <c r="Q38" s="416" t="s">
        <v>615</v>
      </c>
      <c r="R38" s="416" t="s">
        <v>615</v>
      </c>
      <c r="S38" s="539" t="e">
        <f t="shared" si="22"/>
        <v>#VALUE!</v>
      </c>
      <c r="T38" s="645"/>
      <c r="U38" s="539" t="s">
        <v>615</v>
      </c>
      <c r="V38" s="416" t="s">
        <v>615</v>
      </c>
      <c r="W38" s="416" t="s">
        <v>615</v>
      </c>
      <c r="X38" s="539" t="e">
        <f t="shared" si="24"/>
        <v>#VALUE!</v>
      </c>
      <c r="Y38" s="645"/>
      <c r="Z38" s="539" t="s">
        <v>615</v>
      </c>
      <c r="AA38" s="416" t="s">
        <v>615</v>
      </c>
      <c r="AB38" s="416" t="s">
        <v>615</v>
      </c>
      <c r="AC38" s="539" t="e">
        <f t="shared" si="26"/>
        <v>#VALUE!</v>
      </c>
      <c r="AD38" s="645"/>
      <c r="AE38" s="539" t="s">
        <v>615</v>
      </c>
      <c r="AF38" s="416" t="s">
        <v>615</v>
      </c>
      <c r="AG38" s="416" t="s">
        <v>615</v>
      </c>
      <c r="AH38" s="539" t="e">
        <f t="shared" si="28"/>
        <v>#VALUE!</v>
      </c>
      <c r="AI38" s="645"/>
      <c r="AJ38" s="539" t="s">
        <v>615</v>
      </c>
      <c r="AK38" s="416" t="s">
        <v>615</v>
      </c>
      <c r="AL38" s="416" t="s">
        <v>615</v>
      </c>
      <c r="AM38" s="539" t="e">
        <f t="shared" si="30"/>
        <v>#VALUE!</v>
      </c>
      <c r="AN38" s="645"/>
      <c r="AO38" s="539" t="s">
        <v>615</v>
      </c>
      <c r="AP38" s="416" t="s">
        <v>615</v>
      </c>
      <c r="AQ38" s="416" t="s">
        <v>615</v>
      </c>
      <c r="AR38" s="539" t="e">
        <f t="shared" si="32"/>
        <v>#VALUE!</v>
      </c>
      <c r="AS38" s="645"/>
      <c r="AT38" s="539" t="s">
        <v>615</v>
      </c>
      <c r="AU38" s="416" t="s">
        <v>615</v>
      </c>
      <c r="AV38" s="416" t="s">
        <v>615</v>
      </c>
      <c r="AW38" s="539" t="e">
        <f t="shared" si="34"/>
        <v>#VALUE!</v>
      </c>
      <c r="AX38" s="645"/>
      <c r="AZ38" s="398" t="e">
        <f t="shared" si="36"/>
        <v>#N/A</v>
      </c>
      <c r="BA38" s="645"/>
    </row>
    <row r="39" spans="2:53">
      <c r="B39" s="643"/>
      <c r="C39" s="411">
        <v>13</v>
      </c>
      <c r="D39" s="225"/>
      <c r="E39" s="416"/>
      <c r="F39" s="409"/>
      <c r="G39" s="410"/>
      <c r="H39" s="680"/>
      <c r="I39" s="413" t="str">
        <f t="shared" si="19"/>
        <v>-</v>
      </c>
      <c r="J39" s="413" t="str">
        <f t="shared" si="20"/>
        <v>-</v>
      </c>
      <c r="K39" s="199" t="str">
        <f t="shared" si="21"/>
        <v>-</v>
      </c>
      <c r="L39" s="617"/>
      <c r="M39" s="420" t="e">
        <f>RANK(K39, K$24:$K$41)</f>
        <v>#VALUE!</v>
      </c>
      <c r="N39" s="635"/>
      <c r="O39" s="635"/>
      <c r="P39" s="539" t="s">
        <v>615</v>
      </c>
      <c r="Q39" s="416" t="s">
        <v>615</v>
      </c>
      <c r="R39" s="416" t="s">
        <v>615</v>
      </c>
      <c r="S39" s="539" t="e">
        <f t="shared" si="22"/>
        <v>#VALUE!</v>
      </c>
      <c r="T39" s="645"/>
      <c r="U39" s="539" t="s">
        <v>615</v>
      </c>
      <c r="V39" s="416" t="s">
        <v>615</v>
      </c>
      <c r="W39" s="416" t="s">
        <v>615</v>
      </c>
      <c r="X39" s="539" t="e">
        <f t="shared" si="24"/>
        <v>#VALUE!</v>
      </c>
      <c r="Y39" s="645"/>
      <c r="Z39" s="539" t="s">
        <v>615</v>
      </c>
      <c r="AA39" s="416" t="s">
        <v>615</v>
      </c>
      <c r="AB39" s="416" t="s">
        <v>615</v>
      </c>
      <c r="AC39" s="539" t="e">
        <f t="shared" si="26"/>
        <v>#VALUE!</v>
      </c>
      <c r="AD39" s="645"/>
      <c r="AE39" s="539" t="s">
        <v>615</v>
      </c>
      <c r="AF39" s="416" t="s">
        <v>615</v>
      </c>
      <c r="AG39" s="416" t="s">
        <v>615</v>
      </c>
      <c r="AH39" s="539" t="e">
        <f t="shared" si="28"/>
        <v>#VALUE!</v>
      </c>
      <c r="AI39" s="645"/>
      <c r="AJ39" s="539" t="s">
        <v>615</v>
      </c>
      <c r="AK39" s="416" t="s">
        <v>615</v>
      </c>
      <c r="AL39" s="416" t="s">
        <v>615</v>
      </c>
      <c r="AM39" s="539" t="e">
        <f t="shared" si="30"/>
        <v>#VALUE!</v>
      </c>
      <c r="AN39" s="645"/>
      <c r="AO39" s="539" t="s">
        <v>615</v>
      </c>
      <c r="AP39" s="416" t="s">
        <v>615</v>
      </c>
      <c r="AQ39" s="416" t="s">
        <v>615</v>
      </c>
      <c r="AR39" s="539" t="e">
        <f t="shared" si="32"/>
        <v>#VALUE!</v>
      </c>
      <c r="AS39" s="645"/>
      <c r="AT39" s="539" t="s">
        <v>615</v>
      </c>
      <c r="AU39" s="416" t="s">
        <v>615</v>
      </c>
      <c r="AV39" s="416" t="s">
        <v>615</v>
      </c>
      <c r="AW39" s="539" t="e">
        <f t="shared" si="34"/>
        <v>#VALUE!</v>
      </c>
      <c r="AX39" s="645"/>
      <c r="AZ39" s="398" t="e">
        <f t="shared" si="36"/>
        <v>#N/A</v>
      </c>
      <c r="BA39" s="645"/>
    </row>
    <row r="40" spans="2:53">
      <c r="B40" s="643"/>
      <c r="C40" s="411">
        <v>14</v>
      </c>
      <c r="D40" s="225"/>
      <c r="E40" s="416"/>
      <c r="F40" s="409"/>
      <c r="G40" s="410"/>
      <c r="H40" s="680"/>
      <c r="I40" s="413" t="str">
        <f t="shared" si="19"/>
        <v>-</v>
      </c>
      <c r="J40" s="413" t="str">
        <f t="shared" si="20"/>
        <v>-</v>
      </c>
      <c r="K40" s="199" t="str">
        <f t="shared" si="21"/>
        <v>-</v>
      </c>
      <c r="L40" s="617"/>
      <c r="M40" s="420" t="e">
        <f>RANK(K40, K$24:$K$41)</f>
        <v>#VALUE!</v>
      </c>
      <c r="N40" s="635"/>
      <c r="O40" s="635"/>
      <c r="P40" s="539" t="s">
        <v>615</v>
      </c>
      <c r="Q40" s="416" t="s">
        <v>615</v>
      </c>
      <c r="R40" s="416" t="s">
        <v>615</v>
      </c>
      <c r="S40" s="539" t="e">
        <f t="shared" si="22"/>
        <v>#VALUE!</v>
      </c>
      <c r="T40" s="645"/>
      <c r="U40" s="539" t="s">
        <v>615</v>
      </c>
      <c r="V40" s="416" t="s">
        <v>615</v>
      </c>
      <c r="W40" s="416" t="s">
        <v>615</v>
      </c>
      <c r="X40" s="539" t="e">
        <f t="shared" si="24"/>
        <v>#VALUE!</v>
      </c>
      <c r="Y40" s="645"/>
      <c r="Z40" s="539" t="s">
        <v>615</v>
      </c>
      <c r="AA40" s="416" t="s">
        <v>615</v>
      </c>
      <c r="AB40" s="416" t="s">
        <v>615</v>
      </c>
      <c r="AC40" s="539" t="e">
        <f t="shared" si="26"/>
        <v>#VALUE!</v>
      </c>
      <c r="AD40" s="645"/>
      <c r="AE40" s="539" t="s">
        <v>615</v>
      </c>
      <c r="AF40" s="416" t="s">
        <v>615</v>
      </c>
      <c r="AG40" s="416" t="s">
        <v>615</v>
      </c>
      <c r="AH40" s="539" t="e">
        <f t="shared" si="28"/>
        <v>#VALUE!</v>
      </c>
      <c r="AI40" s="645"/>
      <c r="AJ40" s="539" t="s">
        <v>615</v>
      </c>
      <c r="AK40" s="416" t="s">
        <v>615</v>
      </c>
      <c r="AL40" s="416" t="s">
        <v>615</v>
      </c>
      <c r="AM40" s="539" t="e">
        <f t="shared" si="30"/>
        <v>#VALUE!</v>
      </c>
      <c r="AN40" s="645"/>
      <c r="AO40" s="539" t="s">
        <v>615</v>
      </c>
      <c r="AP40" s="416" t="s">
        <v>615</v>
      </c>
      <c r="AQ40" s="416" t="s">
        <v>615</v>
      </c>
      <c r="AR40" s="539" t="e">
        <f t="shared" si="32"/>
        <v>#VALUE!</v>
      </c>
      <c r="AS40" s="645"/>
      <c r="AT40" s="539" t="s">
        <v>615</v>
      </c>
      <c r="AU40" s="416" t="s">
        <v>615</v>
      </c>
      <c r="AV40" s="416" t="s">
        <v>615</v>
      </c>
      <c r="AW40" s="539" t="e">
        <f t="shared" si="34"/>
        <v>#VALUE!</v>
      </c>
      <c r="AX40" s="645"/>
      <c r="AZ40" s="398" t="e">
        <f t="shared" si="36"/>
        <v>#N/A</v>
      </c>
      <c r="BA40" s="645"/>
    </row>
    <row r="41" spans="2:53">
      <c r="B41" s="643"/>
      <c r="C41" s="411">
        <v>15</v>
      </c>
      <c r="D41" s="225"/>
      <c r="E41" s="416"/>
      <c r="F41" s="409"/>
      <c r="G41" s="410"/>
      <c r="H41" s="684"/>
      <c r="I41" s="411"/>
      <c r="J41" s="411"/>
      <c r="K41" s="411"/>
      <c r="L41" s="618"/>
      <c r="M41" s="420" t="e">
        <f>RANK(K41, K$24:$K$41)</f>
        <v>#N/A</v>
      </c>
      <c r="N41" s="635"/>
      <c r="O41" s="635"/>
      <c r="P41" s="539" t="s">
        <v>615</v>
      </c>
      <c r="Q41" s="416" t="s">
        <v>615</v>
      </c>
      <c r="R41" s="416" t="s">
        <v>615</v>
      </c>
      <c r="S41" s="539" t="e">
        <f t="shared" si="22"/>
        <v>#VALUE!</v>
      </c>
      <c r="T41" s="646"/>
      <c r="U41" s="539" t="s">
        <v>615</v>
      </c>
      <c r="V41" s="416" t="s">
        <v>615</v>
      </c>
      <c r="W41" s="416" t="s">
        <v>615</v>
      </c>
      <c r="X41" s="539" t="e">
        <f t="shared" si="24"/>
        <v>#VALUE!</v>
      </c>
      <c r="Y41" s="646"/>
      <c r="Z41" s="539" t="s">
        <v>615</v>
      </c>
      <c r="AA41" s="416" t="s">
        <v>615</v>
      </c>
      <c r="AB41" s="416" t="s">
        <v>615</v>
      </c>
      <c r="AC41" s="539" t="e">
        <f t="shared" si="26"/>
        <v>#VALUE!</v>
      </c>
      <c r="AD41" s="646"/>
      <c r="AE41" s="539" t="s">
        <v>615</v>
      </c>
      <c r="AF41" s="416" t="s">
        <v>615</v>
      </c>
      <c r="AG41" s="416" t="s">
        <v>615</v>
      </c>
      <c r="AH41" s="539" t="e">
        <f t="shared" si="28"/>
        <v>#VALUE!</v>
      </c>
      <c r="AI41" s="646"/>
      <c r="AJ41" s="539" t="s">
        <v>615</v>
      </c>
      <c r="AK41" s="416" t="s">
        <v>615</v>
      </c>
      <c r="AL41" s="416" t="s">
        <v>615</v>
      </c>
      <c r="AM41" s="539" t="e">
        <f t="shared" si="30"/>
        <v>#VALUE!</v>
      </c>
      <c r="AN41" s="646"/>
      <c r="AO41" s="539" t="s">
        <v>615</v>
      </c>
      <c r="AP41" s="416" t="s">
        <v>615</v>
      </c>
      <c r="AQ41" s="416" t="s">
        <v>615</v>
      </c>
      <c r="AR41" s="539" t="e">
        <f t="shared" si="32"/>
        <v>#VALUE!</v>
      </c>
      <c r="AS41" s="646"/>
      <c r="AT41" s="539" t="s">
        <v>615</v>
      </c>
      <c r="AU41" s="416" t="s">
        <v>615</v>
      </c>
      <c r="AV41" s="416" t="s">
        <v>615</v>
      </c>
      <c r="AW41" s="539" t="e">
        <f t="shared" si="34"/>
        <v>#VALUE!</v>
      </c>
      <c r="AX41" s="646"/>
      <c r="AZ41" s="398" t="e">
        <f t="shared" si="36"/>
        <v>#N/A</v>
      </c>
      <c r="BA41" s="646"/>
    </row>
    <row r="42" spans="2:53" ht="15.75">
      <c r="B42" s="661" t="s">
        <v>163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36" t="s">
        <v>156</v>
      </c>
      <c r="O42" s="636" t="s">
        <v>105</v>
      </c>
      <c r="P42" s="642">
        <f>P22+7</f>
        <v>46182</v>
      </c>
      <c r="Q42" s="643"/>
      <c r="R42" s="643"/>
      <c r="S42" s="643"/>
      <c r="T42" s="643"/>
      <c r="U42" s="639">
        <f>P42+1</f>
        <v>46183</v>
      </c>
      <c r="V42" s="640"/>
      <c r="W42" s="640"/>
      <c r="X42" s="640"/>
      <c r="Y42" s="641"/>
      <c r="Z42" s="639">
        <f>U42+1</f>
        <v>46184</v>
      </c>
      <c r="AA42" s="640"/>
      <c r="AB42" s="640"/>
      <c r="AC42" s="640"/>
      <c r="AD42" s="641"/>
      <c r="AE42" s="639">
        <f>Z42+1</f>
        <v>46185</v>
      </c>
      <c r="AF42" s="640"/>
      <c r="AG42" s="640"/>
      <c r="AH42" s="640"/>
      <c r="AI42" s="641"/>
      <c r="AJ42" s="639">
        <f>AE42+1</f>
        <v>46186</v>
      </c>
      <c r="AK42" s="640"/>
      <c r="AL42" s="640"/>
      <c r="AM42" s="640"/>
      <c r="AN42" s="641"/>
      <c r="AO42" s="639">
        <f>AJ42+1</f>
        <v>46187</v>
      </c>
      <c r="AP42" s="640"/>
      <c r="AQ42" s="640"/>
      <c r="AR42" s="640"/>
      <c r="AS42" s="641"/>
      <c r="AT42" s="639">
        <f>AO42+1</f>
        <v>46188</v>
      </c>
      <c r="AU42" s="640"/>
      <c r="AV42" s="640"/>
      <c r="AW42" s="640"/>
      <c r="AX42" s="641"/>
    </row>
    <row r="43" spans="2:53" ht="15.75">
      <c r="B43" s="650"/>
      <c r="C43" s="650"/>
      <c r="D43" s="650"/>
      <c r="E43" s="650"/>
      <c r="F43" s="650"/>
      <c r="G43" s="650"/>
      <c r="H43" s="650"/>
      <c r="I43" s="204"/>
      <c r="J43" s="204"/>
      <c r="K43" s="204"/>
      <c r="L43" s="204"/>
      <c r="M43" s="205"/>
      <c r="N43" s="638"/>
      <c r="O43" s="638"/>
      <c r="P43" s="642" t="s">
        <v>318</v>
      </c>
      <c r="Q43" s="643"/>
      <c r="R43" s="643"/>
      <c r="S43" s="643"/>
      <c r="T43" s="643"/>
      <c r="U43" s="642" t="s">
        <v>319</v>
      </c>
      <c r="V43" s="643"/>
      <c r="W43" s="643"/>
      <c r="X43" s="643"/>
      <c r="Y43" s="643"/>
      <c r="Z43" s="642" t="s">
        <v>320</v>
      </c>
      <c r="AA43" s="643"/>
      <c r="AB43" s="643"/>
      <c r="AC43" s="643"/>
      <c r="AD43" s="643"/>
      <c r="AE43" s="642" t="s">
        <v>321</v>
      </c>
      <c r="AF43" s="643"/>
      <c r="AG43" s="643"/>
      <c r="AH43" s="643"/>
      <c r="AI43" s="643"/>
      <c r="AJ43" s="642" t="s">
        <v>322</v>
      </c>
      <c r="AK43" s="643"/>
      <c r="AL43" s="643"/>
      <c r="AM43" s="643"/>
      <c r="AN43" s="643"/>
      <c r="AO43" s="642" t="s">
        <v>323</v>
      </c>
      <c r="AP43" s="643"/>
      <c r="AQ43" s="643"/>
      <c r="AR43" s="643"/>
      <c r="AS43" s="643"/>
      <c r="AT43" s="642" t="s">
        <v>324</v>
      </c>
      <c r="AU43" s="643"/>
      <c r="AV43" s="643"/>
      <c r="AW43" s="643"/>
      <c r="AX43" s="643"/>
    </row>
    <row r="44" spans="2:53">
      <c r="B44" s="635" t="s">
        <v>374</v>
      </c>
      <c r="C44" s="635" t="s">
        <v>549</v>
      </c>
      <c r="D44" s="635"/>
      <c r="E44" s="635" t="s">
        <v>550</v>
      </c>
      <c r="F44" s="635"/>
      <c r="G44" s="635"/>
      <c r="H44" s="651" t="s">
        <v>551</v>
      </c>
      <c r="I44" s="635" t="s">
        <v>552</v>
      </c>
      <c r="J44" s="635"/>
      <c r="K44" s="635"/>
      <c r="L44" s="651" t="s">
        <v>371</v>
      </c>
      <c r="M44" s="636" t="s">
        <v>553</v>
      </c>
      <c r="N44" s="635"/>
      <c r="O44" s="635" t="s">
        <v>554</v>
      </c>
      <c r="P44" s="632" t="s">
        <v>373</v>
      </c>
      <c r="Q44" s="633"/>
      <c r="R44" s="633"/>
      <c r="S44" s="634"/>
      <c r="T44" s="635" t="s">
        <v>371</v>
      </c>
      <c r="U44" s="632" t="s">
        <v>373</v>
      </c>
      <c r="V44" s="633"/>
      <c r="W44" s="633"/>
      <c r="X44" s="634"/>
      <c r="Y44" s="635" t="s">
        <v>371</v>
      </c>
      <c r="Z44" s="632" t="s">
        <v>373</v>
      </c>
      <c r="AA44" s="633"/>
      <c r="AB44" s="633"/>
      <c r="AC44" s="634"/>
      <c r="AD44" s="635" t="s">
        <v>371</v>
      </c>
      <c r="AE44" s="632" t="s">
        <v>373</v>
      </c>
      <c r="AF44" s="633"/>
      <c r="AG44" s="633"/>
      <c r="AH44" s="634"/>
      <c r="AI44" s="635" t="s">
        <v>371</v>
      </c>
      <c r="AJ44" s="632" t="s">
        <v>373</v>
      </c>
      <c r="AK44" s="633"/>
      <c r="AL44" s="633"/>
      <c r="AM44" s="634"/>
      <c r="AN44" s="635" t="s">
        <v>371</v>
      </c>
      <c r="AO44" s="632" t="s">
        <v>373</v>
      </c>
      <c r="AP44" s="633"/>
      <c r="AQ44" s="633"/>
      <c r="AR44" s="634"/>
      <c r="AS44" s="635" t="s">
        <v>371</v>
      </c>
      <c r="AT44" s="632" t="s">
        <v>373</v>
      </c>
      <c r="AU44" s="633"/>
      <c r="AV44" s="633"/>
      <c r="AW44" s="634"/>
      <c r="AX44" s="635" t="s">
        <v>371</v>
      </c>
      <c r="BA44" s="635" t="s">
        <v>371</v>
      </c>
    </row>
    <row r="45" spans="2:53">
      <c r="B45" s="635"/>
      <c r="C45" s="635"/>
      <c r="D45" s="635"/>
      <c r="E45" s="635" t="s">
        <v>555</v>
      </c>
      <c r="F45" s="635"/>
      <c r="G45" s="635"/>
      <c r="H45" s="652"/>
      <c r="I45" s="635" t="s">
        <v>555</v>
      </c>
      <c r="J45" s="635"/>
      <c r="K45" s="635"/>
      <c r="L45" s="652"/>
      <c r="M45" s="637"/>
      <c r="N45" s="635"/>
      <c r="O45" s="635"/>
      <c r="P45" s="632" t="s">
        <v>379</v>
      </c>
      <c r="Q45" s="633"/>
      <c r="R45" s="633"/>
      <c r="S45" s="634"/>
      <c r="T45" s="635"/>
      <c r="U45" s="632" t="s">
        <v>379</v>
      </c>
      <c r="V45" s="633"/>
      <c r="W45" s="633"/>
      <c r="X45" s="634"/>
      <c r="Y45" s="635"/>
      <c r="Z45" s="632" t="s">
        <v>379</v>
      </c>
      <c r="AA45" s="633"/>
      <c r="AB45" s="633"/>
      <c r="AC45" s="634"/>
      <c r="AD45" s="635"/>
      <c r="AE45" s="632" t="s">
        <v>379</v>
      </c>
      <c r="AF45" s="633"/>
      <c r="AG45" s="633"/>
      <c r="AH45" s="634"/>
      <c r="AI45" s="635"/>
      <c r="AJ45" s="632" t="s">
        <v>379</v>
      </c>
      <c r="AK45" s="633"/>
      <c r="AL45" s="633"/>
      <c r="AM45" s="634"/>
      <c r="AN45" s="635"/>
      <c r="AO45" s="632" t="s">
        <v>379</v>
      </c>
      <c r="AP45" s="633"/>
      <c r="AQ45" s="633"/>
      <c r="AR45" s="634"/>
      <c r="AS45" s="635"/>
      <c r="AT45" s="632" t="s">
        <v>379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408" t="s">
        <v>556</v>
      </c>
      <c r="F46" s="408" t="s">
        <v>557</v>
      </c>
      <c r="G46" s="408" t="s">
        <v>558</v>
      </c>
      <c r="H46" s="653"/>
      <c r="I46" s="408" t="s">
        <v>556</v>
      </c>
      <c r="J46" s="408" t="s">
        <v>557</v>
      </c>
      <c r="K46" s="408" t="s">
        <v>558</v>
      </c>
      <c r="L46" s="653"/>
      <c r="M46" s="638"/>
      <c r="N46" s="635"/>
      <c r="O46" s="635"/>
      <c r="P46" s="408" t="s">
        <v>380</v>
      </c>
      <c r="Q46" s="408" t="s">
        <v>381</v>
      </c>
      <c r="R46" s="408" t="s">
        <v>382</v>
      </c>
      <c r="S46" s="408" t="s">
        <v>372</v>
      </c>
      <c r="T46" s="635"/>
      <c r="U46" s="408" t="s">
        <v>380</v>
      </c>
      <c r="V46" s="408" t="s">
        <v>381</v>
      </c>
      <c r="W46" s="408" t="s">
        <v>382</v>
      </c>
      <c r="X46" s="408" t="s">
        <v>372</v>
      </c>
      <c r="Y46" s="635"/>
      <c r="Z46" s="408" t="s">
        <v>380</v>
      </c>
      <c r="AA46" s="408" t="s">
        <v>381</v>
      </c>
      <c r="AB46" s="408" t="s">
        <v>382</v>
      </c>
      <c r="AC46" s="408" t="s">
        <v>372</v>
      </c>
      <c r="AD46" s="635"/>
      <c r="AE46" s="408" t="s">
        <v>380</v>
      </c>
      <c r="AF46" s="408" t="s">
        <v>381</v>
      </c>
      <c r="AG46" s="408" t="s">
        <v>382</v>
      </c>
      <c r="AH46" s="408" t="s">
        <v>372</v>
      </c>
      <c r="AI46" s="635"/>
      <c r="AJ46" s="408" t="s">
        <v>380</v>
      </c>
      <c r="AK46" s="408" t="s">
        <v>381</v>
      </c>
      <c r="AL46" s="408" t="s">
        <v>382</v>
      </c>
      <c r="AM46" s="408" t="s">
        <v>372</v>
      </c>
      <c r="AN46" s="635"/>
      <c r="AO46" s="408" t="s">
        <v>380</v>
      </c>
      <c r="AP46" s="408" t="s">
        <v>381</v>
      </c>
      <c r="AQ46" s="408" t="s">
        <v>382</v>
      </c>
      <c r="AR46" s="408" t="s">
        <v>372</v>
      </c>
      <c r="AS46" s="635"/>
      <c r="AT46" s="408" t="s">
        <v>380</v>
      </c>
      <c r="AU46" s="408" t="s">
        <v>381</v>
      </c>
      <c r="AV46" s="408" t="s">
        <v>382</v>
      </c>
      <c r="AW46" s="408" t="s">
        <v>372</v>
      </c>
      <c r="AX46" s="635"/>
      <c r="AZ46" s="397" t="s">
        <v>579</v>
      </c>
      <c r="BA46" s="635"/>
    </row>
    <row r="47" spans="2:53">
      <c r="B47" s="635" t="s">
        <v>386</v>
      </c>
      <c r="C47" s="411">
        <v>1</v>
      </c>
      <c r="D47" s="225" t="s">
        <v>638</v>
      </c>
      <c r="E47" s="416">
        <v>14</v>
      </c>
      <c r="F47" s="495">
        <v>1500</v>
      </c>
      <c r="G47" s="496">
        <v>107.14285714285714</v>
      </c>
      <c r="H47" s="679">
        <f>AVERAGE(G47:G61)</f>
        <v>90.879369291576268</v>
      </c>
      <c r="I47" s="413">
        <f t="shared" ref="I47:I60" si="38">IFERROR(AVERAGE(P47,U47,Z47,AE47,AJ47,AO47,AT47),"-")</f>
        <v>14</v>
      </c>
      <c r="J47" s="413">
        <f t="shared" ref="J47:J60" si="39">IFERROR(AVERAGE(Q47,V47,AA47,AF47,AK47,AP47,AU47),"-")</f>
        <v>1462.1176530927762</v>
      </c>
      <c r="K47" s="199">
        <f t="shared" ref="K47:K60" si="40">IFERROR(AVERAGE(R47,W47,AB47,AG47,AL47,AQ47,AV47),"-")</f>
        <v>104.43697522091259</v>
      </c>
      <c r="L47" s="616">
        <f>IFERROR(AVERAGE(K47:K61),"-")</f>
        <v>83.032083358954196</v>
      </c>
      <c r="M47" s="481">
        <f>RANK(K47, K$47:$K$61)</f>
        <v>1</v>
      </c>
      <c r="N47" s="635"/>
      <c r="O47" s="635"/>
      <c r="P47" s="549">
        <v>14</v>
      </c>
      <c r="Q47" s="416">
        <v>1447.22891566265</v>
      </c>
      <c r="R47" s="416">
        <v>103.37349397590357</v>
      </c>
      <c r="S47" s="549">
        <f t="shared" ref="S47:S61" si="41">RANK(R47, R$47:R$61)</f>
        <v>1</v>
      </c>
      <c r="T47" s="644">
        <f t="shared" ref="T47" si="42">AVERAGE(R47:R61)</f>
        <v>82.790563822688938</v>
      </c>
      <c r="U47" s="549">
        <v>14</v>
      </c>
      <c r="V47" s="416">
        <v>1474.7368421052638</v>
      </c>
      <c r="W47" s="416">
        <v>105.3383458646617</v>
      </c>
      <c r="X47" s="549">
        <f t="shared" ref="X47:X61" si="43">RANK(W47, W$47:W$61)</f>
        <v>1</v>
      </c>
      <c r="Y47" s="644">
        <f t="shared" ref="Y47" si="44">AVERAGE(W47:W61)</f>
        <v>83.143225988060252</v>
      </c>
      <c r="Z47" s="549">
        <v>14</v>
      </c>
      <c r="AA47" s="416">
        <v>1477.5000000000002</v>
      </c>
      <c r="AB47" s="416">
        <v>105.53571428571431</v>
      </c>
      <c r="AC47" s="549">
        <f t="shared" ref="AC47:AC61" si="45">RANK(AB47, AB$47:AB$61)</f>
        <v>1</v>
      </c>
      <c r="AD47" s="644">
        <f t="shared" ref="AD47" si="46">AVERAGE(AB47:AB61)</f>
        <v>84.964967637425914</v>
      </c>
      <c r="AE47" s="549">
        <v>14</v>
      </c>
      <c r="AF47" s="416">
        <v>1456.55172413793</v>
      </c>
      <c r="AG47" s="416">
        <v>104.039408866995</v>
      </c>
      <c r="AH47" s="549">
        <f t="shared" ref="AH47:AH61" si="47">RANK(AG47, AG$47:AG$61)</f>
        <v>1</v>
      </c>
      <c r="AI47" s="644">
        <f t="shared" ref="AI47" si="48">AVERAGE(AG47:AG61)</f>
        <v>83.034275872739599</v>
      </c>
      <c r="AJ47" s="549">
        <v>14</v>
      </c>
      <c r="AK47" s="416">
        <v>1469.0624999999995</v>
      </c>
      <c r="AL47" s="416">
        <v>104.93303571428568</v>
      </c>
      <c r="AM47" s="549">
        <f t="shared" ref="AM47:AM61" si="49">RANK(AL47, AL$47:AL$61)</f>
        <v>1</v>
      </c>
      <c r="AN47" s="644">
        <f t="shared" ref="AN47" si="50">AVERAGE(AL47:AL61)</f>
        <v>84.150709352643489</v>
      </c>
      <c r="AO47" s="549">
        <v>14</v>
      </c>
      <c r="AP47" s="416">
        <v>1443.076923076924</v>
      </c>
      <c r="AQ47" s="416">
        <v>103.07692307692314</v>
      </c>
      <c r="AR47" s="549">
        <f t="shared" ref="AR47:AR61" si="51">RANK(AQ47, AQ$47:AQ$61)</f>
        <v>1</v>
      </c>
      <c r="AS47" s="644">
        <f t="shared" ref="AS47" si="52">AVERAGE(AQ47:AQ61)</f>
        <v>81.720639637470569</v>
      </c>
      <c r="AT47" s="549">
        <v>14</v>
      </c>
      <c r="AU47" s="416">
        <v>1466.6666666666661</v>
      </c>
      <c r="AV47" s="416">
        <v>104.76190476190472</v>
      </c>
      <c r="AW47" s="549">
        <f t="shared" ref="AW47:AW61" si="53">RANK(AV47, AV$47:AV$61)</f>
        <v>1</v>
      </c>
      <c r="AX47" s="644">
        <f t="shared" ref="AX47" si="54">AVERAGE(AV47:AV61)</f>
        <v>81.420201201650642</v>
      </c>
      <c r="AZ47" s="398" t="e">
        <f t="shared" ref="AZ47:AZ61" si="55">RANK(AY47, AY$47:AY$61)</f>
        <v>#N/A</v>
      </c>
      <c r="BA47" s="658" t="e">
        <f t="shared" ref="BA47" si="56">AVERAGE(AY47:AY61)</f>
        <v>#DIV/0!</v>
      </c>
    </row>
    <row r="48" spans="2:53">
      <c r="B48" s="643"/>
      <c r="C48" s="411">
        <v>2</v>
      </c>
      <c r="D48" s="225" t="s">
        <v>532</v>
      </c>
      <c r="E48" s="416">
        <v>17</v>
      </c>
      <c r="F48" s="495">
        <v>1565</v>
      </c>
      <c r="G48" s="496">
        <v>92.058823529411768</v>
      </c>
      <c r="H48" s="680"/>
      <c r="I48" s="413">
        <f t="shared" si="38"/>
        <v>16.714285714285715</v>
      </c>
      <c r="J48" s="413">
        <f t="shared" si="39"/>
        <v>1416.0323450612839</v>
      </c>
      <c r="K48" s="199">
        <f t="shared" si="40"/>
        <v>84.785115935977885</v>
      </c>
      <c r="L48" s="617"/>
      <c r="M48" s="481">
        <f>RANK(K48, K$47:$K$61)</f>
        <v>2</v>
      </c>
      <c r="N48" s="635"/>
      <c r="O48" s="635"/>
      <c r="P48" s="549">
        <v>16</v>
      </c>
      <c r="Q48" s="416">
        <v>1404.0000000000005</v>
      </c>
      <c r="R48" s="416">
        <v>87.750000000000028</v>
      </c>
      <c r="S48" s="549">
        <f t="shared" si="41"/>
        <v>2</v>
      </c>
      <c r="T48" s="645"/>
      <c r="U48" s="549">
        <v>16</v>
      </c>
      <c r="V48" s="416">
        <v>1431.238095238095</v>
      </c>
      <c r="W48" s="416">
        <v>89.452380952380935</v>
      </c>
      <c r="X48" s="549">
        <f t="shared" si="43"/>
        <v>2</v>
      </c>
      <c r="Y48" s="645"/>
      <c r="Z48" s="549">
        <v>17</v>
      </c>
      <c r="AA48" s="416">
        <v>1414.0862068965509</v>
      </c>
      <c r="AB48" s="416">
        <v>83.181541582150061</v>
      </c>
      <c r="AC48" s="549">
        <f t="shared" si="45"/>
        <v>4</v>
      </c>
      <c r="AD48" s="645"/>
      <c r="AE48" s="549">
        <v>17</v>
      </c>
      <c r="AF48" s="416">
        <v>1436.6197183098595</v>
      </c>
      <c r="AG48" s="416">
        <v>84.507042253521149</v>
      </c>
      <c r="AH48" s="549">
        <f t="shared" si="47"/>
        <v>2</v>
      </c>
      <c r="AI48" s="645"/>
      <c r="AJ48" s="549">
        <v>17</v>
      </c>
      <c r="AK48" s="416">
        <v>1425.8823529411764</v>
      </c>
      <c r="AL48" s="416">
        <v>83.875432525951553</v>
      </c>
      <c r="AM48" s="549">
        <f t="shared" si="49"/>
        <v>3</v>
      </c>
      <c r="AN48" s="645"/>
      <c r="AO48" s="549">
        <v>17</v>
      </c>
      <c r="AP48" s="416">
        <v>1395.8507462686568</v>
      </c>
      <c r="AQ48" s="416">
        <v>82.108867427568043</v>
      </c>
      <c r="AR48" s="549">
        <f t="shared" si="51"/>
        <v>3</v>
      </c>
      <c r="AS48" s="645"/>
      <c r="AT48" s="549">
        <v>17</v>
      </c>
      <c r="AU48" s="416">
        <v>1404.549295774648</v>
      </c>
      <c r="AV48" s="416">
        <v>82.62054681027341</v>
      </c>
      <c r="AW48" s="549">
        <f t="shared" si="53"/>
        <v>3</v>
      </c>
      <c r="AX48" s="645"/>
      <c r="AZ48" s="398" t="e">
        <f t="shared" si="55"/>
        <v>#N/A</v>
      </c>
      <c r="BA48" s="659"/>
    </row>
    <row r="49" spans="2:53">
      <c r="B49" s="643"/>
      <c r="C49" s="411">
        <v>3</v>
      </c>
      <c r="D49" s="225" t="s">
        <v>618</v>
      </c>
      <c r="E49" s="416">
        <v>17</v>
      </c>
      <c r="F49" s="495">
        <v>1565</v>
      </c>
      <c r="G49" s="496">
        <v>92.058823529411768</v>
      </c>
      <c r="H49" s="680"/>
      <c r="I49" s="413">
        <f t="shared" si="38"/>
        <v>16.285714285714285</v>
      </c>
      <c r="J49" s="413">
        <f t="shared" si="39"/>
        <v>1316.1416893373132</v>
      </c>
      <c r="K49" s="199">
        <f t="shared" si="40"/>
        <v>80.87740284661588</v>
      </c>
      <c r="L49" s="617"/>
      <c r="M49" s="481">
        <f>RANK(K49, K$47:$K$61)</f>
        <v>5</v>
      </c>
      <c r="N49" s="635"/>
      <c r="O49" s="635"/>
      <c r="P49" s="549">
        <v>16</v>
      </c>
      <c r="Q49" s="416">
        <v>1323.671641791045</v>
      </c>
      <c r="R49" s="416">
        <v>82.729477611940311</v>
      </c>
      <c r="S49" s="549">
        <f t="shared" si="41"/>
        <v>3</v>
      </c>
      <c r="T49" s="645"/>
      <c r="U49" s="549">
        <v>16</v>
      </c>
      <c r="V49" s="416">
        <v>1337.627586206896</v>
      </c>
      <c r="W49" s="416">
        <v>83.601724137931001</v>
      </c>
      <c r="X49" s="549">
        <f t="shared" si="43"/>
        <v>3</v>
      </c>
      <c r="Y49" s="645"/>
      <c r="Z49" s="549">
        <v>16</v>
      </c>
      <c r="AA49" s="416">
        <v>1297.4676258992806</v>
      </c>
      <c r="AB49" s="416">
        <v>81.091726618705039</v>
      </c>
      <c r="AC49" s="549">
        <f t="shared" si="45"/>
        <v>5</v>
      </c>
      <c r="AD49" s="645"/>
      <c r="AE49" s="549">
        <v>16</v>
      </c>
      <c r="AF49" s="416">
        <v>1305.5327102803735</v>
      </c>
      <c r="AG49" s="416">
        <v>81.595794392523345</v>
      </c>
      <c r="AH49" s="549">
        <f t="shared" si="47"/>
        <v>5</v>
      </c>
      <c r="AI49" s="645"/>
      <c r="AJ49" s="549">
        <v>16</v>
      </c>
      <c r="AK49" s="416">
        <v>1318.4062499999998</v>
      </c>
      <c r="AL49" s="416">
        <v>82.400390624999986</v>
      </c>
      <c r="AM49" s="549">
        <f t="shared" si="49"/>
        <v>5</v>
      </c>
      <c r="AN49" s="645"/>
      <c r="AO49" s="549">
        <v>17</v>
      </c>
      <c r="AP49" s="416">
        <v>1324.5765517241375</v>
      </c>
      <c r="AQ49" s="416">
        <v>77.916267748478674</v>
      </c>
      <c r="AR49" s="549">
        <f t="shared" si="51"/>
        <v>5</v>
      </c>
      <c r="AS49" s="645"/>
      <c r="AT49" s="549">
        <v>17</v>
      </c>
      <c r="AU49" s="416">
        <v>1305.70945945946</v>
      </c>
      <c r="AV49" s="416">
        <v>76.806438791732944</v>
      </c>
      <c r="AW49" s="549">
        <f t="shared" si="53"/>
        <v>5</v>
      </c>
      <c r="AX49" s="645"/>
      <c r="AZ49" s="398" t="e">
        <f t="shared" si="55"/>
        <v>#N/A</v>
      </c>
      <c r="BA49" s="659"/>
    </row>
    <row r="50" spans="2:53">
      <c r="B50" s="643"/>
      <c r="C50" s="411">
        <v>4</v>
      </c>
      <c r="D50" s="225" t="s">
        <v>631</v>
      </c>
      <c r="E50" s="416">
        <v>18</v>
      </c>
      <c r="F50" s="495">
        <v>1565</v>
      </c>
      <c r="G50" s="496">
        <v>86.944444444444443</v>
      </c>
      <c r="H50" s="680"/>
      <c r="I50" s="413">
        <f t="shared" si="38"/>
        <v>17.714285714285715</v>
      </c>
      <c r="J50" s="413">
        <f t="shared" si="39"/>
        <v>1300.3533457296285</v>
      </c>
      <c r="K50" s="199">
        <f t="shared" si="40"/>
        <v>73.45433324189078</v>
      </c>
      <c r="L50" s="617"/>
      <c r="M50" s="481">
        <f>RANK(K50, K$47:$K$61)</f>
        <v>7</v>
      </c>
      <c r="N50" s="635"/>
      <c r="O50" s="635"/>
      <c r="P50" s="549">
        <v>18</v>
      </c>
      <c r="Q50" s="416">
        <v>1323.409090909091</v>
      </c>
      <c r="R50" s="416">
        <v>73.52272727272728</v>
      </c>
      <c r="S50" s="549">
        <f t="shared" si="41"/>
        <v>7</v>
      </c>
      <c r="T50" s="645"/>
      <c r="U50" s="549">
        <v>18</v>
      </c>
      <c r="V50" s="416">
        <v>1306.8292682926826</v>
      </c>
      <c r="W50" s="416">
        <v>72.601626016260141</v>
      </c>
      <c r="X50" s="549">
        <f t="shared" si="43"/>
        <v>7</v>
      </c>
      <c r="Y50" s="645"/>
      <c r="Z50" s="549">
        <v>17</v>
      </c>
      <c r="AA50" s="416">
        <v>1296.455696202531</v>
      </c>
      <c r="AB50" s="416">
        <v>76.262099776619479</v>
      </c>
      <c r="AC50" s="549">
        <f t="shared" si="45"/>
        <v>6</v>
      </c>
      <c r="AD50" s="645"/>
      <c r="AE50" s="549">
        <v>18</v>
      </c>
      <c r="AF50" s="416">
        <v>1282.9090909090919</v>
      </c>
      <c r="AG50" s="416">
        <v>71.272727272727323</v>
      </c>
      <c r="AH50" s="549">
        <f t="shared" si="47"/>
        <v>7</v>
      </c>
      <c r="AI50" s="645"/>
      <c r="AJ50" s="549">
        <v>17</v>
      </c>
      <c r="AK50" s="416">
        <v>1300.6779661016944</v>
      </c>
      <c r="AL50" s="416">
        <v>76.510468594217315</v>
      </c>
      <c r="AM50" s="549">
        <f t="shared" si="49"/>
        <v>6</v>
      </c>
      <c r="AN50" s="645"/>
      <c r="AO50" s="549">
        <v>18</v>
      </c>
      <c r="AP50" s="416">
        <v>1297.6923076923083</v>
      </c>
      <c r="AQ50" s="416">
        <v>72.094017094017133</v>
      </c>
      <c r="AR50" s="549">
        <f t="shared" si="51"/>
        <v>7</v>
      </c>
      <c r="AS50" s="645"/>
      <c r="AT50" s="549">
        <v>18</v>
      </c>
      <c r="AU50" s="416">
        <v>1294.5</v>
      </c>
      <c r="AV50" s="416">
        <v>71.916666666666671</v>
      </c>
      <c r="AW50" s="549">
        <f t="shared" si="53"/>
        <v>6</v>
      </c>
      <c r="AX50" s="645"/>
      <c r="AZ50" s="398" t="e">
        <f t="shared" si="55"/>
        <v>#N/A</v>
      </c>
      <c r="BA50" s="659"/>
    </row>
    <row r="51" spans="2:53">
      <c r="B51" s="643"/>
      <c r="C51" s="411">
        <v>5</v>
      </c>
      <c r="D51" s="225" t="s">
        <v>705</v>
      </c>
      <c r="E51" s="416">
        <v>19</v>
      </c>
      <c r="F51" s="495">
        <v>1500</v>
      </c>
      <c r="G51" s="496">
        <v>78.94736842105263</v>
      </c>
      <c r="H51" s="680"/>
      <c r="I51" s="413">
        <f t="shared" si="38"/>
        <v>18.142857142857142</v>
      </c>
      <c r="J51" s="413">
        <f t="shared" si="39"/>
        <v>1346.2163555838363</v>
      </c>
      <c r="K51" s="199">
        <f t="shared" si="40"/>
        <v>74.232011558065466</v>
      </c>
      <c r="L51" s="617"/>
      <c r="M51" s="481">
        <f>RANK(K51, K$47:$K$61)</f>
        <v>6</v>
      </c>
      <c r="N51" s="635"/>
      <c r="O51" s="635"/>
      <c r="P51" s="549">
        <v>18</v>
      </c>
      <c r="Q51" s="416">
        <v>1375.8521739130438</v>
      </c>
      <c r="R51" s="416">
        <v>76.436231884057989</v>
      </c>
      <c r="S51" s="549">
        <f t="shared" si="41"/>
        <v>6</v>
      </c>
      <c r="T51" s="645"/>
      <c r="U51" s="549">
        <v>18</v>
      </c>
      <c r="V51" s="416">
        <v>1323.3749999999995</v>
      </c>
      <c r="W51" s="416">
        <v>73.520833333333314</v>
      </c>
      <c r="X51" s="549">
        <f t="shared" si="43"/>
        <v>6</v>
      </c>
      <c r="Y51" s="645"/>
      <c r="Z51" s="549">
        <v>18</v>
      </c>
      <c r="AA51" s="416">
        <v>1363.4854368932038</v>
      </c>
      <c r="AB51" s="416">
        <v>75.749190938511319</v>
      </c>
      <c r="AC51" s="549">
        <f t="shared" si="45"/>
        <v>7</v>
      </c>
      <c r="AD51" s="645"/>
      <c r="AE51" s="549">
        <v>18</v>
      </c>
      <c r="AF51" s="416">
        <v>1352.2736842105267</v>
      </c>
      <c r="AG51" s="416">
        <v>75.126315789473708</v>
      </c>
      <c r="AH51" s="549">
        <f t="shared" si="47"/>
        <v>6</v>
      </c>
      <c r="AI51" s="645"/>
      <c r="AJ51" s="549">
        <v>18</v>
      </c>
      <c r="AK51" s="416">
        <v>1330.56</v>
      </c>
      <c r="AL51" s="416">
        <v>73.92</v>
      </c>
      <c r="AM51" s="549">
        <f t="shared" si="49"/>
        <v>7</v>
      </c>
      <c r="AN51" s="645"/>
      <c r="AO51" s="549">
        <v>18</v>
      </c>
      <c r="AP51" s="416">
        <v>1342.6285714285718</v>
      </c>
      <c r="AQ51" s="416">
        <v>74.59047619047621</v>
      </c>
      <c r="AR51" s="549">
        <f t="shared" si="51"/>
        <v>6</v>
      </c>
      <c r="AS51" s="645"/>
      <c r="AT51" s="549">
        <v>19</v>
      </c>
      <c r="AU51" s="416">
        <v>1335.3396226415091</v>
      </c>
      <c r="AV51" s="416">
        <v>70.281032770605748</v>
      </c>
      <c r="AW51" s="549">
        <f t="shared" si="53"/>
        <v>7</v>
      </c>
      <c r="AX51" s="645"/>
      <c r="AZ51" s="398" t="e">
        <f t="shared" si="55"/>
        <v>#N/A</v>
      </c>
      <c r="BA51" s="659"/>
    </row>
    <row r="52" spans="2:53">
      <c r="B52" s="643"/>
      <c r="C52" s="411">
        <v>6</v>
      </c>
      <c r="D52" s="225" t="s">
        <v>717</v>
      </c>
      <c r="E52" s="416">
        <v>18</v>
      </c>
      <c r="F52" s="495">
        <v>1565</v>
      </c>
      <c r="G52" s="496">
        <v>86.944444444444443</v>
      </c>
      <c r="H52" s="680"/>
      <c r="I52" s="413">
        <f t="shared" si="38"/>
        <v>17.428571428571427</v>
      </c>
      <c r="J52" s="413">
        <f t="shared" si="39"/>
        <v>1416.7348143818665</v>
      </c>
      <c r="K52" s="199">
        <f t="shared" si="40"/>
        <v>81.447967642167328</v>
      </c>
      <c r="L52" s="617"/>
      <c r="M52" s="481">
        <f>RANK(K52, K$47:$K$61)</f>
        <v>4</v>
      </c>
      <c r="N52" s="635"/>
      <c r="O52" s="635"/>
      <c r="P52" s="549">
        <v>18</v>
      </c>
      <c r="Q52" s="416">
        <v>1402.5688073394494</v>
      </c>
      <c r="R52" s="416">
        <v>77.920489296636077</v>
      </c>
      <c r="S52" s="549">
        <f t="shared" si="41"/>
        <v>4</v>
      </c>
      <c r="T52" s="645"/>
      <c r="U52" s="549">
        <v>18</v>
      </c>
      <c r="V52" s="416">
        <v>1414.8151260504205</v>
      </c>
      <c r="W52" s="416">
        <v>78.600840336134468</v>
      </c>
      <c r="X52" s="549">
        <f t="shared" si="43"/>
        <v>5</v>
      </c>
      <c r="Y52" s="645"/>
      <c r="Z52" s="549">
        <v>16</v>
      </c>
      <c r="AA52" s="416">
        <v>1433.6814159292037</v>
      </c>
      <c r="AB52" s="416">
        <v>89.605088495575231</v>
      </c>
      <c r="AC52" s="549">
        <f t="shared" si="45"/>
        <v>2</v>
      </c>
      <c r="AD52" s="645"/>
      <c r="AE52" s="549">
        <v>17</v>
      </c>
      <c r="AF52" s="416">
        <v>1397.3769230769237</v>
      </c>
      <c r="AG52" s="416">
        <v>82.198642533936692</v>
      </c>
      <c r="AH52" s="549">
        <f t="shared" si="47"/>
        <v>4</v>
      </c>
      <c r="AI52" s="645"/>
      <c r="AJ52" s="549">
        <v>17</v>
      </c>
      <c r="AK52" s="416">
        <v>1426.1538461538464</v>
      </c>
      <c r="AL52" s="416">
        <v>83.891402714932141</v>
      </c>
      <c r="AM52" s="549">
        <f t="shared" si="49"/>
        <v>2</v>
      </c>
      <c r="AN52" s="645"/>
      <c r="AO52" s="549">
        <v>18</v>
      </c>
      <c r="AP52" s="416">
        <v>1409.1329479768783</v>
      </c>
      <c r="AQ52" s="416">
        <v>78.285163776493235</v>
      </c>
      <c r="AR52" s="549">
        <f t="shared" si="51"/>
        <v>4</v>
      </c>
      <c r="AS52" s="645"/>
      <c r="AT52" s="549">
        <v>18</v>
      </c>
      <c r="AU52" s="416">
        <v>1433.4146341463418</v>
      </c>
      <c r="AV52" s="416">
        <v>79.634146341463435</v>
      </c>
      <c r="AW52" s="549">
        <f t="shared" si="53"/>
        <v>4</v>
      </c>
      <c r="AX52" s="645"/>
      <c r="AZ52" s="398" t="e">
        <f t="shared" si="55"/>
        <v>#N/A</v>
      </c>
      <c r="BA52" s="659"/>
    </row>
    <row r="53" spans="2:53">
      <c r="B53" s="643"/>
      <c r="C53" s="411">
        <v>7</v>
      </c>
      <c r="D53" s="225" t="s">
        <v>802</v>
      </c>
      <c r="E53" s="416">
        <v>17</v>
      </c>
      <c r="F53" s="495">
        <v>1565</v>
      </c>
      <c r="G53" s="496">
        <v>92.058823529411768</v>
      </c>
      <c r="H53" s="680"/>
      <c r="I53" s="413">
        <f t="shared" si="38"/>
        <v>17.285714285714285</v>
      </c>
      <c r="J53" s="413">
        <f t="shared" si="39"/>
        <v>1416.2272612817371</v>
      </c>
      <c r="K53" s="199">
        <f t="shared" si="40"/>
        <v>81.990777067049422</v>
      </c>
      <c r="L53" s="617"/>
      <c r="M53" s="481">
        <f>RANK(K53, K$47:$K$61)</f>
        <v>3</v>
      </c>
      <c r="N53" s="635"/>
      <c r="O53" s="635"/>
      <c r="P53" s="549">
        <v>18</v>
      </c>
      <c r="Q53" s="416">
        <v>1400.4274809160304</v>
      </c>
      <c r="R53" s="416">
        <v>77.801526717557238</v>
      </c>
      <c r="S53" s="549">
        <f t="shared" si="41"/>
        <v>5</v>
      </c>
      <c r="T53" s="645"/>
      <c r="U53" s="549">
        <v>18</v>
      </c>
      <c r="V53" s="416">
        <v>1419.9629629629624</v>
      </c>
      <c r="W53" s="416">
        <v>78.886831275720127</v>
      </c>
      <c r="X53" s="549">
        <f t="shared" si="43"/>
        <v>4</v>
      </c>
      <c r="Y53" s="645"/>
      <c r="Z53" s="549">
        <v>17</v>
      </c>
      <c r="AA53" s="416">
        <v>1416.6000000000008</v>
      </c>
      <c r="AB53" s="416">
        <v>83.329411764705924</v>
      </c>
      <c r="AC53" s="549">
        <f t="shared" si="45"/>
        <v>3</v>
      </c>
      <c r="AD53" s="645"/>
      <c r="AE53" s="549">
        <v>17</v>
      </c>
      <c r="AF53" s="416">
        <v>1402.4999999999995</v>
      </c>
      <c r="AG53" s="416">
        <v>82.499999999999972</v>
      </c>
      <c r="AH53" s="549">
        <f t="shared" si="47"/>
        <v>3</v>
      </c>
      <c r="AI53" s="645"/>
      <c r="AJ53" s="549">
        <v>17</v>
      </c>
      <c r="AK53" s="416">
        <v>1419.9119999999998</v>
      </c>
      <c r="AL53" s="416">
        <v>83.524235294117631</v>
      </c>
      <c r="AM53" s="549">
        <f t="shared" si="49"/>
        <v>4</v>
      </c>
      <c r="AN53" s="645"/>
      <c r="AO53" s="549">
        <v>17</v>
      </c>
      <c r="AP53" s="416">
        <v>1427.5369565217393</v>
      </c>
      <c r="AQ53" s="416">
        <v>83.972762148337608</v>
      </c>
      <c r="AR53" s="549">
        <f t="shared" si="51"/>
        <v>2</v>
      </c>
      <c r="AS53" s="645"/>
      <c r="AT53" s="549">
        <v>17</v>
      </c>
      <c r="AU53" s="416">
        <v>1426.6514285714281</v>
      </c>
      <c r="AV53" s="416">
        <v>83.920672268907538</v>
      </c>
      <c r="AW53" s="549">
        <f t="shared" si="53"/>
        <v>2</v>
      </c>
      <c r="AX53" s="645"/>
      <c r="AZ53" s="398" t="e">
        <f t="shared" si="55"/>
        <v>#N/A</v>
      </c>
      <c r="BA53" s="659"/>
    </row>
    <row r="54" spans="2:53">
      <c r="B54" s="643"/>
      <c r="C54" s="411">
        <v>8</v>
      </c>
      <c r="D54" s="225"/>
      <c r="E54" s="416"/>
      <c r="F54" s="495"/>
      <c r="G54" s="496"/>
      <c r="H54" s="680"/>
      <c r="I54" s="413" t="str">
        <f t="shared" si="38"/>
        <v>-</v>
      </c>
      <c r="J54" s="413" t="str">
        <f t="shared" si="39"/>
        <v>-</v>
      </c>
      <c r="K54" s="199" t="str">
        <f t="shared" si="40"/>
        <v>-</v>
      </c>
      <c r="L54" s="617"/>
      <c r="M54" s="481" t="e">
        <f>RANK(K54, K$47:$K$61)</f>
        <v>#VALUE!</v>
      </c>
      <c r="N54" s="635"/>
      <c r="O54" s="635"/>
      <c r="P54" s="549" t="s">
        <v>615</v>
      </c>
      <c r="Q54" s="416" t="s">
        <v>615</v>
      </c>
      <c r="R54" s="416" t="s">
        <v>615</v>
      </c>
      <c r="S54" s="549" t="e">
        <f t="shared" si="41"/>
        <v>#VALUE!</v>
      </c>
      <c r="T54" s="645"/>
      <c r="U54" s="549" t="s">
        <v>615</v>
      </c>
      <c r="V54" s="416" t="s">
        <v>615</v>
      </c>
      <c r="W54" s="416" t="s">
        <v>615</v>
      </c>
      <c r="X54" s="549" t="e">
        <f t="shared" si="43"/>
        <v>#VALUE!</v>
      </c>
      <c r="Y54" s="645"/>
      <c r="Z54" s="549" t="s">
        <v>615</v>
      </c>
      <c r="AA54" s="416" t="s">
        <v>615</v>
      </c>
      <c r="AB54" s="416" t="s">
        <v>615</v>
      </c>
      <c r="AC54" s="549" t="e">
        <f t="shared" si="45"/>
        <v>#VALUE!</v>
      </c>
      <c r="AD54" s="645"/>
      <c r="AE54" s="549" t="s">
        <v>615</v>
      </c>
      <c r="AF54" s="416" t="s">
        <v>615</v>
      </c>
      <c r="AG54" s="416" t="s">
        <v>615</v>
      </c>
      <c r="AH54" s="549" t="e">
        <f t="shared" si="47"/>
        <v>#VALUE!</v>
      </c>
      <c r="AI54" s="645"/>
      <c r="AJ54" s="549" t="s">
        <v>615</v>
      </c>
      <c r="AK54" s="416" t="s">
        <v>615</v>
      </c>
      <c r="AL54" s="416" t="s">
        <v>615</v>
      </c>
      <c r="AM54" s="549" t="e">
        <f t="shared" si="49"/>
        <v>#VALUE!</v>
      </c>
      <c r="AN54" s="645"/>
      <c r="AO54" s="549" t="s">
        <v>615</v>
      </c>
      <c r="AP54" s="416" t="s">
        <v>615</v>
      </c>
      <c r="AQ54" s="416" t="s">
        <v>615</v>
      </c>
      <c r="AR54" s="549" t="e">
        <f t="shared" si="51"/>
        <v>#VALUE!</v>
      </c>
      <c r="AS54" s="645"/>
      <c r="AT54" s="549" t="s">
        <v>615</v>
      </c>
      <c r="AU54" s="416" t="s">
        <v>615</v>
      </c>
      <c r="AV54" s="416" t="s">
        <v>615</v>
      </c>
      <c r="AW54" s="549" t="e">
        <f t="shared" si="53"/>
        <v>#VALUE!</v>
      </c>
      <c r="AX54" s="645"/>
      <c r="AZ54" s="398" t="e">
        <f t="shared" si="55"/>
        <v>#N/A</v>
      </c>
      <c r="BA54" s="659"/>
    </row>
    <row r="55" spans="2:53">
      <c r="B55" s="643"/>
      <c r="C55" s="411">
        <v>9</v>
      </c>
      <c r="D55" s="225"/>
      <c r="E55" s="416"/>
      <c r="F55" s="495"/>
      <c r="G55" s="496"/>
      <c r="H55" s="680"/>
      <c r="I55" s="413" t="str">
        <f t="shared" si="38"/>
        <v>-</v>
      </c>
      <c r="J55" s="413" t="str">
        <f t="shared" si="39"/>
        <v>-</v>
      </c>
      <c r="K55" s="199" t="str">
        <f t="shared" si="40"/>
        <v>-</v>
      </c>
      <c r="L55" s="617"/>
      <c r="M55" s="481" t="e">
        <f>RANK(K55, K$47:$K$61)</f>
        <v>#VALUE!</v>
      </c>
      <c r="N55" s="635"/>
      <c r="O55" s="635"/>
      <c r="P55" s="549" t="s">
        <v>615</v>
      </c>
      <c r="Q55" s="416" t="s">
        <v>615</v>
      </c>
      <c r="R55" s="416" t="s">
        <v>615</v>
      </c>
      <c r="S55" s="549" t="e">
        <f t="shared" si="41"/>
        <v>#VALUE!</v>
      </c>
      <c r="T55" s="645"/>
      <c r="U55" s="549" t="s">
        <v>615</v>
      </c>
      <c r="V55" s="416" t="s">
        <v>615</v>
      </c>
      <c r="W55" s="416" t="s">
        <v>615</v>
      </c>
      <c r="X55" s="549" t="e">
        <f t="shared" si="43"/>
        <v>#VALUE!</v>
      </c>
      <c r="Y55" s="645"/>
      <c r="Z55" s="549" t="s">
        <v>615</v>
      </c>
      <c r="AA55" s="416" t="s">
        <v>615</v>
      </c>
      <c r="AB55" s="416" t="s">
        <v>615</v>
      </c>
      <c r="AC55" s="549" t="e">
        <f t="shared" si="45"/>
        <v>#VALUE!</v>
      </c>
      <c r="AD55" s="645"/>
      <c r="AE55" s="549" t="s">
        <v>615</v>
      </c>
      <c r="AF55" s="416" t="s">
        <v>615</v>
      </c>
      <c r="AG55" s="416" t="s">
        <v>615</v>
      </c>
      <c r="AH55" s="549" t="e">
        <f t="shared" si="47"/>
        <v>#VALUE!</v>
      </c>
      <c r="AI55" s="645"/>
      <c r="AJ55" s="549" t="s">
        <v>615</v>
      </c>
      <c r="AK55" s="416" t="s">
        <v>615</v>
      </c>
      <c r="AL55" s="416" t="s">
        <v>615</v>
      </c>
      <c r="AM55" s="549" t="e">
        <f t="shared" si="49"/>
        <v>#VALUE!</v>
      </c>
      <c r="AN55" s="645"/>
      <c r="AO55" s="549" t="s">
        <v>615</v>
      </c>
      <c r="AP55" s="416" t="s">
        <v>615</v>
      </c>
      <c r="AQ55" s="416" t="s">
        <v>615</v>
      </c>
      <c r="AR55" s="549" t="e">
        <f t="shared" si="51"/>
        <v>#VALUE!</v>
      </c>
      <c r="AS55" s="645"/>
      <c r="AT55" s="549" t="s">
        <v>615</v>
      </c>
      <c r="AU55" s="416" t="s">
        <v>615</v>
      </c>
      <c r="AV55" s="416" t="s">
        <v>615</v>
      </c>
      <c r="AW55" s="549" t="e">
        <f t="shared" si="53"/>
        <v>#VALUE!</v>
      </c>
      <c r="AX55" s="645"/>
      <c r="AZ55" s="398" t="e">
        <f t="shared" si="55"/>
        <v>#N/A</v>
      </c>
      <c r="BA55" s="659"/>
    </row>
    <row r="56" spans="2:53">
      <c r="B56" s="643"/>
      <c r="C56" s="411">
        <v>10</v>
      </c>
      <c r="D56" s="225"/>
      <c r="E56" s="416"/>
      <c r="F56" s="495"/>
      <c r="G56" s="496"/>
      <c r="H56" s="680"/>
      <c r="I56" s="413" t="str">
        <f t="shared" si="38"/>
        <v>-</v>
      </c>
      <c r="J56" s="413" t="str">
        <f t="shared" si="39"/>
        <v>-</v>
      </c>
      <c r="K56" s="199" t="str">
        <f t="shared" si="40"/>
        <v>-</v>
      </c>
      <c r="L56" s="617"/>
      <c r="M56" s="481" t="e">
        <f>RANK(K56, K$47:$K$61)</f>
        <v>#VALUE!</v>
      </c>
      <c r="N56" s="635"/>
      <c r="O56" s="635"/>
      <c r="P56" s="549" t="s">
        <v>615</v>
      </c>
      <c r="Q56" s="416" t="s">
        <v>615</v>
      </c>
      <c r="R56" s="416" t="s">
        <v>615</v>
      </c>
      <c r="S56" s="549" t="e">
        <f t="shared" si="41"/>
        <v>#VALUE!</v>
      </c>
      <c r="T56" s="645"/>
      <c r="U56" s="549" t="s">
        <v>615</v>
      </c>
      <c r="V56" s="416" t="s">
        <v>615</v>
      </c>
      <c r="W56" s="416" t="s">
        <v>615</v>
      </c>
      <c r="X56" s="549" t="e">
        <f t="shared" si="43"/>
        <v>#VALUE!</v>
      </c>
      <c r="Y56" s="645"/>
      <c r="Z56" s="549" t="s">
        <v>615</v>
      </c>
      <c r="AA56" s="416" t="s">
        <v>615</v>
      </c>
      <c r="AB56" s="416" t="s">
        <v>615</v>
      </c>
      <c r="AC56" s="549" t="e">
        <f t="shared" si="45"/>
        <v>#VALUE!</v>
      </c>
      <c r="AD56" s="645"/>
      <c r="AE56" s="549" t="s">
        <v>615</v>
      </c>
      <c r="AF56" s="416" t="s">
        <v>615</v>
      </c>
      <c r="AG56" s="416" t="s">
        <v>615</v>
      </c>
      <c r="AH56" s="549" t="e">
        <f t="shared" si="47"/>
        <v>#VALUE!</v>
      </c>
      <c r="AI56" s="645"/>
      <c r="AJ56" s="549" t="s">
        <v>615</v>
      </c>
      <c r="AK56" s="416" t="s">
        <v>615</v>
      </c>
      <c r="AL56" s="416" t="s">
        <v>615</v>
      </c>
      <c r="AM56" s="549" t="e">
        <f t="shared" si="49"/>
        <v>#VALUE!</v>
      </c>
      <c r="AN56" s="645"/>
      <c r="AO56" s="549" t="s">
        <v>615</v>
      </c>
      <c r="AP56" s="416" t="s">
        <v>615</v>
      </c>
      <c r="AQ56" s="416" t="s">
        <v>615</v>
      </c>
      <c r="AR56" s="549" t="e">
        <f t="shared" si="51"/>
        <v>#VALUE!</v>
      </c>
      <c r="AS56" s="645"/>
      <c r="AT56" s="549" t="s">
        <v>615</v>
      </c>
      <c r="AU56" s="416" t="s">
        <v>615</v>
      </c>
      <c r="AV56" s="416" t="s">
        <v>615</v>
      </c>
      <c r="AW56" s="549" t="e">
        <f t="shared" si="53"/>
        <v>#VALUE!</v>
      </c>
      <c r="AX56" s="645"/>
      <c r="AZ56" s="398" t="e">
        <f t="shared" si="55"/>
        <v>#N/A</v>
      </c>
      <c r="BA56" s="659"/>
    </row>
    <row r="57" spans="2:53">
      <c r="B57" s="643"/>
      <c r="C57" s="411">
        <v>11</v>
      </c>
      <c r="D57" s="225"/>
      <c r="E57" s="416"/>
      <c r="F57" s="495"/>
      <c r="G57" s="496"/>
      <c r="H57" s="680"/>
      <c r="I57" s="413" t="str">
        <f t="shared" si="38"/>
        <v>-</v>
      </c>
      <c r="J57" s="413" t="str">
        <f t="shared" si="39"/>
        <v>-</v>
      </c>
      <c r="K57" s="199" t="str">
        <f t="shared" si="40"/>
        <v>-</v>
      </c>
      <c r="L57" s="617"/>
      <c r="M57" s="481" t="e">
        <f>RANK(K57, K$47:$K$61)</f>
        <v>#VALUE!</v>
      </c>
      <c r="N57" s="635"/>
      <c r="O57" s="635"/>
      <c r="P57" s="549" t="s">
        <v>615</v>
      </c>
      <c r="Q57" s="416" t="s">
        <v>615</v>
      </c>
      <c r="R57" s="416" t="s">
        <v>615</v>
      </c>
      <c r="S57" s="549" t="e">
        <f t="shared" si="41"/>
        <v>#VALUE!</v>
      </c>
      <c r="T57" s="645"/>
      <c r="U57" s="549" t="s">
        <v>615</v>
      </c>
      <c r="V57" s="416" t="s">
        <v>615</v>
      </c>
      <c r="W57" s="416" t="s">
        <v>615</v>
      </c>
      <c r="X57" s="549" t="e">
        <f t="shared" si="43"/>
        <v>#VALUE!</v>
      </c>
      <c r="Y57" s="645"/>
      <c r="Z57" s="549" t="s">
        <v>615</v>
      </c>
      <c r="AA57" s="416" t="s">
        <v>615</v>
      </c>
      <c r="AB57" s="416" t="s">
        <v>615</v>
      </c>
      <c r="AC57" s="549" t="e">
        <f t="shared" si="45"/>
        <v>#VALUE!</v>
      </c>
      <c r="AD57" s="645"/>
      <c r="AE57" s="549" t="s">
        <v>615</v>
      </c>
      <c r="AF57" s="416" t="s">
        <v>615</v>
      </c>
      <c r="AG57" s="416" t="s">
        <v>615</v>
      </c>
      <c r="AH57" s="549" t="e">
        <f t="shared" si="47"/>
        <v>#VALUE!</v>
      </c>
      <c r="AI57" s="645"/>
      <c r="AJ57" s="549" t="s">
        <v>615</v>
      </c>
      <c r="AK57" s="416" t="s">
        <v>615</v>
      </c>
      <c r="AL57" s="416" t="s">
        <v>615</v>
      </c>
      <c r="AM57" s="549" t="e">
        <f t="shared" si="49"/>
        <v>#VALUE!</v>
      </c>
      <c r="AN57" s="645"/>
      <c r="AO57" s="549" t="s">
        <v>615</v>
      </c>
      <c r="AP57" s="416" t="s">
        <v>615</v>
      </c>
      <c r="AQ57" s="416" t="s">
        <v>615</v>
      </c>
      <c r="AR57" s="549" t="e">
        <f t="shared" si="51"/>
        <v>#VALUE!</v>
      </c>
      <c r="AS57" s="645"/>
      <c r="AT57" s="549" t="s">
        <v>615</v>
      </c>
      <c r="AU57" s="416" t="s">
        <v>615</v>
      </c>
      <c r="AV57" s="416" t="s">
        <v>615</v>
      </c>
      <c r="AW57" s="549" t="e">
        <f t="shared" si="53"/>
        <v>#VALUE!</v>
      </c>
      <c r="AX57" s="645"/>
      <c r="AZ57" s="398" t="e">
        <f t="shared" si="55"/>
        <v>#N/A</v>
      </c>
      <c r="BA57" s="659"/>
    </row>
    <row r="58" spans="2:53">
      <c r="B58" s="643"/>
      <c r="C58" s="411">
        <v>12</v>
      </c>
      <c r="D58" s="225"/>
      <c r="E58" s="416"/>
      <c r="F58" s="495"/>
      <c r="G58" s="496"/>
      <c r="H58" s="680"/>
      <c r="I58" s="413" t="str">
        <f t="shared" si="38"/>
        <v>-</v>
      </c>
      <c r="J58" s="413" t="str">
        <f t="shared" si="39"/>
        <v>-</v>
      </c>
      <c r="K58" s="199" t="str">
        <f t="shared" si="40"/>
        <v>-</v>
      </c>
      <c r="L58" s="617"/>
      <c r="M58" s="481" t="e">
        <f>RANK(K58, K$47:$K$61)</f>
        <v>#VALUE!</v>
      </c>
      <c r="N58" s="635"/>
      <c r="O58" s="635"/>
      <c r="P58" s="549" t="s">
        <v>615</v>
      </c>
      <c r="Q58" s="416" t="s">
        <v>615</v>
      </c>
      <c r="R58" s="416" t="s">
        <v>615</v>
      </c>
      <c r="S58" s="549" t="e">
        <f t="shared" si="41"/>
        <v>#VALUE!</v>
      </c>
      <c r="T58" s="645"/>
      <c r="U58" s="549" t="s">
        <v>615</v>
      </c>
      <c r="V58" s="416" t="s">
        <v>615</v>
      </c>
      <c r="W58" s="416" t="s">
        <v>615</v>
      </c>
      <c r="X58" s="549" t="e">
        <f t="shared" si="43"/>
        <v>#VALUE!</v>
      </c>
      <c r="Y58" s="645"/>
      <c r="Z58" s="549" t="s">
        <v>615</v>
      </c>
      <c r="AA58" s="416" t="s">
        <v>615</v>
      </c>
      <c r="AB58" s="416" t="s">
        <v>615</v>
      </c>
      <c r="AC58" s="549" t="e">
        <f t="shared" si="45"/>
        <v>#VALUE!</v>
      </c>
      <c r="AD58" s="645"/>
      <c r="AE58" s="549" t="s">
        <v>615</v>
      </c>
      <c r="AF58" s="416" t="s">
        <v>615</v>
      </c>
      <c r="AG58" s="416" t="s">
        <v>615</v>
      </c>
      <c r="AH58" s="549" t="e">
        <f t="shared" si="47"/>
        <v>#VALUE!</v>
      </c>
      <c r="AI58" s="645"/>
      <c r="AJ58" s="549" t="s">
        <v>615</v>
      </c>
      <c r="AK58" s="416" t="s">
        <v>615</v>
      </c>
      <c r="AL58" s="416" t="s">
        <v>615</v>
      </c>
      <c r="AM58" s="549" t="e">
        <f t="shared" si="49"/>
        <v>#VALUE!</v>
      </c>
      <c r="AN58" s="645"/>
      <c r="AO58" s="549" t="s">
        <v>615</v>
      </c>
      <c r="AP58" s="416" t="s">
        <v>615</v>
      </c>
      <c r="AQ58" s="416" t="s">
        <v>615</v>
      </c>
      <c r="AR58" s="549" t="e">
        <f t="shared" si="51"/>
        <v>#VALUE!</v>
      </c>
      <c r="AS58" s="645"/>
      <c r="AT58" s="549" t="s">
        <v>615</v>
      </c>
      <c r="AU58" s="416" t="s">
        <v>615</v>
      </c>
      <c r="AV58" s="416" t="s">
        <v>615</v>
      </c>
      <c r="AW58" s="549" t="e">
        <f t="shared" si="53"/>
        <v>#VALUE!</v>
      </c>
      <c r="AX58" s="645"/>
      <c r="AZ58" s="398" t="e">
        <f t="shared" si="55"/>
        <v>#N/A</v>
      </c>
      <c r="BA58" s="659"/>
    </row>
    <row r="59" spans="2:53">
      <c r="B59" s="643"/>
      <c r="C59" s="411">
        <v>13</v>
      </c>
      <c r="D59" s="225"/>
      <c r="E59" s="416"/>
      <c r="F59" s="495"/>
      <c r="G59" s="496"/>
      <c r="H59" s="680"/>
      <c r="I59" s="413" t="str">
        <f t="shared" si="38"/>
        <v>-</v>
      </c>
      <c r="J59" s="413" t="str">
        <f t="shared" si="39"/>
        <v>-</v>
      </c>
      <c r="K59" s="199" t="str">
        <f t="shared" si="40"/>
        <v>-</v>
      </c>
      <c r="L59" s="617"/>
      <c r="M59" s="481" t="e">
        <f>RANK(K59, K$47:$K$61)</f>
        <v>#VALUE!</v>
      </c>
      <c r="N59" s="635"/>
      <c r="O59" s="635"/>
      <c r="P59" s="549" t="s">
        <v>615</v>
      </c>
      <c r="Q59" s="416" t="s">
        <v>615</v>
      </c>
      <c r="R59" s="416" t="s">
        <v>615</v>
      </c>
      <c r="S59" s="549" t="e">
        <f t="shared" si="41"/>
        <v>#VALUE!</v>
      </c>
      <c r="T59" s="645"/>
      <c r="U59" s="549" t="s">
        <v>615</v>
      </c>
      <c r="V59" s="416" t="s">
        <v>615</v>
      </c>
      <c r="W59" s="416" t="s">
        <v>615</v>
      </c>
      <c r="X59" s="549" t="e">
        <f t="shared" si="43"/>
        <v>#VALUE!</v>
      </c>
      <c r="Y59" s="645"/>
      <c r="Z59" s="549" t="s">
        <v>615</v>
      </c>
      <c r="AA59" s="416" t="s">
        <v>615</v>
      </c>
      <c r="AB59" s="416" t="s">
        <v>615</v>
      </c>
      <c r="AC59" s="549" t="e">
        <f t="shared" si="45"/>
        <v>#VALUE!</v>
      </c>
      <c r="AD59" s="645"/>
      <c r="AE59" s="549" t="s">
        <v>615</v>
      </c>
      <c r="AF59" s="416" t="s">
        <v>615</v>
      </c>
      <c r="AG59" s="416" t="s">
        <v>615</v>
      </c>
      <c r="AH59" s="549" t="e">
        <f t="shared" si="47"/>
        <v>#VALUE!</v>
      </c>
      <c r="AI59" s="645"/>
      <c r="AJ59" s="549" t="s">
        <v>615</v>
      </c>
      <c r="AK59" s="416" t="s">
        <v>615</v>
      </c>
      <c r="AL59" s="416" t="s">
        <v>615</v>
      </c>
      <c r="AM59" s="549" t="e">
        <f t="shared" si="49"/>
        <v>#VALUE!</v>
      </c>
      <c r="AN59" s="645"/>
      <c r="AO59" s="549" t="s">
        <v>615</v>
      </c>
      <c r="AP59" s="416" t="s">
        <v>615</v>
      </c>
      <c r="AQ59" s="416" t="s">
        <v>615</v>
      </c>
      <c r="AR59" s="549" t="e">
        <f t="shared" si="51"/>
        <v>#VALUE!</v>
      </c>
      <c r="AS59" s="645"/>
      <c r="AT59" s="549" t="s">
        <v>615</v>
      </c>
      <c r="AU59" s="416" t="s">
        <v>615</v>
      </c>
      <c r="AV59" s="416" t="s">
        <v>615</v>
      </c>
      <c r="AW59" s="549" t="e">
        <f t="shared" si="53"/>
        <v>#VALUE!</v>
      </c>
      <c r="AX59" s="645"/>
      <c r="AZ59" s="398" t="e">
        <f t="shared" si="55"/>
        <v>#N/A</v>
      </c>
      <c r="BA59" s="659"/>
    </row>
    <row r="60" spans="2:53">
      <c r="B60" s="643"/>
      <c r="C60" s="411">
        <v>14</v>
      </c>
      <c r="D60" s="225"/>
      <c r="E60" s="416"/>
      <c r="F60" s="495"/>
      <c r="G60" s="496"/>
      <c r="H60" s="680"/>
      <c r="I60" s="413" t="str">
        <f t="shared" si="38"/>
        <v>-</v>
      </c>
      <c r="J60" s="413" t="str">
        <f t="shared" si="39"/>
        <v>-</v>
      </c>
      <c r="K60" s="199" t="str">
        <f t="shared" si="40"/>
        <v>-</v>
      </c>
      <c r="L60" s="617"/>
      <c r="M60" s="481" t="e">
        <f>RANK(K60, K$47:$K$61)</f>
        <v>#VALUE!</v>
      </c>
      <c r="N60" s="635"/>
      <c r="O60" s="635"/>
      <c r="P60" s="549" t="s">
        <v>615</v>
      </c>
      <c r="Q60" s="416" t="s">
        <v>615</v>
      </c>
      <c r="R60" s="416" t="s">
        <v>615</v>
      </c>
      <c r="S60" s="549" t="e">
        <f t="shared" si="41"/>
        <v>#VALUE!</v>
      </c>
      <c r="T60" s="645"/>
      <c r="U60" s="549" t="s">
        <v>615</v>
      </c>
      <c r="V60" s="416" t="s">
        <v>615</v>
      </c>
      <c r="W60" s="416" t="s">
        <v>615</v>
      </c>
      <c r="X60" s="549" t="e">
        <f t="shared" si="43"/>
        <v>#VALUE!</v>
      </c>
      <c r="Y60" s="645"/>
      <c r="Z60" s="549" t="s">
        <v>615</v>
      </c>
      <c r="AA60" s="416" t="s">
        <v>615</v>
      </c>
      <c r="AB60" s="416" t="s">
        <v>615</v>
      </c>
      <c r="AC60" s="549" t="e">
        <f t="shared" si="45"/>
        <v>#VALUE!</v>
      </c>
      <c r="AD60" s="645"/>
      <c r="AE60" s="549" t="s">
        <v>615</v>
      </c>
      <c r="AF60" s="416" t="s">
        <v>615</v>
      </c>
      <c r="AG60" s="416" t="s">
        <v>615</v>
      </c>
      <c r="AH60" s="549" t="e">
        <f t="shared" si="47"/>
        <v>#VALUE!</v>
      </c>
      <c r="AI60" s="645"/>
      <c r="AJ60" s="549" t="s">
        <v>615</v>
      </c>
      <c r="AK60" s="416" t="s">
        <v>615</v>
      </c>
      <c r="AL60" s="416" t="s">
        <v>615</v>
      </c>
      <c r="AM60" s="549" t="e">
        <f t="shared" si="49"/>
        <v>#VALUE!</v>
      </c>
      <c r="AN60" s="645"/>
      <c r="AO60" s="549" t="s">
        <v>615</v>
      </c>
      <c r="AP60" s="416" t="s">
        <v>615</v>
      </c>
      <c r="AQ60" s="416" t="s">
        <v>615</v>
      </c>
      <c r="AR60" s="549" t="e">
        <f t="shared" si="51"/>
        <v>#VALUE!</v>
      </c>
      <c r="AS60" s="645"/>
      <c r="AT60" s="549" t="s">
        <v>615</v>
      </c>
      <c r="AU60" s="416" t="s">
        <v>615</v>
      </c>
      <c r="AV60" s="416" t="s">
        <v>615</v>
      </c>
      <c r="AW60" s="549" t="e">
        <f t="shared" si="53"/>
        <v>#VALUE!</v>
      </c>
      <c r="AX60" s="645"/>
      <c r="AZ60" s="398" t="e">
        <f t="shared" si="55"/>
        <v>#N/A</v>
      </c>
      <c r="BA60" s="659"/>
    </row>
    <row r="61" spans="2:53">
      <c r="B61" s="643"/>
      <c r="C61" s="411">
        <v>15</v>
      </c>
      <c r="D61" s="225"/>
      <c r="E61" s="416"/>
      <c r="F61" s="495"/>
      <c r="G61" s="496"/>
      <c r="H61" s="684"/>
      <c r="I61" s="411"/>
      <c r="J61" s="411"/>
      <c r="K61" s="411"/>
      <c r="L61" s="618"/>
      <c r="M61" s="481" t="e">
        <f>RANK(K61, K$47:$K$61)</f>
        <v>#N/A</v>
      </c>
      <c r="N61" s="635"/>
      <c r="O61" s="635"/>
      <c r="P61" s="549" t="s">
        <v>615</v>
      </c>
      <c r="Q61" s="416" t="s">
        <v>615</v>
      </c>
      <c r="R61" s="416" t="s">
        <v>615</v>
      </c>
      <c r="S61" s="549" t="e">
        <f t="shared" si="41"/>
        <v>#VALUE!</v>
      </c>
      <c r="T61" s="646"/>
      <c r="U61" s="549" t="s">
        <v>615</v>
      </c>
      <c r="V61" s="416" t="s">
        <v>615</v>
      </c>
      <c r="W61" s="416" t="s">
        <v>615</v>
      </c>
      <c r="X61" s="549" t="e">
        <f t="shared" si="43"/>
        <v>#VALUE!</v>
      </c>
      <c r="Y61" s="646"/>
      <c r="Z61" s="549" t="s">
        <v>615</v>
      </c>
      <c r="AA61" s="416" t="s">
        <v>615</v>
      </c>
      <c r="AB61" s="416" t="s">
        <v>615</v>
      </c>
      <c r="AC61" s="549" t="e">
        <f t="shared" si="45"/>
        <v>#VALUE!</v>
      </c>
      <c r="AD61" s="646"/>
      <c r="AE61" s="549" t="s">
        <v>615</v>
      </c>
      <c r="AF61" s="416" t="s">
        <v>615</v>
      </c>
      <c r="AG61" s="416" t="s">
        <v>615</v>
      </c>
      <c r="AH61" s="549" t="e">
        <f t="shared" si="47"/>
        <v>#VALUE!</v>
      </c>
      <c r="AI61" s="646"/>
      <c r="AJ61" s="549" t="s">
        <v>615</v>
      </c>
      <c r="AK61" s="416" t="s">
        <v>615</v>
      </c>
      <c r="AL61" s="416" t="s">
        <v>615</v>
      </c>
      <c r="AM61" s="549" t="e">
        <f t="shared" si="49"/>
        <v>#VALUE!</v>
      </c>
      <c r="AN61" s="646"/>
      <c r="AO61" s="549" t="s">
        <v>615</v>
      </c>
      <c r="AP61" s="416" t="s">
        <v>615</v>
      </c>
      <c r="AQ61" s="416" t="s">
        <v>615</v>
      </c>
      <c r="AR61" s="549" t="e">
        <f t="shared" si="51"/>
        <v>#VALUE!</v>
      </c>
      <c r="AS61" s="646"/>
      <c r="AT61" s="549" t="s">
        <v>615</v>
      </c>
      <c r="AU61" s="416" t="s">
        <v>615</v>
      </c>
      <c r="AV61" s="416" t="s">
        <v>615</v>
      </c>
      <c r="AW61" s="549" t="e">
        <f t="shared" si="53"/>
        <v>#VALUE!</v>
      </c>
      <c r="AX61" s="646"/>
      <c r="AZ61" s="398" t="e">
        <f t="shared" si="55"/>
        <v>#N/A</v>
      </c>
      <c r="BA61" s="660"/>
    </row>
    <row r="62" spans="2:53" ht="15.75">
      <c r="B62" s="647" t="s">
        <v>163</v>
      </c>
      <c r="C62" s="648"/>
      <c r="D62" s="648"/>
      <c r="E62" s="648"/>
      <c r="F62" s="648"/>
      <c r="G62" s="648"/>
      <c r="H62" s="649"/>
      <c r="I62" s="207"/>
      <c r="J62" s="207"/>
      <c r="K62" s="207"/>
      <c r="L62" s="207"/>
      <c r="M62" s="206"/>
      <c r="N62" s="636" t="s">
        <v>156</v>
      </c>
      <c r="O62" s="636" t="s">
        <v>105</v>
      </c>
      <c r="P62" s="642">
        <f>P42+7</f>
        <v>46189</v>
      </c>
      <c r="Q62" s="643"/>
      <c r="R62" s="643"/>
      <c r="S62" s="643"/>
      <c r="T62" s="643"/>
      <c r="U62" s="639">
        <f>P62+1</f>
        <v>46190</v>
      </c>
      <c r="V62" s="640"/>
      <c r="W62" s="640"/>
      <c r="X62" s="640"/>
      <c r="Y62" s="641"/>
      <c r="Z62" s="639">
        <f>U62+1</f>
        <v>46191</v>
      </c>
      <c r="AA62" s="640"/>
      <c r="AB62" s="640"/>
      <c r="AC62" s="640"/>
      <c r="AD62" s="641"/>
      <c r="AE62" s="639">
        <f>Z62+1</f>
        <v>46192</v>
      </c>
      <c r="AF62" s="640"/>
      <c r="AG62" s="640"/>
      <c r="AH62" s="640"/>
      <c r="AI62" s="641"/>
      <c r="AJ62" s="639">
        <f>AE62+1</f>
        <v>46193</v>
      </c>
      <c r="AK62" s="640"/>
      <c r="AL62" s="640"/>
      <c r="AM62" s="640"/>
      <c r="AN62" s="641"/>
      <c r="AO62" s="639">
        <f>AJ62+1</f>
        <v>46194</v>
      </c>
      <c r="AP62" s="640"/>
      <c r="AQ62" s="640"/>
      <c r="AR62" s="640"/>
      <c r="AS62" s="641"/>
      <c r="AT62" s="639">
        <f>AO62+1</f>
        <v>46195</v>
      </c>
      <c r="AU62" s="640"/>
      <c r="AV62" s="640"/>
      <c r="AW62" s="640"/>
      <c r="AX62" s="641"/>
    </row>
    <row r="63" spans="2:53" ht="15.75">
      <c r="B63" s="650"/>
      <c r="C63" s="650"/>
      <c r="D63" s="650"/>
      <c r="E63" s="650"/>
      <c r="F63" s="650"/>
      <c r="G63" s="650"/>
      <c r="H63" s="650"/>
      <c r="I63" s="204"/>
      <c r="J63" s="204"/>
      <c r="K63" s="204"/>
      <c r="L63" s="204"/>
      <c r="M63" s="205"/>
      <c r="N63" s="638"/>
      <c r="O63" s="638"/>
      <c r="P63" s="642" t="s">
        <v>318</v>
      </c>
      <c r="Q63" s="643"/>
      <c r="R63" s="643"/>
      <c r="S63" s="643"/>
      <c r="T63" s="643"/>
      <c r="U63" s="642" t="s">
        <v>319</v>
      </c>
      <c r="V63" s="643"/>
      <c r="W63" s="643"/>
      <c r="X63" s="643"/>
      <c r="Y63" s="643"/>
      <c r="Z63" s="642" t="s">
        <v>320</v>
      </c>
      <c r="AA63" s="643"/>
      <c r="AB63" s="643"/>
      <c r="AC63" s="643"/>
      <c r="AD63" s="643"/>
      <c r="AE63" s="642" t="s">
        <v>321</v>
      </c>
      <c r="AF63" s="643"/>
      <c r="AG63" s="643"/>
      <c r="AH63" s="643"/>
      <c r="AI63" s="643"/>
      <c r="AJ63" s="642" t="s">
        <v>322</v>
      </c>
      <c r="AK63" s="643"/>
      <c r="AL63" s="643"/>
      <c r="AM63" s="643"/>
      <c r="AN63" s="643"/>
      <c r="AO63" s="642" t="s">
        <v>323</v>
      </c>
      <c r="AP63" s="643"/>
      <c r="AQ63" s="643"/>
      <c r="AR63" s="643"/>
      <c r="AS63" s="643"/>
      <c r="AT63" s="642" t="s">
        <v>324</v>
      </c>
      <c r="AU63" s="643"/>
      <c r="AV63" s="643"/>
      <c r="AW63" s="643"/>
      <c r="AX63" s="643"/>
    </row>
    <row r="64" spans="2:53">
      <c r="B64" s="635" t="s">
        <v>374</v>
      </c>
      <c r="C64" s="635" t="s">
        <v>549</v>
      </c>
      <c r="D64" s="635"/>
      <c r="E64" s="635" t="s">
        <v>550</v>
      </c>
      <c r="F64" s="635"/>
      <c r="G64" s="635"/>
      <c r="H64" s="651" t="s">
        <v>551</v>
      </c>
      <c r="I64" s="635" t="s">
        <v>552</v>
      </c>
      <c r="J64" s="635"/>
      <c r="K64" s="635"/>
      <c r="L64" s="651" t="s">
        <v>371</v>
      </c>
      <c r="M64" s="636" t="s">
        <v>553</v>
      </c>
      <c r="N64" s="635"/>
      <c r="O64" s="635" t="s">
        <v>554</v>
      </c>
      <c r="P64" s="632" t="s">
        <v>373</v>
      </c>
      <c r="Q64" s="633"/>
      <c r="R64" s="633"/>
      <c r="S64" s="634"/>
      <c r="T64" s="635" t="s">
        <v>371</v>
      </c>
      <c r="U64" s="632" t="s">
        <v>373</v>
      </c>
      <c r="V64" s="633"/>
      <c r="W64" s="633"/>
      <c r="X64" s="634"/>
      <c r="Y64" s="635" t="s">
        <v>371</v>
      </c>
      <c r="Z64" s="632" t="s">
        <v>373</v>
      </c>
      <c r="AA64" s="633"/>
      <c r="AB64" s="633"/>
      <c r="AC64" s="634"/>
      <c r="AD64" s="635" t="s">
        <v>371</v>
      </c>
      <c r="AE64" s="632" t="s">
        <v>373</v>
      </c>
      <c r="AF64" s="633"/>
      <c r="AG64" s="633"/>
      <c r="AH64" s="634"/>
      <c r="AI64" s="635" t="s">
        <v>371</v>
      </c>
      <c r="AJ64" s="632" t="s">
        <v>373</v>
      </c>
      <c r="AK64" s="633"/>
      <c r="AL64" s="633"/>
      <c r="AM64" s="634"/>
      <c r="AN64" s="635" t="s">
        <v>371</v>
      </c>
      <c r="AO64" s="632" t="s">
        <v>373</v>
      </c>
      <c r="AP64" s="633"/>
      <c r="AQ64" s="633"/>
      <c r="AR64" s="634"/>
      <c r="AS64" s="635" t="s">
        <v>371</v>
      </c>
      <c r="AT64" s="632" t="s">
        <v>373</v>
      </c>
      <c r="AU64" s="633"/>
      <c r="AV64" s="633"/>
      <c r="AW64" s="634"/>
      <c r="AX64" s="635" t="s">
        <v>371</v>
      </c>
      <c r="BA64" s="635" t="s">
        <v>371</v>
      </c>
    </row>
    <row r="65" spans="2:53">
      <c r="B65" s="635"/>
      <c r="C65" s="635"/>
      <c r="D65" s="635"/>
      <c r="E65" s="635" t="s">
        <v>555</v>
      </c>
      <c r="F65" s="635"/>
      <c r="G65" s="635"/>
      <c r="H65" s="652"/>
      <c r="I65" s="635" t="s">
        <v>555</v>
      </c>
      <c r="J65" s="635"/>
      <c r="K65" s="635"/>
      <c r="L65" s="652"/>
      <c r="M65" s="637"/>
      <c r="N65" s="635"/>
      <c r="O65" s="635"/>
      <c r="P65" s="632" t="s">
        <v>379</v>
      </c>
      <c r="Q65" s="633"/>
      <c r="R65" s="633"/>
      <c r="S65" s="634"/>
      <c r="T65" s="635"/>
      <c r="U65" s="632" t="s">
        <v>379</v>
      </c>
      <c r="V65" s="633"/>
      <c r="W65" s="633"/>
      <c r="X65" s="634"/>
      <c r="Y65" s="635"/>
      <c r="Z65" s="632" t="s">
        <v>379</v>
      </c>
      <c r="AA65" s="633"/>
      <c r="AB65" s="633"/>
      <c r="AC65" s="634"/>
      <c r="AD65" s="635"/>
      <c r="AE65" s="632" t="s">
        <v>379</v>
      </c>
      <c r="AF65" s="633"/>
      <c r="AG65" s="633"/>
      <c r="AH65" s="634"/>
      <c r="AI65" s="635"/>
      <c r="AJ65" s="632" t="s">
        <v>379</v>
      </c>
      <c r="AK65" s="633"/>
      <c r="AL65" s="633"/>
      <c r="AM65" s="634"/>
      <c r="AN65" s="635"/>
      <c r="AO65" s="632" t="s">
        <v>379</v>
      </c>
      <c r="AP65" s="633"/>
      <c r="AQ65" s="633"/>
      <c r="AR65" s="634"/>
      <c r="AS65" s="635"/>
      <c r="AT65" s="632" t="s">
        <v>379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408" t="s">
        <v>556</v>
      </c>
      <c r="F66" s="408" t="s">
        <v>557</v>
      </c>
      <c r="G66" s="408" t="s">
        <v>558</v>
      </c>
      <c r="H66" s="653"/>
      <c r="I66" s="408" t="s">
        <v>556</v>
      </c>
      <c r="J66" s="408" t="s">
        <v>557</v>
      </c>
      <c r="K66" s="408" t="s">
        <v>558</v>
      </c>
      <c r="L66" s="653"/>
      <c r="M66" s="638"/>
      <c r="N66" s="635"/>
      <c r="O66" s="635"/>
      <c r="P66" s="408" t="s">
        <v>380</v>
      </c>
      <c r="Q66" s="408" t="s">
        <v>381</v>
      </c>
      <c r="R66" s="408" t="s">
        <v>382</v>
      </c>
      <c r="S66" s="408" t="s">
        <v>372</v>
      </c>
      <c r="T66" s="635"/>
      <c r="U66" s="408" t="s">
        <v>380</v>
      </c>
      <c r="V66" s="408" t="s">
        <v>381</v>
      </c>
      <c r="W66" s="408" t="s">
        <v>382</v>
      </c>
      <c r="X66" s="408" t="s">
        <v>372</v>
      </c>
      <c r="Y66" s="635"/>
      <c r="Z66" s="408" t="s">
        <v>380</v>
      </c>
      <c r="AA66" s="408" t="s">
        <v>381</v>
      </c>
      <c r="AB66" s="408" t="s">
        <v>382</v>
      </c>
      <c r="AC66" s="408" t="s">
        <v>372</v>
      </c>
      <c r="AD66" s="635"/>
      <c r="AE66" s="408" t="s">
        <v>380</v>
      </c>
      <c r="AF66" s="408" t="s">
        <v>381</v>
      </c>
      <c r="AG66" s="408" t="s">
        <v>382</v>
      </c>
      <c r="AH66" s="408" t="s">
        <v>372</v>
      </c>
      <c r="AI66" s="635"/>
      <c r="AJ66" s="408" t="s">
        <v>380</v>
      </c>
      <c r="AK66" s="408" t="s">
        <v>381</v>
      </c>
      <c r="AL66" s="408" t="s">
        <v>382</v>
      </c>
      <c r="AM66" s="408" t="s">
        <v>372</v>
      </c>
      <c r="AN66" s="635"/>
      <c r="AO66" s="408" t="s">
        <v>380</v>
      </c>
      <c r="AP66" s="408" t="s">
        <v>381</v>
      </c>
      <c r="AQ66" s="408" t="s">
        <v>382</v>
      </c>
      <c r="AR66" s="408" t="s">
        <v>372</v>
      </c>
      <c r="AS66" s="635"/>
      <c r="AT66" s="408" t="s">
        <v>380</v>
      </c>
      <c r="AU66" s="408" t="s">
        <v>381</v>
      </c>
      <c r="AV66" s="408" t="s">
        <v>382</v>
      </c>
      <c r="AW66" s="408" t="s">
        <v>372</v>
      </c>
      <c r="AX66" s="635"/>
      <c r="AZ66" s="397" t="s">
        <v>372</v>
      </c>
      <c r="BA66" s="635"/>
    </row>
    <row r="67" spans="2:53">
      <c r="B67" s="635" t="s">
        <v>386</v>
      </c>
      <c r="C67" s="411">
        <v>1</v>
      </c>
      <c r="D67" s="225"/>
      <c r="E67" s="416"/>
      <c r="F67" s="495"/>
      <c r="G67" s="496"/>
      <c r="H67" s="679" t="e">
        <f>AVERAGE(G67:G81)</f>
        <v>#DIV/0!</v>
      </c>
      <c r="I67" s="413" t="str">
        <f t="shared" ref="I67:I80" si="57">IFERROR(AVERAGE(P67,U67,Z67,AE67,AJ67,AO67,AT67),"-")</f>
        <v>-</v>
      </c>
      <c r="J67" s="413" t="str">
        <f t="shared" ref="J67:J80" si="58">IFERROR(AVERAGE(Q67,V67,AA67,AF67,AK67,AP67,AU67),"-")</f>
        <v>-</v>
      </c>
      <c r="K67" s="199" t="str">
        <f t="shared" ref="K67:K80" si="59">IFERROR(AVERAGE(R67,W67,AB67,AG67,AL67,AQ67,AV67),"-")</f>
        <v>-</v>
      </c>
      <c r="L67" s="616" t="str">
        <f>IFERROR(AVERAGE(K67:K81),"-")</f>
        <v>-</v>
      </c>
      <c r="M67" s="417" t="e">
        <f>RANK(K67, K$67:$K$81)</f>
        <v>#VALUE!</v>
      </c>
      <c r="N67" s="635"/>
      <c r="O67" s="635"/>
      <c r="P67" s="483"/>
      <c r="Q67" s="485"/>
      <c r="R67" s="485"/>
      <c r="S67" s="482"/>
      <c r="T67" s="644"/>
      <c r="U67" s="483"/>
      <c r="V67" s="485"/>
      <c r="W67" s="485"/>
      <c r="X67" s="482"/>
      <c r="Y67" s="644"/>
      <c r="Z67" s="483"/>
      <c r="AA67" s="485"/>
      <c r="AB67" s="485"/>
      <c r="AC67" s="482"/>
      <c r="AD67" s="644"/>
      <c r="AE67" s="483"/>
      <c r="AF67" s="485"/>
      <c r="AG67" s="485"/>
      <c r="AH67" s="482"/>
      <c r="AI67" s="644"/>
      <c r="AJ67" s="483"/>
      <c r="AK67" s="485"/>
      <c r="AL67" s="485"/>
      <c r="AM67" s="482"/>
      <c r="AN67" s="644"/>
      <c r="AO67" s="483"/>
      <c r="AP67" s="485"/>
      <c r="AQ67" s="485"/>
      <c r="AR67" s="482"/>
      <c r="AS67" s="644"/>
      <c r="AT67" s="482"/>
      <c r="AU67" s="416"/>
      <c r="AV67" s="416"/>
      <c r="AW67" s="482"/>
      <c r="AX67" s="644"/>
      <c r="AZ67" s="398" t="e">
        <f t="shared" ref="AZ67:AZ81" si="60">RANK(AY67, AY$67:AY$81)</f>
        <v>#N/A</v>
      </c>
      <c r="BA67" s="658" t="e">
        <f t="shared" ref="BA67" si="61">AVERAGE(AY67:AY81)</f>
        <v>#DIV/0!</v>
      </c>
    </row>
    <row r="68" spans="2:53">
      <c r="B68" s="643"/>
      <c r="C68" s="411">
        <v>2</v>
      </c>
      <c r="D68" s="225"/>
      <c r="E68" s="416"/>
      <c r="F68" s="495"/>
      <c r="G68" s="496"/>
      <c r="H68" s="680"/>
      <c r="I68" s="413" t="str">
        <f t="shared" si="57"/>
        <v>-</v>
      </c>
      <c r="J68" s="413" t="str">
        <f t="shared" si="58"/>
        <v>-</v>
      </c>
      <c r="K68" s="199" t="str">
        <f t="shared" si="59"/>
        <v>-</v>
      </c>
      <c r="L68" s="617"/>
      <c r="M68" s="417" t="e">
        <f>RANK(K68, K$67:$K$81)</f>
        <v>#VALUE!</v>
      </c>
      <c r="N68" s="635"/>
      <c r="O68" s="635"/>
      <c r="P68" s="483"/>
      <c r="Q68" s="485"/>
      <c r="R68" s="485"/>
      <c r="S68" s="482"/>
      <c r="T68" s="645"/>
      <c r="U68" s="483"/>
      <c r="V68" s="485"/>
      <c r="W68" s="485"/>
      <c r="X68" s="482"/>
      <c r="Y68" s="645"/>
      <c r="Z68" s="483"/>
      <c r="AA68" s="485"/>
      <c r="AB68" s="485"/>
      <c r="AC68" s="482"/>
      <c r="AD68" s="645"/>
      <c r="AE68" s="483"/>
      <c r="AF68" s="485"/>
      <c r="AG68" s="485"/>
      <c r="AH68" s="482"/>
      <c r="AI68" s="645"/>
      <c r="AJ68" s="483"/>
      <c r="AK68" s="485"/>
      <c r="AL68" s="485"/>
      <c r="AM68" s="482"/>
      <c r="AN68" s="645"/>
      <c r="AO68" s="483"/>
      <c r="AP68" s="485"/>
      <c r="AQ68" s="485"/>
      <c r="AR68" s="482"/>
      <c r="AS68" s="645"/>
      <c r="AT68" s="482"/>
      <c r="AU68" s="416"/>
      <c r="AV68" s="416"/>
      <c r="AW68" s="482"/>
      <c r="AX68" s="645"/>
      <c r="AZ68" s="398" t="e">
        <f t="shared" si="60"/>
        <v>#N/A</v>
      </c>
      <c r="BA68" s="659"/>
    </row>
    <row r="69" spans="2:53">
      <c r="B69" s="643"/>
      <c r="C69" s="411">
        <v>3</v>
      </c>
      <c r="D69" s="225"/>
      <c r="E69" s="416"/>
      <c r="F69" s="495"/>
      <c r="G69" s="496"/>
      <c r="H69" s="680"/>
      <c r="I69" s="413" t="str">
        <f t="shared" si="57"/>
        <v>-</v>
      </c>
      <c r="J69" s="413" t="str">
        <f t="shared" si="58"/>
        <v>-</v>
      </c>
      <c r="K69" s="199" t="str">
        <f t="shared" si="59"/>
        <v>-</v>
      </c>
      <c r="L69" s="617"/>
      <c r="M69" s="417" t="e">
        <f>RANK(K69, K$67:$K$81)</f>
        <v>#VALUE!</v>
      </c>
      <c r="N69" s="635"/>
      <c r="O69" s="635"/>
      <c r="P69" s="483"/>
      <c r="Q69" s="485"/>
      <c r="R69" s="485"/>
      <c r="S69" s="482"/>
      <c r="T69" s="645"/>
      <c r="U69" s="483"/>
      <c r="V69" s="485"/>
      <c r="W69" s="485"/>
      <c r="X69" s="482"/>
      <c r="Y69" s="645"/>
      <c r="Z69" s="483"/>
      <c r="AA69" s="485"/>
      <c r="AB69" s="485"/>
      <c r="AC69" s="482"/>
      <c r="AD69" s="645"/>
      <c r="AE69" s="483"/>
      <c r="AF69" s="485"/>
      <c r="AG69" s="485"/>
      <c r="AH69" s="482"/>
      <c r="AI69" s="645"/>
      <c r="AJ69" s="483"/>
      <c r="AK69" s="485"/>
      <c r="AL69" s="485"/>
      <c r="AM69" s="482"/>
      <c r="AN69" s="645"/>
      <c r="AO69" s="483"/>
      <c r="AP69" s="485"/>
      <c r="AQ69" s="485"/>
      <c r="AR69" s="482"/>
      <c r="AS69" s="645"/>
      <c r="AT69" s="482"/>
      <c r="AU69" s="416"/>
      <c r="AV69" s="416"/>
      <c r="AW69" s="482"/>
      <c r="AX69" s="645"/>
      <c r="AZ69" s="398" t="e">
        <f t="shared" si="60"/>
        <v>#N/A</v>
      </c>
      <c r="BA69" s="659"/>
    </row>
    <row r="70" spans="2:53">
      <c r="B70" s="643"/>
      <c r="C70" s="411">
        <v>4</v>
      </c>
      <c r="D70" s="225"/>
      <c r="E70" s="416"/>
      <c r="F70" s="495"/>
      <c r="G70" s="496"/>
      <c r="H70" s="680"/>
      <c r="I70" s="413" t="str">
        <f t="shared" si="57"/>
        <v>-</v>
      </c>
      <c r="J70" s="413" t="str">
        <f t="shared" si="58"/>
        <v>-</v>
      </c>
      <c r="K70" s="199" t="str">
        <f t="shared" si="59"/>
        <v>-</v>
      </c>
      <c r="L70" s="617"/>
      <c r="M70" s="417" t="e">
        <f>RANK(K70, K$67:$K$81)</f>
        <v>#VALUE!</v>
      </c>
      <c r="N70" s="635"/>
      <c r="O70" s="635"/>
      <c r="P70" s="483"/>
      <c r="Q70" s="485"/>
      <c r="R70" s="485"/>
      <c r="S70" s="482"/>
      <c r="T70" s="645"/>
      <c r="U70" s="483"/>
      <c r="V70" s="485"/>
      <c r="W70" s="485"/>
      <c r="X70" s="482"/>
      <c r="Y70" s="645"/>
      <c r="Z70" s="483"/>
      <c r="AA70" s="485"/>
      <c r="AB70" s="485"/>
      <c r="AC70" s="482"/>
      <c r="AD70" s="645"/>
      <c r="AE70" s="483"/>
      <c r="AF70" s="485"/>
      <c r="AG70" s="485"/>
      <c r="AH70" s="482"/>
      <c r="AI70" s="645"/>
      <c r="AJ70" s="483"/>
      <c r="AK70" s="485"/>
      <c r="AL70" s="485"/>
      <c r="AM70" s="482"/>
      <c r="AN70" s="645"/>
      <c r="AO70" s="483"/>
      <c r="AP70" s="485"/>
      <c r="AQ70" s="485"/>
      <c r="AR70" s="482"/>
      <c r="AS70" s="645"/>
      <c r="AT70" s="482"/>
      <c r="AU70" s="416"/>
      <c r="AV70" s="416"/>
      <c r="AW70" s="482"/>
      <c r="AX70" s="645"/>
      <c r="AZ70" s="398" t="e">
        <f t="shared" si="60"/>
        <v>#N/A</v>
      </c>
      <c r="BA70" s="659"/>
    </row>
    <row r="71" spans="2:53">
      <c r="B71" s="643"/>
      <c r="C71" s="411">
        <v>5</v>
      </c>
      <c r="D71" s="225"/>
      <c r="E71" s="416"/>
      <c r="F71" s="495"/>
      <c r="G71" s="496"/>
      <c r="H71" s="680"/>
      <c r="I71" s="413" t="str">
        <f t="shared" si="57"/>
        <v>-</v>
      </c>
      <c r="J71" s="413" t="str">
        <f t="shared" si="58"/>
        <v>-</v>
      </c>
      <c r="K71" s="199" t="str">
        <f t="shared" si="59"/>
        <v>-</v>
      </c>
      <c r="L71" s="617"/>
      <c r="M71" s="417" t="e">
        <f>RANK(K71, K$67:$K$81)</f>
        <v>#VALUE!</v>
      </c>
      <c r="N71" s="635"/>
      <c r="O71" s="635"/>
      <c r="P71" s="483"/>
      <c r="Q71" s="485"/>
      <c r="R71" s="485"/>
      <c r="S71" s="482"/>
      <c r="T71" s="645"/>
      <c r="U71" s="483"/>
      <c r="V71" s="485"/>
      <c r="W71" s="485"/>
      <c r="X71" s="482"/>
      <c r="Y71" s="645"/>
      <c r="Z71" s="483"/>
      <c r="AA71" s="485"/>
      <c r="AB71" s="485"/>
      <c r="AC71" s="482"/>
      <c r="AD71" s="645"/>
      <c r="AE71" s="483"/>
      <c r="AF71" s="485"/>
      <c r="AG71" s="485"/>
      <c r="AH71" s="482"/>
      <c r="AI71" s="645"/>
      <c r="AJ71" s="483"/>
      <c r="AK71" s="485"/>
      <c r="AL71" s="485"/>
      <c r="AM71" s="482"/>
      <c r="AN71" s="645"/>
      <c r="AO71" s="483"/>
      <c r="AP71" s="485"/>
      <c r="AQ71" s="485"/>
      <c r="AR71" s="482"/>
      <c r="AS71" s="645"/>
      <c r="AT71" s="482"/>
      <c r="AU71" s="416"/>
      <c r="AV71" s="416"/>
      <c r="AW71" s="482"/>
      <c r="AX71" s="645"/>
      <c r="AZ71" s="398" t="e">
        <f t="shared" si="60"/>
        <v>#N/A</v>
      </c>
      <c r="BA71" s="659"/>
    </row>
    <row r="72" spans="2:53">
      <c r="B72" s="643"/>
      <c r="C72" s="411">
        <v>6</v>
      </c>
      <c r="D72" s="225"/>
      <c r="E72" s="416"/>
      <c r="F72" s="495"/>
      <c r="G72" s="496"/>
      <c r="H72" s="680"/>
      <c r="I72" s="413" t="str">
        <f t="shared" si="57"/>
        <v>-</v>
      </c>
      <c r="J72" s="413" t="str">
        <f t="shared" si="58"/>
        <v>-</v>
      </c>
      <c r="K72" s="199" t="str">
        <f t="shared" si="59"/>
        <v>-</v>
      </c>
      <c r="L72" s="617"/>
      <c r="M72" s="417" t="e">
        <f>RANK(K72, K$67:$K$81)</f>
        <v>#VALUE!</v>
      </c>
      <c r="N72" s="635"/>
      <c r="O72" s="635"/>
      <c r="P72" s="483"/>
      <c r="Q72" s="485"/>
      <c r="R72" s="485"/>
      <c r="S72" s="482"/>
      <c r="T72" s="645"/>
      <c r="U72" s="483"/>
      <c r="V72" s="485"/>
      <c r="W72" s="485"/>
      <c r="X72" s="482"/>
      <c r="Y72" s="645"/>
      <c r="Z72" s="483"/>
      <c r="AA72" s="485"/>
      <c r="AB72" s="485"/>
      <c r="AC72" s="482"/>
      <c r="AD72" s="645"/>
      <c r="AE72" s="483"/>
      <c r="AF72" s="485"/>
      <c r="AG72" s="485"/>
      <c r="AH72" s="482"/>
      <c r="AI72" s="645"/>
      <c r="AJ72" s="483"/>
      <c r="AK72" s="485"/>
      <c r="AL72" s="485"/>
      <c r="AM72" s="482"/>
      <c r="AN72" s="645"/>
      <c r="AO72" s="483"/>
      <c r="AP72" s="485"/>
      <c r="AQ72" s="485"/>
      <c r="AR72" s="482"/>
      <c r="AS72" s="645"/>
      <c r="AT72" s="482"/>
      <c r="AU72" s="416"/>
      <c r="AV72" s="416"/>
      <c r="AW72" s="482"/>
      <c r="AX72" s="645"/>
      <c r="AZ72" s="398" t="e">
        <f t="shared" si="60"/>
        <v>#N/A</v>
      </c>
      <c r="BA72" s="659"/>
    </row>
    <row r="73" spans="2:53">
      <c r="B73" s="643"/>
      <c r="C73" s="411">
        <v>7</v>
      </c>
      <c r="D73" s="225"/>
      <c r="E73" s="416"/>
      <c r="F73" s="495"/>
      <c r="G73" s="496"/>
      <c r="H73" s="680"/>
      <c r="I73" s="413" t="str">
        <f t="shared" si="57"/>
        <v>-</v>
      </c>
      <c r="J73" s="413" t="str">
        <f t="shared" si="58"/>
        <v>-</v>
      </c>
      <c r="K73" s="199" t="str">
        <f t="shared" si="59"/>
        <v>-</v>
      </c>
      <c r="L73" s="617"/>
      <c r="M73" s="417" t="e">
        <f>RANK(K73, K$67:$K$81)</f>
        <v>#VALUE!</v>
      </c>
      <c r="N73" s="635"/>
      <c r="O73" s="635"/>
      <c r="P73" s="483"/>
      <c r="Q73" s="485"/>
      <c r="R73" s="485"/>
      <c r="S73" s="482"/>
      <c r="T73" s="645"/>
      <c r="U73" s="483"/>
      <c r="V73" s="485"/>
      <c r="W73" s="485"/>
      <c r="X73" s="482"/>
      <c r="Y73" s="645"/>
      <c r="Z73" s="483"/>
      <c r="AA73" s="485"/>
      <c r="AB73" s="485"/>
      <c r="AC73" s="482"/>
      <c r="AD73" s="645"/>
      <c r="AE73" s="483"/>
      <c r="AF73" s="485"/>
      <c r="AG73" s="485"/>
      <c r="AH73" s="482"/>
      <c r="AI73" s="645"/>
      <c r="AJ73" s="483"/>
      <c r="AK73" s="485"/>
      <c r="AL73" s="485"/>
      <c r="AM73" s="482"/>
      <c r="AN73" s="645"/>
      <c r="AO73" s="483"/>
      <c r="AP73" s="485"/>
      <c r="AQ73" s="485"/>
      <c r="AR73" s="482"/>
      <c r="AS73" s="645"/>
      <c r="AT73" s="482"/>
      <c r="AU73" s="416"/>
      <c r="AV73" s="416"/>
      <c r="AW73" s="482"/>
      <c r="AX73" s="645"/>
      <c r="AZ73" s="398" t="e">
        <f t="shared" si="60"/>
        <v>#N/A</v>
      </c>
      <c r="BA73" s="659"/>
    </row>
    <row r="74" spans="2:53">
      <c r="B74" s="643"/>
      <c r="C74" s="411">
        <v>8</v>
      </c>
      <c r="D74" s="225"/>
      <c r="E74" s="416"/>
      <c r="F74" s="495"/>
      <c r="G74" s="496"/>
      <c r="H74" s="680"/>
      <c r="I74" s="413" t="str">
        <f t="shared" si="57"/>
        <v>-</v>
      </c>
      <c r="J74" s="413" t="str">
        <f t="shared" si="58"/>
        <v>-</v>
      </c>
      <c r="K74" s="199" t="str">
        <f t="shared" si="59"/>
        <v>-</v>
      </c>
      <c r="L74" s="617"/>
      <c r="M74" s="417" t="e">
        <f>RANK(K74, K$67:$K$81)</f>
        <v>#VALUE!</v>
      </c>
      <c r="N74" s="635"/>
      <c r="O74" s="635"/>
      <c r="P74" s="483"/>
      <c r="Q74" s="485"/>
      <c r="R74" s="485"/>
      <c r="S74" s="482"/>
      <c r="T74" s="645"/>
      <c r="U74" s="483"/>
      <c r="V74" s="485"/>
      <c r="W74" s="485"/>
      <c r="X74" s="482"/>
      <c r="Y74" s="645"/>
      <c r="Z74" s="483"/>
      <c r="AA74" s="485"/>
      <c r="AB74" s="485"/>
      <c r="AC74" s="482"/>
      <c r="AD74" s="645"/>
      <c r="AE74" s="483"/>
      <c r="AF74" s="485"/>
      <c r="AG74" s="485"/>
      <c r="AH74" s="482"/>
      <c r="AI74" s="645"/>
      <c r="AJ74" s="483"/>
      <c r="AK74" s="485"/>
      <c r="AL74" s="485"/>
      <c r="AM74" s="482"/>
      <c r="AN74" s="645"/>
      <c r="AO74" s="483"/>
      <c r="AP74" s="485"/>
      <c r="AQ74" s="485"/>
      <c r="AR74" s="482"/>
      <c r="AS74" s="645"/>
      <c r="AT74" s="482"/>
      <c r="AU74" s="416"/>
      <c r="AV74" s="416"/>
      <c r="AW74" s="482"/>
      <c r="AX74" s="645"/>
      <c r="AZ74" s="398" t="e">
        <f t="shared" si="60"/>
        <v>#N/A</v>
      </c>
      <c r="BA74" s="659"/>
    </row>
    <row r="75" spans="2:53">
      <c r="B75" s="643"/>
      <c r="C75" s="411">
        <v>9</v>
      </c>
      <c r="D75" s="225"/>
      <c r="E75" s="416"/>
      <c r="F75" s="495"/>
      <c r="G75" s="496"/>
      <c r="H75" s="680"/>
      <c r="I75" s="413" t="str">
        <f t="shared" si="57"/>
        <v>-</v>
      </c>
      <c r="J75" s="413" t="str">
        <f t="shared" si="58"/>
        <v>-</v>
      </c>
      <c r="K75" s="199" t="str">
        <f t="shared" si="59"/>
        <v>-</v>
      </c>
      <c r="L75" s="617"/>
      <c r="M75" s="417" t="e">
        <f>RANK(K75, K$67:$K$81)</f>
        <v>#VALUE!</v>
      </c>
      <c r="N75" s="635"/>
      <c r="O75" s="635"/>
      <c r="P75" s="483"/>
      <c r="Q75" s="485"/>
      <c r="R75" s="485"/>
      <c r="S75" s="482"/>
      <c r="T75" s="645"/>
      <c r="U75" s="483"/>
      <c r="V75" s="485"/>
      <c r="W75" s="485"/>
      <c r="X75" s="482"/>
      <c r="Y75" s="645"/>
      <c r="Z75" s="483"/>
      <c r="AA75" s="485"/>
      <c r="AB75" s="485"/>
      <c r="AC75" s="482"/>
      <c r="AD75" s="645"/>
      <c r="AE75" s="483"/>
      <c r="AF75" s="485"/>
      <c r="AG75" s="485"/>
      <c r="AH75" s="482"/>
      <c r="AI75" s="645"/>
      <c r="AJ75" s="483"/>
      <c r="AK75" s="485"/>
      <c r="AL75" s="485"/>
      <c r="AM75" s="482"/>
      <c r="AN75" s="645"/>
      <c r="AO75" s="483"/>
      <c r="AP75" s="485"/>
      <c r="AQ75" s="485"/>
      <c r="AR75" s="482"/>
      <c r="AS75" s="645"/>
      <c r="AT75" s="482"/>
      <c r="AU75" s="416"/>
      <c r="AV75" s="416"/>
      <c r="AW75" s="482"/>
      <c r="AX75" s="645"/>
      <c r="AZ75" s="398" t="e">
        <f t="shared" si="60"/>
        <v>#N/A</v>
      </c>
      <c r="BA75" s="659"/>
    </row>
    <row r="76" spans="2:53">
      <c r="B76" s="643"/>
      <c r="C76" s="411">
        <v>10</v>
      </c>
      <c r="D76" s="225"/>
      <c r="E76" s="416"/>
      <c r="F76" s="495"/>
      <c r="G76" s="496"/>
      <c r="H76" s="680"/>
      <c r="I76" s="413" t="str">
        <f t="shared" si="57"/>
        <v>-</v>
      </c>
      <c r="J76" s="413" t="str">
        <f t="shared" si="58"/>
        <v>-</v>
      </c>
      <c r="K76" s="199" t="str">
        <f t="shared" si="59"/>
        <v>-</v>
      </c>
      <c r="L76" s="617"/>
      <c r="M76" s="417" t="e">
        <f>RANK(K76, K$67:$K$81)</f>
        <v>#VALUE!</v>
      </c>
      <c r="N76" s="635"/>
      <c r="O76" s="635"/>
      <c r="P76" s="483"/>
      <c r="Q76" s="485"/>
      <c r="R76" s="485"/>
      <c r="S76" s="482"/>
      <c r="T76" s="645"/>
      <c r="U76" s="483"/>
      <c r="V76" s="485"/>
      <c r="W76" s="485"/>
      <c r="X76" s="482"/>
      <c r="Y76" s="645"/>
      <c r="Z76" s="483"/>
      <c r="AA76" s="485"/>
      <c r="AB76" s="485"/>
      <c r="AC76" s="482"/>
      <c r="AD76" s="645"/>
      <c r="AE76" s="483"/>
      <c r="AF76" s="485"/>
      <c r="AG76" s="485"/>
      <c r="AH76" s="482"/>
      <c r="AI76" s="645"/>
      <c r="AJ76" s="483"/>
      <c r="AK76" s="485"/>
      <c r="AL76" s="485"/>
      <c r="AM76" s="482"/>
      <c r="AN76" s="645"/>
      <c r="AO76" s="483"/>
      <c r="AP76" s="485"/>
      <c r="AQ76" s="485"/>
      <c r="AR76" s="482"/>
      <c r="AS76" s="645"/>
      <c r="AT76" s="482"/>
      <c r="AU76" s="416"/>
      <c r="AV76" s="416"/>
      <c r="AW76" s="482"/>
      <c r="AX76" s="645"/>
      <c r="AZ76" s="398" t="e">
        <f t="shared" si="60"/>
        <v>#N/A</v>
      </c>
      <c r="BA76" s="659"/>
    </row>
    <row r="77" spans="2:53">
      <c r="B77" s="643"/>
      <c r="C77" s="411">
        <v>11</v>
      </c>
      <c r="D77" s="225"/>
      <c r="E77" s="416"/>
      <c r="F77" s="495"/>
      <c r="G77" s="496"/>
      <c r="H77" s="680"/>
      <c r="I77" s="413" t="str">
        <f t="shared" si="57"/>
        <v>-</v>
      </c>
      <c r="J77" s="413" t="str">
        <f t="shared" si="58"/>
        <v>-</v>
      </c>
      <c r="K77" s="199" t="str">
        <f t="shared" si="59"/>
        <v>-</v>
      </c>
      <c r="L77" s="617"/>
      <c r="M77" s="417" t="e">
        <f>RANK(K77, K$67:$K$81)</f>
        <v>#VALUE!</v>
      </c>
      <c r="N77" s="635"/>
      <c r="O77" s="635"/>
      <c r="P77" s="483"/>
      <c r="Q77" s="485"/>
      <c r="R77" s="485"/>
      <c r="S77" s="482"/>
      <c r="T77" s="645"/>
      <c r="U77" s="483"/>
      <c r="V77" s="485"/>
      <c r="W77" s="485"/>
      <c r="X77" s="482"/>
      <c r="Y77" s="645"/>
      <c r="Z77" s="483"/>
      <c r="AA77" s="485"/>
      <c r="AB77" s="485"/>
      <c r="AC77" s="482"/>
      <c r="AD77" s="645"/>
      <c r="AE77" s="483"/>
      <c r="AF77" s="485"/>
      <c r="AG77" s="485"/>
      <c r="AH77" s="482"/>
      <c r="AI77" s="645"/>
      <c r="AJ77" s="483"/>
      <c r="AK77" s="485"/>
      <c r="AL77" s="485"/>
      <c r="AM77" s="482"/>
      <c r="AN77" s="645"/>
      <c r="AO77" s="483"/>
      <c r="AP77" s="485"/>
      <c r="AQ77" s="485"/>
      <c r="AR77" s="482"/>
      <c r="AS77" s="645"/>
      <c r="AT77" s="482"/>
      <c r="AU77" s="416"/>
      <c r="AV77" s="416"/>
      <c r="AW77" s="482"/>
      <c r="AX77" s="645"/>
      <c r="AZ77" s="398" t="e">
        <f t="shared" si="60"/>
        <v>#N/A</v>
      </c>
      <c r="BA77" s="659"/>
    </row>
    <row r="78" spans="2:53">
      <c r="B78" s="643"/>
      <c r="C78" s="411">
        <v>12</v>
      </c>
      <c r="D78" s="225"/>
      <c r="E78" s="416"/>
      <c r="F78" s="495"/>
      <c r="G78" s="496"/>
      <c r="H78" s="680"/>
      <c r="I78" s="413" t="str">
        <f t="shared" si="57"/>
        <v>-</v>
      </c>
      <c r="J78" s="413" t="str">
        <f t="shared" si="58"/>
        <v>-</v>
      </c>
      <c r="K78" s="199" t="str">
        <f t="shared" si="59"/>
        <v>-</v>
      </c>
      <c r="L78" s="617"/>
      <c r="M78" s="417" t="e">
        <f>RANK(K78, K$67:$K$81)</f>
        <v>#VALUE!</v>
      </c>
      <c r="N78" s="635"/>
      <c r="O78" s="635"/>
      <c r="P78" s="483"/>
      <c r="Q78" s="485"/>
      <c r="R78" s="485"/>
      <c r="S78" s="482"/>
      <c r="T78" s="645"/>
      <c r="U78" s="483"/>
      <c r="V78" s="485"/>
      <c r="W78" s="485"/>
      <c r="X78" s="482"/>
      <c r="Y78" s="645"/>
      <c r="Z78" s="483"/>
      <c r="AA78" s="485"/>
      <c r="AB78" s="485"/>
      <c r="AC78" s="482"/>
      <c r="AD78" s="645"/>
      <c r="AE78" s="483"/>
      <c r="AF78" s="485"/>
      <c r="AG78" s="485"/>
      <c r="AH78" s="482"/>
      <c r="AI78" s="645"/>
      <c r="AJ78" s="483"/>
      <c r="AK78" s="485"/>
      <c r="AL78" s="485"/>
      <c r="AM78" s="482"/>
      <c r="AN78" s="645"/>
      <c r="AO78" s="483"/>
      <c r="AP78" s="485"/>
      <c r="AQ78" s="485"/>
      <c r="AR78" s="482"/>
      <c r="AS78" s="645"/>
      <c r="AT78" s="482"/>
      <c r="AU78" s="416"/>
      <c r="AV78" s="416"/>
      <c r="AW78" s="482"/>
      <c r="AX78" s="645"/>
      <c r="AZ78" s="398" t="e">
        <f t="shared" si="60"/>
        <v>#N/A</v>
      </c>
      <c r="BA78" s="659"/>
    </row>
    <row r="79" spans="2:53">
      <c r="B79" s="643"/>
      <c r="C79" s="411">
        <v>13</v>
      </c>
      <c r="D79" s="225"/>
      <c r="E79" s="416"/>
      <c r="F79" s="495"/>
      <c r="G79" s="496"/>
      <c r="H79" s="680"/>
      <c r="I79" s="413" t="str">
        <f t="shared" si="57"/>
        <v>-</v>
      </c>
      <c r="J79" s="413" t="str">
        <f t="shared" si="58"/>
        <v>-</v>
      </c>
      <c r="K79" s="199" t="str">
        <f t="shared" si="59"/>
        <v>-</v>
      </c>
      <c r="L79" s="617"/>
      <c r="M79" s="417" t="e">
        <f>RANK(K79, K$67:$K$81)</f>
        <v>#VALUE!</v>
      </c>
      <c r="N79" s="635"/>
      <c r="O79" s="635"/>
      <c r="P79" s="483"/>
      <c r="Q79" s="485"/>
      <c r="R79" s="485"/>
      <c r="S79" s="482"/>
      <c r="T79" s="645"/>
      <c r="U79" s="483"/>
      <c r="V79" s="485"/>
      <c r="W79" s="485"/>
      <c r="X79" s="482"/>
      <c r="Y79" s="645"/>
      <c r="Z79" s="483"/>
      <c r="AA79" s="485"/>
      <c r="AB79" s="485"/>
      <c r="AC79" s="482"/>
      <c r="AD79" s="645"/>
      <c r="AE79" s="483"/>
      <c r="AF79" s="485"/>
      <c r="AG79" s="485"/>
      <c r="AH79" s="482"/>
      <c r="AI79" s="645"/>
      <c r="AJ79" s="483"/>
      <c r="AK79" s="485"/>
      <c r="AL79" s="485"/>
      <c r="AM79" s="482"/>
      <c r="AN79" s="645"/>
      <c r="AO79" s="483"/>
      <c r="AP79" s="485"/>
      <c r="AQ79" s="485"/>
      <c r="AR79" s="482"/>
      <c r="AS79" s="645"/>
      <c r="AT79" s="482"/>
      <c r="AU79" s="416"/>
      <c r="AV79" s="416"/>
      <c r="AW79" s="482"/>
      <c r="AX79" s="645"/>
      <c r="AZ79" s="398" t="e">
        <f t="shared" si="60"/>
        <v>#N/A</v>
      </c>
      <c r="BA79" s="659"/>
    </row>
    <row r="80" spans="2:53">
      <c r="B80" s="643"/>
      <c r="C80" s="411">
        <v>14</v>
      </c>
      <c r="D80" s="225"/>
      <c r="E80" s="416"/>
      <c r="F80" s="495"/>
      <c r="G80" s="496"/>
      <c r="H80" s="680"/>
      <c r="I80" s="413" t="str">
        <f t="shared" si="57"/>
        <v>-</v>
      </c>
      <c r="J80" s="413" t="str">
        <f t="shared" si="58"/>
        <v>-</v>
      </c>
      <c r="K80" s="199" t="str">
        <f t="shared" si="59"/>
        <v>-</v>
      </c>
      <c r="L80" s="617"/>
      <c r="M80" s="417" t="e">
        <f>RANK(K80, K$67:$K$81)</f>
        <v>#VALUE!</v>
      </c>
      <c r="N80" s="635"/>
      <c r="O80" s="635"/>
      <c r="P80" s="483"/>
      <c r="Q80" s="485"/>
      <c r="R80" s="485"/>
      <c r="S80" s="482"/>
      <c r="T80" s="645"/>
      <c r="U80" s="483"/>
      <c r="V80" s="485"/>
      <c r="W80" s="485"/>
      <c r="X80" s="482"/>
      <c r="Y80" s="645"/>
      <c r="Z80" s="483"/>
      <c r="AA80" s="485"/>
      <c r="AB80" s="485"/>
      <c r="AC80" s="482"/>
      <c r="AD80" s="645"/>
      <c r="AE80" s="483"/>
      <c r="AF80" s="485"/>
      <c r="AG80" s="485"/>
      <c r="AH80" s="482"/>
      <c r="AI80" s="645"/>
      <c r="AJ80" s="483"/>
      <c r="AK80" s="485"/>
      <c r="AL80" s="485"/>
      <c r="AM80" s="482"/>
      <c r="AN80" s="645"/>
      <c r="AO80" s="483"/>
      <c r="AP80" s="485"/>
      <c r="AQ80" s="485"/>
      <c r="AR80" s="482"/>
      <c r="AS80" s="645"/>
      <c r="AT80" s="482"/>
      <c r="AU80" s="416"/>
      <c r="AV80" s="416"/>
      <c r="AW80" s="482"/>
      <c r="AX80" s="645"/>
      <c r="AZ80" s="398" t="e">
        <f t="shared" si="60"/>
        <v>#N/A</v>
      </c>
      <c r="BA80" s="659"/>
    </row>
    <row r="81" spans="2:53">
      <c r="B81" s="643"/>
      <c r="C81" s="411">
        <v>15</v>
      </c>
      <c r="D81" s="225"/>
      <c r="E81" s="416"/>
      <c r="F81" s="495"/>
      <c r="G81" s="496"/>
      <c r="H81" s="684"/>
      <c r="I81" s="411"/>
      <c r="J81" s="411"/>
      <c r="K81" s="411"/>
      <c r="L81" s="618"/>
      <c r="M81" s="417" t="e">
        <f>RANK(K81, K$67:$K$81)</f>
        <v>#N/A</v>
      </c>
      <c r="N81" s="635"/>
      <c r="O81" s="635"/>
      <c r="P81" s="483"/>
      <c r="Q81" s="485"/>
      <c r="R81" s="485"/>
      <c r="S81" s="482"/>
      <c r="T81" s="646"/>
      <c r="U81" s="483"/>
      <c r="V81" s="485"/>
      <c r="W81" s="485"/>
      <c r="X81" s="482"/>
      <c r="Y81" s="646"/>
      <c r="Z81" s="483"/>
      <c r="AA81" s="485"/>
      <c r="AB81" s="485"/>
      <c r="AC81" s="482"/>
      <c r="AD81" s="646"/>
      <c r="AE81" s="483"/>
      <c r="AF81" s="485"/>
      <c r="AG81" s="485"/>
      <c r="AH81" s="482"/>
      <c r="AI81" s="646"/>
      <c r="AJ81" s="483"/>
      <c r="AK81" s="485"/>
      <c r="AL81" s="485"/>
      <c r="AM81" s="482"/>
      <c r="AN81" s="646"/>
      <c r="AO81" s="483"/>
      <c r="AP81" s="485"/>
      <c r="AQ81" s="485"/>
      <c r="AR81" s="482"/>
      <c r="AS81" s="646"/>
      <c r="AT81" s="482"/>
      <c r="AU81" s="416"/>
      <c r="AV81" s="416"/>
      <c r="AW81" s="482"/>
      <c r="AX81" s="646"/>
      <c r="AZ81" s="398" t="e">
        <f t="shared" si="60"/>
        <v>#N/A</v>
      </c>
      <c r="BA81" s="660"/>
    </row>
    <row r="82" spans="2:53" ht="15.75">
      <c r="B82" s="647" t="s">
        <v>163</v>
      </c>
      <c r="C82" s="648"/>
      <c r="D82" s="648"/>
      <c r="E82" s="648"/>
      <c r="F82" s="648"/>
      <c r="G82" s="648"/>
      <c r="H82" s="649"/>
      <c r="I82" s="207"/>
      <c r="J82" s="207"/>
      <c r="K82" s="207"/>
      <c r="L82" s="207"/>
      <c r="M82" s="206"/>
      <c r="N82" s="636" t="s">
        <v>156</v>
      </c>
      <c r="O82" s="636" t="s">
        <v>105</v>
      </c>
      <c r="P82" s="642">
        <f>P62+7</f>
        <v>46196</v>
      </c>
      <c r="Q82" s="643"/>
      <c r="R82" s="643"/>
      <c r="S82" s="643"/>
      <c r="T82" s="643"/>
      <c r="U82" s="639">
        <f>P82+1</f>
        <v>46197</v>
      </c>
      <c r="V82" s="640"/>
      <c r="W82" s="640"/>
      <c r="X82" s="640"/>
      <c r="Y82" s="641"/>
      <c r="Z82" s="639">
        <f>U82+1</f>
        <v>46198</v>
      </c>
      <c r="AA82" s="640"/>
      <c r="AB82" s="640"/>
      <c r="AC82" s="640"/>
      <c r="AD82" s="641"/>
      <c r="AE82" s="639">
        <f>Z82+1</f>
        <v>46199</v>
      </c>
      <c r="AF82" s="640"/>
      <c r="AG82" s="640"/>
      <c r="AH82" s="640"/>
      <c r="AI82" s="641"/>
      <c r="AJ82" s="639">
        <f>AE82+1</f>
        <v>46200</v>
      </c>
      <c r="AK82" s="640"/>
      <c r="AL82" s="640"/>
      <c r="AM82" s="640"/>
      <c r="AN82" s="641"/>
      <c r="AO82" s="639">
        <f>AJ82+1</f>
        <v>46201</v>
      </c>
      <c r="AP82" s="640"/>
      <c r="AQ82" s="640"/>
      <c r="AR82" s="640"/>
      <c r="AS82" s="641"/>
      <c r="AT82" s="639">
        <f>AO82+1</f>
        <v>46202</v>
      </c>
      <c r="AU82" s="640"/>
      <c r="AV82" s="640"/>
      <c r="AW82" s="640"/>
      <c r="AX82" s="641"/>
    </row>
    <row r="83" spans="2:53" ht="15.75">
      <c r="B83" s="650"/>
      <c r="C83" s="650"/>
      <c r="D83" s="650"/>
      <c r="E83" s="650"/>
      <c r="F83" s="650"/>
      <c r="G83" s="650"/>
      <c r="H83" s="650"/>
      <c r="I83" s="204"/>
      <c r="J83" s="204"/>
      <c r="K83" s="204"/>
      <c r="L83" s="204"/>
      <c r="M83" s="205"/>
      <c r="N83" s="638"/>
      <c r="O83" s="638"/>
      <c r="P83" s="642" t="s">
        <v>318</v>
      </c>
      <c r="Q83" s="643"/>
      <c r="R83" s="643"/>
      <c r="S83" s="643"/>
      <c r="T83" s="643"/>
      <c r="U83" s="642" t="s">
        <v>319</v>
      </c>
      <c r="V83" s="643"/>
      <c r="W83" s="643"/>
      <c r="X83" s="643"/>
      <c r="Y83" s="643"/>
      <c r="Z83" s="642" t="s">
        <v>320</v>
      </c>
      <c r="AA83" s="643"/>
      <c r="AB83" s="643"/>
      <c r="AC83" s="643"/>
      <c r="AD83" s="643"/>
      <c r="AE83" s="642" t="s">
        <v>321</v>
      </c>
      <c r="AF83" s="643"/>
      <c r="AG83" s="643"/>
      <c r="AH83" s="643"/>
      <c r="AI83" s="643"/>
      <c r="AJ83" s="642" t="s">
        <v>322</v>
      </c>
      <c r="AK83" s="643"/>
      <c r="AL83" s="643"/>
      <c r="AM83" s="643"/>
      <c r="AN83" s="643"/>
      <c r="AO83" s="642" t="s">
        <v>323</v>
      </c>
      <c r="AP83" s="643"/>
      <c r="AQ83" s="643"/>
      <c r="AR83" s="643"/>
      <c r="AS83" s="643"/>
      <c r="AT83" s="642" t="s">
        <v>324</v>
      </c>
      <c r="AU83" s="643"/>
      <c r="AV83" s="643"/>
      <c r="AW83" s="643"/>
      <c r="AX83" s="643"/>
    </row>
    <row r="84" spans="2:53">
      <c r="B84" s="635" t="s">
        <v>399</v>
      </c>
      <c r="C84" s="635" t="s">
        <v>549</v>
      </c>
      <c r="D84" s="635"/>
      <c r="E84" s="635" t="s">
        <v>550</v>
      </c>
      <c r="F84" s="635"/>
      <c r="G84" s="635"/>
      <c r="H84" s="651" t="s">
        <v>551</v>
      </c>
      <c r="I84" s="635" t="s">
        <v>552</v>
      </c>
      <c r="J84" s="635"/>
      <c r="K84" s="635"/>
      <c r="L84" s="651" t="s">
        <v>371</v>
      </c>
      <c r="M84" s="636" t="s">
        <v>553</v>
      </c>
      <c r="N84" s="635"/>
      <c r="O84" s="635" t="s">
        <v>554</v>
      </c>
      <c r="P84" s="632" t="s">
        <v>373</v>
      </c>
      <c r="Q84" s="633"/>
      <c r="R84" s="633"/>
      <c r="S84" s="634"/>
      <c r="T84" s="635" t="s">
        <v>371</v>
      </c>
      <c r="U84" s="632" t="s">
        <v>373</v>
      </c>
      <c r="V84" s="633"/>
      <c r="W84" s="633"/>
      <c r="X84" s="634"/>
      <c r="Y84" s="635" t="s">
        <v>371</v>
      </c>
      <c r="Z84" s="632" t="s">
        <v>373</v>
      </c>
      <c r="AA84" s="633"/>
      <c r="AB84" s="633"/>
      <c r="AC84" s="634"/>
      <c r="AD84" s="635" t="s">
        <v>371</v>
      </c>
      <c r="AE84" s="632" t="s">
        <v>373</v>
      </c>
      <c r="AF84" s="633"/>
      <c r="AG84" s="633"/>
      <c r="AH84" s="634"/>
      <c r="AI84" s="635" t="s">
        <v>371</v>
      </c>
      <c r="AJ84" s="632" t="s">
        <v>373</v>
      </c>
      <c r="AK84" s="633"/>
      <c r="AL84" s="633"/>
      <c r="AM84" s="634"/>
      <c r="AN84" s="635" t="s">
        <v>371</v>
      </c>
      <c r="AO84" s="632" t="s">
        <v>373</v>
      </c>
      <c r="AP84" s="633"/>
      <c r="AQ84" s="633"/>
      <c r="AR84" s="634"/>
      <c r="AS84" s="635" t="s">
        <v>371</v>
      </c>
      <c r="AT84" s="632" t="s">
        <v>373</v>
      </c>
      <c r="AU84" s="633"/>
      <c r="AV84" s="633"/>
      <c r="AW84" s="634"/>
      <c r="AX84" s="635" t="s">
        <v>371</v>
      </c>
      <c r="BA84" s="635" t="s">
        <v>371</v>
      </c>
    </row>
    <row r="85" spans="2:53">
      <c r="B85" s="635"/>
      <c r="C85" s="635"/>
      <c r="D85" s="635"/>
      <c r="E85" s="635" t="s">
        <v>555</v>
      </c>
      <c r="F85" s="635"/>
      <c r="G85" s="635"/>
      <c r="H85" s="652"/>
      <c r="I85" s="635" t="s">
        <v>555</v>
      </c>
      <c r="J85" s="635"/>
      <c r="K85" s="635"/>
      <c r="L85" s="652"/>
      <c r="M85" s="637"/>
      <c r="N85" s="635"/>
      <c r="O85" s="635"/>
      <c r="P85" s="632" t="s">
        <v>379</v>
      </c>
      <c r="Q85" s="633"/>
      <c r="R85" s="633"/>
      <c r="S85" s="634"/>
      <c r="T85" s="635"/>
      <c r="U85" s="632" t="s">
        <v>379</v>
      </c>
      <c r="V85" s="633"/>
      <c r="W85" s="633"/>
      <c r="X85" s="634"/>
      <c r="Y85" s="635"/>
      <c r="Z85" s="632" t="s">
        <v>379</v>
      </c>
      <c r="AA85" s="633"/>
      <c r="AB85" s="633"/>
      <c r="AC85" s="634"/>
      <c r="AD85" s="635"/>
      <c r="AE85" s="632" t="s">
        <v>379</v>
      </c>
      <c r="AF85" s="633"/>
      <c r="AG85" s="633"/>
      <c r="AH85" s="634"/>
      <c r="AI85" s="635"/>
      <c r="AJ85" s="632" t="s">
        <v>379</v>
      </c>
      <c r="AK85" s="633"/>
      <c r="AL85" s="633"/>
      <c r="AM85" s="634"/>
      <c r="AN85" s="635"/>
      <c r="AO85" s="632" t="s">
        <v>379</v>
      </c>
      <c r="AP85" s="633"/>
      <c r="AQ85" s="633"/>
      <c r="AR85" s="634"/>
      <c r="AS85" s="635"/>
      <c r="AT85" s="632" t="s">
        <v>379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408" t="s">
        <v>556</v>
      </c>
      <c r="F86" s="408" t="s">
        <v>557</v>
      </c>
      <c r="G86" s="408" t="s">
        <v>558</v>
      </c>
      <c r="H86" s="653"/>
      <c r="I86" s="408" t="s">
        <v>556</v>
      </c>
      <c r="J86" s="408" t="s">
        <v>557</v>
      </c>
      <c r="K86" s="408" t="s">
        <v>558</v>
      </c>
      <c r="L86" s="653"/>
      <c r="M86" s="638"/>
      <c r="N86" s="635"/>
      <c r="O86" s="635"/>
      <c r="P86" s="408" t="s">
        <v>380</v>
      </c>
      <c r="Q86" s="408" t="s">
        <v>381</v>
      </c>
      <c r="R86" s="408" t="s">
        <v>382</v>
      </c>
      <c r="S86" s="408" t="s">
        <v>372</v>
      </c>
      <c r="T86" s="635"/>
      <c r="U86" s="408" t="s">
        <v>380</v>
      </c>
      <c r="V86" s="408" t="s">
        <v>381</v>
      </c>
      <c r="W86" s="408" t="s">
        <v>382</v>
      </c>
      <c r="X86" s="408" t="s">
        <v>372</v>
      </c>
      <c r="Y86" s="635"/>
      <c r="Z86" s="408" t="s">
        <v>380</v>
      </c>
      <c r="AA86" s="408" t="s">
        <v>381</v>
      </c>
      <c r="AB86" s="408" t="s">
        <v>382</v>
      </c>
      <c r="AC86" s="408" t="s">
        <v>372</v>
      </c>
      <c r="AD86" s="635"/>
      <c r="AE86" s="408" t="s">
        <v>380</v>
      </c>
      <c r="AF86" s="408" t="s">
        <v>381</v>
      </c>
      <c r="AG86" s="408" t="s">
        <v>382</v>
      </c>
      <c r="AH86" s="408" t="s">
        <v>372</v>
      </c>
      <c r="AI86" s="635"/>
      <c r="AJ86" s="408" t="s">
        <v>380</v>
      </c>
      <c r="AK86" s="408" t="s">
        <v>381</v>
      </c>
      <c r="AL86" s="408" t="s">
        <v>382</v>
      </c>
      <c r="AM86" s="408" t="s">
        <v>372</v>
      </c>
      <c r="AN86" s="635"/>
      <c r="AO86" s="408" t="s">
        <v>380</v>
      </c>
      <c r="AP86" s="408" t="s">
        <v>381</v>
      </c>
      <c r="AQ86" s="408" t="s">
        <v>382</v>
      </c>
      <c r="AR86" s="408" t="s">
        <v>372</v>
      </c>
      <c r="AS86" s="635"/>
      <c r="AT86" s="408" t="s">
        <v>380</v>
      </c>
      <c r="AU86" s="408" t="s">
        <v>381</v>
      </c>
      <c r="AV86" s="408" t="s">
        <v>382</v>
      </c>
      <c r="AW86" s="408" t="s">
        <v>372</v>
      </c>
      <c r="AX86" s="635"/>
      <c r="AZ86" s="397" t="s">
        <v>372</v>
      </c>
      <c r="BA86" s="635"/>
    </row>
    <row r="87" spans="2:53">
      <c r="B87" s="635" t="s">
        <v>416</v>
      </c>
      <c r="C87" s="411">
        <v>1</v>
      </c>
      <c r="D87" s="225"/>
      <c r="E87" s="416"/>
      <c r="F87" s="409"/>
      <c r="G87" s="410"/>
      <c r="H87" s="679" t="e">
        <f>AVERAGE(G87:G101)</f>
        <v>#DIV/0!</v>
      </c>
      <c r="I87" s="413" t="str">
        <f t="shared" ref="I87:I100" si="62">IFERROR(AVERAGE(P87,U87,Z87,AE87,AJ87,AO87,AT87),"-")</f>
        <v>-</v>
      </c>
      <c r="J87" s="413" t="str">
        <f t="shared" ref="J87:J100" si="63">IFERROR(AVERAGE(Q87,V87,AA87,AF87,AK87,AP87,AU87),"-")</f>
        <v>-</v>
      </c>
      <c r="K87" s="199" t="str">
        <f t="shared" ref="K87:K100" si="64">IFERROR(AVERAGE(R87,W87,AB87,AG87,AL87,AQ87,AV87),"-")</f>
        <v>-</v>
      </c>
      <c r="L87" s="616" t="str">
        <f>IFERROR(AVERAGE(K87:K101),"-")</f>
        <v>-</v>
      </c>
      <c r="M87" s="417" t="e">
        <f>RANK(K87, K$87:$K$101)</f>
        <v>#VALUE!</v>
      </c>
      <c r="N87" s="635"/>
      <c r="O87" s="635"/>
      <c r="P87" s="490"/>
      <c r="Q87" s="416"/>
      <c r="R87" s="416"/>
      <c r="S87" s="490"/>
      <c r="T87" s="657"/>
      <c r="U87" s="490"/>
      <c r="V87" s="416"/>
      <c r="W87" s="416"/>
      <c r="X87" s="490"/>
      <c r="Y87" s="657"/>
      <c r="Z87" s="490"/>
      <c r="AA87" s="416"/>
      <c r="AB87" s="416"/>
      <c r="AC87" s="490"/>
      <c r="AD87" s="657"/>
      <c r="AE87" s="490"/>
      <c r="AF87" s="416"/>
      <c r="AG87" s="416"/>
      <c r="AH87" s="490"/>
      <c r="AI87" s="657"/>
      <c r="AJ87" s="490"/>
      <c r="AK87" s="416"/>
      <c r="AL87" s="416"/>
      <c r="AM87" s="490"/>
      <c r="AN87" s="657"/>
      <c r="AO87" s="490"/>
      <c r="AP87" s="416"/>
      <c r="AQ87" s="416"/>
      <c r="AR87" s="490"/>
      <c r="AS87" s="657"/>
      <c r="AT87" s="490"/>
      <c r="AU87" s="416"/>
      <c r="AV87" s="416"/>
      <c r="AW87" s="490"/>
      <c r="AX87" s="657"/>
      <c r="AZ87" s="398" t="e">
        <f t="shared" ref="AZ87:AZ101" si="65">RANK(AY87, AY$87:AY$101)</f>
        <v>#N/A</v>
      </c>
      <c r="BA87" s="657" t="e">
        <f t="shared" ref="BA87" si="66">AVERAGE(AY87:AY101)</f>
        <v>#DIV/0!</v>
      </c>
    </row>
    <row r="88" spans="2:53">
      <c r="B88" s="643"/>
      <c r="C88" s="411">
        <v>2</v>
      </c>
      <c r="D88" s="225"/>
      <c r="E88" s="416"/>
      <c r="F88" s="409"/>
      <c r="G88" s="410"/>
      <c r="H88" s="680"/>
      <c r="I88" s="413" t="str">
        <f t="shared" si="62"/>
        <v>-</v>
      </c>
      <c r="J88" s="413" t="str">
        <f t="shared" si="63"/>
        <v>-</v>
      </c>
      <c r="K88" s="199" t="str">
        <f t="shared" si="64"/>
        <v>-</v>
      </c>
      <c r="L88" s="617"/>
      <c r="M88" s="492" t="e">
        <f>RANK(K88, K$87:$K$101)</f>
        <v>#VALUE!</v>
      </c>
      <c r="N88" s="635"/>
      <c r="O88" s="635"/>
      <c r="P88" s="490"/>
      <c r="Q88" s="416"/>
      <c r="R88" s="416"/>
      <c r="S88" s="490"/>
      <c r="T88" s="657"/>
      <c r="U88" s="490"/>
      <c r="V88" s="416"/>
      <c r="W88" s="416"/>
      <c r="X88" s="490"/>
      <c r="Y88" s="657"/>
      <c r="Z88" s="490"/>
      <c r="AA88" s="416"/>
      <c r="AB88" s="416"/>
      <c r="AC88" s="490"/>
      <c r="AD88" s="657"/>
      <c r="AE88" s="490"/>
      <c r="AF88" s="416"/>
      <c r="AG88" s="416"/>
      <c r="AH88" s="490"/>
      <c r="AI88" s="657"/>
      <c r="AJ88" s="490"/>
      <c r="AK88" s="416"/>
      <c r="AL88" s="416"/>
      <c r="AM88" s="490"/>
      <c r="AN88" s="657"/>
      <c r="AO88" s="490"/>
      <c r="AP88" s="416"/>
      <c r="AQ88" s="416"/>
      <c r="AR88" s="490"/>
      <c r="AS88" s="657"/>
      <c r="AT88" s="490"/>
      <c r="AU88" s="416"/>
      <c r="AV88" s="416"/>
      <c r="AW88" s="490"/>
      <c r="AX88" s="657"/>
      <c r="AZ88" s="398" t="e">
        <f t="shared" si="65"/>
        <v>#N/A</v>
      </c>
      <c r="BA88" s="657"/>
    </row>
    <row r="89" spans="2:53">
      <c r="B89" s="643"/>
      <c r="C89" s="411">
        <v>3</v>
      </c>
      <c r="D89" s="225"/>
      <c r="E89" s="416"/>
      <c r="F89" s="409"/>
      <c r="G89" s="410"/>
      <c r="H89" s="680"/>
      <c r="I89" s="413" t="str">
        <f t="shared" si="62"/>
        <v>-</v>
      </c>
      <c r="J89" s="413" t="str">
        <f t="shared" si="63"/>
        <v>-</v>
      </c>
      <c r="K89" s="199" t="str">
        <f t="shared" si="64"/>
        <v>-</v>
      </c>
      <c r="L89" s="617"/>
      <c r="M89" s="492" t="e">
        <f>RANK(K89, K$87:$K$101)</f>
        <v>#VALUE!</v>
      </c>
      <c r="N89" s="635"/>
      <c r="O89" s="635"/>
      <c r="P89" s="490"/>
      <c r="Q89" s="416"/>
      <c r="R89" s="416"/>
      <c r="S89" s="490"/>
      <c r="T89" s="657"/>
      <c r="U89" s="490"/>
      <c r="V89" s="416"/>
      <c r="W89" s="416"/>
      <c r="X89" s="490"/>
      <c r="Y89" s="657"/>
      <c r="Z89" s="490"/>
      <c r="AA89" s="416"/>
      <c r="AB89" s="416"/>
      <c r="AC89" s="490"/>
      <c r="AD89" s="657"/>
      <c r="AE89" s="490"/>
      <c r="AF89" s="416"/>
      <c r="AG89" s="416"/>
      <c r="AH89" s="490"/>
      <c r="AI89" s="657"/>
      <c r="AJ89" s="490"/>
      <c r="AK89" s="416"/>
      <c r="AL89" s="416"/>
      <c r="AM89" s="490"/>
      <c r="AN89" s="657"/>
      <c r="AO89" s="490"/>
      <c r="AP89" s="416"/>
      <c r="AQ89" s="416"/>
      <c r="AR89" s="490"/>
      <c r="AS89" s="657"/>
      <c r="AT89" s="490"/>
      <c r="AU89" s="416"/>
      <c r="AV89" s="416"/>
      <c r="AW89" s="490"/>
      <c r="AX89" s="657"/>
      <c r="AZ89" s="398" t="e">
        <f t="shared" si="65"/>
        <v>#N/A</v>
      </c>
      <c r="BA89" s="657"/>
    </row>
    <row r="90" spans="2:53">
      <c r="B90" s="643"/>
      <c r="C90" s="411">
        <v>4</v>
      </c>
      <c r="D90" s="225"/>
      <c r="E90" s="416"/>
      <c r="F90" s="409"/>
      <c r="G90" s="410"/>
      <c r="H90" s="680"/>
      <c r="I90" s="413" t="str">
        <f t="shared" si="62"/>
        <v>-</v>
      </c>
      <c r="J90" s="413" t="str">
        <f t="shared" si="63"/>
        <v>-</v>
      </c>
      <c r="K90" s="199" t="str">
        <f t="shared" si="64"/>
        <v>-</v>
      </c>
      <c r="L90" s="617"/>
      <c r="M90" s="492" t="e">
        <f>RANK(K90, K$87:$K$101)</f>
        <v>#VALUE!</v>
      </c>
      <c r="N90" s="635"/>
      <c r="O90" s="635"/>
      <c r="P90" s="490"/>
      <c r="Q90" s="416"/>
      <c r="R90" s="416"/>
      <c r="S90" s="490"/>
      <c r="T90" s="657"/>
      <c r="U90" s="490"/>
      <c r="V90" s="416"/>
      <c r="W90" s="416"/>
      <c r="X90" s="490"/>
      <c r="Y90" s="657"/>
      <c r="Z90" s="490"/>
      <c r="AA90" s="416"/>
      <c r="AB90" s="416"/>
      <c r="AC90" s="490"/>
      <c r="AD90" s="657"/>
      <c r="AE90" s="490"/>
      <c r="AF90" s="416"/>
      <c r="AG90" s="416"/>
      <c r="AH90" s="490"/>
      <c r="AI90" s="657"/>
      <c r="AJ90" s="490"/>
      <c r="AK90" s="416"/>
      <c r="AL90" s="416"/>
      <c r="AM90" s="490"/>
      <c r="AN90" s="657"/>
      <c r="AO90" s="490"/>
      <c r="AP90" s="416"/>
      <c r="AQ90" s="416"/>
      <c r="AR90" s="490"/>
      <c r="AS90" s="657"/>
      <c r="AT90" s="490"/>
      <c r="AU90" s="416"/>
      <c r="AV90" s="416"/>
      <c r="AW90" s="490"/>
      <c r="AX90" s="657"/>
      <c r="AZ90" s="398" t="e">
        <f t="shared" si="65"/>
        <v>#N/A</v>
      </c>
      <c r="BA90" s="657"/>
    </row>
    <row r="91" spans="2:53">
      <c r="B91" s="643"/>
      <c r="C91" s="411">
        <v>5</v>
      </c>
      <c r="D91" s="225"/>
      <c r="E91" s="416"/>
      <c r="F91" s="409"/>
      <c r="G91" s="410"/>
      <c r="H91" s="680"/>
      <c r="I91" s="413" t="str">
        <f t="shared" si="62"/>
        <v>-</v>
      </c>
      <c r="J91" s="413" t="str">
        <f t="shared" si="63"/>
        <v>-</v>
      </c>
      <c r="K91" s="199" t="str">
        <f t="shared" si="64"/>
        <v>-</v>
      </c>
      <c r="L91" s="617"/>
      <c r="M91" s="492" t="e">
        <f>RANK(K91, K$87:$K$101)</f>
        <v>#VALUE!</v>
      </c>
      <c r="N91" s="635"/>
      <c r="O91" s="635"/>
      <c r="P91" s="490"/>
      <c r="Q91" s="416"/>
      <c r="R91" s="416"/>
      <c r="S91" s="490"/>
      <c r="T91" s="657"/>
      <c r="U91" s="490"/>
      <c r="V91" s="416"/>
      <c r="W91" s="416"/>
      <c r="X91" s="490"/>
      <c r="Y91" s="657"/>
      <c r="Z91" s="490"/>
      <c r="AA91" s="416"/>
      <c r="AB91" s="416"/>
      <c r="AC91" s="490"/>
      <c r="AD91" s="657"/>
      <c r="AE91" s="490"/>
      <c r="AF91" s="416"/>
      <c r="AG91" s="416"/>
      <c r="AH91" s="490"/>
      <c r="AI91" s="657"/>
      <c r="AJ91" s="490"/>
      <c r="AK91" s="416"/>
      <c r="AL91" s="416"/>
      <c r="AM91" s="490"/>
      <c r="AN91" s="657"/>
      <c r="AO91" s="490"/>
      <c r="AP91" s="416"/>
      <c r="AQ91" s="416"/>
      <c r="AR91" s="490"/>
      <c r="AS91" s="657"/>
      <c r="AT91" s="490"/>
      <c r="AU91" s="416"/>
      <c r="AV91" s="416"/>
      <c r="AW91" s="490"/>
      <c r="AX91" s="657"/>
      <c r="AZ91" s="398" t="e">
        <f t="shared" si="65"/>
        <v>#N/A</v>
      </c>
      <c r="BA91" s="657"/>
    </row>
    <row r="92" spans="2:53">
      <c r="B92" s="643"/>
      <c r="C92" s="411">
        <v>6</v>
      </c>
      <c r="D92" s="225"/>
      <c r="E92" s="416"/>
      <c r="F92" s="409"/>
      <c r="G92" s="410"/>
      <c r="H92" s="680"/>
      <c r="I92" s="413" t="str">
        <f t="shared" si="62"/>
        <v>-</v>
      </c>
      <c r="J92" s="413" t="str">
        <f t="shared" si="63"/>
        <v>-</v>
      </c>
      <c r="K92" s="199" t="str">
        <f t="shared" si="64"/>
        <v>-</v>
      </c>
      <c r="L92" s="617"/>
      <c r="M92" s="492" t="e">
        <f>RANK(K92, K$87:$K$101)</f>
        <v>#VALUE!</v>
      </c>
      <c r="N92" s="635"/>
      <c r="O92" s="635"/>
      <c r="P92" s="490"/>
      <c r="Q92" s="416"/>
      <c r="R92" s="416"/>
      <c r="S92" s="490"/>
      <c r="T92" s="657"/>
      <c r="U92" s="490"/>
      <c r="V92" s="416"/>
      <c r="W92" s="416"/>
      <c r="X92" s="490"/>
      <c r="Y92" s="657"/>
      <c r="Z92" s="490"/>
      <c r="AA92" s="416"/>
      <c r="AB92" s="416"/>
      <c r="AC92" s="490"/>
      <c r="AD92" s="657"/>
      <c r="AE92" s="490"/>
      <c r="AF92" s="416"/>
      <c r="AG92" s="416"/>
      <c r="AH92" s="490"/>
      <c r="AI92" s="657"/>
      <c r="AJ92" s="490"/>
      <c r="AK92" s="416"/>
      <c r="AL92" s="416"/>
      <c r="AM92" s="490"/>
      <c r="AN92" s="657"/>
      <c r="AO92" s="490"/>
      <c r="AP92" s="416"/>
      <c r="AQ92" s="416"/>
      <c r="AR92" s="490"/>
      <c r="AS92" s="657"/>
      <c r="AT92" s="490"/>
      <c r="AU92" s="416"/>
      <c r="AV92" s="416"/>
      <c r="AW92" s="490"/>
      <c r="AX92" s="657"/>
      <c r="AZ92" s="398" t="e">
        <f t="shared" si="65"/>
        <v>#N/A</v>
      </c>
      <c r="BA92" s="657"/>
    </row>
    <row r="93" spans="2:53">
      <c r="B93" s="643"/>
      <c r="C93" s="411">
        <v>7</v>
      </c>
      <c r="D93" s="225"/>
      <c r="E93" s="416"/>
      <c r="F93" s="409"/>
      <c r="G93" s="410"/>
      <c r="H93" s="680"/>
      <c r="I93" s="413" t="str">
        <f t="shared" si="62"/>
        <v>-</v>
      </c>
      <c r="J93" s="413" t="str">
        <f t="shared" si="63"/>
        <v>-</v>
      </c>
      <c r="K93" s="199" t="str">
        <f t="shared" si="64"/>
        <v>-</v>
      </c>
      <c r="L93" s="617"/>
      <c r="M93" s="492" t="e">
        <f>RANK(K93, K$87:$K$101)</f>
        <v>#VALUE!</v>
      </c>
      <c r="N93" s="635"/>
      <c r="O93" s="635"/>
      <c r="P93" s="490"/>
      <c r="Q93" s="416"/>
      <c r="R93" s="416"/>
      <c r="S93" s="490"/>
      <c r="T93" s="657"/>
      <c r="U93" s="490"/>
      <c r="V93" s="416"/>
      <c r="W93" s="416"/>
      <c r="X93" s="490"/>
      <c r="Y93" s="657"/>
      <c r="Z93" s="490"/>
      <c r="AA93" s="416"/>
      <c r="AB93" s="416"/>
      <c r="AC93" s="490"/>
      <c r="AD93" s="657"/>
      <c r="AE93" s="490"/>
      <c r="AF93" s="416"/>
      <c r="AG93" s="416"/>
      <c r="AH93" s="490"/>
      <c r="AI93" s="657"/>
      <c r="AJ93" s="490"/>
      <c r="AK93" s="416"/>
      <c r="AL93" s="416"/>
      <c r="AM93" s="490"/>
      <c r="AN93" s="657"/>
      <c r="AO93" s="490"/>
      <c r="AP93" s="416"/>
      <c r="AQ93" s="416"/>
      <c r="AR93" s="490"/>
      <c r="AS93" s="657"/>
      <c r="AT93" s="490"/>
      <c r="AU93" s="416"/>
      <c r="AV93" s="416"/>
      <c r="AW93" s="490"/>
      <c r="AX93" s="657"/>
      <c r="AZ93" s="398" t="e">
        <f t="shared" si="65"/>
        <v>#N/A</v>
      </c>
      <c r="BA93" s="657"/>
    </row>
    <row r="94" spans="2:53">
      <c r="B94" s="643"/>
      <c r="C94" s="411">
        <v>8</v>
      </c>
      <c r="D94" s="225"/>
      <c r="E94" s="416"/>
      <c r="F94" s="409"/>
      <c r="G94" s="410"/>
      <c r="H94" s="680"/>
      <c r="I94" s="413" t="str">
        <f t="shared" si="62"/>
        <v>-</v>
      </c>
      <c r="J94" s="413" t="str">
        <f t="shared" si="63"/>
        <v>-</v>
      </c>
      <c r="K94" s="199" t="str">
        <f t="shared" si="64"/>
        <v>-</v>
      </c>
      <c r="L94" s="617"/>
      <c r="M94" s="492" t="e">
        <f>RANK(K94, K$87:$K$101)</f>
        <v>#VALUE!</v>
      </c>
      <c r="N94" s="635"/>
      <c r="O94" s="635"/>
      <c r="P94" s="490"/>
      <c r="Q94" s="416"/>
      <c r="R94" s="416"/>
      <c r="S94" s="490"/>
      <c r="T94" s="657"/>
      <c r="U94" s="490"/>
      <c r="V94" s="416"/>
      <c r="W94" s="416"/>
      <c r="X94" s="490"/>
      <c r="Y94" s="657"/>
      <c r="Z94" s="490"/>
      <c r="AA94" s="416"/>
      <c r="AB94" s="416"/>
      <c r="AC94" s="490"/>
      <c r="AD94" s="657"/>
      <c r="AE94" s="490"/>
      <c r="AF94" s="416"/>
      <c r="AG94" s="416"/>
      <c r="AH94" s="490"/>
      <c r="AI94" s="657"/>
      <c r="AJ94" s="490"/>
      <c r="AK94" s="416"/>
      <c r="AL94" s="416"/>
      <c r="AM94" s="490"/>
      <c r="AN94" s="657"/>
      <c r="AO94" s="490"/>
      <c r="AP94" s="416"/>
      <c r="AQ94" s="416"/>
      <c r="AR94" s="490"/>
      <c r="AS94" s="657"/>
      <c r="AT94" s="490"/>
      <c r="AU94" s="416"/>
      <c r="AV94" s="416"/>
      <c r="AW94" s="490"/>
      <c r="AX94" s="657"/>
      <c r="AZ94" s="398" t="e">
        <f t="shared" si="65"/>
        <v>#N/A</v>
      </c>
      <c r="BA94" s="657"/>
    </row>
    <row r="95" spans="2:53">
      <c r="B95" s="643"/>
      <c r="C95" s="411">
        <v>9</v>
      </c>
      <c r="D95" s="225"/>
      <c r="E95" s="416"/>
      <c r="F95" s="409"/>
      <c r="G95" s="410"/>
      <c r="H95" s="680"/>
      <c r="I95" s="413" t="str">
        <f t="shared" si="62"/>
        <v>-</v>
      </c>
      <c r="J95" s="413" t="str">
        <f t="shared" si="63"/>
        <v>-</v>
      </c>
      <c r="K95" s="199" t="str">
        <f t="shared" si="64"/>
        <v>-</v>
      </c>
      <c r="L95" s="617"/>
      <c r="M95" s="492" t="e">
        <f>RANK(K95, K$87:$K$101)</f>
        <v>#VALUE!</v>
      </c>
      <c r="N95" s="635"/>
      <c r="O95" s="635"/>
      <c r="P95" s="490"/>
      <c r="Q95" s="416"/>
      <c r="R95" s="416"/>
      <c r="S95" s="490"/>
      <c r="T95" s="657"/>
      <c r="U95" s="490"/>
      <c r="V95" s="416"/>
      <c r="W95" s="416"/>
      <c r="X95" s="490"/>
      <c r="Y95" s="657"/>
      <c r="Z95" s="490"/>
      <c r="AA95" s="416"/>
      <c r="AB95" s="416"/>
      <c r="AC95" s="490"/>
      <c r="AD95" s="657"/>
      <c r="AE95" s="490"/>
      <c r="AF95" s="416"/>
      <c r="AG95" s="416"/>
      <c r="AH95" s="490"/>
      <c r="AI95" s="657"/>
      <c r="AJ95" s="490"/>
      <c r="AK95" s="416"/>
      <c r="AL95" s="416"/>
      <c r="AM95" s="490"/>
      <c r="AN95" s="657"/>
      <c r="AO95" s="490"/>
      <c r="AP95" s="416"/>
      <c r="AQ95" s="416"/>
      <c r="AR95" s="490"/>
      <c r="AS95" s="657"/>
      <c r="AT95" s="490"/>
      <c r="AU95" s="416"/>
      <c r="AV95" s="416"/>
      <c r="AW95" s="490"/>
      <c r="AX95" s="657"/>
      <c r="AZ95" s="398" t="e">
        <f t="shared" si="65"/>
        <v>#N/A</v>
      </c>
      <c r="BA95" s="657"/>
    </row>
    <row r="96" spans="2:53">
      <c r="B96" s="643"/>
      <c r="C96" s="411">
        <v>10</v>
      </c>
      <c r="D96" s="225"/>
      <c r="E96" s="416"/>
      <c r="F96" s="409"/>
      <c r="G96" s="410"/>
      <c r="H96" s="680"/>
      <c r="I96" s="413" t="str">
        <f t="shared" si="62"/>
        <v>-</v>
      </c>
      <c r="J96" s="413" t="str">
        <f t="shared" si="63"/>
        <v>-</v>
      </c>
      <c r="K96" s="199" t="str">
        <f t="shared" si="64"/>
        <v>-</v>
      </c>
      <c r="L96" s="617"/>
      <c r="M96" s="492" t="e">
        <f>RANK(K96, K$87:$K$101)</f>
        <v>#VALUE!</v>
      </c>
      <c r="N96" s="635"/>
      <c r="O96" s="635"/>
      <c r="P96" s="490"/>
      <c r="Q96" s="416"/>
      <c r="R96" s="416"/>
      <c r="S96" s="490"/>
      <c r="T96" s="657"/>
      <c r="U96" s="490"/>
      <c r="V96" s="416"/>
      <c r="W96" s="416"/>
      <c r="X96" s="490"/>
      <c r="Y96" s="657"/>
      <c r="Z96" s="490"/>
      <c r="AA96" s="416"/>
      <c r="AB96" s="416"/>
      <c r="AC96" s="490"/>
      <c r="AD96" s="657"/>
      <c r="AE96" s="490"/>
      <c r="AF96" s="416"/>
      <c r="AG96" s="416"/>
      <c r="AH96" s="490"/>
      <c r="AI96" s="657"/>
      <c r="AJ96" s="490"/>
      <c r="AK96" s="416"/>
      <c r="AL96" s="416"/>
      <c r="AM96" s="490"/>
      <c r="AN96" s="657"/>
      <c r="AO96" s="490"/>
      <c r="AP96" s="416"/>
      <c r="AQ96" s="416"/>
      <c r="AR96" s="490"/>
      <c r="AS96" s="657"/>
      <c r="AT96" s="490"/>
      <c r="AU96" s="416"/>
      <c r="AV96" s="416"/>
      <c r="AW96" s="490"/>
      <c r="AX96" s="657"/>
      <c r="AZ96" s="398" t="e">
        <f t="shared" si="65"/>
        <v>#N/A</v>
      </c>
      <c r="BA96" s="657"/>
    </row>
    <row r="97" spans="2:53">
      <c r="B97" s="643"/>
      <c r="C97" s="411">
        <v>11</v>
      </c>
      <c r="D97" s="225"/>
      <c r="E97" s="416"/>
      <c r="F97" s="409"/>
      <c r="G97" s="410"/>
      <c r="H97" s="680"/>
      <c r="I97" s="413" t="str">
        <f t="shared" si="62"/>
        <v>-</v>
      </c>
      <c r="J97" s="413" t="str">
        <f t="shared" si="63"/>
        <v>-</v>
      </c>
      <c r="K97" s="199" t="str">
        <f t="shared" si="64"/>
        <v>-</v>
      </c>
      <c r="L97" s="617"/>
      <c r="M97" s="492" t="e">
        <f>RANK(K97, K$87:$K$101)</f>
        <v>#VALUE!</v>
      </c>
      <c r="N97" s="635"/>
      <c r="O97" s="635"/>
      <c r="P97" s="490"/>
      <c r="Q97" s="416"/>
      <c r="R97" s="416"/>
      <c r="S97" s="490"/>
      <c r="T97" s="657"/>
      <c r="U97" s="490"/>
      <c r="V97" s="416"/>
      <c r="W97" s="416"/>
      <c r="X97" s="490"/>
      <c r="Y97" s="657"/>
      <c r="Z97" s="490"/>
      <c r="AA97" s="416"/>
      <c r="AB97" s="416"/>
      <c r="AC97" s="490"/>
      <c r="AD97" s="657"/>
      <c r="AE97" s="490"/>
      <c r="AF97" s="416"/>
      <c r="AG97" s="416"/>
      <c r="AH97" s="490"/>
      <c r="AI97" s="657"/>
      <c r="AJ97" s="490"/>
      <c r="AK97" s="416"/>
      <c r="AL97" s="416"/>
      <c r="AM97" s="490"/>
      <c r="AN97" s="657"/>
      <c r="AO97" s="490"/>
      <c r="AP97" s="416"/>
      <c r="AQ97" s="416"/>
      <c r="AR97" s="490"/>
      <c r="AS97" s="657"/>
      <c r="AT97" s="490"/>
      <c r="AU97" s="416"/>
      <c r="AV97" s="416"/>
      <c r="AW97" s="490"/>
      <c r="AX97" s="657"/>
      <c r="AZ97" s="398" t="e">
        <f t="shared" si="65"/>
        <v>#N/A</v>
      </c>
      <c r="BA97" s="657"/>
    </row>
    <row r="98" spans="2:53">
      <c r="B98" s="643"/>
      <c r="C98" s="411">
        <v>12</v>
      </c>
      <c r="D98" s="225"/>
      <c r="E98" s="416"/>
      <c r="F98" s="409"/>
      <c r="G98" s="410"/>
      <c r="H98" s="680"/>
      <c r="I98" s="413" t="str">
        <f t="shared" si="62"/>
        <v>-</v>
      </c>
      <c r="J98" s="413" t="str">
        <f t="shared" si="63"/>
        <v>-</v>
      </c>
      <c r="K98" s="199" t="str">
        <f t="shared" si="64"/>
        <v>-</v>
      </c>
      <c r="L98" s="617"/>
      <c r="M98" s="492" t="e">
        <f>RANK(K98, K$87:$K$101)</f>
        <v>#VALUE!</v>
      </c>
      <c r="N98" s="635"/>
      <c r="O98" s="635"/>
      <c r="P98" s="490"/>
      <c r="Q98" s="416"/>
      <c r="R98" s="416"/>
      <c r="S98" s="490"/>
      <c r="T98" s="657"/>
      <c r="U98" s="490"/>
      <c r="V98" s="416"/>
      <c r="W98" s="416"/>
      <c r="X98" s="490"/>
      <c r="Y98" s="657"/>
      <c r="Z98" s="490"/>
      <c r="AA98" s="416"/>
      <c r="AB98" s="416"/>
      <c r="AC98" s="490"/>
      <c r="AD98" s="657"/>
      <c r="AE98" s="490"/>
      <c r="AF98" s="416"/>
      <c r="AG98" s="416"/>
      <c r="AH98" s="490"/>
      <c r="AI98" s="657"/>
      <c r="AJ98" s="490"/>
      <c r="AK98" s="416"/>
      <c r="AL98" s="416"/>
      <c r="AM98" s="490"/>
      <c r="AN98" s="657"/>
      <c r="AO98" s="490"/>
      <c r="AP98" s="416"/>
      <c r="AQ98" s="416"/>
      <c r="AR98" s="490"/>
      <c r="AS98" s="657"/>
      <c r="AT98" s="490"/>
      <c r="AU98" s="416"/>
      <c r="AV98" s="416"/>
      <c r="AW98" s="490"/>
      <c r="AX98" s="657"/>
      <c r="AZ98" s="398" t="e">
        <f t="shared" si="65"/>
        <v>#N/A</v>
      </c>
      <c r="BA98" s="657"/>
    </row>
    <row r="99" spans="2:53">
      <c r="B99" s="643"/>
      <c r="C99" s="411">
        <v>13</v>
      </c>
      <c r="D99" s="225"/>
      <c r="E99" s="416"/>
      <c r="F99" s="409"/>
      <c r="G99" s="410"/>
      <c r="H99" s="680"/>
      <c r="I99" s="413" t="str">
        <f t="shared" si="62"/>
        <v>-</v>
      </c>
      <c r="J99" s="413" t="str">
        <f t="shared" si="63"/>
        <v>-</v>
      </c>
      <c r="K99" s="199" t="str">
        <f t="shared" si="64"/>
        <v>-</v>
      </c>
      <c r="L99" s="617"/>
      <c r="M99" s="492" t="e">
        <f>RANK(K99, K$87:$K$101)</f>
        <v>#VALUE!</v>
      </c>
      <c r="N99" s="635"/>
      <c r="O99" s="635"/>
      <c r="P99" s="490"/>
      <c r="Q99" s="416"/>
      <c r="R99" s="416"/>
      <c r="S99" s="490"/>
      <c r="T99" s="657"/>
      <c r="U99" s="490"/>
      <c r="V99" s="416"/>
      <c r="W99" s="416"/>
      <c r="X99" s="490"/>
      <c r="Y99" s="657"/>
      <c r="Z99" s="490"/>
      <c r="AA99" s="416"/>
      <c r="AB99" s="416"/>
      <c r="AC99" s="490"/>
      <c r="AD99" s="657"/>
      <c r="AE99" s="490"/>
      <c r="AF99" s="416"/>
      <c r="AG99" s="416"/>
      <c r="AH99" s="490"/>
      <c r="AI99" s="657"/>
      <c r="AJ99" s="490"/>
      <c r="AK99" s="416"/>
      <c r="AL99" s="416"/>
      <c r="AM99" s="490"/>
      <c r="AN99" s="657"/>
      <c r="AO99" s="490"/>
      <c r="AP99" s="416"/>
      <c r="AQ99" s="416"/>
      <c r="AR99" s="490"/>
      <c r="AS99" s="657"/>
      <c r="AT99" s="490"/>
      <c r="AU99" s="416"/>
      <c r="AV99" s="416"/>
      <c r="AW99" s="490"/>
      <c r="AX99" s="657"/>
      <c r="AZ99" s="398" t="e">
        <f t="shared" si="65"/>
        <v>#N/A</v>
      </c>
      <c r="BA99" s="657"/>
    </row>
    <row r="100" spans="2:53">
      <c r="B100" s="643"/>
      <c r="C100" s="411">
        <v>14</v>
      </c>
      <c r="D100" s="225"/>
      <c r="E100" s="416"/>
      <c r="F100" s="409"/>
      <c r="G100" s="410"/>
      <c r="H100" s="680"/>
      <c r="I100" s="413" t="str">
        <f t="shared" si="62"/>
        <v>-</v>
      </c>
      <c r="J100" s="413" t="str">
        <f t="shared" si="63"/>
        <v>-</v>
      </c>
      <c r="K100" s="199" t="str">
        <f t="shared" si="64"/>
        <v>-</v>
      </c>
      <c r="L100" s="617"/>
      <c r="M100" s="492" t="e">
        <f>RANK(K100, K$87:$K$101)</f>
        <v>#VALUE!</v>
      </c>
      <c r="N100" s="635"/>
      <c r="O100" s="635"/>
      <c r="P100" s="490"/>
      <c r="Q100" s="416"/>
      <c r="R100" s="416"/>
      <c r="S100" s="490"/>
      <c r="T100" s="657"/>
      <c r="U100" s="490"/>
      <c r="V100" s="416"/>
      <c r="W100" s="416"/>
      <c r="X100" s="490"/>
      <c r="Y100" s="657"/>
      <c r="Z100" s="490"/>
      <c r="AA100" s="416"/>
      <c r="AB100" s="416"/>
      <c r="AC100" s="490"/>
      <c r="AD100" s="657"/>
      <c r="AE100" s="490"/>
      <c r="AF100" s="416"/>
      <c r="AG100" s="416"/>
      <c r="AH100" s="490"/>
      <c r="AI100" s="657"/>
      <c r="AJ100" s="490"/>
      <c r="AK100" s="416"/>
      <c r="AL100" s="416"/>
      <c r="AM100" s="490"/>
      <c r="AN100" s="657"/>
      <c r="AO100" s="490"/>
      <c r="AP100" s="416"/>
      <c r="AQ100" s="416"/>
      <c r="AR100" s="490"/>
      <c r="AS100" s="657"/>
      <c r="AT100" s="490"/>
      <c r="AU100" s="416"/>
      <c r="AV100" s="416"/>
      <c r="AW100" s="490"/>
      <c r="AX100" s="657"/>
      <c r="AZ100" s="398" t="e">
        <f t="shared" si="65"/>
        <v>#N/A</v>
      </c>
      <c r="BA100" s="657"/>
    </row>
    <row r="101" spans="2:53">
      <c r="B101" s="643"/>
      <c r="C101" s="411">
        <v>15</v>
      </c>
      <c r="D101" s="225"/>
      <c r="E101" s="416"/>
      <c r="F101" s="409"/>
      <c r="G101" s="410"/>
      <c r="H101" s="684"/>
      <c r="I101" s="411"/>
      <c r="J101" s="411"/>
      <c r="K101" s="411"/>
      <c r="L101" s="618"/>
      <c r="M101" s="492" t="e">
        <f>RANK(K101, K$87:$K$101)</f>
        <v>#N/A</v>
      </c>
      <c r="N101" s="635"/>
      <c r="O101" s="635"/>
      <c r="P101" s="490"/>
      <c r="Q101" s="416"/>
      <c r="R101" s="416"/>
      <c r="S101" s="490"/>
      <c r="T101" s="657"/>
      <c r="U101" s="490"/>
      <c r="V101" s="416"/>
      <c r="W101" s="416"/>
      <c r="X101" s="490"/>
      <c r="Y101" s="657"/>
      <c r="Z101" s="490"/>
      <c r="AA101" s="416"/>
      <c r="AB101" s="416"/>
      <c r="AC101" s="490"/>
      <c r="AD101" s="657"/>
      <c r="AE101" s="490"/>
      <c r="AF101" s="416"/>
      <c r="AG101" s="416"/>
      <c r="AH101" s="490"/>
      <c r="AI101" s="657"/>
      <c r="AJ101" s="490"/>
      <c r="AK101" s="416"/>
      <c r="AL101" s="416"/>
      <c r="AM101" s="490"/>
      <c r="AN101" s="657"/>
      <c r="AO101" s="490"/>
      <c r="AP101" s="416"/>
      <c r="AQ101" s="416"/>
      <c r="AR101" s="490"/>
      <c r="AS101" s="657"/>
      <c r="AT101" s="490"/>
      <c r="AU101" s="416"/>
      <c r="AV101" s="416"/>
      <c r="AW101" s="490"/>
      <c r="AX101" s="657"/>
      <c r="AZ101" s="398" t="e">
        <f t="shared" si="65"/>
        <v>#N/A</v>
      </c>
      <c r="BA101" s="657"/>
    </row>
    <row r="102" spans="2:53" ht="15.75">
      <c r="B102" s="647" t="s">
        <v>163</v>
      </c>
      <c r="C102" s="648"/>
      <c r="D102" s="648"/>
      <c r="E102" s="648"/>
      <c r="F102" s="648"/>
      <c r="G102" s="648"/>
      <c r="H102" s="649"/>
      <c r="I102" s="207"/>
      <c r="J102" s="207"/>
      <c r="K102" s="207"/>
      <c r="L102" s="207"/>
      <c r="M102" s="206"/>
      <c r="N102" s="636" t="s">
        <v>156</v>
      </c>
      <c r="O102" s="636" t="s">
        <v>105</v>
      </c>
      <c r="P102" s="642">
        <f>P82+7</f>
        <v>46203</v>
      </c>
      <c r="Q102" s="643"/>
      <c r="R102" s="643"/>
      <c r="S102" s="643"/>
      <c r="T102" s="643"/>
      <c r="U102" s="639">
        <f>P102+1</f>
        <v>46204</v>
      </c>
      <c r="V102" s="640"/>
      <c r="W102" s="640"/>
      <c r="X102" s="640"/>
      <c r="Y102" s="641"/>
      <c r="Z102" s="639">
        <f>U102+1</f>
        <v>46205</v>
      </c>
      <c r="AA102" s="640"/>
      <c r="AB102" s="640"/>
      <c r="AC102" s="640"/>
      <c r="AD102" s="641"/>
      <c r="AE102" s="639">
        <f>Z102+1</f>
        <v>46206</v>
      </c>
      <c r="AF102" s="640"/>
      <c r="AG102" s="640"/>
      <c r="AH102" s="640"/>
      <c r="AI102" s="641"/>
      <c r="AJ102" s="639">
        <f>AE102+1</f>
        <v>46207</v>
      </c>
      <c r="AK102" s="640"/>
      <c r="AL102" s="640"/>
      <c r="AM102" s="640"/>
      <c r="AN102" s="641"/>
      <c r="AO102" s="639">
        <f>AJ102+1</f>
        <v>46208</v>
      </c>
      <c r="AP102" s="640"/>
      <c r="AQ102" s="640"/>
      <c r="AR102" s="640"/>
      <c r="AS102" s="641"/>
      <c r="AT102" s="639">
        <f>AO102+1</f>
        <v>46209</v>
      </c>
      <c r="AU102" s="640"/>
      <c r="AV102" s="640"/>
      <c r="AW102" s="640"/>
      <c r="AX102" s="641"/>
    </row>
    <row r="103" spans="2:53" ht="15.75">
      <c r="B103" s="650"/>
      <c r="C103" s="650"/>
      <c r="D103" s="650"/>
      <c r="E103" s="650"/>
      <c r="F103" s="650"/>
      <c r="G103" s="650"/>
      <c r="H103" s="650"/>
      <c r="I103" s="204"/>
      <c r="J103" s="204"/>
      <c r="K103" s="204"/>
      <c r="L103" s="204"/>
      <c r="M103" s="205"/>
      <c r="N103" s="638"/>
      <c r="O103" s="638"/>
      <c r="P103" s="642" t="s">
        <v>158</v>
      </c>
      <c r="Q103" s="643"/>
      <c r="R103" s="643"/>
      <c r="S103" s="643"/>
      <c r="T103" s="643"/>
      <c r="U103" s="642" t="s">
        <v>114</v>
      </c>
      <c r="V103" s="643"/>
      <c r="W103" s="643"/>
      <c r="X103" s="643"/>
      <c r="Y103" s="643"/>
      <c r="Z103" s="642" t="s">
        <v>159</v>
      </c>
      <c r="AA103" s="643"/>
      <c r="AB103" s="643"/>
      <c r="AC103" s="643"/>
      <c r="AD103" s="643"/>
      <c r="AE103" s="642" t="s">
        <v>157</v>
      </c>
      <c r="AF103" s="643"/>
      <c r="AG103" s="643"/>
      <c r="AH103" s="643"/>
      <c r="AI103" s="643"/>
      <c r="AJ103" s="642" t="s">
        <v>160</v>
      </c>
      <c r="AK103" s="643"/>
      <c r="AL103" s="643"/>
      <c r="AM103" s="643"/>
      <c r="AN103" s="643"/>
      <c r="AO103" s="642" t="s">
        <v>115</v>
      </c>
      <c r="AP103" s="643"/>
      <c r="AQ103" s="643"/>
      <c r="AR103" s="643"/>
      <c r="AS103" s="643"/>
      <c r="AT103" s="642" t="s">
        <v>162</v>
      </c>
      <c r="AU103" s="643"/>
      <c r="AV103" s="643"/>
      <c r="AW103" s="643"/>
      <c r="AX103" s="643"/>
    </row>
    <row r="104" spans="2:53">
      <c r="B104" s="635" t="s">
        <v>548</v>
      </c>
      <c r="C104" s="635" t="s">
        <v>549</v>
      </c>
      <c r="D104" s="635"/>
      <c r="E104" s="635" t="s">
        <v>550</v>
      </c>
      <c r="F104" s="635"/>
      <c r="G104" s="635"/>
      <c r="H104" s="651" t="s">
        <v>551</v>
      </c>
      <c r="I104" s="635" t="s">
        <v>552</v>
      </c>
      <c r="J104" s="635"/>
      <c r="K104" s="635"/>
      <c r="L104" s="651" t="s">
        <v>371</v>
      </c>
      <c r="M104" s="636" t="s">
        <v>553</v>
      </c>
      <c r="N104" s="635"/>
      <c r="O104" s="635" t="s">
        <v>554</v>
      </c>
      <c r="P104" s="632" t="s">
        <v>540</v>
      </c>
      <c r="Q104" s="633"/>
      <c r="R104" s="633"/>
      <c r="S104" s="634"/>
      <c r="T104" s="635" t="s">
        <v>536</v>
      </c>
      <c r="U104" s="632" t="s">
        <v>540</v>
      </c>
      <c r="V104" s="633"/>
      <c r="W104" s="633"/>
      <c r="X104" s="634"/>
      <c r="Y104" s="635" t="s">
        <v>536</v>
      </c>
      <c r="Z104" s="632" t="s">
        <v>540</v>
      </c>
      <c r="AA104" s="633"/>
      <c r="AB104" s="633"/>
      <c r="AC104" s="634"/>
      <c r="AD104" s="635" t="s">
        <v>536</v>
      </c>
      <c r="AE104" s="632" t="s">
        <v>540</v>
      </c>
      <c r="AF104" s="633"/>
      <c r="AG104" s="633"/>
      <c r="AH104" s="634"/>
      <c r="AI104" s="635" t="s">
        <v>536</v>
      </c>
      <c r="AJ104" s="632" t="s">
        <v>540</v>
      </c>
      <c r="AK104" s="633"/>
      <c r="AL104" s="633"/>
      <c r="AM104" s="634"/>
      <c r="AN104" s="635" t="s">
        <v>536</v>
      </c>
      <c r="AO104" s="632" t="s">
        <v>540</v>
      </c>
      <c r="AP104" s="633"/>
      <c r="AQ104" s="633"/>
      <c r="AR104" s="634"/>
      <c r="AS104" s="635" t="s">
        <v>536</v>
      </c>
      <c r="AT104" s="632" t="s">
        <v>540</v>
      </c>
      <c r="AU104" s="633"/>
      <c r="AV104" s="633"/>
      <c r="AW104" s="634"/>
      <c r="AX104" s="635" t="s">
        <v>536</v>
      </c>
      <c r="BA104" s="635" t="s">
        <v>371</v>
      </c>
    </row>
    <row r="105" spans="2:53">
      <c r="B105" s="635"/>
      <c r="C105" s="635"/>
      <c r="D105" s="635"/>
      <c r="E105" s="635" t="s">
        <v>555</v>
      </c>
      <c r="F105" s="635"/>
      <c r="G105" s="635"/>
      <c r="H105" s="652"/>
      <c r="I105" s="635" t="s">
        <v>555</v>
      </c>
      <c r="J105" s="635"/>
      <c r="K105" s="635"/>
      <c r="L105" s="652"/>
      <c r="M105" s="637"/>
      <c r="N105" s="635"/>
      <c r="O105" s="635"/>
      <c r="P105" s="632" t="s">
        <v>542</v>
      </c>
      <c r="Q105" s="633"/>
      <c r="R105" s="633"/>
      <c r="S105" s="634"/>
      <c r="T105" s="635"/>
      <c r="U105" s="632" t="s">
        <v>542</v>
      </c>
      <c r="V105" s="633"/>
      <c r="W105" s="633"/>
      <c r="X105" s="634"/>
      <c r="Y105" s="635"/>
      <c r="Z105" s="632" t="s">
        <v>542</v>
      </c>
      <c r="AA105" s="633"/>
      <c r="AB105" s="633"/>
      <c r="AC105" s="634"/>
      <c r="AD105" s="635"/>
      <c r="AE105" s="632" t="s">
        <v>542</v>
      </c>
      <c r="AF105" s="633"/>
      <c r="AG105" s="633"/>
      <c r="AH105" s="634"/>
      <c r="AI105" s="635"/>
      <c r="AJ105" s="632" t="s">
        <v>542</v>
      </c>
      <c r="AK105" s="633"/>
      <c r="AL105" s="633"/>
      <c r="AM105" s="634"/>
      <c r="AN105" s="635"/>
      <c r="AO105" s="632" t="s">
        <v>542</v>
      </c>
      <c r="AP105" s="633"/>
      <c r="AQ105" s="633"/>
      <c r="AR105" s="634"/>
      <c r="AS105" s="635"/>
      <c r="AT105" s="632" t="s">
        <v>542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60" t="s">
        <v>556</v>
      </c>
      <c r="F106" s="360" t="s">
        <v>557</v>
      </c>
      <c r="G106" s="360" t="s">
        <v>558</v>
      </c>
      <c r="H106" s="653"/>
      <c r="I106" s="360" t="s">
        <v>556</v>
      </c>
      <c r="J106" s="360" t="s">
        <v>557</v>
      </c>
      <c r="K106" s="360" t="s">
        <v>558</v>
      </c>
      <c r="L106" s="653"/>
      <c r="M106" s="638"/>
      <c r="N106" s="635"/>
      <c r="O106" s="635"/>
      <c r="P106" s="360" t="s">
        <v>543</v>
      </c>
      <c r="Q106" s="360" t="s">
        <v>544</v>
      </c>
      <c r="R106" s="360" t="s">
        <v>545</v>
      </c>
      <c r="S106" s="360" t="s">
        <v>538</v>
      </c>
      <c r="T106" s="635"/>
      <c r="U106" s="360" t="s">
        <v>543</v>
      </c>
      <c r="V106" s="360" t="s">
        <v>544</v>
      </c>
      <c r="W106" s="360" t="s">
        <v>545</v>
      </c>
      <c r="X106" s="360" t="s">
        <v>538</v>
      </c>
      <c r="Y106" s="635"/>
      <c r="Z106" s="360" t="s">
        <v>543</v>
      </c>
      <c r="AA106" s="360" t="s">
        <v>544</v>
      </c>
      <c r="AB106" s="360" t="s">
        <v>545</v>
      </c>
      <c r="AC106" s="360" t="s">
        <v>538</v>
      </c>
      <c r="AD106" s="635"/>
      <c r="AE106" s="360" t="s">
        <v>543</v>
      </c>
      <c r="AF106" s="360" t="s">
        <v>544</v>
      </c>
      <c r="AG106" s="360" t="s">
        <v>545</v>
      </c>
      <c r="AH106" s="360" t="s">
        <v>538</v>
      </c>
      <c r="AI106" s="635"/>
      <c r="AJ106" s="360" t="s">
        <v>543</v>
      </c>
      <c r="AK106" s="360" t="s">
        <v>544</v>
      </c>
      <c r="AL106" s="360" t="s">
        <v>545</v>
      </c>
      <c r="AM106" s="360" t="s">
        <v>538</v>
      </c>
      <c r="AN106" s="635"/>
      <c r="AO106" s="360" t="s">
        <v>543</v>
      </c>
      <c r="AP106" s="360" t="s">
        <v>544</v>
      </c>
      <c r="AQ106" s="360" t="s">
        <v>545</v>
      </c>
      <c r="AR106" s="360" t="s">
        <v>538</v>
      </c>
      <c r="AS106" s="635"/>
      <c r="AT106" s="360" t="s">
        <v>543</v>
      </c>
      <c r="AU106" s="360" t="s">
        <v>544</v>
      </c>
      <c r="AV106" s="360" t="s">
        <v>545</v>
      </c>
      <c r="AW106" s="360" t="s">
        <v>538</v>
      </c>
      <c r="AX106" s="635"/>
      <c r="AZ106" s="397" t="s">
        <v>538</v>
      </c>
      <c r="BA106" s="635"/>
    </row>
    <row r="107" spans="2:53">
      <c r="B107" s="635" t="s">
        <v>135</v>
      </c>
      <c r="C107" s="363">
        <v>1</v>
      </c>
      <c r="D107" s="225"/>
      <c r="E107" s="181"/>
      <c r="F107" s="371"/>
      <c r="G107" s="372"/>
      <c r="H107" s="679" t="e">
        <f>AVERAGE(G107:G121)</f>
        <v>#DIV/0!</v>
      </c>
      <c r="I107" s="391" t="str">
        <f t="shared" ref="I107:I120" si="67">IFERROR(AVERAGE(P107,U107,Z107,AE107,AJ107,AO107,AT107),"-")</f>
        <v>-</v>
      </c>
      <c r="J107" s="391" t="str">
        <f t="shared" ref="J107:J120" si="68">IFERROR(AVERAGE(Q107,V107,AA107,AF107,AK107,AP107,AU107),"-")</f>
        <v>-</v>
      </c>
      <c r="K107" s="199" t="str">
        <f t="shared" ref="K107:K120" si="69">IFERROR(AVERAGE(R107,W107,AB107,AG107,AL107,AQ107,AV107),"-")</f>
        <v>-</v>
      </c>
      <c r="L107" s="616" t="str">
        <f>IFERROR(AVERAGE(K107:K121),"-")</f>
        <v>-</v>
      </c>
      <c r="M107" s="364" t="e">
        <f>RANK(K107, K$67:$K$81)</f>
        <v>#VALUE!</v>
      </c>
      <c r="N107" s="635"/>
      <c r="O107" s="635"/>
      <c r="P107" s="363"/>
      <c r="Q107" s="364"/>
      <c r="R107" s="364"/>
      <c r="S107" s="364" t="e">
        <f>RANK(R107, R$67:R$81)</f>
        <v>#N/A</v>
      </c>
      <c r="T107" s="707" t="e">
        <f>AVERAGE(R107:R121)</f>
        <v>#DIV/0!</v>
      </c>
      <c r="U107" s="373"/>
      <c r="V107" s="374"/>
      <c r="W107" s="374"/>
      <c r="X107" s="364" t="e">
        <f>RANK(W107, W$67:W$81)</f>
        <v>#N/A</v>
      </c>
      <c r="Y107" s="682" t="e">
        <f>AVERAGE(W107:W121)</f>
        <v>#DIV/0!</v>
      </c>
      <c r="Z107" s="373"/>
      <c r="AA107" s="374"/>
      <c r="AB107" s="374"/>
      <c r="AC107" s="364" t="e">
        <f>RANK(AB107, AB$67:AB$81)</f>
        <v>#N/A</v>
      </c>
      <c r="AD107" s="682" t="e">
        <f>AVERAGE(AB107:AB121)</f>
        <v>#DIV/0!</v>
      </c>
      <c r="AE107" s="373"/>
      <c r="AF107" s="374"/>
      <c r="AG107" s="374"/>
      <c r="AH107" s="364" t="e">
        <f>RANK(AG107, AG$67:AG$81)</f>
        <v>#N/A</v>
      </c>
      <c r="AI107" s="682" t="e">
        <f>AVERAGE(AG107:AG121)</f>
        <v>#DIV/0!</v>
      </c>
      <c r="AJ107" s="373"/>
      <c r="AK107" s="374"/>
      <c r="AL107" s="374"/>
      <c r="AM107" s="364" t="e">
        <f>RANK(AL107, AL$67:AL$81)</f>
        <v>#N/A</v>
      </c>
      <c r="AN107" s="682" t="e">
        <f>AVERAGE(AL107:AL121)</f>
        <v>#DIV/0!</v>
      </c>
      <c r="AO107" s="373"/>
      <c r="AP107" s="374"/>
      <c r="AQ107" s="374"/>
      <c r="AR107" s="364" t="e">
        <f>RANK(AQ107, AQ$67:AQ$81)</f>
        <v>#N/A</v>
      </c>
      <c r="AS107" s="707" t="e">
        <f>AVERAGE(AQ107:AQ121)</f>
        <v>#DIV/0!</v>
      </c>
      <c r="AT107" s="181"/>
      <c r="AU107" s="181"/>
      <c r="AV107" s="181"/>
      <c r="AW107" s="363" t="e">
        <f>RANK(AV107, AV$67:AV$81)</f>
        <v>#N/A</v>
      </c>
      <c r="AX107" s="703" t="e">
        <f>AVERAGE(AV107:AV121)</f>
        <v>#DIV/0!</v>
      </c>
      <c r="AZ107" s="399" t="e">
        <f>RANK(AY107, AY$67:AY$81)</f>
        <v>#N/A</v>
      </c>
      <c r="BA107" s="703" t="e">
        <f>AVERAGE(AY107:AY121)</f>
        <v>#DIV/0!</v>
      </c>
    </row>
    <row r="108" spans="2:53">
      <c r="B108" s="668"/>
      <c r="C108" s="363">
        <v>2</v>
      </c>
      <c r="D108" s="225"/>
      <c r="E108" s="181"/>
      <c r="F108" s="371"/>
      <c r="G108" s="372"/>
      <c r="H108" s="680"/>
      <c r="I108" s="391" t="str">
        <f t="shared" si="67"/>
        <v>-</v>
      </c>
      <c r="J108" s="391" t="str">
        <f t="shared" si="68"/>
        <v>-</v>
      </c>
      <c r="K108" s="199" t="str">
        <f t="shared" si="69"/>
        <v>-</v>
      </c>
      <c r="L108" s="617"/>
      <c r="M108" s="364" t="e">
        <f>RANK(K108, K$67:$K$81)</f>
        <v>#VALUE!</v>
      </c>
      <c r="N108" s="635"/>
      <c r="O108" s="635"/>
      <c r="P108" s="363"/>
      <c r="Q108" s="364"/>
      <c r="R108" s="364"/>
      <c r="S108" s="364" t="e">
        <f t="shared" ref="S108:S121" si="70">RANK(R108, R$67:R$81)</f>
        <v>#N/A</v>
      </c>
      <c r="T108" s="707"/>
      <c r="U108" s="373"/>
      <c r="V108" s="374"/>
      <c r="W108" s="374"/>
      <c r="X108" s="364" t="e">
        <f t="shared" ref="X108:X121" si="71">RANK(W108, W$67:W$81)</f>
        <v>#N/A</v>
      </c>
      <c r="Y108" s="682"/>
      <c r="Z108" s="373"/>
      <c r="AA108" s="374"/>
      <c r="AB108" s="374"/>
      <c r="AC108" s="364" t="e">
        <f t="shared" ref="AC108:AC121" si="72">RANK(AB108, AB$67:AB$81)</f>
        <v>#N/A</v>
      </c>
      <c r="AD108" s="682"/>
      <c r="AE108" s="373"/>
      <c r="AF108" s="374"/>
      <c r="AG108" s="374"/>
      <c r="AH108" s="364" t="e">
        <f t="shared" ref="AH108:AH121" si="73">RANK(AG108, AG$67:AG$81)</f>
        <v>#N/A</v>
      </c>
      <c r="AI108" s="682"/>
      <c r="AJ108" s="373"/>
      <c r="AK108" s="374"/>
      <c r="AL108" s="374"/>
      <c r="AM108" s="364" t="e">
        <f t="shared" ref="AM108:AM121" si="74">RANK(AL108, AL$67:AL$81)</f>
        <v>#N/A</v>
      </c>
      <c r="AN108" s="682"/>
      <c r="AO108" s="373"/>
      <c r="AP108" s="374"/>
      <c r="AQ108" s="374"/>
      <c r="AR108" s="364" t="e">
        <f t="shared" ref="AR108:AR121" si="75">RANK(AQ108, AQ$67:AQ$81)</f>
        <v>#N/A</v>
      </c>
      <c r="AS108" s="707"/>
      <c r="AT108" s="181"/>
      <c r="AU108" s="181"/>
      <c r="AV108" s="181"/>
      <c r="AW108" s="363" t="e">
        <f t="shared" ref="AW108:AW121" si="76">RANK(AV108, AV$67:AV$81)</f>
        <v>#N/A</v>
      </c>
      <c r="AX108" s="703"/>
      <c r="AZ108" s="399" t="e">
        <f t="shared" ref="AZ108:AZ121" si="77">RANK(AY108, AY$67:AY$81)</f>
        <v>#N/A</v>
      </c>
      <c r="BA108" s="703"/>
    </row>
    <row r="109" spans="2:53">
      <c r="B109" s="668"/>
      <c r="C109" s="363">
        <v>3</v>
      </c>
      <c r="D109" s="225"/>
      <c r="E109" s="181"/>
      <c r="F109" s="371"/>
      <c r="G109" s="372"/>
      <c r="H109" s="680"/>
      <c r="I109" s="391" t="str">
        <f t="shared" si="67"/>
        <v>-</v>
      </c>
      <c r="J109" s="391" t="str">
        <f t="shared" si="68"/>
        <v>-</v>
      </c>
      <c r="K109" s="199" t="str">
        <f t="shared" si="69"/>
        <v>-</v>
      </c>
      <c r="L109" s="617"/>
      <c r="M109" s="364" t="e">
        <f>RANK(K109, K$67:$K$81)</f>
        <v>#VALUE!</v>
      </c>
      <c r="N109" s="635"/>
      <c r="O109" s="635"/>
      <c r="P109" s="363"/>
      <c r="Q109" s="364"/>
      <c r="R109" s="364"/>
      <c r="S109" s="364" t="e">
        <f t="shared" si="70"/>
        <v>#N/A</v>
      </c>
      <c r="T109" s="707"/>
      <c r="U109" s="373"/>
      <c r="V109" s="374"/>
      <c r="W109" s="374"/>
      <c r="X109" s="364" t="e">
        <f t="shared" si="71"/>
        <v>#N/A</v>
      </c>
      <c r="Y109" s="682"/>
      <c r="Z109" s="373"/>
      <c r="AA109" s="374"/>
      <c r="AB109" s="374"/>
      <c r="AC109" s="364" t="e">
        <f t="shared" si="72"/>
        <v>#N/A</v>
      </c>
      <c r="AD109" s="682"/>
      <c r="AE109" s="373"/>
      <c r="AF109" s="374"/>
      <c r="AG109" s="374"/>
      <c r="AH109" s="364" t="e">
        <f t="shared" si="73"/>
        <v>#N/A</v>
      </c>
      <c r="AI109" s="682"/>
      <c r="AJ109" s="373"/>
      <c r="AK109" s="374"/>
      <c r="AL109" s="374"/>
      <c r="AM109" s="364" t="e">
        <f t="shared" si="74"/>
        <v>#N/A</v>
      </c>
      <c r="AN109" s="682"/>
      <c r="AO109" s="373"/>
      <c r="AP109" s="374"/>
      <c r="AQ109" s="374"/>
      <c r="AR109" s="364" t="e">
        <f t="shared" si="75"/>
        <v>#N/A</v>
      </c>
      <c r="AS109" s="707"/>
      <c r="AT109" s="181"/>
      <c r="AU109" s="181"/>
      <c r="AV109" s="181"/>
      <c r="AW109" s="363" t="e">
        <f t="shared" si="76"/>
        <v>#N/A</v>
      </c>
      <c r="AX109" s="703"/>
      <c r="AZ109" s="399" t="e">
        <f t="shared" si="77"/>
        <v>#N/A</v>
      </c>
      <c r="BA109" s="703"/>
    </row>
    <row r="110" spans="2:53">
      <c r="B110" s="668"/>
      <c r="C110" s="363">
        <v>4</v>
      </c>
      <c r="D110" s="225"/>
      <c r="E110" s="181"/>
      <c r="F110" s="371"/>
      <c r="G110" s="372"/>
      <c r="H110" s="680"/>
      <c r="I110" s="391" t="str">
        <f t="shared" si="67"/>
        <v>-</v>
      </c>
      <c r="J110" s="391" t="str">
        <f t="shared" si="68"/>
        <v>-</v>
      </c>
      <c r="K110" s="199" t="str">
        <f t="shared" si="69"/>
        <v>-</v>
      </c>
      <c r="L110" s="617"/>
      <c r="M110" s="364" t="e">
        <f>RANK(K110, K$67:$K$81)</f>
        <v>#VALUE!</v>
      </c>
      <c r="N110" s="635"/>
      <c r="O110" s="635"/>
      <c r="P110" s="363"/>
      <c r="Q110" s="364"/>
      <c r="R110" s="364"/>
      <c r="S110" s="364" t="e">
        <f t="shared" si="70"/>
        <v>#N/A</v>
      </c>
      <c r="T110" s="707"/>
      <c r="U110" s="373"/>
      <c r="V110" s="374"/>
      <c r="W110" s="374"/>
      <c r="X110" s="364" t="e">
        <f t="shared" si="71"/>
        <v>#N/A</v>
      </c>
      <c r="Y110" s="682"/>
      <c r="Z110" s="373"/>
      <c r="AA110" s="374"/>
      <c r="AB110" s="374"/>
      <c r="AC110" s="364" t="e">
        <f t="shared" si="72"/>
        <v>#N/A</v>
      </c>
      <c r="AD110" s="682"/>
      <c r="AE110" s="373"/>
      <c r="AF110" s="374"/>
      <c r="AG110" s="374"/>
      <c r="AH110" s="364" t="e">
        <f t="shared" si="73"/>
        <v>#N/A</v>
      </c>
      <c r="AI110" s="682"/>
      <c r="AJ110" s="373"/>
      <c r="AK110" s="374"/>
      <c r="AL110" s="374"/>
      <c r="AM110" s="364" t="e">
        <f t="shared" si="74"/>
        <v>#N/A</v>
      </c>
      <c r="AN110" s="682"/>
      <c r="AO110" s="373"/>
      <c r="AP110" s="374"/>
      <c r="AQ110" s="374"/>
      <c r="AR110" s="364" t="e">
        <f t="shared" si="75"/>
        <v>#N/A</v>
      </c>
      <c r="AS110" s="707"/>
      <c r="AT110" s="181"/>
      <c r="AU110" s="181"/>
      <c r="AV110" s="181"/>
      <c r="AW110" s="363" t="e">
        <f t="shared" si="76"/>
        <v>#N/A</v>
      </c>
      <c r="AX110" s="703"/>
      <c r="AZ110" s="399" t="e">
        <f t="shared" si="77"/>
        <v>#N/A</v>
      </c>
      <c r="BA110" s="703"/>
    </row>
    <row r="111" spans="2:53">
      <c r="B111" s="668"/>
      <c r="C111" s="363">
        <v>5</v>
      </c>
      <c r="D111" s="225"/>
      <c r="E111" s="181"/>
      <c r="F111" s="371"/>
      <c r="G111" s="372"/>
      <c r="H111" s="680"/>
      <c r="I111" s="391" t="str">
        <f t="shared" si="67"/>
        <v>-</v>
      </c>
      <c r="J111" s="391" t="str">
        <f t="shared" si="68"/>
        <v>-</v>
      </c>
      <c r="K111" s="199" t="str">
        <f t="shared" si="69"/>
        <v>-</v>
      </c>
      <c r="L111" s="617"/>
      <c r="M111" s="364" t="e">
        <f>RANK(K111, K$67:$K$81)</f>
        <v>#VALUE!</v>
      </c>
      <c r="N111" s="635"/>
      <c r="O111" s="635"/>
      <c r="P111" s="363"/>
      <c r="Q111" s="364"/>
      <c r="R111" s="364"/>
      <c r="S111" s="364" t="e">
        <f t="shared" si="70"/>
        <v>#N/A</v>
      </c>
      <c r="T111" s="707"/>
      <c r="U111" s="373"/>
      <c r="V111" s="374"/>
      <c r="W111" s="374"/>
      <c r="X111" s="364" t="e">
        <f t="shared" si="71"/>
        <v>#N/A</v>
      </c>
      <c r="Y111" s="682"/>
      <c r="Z111" s="373"/>
      <c r="AA111" s="374"/>
      <c r="AB111" s="374"/>
      <c r="AC111" s="364" t="e">
        <f t="shared" si="72"/>
        <v>#N/A</v>
      </c>
      <c r="AD111" s="682"/>
      <c r="AE111" s="373"/>
      <c r="AF111" s="374"/>
      <c r="AG111" s="374"/>
      <c r="AH111" s="364" t="e">
        <f t="shared" si="73"/>
        <v>#N/A</v>
      </c>
      <c r="AI111" s="682"/>
      <c r="AJ111" s="373"/>
      <c r="AK111" s="374"/>
      <c r="AL111" s="374"/>
      <c r="AM111" s="364" t="e">
        <f t="shared" si="74"/>
        <v>#N/A</v>
      </c>
      <c r="AN111" s="682"/>
      <c r="AO111" s="373"/>
      <c r="AP111" s="374"/>
      <c r="AQ111" s="374"/>
      <c r="AR111" s="364" t="e">
        <f t="shared" si="75"/>
        <v>#N/A</v>
      </c>
      <c r="AS111" s="707"/>
      <c r="AT111" s="181"/>
      <c r="AU111" s="181"/>
      <c r="AV111" s="181"/>
      <c r="AW111" s="363" t="e">
        <f t="shared" si="76"/>
        <v>#N/A</v>
      </c>
      <c r="AX111" s="703"/>
      <c r="AZ111" s="399" t="e">
        <f t="shared" si="77"/>
        <v>#N/A</v>
      </c>
      <c r="BA111" s="703"/>
    </row>
    <row r="112" spans="2:53">
      <c r="B112" s="668"/>
      <c r="C112" s="363">
        <v>6</v>
      </c>
      <c r="D112" s="225"/>
      <c r="E112" s="181"/>
      <c r="F112" s="371"/>
      <c r="G112" s="372"/>
      <c r="H112" s="680"/>
      <c r="I112" s="391" t="str">
        <f t="shared" si="67"/>
        <v>-</v>
      </c>
      <c r="J112" s="391" t="str">
        <f t="shared" si="68"/>
        <v>-</v>
      </c>
      <c r="K112" s="199" t="str">
        <f t="shared" si="69"/>
        <v>-</v>
      </c>
      <c r="L112" s="617"/>
      <c r="M112" s="364" t="e">
        <f>RANK(K112, K$67:$K$81)</f>
        <v>#VALUE!</v>
      </c>
      <c r="N112" s="635"/>
      <c r="O112" s="635"/>
      <c r="P112" s="363"/>
      <c r="Q112" s="364"/>
      <c r="R112" s="364"/>
      <c r="S112" s="364" t="e">
        <f t="shared" si="70"/>
        <v>#N/A</v>
      </c>
      <c r="T112" s="707"/>
      <c r="U112" s="373"/>
      <c r="V112" s="374"/>
      <c r="W112" s="374"/>
      <c r="X112" s="364" t="e">
        <f t="shared" si="71"/>
        <v>#N/A</v>
      </c>
      <c r="Y112" s="682"/>
      <c r="Z112" s="373"/>
      <c r="AA112" s="374"/>
      <c r="AB112" s="374"/>
      <c r="AC112" s="364" t="e">
        <f t="shared" si="72"/>
        <v>#N/A</v>
      </c>
      <c r="AD112" s="682"/>
      <c r="AE112" s="373"/>
      <c r="AF112" s="374"/>
      <c r="AG112" s="374"/>
      <c r="AH112" s="364" t="e">
        <f t="shared" si="73"/>
        <v>#N/A</v>
      </c>
      <c r="AI112" s="682"/>
      <c r="AJ112" s="373"/>
      <c r="AK112" s="374"/>
      <c r="AL112" s="374"/>
      <c r="AM112" s="364" t="e">
        <f t="shared" si="74"/>
        <v>#N/A</v>
      </c>
      <c r="AN112" s="682"/>
      <c r="AO112" s="373"/>
      <c r="AP112" s="374"/>
      <c r="AQ112" s="374"/>
      <c r="AR112" s="364" t="e">
        <f t="shared" si="75"/>
        <v>#N/A</v>
      </c>
      <c r="AS112" s="707"/>
      <c r="AT112" s="181"/>
      <c r="AU112" s="181"/>
      <c r="AV112" s="181"/>
      <c r="AW112" s="363" t="e">
        <f t="shared" si="76"/>
        <v>#N/A</v>
      </c>
      <c r="AX112" s="703"/>
      <c r="AZ112" s="399" t="e">
        <f t="shared" si="77"/>
        <v>#N/A</v>
      </c>
      <c r="BA112" s="703"/>
    </row>
    <row r="113" spans="2:53">
      <c r="B113" s="668"/>
      <c r="C113" s="363">
        <v>7</v>
      </c>
      <c r="D113" s="225"/>
      <c r="E113" s="181"/>
      <c r="F113" s="371"/>
      <c r="G113" s="372"/>
      <c r="H113" s="680"/>
      <c r="I113" s="391" t="str">
        <f t="shared" si="67"/>
        <v>-</v>
      </c>
      <c r="J113" s="391" t="str">
        <f t="shared" si="68"/>
        <v>-</v>
      </c>
      <c r="K113" s="199" t="str">
        <f t="shared" si="69"/>
        <v>-</v>
      </c>
      <c r="L113" s="617"/>
      <c r="M113" s="364" t="e">
        <f>RANK(K113, K$67:$K$81)</f>
        <v>#VALUE!</v>
      </c>
      <c r="N113" s="635"/>
      <c r="O113" s="635"/>
      <c r="P113" s="363"/>
      <c r="Q113" s="364"/>
      <c r="R113" s="364"/>
      <c r="S113" s="364" t="e">
        <f t="shared" si="70"/>
        <v>#N/A</v>
      </c>
      <c r="T113" s="707"/>
      <c r="U113" s="373"/>
      <c r="V113" s="374"/>
      <c r="W113" s="374"/>
      <c r="X113" s="364" t="e">
        <f t="shared" si="71"/>
        <v>#N/A</v>
      </c>
      <c r="Y113" s="682"/>
      <c r="Z113" s="373"/>
      <c r="AA113" s="374"/>
      <c r="AB113" s="374"/>
      <c r="AC113" s="364" t="e">
        <f t="shared" si="72"/>
        <v>#N/A</v>
      </c>
      <c r="AD113" s="682"/>
      <c r="AE113" s="373"/>
      <c r="AF113" s="374"/>
      <c r="AG113" s="374"/>
      <c r="AH113" s="364" t="e">
        <f t="shared" si="73"/>
        <v>#N/A</v>
      </c>
      <c r="AI113" s="682"/>
      <c r="AJ113" s="373"/>
      <c r="AK113" s="374"/>
      <c r="AL113" s="374"/>
      <c r="AM113" s="364" t="e">
        <f t="shared" si="74"/>
        <v>#N/A</v>
      </c>
      <c r="AN113" s="682"/>
      <c r="AO113" s="373"/>
      <c r="AP113" s="374"/>
      <c r="AQ113" s="374"/>
      <c r="AR113" s="364" t="e">
        <f t="shared" si="75"/>
        <v>#N/A</v>
      </c>
      <c r="AS113" s="707"/>
      <c r="AT113" s="181"/>
      <c r="AU113" s="181"/>
      <c r="AV113" s="181"/>
      <c r="AW113" s="363" t="e">
        <f t="shared" si="76"/>
        <v>#N/A</v>
      </c>
      <c r="AX113" s="703"/>
      <c r="AZ113" s="399" t="e">
        <f t="shared" si="77"/>
        <v>#N/A</v>
      </c>
      <c r="BA113" s="703"/>
    </row>
    <row r="114" spans="2:53">
      <c r="B114" s="668"/>
      <c r="C114" s="363">
        <v>8</v>
      </c>
      <c r="D114" s="225"/>
      <c r="E114" s="181"/>
      <c r="F114" s="371"/>
      <c r="G114" s="372"/>
      <c r="H114" s="680"/>
      <c r="I114" s="391" t="str">
        <f t="shared" si="67"/>
        <v>-</v>
      </c>
      <c r="J114" s="391" t="str">
        <f t="shared" si="68"/>
        <v>-</v>
      </c>
      <c r="K114" s="199" t="str">
        <f t="shared" si="69"/>
        <v>-</v>
      </c>
      <c r="L114" s="617"/>
      <c r="M114" s="364" t="e">
        <f>RANK(K114, K$67:$K$81)</f>
        <v>#VALUE!</v>
      </c>
      <c r="N114" s="635"/>
      <c r="O114" s="635"/>
      <c r="P114" s="363"/>
      <c r="Q114" s="364"/>
      <c r="R114" s="364"/>
      <c r="S114" s="364" t="e">
        <f t="shared" si="70"/>
        <v>#N/A</v>
      </c>
      <c r="T114" s="707"/>
      <c r="U114" s="373"/>
      <c r="V114" s="374"/>
      <c r="W114" s="374"/>
      <c r="X114" s="364" t="e">
        <f t="shared" si="71"/>
        <v>#N/A</v>
      </c>
      <c r="Y114" s="682"/>
      <c r="Z114" s="373"/>
      <c r="AA114" s="374"/>
      <c r="AB114" s="374"/>
      <c r="AC114" s="364" t="e">
        <f t="shared" si="72"/>
        <v>#N/A</v>
      </c>
      <c r="AD114" s="682"/>
      <c r="AE114" s="373"/>
      <c r="AF114" s="374"/>
      <c r="AG114" s="374"/>
      <c r="AH114" s="364" t="e">
        <f t="shared" si="73"/>
        <v>#N/A</v>
      </c>
      <c r="AI114" s="682"/>
      <c r="AJ114" s="373"/>
      <c r="AK114" s="374"/>
      <c r="AL114" s="374"/>
      <c r="AM114" s="364" t="e">
        <f t="shared" si="74"/>
        <v>#N/A</v>
      </c>
      <c r="AN114" s="682"/>
      <c r="AO114" s="373"/>
      <c r="AP114" s="374"/>
      <c r="AQ114" s="374"/>
      <c r="AR114" s="364" t="e">
        <f t="shared" si="75"/>
        <v>#N/A</v>
      </c>
      <c r="AS114" s="707"/>
      <c r="AT114" s="181"/>
      <c r="AU114" s="181"/>
      <c r="AV114" s="181"/>
      <c r="AW114" s="363" t="e">
        <f t="shared" si="76"/>
        <v>#N/A</v>
      </c>
      <c r="AX114" s="703"/>
      <c r="AZ114" s="399" t="e">
        <f t="shared" si="77"/>
        <v>#N/A</v>
      </c>
      <c r="BA114" s="703"/>
    </row>
    <row r="115" spans="2:53">
      <c r="B115" s="668"/>
      <c r="C115" s="363">
        <v>9</v>
      </c>
      <c r="D115" s="225"/>
      <c r="E115" s="181"/>
      <c r="F115" s="371"/>
      <c r="G115" s="372"/>
      <c r="H115" s="680"/>
      <c r="I115" s="391" t="str">
        <f t="shared" si="67"/>
        <v>-</v>
      </c>
      <c r="J115" s="391" t="str">
        <f t="shared" si="68"/>
        <v>-</v>
      </c>
      <c r="K115" s="199" t="str">
        <f t="shared" si="69"/>
        <v>-</v>
      </c>
      <c r="L115" s="617"/>
      <c r="M115" s="364" t="e">
        <f>RANK(K115, K$67:$K$81)</f>
        <v>#VALUE!</v>
      </c>
      <c r="N115" s="635"/>
      <c r="O115" s="635"/>
      <c r="P115" s="363"/>
      <c r="Q115" s="364"/>
      <c r="R115" s="364"/>
      <c r="S115" s="364" t="e">
        <f t="shared" si="70"/>
        <v>#N/A</v>
      </c>
      <c r="T115" s="707"/>
      <c r="U115" s="373"/>
      <c r="V115" s="374"/>
      <c r="W115" s="374"/>
      <c r="X115" s="364" t="e">
        <f t="shared" si="71"/>
        <v>#N/A</v>
      </c>
      <c r="Y115" s="682"/>
      <c r="Z115" s="373"/>
      <c r="AA115" s="374"/>
      <c r="AB115" s="374"/>
      <c r="AC115" s="364" t="e">
        <f t="shared" si="72"/>
        <v>#N/A</v>
      </c>
      <c r="AD115" s="682"/>
      <c r="AE115" s="373"/>
      <c r="AF115" s="374"/>
      <c r="AG115" s="374"/>
      <c r="AH115" s="364" t="e">
        <f t="shared" si="73"/>
        <v>#N/A</v>
      </c>
      <c r="AI115" s="682"/>
      <c r="AJ115" s="373"/>
      <c r="AK115" s="374"/>
      <c r="AL115" s="374"/>
      <c r="AM115" s="364" t="e">
        <f t="shared" si="74"/>
        <v>#N/A</v>
      </c>
      <c r="AN115" s="682"/>
      <c r="AO115" s="373"/>
      <c r="AP115" s="374"/>
      <c r="AQ115" s="374"/>
      <c r="AR115" s="364" t="e">
        <f t="shared" si="75"/>
        <v>#N/A</v>
      </c>
      <c r="AS115" s="707"/>
      <c r="AT115" s="181"/>
      <c r="AU115" s="181"/>
      <c r="AV115" s="181"/>
      <c r="AW115" s="363" t="e">
        <f t="shared" si="76"/>
        <v>#N/A</v>
      </c>
      <c r="AX115" s="703"/>
      <c r="AZ115" s="399" t="e">
        <f t="shared" si="77"/>
        <v>#N/A</v>
      </c>
      <c r="BA115" s="703"/>
    </row>
    <row r="116" spans="2:53">
      <c r="B116" s="668"/>
      <c r="C116" s="363">
        <v>10</v>
      </c>
      <c r="D116" s="225"/>
      <c r="E116" s="181"/>
      <c r="F116" s="371"/>
      <c r="G116" s="372"/>
      <c r="H116" s="680"/>
      <c r="I116" s="391" t="str">
        <f t="shared" si="67"/>
        <v>-</v>
      </c>
      <c r="J116" s="391" t="str">
        <f t="shared" si="68"/>
        <v>-</v>
      </c>
      <c r="K116" s="199" t="str">
        <f t="shared" si="69"/>
        <v>-</v>
      </c>
      <c r="L116" s="617"/>
      <c r="M116" s="364" t="e">
        <f>RANK(K116, K$67:$K$81)</f>
        <v>#VALUE!</v>
      </c>
      <c r="N116" s="635"/>
      <c r="O116" s="635"/>
      <c r="P116" s="363"/>
      <c r="Q116" s="364"/>
      <c r="R116" s="364"/>
      <c r="S116" s="364" t="e">
        <f t="shared" si="70"/>
        <v>#N/A</v>
      </c>
      <c r="T116" s="707"/>
      <c r="U116" s="373"/>
      <c r="V116" s="374"/>
      <c r="W116" s="374"/>
      <c r="X116" s="364" t="e">
        <f t="shared" si="71"/>
        <v>#N/A</v>
      </c>
      <c r="Y116" s="682"/>
      <c r="Z116" s="373"/>
      <c r="AA116" s="374"/>
      <c r="AB116" s="374"/>
      <c r="AC116" s="364" t="e">
        <f t="shared" si="72"/>
        <v>#N/A</v>
      </c>
      <c r="AD116" s="682"/>
      <c r="AE116" s="373"/>
      <c r="AF116" s="374"/>
      <c r="AG116" s="374"/>
      <c r="AH116" s="364" t="e">
        <f t="shared" si="73"/>
        <v>#N/A</v>
      </c>
      <c r="AI116" s="682"/>
      <c r="AJ116" s="373"/>
      <c r="AK116" s="374"/>
      <c r="AL116" s="374"/>
      <c r="AM116" s="364" t="e">
        <f t="shared" si="74"/>
        <v>#N/A</v>
      </c>
      <c r="AN116" s="682"/>
      <c r="AO116" s="373"/>
      <c r="AP116" s="374"/>
      <c r="AQ116" s="374"/>
      <c r="AR116" s="364" t="e">
        <f t="shared" si="75"/>
        <v>#N/A</v>
      </c>
      <c r="AS116" s="707"/>
      <c r="AT116" s="181"/>
      <c r="AU116" s="181"/>
      <c r="AV116" s="181"/>
      <c r="AW116" s="363" t="e">
        <f t="shared" si="76"/>
        <v>#N/A</v>
      </c>
      <c r="AX116" s="703"/>
      <c r="AZ116" s="399" t="e">
        <f t="shared" si="77"/>
        <v>#N/A</v>
      </c>
      <c r="BA116" s="703"/>
    </row>
    <row r="117" spans="2:53">
      <c r="B117" s="668"/>
      <c r="C117" s="363">
        <v>11</v>
      </c>
      <c r="D117" s="225"/>
      <c r="E117" s="181"/>
      <c r="F117" s="371"/>
      <c r="G117" s="372"/>
      <c r="H117" s="680"/>
      <c r="I117" s="391" t="str">
        <f t="shared" si="67"/>
        <v>-</v>
      </c>
      <c r="J117" s="391" t="str">
        <f t="shared" si="68"/>
        <v>-</v>
      </c>
      <c r="K117" s="199" t="str">
        <f t="shared" si="69"/>
        <v>-</v>
      </c>
      <c r="L117" s="617"/>
      <c r="M117" s="364" t="e">
        <f>RANK(K117, K$67:$K$81)</f>
        <v>#VALUE!</v>
      </c>
      <c r="N117" s="635"/>
      <c r="O117" s="635"/>
      <c r="P117" s="363"/>
      <c r="Q117" s="364"/>
      <c r="R117" s="364"/>
      <c r="S117" s="364" t="e">
        <f t="shared" si="70"/>
        <v>#N/A</v>
      </c>
      <c r="T117" s="707"/>
      <c r="U117" s="373"/>
      <c r="V117" s="374"/>
      <c r="W117" s="374"/>
      <c r="X117" s="364" t="e">
        <f t="shared" si="71"/>
        <v>#N/A</v>
      </c>
      <c r="Y117" s="682"/>
      <c r="Z117" s="373"/>
      <c r="AA117" s="374"/>
      <c r="AB117" s="374"/>
      <c r="AC117" s="364" t="e">
        <f t="shared" si="72"/>
        <v>#N/A</v>
      </c>
      <c r="AD117" s="682"/>
      <c r="AE117" s="373"/>
      <c r="AF117" s="374"/>
      <c r="AG117" s="374"/>
      <c r="AH117" s="364" t="e">
        <f t="shared" si="73"/>
        <v>#N/A</v>
      </c>
      <c r="AI117" s="682"/>
      <c r="AJ117" s="373"/>
      <c r="AK117" s="374"/>
      <c r="AL117" s="374"/>
      <c r="AM117" s="364" t="e">
        <f t="shared" si="74"/>
        <v>#N/A</v>
      </c>
      <c r="AN117" s="682"/>
      <c r="AO117" s="373"/>
      <c r="AP117" s="374"/>
      <c r="AQ117" s="374"/>
      <c r="AR117" s="364" t="e">
        <f t="shared" si="75"/>
        <v>#N/A</v>
      </c>
      <c r="AS117" s="707"/>
      <c r="AT117" s="181"/>
      <c r="AU117" s="181"/>
      <c r="AV117" s="181"/>
      <c r="AW117" s="363" t="e">
        <f t="shared" si="76"/>
        <v>#N/A</v>
      </c>
      <c r="AX117" s="703"/>
      <c r="AZ117" s="399" t="e">
        <f t="shared" si="77"/>
        <v>#N/A</v>
      </c>
      <c r="BA117" s="703"/>
    </row>
    <row r="118" spans="2:53">
      <c r="B118" s="668"/>
      <c r="C118" s="363">
        <v>12</v>
      </c>
      <c r="D118" s="225"/>
      <c r="E118" s="181"/>
      <c r="F118" s="371"/>
      <c r="G118" s="372"/>
      <c r="H118" s="680"/>
      <c r="I118" s="391" t="str">
        <f t="shared" si="67"/>
        <v>-</v>
      </c>
      <c r="J118" s="391" t="str">
        <f t="shared" si="68"/>
        <v>-</v>
      </c>
      <c r="K118" s="199" t="str">
        <f t="shared" si="69"/>
        <v>-</v>
      </c>
      <c r="L118" s="617"/>
      <c r="M118" s="364" t="e">
        <f>RANK(K118, K$67:$K$81)</f>
        <v>#VALUE!</v>
      </c>
      <c r="N118" s="635"/>
      <c r="O118" s="635"/>
      <c r="P118" s="363"/>
      <c r="Q118" s="364"/>
      <c r="R118" s="364"/>
      <c r="S118" s="364" t="e">
        <f t="shared" si="70"/>
        <v>#N/A</v>
      </c>
      <c r="T118" s="707"/>
      <c r="U118" s="373"/>
      <c r="V118" s="374"/>
      <c r="W118" s="374"/>
      <c r="X118" s="364" t="e">
        <f t="shared" si="71"/>
        <v>#N/A</v>
      </c>
      <c r="Y118" s="682"/>
      <c r="Z118" s="373"/>
      <c r="AA118" s="374"/>
      <c r="AB118" s="374"/>
      <c r="AC118" s="364" t="e">
        <f t="shared" si="72"/>
        <v>#N/A</v>
      </c>
      <c r="AD118" s="682"/>
      <c r="AE118" s="373"/>
      <c r="AF118" s="374"/>
      <c r="AG118" s="374"/>
      <c r="AH118" s="364" t="e">
        <f t="shared" si="73"/>
        <v>#N/A</v>
      </c>
      <c r="AI118" s="682"/>
      <c r="AJ118" s="373"/>
      <c r="AK118" s="374"/>
      <c r="AL118" s="374"/>
      <c r="AM118" s="364" t="e">
        <f t="shared" si="74"/>
        <v>#N/A</v>
      </c>
      <c r="AN118" s="682"/>
      <c r="AO118" s="373"/>
      <c r="AP118" s="374"/>
      <c r="AQ118" s="374"/>
      <c r="AR118" s="364" t="e">
        <f t="shared" si="75"/>
        <v>#N/A</v>
      </c>
      <c r="AS118" s="707"/>
      <c r="AT118" s="181"/>
      <c r="AU118" s="181"/>
      <c r="AV118" s="181"/>
      <c r="AW118" s="363" t="e">
        <f t="shared" si="76"/>
        <v>#N/A</v>
      </c>
      <c r="AX118" s="703"/>
      <c r="AZ118" s="399" t="e">
        <f t="shared" si="77"/>
        <v>#N/A</v>
      </c>
      <c r="BA118" s="703"/>
    </row>
    <row r="119" spans="2:53">
      <c r="B119" s="668"/>
      <c r="C119" s="363">
        <v>13</v>
      </c>
      <c r="D119" s="225"/>
      <c r="E119" s="181"/>
      <c r="F119" s="371"/>
      <c r="G119" s="372"/>
      <c r="H119" s="680"/>
      <c r="I119" s="391" t="str">
        <f t="shared" si="67"/>
        <v>-</v>
      </c>
      <c r="J119" s="391" t="str">
        <f t="shared" si="68"/>
        <v>-</v>
      </c>
      <c r="K119" s="199" t="str">
        <f t="shared" si="69"/>
        <v>-</v>
      </c>
      <c r="L119" s="617"/>
      <c r="M119" s="364" t="e">
        <f>RANK(K119, K$67:$K$81)</f>
        <v>#VALUE!</v>
      </c>
      <c r="N119" s="635"/>
      <c r="O119" s="635"/>
      <c r="P119" s="363"/>
      <c r="Q119" s="364"/>
      <c r="R119" s="364"/>
      <c r="S119" s="364" t="e">
        <f t="shared" si="70"/>
        <v>#N/A</v>
      </c>
      <c r="T119" s="707"/>
      <c r="U119" s="373"/>
      <c r="V119" s="374"/>
      <c r="W119" s="374"/>
      <c r="X119" s="364" t="e">
        <f t="shared" si="71"/>
        <v>#N/A</v>
      </c>
      <c r="Y119" s="682"/>
      <c r="Z119" s="373"/>
      <c r="AA119" s="374"/>
      <c r="AB119" s="374"/>
      <c r="AC119" s="365" t="e">
        <f t="shared" si="72"/>
        <v>#N/A</v>
      </c>
      <c r="AD119" s="682"/>
      <c r="AE119" s="373"/>
      <c r="AF119" s="374"/>
      <c r="AG119" s="374"/>
      <c r="AH119" s="364" t="e">
        <f t="shared" si="73"/>
        <v>#N/A</v>
      </c>
      <c r="AI119" s="682"/>
      <c r="AJ119" s="373"/>
      <c r="AK119" s="374"/>
      <c r="AL119" s="374"/>
      <c r="AM119" s="364" t="e">
        <f t="shared" si="74"/>
        <v>#N/A</v>
      </c>
      <c r="AN119" s="682"/>
      <c r="AO119" s="373"/>
      <c r="AP119" s="374"/>
      <c r="AQ119" s="374"/>
      <c r="AR119" s="365" t="e">
        <f t="shared" si="75"/>
        <v>#N/A</v>
      </c>
      <c r="AS119" s="707"/>
      <c r="AT119" s="181"/>
      <c r="AU119" s="181"/>
      <c r="AV119" s="181"/>
      <c r="AW119" s="363" t="e">
        <f t="shared" si="76"/>
        <v>#N/A</v>
      </c>
      <c r="AX119" s="703"/>
      <c r="AZ119" s="399" t="e">
        <f t="shared" si="77"/>
        <v>#N/A</v>
      </c>
      <c r="BA119" s="703"/>
    </row>
    <row r="120" spans="2:53">
      <c r="B120" s="668"/>
      <c r="C120" s="363">
        <v>14</v>
      </c>
      <c r="D120" s="225"/>
      <c r="E120" s="181"/>
      <c r="F120" s="371"/>
      <c r="G120" s="372"/>
      <c r="H120" s="680"/>
      <c r="I120" s="391" t="str">
        <f t="shared" si="67"/>
        <v>-</v>
      </c>
      <c r="J120" s="391" t="str">
        <f t="shared" si="68"/>
        <v>-</v>
      </c>
      <c r="K120" s="199" t="str">
        <f t="shared" si="69"/>
        <v>-</v>
      </c>
      <c r="L120" s="617"/>
      <c r="M120" s="364" t="e">
        <f>RANK(K120, K$67:$K$81)</f>
        <v>#VALUE!</v>
      </c>
      <c r="N120" s="635"/>
      <c r="O120" s="635"/>
      <c r="P120" s="363"/>
      <c r="Q120" s="364"/>
      <c r="R120" s="364"/>
      <c r="S120" s="364" t="e">
        <f t="shared" si="70"/>
        <v>#N/A</v>
      </c>
      <c r="T120" s="707"/>
      <c r="U120" s="373"/>
      <c r="V120" s="374"/>
      <c r="W120" s="374"/>
      <c r="X120" s="364" t="e">
        <f t="shared" si="71"/>
        <v>#N/A</v>
      </c>
      <c r="Y120" s="682"/>
      <c r="Z120" s="373"/>
      <c r="AA120" s="374"/>
      <c r="AB120" s="374"/>
      <c r="AC120" s="365" t="e">
        <f t="shared" si="72"/>
        <v>#N/A</v>
      </c>
      <c r="AD120" s="682"/>
      <c r="AE120" s="373"/>
      <c r="AF120" s="374"/>
      <c r="AG120" s="374"/>
      <c r="AH120" s="365" t="e">
        <f t="shared" si="73"/>
        <v>#N/A</v>
      </c>
      <c r="AI120" s="682"/>
      <c r="AJ120" s="373"/>
      <c r="AK120" s="374"/>
      <c r="AL120" s="374"/>
      <c r="AM120" s="365" t="e">
        <f t="shared" si="74"/>
        <v>#N/A</v>
      </c>
      <c r="AN120" s="682"/>
      <c r="AO120" s="373"/>
      <c r="AP120" s="374"/>
      <c r="AQ120" s="374"/>
      <c r="AR120" s="365" t="e">
        <f t="shared" si="75"/>
        <v>#N/A</v>
      </c>
      <c r="AS120" s="707"/>
      <c r="AT120" s="181"/>
      <c r="AU120" s="181"/>
      <c r="AV120" s="181"/>
      <c r="AW120" s="363" t="e">
        <f t="shared" si="76"/>
        <v>#N/A</v>
      </c>
      <c r="AX120" s="703"/>
      <c r="AZ120" s="399" t="e">
        <f t="shared" si="77"/>
        <v>#N/A</v>
      </c>
      <c r="BA120" s="703"/>
    </row>
    <row r="121" spans="2:53">
      <c r="B121" s="668"/>
      <c r="C121" s="363">
        <v>15</v>
      </c>
      <c r="D121" s="225"/>
      <c r="E121" s="181"/>
      <c r="F121" s="371"/>
      <c r="G121" s="372"/>
      <c r="H121" s="684"/>
      <c r="I121" s="395"/>
      <c r="J121" s="395"/>
      <c r="K121" s="395"/>
      <c r="L121" s="618"/>
      <c r="M121" s="364" t="e">
        <f>RANK(K121, K$67:$K$81)</f>
        <v>#N/A</v>
      </c>
      <c r="N121" s="635"/>
      <c r="O121" s="635"/>
      <c r="P121" s="363"/>
      <c r="Q121" s="364"/>
      <c r="R121" s="364"/>
      <c r="S121" s="364" t="e">
        <f t="shared" si="70"/>
        <v>#N/A</v>
      </c>
      <c r="T121" s="707"/>
      <c r="U121" s="373"/>
      <c r="V121" s="374"/>
      <c r="W121" s="374"/>
      <c r="X121" s="365" t="e">
        <f t="shared" si="71"/>
        <v>#N/A</v>
      </c>
      <c r="Y121" s="682"/>
      <c r="Z121" s="373"/>
      <c r="AA121" s="374"/>
      <c r="AB121" s="374"/>
      <c r="AC121" s="365" t="e">
        <f t="shared" si="72"/>
        <v>#N/A</v>
      </c>
      <c r="AD121" s="682"/>
      <c r="AE121" s="373"/>
      <c r="AF121" s="374"/>
      <c r="AG121" s="374"/>
      <c r="AH121" s="365" t="e">
        <f t="shared" si="73"/>
        <v>#N/A</v>
      </c>
      <c r="AI121" s="682"/>
      <c r="AJ121" s="373"/>
      <c r="AK121" s="374"/>
      <c r="AL121" s="374"/>
      <c r="AM121" s="365" t="e">
        <f t="shared" si="74"/>
        <v>#N/A</v>
      </c>
      <c r="AN121" s="682"/>
      <c r="AO121" s="373"/>
      <c r="AP121" s="374"/>
      <c r="AQ121" s="374"/>
      <c r="AR121" s="365" t="e">
        <f t="shared" si="75"/>
        <v>#N/A</v>
      </c>
      <c r="AS121" s="707"/>
      <c r="AT121" s="181"/>
      <c r="AU121" s="181"/>
      <c r="AV121" s="181"/>
      <c r="AW121" s="363" t="e">
        <f t="shared" si="76"/>
        <v>#N/A</v>
      </c>
      <c r="AX121" s="703"/>
      <c r="AZ121" s="399" t="e">
        <f t="shared" si="77"/>
        <v>#N/A</v>
      </c>
      <c r="BA121" s="703"/>
    </row>
    <row r="123" spans="2:53" ht="15.75">
      <c r="B123" s="674" t="s">
        <v>495</v>
      </c>
      <c r="C123" s="675"/>
      <c r="D123" s="675"/>
      <c r="E123" s="675"/>
      <c r="F123" s="675"/>
      <c r="G123" s="675"/>
      <c r="H123" s="676"/>
      <c r="I123" s="315"/>
      <c r="J123" s="315"/>
      <c r="K123" s="315"/>
      <c r="L123" s="315"/>
      <c r="M123" s="316"/>
    </row>
    <row r="124" spans="2:53" ht="15.75">
      <c r="B124" s="677"/>
      <c r="C124" s="677"/>
      <c r="D124" s="677"/>
      <c r="E124" s="677"/>
      <c r="F124" s="677"/>
      <c r="G124" s="677"/>
      <c r="H124" s="677"/>
      <c r="I124" s="317"/>
      <c r="J124" s="317"/>
      <c r="K124" s="317"/>
      <c r="L124" s="317"/>
      <c r="M124" s="318"/>
    </row>
    <row r="125" spans="2:53">
      <c r="B125" s="635" t="s">
        <v>154</v>
      </c>
      <c r="C125" s="635" t="s">
        <v>384</v>
      </c>
      <c r="D125" s="635"/>
      <c r="E125" s="635" t="s">
        <v>375</v>
      </c>
      <c r="F125" s="635"/>
      <c r="G125" s="635"/>
      <c r="H125" s="651" t="s">
        <v>371</v>
      </c>
      <c r="I125" s="678" t="s">
        <v>376</v>
      </c>
      <c r="J125" s="678"/>
      <c r="K125" s="678"/>
      <c r="L125" s="691" t="s">
        <v>371</v>
      </c>
      <c r="M125" s="694" t="s">
        <v>372</v>
      </c>
    </row>
    <row r="126" spans="2:53">
      <c r="B126" s="635"/>
      <c r="C126" s="635"/>
      <c r="D126" s="635"/>
      <c r="E126" s="635" t="s">
        <v>378</v>
      </c>
      <c r="F126" s="635"/>
      <c r="G126" s="635"/>
      <c r="H126" s="652"/>
      <c r="I126" s="678" t="s">
        <v>378</v>
      </c>
      <c r="J126" s="678"/>
      <c r="K126" s="678"/>
      <c r="L126" s="692"/>
      <c r="M126" s="695"/>
    </row>
    <row r="127" spans="2:53">
      <c r="B127" s="635"/>
      <c r="C127" s="635"/>
      <c r="D127" s="635"/>
      <c r="E127" s="312" t="s">
        <v>380</v>
      </c>
      <c r="F127" s="312" t="s">
        <v>381</v>
      </c>
      <c r="G127" s="312" t="s">
        <v>382</v>
      </c>
      <c r="H127" s="653"/>
      <c r="I127" s="319" t="s">
        <v>380</v>
      </c>
      <c r="J127" s="319" t="s">
        <v>381</v>
      </c>
      <c r="K127" s="319" t="s">
        <v>382</v>
      </c>
      <c r="L127" s="693"/>
      <c r="M127" s="696"/>
    </row>
    <row r="128" spans="2:53">
      <c r="B128" s="635" t="s">
        <v>386</v>
      </c>
      <c r="C128" s="311">
        <v>1</v>
      </c>
      <c r="D128" s="225"/>
      <c r="E128" s="181"/>
      <c r="F128" s="311"/>
      <c r="G128" s="314"/>
      <c r="H128" s="685" t="e">
        <f>AVERAGE(G128:G142)</f>
        <v>#DIV/0!</v>
      </c>
      <c r="I128" s="198" t="e">
        <f t="shared" ref="I128:J137" si="78">AVERAGEIF($D$7:$D$121,$D128,I$7:I$121)</f>
        <v>#DIV/0!</v>
      </c>
      <c r="J128" s="198" t="e">
        <f t="shared" si="78"/>
        <v>#DIV/0!</v>
      </c>
      <c r="K128" s="198" t="e">
        <f t="shared" ref="K128:K137" si="79">AVERAGEIF($D$7:$D$121,$D128,K$7:K$121)</f>
        <v>#DIV/0!</v>
      </c>
      <c r="L128" s="688" t="e">
        <f>AVERAGE(K128:K142)</f>
        <v>#DIV/0!</v>
      </c>
      <c r="M128" s="198" t="e">
        <f>RANK(K128, K$128:$K$142)</f>
        <v>#DIV/0!</v>
      </c>
    </row>
    <row r="129" spans="2:39">
      <c r="B129" s="643"/>
      <c r="C129" s="311">
        <v>2</v>
      </c>
      <c r="D129" s="225"/>
      <c r="E129" s="181"/>
      <c r="F129" s="311"/>
      <c r="G129" s="314"/>
      <c r="H129" s="686"/>
      <c r="I129" s="198" t="e">
        <f t="shared" si="78"/>
        <v>#DIV/0!</v>
      </c>
      <c r="J129" s="198" t="e">
        <f t="shared" si="78"/>
        <v>#DIV/0!</v>
      </c>
      <c r="K129" s="198" t="e">
        <f t="shared" si="79"/>
        <v>#DIV/0!</v>
      </c>
      <c r="L129" s="689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311">
        <v>3</v>
      </c>
      <c r="D130" s="225"/>
      <c r="E130" s="181"/>
      <c r="F130" s="311"/>
      <c r="G130" s="314"/>
      <c r="H130" s="686"/>
      <c r="I130" s="198" t="e">
        <f t="shared" si="78"/>
        <v>#DIV/0!</v>
      </c>
      <c r="J130" s="198" t="e">
        <f t="shared" si="78"/>
        <v>#DIV/0!</v>
      </c>
      <c r="K130" s="198" t="e">
        <f t="shared" si="79"/>
        <v>#DIV/0!</v>
      </c>
      <c r="L130" s="689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311">
        <v>4</v>
      </c>
      <c r="D131" s="225"/>
      <c r="E131" s="181"/>
      <c r="F131" s="311"/>
      <c r="G131" s="314"/>
      <c r="H131" s="686"/>
      <c r="I131" s="198" t="e">
        <f t="shared" si="78"/>
        <v>#DIV/0!</v>
      </c>
      <c r="J131" s="198" t="e">
        <f t="shared" si="78"/>
        <v>#DIV/0!</v>
      </c>
      <c r="K131" s="198" t="e">
        <f t="shared" si="79"/>
        <v>#DIV/0!</v>
      </c>
      <c r="L131" s="689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311">
        <v>5</v>
      </c>
      <c r="D132" s="225"/>
      <c r="E132" s="181"/>
      <c r="F132" s="311"/>
      <c r="G132" s="314"/>
      <c r="H132" s="686"/>
      <c r="I132" s="198" t="e">
        <f t="shared" si="78"/>
        <v>#DIV/0!</v>
      </c>
      <c r="J132" s="198" t="e">
        <f t="shared" si="78"/>
        <v>#DIV/0!</v>
      </c>
      <c r="K132" s="198" t="e">
        <f t="shared" si="79"/>
        <v>#DIV/0!</v>
      </c>
      <c r="L132" s="689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311">
        <v>6</v>
      </c>
      <c r="D133" s="320"/>
      <c r="E133" s="181"/>
      <c r="F133" s="311"/>
      <c r="G133" s="314"/>
      <c r="H133" s="686"/>
      <c r="I133" s="198" t="e">
        <f t="shared" si="78"/>
        <v>#DIV/0!</v>
      </c>
      <c r="J133" s="198" t="e">
        <f t="shared" si="78"/>
        <v>#DIV/0!</v>
      </c>
      <c r="K133" s="198" t="e">
        <f t="shared" si="79"/>
        <v>#DIV/0!</v>
      </c>
      <c r="L133" s="689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311">
        <v>7</v>
      </c>
      <c r="D134" s="225"/>
      <c r="E134" s="181"/>
      <c r="F134" s="311"/>
      <c r="G134" s="314"/>
      <c r="H134" s="686"/>
      <c r="I134" s="198" t="e">
        <f t="shared" si="78"/>
        <v>#DIV/0!</v>
      </c>
      <c r="J134" s="198" t="e">
        <f t="shared" si="78"/>
        <v>#DIV/0!</v>
      </c>
      <c r="K134" s="198" t="e">
        <f t="shared" si="79"/>
        <v>#DIV/0!</v>
      </c>
      <c r="L134" s="689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311">
        <v>8</v>
      </c>
      <c r="D135" s="225"/>
      <c r="E135" s="181"/>
      <c r="F135" s="311"/>
      <c r="G135" s="314"/>
      <c r="H135" s="686"/>
      <c r="I135" s="198" t="e">
        <f t="shared" si="78"/>
        <v>#DIV/0!</v>
      </c>
      <c r="J135" s="198" t="e">
        <f t="shared" si="78"/>
        <v>#DIV/0!</v>
      </c>
      <c r="K135" s="198" t="e">
        <f t="shared" si="79"/>
        <v>#DIV/0!</v>
      </c>
      <c r="L135" s="689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311">
        <v>9</v>
      </c>
      <c r="D136" s="225"/>
      <c r="E136" s="311"/>
      <c r="F136" s="311"/>
      <c r="G136" s="311"/>
      <c r="H136" s="686"/>
      <c r="I136" s="198" t="e">
        <f t="shared" si="78"/>
        <v>#DIV/0!</v>
      </c>
      <c r="J136" s="198" t="e">
        <f t="shared" si="78"/>
        <v>#DIV/0!</v>
      </c>
      <c r="K136" s="198" t="e">
        <f t="shared" si="79"/>
        <v>#DIV/0!</v>
      </c>
      <c r="L136" s="689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311">
        <v>10</v>
      </c>
      <c r="D137" s="225"/>
      <c r="E137" s="311"/>
      <c r="F137" s="311"/>
      <c r="G137" s="311"/>
      <c r="H137" s="686"/>
      <c r="I137" s="198" t="e">
        <f t="shared" si="78"/>
        <v>#DIV/0!</v>
      </c>
      <c r="J137" s="198" t="e">
        <f t="shared" si="78"/>
        <v>#DIV/0!</v>
      </c>
      <c r="K137" s="198" t="e">
        <f t="shared" si="79"/>
        <v>#DIV/0!</v>
      </c>
      <c r="L137" s="689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311">
        <v>11</v>
      </c>
      <c r="D138" s="225"/>
      <c r="E138" s="311"/>
      <c r="F138" s="311"/>
      <c r="G138" s="311"/>
      <c r="H138" s="686"/>
      <c r="I138" s="198"/>
      <c r="J138" s="198"/>
      <c r="K138" s="198"/>
      <c r="L138" s="689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311">
        <v>12</v>
      </c>
      <c r="D139" s="225"/>
      <c r="E139" s="311"/>
      <c r="F139" s="311"/>
      <c r="G139" s="311"/>
      <c r="H139" s="686"/>
      <c r="I139" s="198"/>
      <c r="J139" s="198"/>
      <c r="K139" s="198"/>
      <c r="L139" s="689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311">
        <v>13</v>
      </c>
      <c r="D140" s="225"/>
      <c r="E140" s="311"/>
      <c r="F140" s="311"/>
      <c r="G140" s="311"/>
      <c r="H140" s="686"/>
      <c r="I140" s="198"/>
      <c r="J140" s="198"/>
      <c r="K140" s="198"/>
      <c r="L140" s="689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311">
        <v>14</v>
      </c>
      <c r="D141" s="225"/>
      <c r="E141" s="311"/>
      <c r="F141" s="311"/>
      <c r="G141" s="311"/>
      <c r="H141" s="686"/>
      <c r="I141" s="198"/>
      <c r="J141" s="198"/>
      <c r="K141" s="198"/>
      <c r="L141" s="689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311">
        <v>15</v>
      </c>
      <c r="D142" s="225"/>
      <c r="E142" s="311"/>
      <c r="F142" s="311"/>
      <c r="G142" s="311"/>
      <c r="H142" s="687"/>
      <c r="I142" s="198"/>
      <c r="J142" s="198"/>
      <c r="K142" s="198"/>
      <c r="L142" s="690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3" zoomScale="55" zoomScaleNormal="55" workbookViewId="0">
      <pane xSplit="15" topLeftCell="AI1" activePane="topRight" state="frozen"/>
      <selection activeCell="T27" sqref="S27:T41"/>
      <selection pane="topRight" activeCell="AE64" sqref="AE64:AH64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128.82777921857053</v>
      </c>
    </row>
    <row r="2" spans="1:53" ht="15.75">
      <c r="A2" s="81"/>
      <c r="B2" s="647" t="s">
        <v>163</v>
      </c>
      <c r="C2" s="647"/>
      <c r="D2" s="647"/>
      <c r="E2" s="647"/>
      <c r="F2" s="647"/>
      <c r="G2" s="647"/>
      <c r="H2" s="647"/>
      <c r="I2" s="292"/>
      <c r="J2" s="292"/>
      <c r="K2" s="292"/>
      <c r="L2" s="292"/>
      <c r="M2" s="196"/>
      <c r="N2" s="636" t="s">
        <v>156</v>
      </c>
      <c r="O2" s="636" t="s">
        <v>155</v>
      </c>
      <c r="P2" s="663">
        <v>46168</v>
      </c>
      <c r="Q2" s="664"/>
      <c r="R2" s="664"/>
      <c r="S2" s="664"/>
      <c r="T2" s="665"/>
      <c r="U2" s="642">
        <f>P2+1</f>
        <v>46169</v>
      </c>
      <c r="V2" s="643"/>
      <c r="W2" s="643"/>
      <c r="X2" s="643"/>
      <c r="Y2" s="643"/>
      <c r="Z2" s="642">
        <f>U2+1</f>
        <v>46170</v>
      </c>
      <c r="AA2" s="643"/>
      <c r="AB2" s="643"/>
      <c r="AC2" s="643"/>
      <c r="AD2" s="643"/>
      <c r="AE2" s="642">
        <f>Z2+1</f>
        <v>46171</v>
      </c>
      <c r="AF2" s="643"/>
      <c r="AG2" s="643"/>
      <c r="AH2" s="643"/>
      <c r="AI2" s="643"/>
      <c r="AJ2" s="642">
        <f>AE2+1</f>
        <v>46172</v>
      </c>
      <c r="AK2" s="643"/>
      <c r="AL2" s="643"/>
      <c r="AM2" s="643"/>
      <c r="AN2" s="643"/>
      <c r="AO2" s="642">
        <f>AJ2+1</f>
        <v>46173</v>
      </c>
      <c r="AP2" s="643"/>
      <c r="AQ2" s="643"/>
      <c r="AR2" s="643"/>
      <c r="AS2" s="643"/>
      <c r="AT2" s="639">
        <f>AO2+1</f>
        <v>46174</v>
      </c>
      <c r="AU2" s="640"/>
      <c r="AV2" s="640"/>
      <c r="AW2" s="640"/>
      <c r="AX2" s="641"/>
    </row>
    <row r="3" spans="1:53" ht="15.75">
      <c r="A3" s="81"/>
      <c r="B3" s="666"/>
      <c r="C3" s="666"/>
      <c r="D3" s="666"/>
      <c r="E3" s="666"/>
      <c r="F3" s="666"/>
      <c r="G3" s="666"/>
      <c r="H3" s="666"/>
      <c r="I3" s="293"/>
      <c r="J3" s="293"/>
      <c r="K3" s="293"/>
      <c r="L3" s="293"/>
      <c r="M3" s="197"/>
      <c r="N3" s="638"/>
      <c r="O3" s="638"/>
      <c r="P3" s="639" t="s">
        <v>158</v>
      </c>
      <c r="Q3" s="640"/>
      <c r="R3" s="640"/>
      <c r="S3" s="640"/>
      <c r="T3" s="641"/>
      <c r="U3" s="639" t="s">
        <v>114</v>
      </c>
      <c r="V3" s="640"/>
      <c r="W3" s="640"/>
      <c r="X3" s="640"/>
      <c r="Y3" s="641"/>
      <c r="Z3" s="639" t="s">
        <v>159</v>
      </c>
      <c r="AA3" s="640"/>
      <c r="AB3" s="640"/>
      <c r="AC3" s="640"/>
      <c r="AD3" s="641"/>
      <c r="AE3" s="639" t="s">
        <v>157</v>
      </c>
      <c r="AF3" s="640"/>
      <c r="AG3" s="640"/>
      <c r="AH3" s="640"/>
      <c r="AI3" s="641"/>
      <c r="AJ3" s="639" t="s">
        <v>160</v>
      </c>
      <c r="AK3" s="640"/>
      <c r="AL3" s="640"/>
      <c r="AM3" s="640"/>
      <c r="AN3" s="641"/>
      <c r="AO3" s="639" t="s">
        <v>161</v>
      </c>
      <c r="AP3" s="640"/>
      <c r="AQ3" s="640"/>
      <c r="AR3" s="640"/>
      <c r="AS3" s="641"/>
      <c r="AT3" s="639" t="s">
        <v>162</v>
      </c>
      <c r="AU3" s="640"/>
      <c r="AV3" s="640"/>
      <c r="AW3" s="640"/>
      <c r="AX3" s="641"/>
    </row>
    <row r="4" spans="1:53" ht="14.25">
      <c r="A4" s="81"/>
      <c r="B4" s="635" t="s">
        <v>548</v>
      </c>
      <c r="C4" s="635" t="s">
        <v>384</v>
      </c>
      <c r="D4" s="635"/>
      <c r="E4" s="635" t="s">
        <v>375</v>
      </c>
      <c r="F4" s="635"/>
      <c r="G4" s="635"/>
      <c r="H4" s="651" t="s">
        <v>371</v>
      </c>
      <c r="I4" s="619" t="s">
        <v>376</v>
      </c>
      <c r="J4" s="619"/>
      <c r="K4" s="619"/>
      <c r="L4" s="620" t="s">
        <v>371</v>
      </c>
      <c r="M4" s="626" t="s">
        <v>372</v>
      </c>
      <c r="N4" s="635"/>
      <c r="O4" s="635" t="s">
        <v>377</v>
      </c>
      <c r="P4" s="632" t="s">
        <v>373</v>
      </c>
      <c r="Q4" s="633"/>
      <c r="R4" s="633"/>
      <c r="S4" s="634"/>
      <c r="T4" s="635" t="s">
        <v>371</v>
      </c>
      <c r="U4" s="632" t="s">
        <v>373</v>
      </c>
      <c r="V4" s="633"/>
      <c r="W4" s="633"/>
      <c r="X4" s="634"/>
      <c r="Y4" s="635" t="s">
        <v>371</v>
      </c>
      <c r="Z4" s="632" t="s">
        <v>373</v>
      </c>
      <c r="AA4" s="633"/>
      <c r="AB4" s="633"/>
      <c r="AC4" s="634"/>
      <c r="AD4" s="635" t="s">
        <v>371</v>
      </c>
      <c r="AE4" s="632" t="s">
        <v>373</v>
      </c>
      <c r="AF4" s="633"/>
      <c r="AG4" s="633"/>
      <c r="AH4" s="634"/>
      <c r="AI4" s="635" t="s">
        <v>371</v>
      </c>
      <c r="AJ4" s="632" t="s">
        <v>373</v>
      </c>
      <c r="AK4" s="633"/>
      <c r="AL4" s="633"/>
      <c r="AM4" s="634"/>
      <c r="AN4" s="635" t="s">
        <v>371</v>
      </c>
      <c r="AO4" s="632" t="s">
        <v>373</v>
      </c>
      <c r="AP4" s="633"/>
      <c r="AQ4" s="633"/>
      <c r="AR4" s="634"/>
      <c r="AS4" s="635" t="s">
        <v>371</v>
      </c>
      <c r="AT4" s="632" t="s">
        <v>373</v>
      </c>
      <c r="AU4" s="633"/>
      <c r="AV4" s="633"/>
      <c r="AW4" s="634"/>
      <c r="AX4" s="635" t="s">
        <v>371</v>
      </c>
      <c r="BA4" s="635" t="s">
        <v>371</v>
      </c>
    </row>
    <row r="5" spans="1:53" ht="14.25">
      <c r="A5" s="81"/>
      <c r="B5" s="635"/>
      <c r="C5" s="635"/>
      <c r="D5" s="635"/>
      <c r="E5" s="635" t="s">
        <v>378</v>
      </c>
      <c r="F5" s="635"/>
      <c r="G5" s="635"/>
      <c r="H5" s="652"/>
      <c r="I5" s="619" t="s">
        <v>378</v>
      </c>
      <c r="J5" s="619"/>
      <c r="K5" s="619"/>
      <c r="L5" s="621"/>
      <c r="M5" s="627"/>
      <c r="N5" s="635"/>
      <c r="O5" s="635"/>
      <c r="P5" s="632" t="s">
        <v>379</v>
      </c>
      <c r="Q5" s="633"/>
      <c r="R5" s="633"/>
      <c r="S5" s="634"/>
      <c r="T5" s="635"/>
      <c r="U5" s="632" t="s">
        <v>379</v>
      </c>
      <c r="V5" s="633"/>
      <c r="W5" s="633"/>
      <c r="X5" s="634"/>
      <c r="Y5" s="635"/>
      <c r="Z5" s="632" t="s">
        <v>379</v>
      </c>
      <c r="AA5" s="633"/>
      <c r="AB5" s="633"/>
      <c r="AC5" s="634"/>
      <c r="AD5" s="635"/>
      <c r="AE5" s="632" t="s">
        <v>379</v>
      </c>
      <c r="AF5" s="633"/>
      <c r="AG5" s="633"/>
      <c r="AH5" s="634"/>
      <c r="AI5" s="635"/>
      <c r="AJ5" s="632" t="s">
        <v>379</v>
      </c>
      <c r="AK5" s="633"/>
      <c r="AL5" s="633"/>
      <c r="AM5" s="634"/>
      <c r="AN5" s="635"/>
      <c r="AO5" s="632" t="s">
        <v>379</v>
      </c>
      <c r="AP5" s="633"/>
      <c r="AQ5" s="633"/>
      <c r="AR5" s="634"/>
      <c r="AS5" s="635"/>
      <c r="AT5" s="632" t="s">
        <v>379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408" t="s">
        <v>380</v>
      </c>
      <c r="F6" s="408" t="s">
        <v>381</v>
      </c>
      <c r="G6" s="408" t="s">
        <v>382</v>
      </c>
      <c r="H6" s="653"/>
      <c r="I6" s="407" t="s">
        <v>380</v>
      </c>
      <c r="J6" s="407" t="s">
        <v>381</v>
      </c>
      <c r="K6" s="407" t="s">
        <v>382</v>
      </c>
      <c r="L6" s="622"/>
      <c r="M6" s="628"/>
      <c r="N6" s="635"/>
      <c r="O6" s="635"/>
      <c r="P6" s="408" t="s">
        <v>380</v>
      </c>
      <c r="Q6" s="408" t="s">
        <v>381</v>
      </c>
      <c r="R6" s="408" t="s">
        <v>382</v>
      </c>
      <c r="S6" s="408" t="s">
        <v>372</v>
      </c>
      <c r="T6" s="635"/>
      <c r="U6" s="408" t="s">
        <v>380</v>
      </c>
      <c r="V6" s="408" t="s">
        <v>381</v>
      </c>
      <c r="W6" s="408" t="s">
        <v>382</v>
      </c>
      <c r="X6" s="408" t="s">
        <v>372</v>
      </c>
      <c r="Y6" s="635"/>
      <c r="Z6" s="408" t="s">
        <v>380</v>
      </c>
      <c r="AA6" s="408" t="s">
        <v>381</v>
      </c>
      <c r="AB6" s="408" t="s">
        <v>382</v>
      </c>
      <c r="AC6" s="408" t="s">
        <v>372</v>
      </c>
      <c r="AD6" s="635"/>
      <c r="AE6" s="408" t="s">
        <v>380</v>
      </c>
      <c r="AF6" s="408" t="s">
        <v>381</v>
      </c>
      <c r="AG6" s="408" t="s">
        <v>382</v>
      </c>
      <c r="AH6" s="408" t="s">
        <v>372</v>
      </c>
      <c r="AI6" s="635"/>
      <c r="AJ6" s="408" t="s">
        <v>380</v>
      </c>
      <c r="AK6" s="408" t="s">
        <v>381</v>
      </c>
      <c r="AL6" s="408" t="s">
        <v>382</v>
      </c>
      <c r="AM6" s="408" t="s">
        <v>372</v>
      </c>
      <c r="AN6" s="635"/>
      <c r="AO6" s="408" t="s">
        <v>380</v>
      </c>
      <c r="AP6" s="408" t="s">
        <v>381</v>
      </c>
      <c r="AQ6" s="408" t="s">
        <v>382</v>
      </c>
      <c r="AR6" s="408" t="s">
        <v>372</v>
      </c>
      <c r="AS6" s="635"/>
      <c r="AT6" s="408" t="s">
        <v>380</v>
      </c>
      <c r="AU6" s="408" t="s">
        <v>381</v>
      </c>
      <c r="AV6" s="408" t="s">
        <v>382</v>
      </c>
      <c r="AW6" s="408" t="s">
        <v>372</v>
      </c>
      <c r="AX6" s="635"/>
      <c r="AZ6" s="397" t="s">
        <v>372</v>
      </c>
      <c r="BA6" s="635"/>
    </row>
    <row r="7" spans="1:53" ht="14.25">
      <c r="A7" s="81"/>
      <c r="B7" s="635" t="s">
        <v>136</v>
      </c>
      <c r="C7" s="409">
        <v>1</v>
      </c>
      <c r="D7" s="225" t="s">
        <v>354</v>
      </c>
      <c r="E7" s="416">
        <v>20</v>
      </c>
      <c r="F7" s="495">
        <v>2400</v>
      </c>
      <c r="G7" s="496">
        <v>120</v>
      </c>
      <c r="H7" s="685">
        <f>AVERAGE(G7:G21)</f>
        <v>144.91801398922141</v>
      </c>
      <c r="I7" s="413">
        <f t="shared" ref="I7:I20" si="0">IFERROR(AVERAGE(P7,U7,Z7,AE7,AJ7,AO7,AT7),"-")</f>
        <v>20</v>
      </c>
      <c r="J7" s="413">
        <f t="shared" ref="J7:J20" si="1">IFERROR(AVERAGE(Q7,V7,AA7,AF7,AK7,AP7,AU7),"-")</f>
        <v>2346.4478436835639</v>
      </c>
      <c r="K7" s="199">
        <f t="shared" ref="K7:K20" si="2">IFERROR(AVERAGE(R7,W7,AB7,AG7,AL7,AQ7,AV7),"-")</f>
        <v>117.32239218417818</v>
      </c>
      <c r="L7" s="616">
        <f>IFERROR(AVERAGE(K7:K21),"-")</f>
        <v>129.9474276931152</v>
      </c>
      <c r="M7" s="415">
        <f>RANK(K7, K$7:$K$21)</f>
        <v>9</v>
      </c>
      <c r="N7" s="635"/>
      <c r="O7" s="635"/>
      <c r="P7" s="497">
        <v>20</v>
      </c>
      <c r="Q7" s="499">
        <v>2365.0344827586214</v>
      </c>
      <c r="R7" s="499">
        <v>118.25172413793106</v>
      </c>
      <c r="S7" s="497">
        <f t="shared" ref="S7:S21" si="3">RANK(R7, R$7:R$21)</f>
        <v>8</v>
      </c>
      <c r="T7" s="682">
        <f t="shared" ref="T7" si="4">AVERAGE(R7:R21)</f>
        <v>127.24446203445716</v>
      </c>
      <c r="U7" s="497">
        <v>20</v>
      </c>
      <c r="V7" s="499">
        <v>2345.006511627907</v>
      </c>
      <c r="W7" s="499">
        <v>117.25032558139534</v>
      </c>
      <c r="X7" s="497">
        <f t="shared" ref="X7:X21" si="5">RANK(W7, W$7:W$21)</f>
        <v>9</v>
      </c>
      <c r="Y7" s="682">
        <f t="shared" ref="Y7" si="6">AVERAGE(W7:W21)</f>
        <v>130.33655096223495</v>
      </c>
      <c r="Z7" s="497">
        <v>20</v>
      </c>
      <c r="AA7" s="499">
        <v>2339.1272727272726</v>
      </c>
      <c r="AB7" s="499">
        <v>116.95636363636363</v>
      </c>
      <c r="AC7" s="497">
        <f t="shared" ref="AC7:AC21" si="7">RANK(AB7, AB$7:AB$21)</f>
        <v>9</v>
      </c>
      <c r="AD7" s="682">
        <f t="shared" ref="AD7" si="8">AVERAGE(AB7:AB21)</f>
        <v>129.45928327099321</v>
      </c>
      <c r="AE7" s="497">
        <v>20</v>
      </c>
      <c r="AF7" s="499">
        <v>2338.3723404255325</v>
      </c>
      <c r="AG7" s="499">
        <v>116.91861702127662</v>
      </c>
      <c r="AH7" s="497">
        <f t="shared" ref="AH7:AH21" si="9">RANK(AG7, AG$7:AG$21)</f>
        <v>9</v>
      </c>
      <c r="AI7" s="682">
        <f t="shared" ref="AI7" si="10">AVERAGE(AG7:AG21)</f>
        <v>130.857016671851</v>
      </c>
      <c r="AJ7" s="497">
        <v>20</v>
      </c>
      <c r="AK7" s="499">
        <v>2329.2499999999991</v>
      </c>
      <c r="AL7" s="499">
        <v>116.46249999999995</v>
      </c>
      <c r="AM7" s="497">
        <f t="shared" ref="AM7:AM21" si="11">RANK(AL7, AL$7:AL$21)</f>
        <v>9</v>
      </c>
      <c r="AN7" s="682">
        <f t="shared" ref="AN7" si="12">AVERAGE(AL7:AL21)</f>
        <v>130.19033055465536</v>
      </c>
      <c r="AO7" s="497">
        <v>20</v>
      </c>
      <c r="AP7" s="499">
        <v>2340.6250000000005</v>
      </c>
      <c r="AQ7" s="499">
        <v>117.03125000000003</v>
      </c>
      <c r="AR7" s="497">
        <f t="shared" ref="AR7:AR21" si="13">RANK(AQ7, AQ$7:AQ$21)</f>
        <v>9</v>
      </c>
      <c r="AS7" s="682">
        <f t="shared" ref="AS7" si="14">AVERAGE(AQ7:AQ21)</f>
        <v>130.48581149983576</v>
      </c>
      <c r="AT7" s="495">
        <v>20</v>
      </c>
      <c r="AU7" s="416">
        <v>2367.7192982456136</v>
      </c>
      <c r="AV7" s="416">
        <v>118.38596491228068</v>
      </c>
      <c r="AW7" s="497">
        <f t="shared" ref="AW7:AW21" si="15">RANK(AV7, AV$7:AV$21)</f>
        <v>9</v>
      </c>
      <c r="AX7" s="682">
        <f t="shared" ref="AX7" si="16">AVERAGE(AV7:AV21)</f>
        <v>131.05853885777913</v>
      </c>
      <c r="AZ7" s="399" t="e">
        <f t="shared" ref="AZ7:AZ21" si="17">RANK(AY7, AY$7:AY$21)</f>
        <v>#N/A</v>
      </c>
      <c r="BA7" s="682" t="e">
        <f t="shared" ref="BA7" si="18">AVERAGE(AY7:AY21)</f>
        <v>#DIV/0!</v>
      </c>
    </row>
    <row r="8" spans="1:53" ht="15" customHeight="1">
      <c r="A8" s="81"/>
      <c r="B8" s="668"/>
      <c r="C8" s="409">
        <v>2</v>
      </c>
      <c r="D8" s="225" t="s">
        <v>355</v>
      </c>
      <c r="E8" s="416">
        <v>18</v>
      </c>
      <c r="F8" s="495">
        <v>2700</v>
      </c>
      <c r="G8" s="496">
        <v>150</v>
      </c>
      <c r="H8" s="686"/>
      <c r="I8" s="413">
        <f t="shared" si="0"/>
        <v>19</v>
      </c>
      <c r="J8" s="413">
        <f t="shared" si="1"/>
        <v>2559.1114470652042</v>
      </c>
      <c r="K8" s="199">
        <f t="shared" si="2"/>
        <v>134.69007616132654</v>
      </c>
      <c r="L8" s="617"/>
      <c r="M8" s="415">
        <f>RANK(K8, K$7:$K$21)</f>
        <v>4</v>
      </c>
      <c r="N8" s="635"/>
      <c r="O8" s="635"/>
      <c r="P8" s="497">
        <v>19</v>
      </c>
      <c r="Q8" s="499">
        <v>2514.9295774647894</v>
      </c>
      <c r="R8" s="499">
        <v>132.36471460340996</v>
      </c>
      <c r="S8" s="497">
        <f t="shared" si="3"/>
        <v>5</v>
      </c>
      <c r="T8" s="682"/>
      <c r="U8" s="497">
        <v>19</v>
      </c>
      <c r="V8" s="499">
        <v>2528.3720930232553</v>
      </c>
      <c r="W8" s="499">
        <v>133.0722154222766</v>
      </c>
      <c r="X8" s="497">
        <f t="shared" si="5"/>
        <v>5</v>
      </c>
      <c r="Y8" s="682"/>
      <c r="Z8" s="497">
        <v>19</v>
      </c>
      <c r="AA8" s="499">
        <v>2538.409090909091</v>
      </c>
      <c r="AB8" s="499">
        <v>133.60047846889952</v>
      </c>
      <c r="AC8" s="497">
        <f t="shared" si="7"/>
        <v>4</v>
      </c>
      <c r="AD8" s="682"/>
      <c r="AE8" s="497">
        <v>19</v>
      </c>
      <c r="AF8" s="499">
        <v>2600.4545454545455</v>
      </c>
      <c r="AG8" s="499">
        <v>136.86602870813397</v>
      </c>
      <c r="AH8" s="497">
        <f t="shared" si="9"/>
        <v>4</v>
      </c>
      <c r="AI8" s="682"/>
      <c r="AJ8" s="497">
        <v>19</v>
      </c>
      <c r="AK8" s="499">
        <v>2577.9310344827582</v>
      </c>
      <c r="AL8" s="499">
        <v>135.68058076225043</v>
      </c>
      <c r="AM8" s="497">
        <f t="shared" si="11"/>
        <v>4</v>
      </c>
      <c r="AN8" s="682"/>
      <c r="AO8" s="497">
        <v>19</v>
      </c>
      <c r="AP8" s="499">
        <v>2590.1123595505615</v>
      </c>
      <c r="AQ8" s="499">
        <v>136.32170313424007</v>
      </c>
      <c r="AR8" s="497">
        <f t="shared" si="13"/>
        <v>4</v>
      </c>
      <c r="AS8" s="682"/>
      <c r="AT8" s="495">
        <v>19</v>
      </c>
      <c r="AU8" s="416">
        <v>2563.5714285714303</v>
      </c>
      <c r="AV8" s="416">
        <v>134.92481203007529</v>
      </c>
      <c r="AW8" s="497">
        <f t="shared" si="15"/>
        <v>4</v>
      </c>
      <c r="AX8" s="682"/>
      <c r="AZ8" s="399" t="e">
        <f t="shared" si="17"/>
        <v>#N/A</v>
      </c>
      <c r="BA8" s="682"/>
    </row>
    <row r="9" spans="1:53" ht="14.25">
      <c r="A9" s="81"/>
      <c r="B9" s="668"/>
      <c r="C9" s="409">
        <v>3</v>
      </c>
      <c r="D9" s="225" t="s">
        <v>356</v>
      </c>
      <c r="E9" s="416">
        <v>18</v>
      </c>
      <c r="F9" s="495">
        <v>2700</v>
      </c>
      <c r="G9" s="496">
        <v>150</v>
      </c>
      <c r="H9" s="686"/>
      <c r="I9" s="413">
        <f t="shared" si="0"/>
        <v>19</v>
      </c>
      <c r="J9" s="413">
        <f t="shared" si="1"/>
        <v>2448.561936993071</v>
      </c>
      <c r="K9" s="199">
        <f t="shared" si="2"/>
        <v>128.87168089437216</v>
      </c>
      <c r="L9" s="617"/>
      <c r="M9" s="415">
        <f>RANK(K9, K$7:$K$21)</f>
        <v>5</v>
      </c>
      <c r="N9" s="635"/>
      <c r="O9" s="635"/>
      <c r="P9" s="497">
        <v>19</v>
      </c>
      <c r="Q9" s="499">
        <v>2566.304347826087</v>
      </c>
      <c r="R9" s="499">
        <v>135.06864988558354</v>
      </c>
      <c r="S9" s="497">
        <f t="shared" si="3"/>
        <v>2</v>
      </c>
      <c r="T9" s="682"/>
      <c r="U9" s="497">
        <v>19</v>
      </c>
      <c r="V9" s="499">
        <v>2546.0000000000009</v>
      </c>
      <c r="W9" s="499">
        <v>134.00000000000006</v>
      </c>
      <c r="X9" s="497">
        <f t="shared" si="5"/>
        <v>4</v>
      </c>
      <c r="Y9" s="682"/>
      <c r="Z9" s="497">
        <v>19</v>
      </c>
      <c r="AA9" s="499">
        <v>2407.5590551181099</v>
      </c>
      <c r="AB9" s="499">
        <v>126.71363447990052</v>
      </c>
      <c r="AC9" s="497">
        <f t="shared" si="7"/>
        <v>5</v>
      </c>
      <c r="AD9" s="682"/>
      <c r="AE9" s="497">
        <v>19</v>
      </c>
      <c r="AF9" s="499">
        <v>2408.9552238805973</v>
      </c>
      <c r="AG9" s="499">
        <v>126.78711704634722</v>
      </c>
      <c r="AH9" s="497">
        <f t="shared" si="9"/>
        <v>6</v>
      </c>
      <c r="AI9" s="682"/>
      <c r="AJ9" s="497">
        <v>19</v>
      </c>
      <c r="AK9" s="499">
        <v>2381.5384615384628</v>
      </c>
      <c r="AL9" s="499">
        <v>125.34412955465594</v>
      </c>
      <c r="AM9" s="497">
        <f t="shared" si="11"/>
        <v>6</v>
      </c>
      <c r="AN9" s="682"/>
      <c r="AO9" s="497">
        <v>19</v>
      </c>
      <c r="AP9" s="499">
        <v>2438.4000000000015</v>
      </c>
      <c r="AQ9" s="499">
        <v>128.33684210526323</v>
      </c>
      <c r="AR9" s="497">
        <f t="shared" si="13"/>
        <v>5</v>
      </c>
      <c r="AS9" s="682"/>
      <c r="AT9" s="495">
        <v>19</v>
      </c>
      <c r="AU9" s="416">
        <v>2391.1764705882365</v>
      </c>
      <c r="AV9" s="416">
        <v>125.85139318885456</v>
      </c>
      <c r="AW9" s="497">
        <f t="shared" si="15"/>
        <v>6</v>
      </c>
      <c r="AX9" s="682"/>
      <c r="AZ9" s="399" t="e">
        <f t="shared" si="17"/>
        <v>#N/A</v>
      </c>
      <c r="BA9" s="682"/>
    </row>
    <row r="10" spans="1:53" ht="14.25">
      <c r="A10" s="81"/>
      <c r="B10" s="668"/>
      <c r="C10" s="409">
        <v>4</v>
      </c>
      <c r="D10" s="225" t="s">
        <v>357</v>
      </c>
      <c r="E10" s="416">
        <v>19</v>
      </c>
      <c r="F10" s="495">
        <v>2700</v>
      </c>
      <c r="G10" s="496">
        <v>142.10526315789474</v>
      </c>
      <c r="H10" s="686"/>
      <c r="I10" s="413">
        <f t="shared" si="0"/>
        <v>19.142857142857142</v>
      </c>
      <c r="J10" s="413">
        <f t="shared" si="1"/>
        <v>2410.8798083574002</v>
      </c>
      <c r="K10" s="199">
        <f t="shared" si="2"/>
        <v>125.9638643054094</v>
      </c>
      <c r="L10" s="617"/>
      <c r="M10" s="415">
        <f>RANK(K10, K$7:$K$21)</f>
        <v>6</v>
      </c>
      <c r="N10" s="635"/>
      <c r="O10" s="635"/>
      <c r="P10" s="497">
        <v>19</v>
      </c>
      <c r="Q10" s="499">
        <v>2305.6701030927798</v>
      </c>
      <c r="R10" s="499">
        <v>121.35105805751472</v>
      </c>
      <c r="S10" s="497">
        <f t="shared" si="3"/>
        <v>6</v>
      </c>
      <c r="T10" s="682"/>
      <c r="U10" s="497">
        <v>19</v>
      </c>
      <c r="V10" s="499">
        <v>2381.7977528089864</v>
      </c>
      <c r="W10" s="499">
        <v>125.35777646363086</v>
      </c>
      <c r="X10" s="497">
        <f t="shared" si="5"/>
        <v>6</v>
      </c>
      <c r="Y10" s="682"/>
      <c r="Z10" s="497">
        <v>20</v>
      </c>
      <c r="AA10" s="499">
        <v>2459.2941176470586</v>
      </c>
      <c r="AB10" s="499">
        <v>122.96470588235293</v>
      </c>
      <c r="AC10" s="497">
        <f t="shared" si="7"/>
        <v>6</v>
      </c>
      <c r="AD10" s="682"/>
      <c r="AE10" s="497">
        <v>19</v>
      </c>
      <c r="AF10" s="499">
        <v>2446.3333333333335</v>
      </c>
      <c r="AG10" s="499">
        <v>128.7543859649123</v>
      </c>
      <c r="AH10" s="497">
        <f t="shared" si="9"/>
        <v>5</v>
      </c>
      <c r="AI10" s="682"/>
      <c r="AJ10" s="497">
        <v>19</v>
      </c>
      <c r="AK10" s="499">
        <v>2392.4482758620675</v>
      </c>
      <c r="AL10" s="499">
        <v>125.91833030852986</v>
      </c>
      <c r="AM10" s="497">
        <f t="shared" si="11"/>
        <v>5</v>
      </c>
      <c r="AN10" s="682"/>
      <c r="AO10" s="497">
        <v>19</v>
      </c>
      <c r="AP10" s="499">
        <v>2409.604166666667</v>
      </c>
      <c r="AQ10" s="499">
        <v>126.82127192982458</v>
      </c>
      <c r="AR10" s="497">
        <f t="shared" si="13"/>
        <v>6</v>
      </c>
      <c r="AS10" s="682"/>
      <c r="AT10" s="495">
        <v>19</v>
      </c>
      <c r="AU10" s="416">
        <v>2481.0109090909109</v>
      </c>
      <c r="AV10" s="416">
        <v>130.57952153110057</v>
      </c>
      <c r="AW10" s="497">
        <f t="shared" si="15"/>
        <v>5</v>
      </c>
      <c r="AX10" s="682"/>
      <c r="AZ10" s="399" t="e">
        <f t="shared" si="17"/>
        <v>#N/A</v>
      </c>
      <c r="BA10" s="682"/>
    </row>
    <row r="11" spans="1:53" ht="14.25">
      <c r="A11" s="81"/>
      <c r="B11" s="668"/>
      <c r="C11" s="409">
        <v>5</v>
      </c>
      <c r="D11" s="225" t="s">
        <v>524</v>
      </c>
      <c r="E11" s="416">
        <v>17</v>
      </c>
      <c r="F11" s="495">
        <v>2250</v>
      </c>
      <c r="G11" s="496">
        <v>132.35294117647058</v>
      </c>
      <c r="H11" s="686"/>
      <c r="I11" s="413">
        <f t="shared" si="0"/>
        <v>18</v>
      </c>
      <c r="J11" s="413">
        <f t="shared" si="1"/>
        <v>2180.5629918999662</v>
      </c>
      <c r="K11" s="199">
        <f t="shared" si="2"/>
        <v>121.142388438887</v>
      </c>
      <c r="L11" s="617"/>
      <c r="M11" s="415">
        <f>RANK(K11, K$7:$K$21)</f>
        <v>7</v>
      </c>
      <c r="N11" s="635"/>
      <c r="O11" s="635"/>
      <c r="P11" s="497">
        <v>18</v>
      </c>
      <c r="Q11" s="499">
        <v>2181.965217391305</v>
      </c>
      <c r="R11" s="499">
        <v>121.22028985507251</v>
      </c>
      <c r="S11" s="497">
        <f t="shared" si="3"/>
        <v>7</v>
      </c>
      <c r="T11" s="682"/>
      <c r="U11" s="497">
        <v>18</v>
      </c>
      <c r="V11" s="499">
        <v>2212.1029411764716</v>
      </c>
      <c r="W11" s="499">
        <v>122.89460784313731</v>
      </c>
      <c r="X11" s="497">
        <f t="shared" si="5"/>
        <v>7</v>
      </c>
      <c r="Y11" s="682"/>
      <c r="Z11" s="497">
        <v>18</v>
      </c>
      <c r="AA11" s="499">
        <v>2174.454545454545</v>
      </c>
      <c r="AB11" s="499">
        <v>120.80303030303028</v>
      </c>
      <c r="AC11" s="497">
        <f t="shared" si="7"/>
        <v>7</v>
      </c>
      <c r="AD11" s="682"/>
      <c r="AE11" s="497">
        <v>18</v>
      </c>
      <c r="AF11" s="499">
        <v>2152.583333333333</v>
      </c>
      <c r="AG11" s="499">
        <v>119.58796296296295</v>
      </c>
      <c r="AH11" s="497">
        <f t="shared" si="9"/>
        <v>8</v>
      </c>
      <c r="AI11" s="682"/>
      <c r="AJ11" s="497">
        <v>18</v>
      </c>
      <c r="AK11" s="499">
        <v>2169.6480000000006</v>
      </c>
      <c r="AL11" s="499">
        <v>120.53600000000003</v>
      </c>
      <c r="AM11" s="497">
        <f t="shared" si="11"/>
        <v>8</v>
      </c>
      <c r="AN11" s="682"/>
      <c r="AO11" s="497">
        <v>18</v>
      </c>
      <c r="AP11" s="499">
        <v>2193.969924812031</v>
      </c>
      <c r="AQ11" s="499">
        <v>121.88721804511283</v>
      </c>
      <c r="AR11" s="497">
        <f t="shared" si="13"/>
        <v>7</v>
      </c>
      <c r="AS11" s="682"/>
      <c r="AT11" s="495">
        <v>18</v>
      </c>
      <c r="AU11" s="416">
        <v>2179.2169811320759</v>
      </c>
      <c r="AV11" s="416">
        <v>121.06761006289311</v>
      </c>
      <c r="AW11" s="497">
        <f t="shared" si="15"/>
        <v>7</v>
      </c>
      <c r="AX11" s="682"/>
      <c r="AZ11" s="399" t="e">
        <f t="shared" si="17"/>
        <v>#N/A</v>
      </c>
      <c r="BA11" s="682"/>
    </row>
    <row r="12" spans="1:53" ht="14.25">
      <c r="A12" s="81"/>
      <c r="B12" s="668"/>
      <c r="C12" s="409">
        <v>6</v>
      </c>
      <c r="D12" s="225" t="s">
        <v>625</v>
      </c>
      <c r="E12" s="416">
        <v>17</v>
      </c>
      <c r="F12" s="495">
        <v>2700</v>
      </c>
      <c r="G12" s="496">
        <v>158.8235294117647</v>
      </c>
      <c r="H12" s="686"/>
      <c r="I12" s="413">
        <f t="shared" si="0"/>
        <v>17.142857142857142</v>
      </c>
      <c r="J12" s="413">
        <f t="shared" si="1"/>
        <v>2401.4601151041884</v>
      </c>
      <c r="K12" s="199">
        <f t="shared" si="2"/>
        <v>140.12364335590343</v>
      </c>
      <c r="L12" s="617"/>
      <c r="M12" s="415">
        <f>RANK(K12, K$7:$K$21)</f>
        <v>2</v>
      </c>
      <c r="N12" s="635"/>
      <c r="O12" s="635"/>
      <c r="P12" s="497">
        <v>18</v>
      </c>
      <c r="Q12" s="499">
        <v>2439.1304347826085</v>
      </c>
      <c r="R12" s="499">
        <v>135.50724637681159</v>
      </c>
      <c r="S12" s="497">
        <f t="shared" si="3"/>
        <v>1</v>
      </c>
      <c r="T12" s="682"/>
      <c r="U12" s="497">
        <v>17</v>
      </c>
      <c r="V12" s="499">
        <v>2461.0169491525412</v>
      </c>
      <c r="W12" s="499">
        <v>144.76570289132596</v>
      </c>
      <c r="X12" s="497">
        <f t="shared" si="5"/>
        <v>1</v>
      </c>
      <c r="Y12" s="682"/>
      <c r="Z12" s="497">
        <v>17</v>
      </c>
      <c r="AA12" s="499">
        <v>2377.7419354838703</v>
      </c>
      <c r="AB12" s="499">
        <v>139.86717267552177</v>
      </c>
      <c r="AC12" s="497">
        <f t="shared" si="7"/>
        <v>3</v>
      </c>
      <c r="AD12" s="682"/>
      <c r="AE12" s="497">
        <v>17</v>
      </c>
      <c r="AF12" s="499">
        <v>2397.9661016949144</v>
      </c>
      <c r="AG12" s="499">
        <v>141.05682951146557</v>
      </c>
      <c r="AH12" s="497">
        <f t="shared" si="9"/>
        <v>3</v>
      </c>
      <c r="AI12" s="682"/>
      <c r="AJ12" s="497">
        <v>17</v>
      </c>
      <c r="AK12" s="499">
        <v>2369.9999999999991</v>
      </c>
      <c r="AL12" s="499">
        <v>139.41176470588229</v>
      </c>
      <c r="AM12" s="497">
        <f t="shared" si="11"/>
        <v>3</v>
      </c>
      <c r="AN12" s="682"/>
      <c r="AO12" s="497">
        <v>17</v>
      </c>
      <c r="AP12" s="499">
        <v>2380.6153846153838</v>
      </c>
      <c r="AQ12" s="499">
        <v>140.03619909502257</v>
      </c>
      <c r="AR12" s="497">
        <f t="shared" si="13"/>
        <v>3</v>
      </c>
      <c r="AS12" s="682"/>
      <c r="AT12" s="495">
        <v>17</v>
      </c>
      <c r="AU12" s="416">
        <v>2383.7500000000009</v>
      </c>
      <c r="AV12" s="416">
        <v>140.22058823529417</v>
      </c>
      <c r="AW12" s="497">
        <f t="shared" si="15"/>
        <v>3</v>
      </c>
      <c r="AX12" s="682"/>
      <c r="AZ12" s="399" t="e">
        <f t="shared" si="17"/>
        <v>#N/A</v>
      </c>
      <c r="BA12" s="682"/>
    </row>
    <row r="13" spans="1:53" ht="14.25">
      <c r="A13" s="81"/>
      <c r="B13" s="668"/>
      <c r="C13" s="409">
        <v>7</v>
      </c>
      <c r="D13" s="225" t="s">
        <v>637</v>
      </c>
      <c r="E13" s="416">
        <v>17</v>
      </c>
      <c r="F13" s="495">
        <v>2700</v>
      </c>
      <c r="G13" s="496">
        <v>158.8235294117647</v>
      </c>
      <c r="H13" s="686"/>
      <c r="I13" s="413">
        <f t="shared" si="0"/>
        <v>17.142857142857142</v>
      </c>
      <c r="J13" s="413">
        <f t="shared" si="1"/>
        <v>2416.2524408759514</v>
      </c>
      <c r="K13" s="199">
        <f t="shared" si="2"/>
        <v>141.01659070032665</v>
      </c>
      <c r="L13" s="617"/>
      <c r="M13" s="415">
        <f>RANK(K13, K$7:$K$21)</f>
        <v>1</v>
      </c>
      <c r="N13" s="635"/>
      <c r="O13" s="635"/>
      <c r="P13" s="497">
        <v>18</v>
      </c>
      <c r="Q13" s="499">
        <v>2390.2702702702686</v>
      </c>
      <c r="R13" s="499">
        <v>132.79279279279271</v>
      </c>
      <c r="S13" s="497">
        <f t="shared" si="3"/>
        <v>4</v>
      </c>
      <c r="T13" s="682"/>
      <c r="U13" s="497">
        <v>17</v>
      </c>
      <c r="V13" s="499">
        <v>2376.2500000000009</v>
      </c>
      <c r="W13" s="499">
        <v>139.77941176470594</v>
      </c>
      <c r="X13" s="497">
        <f t="shared" si="5"/>
        <v>2</v>
      </c>
      <c r="Y13" s="682"/>
      <c r="Z13" s="497">
        <v>17</v>
      </c>
      <c r="AA13" s="499">
        <v>2424.5454545454545</v>
      </c>
      <c r="AB13" s="499">
        <v>142.62032085561498</v>
      </c>
      <c r="AC13" s="497">
        <f t="shared" si="7"/>
        <v>1</v>
      </c>
      <c r="AD13" s="682"/>
      <c r="AE13" s="497">
        <v>17</v>
      </c>
      <c r="AF13" s="499">
        <v>2441.8604651162786</v>
      </c>
      <c r="AG13" s="499">
        <v>143.63885088919287</v>
      </c>
      <c r="AH13" s="497">
        <f t="shared" si="9"/>
        <v>1</v>
      </c>
      <c r="AI13" s="682"/>
      <c r="AJ13" s="497">
        <v>17</v>
      </c>
      <c r="AK13" s="499">
        <v>2426.5116279069762</v>
      </c>
      <c r="AL13" s="499">
        <v>142.73597811217508</v>
      </c>
      <c r="AM13" s="497">
        <f t="shared" si="11"/>
        <v>1</v>
      </c>
      <c r="AN13" s="682"/>
      <c r="AO13" s="497">
        <v>17</v>
      </c>
      <c r="AP13" s="499">
        <v>2407.5000000000009</v>
      </c>
      <c r="AQ13" s="499">
        <v>141.61764705882359</v>
      </c>
      <c r="AR13" s="497">
        <f t="shared" si="13"/>
        <v>2</v>
      </c>
      <c r="AS13" s="682"/>
      <c r="AT13" s="495">
        <v>17</v>
      </c>
      <c r="AU13" s="416">
        <v>2446.8292682926822</v>
      </c>
      <c r="AV13" s="416">
        <v>143.9311334289813</v>
      </c>
      <c r="AW13" s="497">
        <f t="shared" si="15"/>
        <v>1</v>
      </c>
      <c r="AX13" s="682"/>
      <c r="AZ13" s="399" t="e">
        <f t="shared" si="17"/>
        <v>#N/A</v>
      </c>
      <c r="BA13" s="682"/>
    </row>
    <row r="14" spans="1:53" ht="14.25">
      <c r="A14" s="81"/>
      <c r="B14" s="668"/>
      <c r="C14" s="409">
        <v>8</v>
      </c>
      <c r="D14" s="225" t="s">
        <v>708</v>
      </c>
      <c r="E14" s="416">
        <v>18</v>
      </c>
      <c r="F14" s="495">
        <v>2400</v>
      </c>
      <c r="G14" s="496">
        <v>133.33333333333334</v>
      </c>
      <c r="H14" s="686"/>
      <c r="I14" s="413">
        <f t="shared" si="0"/>
        <v>18.142857142857142</v>
      </c>
      <c r="J14" s="413">
        <f t="shared" si="1"/>
        <v>2181.9757764880751</v>
      </c>
      <c r="K14" s="199">
        <f t="shared" si="2"/>
        <v>120.30959827607103</v>
      </c>
      <c r="L14" s="617"/>
      <c r="M14" s="415">
        <f>RANK(K14, K$7:$K$21)</f>
        <v>8</v>
      </c>
      <c r="N14" s="635"/>
      <c r="O14" s="635"/>
      <c r="P14" s="497">
        <v>19</v>
      </c>
      <c r="Q14" s="499">
        <v>2181.6000000000008</v>
      </c>
      <c r="R14" s="499">
        <v>114.82105263157899</v>
      </c>
      <c r="S14" s="497">
        <f t="shared" si="3"/>
        <v>9</v>
      </c>
      <c r="T14" s="682"/>
      <c r="U14" s="497">
        <v>18</v>
      </c>
      <c r="V14" s="499">
        <v>2162.2641509433975</v>
      </c>
      <c r="W14" s="499">
        <v>120.12578616352208</v>
      </c>
      <c r="X14" s="497">
        <f t="shared" si="5"/>
        <v>8</v>
      </c>
      <c r="Y14" s="682"/>
      <c r="Z14" s="497">
        <v>18</v>
      </c>
      <c r="AA14" s="499">
        <v>2163.5294117647086</v>
      </c>
      <c r="AB14" s="499">
        <v>120.1960784313727</v>
      </c>
      <c r="AC14" s="497">
        <f t="shared" si="7"/>
        <v>8</v>
      </c>
      <c r="AD14" s="682"/>
      <c r="AE14" s="497">
        <v>18</v>
      </c>
      <c r="AF14" s="499">
        <v>2201.5384615384637</v>
      </c>
      <c r="AG14" s="499">
        <v>122.30769230769243</v>
      </c>
      <c r="AH14" s="497">
        <f t="shared" si="9"/>
        <v>7</v>
      </c>
      <c r="AI14" s="682"/>
      <c r="AJ14" s="497">
        <v>18</v>
      </c>
      <c r="AK14" s="499">
        <v>2224.8387096774213</v>
      </c>
      <c r="AL14" s="499">
        <v>123.60215053763451</v>
      </c>
      <c r="AM14" s="497">
        <f t="shared" si="11"/>
        <v>7</v>
      </c>
      <c r="AN14" s="682"/>
      <c r="AO14" s="497">
        <v>18</v>
      </c>
      <c r="AP14" s="499">
        <v>2168.0597014925347</v>
      </c>
      <c r="AQ14" s="499">
        <v>120.44776119402971</v>
      </c>
      <c r="AR14" s="497">
        <f t="shared" si="13"/>
        <v>8</v>
      </c>
      <c r="AS14" s="682"/>
      <c r="AT14" s="495">
        <v>18</v>
      </c>
      <c r="AU14" s="416">
        <v>2172.0000000000014</v>
      </c>
      <c r="AV14" s="416">
        <v>120.66666666666674</v>
      </c>
      <c r="AW14" s="497">
        <f t="shared" si="15"/>
        <v>8</v>
      </c>
      <c r="AX14" s="682"/>
      <c r="AZ14" s="399" t="e">
        <f t="shared" si="17"/>
        <v>#N/A</v>
      </c>
      <c r="BA14" s="682"/>
    </row>
    <row r="15" spans="1:53" ht="14.25">
      <c r="A15" s="81"/>
      <c r="B15" s="668"/>
      <c r="C15" s="409">
        <v>9</v>
      </c>
      <c r="D15" s="225" t="s">
        <v>718</v>
      </c>
      <c r="E15" s="416">
        <v>17</v>
      </c>
      <c r="F15" s="495">
        <v>2700</v>
      </c>
      <c r="G15" s="496">
        <v>158.8235294117647</v>
      </c>
      <c r="H15" s="686"/>
      <c r="I15" s="413">
        <f t="shared" si="0"/>
        <v>17.285714285714285</v>
      </c>
      <c r="J15" s="413">
        <f t="shared" si="1"/>
        <v>2419.9875625950694</v>
      </c>
      <c r="K15" s="199">
        <f t="shared" si="2"/>
        <v>140.08661492156261</v>
      </c>
      <c r="L15" s="617"/>
      <c r="M15" s="415">
        <f>RANK(K15, K$7:$K$21)</f>
        <v>3</v>
      </c>
      <c r="N15" s="635"/>
      <c r="O15" s="635"/>
      <c r="P15" s="497">
        <v>18</v>
      </c>
      <c r="Q15" s="499">
        <v>2408.8073394495459</v>
      </c>
      <c r="R15" s="499">
        <v>133.82262996941921</v>
      </c>
      <c r="S15" s="497">
        <f t="shared" si="3"/>
        <v>3</v>
      </c>
      <c r="T15" s="682"/>
      <c r="U15" s="497">
        <v>18</v>
      </c>
      <c r="V15" s="499">
        <v>2444.0963855421678</v>
      </c>
      <c r="W15" s="499">
        <v>135.78313253012044</v>
      </c>
      <c r="X15" s="497">
        <f t="shared" si="5"/>
        <v>3</v>
      </c>
      <c r="Y15" s="682"/>
      <c r="Z15" s="497">
        <v>17</v>
      </c>
      <c r="AA15" s="499">
        <v>2404</v>
      </c>
      <c r="AB15" s="499">
        <v>141.41176470588235</v>
      </c>
      <c r="AC15" s="497">
        <f t="shared" si="7"/>
        <v>2</v>
      </c>
      <c r="AD15" s="682"/>
      <c r="AE15" s="497">
        <v>17</v>
      </c>
      <c r="AF15" s="499">
        <v>2410.5263157894756</v>
      </c>
      <c r="AG15" s="499">
        <v>141.79566563467503</v>
      </c>
      <c r="AH15" s="497">
        <f t="shared" si="9"/>
        <v>2</v>
      </c>
      <c r="AI15" s="682"/>
      <c r="AJ15" s="497">
        <v>17</v>
      </c>
      <c r="AK15" s="499">
        <v>2414.3661971830961</v>
      </c>
      <c r="AL15" s="499">
        <v>142.02154101077036</v>
      </c>
      <c r="AM15" s="497">
        <f t="shared" si="11"/>
        <v>2</v>
      </c>
      <c r="AN15" s="682"/>
      <c r="AO15" s="497">
        <v>17</v>
      </c>
      <c r="AP15" s="499">
        <v>2411.8309859154906</v>
      </c>
      <c r="AQ15" s="499">
        <v>141.87241093620534</v>
      </c>
      <c r="AR15" s="497">
        <f t="shared" si="13"/>
        <v>1</v>
      </c>
      <c r="AS15" s="682"/>
      <c r="AT15" s="495">
        <v>17</v>
      </c>
      <c r="AU15" s="416">
        <v>2446.2857142857119</v>
      </c>
      <c r="AV15" s="416">
        <v>143.89915966386542</v>
      </c>
      <c r="AW15" s="497">
        <f t="shared" si="15"/>
        <v>2</v>
      </c>
      <c r="AX15" s="682"/>
      <c r="AZ15" s="399" t="e">
        <f t="shared" si="17"/>
        <v>#N/A</v>
      </c>
      <c r="BA15" s="682"/>
    </row>
    <row r="16" spans="1:53" ht="14.25">
      <c r="A16" s="81"/>
      <c r="B16" s="668"/>
      <c r="C16" s="409">
        <v>10</v>
      </c>
      <c r="D16" s="225"/>
      <c r="E16" s="416"/>
      <c r="F16" s="495"/>
      <c r="G16" s="496"/>
      <c r="H16" s="686"/>
      <c r="I16" s="413" t="str">
        <f t="shared" si="0"/>
        <v>-</v>
      </c>
      <c r="J16" s="413" t="str">
        <f t="shared" si="1"/>
        <v>-</v>
      </c>
      <c r="K16" s="199" t="str">
        <f t="shared" si="2"/>
        <v>-</v>
      </c>
      <c r="L16" s="617"/>
      <c r="M16" s="415" t="e">
        <f>RANK(K16, K$7:$K$21)</f>
        <v>#VALUE!</v>
      </c>
      <c r="N16" s="635"/>
      <c r="O16" s="635"/>
      <c r="P16" s="497"/>
      <c r="Q16" s="499"/>
      <c r="R16" s="499"/>
      <c r="S16" s="497" t="e">
        <f t="shared" si="3"/>
        <v>#N/A</v>
      </c>
      <c r="T16" s="682"/>
      <c r="U16" s="497"/>
      <c r="V16" s="499"/>
      <c r="W16" s="499"/>
      <c r="X16" s="497" t="e">
        <f t="shared" si="5"/>
        <v>#N/A</v>
      </c>
      <c r="Y16" s="682"/>
      <c r="Z16" s="497"/>
      <c r="AA16" s="499"/>
      <c r="AB16" s="499"/>
      <c r="AC16" s="497" t="e">
        <f t="shared" si="7"/>
        <v>#N/A</v>
      </c>
      <c r="AD16" s="682"/>
      <c r="AE16" s="497"/>
      <c r="AF16" s="499"/>
      <c r="AG16" s="499"/>
      <c r="AH16" s="497" t="e">
        <f t="shared" si="9"/>
        <v>#N/A</v>
      </c>
      <c r="AI16" s="682"/>
      <c r="AJ16" s="497"/>
      <c r="AK16" s="499"/>
      <c r="AL16" s="499"/>
      <c r="AM16" s="497" t="e">
        <f t="shared" si="11"/>
        <v>#N/A</v>
      </c>
      <c r="AN16" s="682"/>
      <c r="AO16" s="497"/>
      <c r="AP16" s="499"/>
      <c r="AQ16" s="499"/>
      <c r="AR16" s="497" t="e">
        <f t="shared" si="13"/>
        <v>#N/A</v>
      </c>
      <c r="AS16" s="682"/>
      <c r="AT16" s="495"/>
      <c r="AU16" s="416"/>
      <c r="AV16" s="416"/>
      <c r="AW16" s="497" t="e">
        <f t="shared" si="15"/>
        <v>#N/A</v>
      </c>
      <c r="AX16" s="682"/>
      <c r="AZ16" s="399" t="e">
        <f t="shared" si="17"/>
        <v>#N/A</v>
      </c>
      <c r="BA16" s="682"/>
    </row>
    <row r="17" spans="2:53">
      <c r="B17" s="668"/>
      <c r="C17" s="409">
        <v>11</v>
      </c>
      <c r="D17" s="225"/>
      <c r="E17" s="416"/>
      <c r="F17" s="495"/>
      <c r="G17" s="496"/>
      <c r="H17" s="686"/>
      <c r="I17" s="413" t="str">
        <f t="shared" si="0"/>
        <v>-</v>
      </c>
      <c r="J17" s="413" t="str">
        <f t="shared" si="1"/>
        <v>-</v>
      </c>
      <c r="K17" s="199" t="str">
        <f t="shared" si="2"/>
        <v>-</v>
      </c>
      <c r="L17" s="617"/>
      <c r="M17" s="415" t="e">
        <f>RANK(K17, K$7:$K$21)</f>
        <v>#VALUE!</v>
      </c>
      <c r="N17" s="635"/>
      <c r="O17" s="635"/>
      <c r="P17" s="497"/>
      <c r="Q17" s="499"/>
      <c r="R17" s="499"/>
      <c r="S17" s="497" t="e">
        <f t="shared" si="3"/>
        <v>#N/A</v>
      </c>
      <c r="T17" s="682"/>
      <c r="U17" s="497"/>
      <c r="V17" s="499"/>
      <c r="W17" s="499"/>
      <c r="X17" s="497" t="e">
        <f t="shared" si="5"/>
        <v>#N/A</v>
      </c>
      <c r="Y17" s="682"/>
      <c r="Z17" s="497"/>
      <c r="AA17" s="499"/>
      <c r="AB17" s="499"/>
      <c r="AC17" s="497" t="e">
        <f t="shared" si="7"/>
        <v>#N/A</v>
      </c>
      <c r="AD17" s="682"/>
      <c r="AE17" s="497"/>
      <c r="AF17" s="499"/>
      <c r="AG17" s="499"/>
      <c r="AH17" s="497" t="e">
        <f t="shared" si="9"/>
        <v>#N/A</v>
      </c>
      <c r="AI17" s="682"/>
      <c r="AJ17" s="497"/>
      <c r="AK17" s="499"/>
      <c r="AL17" s="499"/>
      <c r="AM17" s="497" t="e">
        <f t="shared" si="11"/>
        <v>#N/A</v>
      </c>
      <c r="AN17" s="682"/>
      <c r="AO17" s="497"/>
      <c r="AP17" s="499"/>
      <c r="AQ17" s="499"/>
      <c r="AR17" s="497" t="e">
        <f t="shared" si="13"/>
        <v>#N/A</v>
      </c>
      <c r="AS17" s="682"/>
      <c r="AT17" s="495"/>
      <c r="AU17" s="416"/>
      <c r="AV17" s="416"/>
      <c r="AW17" s="497" t="e">
        <f t="shared" si="15"/>
        <v>#N/A</v>
      </c>
      <c r="AX17" s="682"/>
      <c r="AZ17" s="399" t="e">
        <f t="shared" si="17"/>
        <v>#N/A</v>
      </c>
      <c r="BA17" s="682"/>
    </row>
    <row r="18" spans="2:53">
      <c r="B18" s="668"/>
      <c r="C18" s="409">
        <v>12</v>
      </c>
      <c r="D18" s="225"/>
      <c r="E18" s="416"/>
      <c r="F18" s="495"/>
      <c r="G18" s="496"/>
      <c r="H18" s="686"/>
      <c r="I18" s="413" t="str">
        <f t="shared" si="0"/>
        <v>-</v>
      </c>
      <c r="J18" s="413" t="str">
        <f t="shared" si="1"/>
        <v>-</v>
      </c>
      <c r="K18" s="199" t="str">
        <f t="shared" si="2"/>
        <v>-</v>
      </c>
      <c r="L18" s="617"/>
      <c r="M18" s="415" t="e">
        <f>RANK(K18, K$7:$K$21)</f>
        <v>#VALUE!</v>
      </c>
      <c r="N18" s="635"/>
      <c r="O18" s="635"/>
      <c r="P18" s="497"/>
      <c r="Q18" s="499"/>
      <c r="R18" s="499"/>
      <c r="S18" s="497" t="e">
        <f t="shared" si="3"/>
        <v>#N/A</v>
      </c>
      <c r="T18" s="682"/>
      <c r="U18" s="497"/>
      <c r="V18" s="499"/>
      <c r="W18" s="499"/>
      <c r="X18" s="497" t="e">
        <f t="shared" si="5"/>
        <v>#N/A</v>
      </c>
      <c r="Y18" s="682"/>
      <c r="Z18" s="497"/>
      <c r="AA18" s="499"/>
      <c r="AB18" s="499"/>
      <c r="AC18" s="497" t="e">
        <f t="shared" si="7"/>
        <v>#N/A</v>
      </c>
      <c r="AD18" s="682"/>
      <c r="AE18" s="497"/>
      <c r="AF18" s="499"/>
      <c r="AG18" s="499"/>
      <c r="AH18" s="497" t="e">
        <f t="shared" si="9"/>
        <v>#N/A</v>
      </c>
      <c r="AI18" s="682"/>
      <c r="AJ18" s="497"/>
      <c r="AK18" s="499"/>
      <c r="AL18" s="499"/>
      <c r="AM18" s="497" t="e">
        <f t="shared" si="11"/>
        <v>#N/A</v>
      </c>
      <c r="AN18" s="682"/>
      <c r="AO18" s="497"/>
      <c r="AP18" s="499"/>
      <c r="AQ18" s="499"/>
      <c r="AR18" s="497" t="e">
        <f t="shared" si="13"/>
        <v>#N/A</v>
      </c>
      <c r="AS18" s="682"/>
      <c r="AT18" s="495"/>
      <c r="AU18" s="416"/>
      <c r="AV18" s="416"/>
      <c r="AW18" s="497" t="e">
        <f t="shared" si="15"/>
        <v>#N/A</v>
      </c>
      <c r="AX18" s="682"/>
      <c r="AZ18" s="399" t="e">
        <f t="shared" si="17"/>
        <v>#N/A</v>
      </c>
      <c r="BA18" s="682"/>
    </row>
    <row r="19" spans="2:53">
      <c r="B19" s="668"/>
      <c r="C19" s="409">
        <v>13</v>
      </c>
      <c r="D19" s="225"/>
      <c r="E19" s="416"/>
      <c r="F19" s="495"/>
      <c r="G19" s="496"/>
      <c r="H19" s="686"/>
      <c r="I19" s="413" t="str">
        <f t="shared" si="0"/>
        <v>-</v>
      </c>
      <c r="J19" s="413" t="str">
        <f t="shared" si="1"/>
        <v>-</v>
      </c>
      <c r="K19" s="199" t="str">
        <f t="shared" si="2"/>
        <v>-</v>
      </c>
      <c r="L19" s="617"/>
      <c r="M19" s="415" t="e">
        <f>RANK(K19, K$7:$K$21)</f>
        <v>#VALUE!</v>
      </c>
      <c r="N19" s="635"/>
      <c r="O19" s="635"/>
      <c r="P19" s="497"/>
      <c r="Q19" s="499"/>
      <c r="R19" s="499"/>
      <c r="S19" s="497" t="e">
        <f t="shared" si="3"/>
        <v>#N/A</v>
      </c>
      <c r="T19" s="682"/>
      <c r="U19" s="497"/>
      <c r="V19" s="499"/>
      <c r="W19" s="499"/>
      <c r="X19" s="497" t="e">
        <f t="shared" si="5"/>
        <v>#N/A</v>
      </c>
      <c r="Y19" s="682"/>
      <c r="Z19" s="497"/>
      <c r="AA19" s="499"/>
      <c r="AB19" s="499"/>
      <c r="AC19" s="497" t="e">
        <f t="shared" si="7"/>
        <v>#N/A</v>
      </c>
      <c r="AD19" s="682"/>
      <c r="AE19" s="497"/>
      <c r="AF19" s="499"/>
      <c r="AG19" s="499"/>
      <c r="AH19" s="497" t="e">
        <f t="shared" si="9"/>
        <v>#N/A</v>
      </c>
      <c r="AI19" s="682"/>
      <c r="AJ19" s="497"/>
      <c r="AK19" s="499"/>
      <c r="AL19" s="499"/>
      <c r="AM19" s="497" t="e">
        <f t="shared" si="11"/>
        <v>#N/A</v>
      </c>
      <c r="AN19" s="682"/>
      <c r="AO19" s="497"/>
      <c r="AP19" s="499"/>
      <c r="AQ19" s="499"/>
      <c r="AR19" s="497" t="e">
        <f t="shared" si="13"/>
        <v>#N/A</v>
      </c>
      <c r="AS19" s="682"/>
      <c r="AT19" s="495"/>
      <c r="AU19" s="416"/>
      <c r="AV19" s="416"/>
      <c r="AW19" s="497" t="e">
        <f t="shared" si="15"/>
        <v>#N/A</v>
      </c>
      <c r="AX19" s="682"/>
      <c r="AZ19" s="399" t="e">
        <f t="shared" si="17"/>
        <v>#N/A</v>
      </c>
      <c r="BA19" s="682"/>
    </row>
    <row r="20" spans="2:53">
      <c r="B20" s="668"/>
      <c r="C20" s="409">
        <v>14</v>
      </c>
      <c r="D20" s="225"/>
      <c r="E20" s="416"/>
      <c r="F20" s="495"/>
      <c r="G20" s="496"/>
      <c r="H20" s="686"/>
      <c r="I20" s="413" t="str">
        <f t="shared" si="0"/>
        <v>-</v>
      </c>
      <c r="J20" s="413" t="str">
        <f t="shared" si="1"/>
        <v>-</v>
      </c>
      <c r="K20" s="199" t="str">
        <f t="shared" si="2"/>
        <v>-</v>
      </c>
      <c r="L20" s="617"/>
      <c r="M20" s="415" t="e">
        <f>RANK(K20, K$7:$K$21)</f>
        <v>#VALUE!</v>
      </c>
      <c r="N20" s="635"/>
      <c r="O20" s="635"/>
      <c r="P20" s="497"/>
      <c r="Q20" s="499"/>
      <c r="R20" s="499"/>
      <c r="S20" s="497" t="e">
        <f t="shared" si="3"/>
        <v>#N/A</v>
      </c>
      <c r="T20" s="682"/>
      <c r="U20" s="497"/>
      <c r="V20" s="499"/>
      <c r="W20" s="499"/>
      <c r="X20" s="497" t="e">
        <f t="shared" si="5"/>
        <v>#N/A</v>
      </c>
      <c r="Y20" s="682"/>
      <c r="Z20" s="497"/>
      <c r="AA20" s="499"/>
      <c r="AB20" s="499"/>
      <c r="AC20" s="497" t="e">
        <f t="shared" si="7"/>
        <v>#N/A</v>
      </c>
      <c r="AD20" s="682"/>
      <c r="AE20" s="497"/>
      <c r="AF20" s="499"/>
      <c r="AG20" s="499"/>
      <c r="AH20" s="497" t="e">
        <f t="shared" si="9"/>
        <v>#N/A</v>
      </c>
      <c r="AI20" s="682"/>
      <c r="AJ20" s="497"/>
      <c r="AK20" s="499"/>
      <c r="AL20" s="499"/>
      <c r="AM20" s="497" t="e">
        <f t="shared" si="11"/>
        <v>#N/A</v>
      </c>
      <c r="AN20" s="682"/>
      <c r="AO20" s="497"/>
      <c r="AP20" s="499"/>
      <c r="AQ20" s="499"/>
      <c r="AR20" s="497" t="e">
        <f t="shared" si="13"/>
        <v>#N/A</v>
      </c>
      <c r="AS20" s="682"/>
      <c r="AT20" s="495"/>
      <c r="AU20" s="416"/>
      <c r="AV20" s="416"/>
      <c r="AW20" s="497" t="e">
        <f t="shared" si="15"/>
        <v>#N/A</v>
      </c>
      <c r="AX20" s="682"/>
      <c r="AZ20" s="399" t="e">
        <f t="shared" si="17"/>
        <v>#N/A</v>
      </c>
      <c r="BA20" s="682"/>
    </row>
    <row r="21" spans="2:53">
      <c r="B21" s="668"/>
      <c r="C21" s="409">
        <v>15</v>
      </c>
      <c r="D21" s="225"/>
      <c r="E21" s="416"/>
      <c r="F21" s="495"/>
      <c r="G21" s="496"/>
      <c r="H21" s="687"/>
      <c r="I21" s="411"/>
      <c r="J21" s="411"/>
      <c r="K21" s="411"/>
      <c r="L21" s="618"/>
      <c r="M21" s="415" t="e">
        <f>RANK(K21, K$7:$K$21)</f>
        <v>#N/A</v>
      </c>
      <c r="N21" s="635"/>
      <c r="O21" s="635"/>
      <c r="P21" s="497"/>
      <c r="Q21" s="499"/>
      <c r="R21" s="499"/>
      <c r="S21" s="497" t="e">
        <f t="shared" si="3"/>
        <v>#N/A</v>
      </c>
      <c r="T21" s="682"/>
      <c r="U21" s="497"/>
      <c r="V21" s="499"/>
      <c r="W21" s="499"/>
      <c r="X21" s="497" t="e">
        <f t="shared" si="5"/>
        <v>#N/A</v>
      </c>
      <c r="Y21" s="682"/>
      <c r="Z21" s="497"/>
      <c r="AA21" s="499"/>
      <c r="AB21" s="499"/>
      <c r="AC21" s="497" t="e">
        <f t="shared" si="7"/>
        <v>#N/A</v>
      </c>
      <c r="AD21" s="682"/>
      <c r="AE21" s="497"/>
      <c r="AF21" s="499"/>
      <c r="AG21" s="499"/>
      <c r="AH21" s="497" t="e">
        <f t="shared" si="9"/>
        <v>#N/A</v>
      </c>
      <c r="AI21" s="682"/>
      <c r="AJ21" s="497"/>
      <c r="AK21" s="499"/>
      <c r="AL21" s="499"/>
      <c r="AM21" s="497" t="e">
        <f t="shared" si="11"/>
        <v>#N/A</v>
      </c>
      <c r="AN21" s="682"/>
      <c r="AO21" s="497"/>
      <c r="AP21" s="499"/>
      <c r="AQ21" s="499"/>
      <c r="AR21" s="497" t="e">
        <f t="shared" si="13"/>
        <v>#N/A</v>
      </c>
      <c r="AS21" s="682"/>
      <c r="AT21" s="495"/>
      <c r="AU21" s="416"/>
      <c r="AV21" s="416"/>
      <c r="AW21" s="497" t="e">
        <f t="shared" si="15"/>
        <v>#N/A</v>
      </c>
      <c r="AX21" s="682"/>
      <c r="AZ21" s="399" t="e">
        <f t="shared" si="17"/>
        <v>#N/A</v>
      </c>
      <c r="BA21" s="682"/>
    </row>
    <row r="22" spans="2:53" ht="15.75">
      <c r="B22" s="661" t="s">
        <v>163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36" t="s">
        <v>156</v>
      </c>
      <c r="O22" s="636" t="s">
        <v>105</v>
      </c>
      <c r="P22" s="642">
        <f>P2+7</f>
        <v>46175</v>
      </c>
      <c r="Q22" s="643"/>
      <c r="R22" s="643"/>
      <c r="S22" s="643"/>
      <c r="T22" s="643"/>
      <c r="U22" s="639">
        <f>P22+1</f>
        <v>46176</v>
      </c>
      <c r="V22" s="640"/>
      <c r="W22" s="640"/>
      <c r="X22" s="640"/>
      <c r="Y22" s="641"/>
      <c r="Z22" s="639">
        <f>U22+1</f>
        <v>46177</v>
      </c>
      <c r="AA22" s="640"/>
      <c r="AB22" s="640"/>
      <c r="AC22" s="640"/>
      <c r="AD22" s="641"/>
      <c r="AE22" s="639">
        <f>Z22+1</f>
        <v>46178</v>
      </c>
      <c r="AF22" s="640"/>
      <c r="AG22" s="640"/>
      <c r="AH22" s="640"/>
      <c r="AI22" s="641"/>
      <c r="AJ22" s="639">
        <f>AE22+1</f>
        <v>46179</v>
      </c>
      <c r="AK22" s="640"/>
      <c r="AL22" s="640"/>
      <c r="AM22" s="640"/>
      <c r="AN22" s="641"/>
      <c r="AO22" s="639">
        <f>AJ22+1</f>
        <v>46180</v>
      </c>
      <c r="AP22" s="640"/>
      <c r="AQ22" s="640"/>
      <c r="AR22" s="640"/>
      <c r="AS22" s="641"/>
      <c r="AT22" s="639">
        <f>AO22+1</f>
        <v>46181</v>
      </c>
      <c r="AU22" s="640"/>
      <c r="AV22" s="640"/>
      <c r="AW22" s="640"/>
      <c r="AX22" s="641"/>
    </row>
    <row r="23" spans="2:53" ht="15.75">
      <c r="B23" s="650"/>
      <c r="C23" s="650"/>
      <c r="D23" s="650"/>
      <c r="E23" s="650"/>
      <c r="F23" s="650"/>
      <c r="G23" s="650"/>
      <c r="H23" s="650"/>
      <c r="I23" s="204"/>
      <c r="J23" s="204"/>
      <c r="K23" s="204"/>
      <c r="L23" s="204"/>
      <c r="M23" s="205"/>
      <c r="N23" s="638"/>
      <c r="O23" s="638"/>
      <c r="P23" s="642" t="s">
        <v>318</v>
      </c>
      <c r="Q23" s="643"/>
      <c r="R23" s="643"/>
      <c r="S23" s="643"/>
      <c r="T23" s="643"/>
      <c r="U23" s="642" t="s">
        <v>319</v>
      </c>
      <c r="V23" s="643"/>
      <c r="W23" s="643"/>
      <c r="X23" s="643"/>
      <c r="Y23" s="643"/>
      <c r="Z23" s="642" t="s">
        <v>320</v>
      </c>
      <c r="AA23" s="643"/>
      <c r="AB23" s="643"/>
      <c r="AC23" s="643"/>
      <c r="AD23" s="643"/>
      <c r="AE23" s="642" t="s">
        <v>321</v>
      </c>
      <c r="AF23" s="643"/>
      <c r="AG23" s="643"/>
      <c r="AH23" s="643"/>
      <c r="AI23" s="643"/>
      <c r="AJ23" s="642" t="s">
        <v>322</v>
      </c>
      <c r="AK23" s="643"/>
      <c r="AL23" s="643"/>
      <c r="AM23" s="643"/>
      <c r="AN23" s="643"/>
      <c r="AO23" s="642" t="s">
        <v>323</v>
      </c>
      <c r="AP23" s="643"/>
      <c r="AQ23" s="643"/>
      <c r="AR23" s="643"/>
      <c r="AS23" s="643"/>
      <c r="AT23" s="642" t="s">
        <v>324</v>
      </c>
      <c r="AU23" s="643"/>
      <c r="AV23" s="643"/>
      <c r="AW23" s="643"/>
      <c r="AX23" s="643"/>
    </row>
    <row r="24" spans="2:53">
      <c r="B24" s="635" t="s">
        <v>154</v>
      </c>
      <c r="C24" s="635" t="s">
        <v>549</v>
      </c>
      <c r="D24" s="635"/>
      <c r="E24" s="635" t="s">
        <v>550</v>
      </c>
      <c r="F24" s="635"/>
      <c r="G24" s="635"/>
      <c r="H24" s="651" t="s">
        <v>551</v>
      </c>
      <c r="I24" s="635" t="s">
        <v>552</v>
      </c>
      <c r="J24" s="635"/>
      <c r="K24" s="635"/>
      <c r="L24" s="651" t="s">
        <v>371</v>
      </c>
      <c r="M24" s="636" t="s">
        <v>553</v>
      </c>
      <c r="N24" s="635"/>
      <c r="O24" s="635" t="s">
        <v>377</v>
      </c>
      <c r="P24" s="632" t="s">
        <v>373</v>
      </c>
      <c r="Q24" s="633"/>
      <c r="R24" s="633"/>
      <c r="S24" s="634"/>
      <c r="T24" s="635" t="s">
        <v>371</v>
      </c>
      <c r="U24" s="632" t="s">
        <v>373</v>
      </c>
      <c r="V24" s="633"/>
      <c r="W24" s="633"/>
      <c r="X24" s="634"/>
      <c r="Y24" s="635" t="s">
        <v>371</v>
      </c>
      <c r="Z24" s="632" t="s">
        <v>373</v>
      </c>
      <c r="AA24" s="633"/>
      <c r="AB24" s="633"/>
      <c r="AC24" s="634"/>
      <c r="AD24" s="635" t="s">
        <v>371</v>
      </c>
      <c r="AE24" s="632" t="s">
        <v>373</v>
      </c>
      <c r="AF24" s="633"/>
      <c r="AG24" s="633"/>
      <c r="AH24" s="634"/>
      <c r="AI24" s="635" t="s">
        <v>371</v>
      </c>
      <c r="AJ24" s="632" t="s">
        <v>373</v>
      </c>
      <c r="AK24" s="633"/>
      <c r="AL24" s="633"/>
      <c r="AM24" s="634"/>
      <c r="AN24" s="635" t="s">
        <v>371</v>
      </c>
      <c r="AO24" s="632" t="s">
        <v>373</v>
      </c>
      <c r="AP24" s="633"/>
      <c r="AQ24" s="633"/>
      <c r="AR24" s="634"/>
      <c r="AS24" s="635" t="s">
        <v>371</v>
      </c>
      <c r="AT24" s="632" t="s">
        <v>373</v>
      </c>
      <c r="AU24" s="633"/>
      <c r="AV24" s="633"/>
      <c r="AW24" s="634"/>
      <c r="AX24" s="635" t="s">
        <v>371</v>
      </c>
      <c r="BA24" s="635" t="s">
        <v>371</v>
      </c>
    </row>
    <row r="25" spans="2:53">
      <c r="B25" s="635"/>
      <c r="C25" s="635"/>
      <c r="D25" s="635"/>
      <c r="E25" s="635" t="s">
        <v>555</v>
      </c>
      <c r="F25" s="635"/>
      <c r="G25" s="635"/>
      <c r="H25" s="652"/>
      <c r="I25" s="635" t="s">
        <v>555</v>
      </c>
      <c r="J25" s="635"/>
      <c r="K25" s="635"/>
      <c r="L25" s="652"/>
      <c r="M25" s="637"/>
      <c r="N25" s="635"/>
      <c r="O25" s="635"/>
      <c r="P25" s="632" t="s">
        <v>379</v>
      </c>
      <c r="Q25" s="633"/>
      <c r="R25" s="633"/>
      <c r="S25" s="634"/>
      <c r="T25" s="635"/>
      <c r="U25" s="632" t="s">
        <v>379</v>
      </c>
      <c r="V25" s="633"/>
      <c r="W25" s="633"/>
      <c r="X25" s="634"/>
      <c r="Y25" s="635"/>
      <c r="Z25" s="632" t="s">
        <v>379</v>
      </c>
      <c r="AA25" s="633"/>
      <c r="AB25" s="633"/>
      <c r="AC25" s="634"/>
      <c r="AD25" s="635"/>
      <c r="AE25" s="632" t="s">
        <v>379</v>
      </c>
      <c r="AF25" s="633"/>
      <c r="AG25" s="633"/>
      <c r="AH25" s="634"/>
      <c r="AI25" s="635"/>
      <c r="AJ25" s="632" t="s">
        <v>379</v>
      </c>
      <c r="AK25" s="633"/>
      <c r="AL25" s="633"/>
      <c r="AM25" s="634"/>
      <c r="AN25" s="635"/>
      <c r="AO25" s="632" t="s">
        <v>379</v>
      </c>
      <c r="AP25" s="633"/>
      <c r="AQ25" s="633"/>
      <c r="AR25" s="634"/>
      <c r="AS25" s="635"/>
      <c r="AT25" s="632" t="s">
        <v>379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408" t="s">
        <v>556</v>
      </c>
      <c r="F26" s="408" t="s">
        <v>557</v>
      </c>
      <c r="G26" s="408" t="s">
        <v>558</v>
      </c>
      <c r="H26" s="653"/>
      <c r="I26" s="408" t="s">
        <v>556</v>
      </c>
      <c r="J26" s="408" t="s">
        <v>557</v>
      </c>
      <c r="K26" s="408" t="s">
        <v>558</v>
      </c>
      <c r="L26" s="653"/>
      <c r="M26" s="638"/>
      <c r="N26" s="635"/>
      <c r="O26" s="635"/>
      <c r="P26" s="408" t="s">
        <v>380</v>
      </c>
      <c r="Q26" s="408" t="s">
        <v>381</v>
      </c>
      <c r="R26" s="408" t="s">
        <v>382</v>
      </c>
      <c r="S26" s="408" t="s">
        <v>372</v>
      </c>
      <c r="T26" s="635"/>
      <c r="U26" s="408" t="s">
        <v>380</v>
      </c>
      <c r="V26" s="408" t="s">
        <v>381</v>
      </c>
      <c r="W26" s="408" t="s">
        <v>382</v>
      </c>
      <c r="X26" s="408" t="s">
        <v>372</v>
      </c>
      <c r="Y26" s="635"/>
      <c r="Z26" s="408" t="s">
        <v>380</v>
      </c>
      <c r="AA26" s="408" t="s">
        <v>381</v>
      </c>
      <c r="AB26" s="408" t="s">
        <v>382</v>
      </c>
      <c r="AC26" s="408" t="s">
        <v>372</v>
      </c>
      <c r="AD26" s="635"/>
      <c r="AE26" s="408" t="s">
        <v>380</v>
      </c>
      <c r="AF26" s="408" t="s">
        <v>381</v>
      </c>
      <c r="AG26" s="408" t="s">
        <v>382</v>
      </c>
      <c r="AH26" s="408" t="s">
        <v>372</v>
      </c>
      <c r="AI26" s="635"/>
      <c r="AJ26" s="408" t="s">
        <v>380</v>
      </c>
      <c r="AK26" s="408" t="s">
        <v>381</v>
      </c>
      <c r="AL26" s="408" t="s">
        <v>382</v>
      </c>
      <c r="AM26" s="408" t="s">
        <v>372</v>
      </c>
      <c r="AN26" s="635"/>
      <c r="AO26" s="408" t="s">
        <v>380</v>
      </c>
      <c r="AP26" s="408" t="s">
        <v>381</v>
      </c>
      <c r="AQ26" s="408" t="s">
        <v>382</v>
      </c>
      <c r="AR26" s="408" t="s">
        <v>372</v>
      </c>
      <c r="AS26" s="635"/>
      <c r="AT26" s="408" t="s">
        <v>380</v>
      </c>
      <c r="AU26" s="408" t="s">
        <v>381</v>
      </c>
      <c r="AV26" s="408" t="s">
        <v>382</v>
      </c>
      <c r="AW26" s="408" t="s">
        <v>372</v>
      </c>
      <c r="AX26" s="635"/>
      <c r="AZ26" s="397" t="s">
        <v>372</v>
      </c>
      <c r="BA26" s="635"/>
    </row>
    <row r="27" spans="2:53">
      <c r="B27" s="635" t="s">
        <v>450</v>
      </c>
      <c r="C27" s="411">
        <v>1</v>
      </c>
      <c r="D27" s="225" t="s">
        <v>354</v>
      </c>
      <c r="E27" s="416">
        <v>20</v>
      </c>
      <c r="F27" s="409">
        <v>2400</v>
      </c>
      <c r="G27" s="410">
        <v>120</v>
      </c>
      <c r="H27" s="679">
        <f>AVERAGE(G27:G41)</f>
        <v>142.42621259029926</v>
      </c>
      <c r="I27" s="413">
        <f t="shared" ref="I27:I40" si="19">IFERROR(AVERAGE(P27,U27,Z27,AE27,AJ27,AO27,AT27),"-")</f>
        <v>20</v>
      </c>
      <c r="J27" s="413">
        <f t="shared" ref="J27:J40" si="20">IFERROR(AVERAGE(Q27,V27,AA27,AF27,AK27,AP27,AU27),"-")</f>
        <v>2348.7786677014124</v>
      </c>
      <c r="K27" s="199">
        <f t="shared" ref="K27:K40" si="21">IFERROR(AVERAGE(R27,W27,AB27,AG27,AL27,AQ27,AV27),"-")</f>
        <v>117.43893338507063</v>
      </c>
      <c r="L27" s="616">
        <f>IFERROR(AVERAGE(K27:K41),"-")</f>
        <v>129.42800050234527</v>
      </c>
      <c r="M27" s="417">
        <f>RANK(K27, K$24:$K$41)</f>
        <v>9</v>
      </c>
      <c r="N27" s="635"/>
      <c r="O27" s="635"/>
      <c r="P27" s="539">
        <v>20</v>
      </c>
      <c r="Q27" s="416">
        <v>2399.1366906474818</v>
      </c>
      <c r="R27" s="416">
        <v>119.95683453237409</v>
      </c>
      <c r="S27" s="539">
        <f t="shared" ref="S27:S41" si="22">RANK(R27, R$27:R$41)</f>
        <v>9</v>
      </c>
      <c r="T27" s="644">
        <f t="shared" ref="T27" si="23">AVERAGE(R27:R41)</f>
        <v>132.98318471673795</v>
      </c>
      <c r="U27" s="539">
        <v>20</v>
      </c>
      <c r="V27" s="416">
        <v>2392.7222222222226</v>
      </c>
      <c r="W27" s="416">
        <v>119.63611111111113</v>
      </c>
      <c r="X27" s="539">
        <f t="shared" ref="X27:X41" si="24">RANK(W27, W$27:W$41)</f>
        <v>9</v>
      </c>
      <c r="Y27" s="644">
        <f t="shared" ref="Y27" si="25">AVERAGE(W27:W41)</f>
        <v>132.14631433006139</v>
      </c>
      <c r="Z27" s="539">
        <v>20</v>
      </c>
      <c r="AA27" s="416">
        <v>2341.6748466257673</v>
      </c>
      <c r="AB27" s="416">
        <v>117.08374233128836</v>
      </c>
      <c r="AC27" s="539">
        <f t="shared" ref="AC27:AC41" si="26">RANK(AB27, AB$27:AB$41)</f>
        <v>10</v>
      </c>
      <c r="AD27" s="644">
        <f t="shared" ref="AD27" si="27">AVERAGE(AB27:AB41)</f>
        <v>127.8615215874614</v>
      </c>
      <c r="AE27" s="539">
        <v>20</v>
      </c>
      <c r="AF27" s="416">
        <v>2312.3310810810822</v>
      </c>
      <c r="AG27" s="416">
        <v>115.61655405405411</v>
      </c>
      <c r="AH27" s="539">
        <f t="shared" ref="AH27:AH41" si="28">RANK(AG27, AG$27:AG$41)</f>
        <v>9</v>
      </c>
      <c r="AI27" s="644">
        <f t="shared" ref="AI27" si="29">AVERAGE(AG27:AG41)</f>
        <v>128.32179929846319</v>
      </c>
      <c r="AJ27" s="539">
        <v>20</v>
      </c>
      <c r="AK27" s="416">
        <v>2354.0833333333339</v>
      </c>
      <c r="AL27" s="416">
        <v>117.70416666666669</v>
      </c>
      <c r="AM27" s="539">
        <f t="shared" ref="AM27:AM41" si="30">RANK(AL27, AL$27:AL$41)</f>
        <v>9</v>
      </c>
      <c r="AN27" s="644">
        <f t="shared" ref="AN27" si="31">AVERAGE(AL27:AL41)</f>
        <v>129.14970123892655</v>
      </c>
      <c r="AO27" s="539">
        <v>20</v>
      </c>
      <c r="AP27" s="416">
        <v>2343.8399999999997</v>
      </c>
      <c r="AQ27" s="416">
        <v>117.19199999999998</v>
      </c>
      <c r="AR27" s="539">
        <f t="shared" ref="AR27:AR41" si="32">RANK(AQ27, AQ$27:AQ$41)</f>
        <v>9</v>
      </c>
      <c r="AS27" s="644">
        <f t="shared" ref="AS27" si="33">AVERAGE(AQ27:AQ41)</f>
        <v>127.7637299151319</v>
      </c>
      <c r="AT27" s="539">
        <v>20</v>
      </c>
      <c r="AU27" s="416">
        <v>2297.6624999999999</v>
      </c>
      <c r="AV27" s="416">
        <v>114.88312499999999</v>
      </c>
      <c r="AW27" s="539">
        <f t="shared" ref="AW27:AW41" si="34">RANK(AV27, AV$27:AV$41)</f>
        <v>9</v>
      </c>
      <c r="AX27" s="644">
        <f t="shared" ref="AX27" si="35">AVERAGE(AV27:AV41)</f>
        <v>127.76975242963439</v>
      </c>
      <c r="AZ27" s="398" t="e">
        <f t="shared" ref="AZ27:AZ41" si="36">RANK(AY27, AY$27:AY$41)</f>
        <v>#N/A</v>
      </c>
      <c r="BA27" s="644" t="e">
        <f t="shared" ref="BA27" si="37">AVERAGE(AY27:AY41)</f>
        <v>#DIV/0!</v>
      </c>
    </row>
    <row r="28" spans="2:53">
      <c r="B28" s="643"/>
      <c r="C28" s="411">
        <v>2</v>
      </c>
      <c r="D28" s="225" t="s">
        <v>355</v>
      </c>
      <c r="E28" s="416">
        <v>18</v>
      </c>
      <c r="F28" s="409">
        <v>2700</v>
      </c>
      <c r="G28" s="410">
        <v>150</v>
      </c>
      <c r="H28" s="680"/>
      <c r="I28" s="413">
        <f t="shared" si="19"/>
        <v>19</v>
      </c>
      <c r="J28" s="413">
        <f t="shared" si="20"/>
        <v>2621.0536369859715</v>
      </c>
      <c r="K28" s="199">
        <f t="shared" si="21"/>
        <v>137.95019142031427</v>
      </c>
      <c r="L28" s="617"/>
      <c r="M28" s="420">
        <f>RANK(K28, K$24:$K$41)</f>
        <v>4</v>
      </c>
      <c r="N28" s="635"/>
      <c r="O28" s="635"/>
      <c r="P28" s="539">
        <v>19</v>
      </c>
      <c r="Q28" s="416">
        <v>2664.7499999999991</v>
      </c>
      <c r="R28" s="416">
        <v>140.24999999999994</v>
      </c>
      <c r="S28" s="539">
        <f t="shared" si="22"/>
        <v>4</v>
      </c>
      <c r="T28" s="645"/>
      <c r="U28" s="539">
        <v>19</v>
      </c>
      <c r="V28" s="416">
        <v>2679.6923076923067</v>
      </c>
      <c r="W28" s="416">
        <v>141.03643724696352</v>
      </c>
      <c r="X28" s="539">
        <f t="shared" si="24"/>
        <v>4</v>
      </c>
      <c r="Y28" s="645"/>
      <c r="Z28" s="539">
        <v>19</v>
      </c>
      <c r="AA28" s="416">
        <v>2613.4883720930256</v>
      </c>
      <c r="AB28" s="416">
        <v>137.55201958384345</v>
      </c>
      <c r="AC28" s="539">
        <f t="shared" si="26"/>
        <v>3</v>
      </c>
      <c r="AD28" s="645"/>
      <c r="AE28" s="539">
        <v>19</v>
      </c>
      <c r="AF28" s="416">
        <v>2610.3614457831318</v>
      </c>
      <c r="AG28" s="416">
        <v>137.38744451490166</v>
      </c>
      <c r="AH28" s="539">
        <f t="shared" si="28"/>
        <v>4</v>
      </c>
      <c r="AI28" s="645"/>
      <c r="AJ28" s="539">
        <v>19</v>
      </c>
      <c r="AK28" s="416">
        <v>2588.2500000000014</v>
      </c>
      <c r="AL28" s="416">
        <v>136.22368421052639</v>
      </c>
      <c r="AM28" s="539">
        <f t="shared" si="30"/>
        <v>4</v>
      </c>
      <c r="AN28" s="645"/>
      <c r="AO28" s="539">
        <v>19</v>
      </c>
      <c r="AP28" s="416">
        <v>2579.9999999999986</v>
      </c>
      <c r="AQ28" s="416">
        <v>135.78947368421046</v>
      </c>
      <c r="AR28" s="539">
        <f t="shared" si="32"/>
        <v>4</v>
      </c>
      <c r="AS28" s="645"/>
      <c r="AT28" s="539">
        <v>19</v>
      </c>
      <c r="AU28" s="416">
        <v>2610.8333333333339</v>
      </c>
      <c r="AV28" s="416">
        <v>137.41228070175441</v>
      </c>
      <c r="AW28" s="539">
        <f t="shared" si="34"/>
        <v>4</v>
      </c>
      <c r="AX28" s="645"/>
      <c r="AZ28" s="398" t="e">
        <f t="shared" si="36"/>
        <v>#N/A</v>
      </c>
      <c r="BA28" s="645"/>
    </row>
    <row r="29" spans="2:53">
      <c r="B29" s="643"/>
      <c r="C29" s="411">
        <v>3</v>
      </c>
      <c r="D29" s="225" t="s">
        <v>356</v>
      </c>
      <c r="E29" s="416">
        <v>18</v>
      </c>
      <c r="F29" s="409">
        <v>2700</v>
      </c>
      <c r="G29" s="410">
        <v>150</v>
      </c>
      <c r="H29" s="680"/>
      <c r="I29" s="413">
        <f t="shared" si="19"/>
        <v>18.857142857142858</v>
      </c>
      <c r="J29" s="413">
        <f t="shared" si="20"/>
        <v>2441.516798202495</v>
      </c>
      <c r="K29" s="199">
        <f t="shared" si="21"/>
        <v>129.49433997779772</v>
      </c>
      <c r="L29" s="617"/>
      <c r="M29" s="420">
        <f>RANK(K29, K$24:$K$41)</f>
        <v>5</v>
      </c>
      <c r="N29" s="635"/>
      <c r="O29" s="635"/>
      <c r="P29" s="539">
        <v>19</v>
      </c>
      <c r="Q29" s="416">
        <v>2626.6666666666656</v>
      </c>
      <c r="R29" s="416">
        <v>138.24561403508767</v>
      </c>
      <c r="S29" s="539">
        <f t="shared" si="22"/>
        <v>5</v>
      </c>
      <c r="T29" s="645"/>
      <c r="U29" s="539">
        <v>19</v>
      </c>
      <c r="V29" s="416">
        <v>2487.3684210526303</v>
      </c>
      <c r="W29" s="416">
        <v>130.91412742382263</v>
      </c>
      <c r="X29" s="539">
        <f t="shared" si="24"/>
        <v>5</v>
      </c>
      <c r="Y29" s="645"/>
      <c r="Z29" s="539">
        <v>19</v>
      </c>
      <c r="AA29" s="416">
        <v>2377.9816513761484</v>
      </c>
      <c r="AB29" s="416">
        <v>125.15692901979729</v>
      </c>
      <c r="AC29" s="539">
        <f t="shared" si="26"/>
        <v>5</v>
      </c>
      <c r="AD29" s="645"/>
      <c r="AE29" s="539">
        <v>19</v>
      </c>
      <c r="AF29" s="416">
        <v>2426.8965517241363</v>
      </c>
      <c r="AG29" s="416">
        <v>127.73139745916507</v>
      </c>
      <c r="AH29" s="539">
        <f t="shared" si="28"/>
        <v>5</v>
      </c>
      <c r="AI29" s="645"/>
      <c r="AJ29" s="539">
        <v>18</v>
      </c>
      <c r="AK29" s="416">
        <v>2378.3333333333344</v>
      </c>
      <c r="AL29" s="416">
        <v>132.12962962962968</v>
      </c>
      <c r="AM29" s="539">
        <f t="shared" si="30"/>
        <v>5</v>
      </c>
      <c r="AN29" s="645"/>
      <c r="AO29" s="539">
        <v>19</v>
      </c>
      <c r="AP29" s="416">
        <v>2391.5887850467302</v>
      </c>
      <c r="AQ29" s="416">
        <v>125.8730939498279</v>
      </c>
      <c r="AR29" s="539">
        <f t="shared" si="32"/>
        <v>5</v>
      </c>
      <c r="AS29" s="645"/>
      <c r="AT29" s="539">
        <v>19</v>
      </c>
      <c r="AU29" s="416">
        <v>2401.7821782178225</v>
      </c>
      <c r="AV29" s="416">
        <v>126.40958832725381</v>
      </c>
      <c r="AW29" s="539">
        <f t="shared" si="34"/>
        <v>6</v>
      </c>
      <c r="AX29" s="645"/>
      <c r="AZ29" s="398" t="e">
        <f t="shared" si="36"/>
        <v>#N/A</v>
      </c>
      <c r="BA29" s="645"/>
    </row>
    <row r="30" spans="2:53">
      <c r="B30" s="643"/>
      <c r="C30" s="411">
        <v>4</v>
      </c>
      <c r="D30" s="225" t="s">
        <v>357</v>
      </c>
      <c r="E30" s="416">
        <v>19</v>
      </c>
      <c r="F30" s="409">
        <v>2700</v>
      </c>
      <c r="G30" s="410">
        <v>142.10526315789474</v>
      </c>
      <c r="H30" s="680"/>
      <c r="I30" s="413">
        <f t="shared" si="19"/>
        <v>19.142857142857142</v>
      </c>
      <c r="J30" s="413">
        <f t="shared" si="20"/>
        <v>2425.2870825029399</v>
      </c>
      <c r="K30" s="199">
        <f t="shared" si="21"/>
        <v>126.65613775719272</v>
      </c>
      <c r="L30" s="617"/>
      <c r="M30" s="420">
        <f>RANK(K30, K$24:$K$41)</f>
        <v>6</v>
      </c>
      <c r="N30" s="635"/>
      <c r="O30" s="635"/>
      <c r="P30" s="539">
        <v>20</v>
      </c>
      <c r="Q30" s="416">
        <v>2634.8651162790698</v>
      </c>
      <c r="R30" s="416">
        <v>131.74325581395348</v>
      </c>
      <c r="S30" s="539">
        <f t="shared" si="22"/>
        <v>6</v>
      </c>
      <c r="T30" s="645"/>
      <c r="U30" s="539">
        <v>19</v>
      </c>
      <c r="V30" s="416">
        <v>2431.9672131147536</v>
      </c>
      <c r="W30" s="416">
        <v>127.99827437446072</v>
      </c>
      <c r="X30" s="539">
        <f t="shared" si="24"/>
        <v>6</v>
      </c>
      <c r="Y30" s="645"/>
      <c r="Z30" s="539">
        <v>19</v>
      </c>
      <c r="AA30" s="416">
        <v>2346.8571428571422</v>
      </c>
      <c r="AB30" s="416">
        <v>123.51879699248117</v>
      </c>
      <c r="AC30" s="539">
        <f t="shared" si="26"/>
        <v>6</v>
      </c>
      <c r="AD30" s="645"/>
      <c r="AE30" s="539">
        <v>19</v>
      </c>
      <c r="AF30" s="416">
        <v>2377.1098265895962</v>
      </c>
      <c r="AG30" s="416">
        <v>125.1110435047156</v>
      </c>
      <c r="AH30" s="539">
        <f t="shared" si="28"/>
        <v>6</v>
      </c>
      <c r="AI30" s="645"/>
      <c r="AJ30" s="539">
        <v>19</v>
      </c>
      <c r="AK30" s="416">
        <v>2384.4303797468369</v>
      </c>
      <c r="AL30" s="416">
        <v>125.49633577614931</v>
      </c>
      <c r="AM30" s="539">
        <f t="shared" si="30"/>
        <v>6</v>
      </c>
      <c r="AN30" s="645"/>
      <c r="AO30" s="539">
        <v>19</v>
      </c>
      <c r="AP30" s="416">
        <v>2377.692307692309</v>
      </c>
      <c r="AQ30" s="416">
        <v>125.14170040485837</v>
      </c>
      <c r="AR30" s="539">
        <f t="shared" si="32"/>
        <v>6</v>
      </c>
      <c r="AS30" s="645"/>
      <c r="AT30" s="539">
        <v>19</v>
      </c>
      <c r="AU30" s="416">
        <v>2424.087591240876</v>
      </c>
      <c r="AV30" s="416">
        <v>127.58355743373032</v>
      </c>
      <c r="AW30" s="539">
        <f t="shared" si="34"/>
        <v>5</v>
      </c>
      <c r="AX30" s="645"/>
      <c r="AZ30" s="398" t="e">
        <f t="shared" si="36"/>
        <v>#N/A</v>
      </c>
      <c r="BA30" s="645"/>
    </row>
    <row r="31" spans="2:53">
      <c r="B31" s="643"/>
      <c r="C31" s="411">
        <v>5</v>
      </c>
      <c r="D31" s="225" t="s">
        <v>524</v>
      </c>
      <c r="E31" s="416">
        <v>17</v>
      </c>
      <c r="F31" s="409">
        <v>2250</v>
      </c>
      <c r="G31" s="410">
        <v>132.35294117647058</v>
      </c>
      <c r="H31" s="680"/>
      <c r="I31" s="413">
        <f t="shared" si="19"/>
        <v>18</v>
      </c>
      <c r="J31" s="413">
        <f t="shared" si="20"/>
        <v>2169.101015265278</v>
      </c>
      <c r="K31" s="199">
        <f t="shared" si="21"/>
        <v>120.50561195918213</v>
      </c>
      <c r="L31" s="617"/>
      <c r="M31" s="420">
        <f>RANK(K31, K$24:$K$41)</f>
        <v>8</v>
      </c>
      <c r="N31" s="635"/>
      <c r="O31" s="635"/>
      <c r="P31" s="539">
        <v>18</v>
      </c>
      <c r="Q31" s="416">
        <v>2199.0875912408765</v>
      </c>
      <c r="R31" s="416">
        <v>122.17153284671537</v>
      </c>
      <c r="S31" s="539">
        <f t="shared" si="22"/>
        <v>8</v>
      </c>
      <c r="T31" s="645"/>
      <c r="U31" s="539">
        <v>18</v>
      </c>
      <c r="V31" s="416">
        <v>2264.9745762711859</v>
      </c>
      <c r="W31" s="416">
        <v>125.83192090395477</v>
      </c>
      <c r="X31" s="539">
        <f t="shared" si="24"/>
        <v>7</v>
      </c>
      <c r="Y31" s="645"/>
      <c r="Z31" s="539">
        <v>18</v>
      </c>
      <c r="AA31" s="416">
        <v>2146.8139534883726</v>
      </c>
      <c r="AB31" s="416">
        <v>119.26744186046514</v>
      </c>
      <c r="AC31" s="539">
        <f t="shared" si="26"/>
        <v>8</v>
      </c>
      <c r="AD31" s="645"/>
      <c r="AE31" s="539">
        <v>18</v>
      </c>
      <c r="AF31" s="416">
        <v>2115.6720000000005</v>
      </c>
      <c r="AG31" s="416">
        <v>117.53733333333336</v>
      </c>
      <c r="AH31" s="539">
        <f t="shared" si="28"/>
        <v>8</v>
      </c>
      <c r="AI31" s="645"/>
      <c r="AJ31" s="539">
        <v>18</v>
      </c>
      <c r="AK31" s="416">
        <v>2154.3185840707965</v>
      </c>
      <c r="AL31" s="416">
        <v>119.68436578171092</v>
      </c>
      <c r="AM31" s="539">
        <f t="shared" si="30"/>
        <v>8</v>
      </c>
      <c r="AN31" s="645"/>
      <c r="AO31" s="539">
        <v>18</v>
      </c>
      <c r="AP31" s="416">
        <v>2157.4921875000009</v>
      </c>
      <c r="AQ31" s="416">
        <v>119.86067708333339</v>
      </c>
      <c r="AR31" s="539">
        <f t="shared" si="32"/>
        <v>7</v>
      </c>
      <c r="AS31" s="645"/>
      <c r="AT31" s="539">
        <v>18</v>
      </c>
      <c r="AU31" s="416">
        <v>2145.3482142857142</v>
      </c>
      <c r="AV31" s="416">
        <v>119.1860119047619</v>
      </c>
      <c r="AW31" s="539">
        <f t="shared" si="34"/>
        <v>7</v>
      </c>
      <c r="AX31" s="645"/>
      <c r="AZ31" s="398" t="e">
        <f t="shared" si="36"/>
        <v>#N/A</v>
      </c>
      <c r="BA31" s="645"/>
    </row>
    <row r="32" spans="2:53">
      <c r="B32" s="643"/>
      <c r="C32" s="411">
        <v>6</v>
      </c>
      <c r="D32" s="225" t="s">
        <v>625</v>
      </c>
      <c r="E32" s="416">
        <v>17</v>
      </c>
      <c r="F32" s="409">
        <v>2700</v>
      </c>
      <c r="G32" s="410">
        <v>158.8235294117647</v>
      </c>
      <c r="H32" s="680"/>
      <c r="I32" s="413">
        <f t="shared" si="19"/>
        <v>17.142857142857142</v>
      </c>
      <c r="J32" s="413">
        <f t="shared" si="20"/>
        <v>2417.3197412566296</v>
      </c>
      <c r="K32" s="199">
        <f t="shared" si="21"/>
        <v>141.06243231619337</v>
      </c>
      <c r="L32" s="617"/>
      <c r="M32" s="420">
        <f>RANK(K32, K$24:$K$41)</f>
        <v>3</v>
      </c>
      <c r="N32" s="635"/>
      <c r="O32" s="635"/>
      <c r="P32" s="539">
        <v>17</v>
      </c>
      <c r="Q32" s="416">
        <v>2426.1818181818162</v>
      </c>
      <c r="R32" s="416">
        <v>142.71657754010684</v>
      </c>
      <c r="S32" s="539">
        <f t="shared" si="22"/>
        <v>3</v>
      </c>
      <c r="T32" s="645"/>
      <c r="U32" s="539">
        <v>17</v>
      </c>
      <c r="V32" s="416">
        <v>2473.4482758620675</v>
      </c>
      <c r="W32" s="416">
        <v>145.49695740365104</v>
      </c>
      <c r="X32" s="539">
        <f t="shared" si="24"/>
        <v>1</v>
      </c>
      <c r="Y32" s="645"/>
      <c r="Z32" s="539">
        <v>18</v>
      </c>
      <c r="AA32" s="416">
        <v>2426.5573770491796</v>
      </c>
      <c r="AB32" s="416">
        <v>134.80874316939887</v>
      </c>
      <c r="AC32" s="539">
        <f t="shared" si="26"/>
        <v>4</v>
      </c>
      <c r="AD32" s="645"/>
      <c r="AE32" s="539">
        <v>17</v>
      </c>
      <c r="AF32" s="416">
        <v>2394.5454545454527</v>
      </c>
      <c r="AG32" s="416">
        <v>140.85561497326194</v>
      </c>
      <c r="AH32" s="539">
        <f t="shared" si="28"/>
        <v>2</v>
      </c>
      <c r="AI32" s="645"/>
      <c r="AJ32" s="539">
        <v>17</v>
      </c>
      <c r="AK32" s="416">
        <v>2426.4000000000005</v>
      </c>
      <c r="AL32" s="416">
        <v>142.7294117647059</v>
      </c>
      <c r="AM32" s="539">
        <f t="shared" si="30"/>
        <v>1</v>
      </c>
      <c r="AN32" s="645"/>
      <c r="AO32" s="539">
        <v>17</v>
      </c>
      <c r="AP32" s="416">
        <v>2402.1052631578932</v>
      </c>
      <c r="AQ32" s="416">
        <v>141.30030959752312</v>
      </c>
      <c r="AR32" s="539">
        <f t="shared" si="32"/>
        <v>1</v>
      </c>
      <c r="AS32" s="645"/>
      <c r="AT32" s="539">
        <v>17</v>
      </c>
      <c r="AU32" s="416">
        <v>2372</v>
      </c>
      <c r="AV32" s="416">
        <v>139.52941176470588</v>
      </c>
      <c r="AW32" s="539">
        <f t="shared" si="34"/>
        <v>3</v>
      </c>
      <c r="AX32" s="645"/>
      <c r="AZ32" s="398" t="e">
        <f t="shared" si="36"/>
        <v>#N/A</v>
      </c>
      <c r="BA32" s="645"/>
    </row>
    <row r="33" spans="2:53">
      <c r="B33" s="643"/>
      <c r="C33" s="411">
        <v>7</v>
      </c>
      <c r="D33" s="225" t="s">
        <v>637</v>
      </c>
      <c r="E33" s="416">
        <v>17</v>
      </c>
      <c r="F33" s="409">
        <v>2700</v>
      </c>
      <c r="G33" s="410">
        <v>158.8235294117647</v>
      </c>
      <c r="H33" s="680"/>
      <c r="I33" s="413">
        <f t="shared" si="19"/>
        <v>17</v>
      </c>
      <c r="J33" s="413">
        <f t="shared" si="20"/>
        <v>2416.3151524950295</v>
      </c>
      <c r="K33" s="199">
        <f t="shared" si="21"/>
        <v>142.13618544088408</v>
      </c>
      <c r="L33" s="617"/>
      <c r="M33" s="420">
        <f>RANK(K33, K$24:$K$41)</f>
        <v>1</v>
      </c>
      <c r="N33" s="635"/>
      <c r="O33" s="635"/>
      <c r="P33" s="539">
        <v>17</v>
      </c>
      <c r="Q33" s="416">
        <v>2457.3333333333335</v>
      </c>
      <c r="R33" s="416">
        <v>144.54901960784315</v>
      </c>
      <c r="S33" s="539">
        <f t="shared" si="22"/>
        <v>2</v>
      </c>
      <c r="T33" s="645"/>
      <c r="U33" s="539">
        <v>17</v>
      </c>
      <c r="V33" s="416">
        <v>2457.2093023255811</v>
      </c>
      <c r="W33" s="416">
        <v>144.54172366621066</v>
      </c>
      <c r="X33" s="539">
        <f t="shared" si="24"/>
        <v>2</v>
      </c>
      <c r="Y33" s="645"/>
      <c r="Z33" s="539">
        <v>17</v>
      </c>
      <c r="AA33" s="416">
        <v>2411.0204081632664</v>
      </c>
      <c r="AB33" s="416">
        <v>141.82472989195685</v>
      </c>
      <c r="AC33" s="539">
        <f t="shared" si="26"/>
        <v>1</v>
      </c>
      <c r="AD33" s="645"/>
      <c r="AE33" s="539">
        <v>17</v>
      </c>
      <c r="AF33" s="416">
        <v>2386.1538461538448</v>
      </c>
      <c r="AG33" s="416">
        <v>140.36199095022616</v>
      </c>
      <c r="AH33" s="539">
        <f t="shared" si="28"/>
        <v>3</v>
      </c>
      <c r="AI33" s="645"/>
      <c r="AJ33" s="539">
        <v>17</v>
      </c>
      <c r="AK33" s="416">
        <v>2398.3333333333317</v>
      </c>
      <c r="AL33" s="416">
        <v>141.07843137254892</v>
      </c>
      <c r="AM33" s="539">
        <f t="shared" si="30"/>
        <v>2</v>
      </c>
      <c r="AN33" s="645"/>
      <c r="AO33" s="539">
        <v>17</v>
      </c>
      <c r="AP33" s="416">
        <v>2391.428571428572</v>
      </c>
      <c r="AQ33" s="416">
        <v>140.67226890756305</v>
      </c>
      <c r="AR33" s="539">
        <f t="shared" si="32"/>
        <v>2</v>
      </c>
      <c r="AS33" s="645"/>
      <c r="AT33" s="539">
        <v>17</v>
      </c>
      <c r="AU33" s="416">
        <v>2412.7272727272752</v>
      </c>
      <c r="AV33" s="416">
        <v>141.92513368983973</v>
      </c>
      <c r="AW33" s="539">
        <f t="shared" si="34"/>
        <v>1</v>
      </c>
      <c r="AX33" s="645"/>
      <c r="AZ33" s="398" t="e">
        <f t="shared" si="36"/>
        <v>#N/A</v>
      </c>
      <c r="BA33" s="645"/>
    </row>
    <row r="34" spans="2:53">
      <c r="B34" s="643"/>
      <c r="C34" s="411">
        <v>8</v>
      </c>
      <c r="D34" s="225" t="s">
        <v>708</v>
      </c>
      <c r="E34" s="416">
        <v>18</v>
      </c>
      <c r="F34" s="409">
        <v>2400</v>
      </c>
      <c r="G34" s="410">
        <v>133.33333333333334</v>
      </c>
      <c r="H34" s="680"/>
      <c r="I34" s="413">
        <f t="shared" si="19"/>
        <v>18</v>
      </c>
      <c r="J34" s="413">
        <f t="shared" si="20"/>
        <v>2170.3106926207715</v>
      </c>
      <c r="K34" s="199">
        <f t="shared" si="21"/>
        <v>120.57281625670953</v>
      </c>
      <c r="L34" s="617"/>
      <c r="M34" s="420">
        <f>RANK(K34, K$24:$K$41)</f>
        <v>7</v>
      </c>
      <c r="N34" s="635"/>
      <c r="O34" s="635"/>
      <c r="P34" s="539">
        <v>18</v>
      </c>
      <c r="Q34" s="416">
        <v>2233.170731707316</v>
      </c>
      <c r="R34" s="416">
        <v>124.06504065040644</v>
      </c>
      <c r="S34" s="539">
        <f t="shared" si="22"/>
        <v>7</v>
      </c>
      <c r="T34" s="645"/>
      <c r="U34" s="539">
        <v>18</v>
      </c>
      <c r="V34" s="416">
        <v>2209.0909090909104</v>
      </c>
      <c r="W34" s="416">
        <v>122.7272727272728</v>
      </c>
      <c r="X34" s="539">
        <f t="shared" si="24"/>
        <v>8</v>
      </c>
      <c r="Y34" s="645"/>
      <c r="Z34" s="539">
        <v>18</v>
      </c>
      <c r="AA34" s="416">
        <v>2162.0000000000018</v>
      </c>
      <c r="AB34" s="416">
        <v>120.11111111111121</v>
      </c>
      <c r="AC34" s="539">
        <f t="shared" si="26"/>
        <v>7</v>
      </c>
      <c r="AD34" s="645"/>
      <c r="AE34" s="539">
        <v>18</v>
      </c>
      <c r="AF34" s="416">
        <v>2184.0000000000018</v>
      </c>
      <c r="AG34" s="416">
        <v>121.33333333333343</v>
      </c>
      <c r="AH34" s="539">
        <f t="shared" si="28"/>
        <v>7</v>
      </c>
      <c r="AI34" s="645"/>
      <c r="AJ34" s="539">
        <v>18</v>
      </c>
      <c r="AK34" s="416">
        <v>2178.113207547171</v>
      </c>
      <c r="AL34" s="416">
        <v>121.00628930817616</v>
      </c>
      <c r="AM34" s="539">
        <f t="shared" si="30"/>
        <v>7</v>
      </c>
      <c r="AN34" s="645"/>
      <c r="AO34" s="539">
        <v>18</v>
      </c>
      <c r="AP34" s="416">
        <v>2110.8000000000002</v>
      </c>
      <c r="AQ34" s="416">
        <v>117.26666666666668</v>
      </c>
      <c r="AR34" s="539">
        <f t="shared" si="32"/>
        <v>8</v>
      </c>
      <c r="AS34" s="645"/>
      <c r="AT34" s="539">
        <v>18</v>
      </c>
      <c r="AU34" s="416">
        <v>2115</v>
      </c>
      <c r="AV34" s="416">
        <v>117.5</v>
      </c>
      <c r="AW34" s="539">
        <f t="shared" si="34"/>
        <v>8</v>
      </c>
      <c r="AX34" s="645"/>
      <c r="AZ34" s="398" t="e">
        <f t="shared" si="36"/>
        <v>#N/A</v>
      </c>
      <c r="BA34" s="645"/>
    </row>
    <row r="35" spans="2:53">
      <c r="B35" s="643"/>
      <c r="C35" s="411">
        <v>9</v>
      </c>
      <c r="D35" s="225" t="s">
        <v>718</v>
      </c>
      <c r="E35" s="416">
        <v>17</v>
      </c>
      <c r="F35" s="409">
        <v>2700</v>
      </c>
      <c r="G35" s="410">
        <v>158.8235294117647</v>
      </c>
      <c r="H35" s="680"/>
      <c r="I35" s="413">
        <f t="shared" si="19"/>
        <v>17</v>
      </c>
      <c r="J35" s="413">
        <f t="shared" si="20"/>
        <v>2416.1835466580974</v>
      </c>
      <c r="K35" s="199">
        <f t="shared" si="21"/>
        <v>142.12844392106456</v>
      </c>
      <c r="L35" s="617"/>
      <c r="M35" s="420">
        <f>RANK(K35, K$24:$K$41)</f>
        <v>2</v>
      </c>
      <c r="N35" s="635"/>
      <c r="O35" s="635"/>
      <c r="P35" s="539">
        <v>17</v>
      </c>
      <c r="Q35" s="416">
        <v>2521.7647058823495</v>
      </c>
      <c r="R35" s="416">
        <v>148.33910034602056</v>
      </c>
      <c r="S35" s="539">
        <f t="shared" si="22"/>
        <v>1</v>
      </c>
      <c r="T35" s="645"/>
      <c r="U35" s="539">
        <v>17</v>
      </c>
      <c r="V35" s="416">
        <v>2445.4285714285688</v>
      </c>
      <c r="W35" s="416">
        <v>143.84873949579816</v>
      </c>
      <c r="X35" s="539">
        <f t="shared" si="24"/>
        <v>3</v>
      </c>
      <c r="Y35" s="645"/>
      <c r="Z35" s="539">
        <v>17</v>
      </c>
      <c r="AA35" s="416">
        <v>2409.2957746478851</v>
      </c>
      <c r="AB35" s="416">
        <v>141.72328086164029</v>
      </c>
      <c r="AC35" s="539">
        <f t="shared" si="26"/>
        <v>2</v>
      </c>
      <c r="AD35" s="645"/>
      <c r="AE35" s="539">
        <v>17</v>
      </c>
      <c r="AF35" s="416">
        <v>2409.2957746478851</v>
      </c>
      <c r="AG35" s="416">
        <v>141.72328086164029</v>
      </c>
      <c r="AH35" s="539">
        <f t="shared" si="28"/>
        <v>1</v>
      </c>
      <c r="AI35" s="645"/>
      <c r="AJ35" s="539">
        <v>17</v>
      </c>
      <c r="AK35" s="416">
        <v>2375.8333333333317</v>
      </c>
      <c r="AL35" s="416">
        <v>139.75490196078422</v>
      </c>
      <c r="AM35" s="539">
        <f t="shared" si="30"/>
        <v>3</v>
      </c>
      <c r="AN35" s="645"/>
      <c r="AO35" s="539">
        <v>17</v>
      </c>
      <c r="AP35" s="416">
        <v>2375.8333333333317</v>
      </c>
      <c r="AQ35" s="416">
        <v>139.75490196078422</v>
      </c>
      <c r="AR35" s="539">
        <f t="shared" si="32"/>
        <v>3</v>
      </c>
      <c r="AS35" s="645"/>
      <c r="AT35" s="539">
        <v>17</v>
      </c>
      <c r="AU35" s="416">
        <v>2375.8333333333317</v>
      </c>
      <c r="AV35" s="416">
        <v>139.75490196078422</v>
      </c>
      <c r="AW35" s="539">
        <f t="shared" si="34"/>
        <v>2</v>
      </c>
      <c r="AX35" s="645"/>
      <c r="AZ35" s="398" t="e">
        <f t="shared" si="36"/>
        <v>#N/A</v>
      </c>
      <c r="BA35" s="645"/>
    </row>
    <row r="36" spans="2:53">
      <c r="B36" s="643"/>
      <c r="C36" s="411">
        <v>10</v>
      </c>
      <c r="D36" s="225" t="s">
        <v>736</v>
      </c>
      <c r="E36" s="416">
        <v>20</v>
      </c>
      <c r="F36" s="409">
        <v>2400</v>
      </c>
      <c r="G36" s="410">
        <v>120</v>
      </c>
      <c r="H36" s="680"/>
      <c r="I36" s="413">
        <f t="shared" si="19"/>
        <v>20</v>
      </c>
      <c r="J36" s="413">
        <f t="shared" si="20"/>
        <v>2326.6982517808697</v>
      </c>
      <c r="K36" s="199">
        <f t="shared" si="21"/>
        <v>116.33491258904348</v>
      </c>
      <c r="L36" s="617"/>
      <c r="M36" s="420">
        <f>RANK(K36, K$24:$K$41)</f>
        <v>10</v>
      </c>
      <c r="N36" s="635"/>
      <c r="O36" s="635"/>
      <c r="P36" s="539">
        <v>20</v>
      </c>
      <c r="Q36" s="416">
        <v>2355.8974358974347</v>
      </c>
      <c r="R36" s="416">
        <v>117.79487179487174</v>
      </c>
      <c r="S36" s="539">
        <f t="shared" si="22"/>
        <v>10</v>
      </c>
      <c r="T36" s="645"/>
      <c r="U36" s="539">
        <v>20</v>
      </c>
      <c r="V36" s="416">
        <v>2388.6315789473688</v>
      </c>
      <c r="W36" s="416">
        <v>119.43157894736844</v>
      </c>
      <c r="X36" s="539">
        <f t="shared" si="24"/>
        <v>10</v>
      </c>
      <c r="Y36" s="645"/>
      <c r="Z36" s="539">
        <v>20</v>
      </c>
      <c r="AA36" s="416">
        <v>2351.3684210526299</v>
      </c>
      <c r="AB36" s="416">
        <v>117.56842105263149</v>
      </c>
      <c r="AC36" s="539">
        <f t="shared" si="26"/>
        <v>9</v>
      </c>
      <c r="AD36" s="645"/>
      <c r="AE36" s="539">
        <v>20</v>
      </c>
      <c r="AF36" s="416">
        <v>2311.2000000000025</v>
      </c>
      <c r="AG36" s="416">
        <v>115.56000000000013</v>
      </c>
      <c r="AH36" s="539">
        <f t="shared" si="28"/>
        <v>10</v>
      </c>
      <c r="AI36" s="645"/>
      <c r="AJ36" s="539">
        <v>20</v>
      </c>
      <c r="AK36" s="416">
        <v>2313.7959183673474</v>
      </c>
      <c r="AL36" s="416">
        <v>115.68979591836737</v>
      </c>
      <c r="AM36" s="539">
        <f t="shared" si="30"/>
        <v>10</v>
      </c>
      <c r="AN36" s="645"/>
      <c r="AO36" s="539">
        <v>20</v>
      </c>
      <c r="AP36" s="416">
        <v>2295.7241379310362</v>
      </c>
      <c r="AQ36" s="416">
        <v>114.78620689655182</v>
      </c>
      <c r="AR36" s="539">
        <f t="shared" si="32"/>
        <v>10</v>
      </c>
      <c r="AS36" s="645"/>
      <c r="AT36" s="539">
        <v>20</v>
      </c>
      <c r="AU36" s="416">
        <v>2270.2702702702686</v>
      </c>
      <c r="AV36" s="416">
        <v>113.51351351351343</v>
      </c>
      <c r="AW36" s="539">
        <f t="shared" si="34"/>
        <v>10</v>
      </c>
      <c r="AX36" s="645"/>
      <c r="AZ36" s="398" t="e">
        <f t="shared" si="36"/>
        <v>#N/A</v>
      </c>
      <c r="BA36" s="645"/>
    </row>
    <row r="37" spans="2:53">
      <c r="B37" s="643"/>
      <c r="C37" s="411">
        <v>11</v>
      </c>
      <c r="D37" s="225"/>
      <c r="E37" s="416"/>
      <c r="F37" s="409"/>
      <c r="G37" s="410"/>
      <c r="H37" s="680"/>
      <c r="I37" s="413" t="str">
        <f t="shared" si="19"/>
        <v>-</v>
      </c>
      <c r="J37" s="413" t="str">
        <f t="shared" si="20"/>
        <v>-</v>
      </c>
      <c r="K37" s="199" t="str">
        <f t="shared" si="21"/>
        <v>-</v>
      </c>
      <c r="L37" s="617"/>
      <c r="M37" s="420" t="e">
        <f>RANK(K37, K$24:$K$41)</f>
        <v>#VALUE!</v>
      </c>
      <c r="N37" s="635"/>
      <c r="O37" s="635"/>
      <c r="P37" s="539" t="s">
        <v>615</v>
      </c>
      <c r="Q37" s="416" t="s">
        <v>615</v>
      </c>
      <c r="R37" s="416" t="s">
        <v>615</v>
      </c>
      <c r="S37" s="539" t="e">
        <f t="shared" si="22"/>
        <v>#VALUE!</v>
      </c>
      <c r="T37" s="645"/>
      <c r="U37" s="539" t="s">
        <v>615</v>
      </c>
      <c r="V37" s="416" t="s">
        <v>615</v>
      </c>
      <c r="W37" s="416" t="s">
        <v>615</v>
      </c>
      <c r="X37" s="539" t="e">
        <f t="shared" si="24"/>
        <v>#VALUE!</v>
      </c>
      <c r="Y37" s="645"/>
      <c r="Z37" s="539" t="s">
        <v>615</v>
      </c>
      <c r="AA37" s="416" t="s">
        <v>615</v>
      </c>
      <c r="AB37" s="416" t="s">
        <v>615</v>
      </c>
      <c r="AC37" s="539" t="e">
        <f t="shared" si="26"/>
        <v>#VALUE!</v>
      </c>
      <c r="AD37" s="645"/>
      <c r="AE37" s="539" t="s">
        <v>615</v>
      </c>
      <c r="AF37" s="416" t="s">
        <v>615</v>
      </c>
      <c r="AG37" s="416" t="s">
        <v>615</v>
      </c>
      <c r="AH37" s="539" t="e">
        <f t="shared" si="28"/>
        <v>#VALUE!</v>
      </c>
      <c r="AI37" s="645"/>
      <c r="AJ37" s="539" t="s">
        <v>615</v>
      </c>
      <c r="AK37" s="416" t="s">
        <v>615</v>
      </c>
      <c r="AL37" s="416" t="s">
        <v>615</v>
      </c>
      <c r="AM37" s="539" t="e">
        <f t="shared" si="30"/>
        <v>#VALUE!</v>
      </c>
      <c r="AN37" s="645"/>
      <c r="AO37" s="539" t="s">
        <v>615</v>
      </c>
      <c r="AP37" s="416" t="s">
        <v>615</v>
      </c>
      <c r="AQ37" s="416" t="s">
        <v>615</v>
      </c>
      <c r="AR37" s="539" t="e">
        <f t="shared" si="32"/>
        <v>#VALUE!</v>
      </c>
      <c r="AS37" s="645"/>
      <c r="AT37" s="539" t="s">
        <v>615</v>
      </c>
      <c r="AU37" s="416" t="s">
        <v>615</v>
      </c>
      <c r="AV37" s="416" t="s">
        <v>615</v>
      </c>
      <c r="AW37" s="539" t="e">
        <f t="shared" si="34"/>
        <v>#VALUE!</v>
      </c>
      <c r="AX37" s="645"/>
      <c r="AZ37" s="398" t="e">
        <f t="shared" si="36"/>
        <v>#N/A</v>
      </c>
      <c r="BA37" s="645"/>
    </row>
    <row r="38" spans="2:53">
      <c r="B38" s="643"/>
      <c r="C38" s="411">
        <v>12</v>
      </c>
      <c r="D38" s="225"/>
      <c r="E38" s="416"/>
      <c r="F38" s="409"/>
      <c r="G38" s="410"/>
      <c r="H38" s="680"/>
      <c r="I38" s="413" t="str">
        <f t="shared" si="19"/>
        <v>-</v>
      </c>
      <c r="J38" s="413" t="str">
        <f t="shared" si="20"/>
        <v>-</v>
      </c>
      <c r="K38" s="199" t="str">
        <f t="shared" si="21"/>
        <v>-</v>
      </c>
      <c r="L38" s="617"/>
      <c r="M38" s="420" t="e">
        <f>RANK(K38, K$24:$K$41)</f>
        <v>#VALUE!</v>
      </c>
      <c r="N38" s="635"/>
      <c r="O38" s="635"/>
      <c r="P38" s="539" t="s">
        <v>615</v>
      </c>
      <c r="Q38" s="416" t="s">
        <v>615</v>
      </c>
      <c r="R38" s="416" t="s">
        <v>615</v>
      </c>
      <c r="S38" s="539" t="e">
        <f t="shared" si="22"/>
        <v>#VALUE!</v>
      </c>
      <c r="T38" s="645"/>
      <c r="U38" s="539" t="s">
        <v>615</v>
      </c>
      <c r="V38" s="416" t="s">
        <v>615</v>
      </c>
      <c r="W38" s="416" t="s">
        <v>615</v>
      </c>
      <c r="X38" s="539" t="e">
        <f t="shared" si="24"/>
        <v>#VALUE!</v>
      </c>
      <c r="Y38" s="645"/>
      <c r="Z38" s="539" t="s">
        <v>615</v>
      </c>
      <c r="AA38" s="416" t="s">
        <v>615</v>
      </c>
      <c r="AB38" s="416" t="s">
        <v>615</v>
      </c>
      <c r="AC38" s="539" t="e">
        <f t="shared" si="26"/>
        <v>#VALUE!</v>
      </c>
      <c r="AD38" s="645"/>
      <c r="AE38" s="539" t="s">
        <v>615</v>
      </c>
      <c r="AF38" s="416" t="s">
        <v>615</v>
      </c>
      <c r="AG38" s="416" t="s">
        <v>615</v>
      </c>
      <c r="AH38" s="539" t="e">
        <f t="shared" si="28"/>
        <v>#VALUE!</v>
      </c>
      <c r="AI38" s="645"/>
      <c r="AJ38" s="539" t="s">
        <v>615</v>
      </c>
      <c r="AK38" s="416" t="s">
        <v>615</v>
      </c>
      <c r="AL38" s="416" t="s">
        <v>615</v>
      </c>
      <c r="AM38" s="539" t="e">
        <f t="shared" si="30"/>
        <v>#VALUE!</v>
      </c>
      <c r="AN38" s="645"/>
      <c r="AO38" s="539" t="s">
        <v>615</v>
      </c>
      <c r="AP38" s="416" t="s">
        <v>615</v>
      </c>
      <c r="AQ38" s="416" t="s">
        <v>615</v>
      </c>
      <c r="AR38" s="539" t="e">
        <f t="shared" si="32"/>
        <v>#VALUE!</v>
      </c>
      <c r="AS38" s="645"/>
      <c r="AT38" s="539" t="s">
        <v>615</v>
      </c>
      <c r="AU38" s="416" t="s">
        <v>615</v>
      </c>
      <c r="AV38" s="416" t="s">
        <v>615</v>
      </c>
      <c r="AW38" s="539" t="e">
        <f t="shared" si="34"/>
        <v>#VALUE!</v>
      </c>
      <c r="AX38" s="645"/>
      <c r="AZ38" s="398" t="e">
        <f t="shared" si="36"/>
        <v>#N/A</v>
      </c>
      <c r="BA38" s="645"/>
    </row>
    <row r="39" spans="2:53">
      <c r="B39" s="643"/>
      <c r="C39" s="411">
        <v>13</v>
      </c>
      <c r="D39" s="225"/>
      <c r="E39" s="416"/>
      <c r="F39" s="409"/>
      <c r="G39" s="410"/>
      <c r="H39" s="680"/>
      <c r="I39" s="413" t="str">
        <f t="shared" si="19"/>
        <v>-</v>
      </c>
      <c r="J39" s="413" t="str">
        <f t="shared" si="20"/>
        <v>-</v>
      </c>
      <c r="K39" s="199" t="str">
        <f t="shared" si="21"/>
        <v>-</v>
      </c>
      <c r="L39" s="617"/>
      <c r="M39" s="420" t="e">
        <f>RANK(K39, K$24:$K$41)</f>
        <v>#VALUE!</v>
      </c>
      <c r="N39" s="635"/>
      <c r="O39" s="635"/>
      <c r="P39" s="539" t="s">
        <v>615</v>
      </c>
      <c r="Q39" s="416" t="s">
        <v>615</v>
      </c>
      <c r="R39" s="416" t="s">
        <v>615</v>
      </c>
      <c r="S39" s="539" t="e">
        <f t="shared" si="22"/>
        <v>#VALUE!</v>
      </c>
      <c r="T39" s="645"/>
      <c r="U39" s="539" t="s">
        <v>615</v>
      </c>
      <c r="V39" s="416" t="s">
        <v>615</v>
      </c>
      <c r="W39" s="416" t="s">
        <v>615</v>
      </c>
      <c r="X39" s="539" t="e">
        <f t="shared" si="24"/>
        <v>#VALUE!</v>
      </c>
      <c r="Y39" s="645"/>
      <c r="Z39" s="539" t="s">
        <v>615</v>
      </c>
      <c r="AA39" s="416" t="s">
        <v>615</v>
      </c>
      <c r="AB39" s="416" t="s">
        <v>615</v>
      </c>
      <c r="AC39" s="539" t="e">
        <f t="shared" si="26"/>
        <v>#VALUE!</v>
      </c>
      <c r="AD39" s="645"/>
      <c r="AE39" s="539" t="s">
        <v>615</v>
      </c>
      <c r="AF39" s="416" t="s">
        <v>615</v>
      </c>
      <c r="AG39" s="416" t="s">
        <v>615</v>
      </c>
      <c r="AH39" s="539" t="e">
        <f t="shared" si="28"/>
        <v>#VALUE!</v>
      </c>
      <c r="AI39" s="645"/>
      <c r="AJ39" s="539" t="s">
        <v>615</v>
      </c>
      <c r="AK39" s="416" t="s">
        <v>615</v>
      </c>
      <c r="AL39" s="416" t="s">
        <v>615</v>
      </c>
      <c r="AM39" s="539" t="e">
        <f t="shared" si="30"/>
        <v>#VALUE!</v>
      </c>
      <c r="AN39" s="645"/>
      <c r="AO39" s="539" t="s">
        <v>615</v>
      </c>
      <c r="AP39" s="416" t="s">
        <v>615</v>
      </c>
      <c r="AQ39" s="416" t="s">
        <v>615</v>
      </c>
      <c r="AR39" s="539" t="e">
        <f t="shared" si="32"/>
        <v>#VALUE!</v>
      </c>
      <c r="AS39" s="645"/>
      <c r="AT39" s="539" t="s">
        <v>615</v>
      </c>
      <c r="AU39" s="416" t="s">
        <v>615</v>
      </c>
      <c r="AV39" s="416" t="s">
        <v>615</v>
      </c>
      <c r="AW39" s="539" t="e">
        <f t="shared" si="34"/>
        <v>#VALUE!</v>
      </c>
      <c r="AX39" s="645"/>
      <c r="AZ39" s="398" t="e">
        <f t="shared" si="36"/>
        <v>#N/A</v>
      </c>
      <c r="BA39" s="645"/>
    </row>
    <row r="40" spans="2:53">
      <c r="B40" s="643"/>
      <c r="C40" s="411">
        <v>14</v>
      </c>
      <c r="D40" s="225"/>
      <c r="E40" s="416"/>
      <c r="F40" s="409"/>
      <c r="G40" s="410"/>
      <c r="H40" s="680"/>
      <c r="I40" s="413" t="str">
        <f t="shared" si="19"/>
        <v>-</v>
      </c>
      <c r="J40" s="413" t="str">
        <f t="shared" si="20"/>
        <v>-</v>
      </c>
      <c r="K40" s="199" t="str">
        <f t="shared" si="21"/>
        <v>-</v>
      </c>
      <c r="L40" s="617"/>
      <c r="M40" s="420" t="e">
        <f>RANK(K40, K$24:$K$41)</f>
        <v>#VALUE!</v>
      </c>
      <c r="N40" s="635"/>
      <c r="O40" s="635"/>
      <c r="P40" s="539" t="s">
        <v>615</v>
      </c>
      <c r="Q40" s="416" t="s">
        <v>615</v>
      </c>
      <c r="R40" s="416" t="s">
        <v>615</v>
      </c>
      <c r="S40" s="539" t="e">
        <f t="shared" si="22"/>
        <v>#VALUE!</v>
      </c>
      <c r="T40" s="645"/>
      <c r="U40" s="539" t="s">
        <v>615</v>
      </c>
      <c r="V40" s="416" t="s">
        <v>615</v>
      </c>
      <c r="W40" s="416" t="s">
        <v>615</v>
      </c>
      <c r="X40" s="539" t="e">
        <f t="shared" si="24"/>
        <v>#VALUE!</v>
      </c>
      <c r="Y40" s="645"/>
      <c r="Z40" s="539" t="s">
        <v>615</v>
      </c>
      <c r="AA40" s="416" t="s">
        <v>615</v>
      </c>
      <c r="AB40" s="416" t="s">
        <v>615</v>
      </c>
      <c r="AC40" s="539" t="e">
        <f t="shared" si="26"/>
        <v>#VALUE!</v>
      </c>
      <c r="AD40" s="645"/>
      <c r="AE40" s="539" t="s">
        <v>615</v>
      </c>
      <c r="AF40" s="416" t="s">
        <v>615</v>
      </c>
      <c r="AG40" s="416" t="s">
        <v>615</v>
      </c>
      <c r="AH40" s="539" t="e">
        <f t="shared" si="28"/>
        <v>#VALUE!</v>
      </c>
      <c r="AI40" s="645"/>
      <c r="AJ40" s="539" t="s">
        <v>615</v>
      </c>
      <c r="AK40" s="416" t="s">
        <v>615</v>
      </c>
      <c r="AL40" s="416" t="s">
        <v>615</v>
      </c>
      <c r="AM40" s="539" t="e">
        <f t="shared" si="30"/>
        <v>#VALUE!</v>
      </c>
      <c r="AN40" s="645"/>
      <c r="AO40" s="539" t="s">
        <v>615</v>
      </c>
      <c r="AP40" s="416" t="s">
        <v>615</v>
      </c>
      <c r="AQ40" s="416" t="s">
        <v>615</v>
      </c>
      <c r="AR40" s="539" t="e">
        <f t="shared" si="32"/>
        <v>#VALUE!</v>
      </c>
      <c r="AS40" s="645"/>
      <c r="AT40" s="539" t="s">
        <v>615</v>
      </c>
      <c r="AU40" s="416" t="s">
        <v>615</v>
      </c>
      <c r="AV40" s="416" t="s">
        <v>615</v>
      </c>
      <c r="AW40" s="539" t="e">
        <f t="shared" si="34"/>
        <v>#VALUE!</v>
      </c>
      <c r="AX40" s="645"/>
      <c r="AZ40" s="398" t="e">
        <f t="shared" si="36"/>
        <v>#N/A</v>
      </c>
      <c r="BA40" s="645"/>
    </row>
    <row r="41" spans="2:53">
      <c r="B41" s="643"/>
      <c r="C41" s="411">
        <v>15</v>
      </c>
      <c r="D41" s="225"/>
      <c r="E41" s="416"/>
      <c r="F41" s="409"/>
      <c r="G41" s="410"/>
      <c r="H41" s="684"/>
      <c r="I41" s="411"/>
      <c r="J41" s="411"/>
      <c r="K41" s="411"/>
      <c r="L41" s="618"/>
      <c r="M41" s="420" t="e">
        <f>RANK(K41, K$24:$K$41)</f>
        <v>#N/A</v>
      </c>
      <c r="N41" s="635"/>
      <c r="O41" s="635"/>
      <c r="P41" s="539" t="s">
        <v>615</v>
      </c>
      <c r="Q41" s="416" t="s">
        <v>615</v>
      </c>
      <c r="R41" s="416" t="s">
        <v>615</v>
      </c>
      <c r="S41" s="539" t="e">
        <f t="shared" si="22"/>
        <v>#VALUE!</v>
      </c>
      <c r="T41" s="646"/>
      <c r="U41" s="539" t="s">
        <v>615</v>
      </c>
      <c r="V41" s="416" t="s">
        <v>615</v>
      </c>
      <c r="W41" s="416" t="s">
        <v>615</v>
      </c>
      <c r="X41" s="539" t="e">
        <f t="shared" si="24"/>
        <v>#VALUE!</v>
      </c>
      <c r="Y41" s="646"/>
      <c r="Z41" s="539" t="s">
        <v>615</v>
      </c>
      <c r="AA41" s="416" t="s">
        <v>615</v>
      </c>
      <c r="AB41" s="416" t="s">
        <v>615</v>
      </c>
      <c r="AC41" s="539" t="e">
        <f t="shared" si="26"/>
        <v>#VALUE!</v>
      </c>
      <c r="AD41" s="646"/>
      <c r="AE41" s="539" t="s">
        <v>615</v>
      </c>
      <c r="AF41" s="416" t="s">
        <v>615</v>
      </c>
      <c r="AG41" s="416" t="s">
        <v>615</v>
      </c>
      <c r="AH41" s="539" t="e">
        <f t="shared" si="28"/>
        <v>#VALUE!</v>
      </c>
      <c r="AI41" s="646"/>
      <c r="AJ41" s="539" t="s">
        <v>615</v>
      </c>
      <c r="AK41" s="416" t="s">
        <v>615</v>
      </c>
      <c r="AL41" s="416" t="s">
        <v>615</v>
      </c>
      <c r="AM41" s="539" t="e">
        <f t="shared" si="30"/>
        <v>#VALUE!</v>
      </c>
      <c r="AN41" s="646"/>
      <c r="AO41" s="539" t="s">
        <v>615</v>
      </c>
      <c r="AP41" s="416" t="s">
        <v>615</v>
      </c>
      <c r="AQ41" s="416" t="s">
        <v>615</v>
      </c>
      <c r="AR41" s="539" t="e">
        <f t="shared" si="32"/>
        <v>#VALUE!</v>
      </c>
      <c r="AS41" s="646"/>
      <c r="AT41" s="539" t="s">
        <v>615</v>
      </c>
      <c r="AU41" s="416" t="s">
        <v>615</v>
      </c>
      <c r="AV41" s="416" t="s">
        <v>615</v>
      </c>
      <c r="AW41" s="539" t="e">
        <f t="shared" si="34"/>
        <v>#VALUE!</v>
      </c>
      <c r="AX41" s="646"/>
      <c r="AZ41" s="398" t="e">
        <f t="shared" si="36"/>
        <v>#N/A</v>
      </c>
      <c r="BA41" s="646"/>
    </row>
    <row r="42" spans="2:53" ht="15.75">
      <c r="B42" s="661" t="s">
        <v>163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36" t="s">
        <v>156</v>
      </c>
      <c r="O42" s="636" t="s">
        <v>105</v>
      </c>
      <c r="P42" s="642">
        <f>P22+7</f>
        <v>46182</v>
      </c>
      <c r="Q42" s="643"/>
      <c r="R42" s="643"/>
      <c r="S42" s="643"/>
      <c r="T42" s="643"/>
      <c r="U42" s="639">
        <f>P42+1</f>
        <v>46183</v>
      </c>
      <c r="V42" s="640"/>
      <c r="W42" s="640"/>
      <c r="X42" s="640"/>
      <c r="Y42" s="641"/>
      <c r="Z42" s="639">
        <f>U42+1</f>
        <v>46184</v>
      </c>
      <c r="AA42" s="640"/>
      <c r="AB42" s="640"/>
      <c r="AC42" s="640"/>
      <c r="AD42" s="641"/>
      <c r="AE42" s="639">
        <f>Z42+1</f>
        <v>46185</v>
      </c>
      <c r="AF42" s="640"/>
      <c r="AG42" s="640"/>
      <c r="AH42" s="640"/>
      <c r="AI42" s="641"/>
      <c r="AJ42" s="639">
        <f>AE42+1</f>
        <v>46186</v>
      </c>
      <c r="AK42" s="640"/>
      <c r="AL42" s="640"/>
      <c r="AM42" s="640"/>
      <c r="AN42" s="641"/>
      <c r="AO42" s="639">
        <f>AJ42+1</f>
        <v>46187</v>
      </c>
      <c r="AP42" s="640"/>
      <c r="AQ42" s="640"/>
      <c r="AR42" s="640"/>
      <c r="AS42" s="641"/>
      <c r="AT42" s="639">
        <f>AO42+1</f>
        <v>46188</v>
      </c>
      <c r="AU42" s="640"/>
      <c r="AV42" s="640"/>
      <c r="AW42" s="640"/>
      <c r="AX42" s="641"/>
    </row>
    <row r="43" spans="2:53" ht="15.75">
      <c r="B43" s="650"/>
      <c r="C43" s="650"/>
      <c r="D43" s="650"/>
      <c r="E43" s="650"/>
      <c r="F43" s="650"/>
      <c r="G43" s="650"/>
      <c r="H43" s="650"/>
      <c r="I43" s="204"/>
      <c r="J43" s="204"/>
      <c r="K43" s="204"/>
      <c r="L43" s="204"/>
      <c r="M43" s="205"/>
      <c r="N43" s="638"/>
      <c r="O43" s="638"/>
      <c r="P43" s="642" t="s">
        <v>318</v>
      </c>
      <c r="Q43" s="643"/>
      <c r="R43" s="643"/>
      <c r="S43" s="643"/>
      <c r="T43" s="643"/>
      <c r="U43" s="642" t="s">
        <v>319</v>
      </c>
      <c r="V43" s="643"/>
      <c r="W43" s="643"/>
      <c r="X43" s="643"/>
      <c r="Y43" s="643"/>
      <c r="Z43" s="642" t="s">
        <v>320</v>
      </c>
      <c r="AA43" s="643"/>
      <c r="AB43" s="643"/>
      <c r="AC43" s="643"/>
      <c r="AD43" s="643"/>
      <c r="AE43" s="642" t="s">
        <v>321</v>
      </c>
      <c r="AF43" s="643"/>
      <c r="AG43" s="643"/>
      <c r="AH43" s="643"/>
      <c r="AI43" s="643"/>
      <c r="AJ43" s="642" t="s">
        <v>322</v>
      </c>
      <c r="AK43" s="643"/>
      <c r="AL43" s="643"/>
      <c r="AM43" s="643"/>
      <c r="AN43" s="643"/>
      <c r="AO43" s="642" t="s">
        <v>323</v>
      </c>
      <c r="AP43" s="643"/>
      <c r="AQ43" s="643"/>
      <c r="AR43" s="643"/>
      <c r="AS43" s="643"/>
      <c r="AT43" s="642" t="s">
        <v>324</v>
      </c>
      <c r="AU43" s="643"/>
      <c r="AV43" s="643"/>
      <c r="AW43" s="643"/>
      <c r="AX43" s="643"/>
    </row>
    <row r="44" spans="2:53">
      <c r="B44" s="635" t="s">
        <v>463</v>
      </c>
      <c r="C44" s="635" t="s">
        <v>549</v>
      </c>
      <c r="D44" s="635"/>
      <c r="E44" s="635" t="s">
        <v>550</v>
      </c>
      <c r="F44" s="635"/>
      <c r="G44" s="635"/>
      <c r="H44" s="651" t="s">
        <v>551</v>
      </c>
      <c r="I44" s="635" t="s">
        <v>552</v>
      </c>
      <c r="J44" s="635"/>
      <c r="K44" s="635"/>
      <c r="L44" s="651" t="s">
        <v>371</v>
      </c>
      <c r="M44" s="636" t="s">
        <v>553</v>
      </c>
      <c r="N44" s="635"/>
      <c r="O44" s="635" t="s">
        <v>377</v>
      </c>
      <c r="P44" s="632" t="s">
        <v>373</v>
      </c>
      <c r="Q44" s="633"/>
      <c r="R44" s="633"/>
      <c r="S44" s="634"/>
      <c r="T44" s="635" t="s">
        <v>371</v>
      </c>
      <c r="U44" s="632" t="s">
        <v>373</v>
      </c>
      <c r="V44" s="633"/>
      <c r="W44" s="633"/>
      <c r="X44" s="634"/>
      <c r="Y44" s="635" t="s">
        <v>371</v>
      </c>
      <c r="Z44" s="632" t="s">
        <v>373</v>
      </c>
      <c r="AA44" s="633"/>
      <c r="AB44" s="633"/>
      <c r="AC44" s="634"/>
      <c r="AD44" s="635" t="s">
        <v>371</v>
      </c>
      <c r="AE44" s="632" t="s">
        <v>373</v>
      </c>
      <c r="AF44" s="633"/>
      <c r="AG44" s="633"/>
      <c r="AH44" s="634"/>
      <c r="AI44" s="635" t="s">
        <v>371</v>
      </c>
      <c r="AJ44" s="632" t="s">
        <v>373</v>
      </c>
      <c r="AK44" s="633"/>
      <c r="AL44" s="633"/>
      <c r="AM44" s="634"/>
      <c r="AN44" s="635" t="s">
        <v>371</v>
      </c>
      <c r="AO44" s="632" t="s">
        <v>373</v>
      </c>
      <c r="AP44" s="633"/>
      <c r="AQ44" s="633"/>
      <c r="AR44" s="634"/>
      <c r="AS44" s="635" t="s">
        <v>371</v>
      </c>
      <c r="AT44" s="632" t="s">
        <v>373</v>
      </c>
      <c r="AU44" s="633"/>
      <c r="AV44" s="633"/>
      <c r="AW44" s="634"/>
      <c r="AX44" s="635" t="s">
        <v>371</v>
      </c>
      <c r="BA44" s="635" t="s">
        <v>371</v>
      </c>
    </row>
    <row r="45" spans="2:53">
      <c r="B45" s="635"/>
      <c r="C45" s="635"/>
      <c r="D45" s="635"/>
      <c r="E45" s="635" t="s">
        <v>555</v>
      </c>
      <c r="F45" s="635"/>
      <c r="G45" s="635"/>
      <c r="H45" s="652"/>
      <c r="I45" s="635" t="s">
        <v>555</v>
      </c>
      <c r="J45" s="635"/>
      <c r="K45" s="635"/>
      <c r="L45" s="652"/>
      <c r="M45" s="637"/>
      <c r="N45" s="635"/>
      <c r="O45" s="635"/>
      <c r="P45" s="632" t="s">
        <v>379</v>
      </c>
      <c r="Q45" s="633"/>
      <c r="R45" s="633"/>
      <c r="S45" s="634"/>
      <c r="T45" s="635"/>
      <c r="U45" s="632" t="s">
        <v>379</v>
      </c>
      <c r="V45" s="633"/>
      <c r="W45" s="633"/>
      <c r="X45" s="634"/>
      <c r="Y45" s="635"/>
      <c r="Z45" s="632" t="s">
        <v>379</v>
      </c>
      <c r="AA45" s="633"/>
      <c r="AB45" s="633"/>
      <c r="AC45" s="634"/>
      <c r="AD45" s="635"/>
      <c r="AE45" s="632" t="s">
        <v>379</v>
      </c>
      <c r="AF45" s="633"/>
      <c r="AG45" s="633"/>
      <c r="AH45" s="634"/>
      <c r="AI45" s="635"/>
      <c r="AJ45" s="632" t="s">
        <v>379</v>
      </c>
      <c r="AK45" s="633"/>
      <c r="AL45" s="633"/>
      <c r="AM45" s="634"/>
      <c r="AN45" s="635"/>
      <c r="AO45" s="632" t="s">
        <v>379</v>
      </c>
      <c r="AP45" s="633"/>
      <c r="AQ45" s="633"/>
      <c r="AR45" s="634"/>
      <c r="AS45" s="635"/>
      <c r="AT45" s="632" t="s">
        <v>379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408" t="s">
        <v>556</v>
      </c>
      <c r="F46" s="408" t="s">
        <v>557</v>
      </c>
      <c r="G46" s="408" t="s">
        <v>558</v>
      </c>
      <c r="H46" s="653"/>
      <c r="I46" s="408" t="s">
        <v>556</v>
      </c>
      <c r="J46" s="408" t="s">
        <v>557</v>
      </c>
      <c r="K46" s="408" t="s">
        <v>558</v>
      </c>
      <c r="L46" s="653"/>
      <c r="M46" s="638"/>
      <c r="N46" s="635"/>
      <c r="O46" s="635"/>
      <c r="P46" s="408" t="s">
        <v>380</v>
      </c>
      <c r="Q46" s="408" t="s">
        <v>381</v>
      </c>
      <c r="R46" s="408" t="s">
        <v>382</v>
      </c>
      <c r="S46" s="408" t="s">
        <v>372</v>
      </c>
      <c r="T46" s="635"/>
      <c r="U46" s="408" t="s">
        <v>380</v>
      </c>
      <c r="V46" s="408" t="s">
        <v>381</v>
      </c>
      <c r="W46" s="408" t="s">
        <v>382</v>
      </c>
      <c r="X46" s="408" t="s">
        <v>372</v>
      </c>
      <c r="Y46" s="635"/>
      <c r="Z46" s="408" t="s">
        <v>380</v>
      </c>
      <c r="AA46" s="408" t="s">
        <v>381</v>
      </c>
      <c r="AB46" s="408" t="s">
        <v>382</v>
      </c>
      <c r="AC46" s="408" t="s">
        <v>372</v>
      </c>
      <c r="AD46" s="635"/>
      <c r="AE46" s="408" t="s">
        <v>380</v>
      </c>
      <c r="AF46" s="408" t="s">
        <v>381</v>
      </c>
      <c r="AG46" s="408" t="s">
        <v>382</v>
      </c>
      <c r="AH46" s="408" t="s">
        <v>372</v>
      </c>
      <c r="AI46" s="635"/>
      <c r="AJ46" s="408" t="s">
        <v>380</v>
      </c>
      <c r="AK46" s="408" t="s">
        <v>381</v>
      </c>
      <c r="AL46" s="408" t="s">
        <v>382</v>
      </c>
      <c r="AM46" s="408" t="s">
        <v>372</v>
      </c>
      <c r="AN46" s="635"/>
      <c r="AO46" s="408" t="s">
        <v>380</v>
      </c>
      <c r="AP46" s="408" t="s">
        <v>381</v>
      </c>
      <c r="AQ46" s="408" t="s">
        <v>382</v>
      </c>
      <c r="AR46" s="408" t="s">
        <v>372</v>
      </c>
      <c r="AS46" s="635"/>
      <c r="AT46" s="408" t="s">
        <v>380</v>
      </c>
      <c r="AU46" s="408" t="s">
        <v>381</v>
      </c>
      <c r="AV46" s="408" t="s">
        <v>382</v>
      </c>
      <c r="AW46" s="408" t="s">
        <v>372</v>
      </c>
      <c r="AX46" s="635"/>
      <c r="AZ46" s="397" t="s">
        <v>579</v>
      </c>
      <c r="BA46" s="635"/>
    </row>
    <row r="47" spans="2:53">
      <c r="B47" s="635" t="s">
        <v>478</v>
      </c>
      <c r="C47" s="411">
        <v>1</v>
      </c>
      <c r="D47" s="225" t="s">
        <v>354</v>
      </c>
      <c r="E47" s="416">
        <v>20</v>
      </c>
      <c r="F47" s="495">
        <v>2400</v>
      </c>
      <c r="G47" s="496">
        <v>120</v>
      </c>
      <c r="H47" s="679">
        <f>AVERAGE(G47:G61)</f>
        <v>135.92479661721146</v>
      </c>
      <c r="I47" s="413">
        <f t="shared" ref="I47:I60" si="38">IFERROR(AVERAGE(P47,U47,Z47,AE47,AJ47,AO47,AT47),"-")</f>
        <v>20</v>
      </c>
      <c r="J47" s="413">
        <f t="shared" ref="J47:J60" si="39">IFERROR(AVERAGE(Q47,V47,AA47,AF47,AK47,AP47,AU47),"-")</f>
        <v>2359.3893427420103</v>
      </c>
      <c r="K47" s="199">
        <f t="shared" ref="K47:K60" si="40">IFERROR(AVERAGE(R47,W47,AB47,AG47,AL47,AQ47,AV47),"-")</f>
        <v>117.96946713710051</v>
      </c>
      <c r="L47" s="616">
        <f>IFERROR(AVERAGE(K47:K61),"-")</f>
        <v>127.10790946025114</v>
      </c>
      <c r="M47" s="417">
        <f>RANK(K47, K$47:$K$61)</f>
        <v>8</v>
      </c>
      <c r="N47" s="635"/>
      <c r="O47" s="635"/>
      <c r="P47" s="549">
        <v>20</v>
      </c>
      <c r="Q47" s="416">
        <v>2396.7735849056598</v>
      </c>
      <c r="R47" s="416">
        <v>119.83867924528299</v>
      </c>
      <c r="S47" s="549">
        <f t="shared" ref="S47:S61" si="41">RANK(R47, R$47:R$61)</f>
        <v>8</v>
      </c>
      <c r="T47" s="644">
        <f t="shared" ref="T47" si="42">AVERAGE(R47:R61)</f>
        <v>130.37933024923194</v>
      </c>
      <c r="U47" s="549">
        <v>20</v>
      </c>
      <c r="V47" s="416">
        <v>2373.7931034482754</v>
      </c>
      <c r="W47" s="416">
        <v>118.68965517241377</v>
      </c>
      <c r="X47" s="549">
        <f t="shared" ref="X47:X61" si="43">RANK(W47, W$47:W$61)</f>
        <v>9</v>
      </c>
      <c r="Y47" s="644">
        <f t="shared" ref="Y47" si="44">AVERAGE(W47:W61)</f>
        <v>129.03478564529257</v>
      </c>
      <c r="Z47" s="549">
        <v>20</v>
      </c>
      <c r="AA47" s="416">
        <v>2349.4186046511622</v>
      </c>
      <c r="AB47" s="416">
        <v>117.47093023255812</v>
      </c>
      <c r="AC47" s="549">
        <f t="shared" ref="AC47:AC61" si="45">RANK(AB47, AB$47:AB$61)</f>
        <v>9</v>
      </c>
      <c r="AD47" s="644">
        <f t="shared" ref="AD47" si="46">AVERAGE(AB47:AB61)</f>
        <v>127.41149112500695</v>
      </c>
      <c r="AE47" s="549">
        <v>20</v>
      </c>
      <c r="AF47" s="416">
        <v>2358.8461538461538</v>
      </c>
      <c r="AG47" s="416">
        <v>117.94230769230769</v>
      </c>
      <c r="AH47" s="549">
        <f t="shared" ref="AH47:AH61" si="47">RANK(AG47, AG$47:AG$61)</f>
        <v>8</v>
      </c>
      <c r="AI47" s="644">
        <f t="shared" ref="AI47" si="48">AVERAGE(AG47:AG61)</f>
        <v>126.88270560550205</v>
      </c>
      <c r="AJ47" s="549">
        <v>20</v>
      </c>
      <c r="AK47" s="416">
        <v>2383.2298136645963</v>
      </c>
      <c r="AL47" s="416">
        <v>119.16149068322981</v>
      </c>
      <c r="AM47" s="549">
        <f t="shared" ref="AM47:AM61" si="49">RANK(AL47, AL$47:AL$61)</f>
        <v>9</v>
      </c>
      <c r="AN47" s="644">
        <f t="shared" ref="AN47" si="50">AVERAGE(AL47:AL61)</f>
        <v>128.34657886747539</v>
      </c>
      <c r="AO47" s="549">
        <v>20</v>
      </c>
      <c r="AP47" s="416">
        <v>2367.9718309859159</v>
      </c>
      <c r="AQ47" s="416">
        <v>118.39859154929579</v>
      </c>
      <c r="AR47" s="549">
        <f t="shared" ref="AR47:AR61" si="51">RANK(AQ47, AQ$47:AQ$61)</f>
        <v>8</v>
      </c>
      <c r="AS47" s="644">
        <f t="shared" ref="AS47" si="52">AVERAGE(AQ47:AQ61)</f>
        <v>125.98097939036097</v>
      </c>
      <c r="AT47" s="549">
        <v>20</v>
      </c>
      <c r="AU47" s="416">
        <v>2285.6923076923076</v>
      </c>
      <c r="AV47" s="416">
        <v>114.28461538461538</v>
      </c>
      <c r="AW47" s="549">
        <f t="shared" ref="AW47:AW61" si="53">RANK(AV47, AV$47:AV$61)</f>
        <v>8</v>
      </c>
      <c r="AX47" s="644">
        <f t="shared" ref="AX47" si="54">AVERAGE(AV47:AV61)</f>
        <v>121.71949533888809</v>
      </c>
      <c r="AZ47" s="398" t="e">
        <f t="shared" ref="AZ47:AZ61" si="55">RANK(AY47, AY$47:AY$61)</f>
        <v>#N/A</v>
      </c>
      <c r="BA47" s="644" t="e">
        <f t="shared" ref="BA47" si="56">AVERAGE(AY47:AY61)</f>
        <v>#DIV/0!</v>
      </c>
    </row>
    <row r="48" spans="2:53">
      <c r="B48" s="643"/>
      <c r="C48" s="411">
        <v>2</v>
      </c>
      <c r="D48" s="225" t="s">
        <v>355</v>
      </c>
      <c r="E48" s="416">
        <v>18</v>
      </c>
      <c r="F48" s="495">
        <v>2769</v>
      </c>
      <c r="G48" s="496">
        <v>153.83333333333334</v>
      </c>
      <c r="H48" s="680"/>
      <c r="I48" s="413">
        <f t="shared" si="38"/>
        <v>18.571428571428573</v>
      </c>
      <c r="J48" s="413">
        <f t="shared" si="39"/>
        <v>2536.5337104918026</v>
      </c>
      <c r="K48" s="199">
        <f t="shared" si="40"/>
        <v>136.68861578283685</v>
      </c>
      <c r="L48" s="617"/>
      <c r="M48" s="481">
        <f>RANK(K48, K$47:$K$61)</f>
        <v>4</v>
      </c>
      <c r="N48" s="635"/>
      <c r="O48" s="635"/>
      <c r="P48" s="549">
        <v>18</v>
      </c>
      <c r="Q48" s="416">
        <v>2670.666666666667</v>
      </c>
      <c r="R48" s="416">
        <v>148.37037037037038</v>
      </c>
      <c r="S48" s="549">
        <f t="shared" si="41"/>
        <v>1</v>
      </c>
      <c r="T48" s="645"/>
      <c r="U48" s="549">
        <v>18</v>
      </c>
      <c r="V48" s="416">
        <v>2505.5172413793121</v>
      </c>
      <c r="W48" s="416">
        <v>139.19540229885067</v>
      </c>
      <c r="X48" s="549">
        <f t="shared" si="43"/>
        <v>4</v>
      </c>
      <c r="Y48" s="645"/>
      <c r="Z48" s="549">
        <v>19</v>
      </c>
      <c r="AA48" s="416">
        <v>2526.206896551726</v>
      </c>
      <c r="AB48" s="416">
        <v>132.95825771324874</v>
      </c>
      <c r="AC48" s="549">
        <f t="shared" si="45"/>
        <v>4</v>
      </c>
      <c r="AD48" s="645"/>
      <c r="AE48" s="549">
        <v>19</v>
      </c>
      <c r="AF48" s="416">
        <v>2537.1428571428592</v>
      </c>
      <c r="AG48" s="416">
        <v>133.53383458646627</v>
      </c>
      <c r="AH48" s="549">
        <f t="shared" si="47"/>
        <v>4</v>
      </c>
      <c r="AI48" s="645"/>
      <c r="AJ48" s="549">
        <v>19</v>
      </c>
      <c r="AK48" s="416">
        <v>2528.5714285714303</v>
      </c>
      <c r="AL48" s="416">
        <v>133.08270676691737</v>
      </c>
      <c r="AM48" s="549">
        <f t="shared" si="49"/>
        <v>5</v>
      </c>
      <c r="AN48" s="645"/>
      <c r="AO48" s="549">
        <v>19</v>
      </c>
      <c r="AP48" s="416">
        <v>2534.5161290322603</v>
      </c>
      <c r="AQ48" s="416">
        <v>133.39558573854001</v>
      </c>
      <c r="AR48" s="549">
        <f t="shared" si="51"/>
        <v>5</v>
      </c>
      <c r="AS48" s="645"/>
      <c r="AT48" s="549">
        <v>18</v>
      </c>
      <c r="AU48" s="416">
        <v>2453.1147540983629</v>
      </c>
      <c r="AV48" s="416">
        <v>136.28415300546462</v>
      </c>
      <c r="AW48" s="549">
        <f t="shared" si="53"/>
        <v>2</v>
      </c>
      <c r="AX48" s="645"/>
      <c r="AZ48" s="479" t="e">
        <f t="shared" si="55"/>
        <v>#N/A</v>
      </c>
      <c r="BA48" s="645"/>
    </row>
    <row r="49" spans="2:53">
      <c r="B49" s="643"/>
      <c r="C49" s="411">
        <v>3</v>
      </c>
      <c r="D49" s="225" t="s">
        <v>356</v>
      </c>
      <c r="E49" s="416">
        <v>19</v>
      </c>
      <c r="F49" s="495">
        <v>2769</v>
      </c>
      <c r="G49" s="496">
        <v>145.73684210526315</v>
      </c>
      <c r="H49" s="680"/>
      <c r="I49" s="413">
        <f t="shared" si="38"/>
        <v>18.714285714285715</v>
      </c>
      <c r="J49" s="413">
        <f t="shared" si="39"/>
        <v>2539.0668938005524</v>
      </c>
      <c r="K49" s="199">
        <f t="shared" si="40"/>
        <v>135.73476930233025</v>
      </c>
      <c r="L49" s="617"/>
      <c r="M49" s="481">
        <f>RANK(K49, K$47:$K$61)</f>
        <v>5</v>
      </c>
      <c r="N49" s="635"/>
      <c r="O49" s="635"/>
      <c r="P49" s="549">
        <v>18</v>
      </c>
      <c r="Q49" s="416">
        <v>2563.199999999998</v>
      </c>
      <c r="R49" s="416">
        <v>142.39999999999989</v>
      </c>
      <c r="S49" s="549">
        <f t="shared" si="41"/>
        <v>4</v>
      </c>
      <c r="T49" s="645"/>
      <c r="U49" s="549">
        <v>18</v>
      </c>
      <c r="V49" s="416">
        <v>2463.409090909091</v>
      </c>
      <c r="W49" s="416">
        <v>136.85606060606062</v>
      </c>
      <c r="X49" s="549">
        <f t="shared" si="43"/>
        <v>5</v>
      </c>
      <c r="Y49" s="645"/>
      <c r="Z49" s="549">
        <v>19</v>
      </c>
      <c r="AA49" s="416">
        <v>2482.2222222222213</v>
      </c>
      <c r="AB49" s="416">
        <v>130.64327485380113</v>
      </c>
      <c r="AC49" s="549">
        <f t="shared" si="45"/>
        <v>5</v>
      </c>
      <c r="AD49" s="645"/>
      <c r="AE49" s="549">
        <v>19</v>
      </c>
      <c r="AF49" s="416">
        <v>2431.8518518518513</v>
      </c>
      <c r="AG49" s="416">
        <v>127.99220272904481</v>
      </c>
      <c r="AH49" s="549">
        <f t="shared" si="47"/>
        <v>5</v>
      </c>
      <c r="AI49" s="645"/>
      <c r="AJ49" s="549">
        <v>19</v>
      </c>
      <c r="AK49" s="416">
        <v>2589.863013698628</v>
      </c>
      <c r="AL49" s="416">
        <v>136.30857966834884</v>
      </c>
      <c r="AM49" s="549">
        <f t="shared" si="49"/>
        <v>4</v>
      </c>
      <c r="AN49" s="645"/>
      <c r="AO49" s="549">
        <v>19</v>
      </c>
      <c r="AP49" s="416">
        <v>2619.2857142857133</v>
      </c>
      <c r="AQ49" s="416">
        <v>137.8571428571428</v>
      </c>
      <c r="AR49" s="549">
        <f t="shared" si="51"/>
        <v>3</v>
      </c>
      <c r="AS49" s="645"/>
      <c r="AT49" s="549">
        <v>19</v>
      </c>
      <c r="AU49" s="416">
        <v>2623.6363636363621</v>
      </c>
      <c r="AV49" s="416">
        <v>138.08612440191379</v>
      </c>
      <c r="AW49" s="549">
        <f t="shared" si="53"/>
        <v>1</v>
      </c>
      <c r="AX49" s="645"/>
      <c r="AZ49" s="479" t="e">
        <f t="shared" si="55"/>
        <v>#N/A</v>
      </c>
      <c r="BA49" s="645"/>
    </row>
    <row r="50" spans="2:53">
      <c r="B50" s="643"/>
      <c r="C50" s="411">
        <v>4</v>
      </c>
      <c r="D50" s="225" t="s">
        <v>357</v>
      </c>
      <c r="E50" s="416">
        <v>20</v>
      </c>
      <c r="F50" s="495">
        <v>2769</v>
      </c>
      <c r="G50" s="496">
        <v>138.44999999999999</v>
      </c>
      <c r="H50" s="680"/>
      <c r="I50" s="413">
        <f t="shared" si="38"/>
        <v>19.285714285714285</v>
      </c>
      <c r="J50" s="413">
        <f t="shared" si="39"/>
        <v>2409.8977217930128</v>
      </c>
      <c r="K50" s="199">
        <f t="shared" si="40"/>
        <v>125.03007264631205</v>
      </c>
      <c r="L50" s="617"/>
      <c r="M50" s="481">
        <f>RANK(K50, K$47:$K$61)</f>
        <v>6</v>
      </c>
      <c r="N50" s="635"/>
      <c r="O50" s="635"/>
      <c r="P50" s="549">
        <v>19</v>
      </c>
      <c r="Q50" s="416">
        <v>2409.8823529411761</v>
      </c>
      <c r="R50" s="416">
        <v>126.83591331269348</v>
      </c>
      <c r="S50" s="549">
        <f t="shared" si="41"/>
        <v>6</v>
      </c>
      <c r="T50" s="645"/>
      <c r="U50" s="549">
        <v>19</v>
      </c>
      <c r="V50" s="416">
        <v>2414.8672566371697</v>
      </c>
      <c r="W50" s="416">
        <v>127.0982766651142</v>
      </c>
      <c r="X50" s="549">
        <f t="shared" si="43"/>
        <v>7</v>
      </c>
      <c r="Y50" s="645"/>
      <c r="Z50" s="549">
        <v>19</v>
      </c>
      <c r="AA50" s="416">
        <v>2391.5789473684194</v>
      </c>
      <c r="AB50" s="416">
        <v>125.87257617728524</v>
      </c>
      <c r="AC50" s="549">
        <f t="shared" si="45"/>
        <v>7</v>
      </c>
      <c r="AD50" s="645"/>
      <c r="AE50" s="549">
        <v>19</v>
      </c>
      <c r="AF50" s="416">
        <v>2425.7142857142835</v>
      </c>
      <c r="AG50" s="416">
        <v>127.66917293233071</v>
      </c>
      <c r="AH50" s="549">
        <f t="shared" si="47"/>
        <v>6</v>
      </c>
      <c r="AI50" s="645"/>
      <c r="AJ50" s="549">
        <v>19</v>
      </c>
      <c r="AK50" s="416">
        <v>2421.5533980582532</v>
      </c>
      <c r="AL50" s="416">
        <v>127.45017884517122</v>
      </c>
      <c r="AM50" s="549">
        <f t="shared" si="49"/>
        <v>6</v>
      </c>
      <c r="AN50" s="645"/>
      <c r="AO50" s="549">
        <v>20</v>
      </c>
      <c r="AP50" s="416">
        <v>2426.5573770491796</v>
      </c>
      <c r="AQ50" s="416">
        <v>121.32786885245898</v>
      </c>
      <c r="AR50" s="549">
        <f t="shared" si="51"/>
        <v>6</v>
      </c>
      <c r="AS50" s="645"/>
      <c r="AT50" s="549">
        <v>20</v>
      </c>
      <c r="AU50" s="416">
        <v>2379.1304347826103</v>
      </c>
      <c r="AV50" s="416">
        <v>118.95652173913052</v>
      </c>
      <c r="AW50" s="549">
        <f t="shared" si="53"/>
        <v>6</v>
      </c>
      <c r="AX50" s="645"/>
      <c r="AZ50" s="479" t="e">
        <f t="shared" si="55"/>
        <v>#N/A</v>
      </c>
      <c r="BA50" s="645"/>
    </row>
    <row r="51" spans="2:53">
      <c r="B51" s="643"/>
      <c r="C51" s="411">
        <v>5</v>
      </c>
      <c r="D51" s="225" t="s">
        <v>524</v>
      </c>
      <c r="E51" s="416">
        <v>18</v>
      </c>
      <c r="F51" s="495">
        <v>2400</v>
      </c>
      <c r="G51" s="496">
        <v>133.33333333333334</v>
      </c>
      <c r="H51" s="680"/>
      <c r="I51" s="413">
        <f t="shared" si="38"/>
        <v>17.714285714285715</v>
      </c>
      <c r="J51" s="413">
        <f t="shared" si="39"/>
        <v>2171.1908479022945</v>
      </c>
      <c r="K51" s="199">
        <f t="shared" si="40"/>
        <v>122.67445987078906</v>
      </c>
      <c r="L51" s="617"/>
      <c r="M51" s="481">
        <f>RANK(K51, K$47:$K$61)</f>
        <v>7</v>
      </c>
      <c r="N51" s="635"/>
      <c r="O51" s="635"/>
      <c r="P51" s="549">
        <v>18</v>
      </c>
      <c r="Q51" s="416">
        <v>2179.336956521739</v>
      </c>
      <c r="R51" s="416">
        <v>121.07427536231883</v>
      </c>
      <c r="S51" s="549">
        <f t="shared" si="41"/>
        <v>7</v>
      </c>
      <c r="T51" s="645"/>
      <c r="U51" s="549">
        <v>17</v>
      </c>
      <c r="V51" s="416">
        <v>2220.8571428571431</v>
      </c>
      <c r="W51" s="416">
        <v>130.63865546218489</v>
      </c>
      <c r="X51" s="549">
        <f t="shared" si="43"/>
        <v>6</v>
      </c>
      <c r="Y51" s="645"/>
      <c r="Z51" s="549">
        <v>17</v>
      </c>
      <c r="AA51" s="416">
        <v>2176.1250000000009</v>
      </c>
      <c r="AB51" s="416">
        <v>128.00735294117652</v>
      </c>
      <c r="AC51" s="549">
        <f t="shared" si="45"/>
        <v>6</v>
      </c>
      <c r="AD51" s="645"/>
      <c r="AE51" s="549">
        <v>18</v>
      </c>
      <c r="AF51" s="416">
        <v>2148.1744186046508</v>
      </c>
      <c r="AG51" s="416">
        <v>119.34302325581393</v>
      </c>
      <c r="AH51" s="549">
        <f t="shared" si="47"/>
        <v>7</v>
      </c>
      <c r="AI51" s="645"/>
      <c r="AJ51" s="549">
        <v>18</v>
      </c>
      <c r="AK51" s="416">
        <v>2178.6206896551721</v>
      </c>
      <c r="AL51" s="416">
        <v>121.03448275862067</v>
      </c>
      <c r="AM51" s="549">
        <f t="shared" si="49"/>
        <v>7</v>
      </c>
      <c r="AN51" s="645"/>
      <c r="AO51" s="549">
        <v>18</v>
      </c>
      <c r="AP51" s="416">
        <v>2166.8256880733948</v>
      </c>
      <c r="AQ51" s="416">
        <v>120.37920489296637</v>
      </c>
      <c r="AR51" s="549">
        <f t="shared" si="51"/>
        <v>7</v>
      </c>
      <c r="AS51" s="645"/>
      <c r="AT51" s="549">
        <v>18</v>
      </c>
      <c r="AU51" s="416">
        <v>2128.3960396039606</v>
      </c>
      <c r="AV51" s="416">
        <v>118.24422442244226</v>
      </c>
      <c r="AW51" s="549">
        <f t="shared" si="53"/>
        <v>7</v>
      </c>
      <c r="AX51" s="645"/>
      <c r="AZ51" s="479" t="e">
        <f t="shared" si="55"/>
        <v>#N/A</v>
      </c>
      <c r="BA51" s="645"/>
    </row>
    <row r="52" spans="2:53">
      <c r="B52" s="643"/>
      <c r="C52" s="411">
        <v>6</v>
      </c>
      <c r="D52" s="225" t="s">
        <v>625</v>
      </c>
      <c r="E52" s="416">
        <v>17</v>
      </c>
      <c r="F52" s="495">
        <v>2571</v>
      </c>
      <c r="G52" s="496">
        <v>151.23529411764707</v>
      </c>
      <c r="H52" s="680"/>
      <c r="I52" s="413">
        <f t="shared" si="38"/>
        <v>17</v>
      </c>
      <c r="J52" s="413">
        <f t="shared" si="39"/>
        <v>2387.6549431288504</v>
      </c>
      <c r="K52" s="199">
        <f t="shared" si="40"/>
        <v>140.45029077228531</v>
      </c>
      <c r="L52" s="617"/>
      <c r="M52" s="481">
        <f>RANK(K52, K$47:$K$61)</f>
        <v>1</v>
      </c>
      <c r="N52" s="635"/>
      <c r="O52" s="635"/>
      <c r="P52" s="549">
        <v>17</v>
      </c>
      <c r="Q52" s="416">
        <v>2413.4999999999991</v>
      </c>
      <c r="R52" s="416">
        <v>141.97058823529406</v>
      </c>
      <c r="S52" s="549">
        <f t="shared" si="41"/>
        <v>5</v>
      </c>
      <c r="T52" s="645"/>
      <c r="U52" s="549">
        <v>17</v>
      </c>
      <c r="V52" s="416">
        <v>2385.333333333333</v>
      </c>
      <c r="W52" s="416">
        <v>140.31372549019605</v>
      </c>
      <c r="X52" s="549">
        <f t="shared" si="43"/>
        <v>3</v>
      </c>
      <c r="Y52" s="645"/>
      <c r="Z52" s="549">
        <v>17</v>
      </c>
      <c r="AA52" s="416">
        <v>2414.6341463414624</v>
      </c>
      <c r="AB52" s="416">
        <v>142.03730272596837</v>
      </c>
      <c r="AC52" s="549">
        <f t="shared" si="45"/>
        <v>2</v>
      </c>
      <c r="AD52" s="645"/>
      <c r="AE52" s="549">
        <v>17</v>
      </c>
      <c r="AF52" s="416">
        <v>2411.7073170731701</v>
      </c>
      <c r="AG52" s="416">
        <v>141.86513629842176</v>
      </c>
      <c r="AH52" s="549">
        <f t="shared" si="47"/>
        <v>3</v>
      </c>
      <c r="AI52" s="645"/>
      <c r="AJ52" s="549">
        <v>17</v>
      </c>
      <c r="AK52" s="416">
        <v>2450.2702702702682</v>
      </c>
      <c r="AL52" s="416">
        <v>144.13354531001576</v>
      </c>
      <c r="AM52" s="549">
        <f t="shared" si="49"/>
        <v>1</v>
      </c>
      <c r="AN52" s="645"/>
      <c r="AO52" s="549">
        <v>17</v>
      </c>
      <c r="AP52" s="416">
        <v>2376.2790697674413</v>
      </c>
      <c r="AQ52" s="416">
        <v>139.78112175102595</v>
      </c>
      <c r="AR52" s="549">
        <f t="shared" si="51"/>
        <v>2</v>
      </c>
      <c r="AS52" s="645"/>
      <c r="AT52" s="549">
        <v>17</v>
      </c>
      <c r="AU52" s="416">
        <v>2261.8604651162786</v>
      </c>
      <c r="AV52" s="416">
        <v>133.05061559507521</v>
      </c>
      <c r="AW52" s="549">
        <f t="shared" si="53"/>
        <v>3</v>
      </c>
      <c r="AX52" s="645"/>
      <c r="AZ52" s="479" t="e">
        <f t="shared" si="55"/>
        <v>#N/A</v>
      </c>
      <c r="BA52" s="645"/>
    </row>
    <row r="53" spans="2:53">
      <c r="B53" s="643"/>
      <c r="C53" s="411">
        <v>7</v>
      </c>
      <c r="D53" s="225" t="s">
        <v>637</v>
      </c>
      <c r="E53" s="416">
        <v>18</v>
      </c>
      <c r="F53" s="495">
        <v>2571</v>
      </c>
      <c r="G53" s="496">
        <v>142.83333333333334</v>
      </c>
      <c r="H53" s="680"/>
      <c r="I53" s="413">
        <f t="shared" si="38"/>
        <v>17.142857142857142</v>
      </c>
      <c r="J53" s="413">
        <f t="shared" si="39"/>
        <v>2396.2975590124802</v>
      </c>
      <c r="K53" s="199">
        <f t="shared" si="40"/>
        <v>139.89863092230277</v>
      </c>
      <c r="L53" s="617"/>
      <c r="M53" s="481">
        <f>RANK(K53, K$47:$K$61)</f>
        <v>2</v>
      </c>
      <c r="N53" s="635"/>
      <c r="O53" s="635"/>
      <c r="P53" s="549">
        <v>17</v>
      </c>
      <c r="Q53" s="416">
        <v>2434.2857142857092</v>
      </c>
      <c r="R53" s="416">
        <v>143.19327731092406</v>
      </c>
      <c r="S53" s="549">
        <f t="shared" si="41"/>
        <v>3</v>
      </c>
      <c r="T53" s="645"/>
      <c r="U53" s="549">
        <v>17</v>
      </c>
      <c r="V53" s="416">
        <v>2415.8823529411734</v>
      </c>
      <c r="W53" s="416">
        <v>142.11072664359844</v>
      </c>
      <c r="X53" s="549">
        <f t="shared" si="43"/>
        <v>1</v>
      </c>
      <c r="Y53" s="645"/>
      <c r="Z53" s="549">
        <v>17</v>
      </c>
      <c r="AA53" s="416">
        <v>2423.2258064516091</v>
      </c>
      <c r="AB53" s="416">
        <v>142.54269449715346</v>
      </c>
      <c r="AC53" s="549">
        <f t="shared" si="45"/>
        <v>1</v>
      </c>
      <c r="AD53" s="645"/>
      <c r="AE53" s="549">
        <v>17</v>
      </c>
      <c r="AF53" s="416">
        <v>2466.206896551726</v>
      </c>
      <c r="AG53" s="416">
        <v>145.07099391480742</v>
      </c>
      <c r="AH53" s="549">
        <f t="shared" si="47"/>
        <v>1</v>
      </c>
      <c r="AI53" s="645"/>
      <c r="AJ53" s="549">
        <v>17</v>
      </c>
      <c r="AK53" s="416">
        <v>2367.8571428571445</v>
      </c>
      <c r="AL53" s="416">
        <v>139.28571428571439</v>
      </c>
      <c r="AM53" s="549">
        <f t="shared" si="49"/>
        <v>3</v>
      </c>
      <c r="AN53" s="645"/>
      <c r="AO53" s="549">
        <v>17</v>
      </c>
      <c r="AP53" s="416">
        <v>2396.0000000000023</v>
      </c>
      <c r="AQ53" s="416">
        <v>140.94117647058837</v>
      </c>
      <c r="AR53" s="549">
        <f t="shared" si="51"/>
        <v>1</v>
      </c>
      <c r="AS53" s="645"/>
      <c r="AT53" s="549">
        <v>18</v>
      </c>
      <c r="AU53" s="416">
        <v>2270.6249999999968</v>
      </c>
      <c r="AV53" s="416">
        <v>126.14583333333316</v>
      </c>
      <c r="AW53" s="549">
        <f t="shared" si="53"/>
        <v>4</v>
      </c>
      <c r="AX53" s="645"/>
      <c r="AZ53" s="479" t="e">
        <f t="shared" si="55"/>
        <v>#N/A</v>
      </c>
      <c r="BA53" s="645"/>
    </row>
    <row r="54" spans="2:53">
      <c r="B54" s="643"/>
      <c r="C54" s="411">
        <v>8</v>
      </c>
      <c r="D54" s="225" t="s">
        <v>708</v>
      </c>
      <c r="E54" s="416">
        <v>19</v>
      </c>
      <c r="F54" s="495">
        <v>2400</v>
      </c>
      <c r="G54" s="496">
        <v>126.31578947368421</v>
      </c>
      <c r="H54" s="680"/>
      <c r="I54" s="413">
        <f t="shared" si="38"/>
        <v>18.285714285714285</v>
      </c>
      <c r="J54" s="413">
        <f t="shared" si="39"/>
        <v>2070.5075487128156</v>
      </c>
      <c r="K54" s="199">
        <f t="shared" si="40"/>
        <v>113.35062924721338</v>
      </c>
      <c r="L54" s="617"/>
      <c r="M54" s="481">
        <f>RANK(K54, K$47:$K$61)</f>
        <v>10</v>
      </c>
      <c r="N54" s="635"/>
      <c r="O54" s="635"/>
      <c r="P54" s="549">
        <v>18</v>
      </c>
      <c r="Q54" s="416">
        <v>2155.3846153846143</v>
      </c>
      <c r="R54" s="416">
        <v>119.74358974358968</v>
      </c>
      <c r="S54" s="549">
        <f t="shared" si="41"/>
        <v>9</v>
      </c>
      <c r="T54" s="645"/>
      <c r="U54" s="549">
        <v>18</v>
      </c>
      <c r="V54" s="416">
        <v>2139.5454545454545</v>
      </c>
      <c r="W54" s="416">
        <v>118.86363636363636</v>
      </c>
      <c r="X54" s="549">
        <f t="shared" si="43"/>
        <v>8</v>
      </c>
      <c r="Y54" s="645"/>
      <c r="Z54" s="549">
        <v>18</v>
      </c>
      <c r="AA54" s="416">
        <v>2127.1428571428564</v>
      </c>
      <c r="AB54" s="416">
        <v>118.17460317460313</v>
      </c>
      <c r="AC54" s="549">
        <f t="shared" si="45"/>
        <v>8</v>
      </c>
      <c r="AD54" s="645"/>
      <c r="AE54" s="549">
        <v>18</v>
      </c>
      <c r="AF54" s="416">
        <v>2029.4999999999993</v>
      </c>
      <c r="AG54" s="416">
        <v>112.74999999999996</v>
      </c>
      <c r="AH54" s="549">
        <f t="shared" si="47"/>
        <v>10</v>
      </c>
      <c r="AI54" s="645"/>
      <c r="AJ54" s="549">
        <v>18</v>
      </c>
      <c r="AK54" s="416">
        <v>2025.8823529411738</v>
      </c>
      <c r="AL54" s="416">
        <v>112.54901960784299</v>
      </c>
      <c r="AM54" s="549">
        <f t="shared" si="49"/>
        <v>11</v>
      </c>
      <c r="AN54" s="645"/>
      <c r="AO54" s="549">
        <v>19</v>
      </c>
      <c r="AP54" s="416">
        <v>1996.0975609756092</v>
      </c>
      <c r="AQ54" s="416">
        <v>105.05776636713733</v>
      </c>
      <c r="AR54" s="549">
        <f t="shared" si="51"/>
        <v>11</v>
      </c>
      <c r="AS54" s="645"/>
      <c r="AT54" s="549">
        <v>19</v>
      </c>
      <c r="AU54" s="416">
        <v>2019.9999999999991</v>
      </c>
      <c r="AV54" s="416">
        <v>106.31578947368416</v>
      </c>
      <c r="AW54" s="549">
        <f t="shared" si="53"/>
        <v>11</v>
      </c>
      <c r="AX54" s="645"/>
      <c r="AZ54" s="479" t="e">
        <f t="shared" si="55"/>
        <v>#N/A</v>
      </c>
      <c r="BA54" s="645"/>
    </row>
    <row r="55" spans="2:53">
      <c r="B55" s="643"/>
      <c r="C55" s="411">
        <v>9</v>
      </c>
      <c r="D55" s="225" t="s">
        <v>718</v>
      </c>
      <c r="E55" s="416">
        <v>18</v>
      </c>
      <c r="F55" s="495">
        <v>2571</v>
      </c>
      <c r="G55" s="496">
        <v>142.83333333333334</v>
      </c>
      <c r="H55" s="680"/>
      <c r="I55" s="413">
        <f t="shared" si="38"/>
        <v>17.285714285714285</v>
      </c>
      <c r="J55" s="413">
        <f t="shared" si="39"/>
        <v>2413.6071851176898</v>
      </c>
      <c r="K55" s="199">
        <f t="shared" si="40"/>
        <v>139.77973464021417</v>
      </c>
      <c r="L55" s="617"/>
      <c r="M55" s="481">
        <f>RANK(K55, K$47:$K$61)</f>
        <v>3</v>
      </c>
      <c r="N55" s="635"/>
      <c r="O55" s="635"/>
      <c r="P55" s="549">
        <v>17</v>
      </c>
      <c r="Q55" s="416">
        <v>2486.0869565217363</v>
      </c>
      <c r="R55" s="416">
        <v>146.24040920716095</v>
      </c>
      <c r="S55" s="549">
        <f t="shared" si="41"/>
        <v>2</v>
      </c>
      <c r="T55" s="645"/>
      <c r="U55" s="549">
        <v>17</v>
      </c>
      <c r="V55" s="416">
        <v>2409.2957746478851</v>
      </c>
      <c r="W55" s="416">
        <v>141.72328086164029</v>
      </c>
      <c r="X55" s="549">
        <f t="shared" si="43"/>
        <v>2</v>
      </c>
      <c r="Y55" s="645"/>
      <c r="Z55" s="549">
        <v>17</v>
      </c>
      <c r="AA55" s="416">
        <v>2409.2957746478851</v>
      </c>
      <c r="AB55" s="416">
        <v>141.72328086164029</v>
      </c>
      <c r="AC55" s="549">
        <f t="shared" si="45"/>
        <v>3</v>
      </c>
      <c r="AD55" s="645"/>
      <c r="AE55" s="549">
        <v>17</v>
      </c>
      <c r="AF55" s="416">
        <v>2452.2580645161293</v>
      </c>
      <c r="AG55" s="416">
        <v>144.25047438330171</v>
      </c>
      <c r="AH55" s="549">
        <f t="shared" si="47"/>
        <v>2</v>
      </c>
      <c r="AI55" s="645"/>
      <c r="AJ55" s="549">
        <v>17</v>
      </c>
      <c r="AK55" s="416">
        <v>2432</v>
      </c>
      <c r="AL55" s="416">
        <v>143.05882352941177</v>
      </c>
      <c r="AM55" s="549">
        <f t="shared" si="49"/>
        <v>2</v>
      </c>
      <c r="AN55" s="645"/>
      <c r="AO55" s="549">
        <v>18</v>
      </c>
      <c r="AP55" s="416">
        <v>2444.666666666667</v>
      </c>
      <c r="AQ55" s="416">
        <v>135.81481481481484</v>
      </c>
      <c r="AR55" s="549">
        <f t="shared" si="51"/>
        <v>4</v>
      </c>
      <c r="AS55" s="645"/>
      <c r="AT55" s="549">
        <v>18</v>
      </c>
      <c r="AU55" s="416">
        <v>2261.6470588235288</v>
      </c>
      <c r="AV55" s="416">
        <v>125.64705882352938</v>
      </c>
      <c r="AW55" s="549">
        <f t="shared" si="53"/>
        <v>5</v>
      </c>
      <c r="AX55" s="645"/>
      <c r="AZ55" s="479" t="e">
        <f t="shared" si="55"/>
        <v>#N/A</v>
      </c>
      <c r="BA55" s="645"/>
    </row>
    <row r="56" spans="2:53">
      <c r="B56" s="643"/>
      <c r="C56" s="411">
        <v>10</v>
      </c>
      <c r="D56" s="225" t="s">
        <v>736</v>
      </c>
      <c r="E56" s="416">
        <v>19</v>
      </c>
      <c r="F56" s="495">
        <v>2400</v>
      </c>
      <c r="G56" s="496">
        <v>126.31578947368421</v>
      </c>
      <c r="H56" s="680"/>
      <c r="I56" s="413">
        <f t="shared" si="38"/>
        <v>19.857142857142858</v>
      </c>
      <c r="J56" s="413">
        <f t="shared" si="39"/>
        <v>2184.1772405419101</v>
      </c>
      <c r="K56" s="199">
        <f t="shared" si="40"/>
        <v>110.00793417555175</v>
      </c>
      <c r="L56" s="617"/>
      <c r="M56" s="481">
        <f>RANK(K56, K$47:$K$61)</f>
        <v>11</v>
      </c>
      <c r="N56" s="635"/>
      <c r="O56" s="635"/>
      <c r="P56" s="549">
        <v>20</v>
      </c>
      <c r="Q56" s="416">
        <v>2109.6428571428587</v>
      </c>
      <c r="R56" s="416">
        <v>105.48214285714293</v>
      </c>
      <c r="S56" s="549">
        <f t="shared" si="41"/>
        <v>11</v>
      </c>
      <c r="T56" s="645"/>
      <c r="U56" s="549">
        <v>20</v>
      </c>
      <c r="V56" s="416">
        <v>2140.4081632653069</v>
      </c>
      <c r="W56" s="416">
        <v>107.02040816326534</v>
      </c>
      <c r="X56" s="549">
        <f t="shared" si="43"/>
        <v>11</v>
      </c>
      <c r="Y56" s="645"/>
      <c r="Z56" s="549">
        <v>20</v>
      </c>
      <c r="AA56" s="416">
        <v>2112.7659574468089</v>
      </c>
      <c r="AB56" s="416">
        <v>105.63829787234044</v>
      </c>
      <c r="AC56" s="549">
        <f t="shared" si="45"/>
        <v>11</v>
      </c>
      <c r="AD56" s="645"/>
      <c r="AE56" s="549">
        <v>20</v>
      </c>
      <c r="AF56" s="416">
        <v>2171.6417910447785</v>
      </c>
      <c r="AG56" s="416">
        <v>108.58208955223893</v>
      </c>
      <c r="AH56" s="549">
        <f t="shared" si="47"/>
        <v>11</v>
      </c>
      <c r="AI56" s="645"/>
      <c r="AJ56" s="549">
        <v>20</v>
      </c>
      <c r="AK56" s="416">
        <v>2328</v>
      </c>
      <c r="AL56" s="416">
        <v>116.4</v>
      </c>
      <c r="AM56" s="549">
        <f t="shared" si="49"/>
        <v>10</v>
      </c>
      <c r="AN56" s="645"/>
      <c r="AO56" s="549">
        <v>20</v>
      </c>
      <c r="AP56" s="416">
        <v>2301.2500000000009</v>
      </c>
      <c r="AQ56" s="416">
        <v>115.06250000000004</v>
      </c>
      <c r="AR56" s="549">
        <f t="shared" si="51"/>
        <v>10</v>
      </c>
      <c r="AS56" s="645"/>
      <c r="AT56" s="549">
        <v>19</v>
      </c>
      <c r="AU56" s="416">
        <v>2125.5319148936173</v>
      </c>
      <c r="AV56" s="416">
        <v>111.87010078387459</v>
      </c>
      <c r="AW56" s="549">
        <f t="shared" si="53"/>
        <v>9</v>
      </c>
      <c r="AX56" s="645"/>
      <c r="AZ56" s="479" t="e">
        <f t="shared" si="55"/>
        <v>#N/A</v>
      </c>
      <c r="BA56" s="645"/>
    </row>
    <row r="57" spans="2:53">
      <c r="B57" s="643"/>
      <c r="C57" s="411">
        <v>11</v>
      </c>
      <c r="D57" s="225" t="s">
        <v>823</v>
      </c>
      <c r="E57" s="416">
        <v>21</v>
      </c>
      <c r="F57" s="495">
        <v>2400</v>
      </c>
      <c r="G57" s="496">
        <v>114.28571428571429</v>
      </c>
      <c r="H57" s="680"/>
      <c r="I57" s="413">
        <f t="shared" si="38"/>
        <v>20</v>
      </c>
      <c r="J57" s="413">
        <f t="shared" si="39"/>
        <v>2332.0479913165282</v>
      </c>
      <c r="K57" s="199">
        <f t="shared" si="40"/>
        <v>116.60239956582642</v>
      </c>
      <c r="L57" s="617"/>
      <c r="M57" s="481">
        <f>RANK(K57, K$47:$K$61)</f>
        <v>9</v>
      </c>
      <c r="N57" s="635"/>
      <c r="O57" s="635"/>
      <c r="P57" s="549">
        <v>20</v>
      </c>
      <c r="Q57" s="416">
        <v>2380.4677419354844</v>
      </c>
      <c r="R57" s="416">
        <v>119.02338709677421</v>
      </c>
      <c r="S57" s="549">
        <f t="shared" si="41"/>
        <v>10</v>
      </c>
      <c r="T57" s="645"/>
      <c r="U57" s="549">
        <v>20</v>
      </c>
      <c r="V57" s="416">
        <v>2337.4562874251501</v>
      </c>
      <c r="W57" s="416">
        <v>116.8728143712575</v>
      </c>
      <c r="X57" s="549">
        <f t="shared" si="43"/>
        <v>10</v>
      </c>
      <c r="Y57" s="645"/>
      <c r="Z57" s="549">
        <v>20</v>
      </c>
      <c r="AA57" s="416">
        <v>2329.1566265060246</v>
      </c>
      <c r="AB57" s="416">
        <v>116.45783132530123</v>
      </c>
      <c r="AC57" s="549">
        <f t="shared" si="45"/>
        <v>10</v>
      </c>
      <c r="AD57" s="645"/>
      <c r="AE57" s="549">
        <v>20</v>
      </c>
      <c r="AF57" s="416">
        <v>2334.2105263157891</v>
      </c>
      <c r="AG57" s="416">
        <v>116.71052631578945</v>
      </c>
      <c r="AH57" s="549">
        <f t="shared" si="47"/>
        <v>9</v>
      </c>
      <c r="AI57" s="645"/>
      <c r="AJ57" s="549">
        <v>20</v>
      </c>
      <c r="AK57" s="416">
        <v>2386.9565217391305</v>
      </c>
      <c r="AL57" s="416">
        <v>119.34782608695653</v>
      </c>
      <c r="AM57" s="549">
        <f t="shared" si="49"/>
        <v>8</v>
      </c>
      <c r="AN57" s="645"/>
      <c r="AO57" s="549">
        <v>20</v>
      </c>
      <c r="AP57" s="416">
        <v>2355.4999999999995</v>
      </c>
      <c r="AQ57" s="416">
        <v>117.77499999999998</v>
      </c>
      <c r="AR57" s="549">
        <f t="shared" si="51"/>
        <v>9</v>
      </c>
      <c r="AS57" s="645"/>
      <c r="AT57" s="549">
        <v>20</v>
      </c>
      <c r="AU57" s="416">
        <v>2200.5882352941185</v>
      </c>
      <c r="AV57" s="416">
        <v>110.02941176470593</v>
      </c>
      <c r="AW57" s="549">
        <f t="shared" si="53"/>
        <v>10</v>
      </c>
      <c r="AX57" s="645"/>
      <c r="AZ57" s="479" t="e">
        <f t="shared" si="55"/>
        <v>#N/A</v>
      </c>
      <c r="BA57" s="645"/>
    </row>
    <row r="58" spans="2:53">
      <c r="B58" s="643"/>
      <c r="C58" s="411">
        <v>12</v>
      </c>
      <c r="D58" s="225"/>
      <c r="E58" s="416"/>
      <c r="F58" s="495"/>
      <c r="G58" s="496"/>
      <c r="H58" s="680"/>
      <c r="I58" s="413" t="str">
        <f t="shared" si="38"/>
        <v>-</v>
      </c>
      <c r="J58" s="413" t="str">
        <f t="shared" si="39"/>
        <v>-</v>
      </c>
      <c r="K58" s="199" t="str">
        <f t="shared" si="40"/>
        <v>-</v>
      </c>
      <c r="L58" s="617"/>
      <c r="M58" s="481" t="e">
        <f>RANK(K58, K$47:$K$61)</f>
        <v>#VALUE!</v>
      </c>
      <c r="N58" s="635"/>
      <c r="O58" s="635"/>
      <c r="P58" s="549" t="s">
        <v>615</v>
      </c>
      <c r="Q58" s="416" t="s">
        <v>615</v>
      </c>
      <c r="R58" s="416" t="s">
        <v>615</v>
      </c>
      <c r="S58" s="549" t="e">
        <f t="shared" si="41"/>
        <v>#VALUE!</v>
      </c>
      <c r="T58" s="645"/>
      <c r="U58" s="549" t="s">
        <v>615</v>
      </c>
      <c r="V58" s="416" t="s">
        <v>615</v>
      </c>
      <c r="W58" s="416" t="s">
        <v>615</v>
      </c>
      <c r="X58" s="549" t="e">
        <f t="shared" si="43"/>
        <v>#VALUE!</v>
      </c>
      <c r="Y58" s="645"/>
      <c r="Z58" s="549" t="s">
        <v>615</v>
      </c>
      <c r="AA58" s="416" t="s">
        <v>615</v>
      </c>
      <c r="AB58" s="416" t="s">
        <v>615</v>
      </c>
      <c r="AC58" s="549" t="e">
        <f t="shared" si="45"/>
        <v>#VALUE!</v>
      </c>
      <c r="AD58" s="645"/>
      <c r="AE58" s="549" t="s">
        <v>615</v>
      </c>
      <c r="AF58" s="416" t="s">
        <v>615</v>
      </c>
      <c r="AG58" s="416" t="s">
        <v>615</v>
      </c>
      <c r="AH58" s="549" t="e">
        <f t="shared" si="47"/>
        <v>#VALUE!</v>
      </c>
      <c r="AI58" s="645"/>
      <c r="AJ58" s="549" t="s">
        <v>615</v>
      </c>
      <c r="AK58" s="416" t="s">
        <v>615</v>
      </c>
      <c r="AL58" s="416" t="s">
        <v>615</v>
      </c>
      <c r="AM58" s="549" t="e">
        <f t="shared" si="49"/>
        <v>#VALUE!</v>
      </c>
      <c r="AN58" s="645"/>
      <c r="AO58" s="549" t="s">
        <v>615</v>
      </c>
      <c r="AP58" s="416" t="s">
        <v>615</v>
      </c>
      <c r="AQ58" s="416" t="s">
        <v>615</v>
      </c>
      <c r="AR58" s="549" t="e">
        <f t="shared" si="51"/>
        <v>#VALUE!</v>
      </c>
      <c r="AS58" s="645"/>
      <c r="AT58" s="549" t="s">
        <v>615</v>
      </c>
      <c r="AU58" s="416" t="s">
        <v>615</v>
      </c>
      <c r="AV58" s="416" t="s">
        <v>615</v>
      </c>
      <c r="AW58" s="549" t="e">
        <f t="shared" si="53"/>
        <v>#VALUE!</v>
      </c>
      <c r="AX58" s="645"/>
      <c r="AZ58" s="479" t="e">
        <f t="shared" si="55"/>
        <v>#N/A</v>
      </c>
      <c r="BA58" s="645"/>
    </row>
    <row r="59" spans="2:53">
      <c r="B59" s="643"/>
      <c r="C59" s="411">
        <v>13</v>
      </c>
      <c r="D59" s="225"/>
      <c r="E59" s="416"/>
      <c r="F59" s="495"/>
      <c r="G59" s="496"/>
      <c r="H59" s="680"/>
      <c r="I59" s="413" t="str">
        <f t="shared" si="38"/>
        <v>-</v>
      </c>
      <c r="J59" s="413" t="str">
        <f t="shared" si="39"/>
        <v>-</v>
      </c>
      <c r="K59" s="199" t="str">
        <f t="shared" si="40"/>
        <v>-</v>
      </c>
      <c r="L59" s="617"/>
      <c r="M59" s="481" t="e">
        <f>RANK(K59, K$47:$K$61)</f>
        <v>#VALUE!</v>
      </c>
      <c r="N59" s="635"/>
      <c r="O59" s="635"/>
      <c r="P59" s="549" t="s">
        <v>615</v>
      </c>
      <c r="Q59" s="416" t="s">
        <v>615</v>
      </c>
      <c r="R59" s="416" t="s">
        <v>615</v>
      </c>
      <c r="S59" s="549" t="e">
        <f t="shared" si="41"/>
        <v>#VALUE!</v>
      </c>
      <c r="T59" s="645"/>
      <c r="U59" s="549" t="s">
        <v>615</v>
      </c>
      <c r="V59" s="416" t="s">
        <v>615</v>
      </c>
      <c r="W59" s="416" t="s">
        <v>615</v>
      </c>
      <c r="X59" s="549" t="e">
        <f t="shared" si="43"/>
        <v>#VALUE!</v>
      </c>
      <c r="Y59" s="645"/>
      <c r="Z59" s="549" t="s">
        <v>615</v>
      </c>
      <c r="AA59" s="416" t="s">
        <v>615</v>
      </c>
      <c r="AB59" s="416" t="s">
        <v>615</v>
      </c>
      <c r="AC59" s="549" t="e">
        <f t="shared" si="45"/>
        <v>#VALUE!</v>
      </c>
      <c r="AD59" s="645"/>
      <c r="AE59" s="549" t="s">
        <v>615</v>
      </c>
      <c r="AF59" s="416" t="s">
        <v>615</v>
      </c>
      <c r="AG59" s="416" t="s">
        <v>615</v>
      </c>
      <c r="AH59" s="549" t="e">
        <f t="shared" si="47"/>
        <v>#VALUE!</v>
      </c>
      <c r="AI59" s="645"/>
      <c r="AJ59" s="549" t="s">
        <v>615</v>
      </c>
      <c r="AK59" s="416" t="s">
        <v>615</v>
      </c>
      <c r="AL59" s="416" t="s">
        <v>615</v>
      </c>
      <c r="AM59" s="549" t="e">
        <f t="shared" si="49"/>
        <v>#VALUE!</v>
      </c>
      <c r="AN59" s="645"/>
      <c r="AO59" s="549" t="s">
        <v>615</v>
      </c>
      <c r="AP59" s="416" t="s">
        <v>615</v>
      </c>
      <c r="AQ59" s="416" t="s">
        <v>615</v>
      </c>
      <c r="AR59" s="549" t="e">
        <f t="shared" si="51"/>
        <v>#VALUE!</v>
      </c>
      <c r="AS59" s="645"/>
      <c r="AT59" s="549" t="s">
        <v>615</v>
      </c>
      <c r="AU59" s="416" t="s">
        <v>615</v>
      </c>
      <c r="AV59" s="416" t="s">
        <v>615</v>
      </c>
      <c r="AW59" s="549" t="e">
        <f t="shared" si="53"/>
        <v>#VALUE!</v>
      </c>
      <c r="AX59" s="645"/>
      <c r="AZ59" s="479" t="e">
        <f t="shared" si="55"/>
        <v>#N/A</v>
      </c>
      <c r="BA59" s="645"/>
    </row>
    <row r="60" spans="2:53">
      <c r="B60" s="643"/>
      <c r="C60" s="411">
        <v>14</v>
      </c>
      <c r="D60" s="225"/>
      <c r="E60" s="416"/>
      <c r="F60" s="495"/>
      <c r="G60" s="496"/>
      <c r="H60" s="680"/>
      <c r="I60" s="413" t="str">
        <f t="shared" si="38"/>
        <v>-</v>
      </c>
      <c r="J60" s="413" t="str">
        <f t="shared" si="39"/>
        <v>-</v>
      </c>
      <c r="K60" s="199" t="str">
        <f t="shared" si="40"/>
        <v>-</v>
      </c>
      <c r="L60" s="617"/>
      <c r="M60" s="481" t="e">
        <f>RANK(K60, K$47:$K$61)</f>
        <v>#VALUE!</v>
      </c>
      <c r="N60" s="635"/>
      <c r="O60" s="635"/>
      <c r="P60" s="549" t="s">
        <v>615</v>
      </c>
      <c r="Q60" s="416" t="s">
        <v>615</v>
      </c>
      <c r="R60" s="416" t="s">
        <v>615</v>
      </c>
      <c r="S60" s="549" t="e">
        <f t="shared" si="41"/>
        <v>#VALUE!</v>
      </c>
      <c r="T60" s="645"/>
      <c r="U60" s="549" t="s">
        <v>615</v>
      </c>
      <c r="V60" s="416" t="s">
        <v>615</v>
      </c>
      <c r="W60" s="416" t="s">
        <v>615</v>
      </c>
      <c r="X60" s="549" t="e">
        <f t="shared" si="43"/>
        <v>#VALUE!</v>
      </c>
      <c r="Y60" s="645"/>
      <c r="Z60" s="549" t="s">
        <v>615</v>
      </c>
      <c r="AA60" s="416" t="s">
        <v>615</v>
      </c>
      <c r="AB60" s="416" t="s">
        <v>615</v>
      </c>
      <c r="AC60" s="549" t="e">
        <f t="shared" si="45"/>
        <v>#VALUE!</v>
      </c>
      <c r="AD60" s="645"/>
      <c r="AE60" s="549" t="s">
        <v>615</v>
      </c>
      <c r="AF60" s="416" t="s">
        <v>615</v>
      </c>
      <c r="AG60" s="416" t="s">
        <v>615</v>
      </c>
      <c r="AH60" s="549" t="e">
        <f t="shared" si="47"/>
        <v>#VALUE!</v>
      </c>
      <c r="AI60" s="645"/>
      <c r="AJ60" s="549" t="s">
        <v>615</v>
      </c>
      <c r="AK60" s="416" t="s">
        <v>615</v>
      </c>
      <c r="AL60" s="416" t="s">
        <v>615</v>
      </c>
      <c r="AM60" s="549" t="e">
        <f t="shared" si="49"/>
        <v>#VALUE!</v>
      </c>
      <c r="AN60" s="645"/>
      <c r="AO60" s="549" t="s">
        <v>615</v>
      </c>
      <c r="AP60" s="416" t="s">
        <v>615</v>
      </c>
      <c r="AQ60" s="416" t="s">
        <v>615</v>
      </c>
      <c r="AR60" s="549" t="e">
        <f t="shared" si="51"/>
        <v>#VALUE!</v>
      </c>
      <c r="AS60" s="645"/>
      <c r="AT60" s="549" t="s">
        <v>615</v>
      </c>
      <c r="AU60" s="416" t="s">
        <v>615</v>
      </c>
      <c r="AV60" s="416" t="s">
        <v>615</v>
      </c>
      <c r="AW60" s="549" t="e">
        <f t="shared" si="53"/>
        <v>#VALUE!</v>
      </c>
      <c r="AX60" s="645"/>
      <c r="AZ60" s="479" t="e">
        <f t="shared" si="55"/>
        <v>#N/A</v>
      </c>
      <c r="BA60" s="645"/>
    </row>
    <row r="61" spans="2:53">
      <c r="B61" s="643"/>
      <c r="C61" s="411">
        <v>15</v>
      </c>
      <c r="D61" s="225"/>
      <c r="E61" s="416"/>
      <c r="F61" s="495"/>
      <c r="G61" s="496"/>
      <c r="H61" s="684"/>
      <c r="I61" s="411"/>
      <c r="J61" s="411"/>
      <c r="K61" s="411"/>
      <c r="L61" s="618"/>
      <c r="M61" s="481" t="e">
        <f>RANK(K61, K$47:$K$61)</f>
        <v>#N/A</v>
      </c>
      <c r="N61" s="635"/>
      <c r="O61" s="635"/>
      <c r="P61" s="549" t="s">
        <v>615</v>
      </c>
      <c r="Q61" s="416" t="s">
        <v>615</v>
      </c>
      <c r="R61" s="416" t="s">
        <v>615</v>
      </c>
      <c r="S61" s="549" t="e">
        <f t="shared" si="41"/>
        <v>#VALUE!</v>
      </c>
      <c r="T61" s="646"/>
      <c r="U61" s="549" t="s">
        <v>615</v>
      </c>
      <c r="V61" s="416" t="s">
        <v>615</v>
      </c>
      <c r="W61" s="416" t="s">
        <v>615</v>
      </c>
      <c r="X61" s="549" t="e">
        <f t="shared" si="43"/>
        <v>#VALUE!</v>
      </c>
      <c r="Y61" s="646"/>
      <c r="Z61" s="549" t="s">
        <v>615</v>
      </c>
      <c r="AA61" s="416" t="s">
        <v>615</v>
      </c>
      <c r="AB61" s="416" t="s">
        <v>615</v>
      </c>
      <c r="AC61" s="549" t="e">
        <f t="shared" si="45"/>
        <v>#VALUE!</v>
      </c>
      <c r="AD61" s="646"/>
      <c r="AE61" s="549" t="s">
        <v>615</v>
      </c>
      <c r="AF61" s="416" t="s">
        <v>615</v>
      </c>
      <c r="AG61" s="416" t="s">
        <v>615</v>
      </c>
      <c r="AH61" s="549" t="e">
        <f t="shared" si="47"/>
        <v>#VALUE!</v>
      </c>
      <c r="AI61" s="646"/>
      <c r="AJ61" s="549" t="s">
        <v>615</v>
      </c>
      <c r="AK61" s="416" t="s">
        <v>615</v>
      </c>
      <c r="AL61" s="416" t="s">
        <v>615</v>
      </c>
      <c r="AM61" s="549" t="e">
        <f t="shared" si="49"/>
        <v>#VALUE!</v>
      </c>
      <c r="AN61" s="646"/>
      <c r="AO61" s="549" t="s">
        <v>615</v>
      </c>
      <c r="AP61" s="416" t="s">
        <v>615</v>
      </c>
      <c r="AQ61" s="416" t="s">
        <v>615</v>
      </c>
      <c r="AR61" s="549" t="e">
        <f t="shared" si="51"/>
        <v>#VALUE!</v>
      </c>
      <c r="AS61" s="646"/>
      <c r="AT61" s="549" t="s">
        <v>615</v>
      </c>
      <c r="AU61" s="416" t="s">
        <v>615</v>
      </c>
      <c r="AV61" s="416" t="s">
        <v>615</v>
      </c>
      <c r="AW61" s="549" t="e">
        <f t="shared" si="53"/>
        <v>#VALUE!</v>
      </c>
      <c r="AX61" s="646"/>
      <c r="AZ61" s="479" t="e">
        <f t="shared" si="55"/>
        <v>#N/A</v>
      </c>
      <c r="BA61" s="646"/>
    </row>
    <row r="62" spans="2:53" ht="15.75">
      <c r="B62" s="647" t="s">
        <v>163</v>
      </c>
      <c r="C62" s="648"/>
      <c r="D62" s="648"/>
      <c r="E62" s="648"/>
      <c r="F62" s="648"/>
      <c r="G62" s="648"/>
      <c r="H62" s="649"/>
      <c r="I62" s="207"/>
      <c r="J62" s="207"/>
      <c r="K62" s="207"/>
      <c r="L62" s="207"/>
      <c r="M62" s="206"/>
      <c r="N62" s="636" t="s">
        <v>156</v>
      </c>
      <c r="O62" s="636" t="s">
        <v>105</v>
      </c>
      <c r="P62" s="642">
        <f>P42+7</f>
        <v>46189</v>
      </c>
      <c r="Q62" s="643"/>
      <c r="R62" s="643"/>
      <c r="S62" s="643"/>
      <c r="T62" s="643"/>
      <c r="U62" s="639">
        <f>P62+1</f>
        <v>46190</v>
      </c>
      <c r="V62" s="640"/>
      <c r="W62" s="640"/>
      <c r="X62" s="640"/>
      <c r="Y62" s="641"/>
      <c r="Z62" s="639">
        <f>U62+1</f>
        <v>46191</v>
      </c>
      <c r="AA62" s="640"/>
      <c r="AB62" s="640"/>
      <c r="AC62" s="640"/>
      <c r="AD62" s="641"/>
      <c r="AE62" s="639">
        <f>Z62+1</f>
        <v>46192</v>
      </c>
      <c r="AF62" s="640"/>
      <c r="AG62" s="640"/>
      <c r="AH62" s="640"/>
      <c r="AI62" s="641"/>
      <c r="AJ62" s="639">
        <f>AE62+1</f>
        <v>46193</v>
      </c>
      <c r="AK62" s="640"/>
      <c r="AL62" s="640"/>
      <c r="AM62" s="640"/>
      <c r="AN62" s="641"/>
      <c r="AO62" s="639">
        <f>AJ62+1</f>
        <v>46194</v>
      </c>
      <c r="AP62" s="640"/>
      <c r="AQ62" s="640"/>
      <c r="AR62" s="640"/>
      <c r="AS62" s="641"/>
      <c r="AT62" s="639">
        <f>AO62+1</f>
        <v>46195</v>
      </c>
      <c r="AU62" s="640"/>
      <c r="AV62" s="640"/>
      <c r="AW62" s="640"/>
      <c r="AX62" s="641"/>
    </row>
    <row r="63" spans="2:53" ht="15.75">
      <c r="B63" s="650"/>
      <c r="C63" s="650"/>
      <c r="D63" s="650"/>
      <c r="E63" s="650"/>
      <c r="F63" s="650"/>
      <c r="G63" s="650"/>
      <c r="H63" s="650"/>
      <c r="I63" s="204"/>
      <c r="J63" s="204"/>
      <c r="K63" s="204"/>
      <c r="L63" s="204"/>
      <c r="M63" s="205"/>
      <c r="N63" s="638"/>
      <c r="O63" s="638"/>
      <c r="P63" s="642" t="s">
        <v>318</v>
      </c>
      <c r="Q63" s="643"/>
      <c r="R63" s="643"/>
      <c r="S63" s="643"/>
      <c r="T63" s="643"/>
      <c r="U63" s="642" t="s">
        <v>319</v>
      </c>
      <c r="V63" s="643"/>
      <c r="W63" s="643"/>
      <c r="X63" s="643"/>
      <c r="Y63" s="643"/>
      <c r="Z63" s="642" t="s">
        <v>320</v>
      </c>
      <c r="AA63" s="643"/>
      <c r="AB63" s="643"/>
      <c r="AC63" s="643"/>
      <c r="AD63" s="643"/>
      <c r="AE63" s="642" t="s">
        <v>321</v>
      </c>
      <c r="AF63" s="643"/>
      <c r="AG63" s="643"/>
      <c r="AH63" s="643"/>
      <c r="AI63" s="643"/>
      <c r="AJ63" s="642" t="s">
        <v>322</v>
      </c>
      <c r="AK63" s="643"/>
      <c r="AL63" s="643"/>
      <c r="AM63" s="643"/>
      <c r="AN63" s="643"/>
      <c r="AO63" s="642" t="s">
        <v>323</v>
      </c>
      <c r="AP63" s="643"/>
      <c r="AQ63" s="643"/>
      <c r="AR63" s="643"/>
      <c r="AS63" s="643"/>
      <c r="AT63" s="642" t="s">
        <v>324</v>
      </c>
      <c r="AU63" s="643"/>
      <c r="AV63" s="643"/>
      <c r="AW63" s="643"/>
      <c r="AX63" s="643"/>
    </row>
    <row r="64" spans="2:53">
      <c r="B64" s="635" t="s">
        <v>417</v>
      </c>
      <c r="C64" s="635" t="s">
        <v>549</v>
      </c>
      <c r="D64" s="635"/>
      <c r="E64" s="635" t="s">
        <v>550</v>
      </c>
      <c r="F64" s="635"/>
      <c r="G64" s="635"/>
      <c r="H64" s="651" t="s">
        <v>551</v>
      </c>
      <c r="I64" s="635" t="s">
        <v>552</v>
      </c>
      <c r="J64" s="635"/>
      <c r="K64" s="635"/>
      <c r="L64" s="651" t="s">
        <v>371</v>
      </c>
      <c r="M64" s="636" t="s">
        <v>553</v>
      </c>
      <c r="N64" s="635"/>
      <c r="O64" s="635" t="s">
        <v>377</v>
      </c>
      <c r="P64" s="632" t="s">
        <v>373</v>
      </c>
      <c r="Q64" s="633"/>
      <c r="R64" s="633"/>
      <c r="S64" s="634"/>
      <c r="T64" s="635" t="s">
        <v>371</v>
      </c>
      <c r="U64" s="632" t="s">
        <v>373</v>
      </c>
      <c r="V64" s="633"/>
      <c r="W64" s="633"/>
      <c r="X64" s="634"/>
      <c r="Y64" s="635" t="s">
        <v>371</v>
      </c>
      <c r="Z64" s="632" t="s">
        <v>373</v>
      </c>
      <c r="AA64" s="633"/>
      <c r="AB64" s="633"/>
      <c r="AC64" s="634"/>
      <c r="AD64" s="635" t="s">
        <v>371</v>
      </c>
      <c r="AE64" s="632" t="s">
        <v>373</v>
      </c>
      <c r="AF64" s="633"/>
      <c r="AG64" s="633"/>
      <c r="AH64" s="634"/>
      <c r="AI64" s="635" t="s">
        <v>371</v>
      </c>
      <c r="AJ64" s="632" t="s">
        <v>373</v>
      </c>
      <c r="AK64" s="633"/>
      <c r="AL64" s="633"/>
      <c r="AM64" s="634"/>
      <c r="AN64" s="635" t="s">
        <v>371</v>
      </c>
      <c r="AO64" s="632" t="s">
        <v>373</v>
      </c>
      <c r="AP64" s="633"/>
      <c r="AQ64" s="633"/>
      <c r="AR64" s="634"/>
      <c r="AS64" s="635" t="s">
        <v>371</v>
      </c>
      <c r="AT64" s="632" t="s">
        <v>373</v>
      </c>
      <c r="AU64" s="633"/>
      <c r="AV64" s="633"/>
      <c r="AW64" s="634"/>
      <c r="AX64" s="635" t="s">
        <v>371</v>
      </c>
      <c r="BA64" s="635" t="s">
        <v>371</v>
      </c>
    </row>
    <row r="65" spans="2:53">
      <c r="B65" s="635"/>
      <c r="C65" s="635"/>
      <c r="D65" s="635"/>
      <c r="E65" s="635" t="s">
        <v>555</v>
      </c>
      <c r="F65" s="635"/>
      <c r="G65" s="635"/>
      <c r="H65" s="652"/>
      <c r="I65" s="635" t="s">
        <v>555</v>
      </c>
      <c r="J65" s="635"/>
      <c r="K65" s="635"/>
      <c r="L65" s="652"/>
      <c r="M65" s="637"/>
      <c r="N65" s="635"/>
      <c r="O65" s="635"/>
      <c r="P65" s="632" t="s">
        <v>379</v>
      </c>
      <c r="Q65" s="633"/>
      <c r="R65" s="633"/>
      <c r="S65" s="634"/>
      <c r="T65" s="635"/>
      <c r="U65" s="632" t="s">
        <v>379</v>
      </c>
      <c r="V65" s="633"/>
      <c r="W65" s="633"/>
      <c r="X65" s="634"/>
      <c r="Y65" s="635"/>
      <c r="Z65" s="632" t="s">
        <v>379</v>
      </c>
      <c r="AA65" s="633"/>
      <c r="AB65" s="633"/>
      <c r="AC65" s="634"/>
      <c r="AD65" s="635"/>
      <c r="AE65" s="632" t="s">
        <v>379</v>
      </c>
      <c r="AF65" s="633"/>
      <c r="AG65" s="633"/>
      <c r="AH65" s="634"/>
      <c r="AI65" s="635"/>
      <c r="AJ65" s="632" t="s">
        <v>379</v>
      </c>
      <c r="AK65" s="633"/>
      <c r="AL65" s="633"/>
      <c r="AM65" s="634"/>
      <c r="AN65" s="635"/>
      <c r="AO65" s="632" t="s">
        <v>379</v>
      </c>
      <c r="AP65" s="633"/>
      <c r="AQ65" s="633"/>
      <c r="AR65" s="634"/>
      <c r="AS65" s="635"/>
      <c r="AT65" s="632" t="s">
        <v>379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408" t="s">
        <v>556</v>
      </c>
      <c r="F66" s="408" t="s">
        <v>557</v>
      </c>
      <c r="G66" s="408" t="s">
        <v>558</v>
      </c>
      <c r="H66" s="653"/>
      <c r="I66" s="408" t="s">
        <v>556</v>
      </c>
      <c r="J66" s="408" t="s">
        <v>557</v>
      </c>
      <c r="K66" s="408" t="s">
        <v>558</v>
      </c>
      <c r="L66" s="653"/>
      <c r="M66" s="638"/>
      <c r="N66" s="635"/>
      <c r="O66" s="635"/>
      <c r="P66" s="408" t="s">
        <v>380</v>
      </c>
      <c r="Q66" s="408" t="s">
        <v>381</v>
      </c>
      <c r="R66" s="408" t="s">
        <v>382</v>
      </c>
      <c r="S66" s="408" t="s">
        <v>372</v>
      </c>
      <c r="T66" s="635"/>
      <c r="U66" s="408" t="s">
        <v>380</v>
      </c>
      <c r="V66" s="408" t="s">
        <v>381</v>
      </c>
      <c r="W66" s="408" t="s">
        <v>382</v>
      </c>
      <c r="X66" s="408" t="s">
        <v>372</v>
      </c>
      <c r="Y66" s="635"/>
      <c r="Z66" s="408" t="s">
        <v>380</v>
      </c>
      <c r="AA66" s="408" t="s">
        <v>381</v>
      </c>
      <c r="AB66" s="408" t="s">
        <v>382</v>
      </c>
      <c r="AC66" s="408" t="s">
        <v>372</v>
      </c>
      <c r="AD66" s="635"/>
      <c r="AE66" s="408" t="s">
        <v>380</v>
      </c>
      <c r="AF66" s="408" t="s">
        <v>381</v>
      </c>
      <c r="AG66" s="408" t="s">
        <v>382</v>
      </c>
      <c r="AH66" s="408" t="s">
        <v>372</v>
      </c>
      <c r="AI66" s="635"/>
      <c r="AJ66" s="408" t="s">
        <v>380</v>
      </c>
      <c r="AK66" s="408" t="s">
        <v>381</v>
      </c>
      <c r="AL66" s="408" t="s">
        <v>382</v>
      </c>
      <c r="AM66" s="408" t="s">
        <v>372</v>
      </c>
      <c r="AN66" s="635"/>
      <c r="AO66" s="408" t="s">
        <v>380</v>
      </c>
      <c r="AP66" s="408" t="s">
        <v>381</v>
      </c>
      <c r="AQ66" s="408" t="s">
        <v>382</v>
      </c>
      <c r="AR66" s="408" t="s">
        <v>372</v>
      </c>
      <c r="AS66" s="635"/>
      <c r="AT66" s="408" t="s">
        <v>380</v>
      </c>
      <c r="AU66" s="408" t="s">
        <v>381</v>
      </c>
      <c r="AV66" s="408" t="s">
        <v>382</v>
      </c>
      <c r="AW66" s="408" t="s">
        <v>372</v>
      </c>
      <c r="AX66" s="635"/>
      <c r="AZ66" s="397" t="s">
        <v>372</v>
      </c>
      <c r="BA66" s="635"/>
    </row>
    <row r="67" spans="2:53">
      <c r="B67" s="635" t="s">
        <v>432</v>
      </c>
      <c r="C67" s="411">
        <v>1</v>
      </c>
      <c r="D67" s="225"/>
      <c r="E67" s="416"/>
      <c r="F67" s="495"/>
      <c r="G67" s="496"/>
      <c r="H67" s="679" t="e">
        <f>AVERAGE(G67:G81)</f>
        <v>#DIV/0!</v>
      </c>
      <c r="I67" s="413" t="str">
        <f t="shared" ref="I67:I80" si="57">IFERROR(AVERAGE(P67,U67,Z67,AE67,AJ67,AO67,AT67),"-")</f>
        <v>-</v>
      </c>
      <c r="J67" s="413" t="str">
        <f t="shared" ref="J67:J80" si="58">IFERROR(AVERAGE(Q67,V67,AA67,AF67,AK67,AP67,AU67),"-")</f>
        <v>-</v>
      </c>
      <c r="K67" s="199" t="str">
        <f t="shared" ref="K67:K80" si="59">IFERROR(AVERAGE(R67,W67,AB67,AG67,AL67,AQ67,AV67),"-")</f>
        <v>-</v>
      </c>
      <c r="L67" s="616" t="str">
        <f>IFERROR(AVERAGE(K67:K81),"-")</f>
        <v>-</v>
      </c>
      <c r="M67" s="417" t="e">
        <f>RANK(K67, K$67:$K$81)</f>
        <v>#VALUE!</v>
      </c>
      <c r="N67" s="635"/>
      <c r="O67" s="635"/>
      <c r="P67" s="483"/>
      <c r="Q67" s="485"/>
      <c r="R67" s="485"/>
      <c r="S67" s="482"/>
      <c r="T67" s="644"/>
      <c r="U67" s="483"/>
      <c r="V67" s="485"/>
      <c r="W67" s="485"/>
      <c r="X67" s="482"/>
      <c r="Y67" s="644"/>
      <c r="Z67" s="483"/>
      <c r="AA67" s="485"/>
      <c r="AB67" s="485"/>
      <c r="AC67" s="482"/>
      <c r="AD67" s="644"/>
      <c r="AE67" s="483"/>
      <c r="AF67" s="485"/>
      <c r="AG67" s="485"/>
      <c r="AH67" s="482"/>
      <c r="AI67" s="644"/>
      <c r="AJ67" s="483"/>
      <c r="AK67" s="485"/>
      <c r="AL67" s="485"/>
      <c r="AM67" s="482"/>
      <c r="AN67" s="644"/>
      <c r="AO67" s="483"/>
      <c r="AP67" s="485"/>
      <c r="AQ67" s="485"/>
      <c r="AR67" s="482"/>
      <c r="AS67" s="644"/>
      <c r="AT67" s="482"/>
      <c r="AU67" s="416"/>
      <c r="AV67" s="416"/>
      <c r="AW67" s="482"/>
      <c r="AX67" s="644"/>
      <c r="AZ67" s="398" t="e">
        <f t="shared" ref="AZ67:AZ81" si="60">RANK(AY67, AY$67:AY$81)</f>
        <v>#N/A</v>
      </c>
      <c r="BA67" s="644" t="e">
        <f t="shared" ref="BA67" si="61">AVERAGE(AY67:AY81)</f>
        <v>#DIV/0!</v>
      </c>
    </row>
    <row r="68" spans="2:53">
      <c r="B68" s="643"/>
      <c r="C68" s="411">
        <v>2</v>
      </c>
      <c r="D68" s="225"/>
      <c r="E68" s="416"/>
      <c r="F68" s="495"/>
      <c r="G68" s="496"/>
      <c r="H68" s="680"/>
      <c r="I68" s="413" t="str">
        <f t="shared" si="57"/>
        <v>-</v>
      </c>
      <c r="J68" s="413" t="str">
        <f t="shared" si="58"/>
        <v>-</v>
      </c>
      <c r="K68" s="199" t="str">
        <f t="shared" si="59"/>
        <v>-</v>
      </c>
      <c r="L68" s="617"/>
      <c r="M68" s="417" t="e">
        <f>RANK(K68, K$67:$K$81)</f>
        <v>#VALUE!</v>
      </c>
      <c r="N68" s="635"/>
      <c r="O68" s="635"/>
      <c r="P68" s="483"/>
      <c r="Q68" s="485"/>
      <c r="R68" s="485"/>
      <c r="S68" s="482"/>
      <c r="T68" s="645"/>
      <c r="U68" s="483"/>
      <c r="V68" s="485"/>
      <c r="W68" s="485"/>
      <c r="X68" s="482"/>
      <c r="Y68" s="645"/>
      <c r="Z68" s="483"/>
      <c r="AA68" s="485"/>
      <c r="AB68" s="485"/>
      <c r="AC68" s="482"/>
      <c r="AD68" s="645"/>
      <c r="AE68" s="483"/>
      <c r="AF68" s="485"/>
      <c r="AG68" s="485"/>
      <c r="AH68" s="482"/>
      <c r="AI68" s="645"/>
      <c r="AJ68" s="483"/>
      <c r="AK68" s="485"/>
      <c r="AL68" s="485"/>
      <c r="AM68" s="482"/>
      <c r="AN68" s="645"/>
      <c r="AO68" s="483"/>
      <c r="AP68" s="485"/>
      <c r="AQ68" s="485"/>
      <c r="AR68" s="482"/>
      <c r="AS68" s="645"/>
      <c r="AT68" s="482"/>
      <c r="AU68" s="416"/>
      <c r="AV68" s="416"/>
      <c r="AW68" s="482"/>
      <c r="AX68" s="645"/>
      <c r="AZ68" s="398" t="e">
        <f t="shared" si="60"/>
        <v>#N/A</v>
      </c>
      <c r="BA68" s="645"/>
    </row>
    <row r="69" spans="2:53">
      <c r="B69" s="643"/>
      <c r="C69" s="411">
        <v>3</v>
      </c>
      <c r="D69" s="225"/>
      <c r="E69" s="416"/>
      <c r="F69" s="495"/>
      <c r="G69" s="496"/>
      <c r="H69" s="680"/>
      <c r="I69" s="413" t="str">
        <f t="shared" si="57"/>
        <v>-</v>
      </c>
      <c r="J69" s="413" t="str">
        <f t="shared" si="58"/>
        <v>-</v>
      </c>
      <c r="K69" s="199" t="str">
        <f t="shared" si="59"/>
        <v>-</v>
      </c>
      <c r="L69" s="617"/>
      <c r="M69" s="417" t="e">
        <f>RANK(K69, K$67:$K$81)</f>
        <v>#VALUE!</v>
      </c>
      <c r="N69" s="635"/>
      <c r="O69" s="635"/>
      <c r="P69" s="483"/>
      <c r="Q69" s="485"/>
      <c r="R69" s="485"/>
      <c r="S69" s="482"/>
      <c r="T69" s="645"/>
      <c r="U69" s="483"/>
      <c r="V69" s="485"/>
      <c r="W69" s="485"/>
      <c r="X69" s="482"/>
      <c r="Y69" s="645"/>
      <c r="Z69" s="483"/>
      <c r="AA69" s="485"/>
      <c r="AB69" s="485"/>
      <c r="AC69" s="482"/>
      <c r="AD69" s="645"/>
      <c r="AE69" s="483"/>
      <c r="AF69" s="485"/>
      <c r="AG69" s="485"/>
      <c r="AH69" s="482"/>
      <c r="AI69" s="645"/>
      <c r="AJ69" s="483"/>
      <c r="AK69" s="485"/>
      <c r="AL69" s="485"/>
      <c r="AM69" s="482"/>
      <c r="AN69" s="645"/>
      <c r="AO69" s="483"/>
      <c r="AP69" s="485"/>
      <c r="AQ69" s="485"/>
      <c r="AR69" s="482"/>
      <c r="AS69" s="645"/>
      <c r="AT69" s="482"/>
      <c r="AU69" s="416"/>
      <c r="AV69" s="416"/>
      <c r="AW69" s="482"/>
      <c r="AX69" s="645"/>
      <c r="AZ69" s="398" t="e">
        <f t="shared" si="60"/>
        <v>#N/A</v>
      </c>
      <c r="BA69" s="645"/>
    </row>
    <row r="70" spans="2:53">
      <c r="B70" s="643"/>
      <c r="C70" s="411">
        <v>4</v>
      </c>
      <c r="D70" s="225"/>
      <c r="E70" s="416"/>
      <c r="F70" s="495"/>
      <c r="G70" s="496"/>
      <c r="H70" s="680"/>
      <c r="I70" s="413" t="str">
        <f t="shared" si="57"/>
        <v>-</v>
      </c>
      <c r="J70" s="413" t="str">
        <f t="shared" si="58"/>
        <v>-</v>
      </c>
      <c r="K70" s="199" t="str">
        <f t="shared" si="59"/>
        <v>-</v>
      </c>
      <c r="L70" s="617"/>
      <c r="M70" s="417" t="e">
        <f>RANK(K70, K$67:$K$81)</f>
        <v>#VALUE!</v>
      </c>
      <c r="N70" s="635"/>
      <c r="O70" s="635"/>
      <c r="P70" s="483"/>
      <c r="Q70" s="485"/>
      <c r="R70" s="485"/>
      <c r="S70" s="482"/>
      <c r="T70" s="645"/>
      <c r="U70" s="483"/>
      <c r="V70" s="485"/>
      <c r="W70" s="485"/>
      <c r="X70" s="482"/>
      <c r="Y70" s="645"/>
      <c r="Z70" s="483"/>
      <c r="AA70" s="485"/>
      <c r="AB70" s="485"/>
      <c r="AC70" s="482"/>
      <c r="AD70" s="645"/>
      <c r="AE70" s="483"/>
      <c r="AF70" s="485"/>
      <c r="AG70" s="485"/>
      <c r="AH70" s="482"/>
      <c r="AI70" s="645"/>
      <c r="AJ70" s="483"/>
      <c r="AK70" s="485"/>
      <c r="AL70" s="485"/>
      <c r="AM70" s="482"/>
      <c r="AN70" s="645"/>
      <c r="AO70" s="483"/>
      <c r="AP70" s="485"/>
      <c r="AQ70" s="485"/>
      <c r="AR70" s="482"/>
      <c r="AS70" s="645"/>
      <c r="AT70" s="482"/>
      <c r="AU70" s="416"/>
      <c r="AV70" s="416"/>
      <c r="AW70" s="482"/>
      <c r="AX70" s="645"/>
      <c r="AZ70" s="398" t="e">
        <f t="shared" si="60"/>
        <v>#N/A</v>
      </c>
      <c r="BA70" s="645"/>
    </row>
    <row r="71" spans="2:53">
      <c r="B71" s="643"/>
      <c r="C71" s="411">
        <v>5</v>
      </c>
      <c r="D71" s="225"/>
      <c r="E71" s="416"/>
      <c r="F71" s="495"/>
      <c r="G71" s="496"/>
      <c r="H71" s="680"/>
      <c r="I71" s="413" t="str">
        <f t="shared" si="57"/>
        <v>-</v>
      </c>
      <c r="J71" s="413" t="str">
        <f t="shared" si="58"/>
        <v>-</v>
      </c>
      <c r="K71" s="199" t="str">
        <f t="shared" si="59"/>
        <v>-</v>
      </c>
      <c r="L71" s="617"/>
      <c r="M71" s="417" t="e">
        <f>RANK(K71, K$67:$K$81)</f>
        <v>#VALUE!</v>
      </c>
      <c r="N71" s="635"/>
      <c r="O71" s="635"/>
      <c r="P71" s="483"/>
      <c r="Q71" s="485"/>
      <c r="R71" s="485"/>
      <c r="S71" s="482"/>
      <c r="T71" s="645"/>
      <c r="U71" s="483"/>
      <c r="V71" s="485"/>
      <c r="W71" s="485"/>
      <c r="X71" s="482"/>
      <c r="Y71" s="645"/>
      <c r="Z71" s="483"/>
      <c r="AA71" s="485"/>
      <c r="AB71" s="485"/>
      <c r="AC71" s="482"/>
      <c r="AD71" s="645"/>
      <c r="AE71" s="483"/>
      <c r="AF71" s="485"/>
      <c r="AG71" s="485"/>
      <c r="AH71" s="482"/>
      <c r="AI71" s="645"/>
      <c r="AJ71" s="483"/>
      <c r="AK71" s="485"/>
      <c r="AL71" s="485"/>
      <c r="AM71" s="482"/>
      <c r="AN71" s="645"/>
      <c r="AO71" s="483"/>
      <c r="AP71" s="485"/>
      <c r="AQ71" s="485"/>
      <c r="AR71" s="482"/>
      <c r="AS71" s="645"/>
      <c r="AT71" s="482"/>
      <c r="AU71" s="416"/>
      <c r="AV71" s="416"/>
      <c r="AW71" s="482"/>
      <c r="AX71" s="645"/>
      <c r="AZ71" s="398" t="e">
        <f t="shared" si="60"/>
        <v>#N/A</v>
      </c>
      <c r="BA71" s="645"/>
    </row>
    <row r="72" spans="2:53">
      <c r="B72" s="643"/>
      <c r="C72" s="411">
        <v>6</v>
      </c>
      <c r="D72" s="225"/>
      <c r="E72" s="416"/>
      <c r="F72" s="495"/>
      <c r="G72" s="496"/>
      <c r="H72" s="680"/>
      <c r="I72" s="413" t="str">
        <f t="shared" si="57"/>
        <v>-</v>
      </c>
      <c r="J72" s="413" t="str">
        <f t="shared" si="58"/>
        <v>-</v>
      </c>
      <c r="K72" s="199" t="str">
        <f t="shared" si="59"/>
        <v>-</v>
      </c>
      <c r="L72" s="617"/>
      <c r="M72" s="417" t="e">
        <f>RANK(K72, K$67:$K$81)</f>
        <v>#VALUE!</v>
      </c>
      <c r="N72" s="635"/>
      <c r="O72" s="635"/>
      <c r="P72" s="483"/>
      <c r="Q72" s="485"/>
      <c r="R72" s="485"/>
      <c r="S72" s="482"/>
      <c r="T72" s="645"/>
      <c r="U72" s="483"/>
      <c r="V72" s="485"/>
      <c r="W72" s="485"/>
      <c r="X72" s="482"/>
      <c r="Y72" s="645"/>
      <c r="Z72" s="483"/>
      <c r="AA72" s="485"/>
      <c r="AB72" s="485"/>
      <c r="AC72" s="482"/>
      <c r="AD72" s="645"/>
      <c r="AE72" s="483"/>
      <c r="AF72" s="485"/>
      <c r="AG72" s="485"/>
      <c r="AH72" s="482"/>
      <c r="AI72" s="645"/>
      <c r="AJ72" s="483"/>
      <c r="AK72" s="485"/>
      <c r="AL72" s="485"/>
      <c r="AM72" s="482"/>
      <c r="AN72" s="645"/>
      <c r="AO72" s="483"/>
      <c r="AP72" s="485"/>
      <c r="AQ72" s="485"/>
      <c r="AR72" s="482"/>
      <c r="AS72" s="645"/>
      <c r="AT72" s="482"/>
      <c r="AU72" s="416"/>
      <c r="AV72" s="416"/>
      <c r="AW72" s="482"/>
      <c r="AX72" s="645"/>
      <c r="AZ72" s="398" t="e">
        <f t="shared" si="60"/>
        <v>#N/A</v>
      </c>
      <c r="BA72" s="645"/>
    </row>
    <row r="73" spans="2:53">
      <c r="B73" s="643"/>
      <c r="C73" s="411">
        <v>7</v>
      </c>
      <c r="D73" s="225"/>
      <c r="E73" s="416"/>
      <c r="F73" s="495"/>
      <c r="G73" s="496"/>
      <c r="H73" s="680"/>
      <c r="I73" s="413" t="str">
        <f t="shared" si="57"/>
        <v>-</v>
      </c>
      <c r="J73" s="413" t="str">
        <f t="shared" si="58"/>
        <v>-</v>
      </c>
      <c r="K73" s="199" t="str">
        <f t="shared" si="59"/>
        <v>-</v>
      </c>
      <c r="L73" s="617"/>
      <c r="M73" s="417" t="e">
        <f>RANK(K73, K$67:$K$81)</f>
        <v>#VALUE!</v>
      </c>
      <c r="N73" s="635"/>
      <c r="O73" s="635"/>
      <c r="P73" s="483"/>
      <c r="Q73" s="485"/>
      <c r="R73" s="485"/>
      <c r="S73" s="482"/>
      <c r="T73" s="645"/>
      <c r="U73" s="483"/>
      <c r="V73" s="485"/>
      <c r="W73" s="485"/>
      <c r="X73" s="482"/>
      <c r="Y73" s="645"/>
      <c r="Z73" s="483"/>
      <c r="AA73" s="485"/>
      <c r="AB73" s="485"/>
      <c r="AC73" s="482"/>
      <c r="AD73" s="645"/>
      <c r="AE73" s="483"/>
      <c r="AF73" s="485"/>
      <c r="AG73" s="485"/>
      <c r="AH73" s="482"/>
      <c r="AI73" s="645"/>
      <c r="AJ73" s="483"/>
      <c r="AK73" s="485"/>
      <c r="AL73" s="485"/>
      <c r="AM73" s="482"/>
      <c r="AN73" s="645"/>
      <c r="AO73" s="483"/>
      <c r="AP73" s="485"/>
      <c r="AQ73" s="485"/>
      <c r="AR73" s="482"/>
      <c r="AS73" s="645"/>
      <c r="AT73" s="482"/>
      <c r="AU73" s="416"/>
      <c r="AV73" s="416"/>
      <c r="AW73" s="482"/>
      <c r="AX73" s="645"/>
      <c r="AZ73" s="398" t="e">
        <f t="shared" si="60"/>
        <v>#N/A</v>
      </c>
      <c r="BA73" s="645"/>
    </row>
    <row r="74" spans="2:53">
      <c r="B74" s="643"/>
      <c r="C74" s="411">
        <v>8</v>
      </c>
      <c r="D74" s="225"/>
      <c r="E74" s="416"/>
      <c r="F74" s="495"/>
      <c r="G74" s="496"/>
      <c r="H74" s="680"/>
      <c r="I74" s="413" t="str">
        <f t="shared" si="57"/>
        <v>-</v>
      </c>
      <c r="J74" s="413" t="str">
        <f t="shared" si="58"/>
        <v>-</v>
      </c>
      <c r="K74" s="199" t="str">
        <f t="shared" si="59"/>
        <v>-</v>
      </c>
      <c r="L74" s="617"/>
      <c r="M74" s="417" t="e">
        <f>RANK(K74, K$67:$K$81)</f>
        <v>#VALUE!</v>
      </c>
      <c r="N74" s="635"/>
      <c r="O74" s="635"/>
      <c r="P74" s="483"/>
      <c r="Q74" s="485"/>
      <c r="R74" s="485"/>
      <c r="S74" s="482"/>
      <c r="T74" s="645"/>
      <c r="U74" s="483"/>
      <c r="V74" s="485"/>
      <c r="W74" s="485"/>
      <c r="X74" s="482"/>
      <c r="Y74" s="645"/>
      <c r="Z74" s="483"/>
      <c r="AA74" s="485"/>
      <c r="AB74" s="485"/>
      <c r="AC74" s="482"/>
      <c r="AD74" s="645"/>
      <c r="AE74" s="483"/>
      <c r="AF74" s="485"/>
      <c r="AG74" s="485"/>
      <c r="AH74" s="482"/>
      <c r="AI74" s="645"/>
      <c r="AJ74" s="483"/>
      <c r="AK74" s="485"/>
      <c r="AL74" s="485"/>
      <c r="AM74" s="482"/>
      <c r="AN74" s="645"/>
      <c r="AO74" s="483"/>
      <c r="AP74" s="485"/>
      <c r="AQ74" s="485"/>
      <c r="AR74" s="482"/>
      <c r="AS74" s="645"/>
      <c r="AT74" s="482"/>
      <c r="AU74" s="416"/>
      <c r="AV74" s="416"/>
      <c r="AW74" s="482"/>
      <c r="AX74" s="645"/>
      <c r="AZ74" s="398" t="e">
        <f t="shared" si="60"/>
        <v>#N/A</v>
      </c>
      <c r="BA74" s="645"/>
    </row>
    <row r="75" spans="2:53">
      <c r="B75" s="643"/>
      <c r="C75" s="411">
        <v>9</v>
      </c>
      <c r="D75" s="225"/>
      <c r="E75" s="416"/>
      <c r="F75" s="495"/>
      <c r="G75" s="496"/>
      <c r="H75" s="680"/>
      <c r="I75" s="413" t="str">
        <f t="shared" si="57"/>
        <v>-</v>
      </c>
      <c r="J75" s="413" t="str">
        <f t="shared" si="58"/>
        <v>-</v>
      </c>
      <c r="K75" s="199" t="str">
        <f t="shared" si="59"/>
        <v>-</v>
      </c>
      <c r="L75" s="617"/>
      <c r="M75" s="417" t="e">
        <f>RANK(K75, K$67:$K$81)</f>
        <v>#VALUE!</v>
      </c>
      <c r="N75" s="635"/>
      <c r="O75" s="635"/>
      <c r="P75" s="483"/>
      <c r="Q75" s="485"/>
      <c r="R75" s="485"/>
      <c r="S75" s="482"/>
      <c r="T75" s="645"/>
      <c r="U75" s="483"/>
      <c r="V75" s="485"/>
      <c r="W75" s="485"/>
      <c r="X75" s="482"/>
      <c r="Y75" s="645"/>
      <c r="Z75" s="483"/>
      <c r="AA75" s="485"/>
      <c r="AB75" s="485"/>
      <c r="AC75" s="482"/>
      <c r="AD75" s="645"/>
      <c r="AE75" s="483"/>
      <c r="AF75" s="485"/>
      <c r="AG75" s="485"/>
      <c r="AH75" s="482"/>
      <c r="AI75" s="645"/>
      <c r="AJ75" s="483"/>
      <c r="AK75" s="485"/>
      <c r="AL75" s="485"/>
      <c r="AM75" s="482"/>
      <c r="AN75" s="645"/>
      <c r="AO75" s="483"/>
      <c r="AP75" s="485"/>
      <c r="AQ75" s="485"/>
      <c r="AR75" s="482"/>
      <c r="AS75" s="645"/>
      <c r="AT75" s="482"/>
      <c r="AU75" s="416"/>
      <c r="AV75" s="416"/>
      <c r="AW75" s="482"/>
      <c r="AX75" s="645"/>
      <c r="AZ75" s="398" t="e">
        <f t="shared" si="60"/>
        <v>#N/A</v>
      </c>
      <c r="BA75" s="645"/>
    </row>
    <row r="76" spans="2:53">
      <c r="B76" s="643"/>
      <c r="C76" s="411">
        <v>10</v>
      </c>
      <c r="D76" s="225"/>
      <c r="E76" s="416"/>
      <c r="F76" s="495"/>
      <c r="G76" s="496"/>
      <c r="H76" s="680"/>
      <c r="I76" s="413" t="str">
        <f t="shared" si="57"/>
        <v>-</v>
      </c>
      <c r="J76" s="413" t="str">
        <f t="shared" si="58"/>
        <v>-</v>
      </c>
      <c r="K76" s="199" t="str">
        <f t="shared" si="59"/>
        <v>-</v>
      </c>
      <c r="L76" s="617"/>
      <c r="M76" s="417" t="e">
        <f>RANK(K76, K$67:$K$81)</f>
        <v>#VALUE!</v>
      </c>
      <c r="N76" s="635"/>
      <c r="O76" s="635"/>
      <c r="P76" s="483"/>
      <c r="Q76" s="485"/>
      <c r="R76" s="485"/>
      <c r="S76" s="482"/>
      <c r="T76" s="645"/>
      <c r="U76" s="483"/>
      <c r="V76" s="485"/>
      <c r="W76" s="485"/>
      <c r="X76" s="482"/>
      <c r="Y76" s="645"/>
      <c r="Z76" s="483"/>
      <c r="AA76" s="485"/>
      <c r="AB76" s="485"/>
      <c r="AC76" s="482"/>
      <c r="AD76" s="645"/>
      <c r="AE76" s="483"/>
      <c r="AF76" s="485"/>
      <c r="AG76" s="485"/>
      <c r="AH76" s="482"/>
      <c r="AI76" s="645"/>
      <c r="AJ76" s="483"/>
      <c r="AK76" s="485"/>
      <c r="AL76" s="485"/>
      <c r="AM76" s="482"/>
      <c r="AN76" s="645"/>
      <c r="AO76" s="483"/>
      <c r="AP76" s="485"/>
      <c r="AQ76" s="485"/>
      <c r="AR76" s="482"/>
      <c r="AS76" s="645"/>
      <c r="AT76" s="482"/>
      <c r="AU76" s="416"/>
      <c r="AV76" s="416"/>
      <c r="AW76" s="482"/>
      <c r="AX76" s="645"/>
      <c r="AZ76" s="398" t="e">
        <f t="shared" si="60"/>
        <v>#N/A</v>
      </c>
      <c r="BA76" s="645"/>
    </row>
    <row r="77" spans="2:53">
      <c r="B77" s="643"/>
      <c r="C77" s="411">
        <v>11</v>
      </c>
      <c r="D77" s="225"/>
      <c r="E77" s="416"/>
      <c r="F77" s="495"/>
      <c r="G77" s="496"/>
      <c r="H77" s="680"/>
      <c r="I77" s="413" t="str">
        <f t="shared" si="57"/>
        <v>-</v>
      </c>
      <c r="J77" s="413" t="str">
        <f t="shared" si="58"/>
        <v>-</v>
      </c>
      <c r="K77" s="199" t="str">
        <f t="shared" si="59"/>
        <v>-</v>
      </c>
      <c r="L77" s="617"/>
      <c r="M77" s="417" t="e">
        <f>RANK(K77, K$67:$K$81)</f>
        <v>#VALUE!</v>
      </c>
      <c r="N77" s="635"/>
      <c r="O77" s="635"/>
      <c r="P77" s="483"/>
      <c r="Q77" s="485"/>
      <c r="R77" s="485"/>
      <c r="S77" s="482"/>
      <c r="T77" s="645"/>
      <c r="U77" s="483"/>
      <c r="V77" s="485"/>
      <c r="W77" s="485"/>
      <c r="X77" s="482"/>
      <c r="Y77" s="645"/>
      <c r="Z77" s="483"/>
      <c r="AA77" s="485"/>
      <c r="AB77" s="485"/>
      <c r="AC77" s="482"/>
      <c r="AD77" s="645"/>
      <c r="AE77" s="483"/>
      <c r="AF77" s="485"/>
      <c r="AG77" s="485"/>
      <c r="AH77" s="482"/>
      <c r="AI77" s="645"/>
      <c r="AJ77" s="483"/>
      <c r="AK77" s="485"/>
      <c r="AL77" s="485"/>
      <c r="AM77" s="482"/>
      <c r="AN77" s="645"/>
      <c r="AO77" s="483"/>
      <c r="AP77" s="485"/>
      <c r="AQ77" s="485"/>
      <c r="AR77" s="482"/>
      <c r="AS77" s="645"/>
      <c r="AT77" s="482"/>
      <c r="AU77" s="416"/>
      <c r="AV77" s="416"/>
      <c r="AW77" s="482"/>
      <c r="AX77" s="645"/>
      <c r="AZ77" s="398" t="e">
        <f t="shared" si="60"/>
        <v>#N/A</v>
      </c>
      <c r="BA77" s="645"/>
    </row>
    <row r="78" spans="2:53">
      <c r="B78" s="643"/>
      <c r="C78" s="411">
        <v>12</v>
      </c>
      <c r="D78" s="225"/>
      <c r="E78" s="416"/>
      <c r="F78" s="495"/>
      <c r="G78" s="496"/>
      <c r="H78" s="680"/>
      <c r="I78" s="413" t="str">
        <f t="shared" si="57"/>
        <v>-</v>
      </c>
      <c r="J78" s="413" t="str">
        <f t="shared" si="58"/>
        <v>-</v>
      </c>
      <c r="K78" s="199" t="str">
        <f t="shared" si="59"/>
        <v>-</v>
      </c>
      <c r="L78" s="617"/>
      <c r="M78" s="417" t="e">
        <f>RANK(K78, K$67:$K$81)</f>
        <v>#VALUE!</v>
      </c>
      <c r="N78" s="635"/>
      <c r="O78" s="635"/>
      <c r="P78" s="483"/>
      <c r="Q78" s="485"/>
      <c r="R78" s="485"/>
      <c r="S78" s="482"/>
      <c r="T78" s="645"/>
      <c r="U78" s="483"/>
      <c r="V78" s="485"/>
      <c r="W78" s="485"/>
      <c r="X78" s="482"/>
      <c r="Y78" s="645"/>
      <c r="Z78" s="483"/>
      <c r="AA78" s="485"/>
      <c r="AB78" s="485"/>
      <c r="AC78" s="482"/>
      <c r="AD78" s="645"/>
      <c r="AE78" s="483"/>
      <c r="AF78" s="485"/>
      <c r="AG78" s="485"/>
      <c r="AH78" s="482"/>
      <c r="AI78" s="645"/>
      <c r="AJ78" s="483"/>
      <c r="AK78" s="485"/>
      <c r="AL78" s="485"/>
      <c r="AM78" s="482"/>
      <c r="AN78" s="645"/>
      <c r="AO78" s="483"/>
      <c r="AP78" s="485"/>
      <c r="AQ78" s="485"/>
      <c r="AR78" s="482"/>
      <c r="AS78" s="645"/>
      <c r="AT78" s="482"/>
      <c r="AU78" s="416"/>
      <c r="AV78" s="416"/>
      <c r="AW78" s="482"/>
      <c r="AX78" s="645"/>
      <c r="AZ78" s="398" t="e">
        <f t="shared" si="60"/>
        <v>#N/A</v>
      </c>
      <c r="BA78" s="645"/>
    </row>
    <row r="79" spans="2:53">
      <c r="B79" s="643"/>
      <c r="C79" s="411">
        <v>13</v>
      </c>
      <c r="D79" s="225"/>
      <c r="E79" s="416"/>
      <c r="F79" s="495"/>
      <c r="G79" s="496"/>
      <c r="H79" s="680"/>
      <c r="I79" s="413" t="str">
        <f t="shared" si="57"/>
        <v>-</v>
      </c>
      <c r="J79" s="413" t="str">
        <f t="shared" si="58"/>
        <v>-</v>
      </c>
      <c r="K79" s="199" t="str">
        <f t="shared" si="59"/>
        <v>-</v>
      </c>
      <c r="L79" s="617"/>
      <c r="M79" s="417" t="e">
        <f>RANK(K79, K$67:$K$81)</f>
        <v>#VALUE!</v>
      </c>
      <c r="N79" s="635"/>
      <c r="O79" s="635"/>
      <c r="P79" s="483"/>
      <c r="Q79" s="485"/>
      <c r="R79" s="485"/>
      <c r="S79" s="482"/>
      <c r="T79" s="645"/>
      <c r="U79" s="483"/>
      <c r="V79" s="485"/>
      <c r="W79" s="485"/>
      <c r="X79" s="482"/>
      <c r="Y79" s="645"/>
      <c r="Z79" s="483"/>
      <c r="AA79" s="485"/>
      <c r="AB79" s="485"/>
      <c r="AC79" s="482"/>
      <c r="AD79" s="645"/>
      <c r="AE79" s="483"/>
      <c r="AF79" s="485"/>
      <c r="AG79" s="485"/>
      <c r="AH79" s="482"/>
      <c r="AI79" s="645"/>
      <c r="AJ79" s="483"/>
      <c r="AK79" s="485"/>
      <c r="AL79" s="485"/>
      <c r="AM79" s="482"/>
      <c r="AN79" s="645"/>
      <c r="AO79" s="483"/>
      <c r="AP79" s="485"/>
      <c r="AQ79" s="485"/>
      <c r="AR79" s="482"/>
      <c r="AS79" s="645"/>
      <c r="AT79" s="482"/>
      <c r="AU79" s="416"/>
      <c r="AV79" s="416"/>
      <c r="AW79" s="482"/>
      <c r="AX79" s="645"/>
      <c r="AZ79" s="398" t="e">
        <f t="shared" si="60"/>
        <v>#N/A</v>
      </c>
      <c r="BA79" s="645"/>
    </row>
    <row r="80" spans="2:53">
      <c r="B80" s="643"/>
      <c r="C80" s="411">
        <v>14</v>
      </c>
      <c r="D80" s="225"/>
      <c r="E80" s="416"/>
      <c r="F80" s="495"/>
      <c r="G80" s="496"/>
      <c r="H80" s="680"/>
      <c r="I80" s="413" t="str">
        <f t="shared" si="57"/>
        <v>-</v>
      </c>
      <c r="J80" s="413" t="str">
        <f t="shared" si="58"/>
        <v>-</v>
      </c>
      <c r="K80" s="199" t="str">
        <f t="shared" si="59"/>
        <v>-</v>
      </c>
      <c r="L80" s="617"/>
      <c r="M80" s="417" t="e">
        <f>RANK(K80, K$67:$K$81)</f>
        <v>#VALUE!</v>
      </c>
      <c r="N80" s="635"/>
      <c r="O80" s="635"/>
      <c r="P80" s="483"/>
      <c r="Q80" s="485"/>
      <c r="R80" s="485"/>
      <c r="S80" s="482"/>
      <c r="T80" s="645"/>
      <c r="U80" s="483"/>
      <c r="V80" s="485"/>
      <c r="W80" s="485"/>
      <c r="X80" s="482"/>
      <c r="Y80" s="645"/>
      <c r="Z80" s="483"/>
      <c r="AA80" s="485"/>
      <c r="AB80" s="485"/>
      <c r="AC80" s="482"/>
      <c r="AD80" s="645"/>
      <c r="AE80" s="483"/>
      <c r="AF80" s="485"/>
      <c r="AG80" s="485"/>
      <c r="AH80" s="482"/>
      <c r="AI80" s="645"/>
      <c r="AJ80" s="483"/>
      <c r="AK80" s="485"/>
      <c r="AL80" s="485"/>
      <c r="AM80" s="482"/>
      <c r="AN80" s="645"/>
      <c r="AO80" s="483"/>
      <c r="AP80" s="485"/>
      <c r="AQ80" s="485"/>
      <c r="AR80" s="482"/>
      <c r="AS80" s="645"/>
      <c r="AT80" s="482"/>
      <c r="AU80" s="416"/>
      <c r="AV80" s="416"/>
      <c r="AW80" s="482"/>
      <c r="AX80" s="645"/>
      <c r="AZ80" s="398" t="e">
        <f t="shared" si="60"/>
        <v>#N/A</v>
      </c>
      <c r="BA80" s="645"/>
    </row>
    <row r="81" spans="2:53">
      <c r="B81" s="643"/>
      <c r="C81" s="411">
        <v>15</v>
      </c>
      <c r="D81" s="225"/>
      <c r="E81" s="416"/>
      <c r="F81" s="495"/>
      <c r="G81" s="496"/>
      <c r="H81" s="684"/>
      <c r="I81" s="487" t="str">
        <f t="shared" ref="I81" si="62">IFERROR(AVERAGE(P81,U81,Z81,AE81,AJ81,AO81,AT81),"-")</f>
        <v>-</v>
      </c>
      <c r="J81" s="487" t="str">
        <f t="shared" ref="J81" si="63">IFERROR(AVERAGE(Q81,V81,AA81,AF81,AK81,AP81,AU81),"-")</f>
        <v>-</v>
      </c>
      <c r="K81" s="199" t="str">
        <f t="shared" ref="K81" si="64">IFERROR(AVERAGE(R81,W81,AB81,AG81,AL81,AQ81,AV81),"-")</f>
        <v>-</v>
      </c>
      <c r="L81" s="618"/>
      <c r="M81" s="417" t="e">
        <f>RANK(K81, K$47:$K$61)</f>
        <v>#VALUE!</v>
      </c>
      <c r="N81" s="635"/>
      <c r="O81" s="635"/>
      <c r="P81" s="483"/>
      <c r="Q81" s="485"/>
      <c r="R81" s="485"/>
      <c r="S81" s="482"/>
      <c r="T81" s="646"/>
      <c r="U81" s="483"/>
      <c r="V81" s="485"/>
      <c r="W81" s="485"/>
      <c r="X81" s="482"/>
      <c r="Y81" s="646"/>
      <c r="Z81" s="483"/>
      <c r="AA81" s="485"/>
      <c r="AB81" s="485"/>
      <c r="AC81" s="482"/>
      <c r="AD81" s="646"/>
      <c r="AE81" s="483"/>
      <c r="AF81" s="485"/>
      <c r="AG81" s="485"/>
      <c r="AH81" s="482"/>
      <c r="AI81" s="646"/>
      <c r="AJ81" s="483"/>
      <c r="AK81" s="485"/>
      <c r="AL81" s="485"/>
      <c r="AM81" s="482"/>
      <c r="AN81" s="646"/>
      <c r="AO81" s="483"/>
      <c r="AP81" s="485"/>
      <c r="AQ81" s="485"/>
      <c r="AR81" s="482"/>
      <c r="AS81" s="646"/>
      <c r="AT81" s="482"/>
      <c r="AU81" s="416"/>
      <c r="AV81" s="416"/>
      <c r="AW81" s="482"/>
      <c r="AX81" s="646"/>
      <c r="AZ81" s="398" t="e">
        <f t="shared" si="60"/>
        <v>#N/A</v>
      </c>
      <c r="BA81" s="646"/>
    </row>
    <row r="82" spans="2:53" ht="15.75">
      <c r="B82" s="647" t="s">
        <v>163</v>
      </c>
      <c r="C82" s="648"/>
      <c r="D82" s="648"/>
      <c r="E82" s="648"/>
      <c r="F82" s="648"/>
      <c r="G82" s="648"/>
      <c r="H82" s="649"/>
      <c r="I82" s="207"/>
      <c r="J82" s="207"/>
      <c r="K82" s="207"/>
      <c r="L82" s="207"/>
      <c r="M82" s="206"/>
      <c r="N82" s="636" t="s">
        <v>156</v>
      </c>
      <c r="O82" s="636" t="s">
        <v>105</v>
      </c>
      <c r="P82" s="642">
        <f>P62+7</f>
        <v>46196</v>
      </c>
      <c r="Q82" s="643"/>
      <c r="R82" s="643"/>
      <c r="S82" s="643"/>
      <c r="T82" s="643"/>
      <c r="U82" s="639">
        <f>P82+1</f>
        <v>46197</v>
      </c>
      <c r="V82" s="640"/>
      <c r="W82" s="640"/>
      <c r="X82" s="640"/>
      <c r="Y82" s="641"/>
      <c r="Z82" s="639">
        <f>U82+1</f>
        <v>46198</v>
      </c>
      <c r="AA82" s="640"/>
      <c r="AB82" s="640"/>
      <c r="AC82" s="640"/>
      <c r="AD82" s="641"/>
      <c r="AE82" s="639">
        <f>Z82+1</f>
        <v>46199</v>
      </c>
      <c r="AF82" s="640"/>
      <c r="AG82" s="640"/>
      <c r="AH82" s="640"/>
      <c r="AI82" s="641"/>
      <c r="AJ82" s="639">
        <f>AE82+1</f>
        <v>46200</v>
      </c>
      <c r="AK82" s="640"/>
      <c r="AL82" s="640"/>
      <c r="AM82" s="640"/>
      <c r="AN82" s="641"/>
      <c r="AO82" s="639">
        <f>AJ82+1</f>
        <v>46201</v>
      </c>
      <c r="AP82" s="640"/>
      <c r="AQ82" s="640"/>
      <c r="AR82" s="640"/>
      <c r="AS82" s="641"/>
      <c r="AT82" s="639">
        <f>AO82+1</f>
        <v>46202</v>
      </c>
      <c r="AU82" s="640"/>
      <c r="AV82" s="640"/>
      <c r="AW82" s="640"/>
      <c r="AX82" s="641"/>
    </row>
    <row r="83" spans="2:53" ht="15.75">
      <c r="B83" s="650"/>
      <c r="C83" s="650"/>
      <c r="D83" s="650"/>
      <c r="E83" s="650"/>
      <c r="F83" s="650"/>
      <c r="G83" s="650"/>
      <c r="H83" s="650"/>
      <c r="I83" s="204"/>
      <c r="J83" s="204"/>
      <c r="K83" s="204"/>
      <c r="L83" s="204"/>
      <c r="M83" s="205"/>
      <c r="N83" s="638"/>
      <c r="O83" s="638"/>
      <c r="P83" s="642" t="s">
        <v>318</v>
      </c>
      <c r="Q83" s="643"/>
      <c r="R83" s="643"/>
      <c r="S83" s="643"/>
      <c r="T83" s="643"/>
      <c r="U83" s="642" t="s">
        <v>319</v>
      </c>
      <c r="V83" s="643"/>
      <c r="W83" s="643"/>
      <c r="X83" s="643"/>
      <c r="Y83" s="643"/>
      <c r="Z83" s="642" t="s">
        <v>320</v>
      </c>
      <c r="AA83" s="643"/>
      <c r="AB83" s="643"/>
      <c r="AC83" s="643"/>
      <c r="AD83" s="643"/>
      <c r="AE83" s="642" t="s">
        <v>321</v>
      </c>
      <c r="AF83" s="643"/>
      <c r="AG83" s="643"/>
      <c r="AH83" s="643"/>
      <c r="AI83" s="643"/>
      <c r="AJ83" s="642" t="s">
        <v>322</v>
      </c>
      <c r="AK83" s="643"/>
      <c r="AL83" s="643"/>
      <c r="AM83" s="643"/>
      <c r="AN83" s="643"/>
      <c r="AO83" s="642" t="s">
        <v>323</v>
      </c>
      <c r="AP83" s="643"/>
      <c r="AQ83" s="643"/>
      <c r="AR83" s="643"/>
      <c r="AS83" s="643"/>
      <c r="AT83" s="642" t="s">
        <v>324</v>
      </c>
      <c r="AU83" s="643"/>
      <c r="AV83" s="643"/>
      <c r="AW83" s="643"/>
      <c r="AX83" s="643"/>
    </row>
    <row r="84" spans="2:53">
      <c r="B84" s="635" t="s">
        <v>417</v>
      </c>
      <c r="C84" s="635" t="s">
        <v>549</v>
      </c>
      <c r="D84" s="635"/>
      <c r="E84" s="635" t="s">
        <v>550</v>
      </c>
      <c r="F84" s="635"/>
      <c r="G84" s="635"/>
      <c r="H84" s="651" t="s">
        <v>551</v>
      </c>
      <c r="I84" s="635" t="s">
        <v>552</v>
      </c>
      <c r="J84" s="635"/>
      <c r="K84" s="635"/>
      <c r="L84" s="651" t="s">
        <v>371</v>
      </c>
      <c r="M84" s="636" t="s">
        <v>553</v>
      </c>
      <c r="N84" s="635"/>
      <c r="O84" s="635" t="s">
        <v>377</v>
      </c>
      <c r="P84" s="632" t="s">
        <v>373</v>
      </c>
      <c r="Q84" s="633"/>
      <c r="R84" s="633"/>
      <c r="S84" s="634"/>
      <c r="T84" s="635" t="s">
        <v>371</v>
      </c>
      <c r="U84" s="632" t="s">
        <v>373</v>
      </c>
      <c r="V84" s="633"/>
      <c r="W84" s="633"/>
      <c r="X84" s="634"/>
      <c r="Y84" s="635" t="s">
        <v>371</v>
      </c>
      <c r="Z84" s="632" t="s">
        <v>373</v>
      </c>
      <c r="AA84" s="633"/>
      <c r="AB84" s="633"/>
      <c r="AC84" s="634"/>
      <c r="AD84" s="635" t="s">
        <v>371</v>
      </c>
      <c r="AE84" s="632" t="s">
        <v>373</v>
      </c>
      <c r="AF84" s="633"/>
      <c r="AG84" s="633"/>
      <c r="AH84" s="634"/>
      <c r="AI84" s="635" t="s">
        <v>371</v>
      </c>
      <c r="AJ84" s="632" t="s">
        <v>373</v>
      </c>
      <c r="AK84" s="633"/>
      <c r="AL84" s="633"/>
      <c r="AM84" s="634"/>
      <c r="AN84" s="635" t="s">
        <v>371</v>
      </c>
      <c r="AO84" s="632" t="s">
        <v>373</v>
      </c>
      <c r="AP84" s="633"/>
      <c r="AQ84" s="633"/>
      <c r="AR84" s="634"/>
      <c r="AS84" s="635" t="s">
        <v>371</v>
      </c>
      <c r="AT84" s="632" t="s">
        <v>373</v>
      </c>
      <c r="AU84" s="633"/>
      <c r="AV84" s="633"/>
      <c r="AW84" s="634"/>
      <c r="AX84" s="635" t="s">
        <v>371</v>
      </c>
      <c r="BA84" s="635" t="s">
        <v>371</v>
      </c>
    </row>
    <row r="85" spans="2:53">
      <c r="B85" s="635"/>
      <c r="C85" s="635"/>
      <c r="D85" s="635"/>
      <c r="E85" s="635" t="s">
        <v>555</v>
      </c>
      <c r="F85" s="635"/>
      <c r="G85" s="635"/>
      <c r="H85" s="652"/>
      <c r="I85" s="635" t="s">
        <v>555</v>
      </c>
      <c r="J85" s="635"/>
      <c r="K85" s="635"/>
      <c r="L85" s="652"/>
      <c r="M85" s="637"/>
      <c r="N85" s="635"/>
      <c r="O85" s="635"/>
      <c r="P85" s="632" t="s">
        <v>379</v>
      </c>
      <c r="Q85" s="633"/>
      <c r="R85" s="633"/>
      <c r="S85" s="634"/>
      <c r="T85" s="635"/>
      <c r="U85" s="632" t="s">
        <v>379</v>
      </c>
      <c r="V85" s="633"/>
      <c r="W85" s="633"/>
      <c r="X85" s="634"/>
      <c r="Y85" s="635"/>
      <c r="Z85" s="632" t="s">
        <v>379</v>
      </c>
      <c r="AA85" s="633"/>
      <c r="AB85" s="633"/>
      <c r="AC85" s="634"/>
      <c r="AD85" s="635"/>
      <c r="AE85" s="632" t="s">
        <v>379</v>
      </c>
      <c r="AF85" s="633"/>
      <c r="AG85" s="633"/>
      <c r="AH85" s="634"/>
      <c r="AI85" s="635"/>
      <c r="AJ85" s="632" t="s">
        <v>379</v>
      </c>
      <c r="AK85" s="633"/>
      <c r="AL85" s="633"/>
      <c r="AM85" s="634"/>
      <c r="AN85" s="635"/>
      <c r="AO85" s="632" t="s">
        <v>379</v>
      </c>
      <c r="AP85" s="633"/>
      <c r="AQ85" s="633"/>
      <c r="AR85" s="634"/>
      <c r="AS85" s="635"/>
      <c r="AT85" s="632" t="s">
        <v>379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408" t="s">
        <v>556</v>
      </c>
      <c r="F86" s="408" t="s">
        <v>557</v>
      </c>
      <c r="G86" s="408" t="s">
        <v>558</v>
      </c>
      <c r="H86" s="653"/>
      <c r="I86" s="408" t="s">
        <v>556</v>
      </c>
      <c r="J86" s="408" t="s">
        <v>557</v>
      </c>
      <c r="K86" s="408" t="s">
        <v>558</v>
      </c>
      <c r="L86" s="653"/>
      <c r="M86" s="638"/>
      <c r="N86" s="635"/>
      <c r="O86" s="635"/>
      <c r="P86" s="408" t="s">
        <v>380</v>
      </c>
      <c r="Q86" s="408" t="s">
        <v>381</v>
      </c>
      <c r="R86" s="408" t="s">
        <v>382</v>
      </c>
      <c r="S86" s="408" t="s">
        <v>372</v>
      </c>
      <c r="T86" s="635"/>
      <c r="U86" s="408" t="s">
        <v>380</v>
      </c>
      <c r="V86" s="408" t="s">
        <v>381</v>
      </c>
      <c r="W86" s="408" t="s">
        <v>382</v>
      </c>
      <c r="X86" s="408" t="s">
        <v>372</v>
      </c>
      <c r="Y86" s="635"/>
      <c r="Z86" s="408" t="s">
        <v>380</v>
      </c>
      <c r="AA86" s="408" t="s">
        <v>381</v>
      </c>
      <c r="AB86" s="408" t="s">
        <v>382</v>
      </c>
      <c r="AC86" s="408" t="s">
        <v>372</v>
      </c>
      <c r="AD86" s="635"/>
      <c r="AE86" s="408" t="s">
        <v>380</v>
      </c>
      <c r="AF86" s="408" t="s">
        <v>381</v>
      </c>
      <c r="AG86" s="408" t="s">
        <v>382</v>
      </c>
      <c r="AH86" s="408" t="s">
        <v>372</v>
      </c>
      <c r="AI86" s="635"/>
      <c r="AJ86" s="408" t="s">
        <v>380</v>
      </c>
      <c r="AK86" s="408" t="s">
        <v>381</v>
      </c>
      <c r="AL86" s="408" t="s">
        <v>382</v>
      </c>
      <c r="AM86" s="408" t="s">
        <v>372</v>
      </c>
      <c r="AN86" s="635"/>
      <c r="AO86" s="408" t="s">
        <v>380</v>
      </c>
      <c r="AP86" s="408" t="s">
        <v>381</v>
      </c>
      <c r="AQ86" s="408" t="s">
        <v>382</v>
      </c>
      <c r="AR86" s="408" t="s">
        <v>372</v>
      </c>
      <c r="AS86" s="635"/>
      <c r="AT86" s="408" t="s">
        <v>380</v>
      </c>
      <c r="AU86" s="408" t="s">
        <v>381</v>
      </c>
      <c r="AV86" s="408" t="s">
        <v>382</v>
      </c>
      <c r="AW86" s="408" t="s">
        <v>372</v>
      </c>
      <c r="AX86" s="635"/>
      <c r="AZ86" s="397" t="s">
        <v>372</v>
      </c>
      <c r="BA86" s="635"/>
    </row>
    <row r="87" spans="2:53">
      <c r="B87" s="635" t="s">
        <v>432</v>
      </c>
      <c r="C87" s="411">
        <v>1</v>
      </c>
      <c r="D87" s="225"/>
      <c r="E87" s="416"/>
      <c r="F87" s="409"/>
      <c r="G87" s="410"/>
      <c r="H87" s="679" t="e">
        <f>AVERAGE(G87:G101)</f>
        <v>#DIV/0!</v>
      </c>
      <c r="I87" s="413" t="str">
        <f t="shared" ref="I87:I100" si="65">IFERROR(AVERAGE(P87,U87,Z87,AE87,AJ87,AO87,AT87),"-")</f>
        <v>-</v>
      </c>
      <c r="J87" s="413" t="str">
        <f t="shared" ref="J87:J100" si="66">IFERROR(AVERAGE(Q87,V87,AA87,AF87,AK87,AP87,AU87),"-")</f>
        <v>-</v>
      </c>
      <c r="K87" s="199" t="str">
        <f t="shared" ref="K87:K100" si="67">IFERROR(AVERAGE(R87,W87,AB87,AG87,AL87,AQ87,AV87),"-")</f>
        <v>-</v>
      </c>
      <c r="L87" s="616" t="str">
        <f>IFERROR(AVERAGE(K87:K101),"-")</f>
        <v>-</v>
      </c>
      <c r="M87" s="417" t="e">
        <f>RANK(K87, K$87:$K$101)</f>
        <v>#VALUE!</v>
      </c>
      <c r="N87" s="635"/>
      <c r="O87" s="635"/>
      <c r="P87" s="491"/>
      <c r="Q87" s="492"/>
      <c r="R87" s="492"/>
      <c r="S87" s="490"/>
      <c r="T87" s="657"/>
      <c r="U87" s="491"/>
      <c r="V87" s="492"/>
      <c r="W87" s="492"/>
      <c r="X87" s="490"/>
      <c r="Y87" s="657"/>
      <c r="Z87" s="491"/>
      <c r="AA87" s="492"/>
      <c r="AB87" s="492"/>
      <c r="AC87" s="490"/>
      <c r="AD87" s="657"/>
      <c r="AE87" s="491"/>
      <c r="AF87" s="492"/>
      <c r="AG87" s="492"/>
      <c r="AH87" s="490"/>
      <c r="AI87" s="657"/>
      <c r="AJ87" s="491"/>
      <c r="AK87" s="492"/>
      <c r="AL87" s="492"/>
      <c r="AM87" s="490"/>
      <c r="AN87" s="657"/>
      <c r="AO87" s="491"/>
      <c r="AP87" s="492"/>
      <c r="AQ87" s="492"/>
      <c r="AR87" s="490"/>
      <c r="AS87" s="657"/>
      <c r="AT87" s="490"/>
      <c r="AU87" s="416"/>
      <c r="AV87" s="416"/>
      <c r="AW87" s="490"/>
      <c r="AX87" s="657"/>
      <c r="AZ87" s="398" t="e">
        <f t="shared" ref="AZ87:AZ101" si="68">RANK(AY87, AY$87:AY$101)</f>
        <v>#N/A</v>
      </c>
      <c r="BA87" s="657" t="e">
        <f t="shared" ref="BA87" si="69">AVERAGE(AY87:AY101)</f>
        <v>#DIV/0!</v>
      </c>
    </row>
    <row r="88" spans="2:53">
      <c r="B88" s="643"/>
      <c r="C88" s="411">
        <v>2</v>
      </c>
      <c r="D88" s="225"/>
      <c r="E88" s="416"/>
      <c r="F88" s="409"/>
      <c r="G88" s="410"/>
      <c r="H88" s="680"/>
      <c r="I88" s="413" t="str">
        <f t="shared" si="65"/>
        <v>-</v>
      </c>
      <c r="J88" s="413" t="str">
        <f t="shared" si="66"/>
        <v>-</v>
      </c>
      <c r="K88" s="199" t="str">
        <f t="shared" si="67"/>
        <v>-</v>
      </c>
      <c r="L88" s="617"/>
      <c r="M88" s="492" t="e">
        <f>RANK(K88, K$87:$K$101)</f>
        <v>#VALUE!</v>
      </c>
      <c r="N88" s="635"/>
      <c r="O88" s="635"/>
      <c r="P88" s="491"/>
      <c r="Q88" s="492"/>
      <c r="R88" s="492"/>
      <c r="S88" s="490"/>
      <c r="T88" s="657"/>
      <c r="U88" s="491"/>
      <c r="V88" s="492"/>
      <c r="W88" s="492"/>
      <c r="X88" s="490"/>
      <c r="Y88" s="657"/>
      <c r="Z88" s="491"/>
      <c r="AA88" s="492"/>
      <c r="AB88" s="492"/>
      <c r="AC88" s="490"/>
      <c r="AD88" s="657"/>
      <c r="AE88" s="491"/>
      <c r="AF88" s="492"/>
      <c r="AG88" s="492"/>
      <c r="AH88" s="490"/>
      <c r="AI88" s="657"/>
      <c r="AJ88" s="491"/>
      <c r="AK88" s="492"/>
      <c r="AL88" s="492"/>
      <c r="AM88" s="490"/>
      <c r="AN88" s="657"/>
      <c r="AO88" s="491"/>
      <c r="AP88" s="492"/>
      <c r="AQ88" s="492"/>
      <c r="AR88" s="490"/>
      <c r="AS88" s="657"/>
      <c r="AT88" s="490"/>
      <c r="AU88" s="416"/>
      <c r="AV88" s="416"/>
      <c r="AW88" s="490"/>
      <c r="AX88" s="657"/>
      <c r="AZ88" s="398" t="e">
        <f t="shared" si="68"/>
        <v>#N/A</v>
      </c>
      <c r="BA88" s="657"/>
    </row>
    <row r="89" spans="2:53">
      <c r="B89" s="643"/>
      <c r="C89" s="411">
        <v>3</v>
      </c>
      <c r="D89" s="225"/>
      <c r="E89" s="416"/>
      <c r="F89" s="409"/>
      <c r="G89" s="410"/>
      <c r="H89" s="680"/>
      <c r="I89" s="413" t="str">
        <f t="shared" si="65"/>
        <v>-</v>
      </c>
      <c r="J89" s="413" t="str">
        <f t="shared" si="66"/>
        <v>-</v>
      </c>
      <c r="K89" s="199" t="str">
        <f t="shared" si="67"/>
        <v>-</v>
      </c>
      <c r="L89" s="617"/>
      <c r="M89" s="492" t="e">
        <f>RANK(K89, K$87:$K$101)</f>
        <v>#VALUE!</v>
      </c>
      <c r="N89" s="635"/>
      <c r="O89" s="635"/>
      <c r="P89" s="491"/>
      <c r="Q89" s="492"/>
      <c r="R89" s="492"/>
      <c r="S89" s="490"/>
      <c r="T89" s="657"/>
      <c r="U89" s="491"/>
      <c r="V89" s="492"/>
      <c r="W89" s="492"/>
      <c r="X89" s="490"/>
      <c r="Y89" s="657"/>
      <c r="Z89" s="491"/>
      <c r="AA89" s="492"/>
      <c r="AB89" s="492"/>
      <c r="AC89" s="490"/>
      <c r="AD89" s="657"/>
      <c r="AE89" s="491"/>
      <c r="AF89" s="492"/>
      <c r="AG89" s="492"/>
      <c r="AH89" s="490"/>
      <c r="AI89" s="657"/>
      <c r="AJ89" s="491"/>
      <c r="AK89" s="492"/>
      <c r="AL89" s="492"/>
      <c r="AM89" s="490"/>
      <c r="AN89" s="657"/>
      <c r="AO89" s="491"/>
      <c r="AP89" s="492"/>
      <c r="AQ89" s="492"/>
      <c r="AR89" s="490"/>
      <c r="AS89" s="657"/>
      <c r="AT89" s="490"/>
      <c r="AU89" s="416"/>
      <c r="AV89" s="416"/>
      <c r="AW89" s="490"/>
      <c r="AX89" s="657"/>
      <c r="AZ89" s="398" t="e">
        <f t="shared" si="68"/>
        <v>#N/A</v>
      </c>
      <c r="BA89" s="657"/>
    </row>
    <row r="90" spans="2:53">
      <c r="B90" s="643"/>
      <c r="C90" s="411">
        <v>4</v>
      </c>
      <c r="D90" s="225"/>
      <c r="E90" s="416"/>
      <c r="F90" s="409"/>
      <c r="G90" s="410"/>
      <c r="H90" s="680"/>
      <c r="I90" s="413" t="str">
        <f t="shared" si="65"/>
        <v>-</v>
      </c>
      <c r="J90" s="413" t="str">
        <f t="shared" si="66"/>
        <v>-</v>
      </c>
      <c r="K90" s="199" t="str">
        <f t="shared" si="67"/>
        <v>-</v>
      </c>
      <c r="L90" s="617"/>
      <c r="M90" s="492" t="e">
        <f>RANK(K90, K$87:$K$101)</f>
        <v>#VALUE!</v>
      </c>
      <c r="N90" s="635"/>
      <c r="O90" s="635"/>
      <c r="P90" s="491"/>
      <c r="Q90" s="492"/>
      <c r="R90" s="492"/>
      <c r="S90" s="490"/>
      <c r="T90" s="657"/>
      <c r="U90" s="491"/>
      <c r="V90" s="492"/>
      <c r="W90" s="492"/>
      <c r="X90" s="490"/>
      <c r="Y90" s="657"/>
      <c r="Z90" s="491"/>
      <c r="AA90" s="492"/>
      <c r="AB90" s="492"/>
      <c r="AC90" s="490"/>
      <c r="AD90" s="657"/>
      <c r="AE90" s="491"/>
      <c r="AF90" s="492"/>
      <c r="AG90" s="492"/>
      <c r="AH90" s="490"/>
      <c r="AI90" s="657"/>
      <c r="AJ90" s="491"/>
      <c r="AK90" s="492"/>
      <c r="AL90" s="492"/>
      <c r="AM90" s="490"/>
      <c r="AN90" s="657"/>
      <c r="AO90" s="491"/>
      <c r="AP90" s="492"/>
      <c r="AQ90" s="492"/>
      <c r="AR90" s="490"/>
      <c r="AS90" s="657"/>
      <c r="AT90" s="490"/>
      <c r="AU90" s="416"/>
      <c r="AV90" s="416"/>
      <c r="AW90" s="490"/>
      <c r="AX90" s="657"/>
      <c r="AZ90" s="398" t="e">
        <f t="shared" si="68"/>
        <v>#N/A</v>
      </c>
      <c r="BA90" s="657"/>
    </row>
    <row r="91" spans="2:53">
      <c r="B91" s="643"/>
      <c r="C91" s="411">
        <v>5</v>
      </c>
      <c r="D91" s="225"/>
      <c r="E91" s="416"/>
      <c r="F91" s="409"/>
      <c r="G91" s="410"/>
      <c r="H91" s="680"/>
      <c r="I91" s="413" t="str">
        <f t="shared" si="65"/>
        <v>-</v>
      </c>
      <c r="J91" s="413" t="str">
        <f t="shared" si="66"/>
        <v>-</v>
      </c>
      <c r="K91" s="199" t="str">
        <f t="shared" si="67"/>
        <v>-</v>
      </c>
      <c r="L91" s="617"/>
      <c r="M91" s="492" t="e">
        <f>RANK(K91, K$87:$K$101)</f>
        <v>#VALUE!</v>
      </c>
      <c r="N91" s="635"/>
      <c r="O91" s="635"/>
      <c r="P91" s="491"/>
      <c r="Q91" s="492"/>
      <c r="R91" s="492"/>
      <c r="S91" s="490"/>
      <c r="T91" s="657"/>
      <c r="U91" s="491"/>
      <c r="V91" s="492"/>
      <c r="W91" s="492"/>
      <c r="X91" s="490"/>
      <c r="Y91" s="657"/>
      <c r="Z91" s="491"/>
      <c r="AA91" s="492"/>
      <c r="AB91" s="492"/>
      <c r="AC91" s="490"/>
      <c r="AD91" s="657"/>
      <c r="AE91" s="491"/>
      <c r="AF91" s="492"/>
      <c r="AG91" s="492"/>
      <c r="AH91" s="490"/>
      <c r="AI91" s="657"/>
      <c r="AJ91" s="491"/>
      <c r="AK91" s="492"/>
      <c r="AL91" s="492"/>
      <c r="AM91" s="490"/>
      <c r="AN91" s="657"/>
      <c r="AO91" s="491"/>
      <c r="AP91" s="492"/>
      <c r="AQ91" s="492"/>
      <c r="AR91" s="490"/>
      <c r="AS91" s="657"/>
      <c r="AT91" s="490"/>
      <c r="AU91" s="416"/>
      <c r="AV91" s="416"/>
      <c r="AW91" s="490"/>
      <c r="AX91" s="657"/>
      <c r="AZ91" s="398" t="e">
        <f t="shared" si="68"/>
        <v>#N/A</v>
      </c>
      <c r="BA91" s="657"/>
    </row>
    <row r="92" spans="2:53">
      <c r="B92" s="643"/>
      <c r="C92" s="411">
        <v>6</v>
      </c>
      <c r="D92" s="225"/>
      <c r="E92" s="416"/>
      <c r="F92" s="409"/>
      <c r="G92" s="410"/>
      <c r="H92" s="680"/>
      <c r="I92" s="413" t="str">
        <f t="shared" si="65"/>
        <v>-</v>
      </c>
      <c r="J92" s="413" t="str">
        <f t="shared" si="66"/>
        <v>-</v>
      </c>
      <c r="K92" s="199" t="str">
        <f t="shared" si="67"/>
        <v>-</v>
      </c>
      <c r="L92" s="617"/>
      <c r="M92" s="492" t="e">
        <f>RANK(K92, K$87:$K$101)</f>
        <v>#VALUE!</v>
      </c>
      <c r="N92" s="635"/>
      <c r="O92" s="635"/>
      <c r="P92" s="491"/>
      <c r="Q92" s="492"/>
      <c r="R92" s="492"/>
      <c r="S92" s="490"/>
      <c r="T92" s="657"/>
      <c r="U92" s="491"/>
      <c r="V92" s="492"/>
      <c r="W92" s="492"/>
      <c r="X92" s="490"/>
      <c r="Y92" s="657"/>
      <c r="Z92" s="491"/>
      <c r="AA92" s="492"/>
      <c r="AB92" s="492"/>
      <c r="AC92" s="490"/>
      <c r="AD92" s="657"/>
      <c r="AE92" s="491"/>
      <c r="AF92" s="492"/>
      <c r="AG92" s="492"/>
      <c r="AH92" s="490"/>
      <c r="AI92" s="657"/>
      <c r="AJ92" s="491"/>
      <c r="AK92" s="492"/>
      <c r="AL92" s="492"/>
      <c r="AM92" s="490"/>
      <c r="AN92" s="657"/>
      <c r="AO92" s="491"/>
      <c r="AP92" s="492"/>
      <c r="AQ92" s="492"/>
      <c r="AR92" s="490"/>
      <c r="AS92" s="657"/>
      <c r="AT92" s="490"/>
      <c r="AU92" s="416"/>
      <c r="AV92" s="416"/>
      <c r="AW92" s="490"/>
      <c r="AX92" s="657"/>
      <c r="AZ92" s="398" t="e">
        <f t="shared" si="68"/>
        <v>#N/A</v>
      </c>
      <c r="BA92" s="657"/>
    </row>
    <row r="93" spans="2:53">
      <c r="B93" s="643"/>
      <c r="C93" s="411">
        <v>7</v>
      </c>
      <c r="D93" s="225"/>
      <c r="E93" s="416"/>
      <c r="F93" s="409"/>
      <c r="G93" s="410"/>
      <c r="H93" s="680"/>
      <c r="I93" s="413" t="str">
        <f t="shared" si="65"/>
        <v>-</v>
      </c>
      <c r="J93" s="413" t="str">
        <f t="shared" si="66"/>
        <v>-</v>
      </c>
      <c r="K93" s="199" t="str">
        <f t="shared" si="67"/>
        <v>-</v>
      </c>
      <c r="L93" s="617"/>
      <c r="M93" s="492" t="e">
        <f>RANK(K93, K$87:$K$101)</f>
        <v>#VALUE!</v>
      </c>
      <c r="N93" s="635"/>
      <c r="O93" s="635"/>
      <c r="P93" s="491"/>
      <c r="Q93" s="492"/>
      <c r="R93" s="492"/>
      <c r="S93" s="490"/>
      <c r="T93" s="657"/>
      <c r="U93" s="491"/>
      <c r="V93" s="492"/>
      <c r="W93" s="492"/>
      <c r="X93" s="490"/>
      <c r="Y93" s="657"/>
      <c r="Z93" s="491"/>
      <c r="AA93" s="492"/>
      <c r="AB93" s="492"/>
      <c r="AC93" s="490"/>
      <c r="AD93" s="657"/>
      <c r="AE93" s="491"/>
      <c r="AF93" s="492"/>
      <c r="AG93" s="492"/>
      <c r="AH93" s="490"/>
      <c r="AI93" s="657"/>
      <c r="AJ93" s="491"/>
      <c r="AK93" s="492"/>
      <c r="AL93" s="492"/>
      <c r="AM93" s="490"/>
      <c r="AN93" s="657"/>
      <c r="AO93" s="491"/>
      <c r="AP93" s="492"/>
      <c r="AQ93" s="492"/>
      <c r="AR93" s="490"/>
      <c r="AS93" s="657"/>
      <c r="AT93" s="490"/>
      <c r="AU93" s="416"/>
      <c r="AV93" s="416"/>
      <c r="AW93" s="490"/>
      <c r="AX93" s="657"/>
      <c r="AZ93" s="398" t="e">
        <f t="shared" si="68"/>
        <v>#N/A</v>
      </c>
      <c r="BA93" s="657"/>
    </row>
    <row r="94" spans="2:53">
      <c r="B94" s="643"/>
      <c r="C94" s="411">
        <v>8</v>
      </c>
      <c r="D94" s="225"/>
      <c r="E94" s="416"/>
      <c r="F94" s="409"/>
      <c r="G94" s="410"/>
      <c r="H94" s="680"/>
      <c r="I94" s="413" t="str">
        <f t="shared" si="65"/>
        <v>-</v>
      </c>
      <c r="J94" s="413" t="str">
        <f t="shared" si="66"/>
        <v>-</v>
      </c>
      <c r="K94" s="199" t="str">
        <f t="shared" si="67"/>
        <v>-</v>
      </c>
      <c r="L94" s="617"/>
      <c r="M94" s="492" t="e">
        <f>RANK(K94, K$87:$K$101)</f>
        <v>#VALUE!</v>
      </c>
      <c r="N94" s="635"/>
      <c r="O94" s="635"/>
      <c r="P94" s="491"/>
      <c r="Q94" s="492"/>
      <c r="R94" s="492"/>
      <c r="S94" s="490"/>
      <c r="T94" s="657"/>
      <c r="U94" s="491"/>
      <c r="V94" s="492"/>
      <c r="W94" s="492"/>
      <c r="X94" s="490"/>
      <c r="Y94" s="657"/>
      <c r="Z94" s="491"/>
      <c r="AA94" s="492"/>
      <c r="AB94" s="492"/>
      <c r="AC94" s="490"/>
      <c r="AD94" s="657"/>
      <c r="AE94" s="491"/>
      <c r="AF94" s="492"/>
      <c r="AG94" s="492"/>
      <c r="AH94" s="490"/>
      <c r="AI94" s="657"/>
      <c r="AJ94" s="491"/>
      <c r="AK94" s="492"/>
      <c r="AL94" s="492"/>
      <c r="AM94" s="490"/>
      <c r="AN94" s="657"/>
      <c r="AO94" s="491"/>
      <c r="AP94" s="492"/>
      <c r="AQ94" s="492"/>
      <c r="AR94" s="490"/>
      <c r="AS94" s="657"/>
      <c r="AT94" s="490"/>
      <c r="AU94" s="416"/>
      <c r="AV94" s="416"/>
      <c r="AW94" s="490"/>
      <c r="AX94" s="657"/>
      <c r="AZ94" s="398" t="e">
        <f t="shared" si="68"/>
        <v>#N/A</v>
      </c>
      <c r="BA94" s="657"/>
    </row>
    <row r="95" spans="2:53">
      <c r="B95" s="643"/>
      <c r="C95" s="411">
        <v>9</v>
      </c>
      <c r="D95" s="225"/>
      <c r="E95" s="416"/>
      <c r="F95" s="409"/>
      <c r="G95" s="410"/>
      <c r="H95" s="680"/>
      <c r="I95" s="413" t="str">
        <f t="shared" si="65"/>
        <v>-</v>
      </c>
      <c r="J95" s="413" t="str">
        <f t="shared" si="66"/>
        <v>-</v>
      </c>
      <c r="K95" s="199" t="str">
        <f t="shared" si="67"/>
        <v>-</v>
      </c>
      <c r="L95" s="617"/>
      <c r="M95" s="492" t="e">
        <f>RANK(K95, K$87:$K$101)</f>
        <v>#VALUE!</v>
      </c>
      <c r="N95" s="635"/>
      <c r="O95" s="635"/>
      <c r="P95" s="491"/>
      <c r="Q95" s="492"/>
      <c r="R95" s="492"/>
      <c r="S95" s="490"/>
      <c r="T95" s="657"/>
      <c r="U95" s="491"/>
      <c r="V95" s="492"/>
      <c r="W95" s="492"/>
      <c r="X95" s="490"/>
      <c r="Y95" s="657"/>
      <c r="Z95" s="491"/>
      <c r="AA95" s="492"/>
      <c r="AB95" s="492"/>
      <c r="AC95" s="490"/>
      <c r="AD95" s="657"/>
      <c r="AE95" s="491"/>
      <c r="AF95" s="492"/>
      <c r="AG95" s="492"/>
      <c r="AH95" s="490"/>
      <c r="AI95" s="657"/>
      <c r="AJ95" s="491"/>
      <c r="AK95" s="492"/>
      <c r="AL95" s="492"/>
      <c r="AM95" s="490"/>
      <c r="AN95" s="657"/>
      <c r="AO95" s="491"/>
      <c r="AP95" s="492"/>
      <c r="AQ95" s="492"/>
      <c r="AR95" s="490"/>
      <c r="AS95" s="657"/>
      <c r="AT95" s="490"/>
      <c r="AU95" s="416"/>
      <c r="AV95" s="416"/>
      <c r="AW95" s="490"/>
      <c r="AX95" s="657"/>
      <c r="AZ95" s="398" t="e">
        <f t="shared" si="68"/>
        <v>#N/A</v>
      </c>
      <c r="BA95" s="657"/>
    </row>
    <row r="96" spans="2:53">
      <c r="B96" s="643"/>
      <c r="C96" s="411">
        <v>10</v>
      </c>
      <c r="D96" s="225"/>
      <c r="E96" s="416"/>
      <c r="F96" s="409"/>
      <c r="G96" s="410"/>
      <c r="H96" s="680"/>
      <c r="I96" s="413" t="str">
        <f t="shared" si="65"/>
        <v>-</v>
      </c>
      <c r="J96" s="413" t="str">
        <f t="shared" si="66"/>
        <v>-</v>
      </c>
      <c r="K96" s="199" t="str">
        <f t="shared" si="67"/>
        <v>-</v>
      </c>
      <c r="L96" s="617"/>
      <c r="M96" s="492" t="e">
        <f>RANK(K96, K$87:$K$101)</f>
        <v>#VALUE!</v>
      </c>
      <c r="N96" s="635"/>
      <c r="O96" s="635"/>
      <c r="P96" s="491"/>
      <c r="Q96" s="492"/>
      <c r="R96" s="492"/>
      <c r="S96" s="490"/>
      <c r="T96" s="657"/>
      <c r="U96" s="491"/>
      <c r="V96" s="492"/>
      <c r="W96" s="492"/>
      <c r="X96" s="490"/>
      <c r="Y96" s="657"/>
      <c r="Z96" s="491"/>
      <c r="AA96" s="492"/>
      <c r="AB96" s="492"/>
      <c r="AC96" s="490"/>
      <c r="AD96" s="657"/>
      <c r="AE96" s="491"/>
      <c r="AF96" s="492"/>
      <c r="AG96" s="492"/>
      <c r="AH96" s="490"/>
      <c r="AI96" s="657"/>
      <c r="AJ96" s="491"/>
      <c r="AK96" s="492"/>
      <c r="AL96" s="492"/>
      <c r="AM96" s="490"/>
      <c r="AN96" s="657"/>
      <c r="AO96" s="491"/>
      <c r="AP96" s="492"/>
      <c r="AQ96" s="492"/>
      <c r="AR96" s="490"/>
      <c r="AS96" s="657"/>
      <c r="AT96" s="490"/>
      <c r="AU96" s="416"/>
      <c r="AV96" s="416"/>
      <c r="AW96" s="490"/>
      <c r="AX96" s="657"/>
      <c r="AZ96" s="398" t="e">
        <f t="shared" si="68"/>
        <v>#N/A</v>
      </c>
      <c r="BA96" s="657"/>
    </row>
    <row r="97" spans="2:53">
      <c r="B97" s="643"/>
      <c r="C97" s="411">
        <v>11</v>
      </c>
      <c r="D97" s="225"/>
      <c r="E97" s="416"/>
      <c r="F97" s="409"/>
      <c r="G97" s="410"/>
      <c r="H97" s="680"/>
      <c r="I97" s="413" t="str">
        <f t="shared" si="65"/>
        <v>-</v>
      </c>
      <c r="J97" s="413" t="str">
        <f t="shared" si="66"/>
        <v>-</v>
      </c>
      <c r="K97" s="199" t="str">
        <f t="shared" si="67"/>
        <v>-</v>
      </c>
      <c r="L97" s="617"/>
      <c r="M97" s="492" t="e">
        <f>RANK(K97, K$87:$K$101)</f>
        <v>#VALUE!</v>
      </c>
      <c r="N97" s="635"/>
      <c r="O97" s="635"/>
      <c r="P97" s="491"/>
      <c r="Q97" s="492"/>
      <c r="R97" s="492"/>
      <c r="S97" s="490"/>
      <c r="T97" s="657"/>
      <c r="U97" s="491"/>
      <c r="V97" s="492"/>
      <c r="W97" s="492"/>
      <c r="X97" s="490"/>
      <c r="Y97" s="657"/>
      <c r="Z97" s="491"/>
      <c r="AA97" s="492"/>
      <c r="AB97" s="492"/>
      <c r="AC97" s="490"/>
      <c r="AD97" s="657"/>
      <c r="AE97" s="491"/>
      <c r="AF97" s="492"/>
      <c r="AG97" s="492"/>
      <c r="AH97" s="490"/>
      <c r="AI97" s="657"/>
      <c r="AJ97" s="491"/>
      <c r="AK97" s="492"/>
      <c r="AL97" s="492"/>
      <c r="AM97" s="490"/>
      <c r="AN97" s="657"/>
      <c r="AO97" s="491"/>
      <c r="AP97" s="492"/>
      <c r="AQ97" s="492"/>
      <c r="AR97" s="490"/>
      <c r="AS97" s="657"/>
      <c r="AT97" s="490"/>
      <c r="AU97" s="416"/>
      <c r="AV97" s="416"/>
      <c r="AW97" s="490"/>
      <c r="AX97" s="657"/>
      <c r="AZ97" s="398" t="e">
        <f t="shared" si="68"/>
        <v>#N/A</v>
      </c>
      <c r="BA97" s="657"/>
    </row>
    <row r="98" spans="2:53">
      <c r="B98" s="643"/>
      <c r="C98" s="411">
        <v>12</v>
      </c>
      <c r="D98" s="225"/>
      <c r="E98" s="416"/>
      <c r="F98" s="409"/>
      <c r="G98" s="410"/>
      <c r="H98" s="680"/>
      <c r="I98" s="413" t="str">
        <f t="shared" si="65"/>
        <v>-</v>
      </c>
      <c r="J98" s="413" t="str">
        <f t="shared" si="66"/>
        <v>-</v>
      </c>
      <c r="K98" s="199" t="str">
        <f t="shared" si="67"/>
        <v>-</v>
      </c>
      <c r="L98" s="617"/>
      <c r="M98" s="492" t="e">
        <f>RANK(K98, K$87:$K$101)</f>
        <v>#VALUE!</v>
      </c>
      <c r="N98" s="635"/>
      <c r="O98" s="635"/>
      <c r="P98" s="491"/>
      <c r="Q98" s="492"/>
      <c r="R98" s="492"/>
      <c r="S98" s="490"/>
      <c r="T98" s="657"/>
      <c r="U98" s="491"/>
      <c r="V98" s="492"/>
      <c r="W98" s="492"/>
      <c r="X98" s="490"/>
      <c r="Y98" s="657"/>
      <c r="Z98" s="491"/>
      <c r="AA98" s="492"/>
      <c r="AB98" s="492"/>
      <c r="AC98" s="490"/>
      <c r="AD98" s="657"/>
      <c r="AE98" s="491"/>
      <c r="AF98" s="492"/>
      <c r="AG98" s="492"/>
      <c r="AH98" s="490"/>
      <c r="AI98" s="657"/>
      <c r="AJ98" s="491"/>
      <c r="AK98" s="492"/>
      <c r="AL98" s="492"/>
      <c r="AM98" s="490"/>
      <c r="AN98" s="657"/>
      <c r="AO98" s="491"/>
      <c r="AP98" s="492"/>
      <c r="AQ98" s="492"/>
      <c r="AR98" s="490"/>
      <c r="AS98" s="657"/>
      <c r="AT98" s="490"/>
      <c r="AU98" s="416"/>
      <c r="AV98" s="416"/>
      <c r="AW98" s="490"/>
      <c r="AX98" s="657"/>
      <c r="AZ98" s="398" t="e">
        <f t="shared" si="68"/>
        <v>#N/A</v>
      </c>
      <c r="BA98" s="657"/>
    </row>
    <row r="99" spans="2:53">
      <c r="B99" s="643"/>
      <c r="C99" s="411">
        <v>13</v>
      </c>
      <c r="D99" s="225"/>
      <c r="E99" s="416"/>
      <c r="F99" s="409"/>
      <c r="G99" s="410"/>
      <c r="H99" s="680"/>
      <c r="I99" s="413" t="str">
        <f t="shared" si="65"/>
        <v>-</v>
      </c>
      <c r="J99" s="413" t="str">
        <f t="shared" si="66"/>
        <v>-</v>
      </c>
      <c r="K99" s="199" t="str">
        <f t="shared" si="67"/>
        <v>-</v>
      </c>
      <c r="L99" s="617"/>
      <c r="M99" s="492" t="e">
        <f>RANK(K99, K$87:$K$101)</f>
        <v>#VALUE!</v>
      </c>
      <c r="N99" s="635"/>
      <c r="O99" s="635"/>
      <c r="P99" s="491"/>
      <c r="Q99" s="492"/>
      <c r="R99" s="492"/>
      <c r="S99" s="490"/>
      <c r="T99" s="657"/>
      <c r="U99" s="491"/>
      <c r="V99" s="492"/>
      <c r="W99" s="492"/>
      <c r="X99" s="490"/>
      <c r="Y99" s="657"/>
      <c r="Z99" s="491"/>
      <c r="AA99" s="492"/>
      <c r="AB99" s="492"/>
      <c r="AC99" s="490"/>
      <c r="AD99" s="657"/>
      <c r="AE99" s="491"/>
      <c r="AF99" s="492"/>
      <c r="AG99" s="492"/>
      <c r="AH99" s="490"/>
      <c r="AI99" s="657"/>
      <c r="AJ99" s="491"/>
      <c r="AK99" s="492"/>
      <c r="AL99" s="492"/>
      <c r="AM99" s="490"/>
      <c r="AN99" s="657"/>
      <c r="AO99" s="491"/>
      <c r="AP99" s="492"/>
      <c r="AQ99" s="492"/>
      <c r="AR99" s="490"/>
      <c r="AS99" s="657"/>
      <c r="AT99" s="490"/>
      <c r="AU99" s="416"/>
      <c r="AV99" s="416"/>
      <c r="AW99" s="490"/>
      <c r="AX99" s="657"/>
      <c r="AZ99" s="398" t="e">
        <f t="shared" si="68"/>
        <v>#N/A</v>
      </c>
      <c r="BA99" s="657"/>
    </row>
    <row r="100" spans="2:53">
      <c r="B100" s="643"/>
      <c r="C100" s="411">
        <v>14</v>
      </c>
      <c r="D100" s="225"/>
      <c r="E100" s="416"/>
      <c r="F100" s="409"/>
      <c r="G100" s="410"/>
      <c r="H100" s="680"/>
      <c r="I100" s="413" t="str">
        <f t="shared" si="65"/>
        <v>-</v>
      </c>
      <c r="J100" s="413" t="str">
        <f t="shared" si="66"/>
        <v>-</v>
      </c>
      <c r="K100" s="199" t="str">
        <f t="shared" si="67"/>
        <v>-</v>
      </c>
      <c r="L100" s="617"/>
      <c r="M100" s="492" t="e">
        <f>RANK(K100, K$87:$K$101)</f>
        <v>#VALUE!</v>
      </c>
      <c r="N100" s="635"/>
      <c r="O100" s="635"/>
      <c r="P100" s="491"/>
      <c r="Q100" s="492"/>
      <c r="R100" s="492"/>
      <c r="S100" s="490"/>
      <c r="T100" s="657"/>
      <c r="U100" s="491"/>
      <c r="V100" s="492"/>
      <c r="W100" s="492"/>
      <c r="X100" s="490"/>
      <c r="Y100" s="657"/>
      <c r="Z100" s="491"/>
      <c r="AA100" s="492"/>
      <c r="AB100" s="492"/>
      <c r="AC100" s="490"/>
      <c r="AD100" s="657"/>
      <c r="AE100" s="491"/>
      <c r="AF100" s="492"/>
      <c r="AG100" s="492"/>
      <c r="AH100" s="490"/>
      <c r="AI100" s="657"/>
      <c r="AJ100" s="491"/>
      <c r="AK100" s="492"/>
      <c r="AL100" s="492"/>
      <c r="AM100" s="490"/>
      <c r="AN100" s="657"/>
      <c r="AO100" s="491"/>
      <c r="AP100" s="492"/>
      <c r="AQ100" s="492"/>
      <c r="AR100" s="490"/>
      <c r="AS100" s="657"/>
      <c r="AT100" s="490"/>
      <c r="AU100" s="416"/>
      <c r="AV100" s="416"/>
      <c r="AW100" s="490"/>
      <c r="AX100" s="657"/>
      <c r="AZ100" s="398" t="e">
        <f t="shared" si="68"/>
        <v>#N/A</v>
      </c>
      <c r="BA100" s="657"/>
    </row>
    <row r="101" spans="2:53">
      <c r="B101" s="643"/>
      <c r="C101" s="411">
        <v>15</v>
      </c>
      <c r="D101" s="225"/>
      <c r="E101" s="416"/>
      <c r="F101" s="409"/>
      <c r="G101" s="410"/>
      <c r="H101" s="684"/>
      <c r="I101" s="411"/>
      <c r="J101" s="411"/>
      <c r="K101" s="411"/>
      <c r="L101" s="618"/>
      <c r="M101" s="492" t="e">
        <f>RANK(K101, K$87:$K$101)</f>
        <v>#N/A</v>
      </c>
      <c r="N101" s="635"/>
      <c r="O101" s="635"/>
      <c r="P101" s="491"/>
      <c r="Q101" s="492"/>
      <c r="R101" s="492"/>
      <c r="S101" s="490"/>
      <c r="T101" s="657"/>
      <c r="U101" s="491"/>
      <c r="V101" s="492"/>
      <c r="W101" s="492"/>
      <c r="X101" s="490"/>
      <c r="Y101" s="657"/>
      <c r="Z101" s="491"/>
      <c r="AA101" s="492"/>
      <c r="AB101" s="492"/>
      <c r="AC101" s="490"/>
      <c r="AD101" s="657"/>
      <c r="AE101" s="491"/>
      <c r="AF101" s="492"/>
      <c r="AG101" s="492"/>
      <c r="AH101" s="490"/>
      <c r="AI101" s="657"/>
      <c r="AJ101" s="491"/>
      <c r="AK101" s="492"/>
      <c r="AL101" s="492"/>
      <c r="AM101" s="490"/>
      <c r="AN101" s="657"/>
      <c r="AO101" s="491"/>
      <c r="AP101" s="492"/>
      <c r="AQ101" s="492"/>
      <c r="AR101" s="490"/>
      <c r="AS101" s="657"/>
      <c r="AT101" s="490"/>
      <c r="AU101" s="416"/>
      <c r="AV101" s="416"/>
      <c r="AW101" s="490"/>
      <c r="AX101" s="657"/>
      <c r="AZ101" s="398" t="e">
        <f t="shared" si="68"/>
        <v>#N/A</v>
      </c>
      <c r="BA101" s="657"/>
    </row>
    <row r="102" spans="2:53" ht="15.75">
      <c r="B102" s="647" t="s">
        <v>163</v>
      </c>
      <c r="C102" s="648"/>
      <c r="D102" s="648"/>
      <c r="E102" s="648"/>
      <c r="F102" s="648"/>
      <c r="G102" s="648"/>
      <c r="H102" s="649"/>
      <c r="I102" s="207"/>
      <c r="J102" s="207"/>
      <c r="K102" s="207"/>
      <c r="L102" s="207"/>
      <c r="M102" s="206"/>
      <c r="N102" s="636" t="s">
        <v>156</v>
      </c>
      <c r="O102" s="636" t="s">
        <v>105</v>
      </c>
      <c r="P102" s="642">
        <f>P82+7</f>
        <v>46203</v>
      </c>
      <c r="Q102" s="643"/>
      <c r="R102" s="643"/>
      <c r="S102" s="643"/>
      <c r="T102" s="643"/>
      <c r="U102" s="639">
        <f>P102+1</f>
        <v>46204</v>
      </c>
      <c r="V102" s="640"/>
      <c r="W102" s="640"/>
      <c r="X102" s="640"/>
      <c r="Y102" s="641"/>
      <c r="Z102" s="639">
        <f>U102+1</f>
        <v>46205</v>
      </c>
      <c r="AA102" s="640"/>
      <c r="AB102" s="640"/>
      <c r="AC102" s="640"/>
      <c r="AD102" s="641"/>
      <c r="AE102" s="639">
        <f>Z102+1</f>
        <v>46206</v>
      </c>
      <c r="AF102" s="640"/>
      <c r="AG102" s="640"/>
      <c r="AH102" s="640"/>
      <c r="AI102" s="641"/>
      <c r="AJ102" s="639">
        <f>AE102+1</f>
        <v>46207</v>
      </c>
      <c r="AK102" s="640"/>
      <c r="AL102" s="640"/>
      <c r="AM102" s="640"/>
      <c r="AN102" s="641"/>
      <c r="AO102" s="639">
        <f>AJ102+1</f>
        <v>46208</v>
      </c>
      <c r="AP102" s="640"/>
      <c r="AQ102" s="640"/>
      <c r="AR102" s="640"/>
      <c r="AS102" s="641"/>
      <c r="AT102" s="639">
        <f>AO102+1</f>
        <v>46209</v>
      </c>
      <c r="AU102" s="640"/>
      <c r="AV102" s="640"/>
      <c r="AW102" s="640"/>
      <c r="AX102" s="641"/>
    </row>
    <row r="103" spans="2:53" ht="15.75">
      <c r="B103" s="650"/>
      <c r="C103" s="650"/>
      <c r="D103" s="650"/>
      <c r="E103" s="650"/>
      <c r="F103" s="650"/>
      <c r="G103" s="650"/>
      <c r="H103" s="650"/>
      <c r="I103" s="204"/>
      <c r="J103" s="204"/>
      <c r="K103" s="204"/>
      <c r="L103" s="204"/>
      <c r="M103" s="205"/>
      <c r="N103" s="638"/>
      <c r="O103" s="638"/>
      <c r="P103" s="642" t="s">
        <v>158</v>
      </c>
      <c r="Q103" s="643"/>
      <c r="R103" s="643"/>
      <c r="S103" s="643"/>
      <c r="T103" s="643"/>
      <c r="U103" s="642" t="s">
        <v>114</v>
      </c>
      <c r="V103" s="643"/>
      <c r="W103" s="643"/>
      <c r="X103" s="643"/>
      <c r="Y103" s="643"/>
      <c r="Z103" s="642" t="s">
        <v>159</v>
      </c>
      <c r="AA103" s="643"/>
      <c r="AB103" s="643"/>
      <c r="AC103" s="643"/>
      <c r="AD103" s="643"/>
      <c r="AE103" s="642" t="s">
        <v>157</v>
      </c>
      <c r="AF103" s="643"/>
      <c r="AG103" s="643"/>
      <c r="AH103" s="643"/>
      <c r="AI103" s="643"/>
      <c r="AJ103" s="642" t="s">
        <v>160</v>
      </c>
      <c r="AK103" s="643"/>
      <c r="AL103" s="643"/>
      <c r="AM103" s="643"/>
      <c r="AN103" s="643"/>
      <c r="AO103" s="642" t="s">
        <v>115</v>
      </c>
      <c r="AP103" s="643"/>
      <c r="AQ103" s="643"/>
      <c r="AR103" s="643"/>
      <c r="AS103" s="643"/>
      <c r="AT103" s="642" t="s">
        <v>162</v>
      </c>
      <c r="AU103" s="643"/>
      <c r="AV103" s="643"/>
      <c r="AW103" s="643"/>
      <c r="AX103" s="643"/>
    </row>
    <row r="104" spans="2:53">
      <c r="B104" s="635" t="s">
        <v>548</v>
      </c>
      <c r="C104" s="635" t="s">
        <v>549</v>
      </c>
      <c r="D104" s="635"/>
      <c r="E104" s="635" t="s">
        <v>550</v>
      </c>
      <c r="F104" s="635"/>
      <c r="G104" s="635"/>
      <c r="H104" s="651" t="s">
        <v>551</v>
      </c>
      <c r="I104" s="635" t="s">
        <v>552</v>
      </c>
      <c r="J104" s="635"/>
      <c r="K104" s="635"/>
      <c r="L104" s="651" t="s">
        <v>371</v>
      </c>
      <c r="M104" s="636" t="s">
        <v>553</v>
      </c>
      <c r="N104" s="635"/>
      <c r="O104" s="635" t="s">
        <v>539</v>
      </c>
      <c r="P104" s="632" t="s">
        <v>540</v>
      </c>
      <c r="Q104" s="633"/>
      <c r="R104" s="633"/>
      <c r="S104" s="634"/>
      <c r="T104" s="635" t="s">
        <v>536</v>
      </c>
      <c r="U104" s="632" t="s">
        <v>540</v>
      </c>
      <c r="V104" s="633"/>
      <c r="W104" s="633"/>
      <c r="X104" s="634"/>
      <c r="Y104" s="635" t="s">
        <v>536</v>
      </c>
      <c r="Z104" s="632" t="s">
        <v>540</v>
      </c>
      <c r="AA104" s="633"/>
      <c r="AB104" s="633"/>
      <c r="AC104" s="634"/>
      <c r="AD104" s="635" t="s">
        <v>536</v>
      </c>
      <c r="AE104" s="632" t="s">
        <v>540</v>
      </c>
      <c r="AF104" s="633"/>
      <c r="AG104" s="633"/>
      <c r="AH104" s="634"/>
      <c r="AI104" s="635" t="s">
        <v>536</v>
      </c>
      <c r="AJ104" s="632" t="s">
        <v>540</v>
      </c>
      <c r="AK104" s="633"/>
      <c r="AL104" s="633"/>
      <c r="AM104" s="634"/>
      <c r="AN104" s="635" t="s">
        <v>536</v>
      </c>
      <c r="AO104" s="632" t="s">
        <v>540</v>
      </c>
      <c r="AP104" s="633"/>
      <c r="AQ104" s="633"/>
      <c r="AR104" s="634"/>
      <c r="AS104" s="635" t="s">
        <v>536</v>
      </c>
      <c r="AT104" s="632" t="s">
        <v>540</v>
      </c>
      <c r="AU104" s="633"/>
      <c r="AV104" s="633"/>
      <c r="AW104" s="634"/>
      <c r="AX104" s="635" t="s">
        <v>536</v>
      </c>
      <c r="BA104" s="635" t="s">
        <v>371</v>
      </c>
    </row>
    <row r="105" spans="2:53">
      <c r="B105" s="635"/>
      <c r="C105" s="635"/>
      <c r="D105" s="635"/>
      <c r="E105" s="635" t="s">
        <v>555</v>
      </c>
      <c r="F105" s="635"/>
      <c r="G105" s="635"/>
      <c r="H105" s="652"/>
      <c r="I105" s="635" t="s">
        <v>555</v>
      </c>
      <c r="J105" s="635"/>
      <c r="K105" s="635"/>
      <c r="L105" s="652"/>
      <c r="M105" s="637"/>
      <c r="N105" s="635"/>
      <c r="O105" s="635"/>
      <c r="P105" s="632" t="s">
        <v>542</v>
      </c>
      <c r="Q105" s="633"/>
      <c r="R105" s="633"/>
      <c r="S105" s="634"/>
      <c r="T105" s="635"/>
      <c r="U105" s="632" t="s">
        <v>542</v>
      </c>
      <c r="V105" s="633"/>
      <c r="W105" s="633"/>
      <c r="X105" s="634"/>
      <c r="Y105" s="635"/>
      <c r="Z105" s="632" t="s">
        <v>542</v>
      </c>
      <c r="AA105" s="633"/>
      <c r="AB105" s="633"/>
      <c r="AC105" s="634"/>
      <c r="AD105" s="635"/>
      <c r="AE105" s="632" t="s">
        <v>542</v>
      </c>
      <c r="AF105" s="633"/>
      <c r="AG105" s="633"/>
      <c r="AH105" s="634"/>
      <c r="AI105" s="635"/>
      <c r="AJ105" s="632" t="s">
        <v>542</v>
      </c>
      <c r="AK105" s="633"/>
      <c r="AL105" s="633"/>
      <c r="AM105" s="634"/>
      <c r="AN105" s="635"/>
      <c r="AO105" s="632" t="s">
        <v>542</v>
      </c>
      <c r="AP105" s="633"/>
      <c r="AQ105" s="633"/>
      <c r="AR105" s="634"/>
      <c r="AS105" s="635"/>
      <c r="AT105" s="632" t="s">
        <v>542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60" t="s">
        <v>556</v>
      </c>
      <c r="F106" s="360" t="s">
        <v>557</v>
      </c>
      <c r="G106" s="360" t="s">
        <v>558</v>
      </c>
      <c r="H106" s="653"/>
      <c r="I106" s="360" t="s">
        <v>556</v>
      </c>
      <c r="J106" s="360" t="s">
        <v>557</v>
      </c>
      <c r="K106" s="360" t="s">
        <v>558</v>
      </c>
      <c r="L106" s="653"/>
      <c r="M106" s="638"/>
      <c r="N106" s="635"/>
      <c r="O106" s="635"/>
      <c r="P106" s="360" t="s">
        <v>543</v>
      </c>
      <c r="Q106" s="360" t="s">
        <v>544</v>
      </c>
      <c r="R106" s="360" t="s">
        <v>545</v>
      </c>
      <c r="S106" s="360" t="s">
        <v>538</v>
      </c>
      <c r="T106" s="635"/>
      <c r="U106" s="360" t="s">
        <v>543</v>
      </c>
      <c r="V106" s="360" t="s">
        <v>544</v>
      </c>
      <c r="W106" s="360" t="s">
        <v>545</v>
      </c>
      <c r="X106" s="360" t="s">
        <v>538</v>
      </c>
      <c r="Y106" s="635"/>
      <c r="Z106" s="360" t="s">
        <v>543</v>
      </c>
      <c r="AA106" s="360" t="s">
        <v>544</v>
      </c>
      <c r="AB106" s="360" t="s">
        <v>545</v>
      </c>
      <c r="AC106" s="360" t="s">
        <v>538</v>
      </c>
      <c r="AD106" s="635"/>
      <c r="AE106" s="360" t="s">
        <v>543</v>
      </c>
      <c r="AF106" s="360" t="s">
        <v>544</v>
      </c>
      <c r="AG106" s="360" t="s">
        <v>545</v>
      </c>
      <c r="AH106" s="360" t="s">
        <v>538</v>
      </c>
      <c r="AI106" s="635"/>
      <c r="AJ106" s="360" t="s">
        <v>543</v>
      </c>
      <c r="AK106" s="360" t="s">
        <v>544</v>
      </c>
      <c r="AL106" s="360" t="s">
        <v>545</v>
      </c>
      <c r="AM106" s="360" t="s">
        <v>538</v>
      </c>
      <c r="AN106" s="635"/>
      <c r="AO106" s="360" t="s">
        <v>543</v>
      </c>
      <c r="AP106" s="360" t="s">
        <v>544</v>
      </c>
      <c r="AQ106" s="360" t="s">
        <v>545</v>
      </c>
      <c r="AR106" s="360" t="s">
        <v>538</v>
      </c>
      <c r="AS106" s="635"/>
      <c r="AT106" s="360" t="s">
        <v>543</v>
      </c>
      <c r="AU106" s="360" t="s">
        <v>544</v>
      </c>
      <c r="AV106" s="360" t="s">
        <v>545</v>
      </c>
      <c r="AW106" s="360" t="s">
        <v>538</v>
      </c>
      <c r="AX106" s="635"/>
      <c r="AZ106" s="397" t="s">
        <v>538</v>
      </c>
      <c r="BA106" s="635"/>
    </row>
    <row r="107" spans="2:53">
      <c r="B107" s="635" t="s">
        <v>136</v>
      </c>
      <c r="C107" s="363">
        <v>1</v>
      </c>
      <c r="D107" s="225"/>
      <c r="E107" s="181"/>
      <c r="F107" s="371"/>
      <c r="G107" s="372"/>
      <c r="H107" s="708" t="e">
        <f>AVERAGE(G107:G121)</f>
        <v>#DIV/0!</v>
      </c>
      <c r="I107" s="391" t="str">
        <f t="shared" ref="I107:I120" si="70">IFERROR(AVERAGE(P107,U107,Z107,AE107,AJ107,AO107,AT107),"-")</f>
        <v>-</v>
      </c>
      <c r="J107" s="391" t="str">
        <f t="shared" ref="J107:J120" si="71">IFERROR(AVERAGE(Q107,V107,AA107,AF107,AK107,AP107,AU107),"-")</f>
        <v>-</v>
      </c>
      <c r="K107" s="199" t="str">
        <f t="shared" ref="K107:K120" si="72">IFERROR(AVERAGE(R107,W107,AB107,AG107,AL107,AQ107,AV107),"-")</f>
        <v>-</v>
      </c>
      <c r="L107" s="616" t="str">
        <f>IFERROR(AVERAGE(K107:K121),"-")</f>
        <v>-</v>
      </c>
      <c r="M107" s="364" t="e">
        <f>RANK(K107, K$67:$K$81)</f>
        <v>#VALUE!</v>
      </c>
      <c r="N107" s="635"/>
      <c r="O107" s="635"/>
      <c r="P107" s="363"/>
      <c r="Q107" s="364"/>
      <c r="R107" s="364"/>
      <c r="S107" s="363" t="e">
        <f>RANK(R107, R$67:R$81)</f>
        <v>#N/A</v>
      </c>
      <c r="T107" s="682" t="e">
        <f>AVERAGE(R107:R121)</f>
        <v>#DIV/0!</v>
      </c>
      <c r="U107" s="373"/>
      <c r="V107" s="374"/>
      <c r="W107" s="374"/>
      <c r="X107" s="363" t="e">
        <f>RANK(W107, W$67:W$81)</f>
        <v>#N/A</v>
      </c>
      <c r="Y107" s="682" t="e">
        <f>AVERAGE(W107:W121)</f>
        <v>#DIV/0!</v>
      </c>
      <c r="Z107" s="373"/>
      <c r="AA107" s="374"/>
      <c r="AB107" s="374"/>
      <c r="AC107" s="363" t="e">
        <f>RANK(AB107, AB$67:AB$81)</f>
        <v>#N/A</v>
      </c>
      <c r="AD107" s="682" t="e">
        <f>AVERAGE(AB107:AB121)</f>
        <v>#DIV/0!</v>
      </c>
      <c r="AE107" s="373"/>
      <c r="AF107" s="374"/>
      <c r="AG107" s="374"/>
      <c r="AH107" s="363" t="e">
        <f>RANK(AG107, AG$67:AG$81)</f>
        <v>#N/A</v>
      </c>
      <c r="AI107" s="682" t="e">
        <f>AVERAGE(AG107:AG121)</f>
        <v>#DIV/0!</v>
      </c>
      <c r="AJ107" s="373"/>
      <c r="AK107" s="374"/>
      <c r="AL107" s="374"/>
      <c r="AM107" s="363" t="e">
        <f>RANK(AL107, AL$67:AL$81)</f>
        <v>#N/A</v>
      </c>
      <c r="AN107" s="682" t="e">
        <f>AVERAGE(AL107:AL121)</f>
        <v>#DIV/0!</v>
      </c>
      <c r="AO107" s="373"/>
      <c r="AP107" s="374"/>
      <c r="AQ107" s="374"/>
      <c r="AR107" s="363" t="e">
        <f>RANK(AQ107, AQ$67:AQ$81)</f>
        <v>#N/A</v>
      </c>
      <c r="AS107" s="682" t="e">
        <f>AVERAGE(AQ107:AQ121)</f>
        <v>#DIV/0!</v>
      </c>
      <c r="AT107" s="181"/>
      <c r="AU107" s="372"/>
      <c r="AV107" s="372"/>
      <c r="AW107" s="363" t="e">
        <f>RANK(AV107, AV$67:AV$81)</f>
        <v>#N/A</v>
      </c>
      <c r="AX107" s="682" t="e">
        <f>AVERAGE(AV107:AV121)</f>
        <v>#DIV/0!</v>
      </c>
      <c r="AZ107" s="399" t="e">
        <f>RANK(AY107, AY$67:AY$81)</f>
        <v>#N/A</v>
      </c>
      <c r="BA107" s="682" t="e">
        <f>AVERAGE(AY107:AY121)</f>
        <v>#DIV/0!</v>
      </c>
    </row>
    <row r="108" spans="2:53">
      <c r="B108" s="668"/>
      <c r="C108" s="363">
        <v>2</v>
      </c>
      <c r="D108" s="225"/>
      <c r="E108" s="181"/>
      <c r="F108" s="371"/>
      <c r="G108" s="372"/>
      <c r="H108" s="709"/>
      <c r="I108" s="391" t="str">
        <f t="shared" si="70"/>
        <v>-</v>
      </c>
      <c r="J108" s="391" t="str">
        <f t="shared" si="71"/>
        <v>-</v>
      </c>
      <c r="K108" s="199" t="str">
        <f t="shared" si="72"/>
        <v>-</v>
      </c>
      <c r="L108" s="617"/>
      <c r="M108" s="364" t="e">
        <f>RANK(K108, K$67:$K$81)</f>
        <v>#VALUE!</v>
      </c>
      <c r="N108" s="635"/>
      <c r="O108" s="635"/>
      <c r="P108" s="363"/>
      <c r="Q108" s="364"/>
      <c r="R108" s="364"/>
      <c r="S108" s="363" t="e">
        <f t="shared" ref="S108:S121" si="73">RANK(R108, R$67:R$81)</f>
        <v>#N/A</v>
      </c>
      <c r="T108" s="682"/>
      <c r="U108" s="373"/>
      <c r="V108" s="374"/>
      <c r="W108" s="374"/>
      <c r="X108" s="363" t="e">
        <f t="shared" ref="X108:X121" si="74">RANK(W108, W$67:W$81)</f>
        <v>#N/A</v>
      </c>
      <c r="Y108" s="682"/>
      <c r="Z108" s="373"/>
      <c r="AA108" s="374"/>
      <c r="AB108" s="374"/>
      <c r="AC108" s="363" t="e">
        <f t="shared" ref="AC108:AC121" si="75">RANK(AB108, AB$67:AB$81)</f>
        <v>#N/A</v>
      </c>
      <c r="AD108" s="682"/>
      <c r="AE108" s="373"/>
      <c r="AF108" s="374"/>
      <c r="AG108" s="374"/>
      <c r="AH108" s="363" t="e">
        <f t="shared" ref="AH108:AH121" si="76">RANK(AG108, AG$67:AG$81)</f>
        <v>#N/A</v>
      </c>
      <c r="AI108" s="682"/>
      <c r="AJ108" s="373"/>
      <c r="AK108" s="374"/>
      <c r="AL108" s="374"/>
      <c r="AM108" s="363" t="e">
        <f t="shared" ref="AM108:AM121" si="77">RANK(AL108, AL$67:AL$81)</f>
        <v>#N/A</v>
      </c>
      <c r="AN108" s="682"/>
      <c r="AO108" s="373"/>
      <c r="AP108" s="374"/>
      <c r="AQ108" s="374"/>
      <c r="AR108" s="363" t="e">
        <f t="shared" ref="AR108:AR121" si="78">RANK(AQ108, AQ$67:AQ$81)</f>
        <v>#N/A</v>
      </c>
      <c r="AS108" s="682"/>
      <c r="AT108" s="371"/>
      <c r="AU108" s="372"/>
      <c r="AV108" s="372"/>
      <c r="AW108" s="363" t="e">
        <f t="shared" ref="AW108:AW121" si="79">RANK(AV108, AV$67:AV$81)</f>
        <v>#N/A</v>
      </c>
      <c r="AX108" s="682"/>
      <c r="AZ108" s="399" t="e">
        <f t="shared" ref="AZ108:AZ121" si="80">RANK(AY108, AY$67:AY$81)</f>
        <v>#N/A</v>
      </c>
      <c r="BA108" s="682"/>
    </row>
    <row r="109" spans="2:53">
      <c r="B109" s="668"/>
      <c r="C109" s="363">
        <v>3</v>
      </c>
      <c r="D109" s="225"/>
      <c r="E109" s="181"/>
      <c r="F109" s="371"/>
      <c r="G109" s="372"/>
      <c r="H109" s="709"/>
      <c r="I109" s="391" t="str">
        <f t="shared" si="70"/>
        <v>-</v>
      </c>
      <c r="J109" s="391" t="str">
        <f t="shared" si="71"/>
        <v>-</v>
      </c>
      <c r="K109" s="199" t="str">
        <f t="shared" si="72"/>
        <v>-</v>
      </c>
      <c r="L109" s="617"/>
      <c r="M109" s="364" t="e">
        <f>RANK(K109, K$67:$K$81)</f>
        <v>#VALUE!</v>
      </c>
      <c r="N109" s="635"/>
      <c r="O109" s="635"/>
      <c r="P109" s="363"/>
      <c r="Q109" s="364"/>
      <c r="R109" s="364"/>
      <c r="S109" s="363" t="e">
        <f t="shared" si="73"/>
        <v>#N/A</v>
      </c>
      <c r="T109" s="682"/>
      <c r="U109" s="373"/>
      <c r="V109" s="374"/>
      <c r="W109" s="374"/>
      <c r="X109" s="363" t="e">
        <f t="shared" si="74"/>
        <v>#N/A</v>
      </c>
      <c r="Y109" s="682"/>
      <c r="Z109" s="373"/>
      <c r="AA109" s="374"/>
      <c r="AB109" s="374"/>
      <c r="AC109" s="363" t="e">
        <f t="shared" si="75"/>
        <v>#N/A</v>
      </c>
      <c r="AD109" s="682"/>
      <c r="AE109" s="373"/>
      <c r="AF109" s="374"/>
      <c r="AG109" s="374"/>
      <c r="AH109" s="363" t="e">
        <f t="shared" si="76"/>
        <v>#N/A</v>
      </c>
      <c r="AI109" s="682"/>
      <c r="AJ109" s="373"/>
      <c r="AK109" s="374"/>
      <c r="AL109" s="374"/>
      <c r="AM109" s="363" t="e">
        <f t="shared" si="77"/>
        <v>#N/A</v>
      </c>
      <c r="AN109" s="682"/>
      <c r="AO109" s="373"/>
      <c r="AP109" s="374"/>
      <c r="AQ109" s="374"/>
      <c r="AR109" s="363" t="e">
        <f t="shared" si="78"/>
        <v>#N/A</v>
      </c>
      <c r="AS109" s="682"/>
      <c r="AT109" s="371"/>
      <c r="AU109" s="372"/>
      <c r="AV109" s="372"/>
      <c r="AW109" s="363" t="e">
        <f t="shared" si="79"/>
        <v>#N/A</v>
      </c>
      <c r="AX109" s="682"/>
      <c r="AZ109" s="399" t="e">
        <f t="shared" si="80"/>
        <v>#N/A</v>
      </c>
      <c r="BA109" s="682"/>
    </row>
    <row r="110" spans="2:53">
      <c r="B110" s="668"/>
      <c r="C110" s="363">
        <v>4</v>
      </c>
      <c r="D110" s="225"/>
      <c r="E110" s="181"/>
      <c r="F110" s="371"/>
      <c r="G110" s="372"/>
      <c r="H110" s="709"/>
      <c r="I110" s="391" t="str">
        <f t="shared" si="70"/>
        <v>-</v>
      </c>
      <c r="J110" s="391" t="str">
        <f t="shared" si="71"/>
        <v>-</v>
      </c>
      <c r="K110" s="199" t="str">
        <f t="shared" si="72"/>
        <v>-</v>
      </c>
      <c r="L110" s="617"/>
      <c r="M110" s="364" t="e">
        <f>RANK(K110, K$67:$K$81)</f>
        <v>#VALUE!</v>
      </c>
      <c r="N110" s="635"/>
      <c r="O110" s="635"/>
      <c r="P110" s="363"/>
      <c r="Q110" s="364"/>
      <c r="R110" s="364"/>
      <c r="S110" s="363" t="e">
        <f t="shared" si="73"/>
        <v>#N/A</v>
      </c>
      <c r="T110" s="682"/>
      <c r="U110" s="373"/>
      <c r="V110" s="374"/>
      <c r="W110" s="374"/>
      <c r="X110" s="363" t="e">
        <f t="shared" si="74"/>
        <v>#N/A</v>
      </c>
      <c r="Y110" s="682"/>
      <c r="Z110" s="373"/>
      <c r="AA110" s="374"/>
      <c r="AB110" s="374"/>
      <c r="AC110" s="363" t="e">
        <f t="shared" si="75"/>
        <v>#N/A</v>
      </c>
      <c r="AD110" s="682"/>
      <c r="AE110" s="373"/>
      <c r="AF110" s="374"/>
      <c r="AG110" s="374"/>
      <c r="AH110" s="363" t="e">
        <f t="shared" si="76"/>
        <v>#N/A</v>
      </c>
      <c r="AI110" s="682"/>
      <c r="AJ110" s="373"/>
      <c r="AK110" s="374"/>
      <c r="AL110" s="374"/>
      <c r="AM110" s="363" t="e">
        <f t="shared" si="77"/>
        <v>#N/A</v>
      </c>
      <c r="AN110" s="682"/>
      <c r="AO110" s="373"/>
      <c r="AP110" s="374"/>
      <c r="AQ110" s="374"/>
      <c r="AR110" s="363" t="e">
        <f t="shared" si="78"/>
        <v>#N/A</v>
      </c>
      <c r="AS110" s="682"/>
      <c r="AT110" s="371"/>
      <c r="AU110" s="372"/>
      <c r="AV110" s="372"/>
      <c r="AW110" s="363" t="e">
        <f t="shared" si="79"/>
        <v>#N/A</v>
      </c>
      <c r="AX110" s="682"/>
      <c r="AZ110" s="399" t="e">
        <f t="shared" si="80"/>
        <v>#N/A</v>
      </c>
      <c r="BA110" s="682"/>
    </row>
    <row r="111" spans="2:53">
      <c r="B111" s="668"/>
      <c r="C111" s="363">
        <v>5</v>
      </c>
      <c r="D111" s="225"/>
      <c r="E111" s="181"/>
      <c r="F111" s="371"/>
      <c r="G111" s="372"/>
      <c r="H111" s="709"/>
      <c r="I111" s="391" t="str">
        <f t="shared" si="70"/>
        <v>-</v>
      </c>
      <c r="J111" s="391" t="str">
        <f t="shared" si="71"/>
        <v>-</v>
      </c>
      <c r="K111" s="199" t="str">
        <f t="shared" si="72"/>
        <v>-</v>
      </c>
      <c r="L111" s="617"/>
      <c r="M111" s="364" t="e">
        <f>RANK(K111, K$67:$K$81)</f>
        <v>#VALUE!</v>
      </c>
      <c r="N111" s="635"/>
      <c r="O111" s="635"/>
      <c r="P111" s="363"/>
      <c r="Q111" s="364"/>
      <c r="R111" s="364"/>
      <c r="S111" s="363" t="e">
        <f t="shared" si="73"/>
        <v>#N/A</v>
      </c>
      <c r="T111" s="682"/>
      <c r="U111" s="373"/>
      <c r="V111" s="374"/>
      <c r="W111" s="374"/>
      <c r="X111" s="363" t="e">
        <f t="shared" si="74"/>
        <v>#N/A</v>
      </c>
      <c r="Y111" s="682"/>
      <c r="Z111" s="373"/>
      <c r="AA111" s="374"/>
      <c r="AB111" s="374"/>
      <c r="AC111" s="363" t="e">
        <f t="shared" si="75"/>
        <v>#N/A</v>
      </c>
      <c r="AD111" s="682"/>
      <c r="AE111" s="373"/>
      <c r="AF111" s="374"/>
      <c r="AG111" s="374"/>
      <c r="AH111" s="363" t="e">
        <f t="shared" si="76"/>
        <v>#N/A</v>
      </c>
      <c r="AI111" s="682"/>
      <c r="AJ111" s="373"/>
      <c r="AK111" s="374"/>
      <c r="AL111" s="374"/>
      <c r="AM111" s="363" t="e">
        <f t="shared" si="77"/>
        <v>#N/A</v>
      </c>
      <c r="AN111" s="682"/>
      <c r="AO111" s="373"/>
      <c r="AP111" s="374"/>
      <c r="AQ111" s="374"/>
      <c r="AR111" s="363" t="e">
        <f t="shared" si="78"/>
        <v>#N/A</v>
      </c>
      <c r="AS111" s="682"/>
      <c r="AT111" s="371"/>
      <c r="AU111" s="372"/>
      <c r="AV111" s="372"/>
      <c r="AW111" s="363" t="e">
        <f t="shared" si="79"/>
        <v>#N/A</v>
      </c>
      <c r="AX111" s="682"/>
      <c r="AZ111" s="399" t="e">
        <f t="shared" si="80"/>
        <v>#N/A</v>
      </c>
      <c r="BA111" s="682"/>
    </row>
    <row r="112" spans="2:53">
      <c r="B112" s="668"/>
      <c r="C112" s="363">
        <v>6</v>
      </c>
      <c r="D112" s="225"/>
      <c r="E112" s="181"/>
      <c r="F112" s="371"/>
      <c r="G112" s="372"/>
      <c r="H112" s="709"/>
      <c r="I112" s="391" t="str">
        <f t="shared" si="70"/>
        <v>-</v>
      </c>
      <c r="J112" s="391" t="str">
        <f t="shared" si="71"/>
        <v>-</v>
      </c>
      <c r="K112" s="199" t="str">
        <f t="shared" si="72"/>
        <v>-</v>
      </c>
      <c r="L112" s="617"/>
      <c r="M112" s="364" t="e">
        <f>RANK(K112, K$67:$K$81)</f>
        <v>#VALUE!</v>
      </c>
      <c r="N112" s="635"/>
      <c r="O112" s="635"/>
      <c r="P112" s="363"/>
      <c r="Q112" s="364"/>
      <c r="R112" s="364"/>
      <c r="S112" s="363" t="e">
        <f t="shared" si="73"/>
        <v>#N/A</v>
      </c>
      <c r="T112" s="682"/>
      <c r="U112" s="373"/>
      <c r="V112" s="374"/>
      <c r="W112" s="374"/>
      <c r="X112" s="363" t="e">
        <f t="shared" si="74"/>
        <v>#N/A</v>
      </c>
      <c r="Y112" s="682"/>
      <c r="Z112" s="373"/>
      <c r="AA112" s="374"/>
      <c r="AB112" s="374"/>
      <c r="AC112" s="363" t="e">
        <f t="shared" si="75"/>
        <v>#N/A</v>
      </c>
      <c r="AD112" s="682"/>
      <c r="AE112" s="373"/>
      <c r="AF112" s="374"/>
      <c r="AG112" s="374"/>
      <c r="AH112" s="363" t="e">
        <f t="shared" si="76"/>
        <v>#N/A</v>
      </c>
      <c r="AI112" s="682"/>
      <c r="AJ112" s="373"/>
      <c r="AK112" s="374"/>
      <c r="AL112" s="374"/>
      <c r="AM112" s="363" t="e">
        <f t="shared" si="77"/>
        <v>#N/A</v>
      </c>
      <c r="AN112" s="682"/>
      <c r="AO112" s="373"/>
      <c r="AP112" s="374"/>
      <c r="AQ112" s="374"/>
      <c r="AR112" s="363" t="e">
        <f t="shared" si="78"/>
        <v>#N/A</v>
      </c>
      <c r="AS112" s="682"/>
      <c r="AT112" s="371"/>
      <c r="AU112" s="372"/>
      <c r="AV112" s="372"/>
      <c r="AW112" s="363" t="e">
        <f t="shared" si="79"/>
        <v>#N/A</v>
      </c>
      <c r="AX112" s="682"/>
      <c r="AZ112" s="399" t="e">
        <f t="shared" si="80"/>
        <v>#N/A</v>
      </c>
      <c r="BA112" s="682"/>
    </row>
    <row r="113" spans="2:53">
      <c r="B113" s="668"/>
      <c r="C113" s="363">
        <v>7</v>
      </c>
      <c r="D113" s="225"/>
      <c r="E113" s="181"/>
      <c r="F113" s="371"/>
      <c r="G113" s="372"/>
      <c r="H113" s="709"/>
      <c r="I113" s="391" t="str">
        <f t="shared" si="70"/>
        <v>-</v>
      </c>
      <c r="J113" s="391" t="str">
        <f t="shared" si="71"/>
        <v>-</v>
      </c>
      <c r="K113" s="199" t="str">
        <f t="shared" si="72"/>
        <v>-</v>
      </c>
      <c r="L113" s="617"/>
      <c r="M113" s="364" t="e">
        <f>RANK(K113, K$67:$K$81)</f>
        <v>#VALUE!</v>
      </c>
      <c r="N113" s="635"/>
      <c r="O113" s="635"/>
      <c r="P113" s="363"/>
      <c r="Q113" s="364"/>
      <c r="R113" s="364"/>
      <c r="S113" s="363" t="e">
        <f t="shared" si="73"/>
        <v>#N/A</v>
      </c>
      <c r="T113" s="682"/>
      <c r="U113" s="373"/>
      <c r="V113" s="374"/>
      <c r="W113" s="374"/>
      <c r="X113" s="363" t="e">
        <f t="shared" si="74"/>
        <v>#N/A</v>
      </c>
      <c r="Y113" s="682"/>
      <c r="Z113" s="373"/>
      <c r="AA113" s="374"/>
      <c r="AB113" s="374"/>
      <c r="AC113" s="363" t="e">
        <f t="shared" si="75"/>
        <v>#N/A</v>
      </c>
      <c r="AD113" s="682"/>
      <c r="AE113" s="373"/>
      <c r="AF113" s="374"/>
      <c r="AG113" s="374"/>
      <c r="AH113" s="363" t="e">
        <f t="shared" si="76"/>
        <v>#N/A</v>
      </c>
      <c r="AI113" s="682"/>
      <c r="AJ113" s="373"/>
      <c r="AK113" s="374"/>
      <c r="AL113" s="374"/>
      <c r="AM113" s="363" t="e">
        <f t="shared" si="77"/>
        <v>#N/A</v>
      </c>
      <c r="AN113" s="682"/>
      <c r="AO113" s="373"/>
      <c r="AP113" s="374"/>
      <c r="AQ113" s="374"/>
      <c r="AR113" s="363" t="e">
        <f t="shared" si="78"/>
        <v>#N/A</v>
      </c>
      <c r="AS113" s="682"/>
      <c r="AT113" s="371"/>
      <c r="AU113" s="372"/>
      <c r="AV113" s="372"/>
      <c r="AW113" s="363" t="e">
        <f t="shared" si="79"/>
        <v>#N/A</v>
      </c>
      <c r="AX113" s="682"/>
      <c r="AZ113" s="399" t="e">
        <f t="shared" si="80"/>
        <v>#N/A</v>
      </c>
      <c r="BA113" s="682"/>
    </row>
    <row r="114" spans="2:53">
      <c r="B114" s="668"/>
      <c r="C114" s="363">
        <v>8</v>
      </c>
      <c r="D114" s="225"/>
      <c r="E114" s="181"/>
      <c r="F114" s="371"/>
      <c r="G114" s="372"/>
      <c r="H114" s="709"/>
      <c r="I114" s="391" t="str">
        <f t="shared" si="70"/>
        <v>-</v>
      </c>
      <c r="J114" s="391" t="str">
        <f t="shared" si="71"/>
        <v>-</v>
      </c>
      <c r="K114" s="199" t="str">
        <f t="shared" si="72"/>
        <v>-</v>
      </c>
      <c r="L114" s="617"/>
      <c r="M114" s="364" t="e">
        <f>RANK(K114, K$67:$K$81)</f>
        <v>#VALUE!</v>
      </c>
      <c r="N114" s="635"/>
      <c r="O114" s="635"/>
      <c r="P114" s="363"/>
      <c r="Q114" s="364"/>
      <c r="R114" s="364"/>
      <c r="S114" s="363" t="e">
        <f t="shared" si="73"/>
        <v>#N/A</v>
      </c>
      <c r="T114" s="682"/>
      <c r="U114" s="373"/>
      <c r="V114" s="374"/>
      <c r="W114" s="374"/>
      <c r="X114" s="363" t="e">
        <f t="shared" si="74"/>
        <v>#N/A</v>
      </c>
      <c r="Y114" s="682"/>
      <c r="Z114" s="373"/>
      <c r="AA114" s="374"/>
      <c r="AB114" s="374"/>
      <c r="AC114" s="363" t="e">
        <f t="shared" si="75"/>
        <v>#N/A</v>
      </c>
      <c r="AD114" s="682"/>
      <c r="AE114" s="373"/>
      <c r="AF114" s="374"/>
      <c r="AG114" s="374"/>
      <c r="AH114" s="363" t="e">
        <f t="shared" si="76"/>
        <v>#N/A</v>
      </c>
      <c r="AI114" s="682"/>
      <c r="AJ114" s="373"/>
      <c r="AK114" s="374"/>
      <c r="AL114" s="374"/>
      <c r="AM114" s="363" t="e">
        <f t="shared" si="77"/>
        <v>#N/A</v>
      </c>
      <c r="AN114" s="682"/>
      <c r="AO114" s="373"/>
      <c r="AP114" s="374"/>
      <c r="AQ114" s="374"/>
      <c r="AR114" s="363" t="e">
        <f t="shared" si="78"/>
        <v>#N/A</v>
      </c>
      <c r="AS114" s="682"/>
      <c r="AT114" s="371"/>
      <c r="AU114" s="372"/>
      <c r="AV114" s="372"/>
      <c r="AW114" s="363" t="e">
        <f t="shared" si="79"/>
        <v>#N/A</v>
      </c>
      <c r="AX114" s="682"/>
      <c r="AZ114" s="399" t="e">
        <f t="shared" si="80"/>
        <v>#N/A</v>
      </c>
      <c r="BA114" s="682"/>
    </row>
    <row r="115" spans="2:53">
      <c r="B115" s="668"/>
      <c r="C115" s="363">
        <v>9</v>
      </c>
      <c r="D115" s="225"/>
      <c r="E115" s="181"/>
      <c r="F115" s="371"/>
      <c r="G115" s="372"/>
      <c r="H115" s="709"/>
      <c r="I115" s="391" t="str">
        <f t="shared" si="70"/>
        <v>-</v>
      </c>
      <c r="J115" s="391" t="str">
        <f t="shared" si="71"/>
        <v>-</v>
      </c>
      <c r="K115" s="199" t="str">
        <f t="shared" si="72"/>
        <v>-</v>
      </c>
      <c r="L115" s="617"/>
      <c r="M115" s="364" t="e">
        <f>RANK(K115, K$67:$K$81)</f>
        <v>#VALUE!</v>
      </c>
      <c r="N115" s="635"/>
      <c r="O115" s="635"/>
      <c r="P115" s="363"/>
      <c r="Q115" s="364"/>
      <c r="R115" s="364"/>
      <c r="S115" s="363" t="e">
        <f t="shared" si="73"/>
        <v>#N/A</v>
      </c>
      <c r="T115" s="682"/>
      <c r="U115" s="373"/>
      <c r="V115" s="374"/>
      <c r="W115" s="374"/>
      <c r="X115" s="363" t="e">
        <f t="shared" si="74"/>
        <v>#N/A</v>
      </c>
      <c r="Y115" s="682"/>
      <c r="Z115" s="373"/>
      <c r="AA115" s="374"/>
      <c r="AB115" s="374"/>
      <c r="AC115" s="363" t="e">
        <f t="shared" si="75"/>
        <v>#N/A</v>
      </c>
      <c r="AD115" s="682"/>
      <c r="AE115" s="373"/>
      <c r="AF115" s="374"/>
      <c r="AG115" s="374"/>
      <c r="AH115" s="363" t="e">
        <f t="shared" si="76"/>
        <v>#N/A</v>
      </c>
      <c r="AI115" s="682"/>
      <c r="AJ115" s="373"/>
      <c r="AK115" s="374"/>
      <c r="AL115" s="374"/>
      <c r="AM115" s="363" t="e">
        <f t="shared" si="77"/>
        <v>#N/A</v>
      </c>
      <c r="AN115" s="682"/>
      <c r="AO115" s="373"/>
      <c r="AP115" s="374"/>
      <c r="AQ115" s="374"/>
      <c r="AR115" s="363" t="e">
        <f t="shared" si="78"/>
        <v>#N/A</v>
      </c>
      <c r="AS115" s="682"/>
      <c r="AT115" s="371"/>
      <c r="AU115" s="372"/>
      <c r="AV115" s="372"/>
      <c r="AW115" s="363" t="e">
        <f t="shared" si="79"/>
        <v>#N/A</v>
      </c>
      <c r="AX115" s="682"/>
      <c r="AZ115" s="399" t="e">
        <f t="shared" si="80"/>
        <v>#N/A</v>
      </c>
      <c r="BA115" s="682"/>
    </row>
    <row r="116" spans="2:53">
      <c r="B116" s="668"/>
      <c r="C116" s="363">
        <v>10</v>
      </c>
      <c r="D116" s="225"/>
      <c r="E116" s="181"/>
      <c r="F116" s="371"/>
      <c r="G116" s="372"/>
      <c r="H116" s="709"/>
      <c r="I116" s="391" t="str">
        <f t="shared" si="70"/>
        <v>-</v>
      </c>
      <c r="J116" s="391" t="str">
        <f t="shared" si="71"/>
        <v>-</v>
      </c>
      <c r="K116" s="199" t="str">
        <f t="shared" si="72"/>
        <v>-</v>
      </c>
      <c r="L116" s="617"/>
      <c r="M116" s="364" t="e">
        <f>RANK(K116, K$67:$K$81)</f>
        <v>#VALUE!</v>
      </c>
      <c r="N116" s="635"/>
      <c r="O116" s="635"/>
      <c r="P116" s="363"/>
      <c r="Q116" s="364"/>
      <c r="R116" s="364"/>
      <c r="S116" s="363" t="e">
        <f t="shared" si="73"/>
        <v>#N/A</v>
      </c>
      <c r="T116" s="682"/>
      <c r="U116" s="373"/>
      <c r="V116" s="374"/>
      <c r="W116" s="374"/>
      <c r="X116" s="363" t="e">
        <f t="shared" si="74"/>
        <v>#N/A</v>
      </c>
      <c r="Y116" s="682"/>
      <c r="Z116" s="373"/>
      <c r="AA116" s="374"/>
      <c r="AB116" s="374"/>
      <c r="AC116" s="363" t="e">
        <f t="shared" si="75"/>
        <v>#N/A</v>
      </c>
      <c r="AD116" s="682"/>
      <c r="AE116" s="373"/>
      <c r="AF116" s="374"/>
      <c r="AG116" s="374"/>
      <c r="AH116" s="363" t="e">
        <f t="shared" si="76"/>
        <v>#N/A</v>
      </c>
      <c r="AI116" s="682"/>
      <c r="AJ116" s="373"/>
      <c r="AK116" s="374"/>
      <c r="AL116" s="374"/>
      <c r="AM116" s="363" t="e">
        <f t="shared" si="77"/>
        <v>#N/A</v>
      </c>
      <c r="AN116" s="682"/>
      <c r="AO116" s="373"/>
      <c r="AP116" s="374"/>
      <c r="AQ116" s="374"/>
      <c r="AR116" s="363" t="e">
        <f t="shared" si="78"/>
        <v>#N/A</v>
      </c>
      <c r="AS116" s="682"/>
      <c r="AT116" s="371"/>
      <c r="AU116" s="371"/>
      <c r="AV116" s="372"/>
      <c r="AW116" s="363" t="e">
        <f t="shared" si="79"/>
        <v>#N/A</v>
      </c>
      <c r="AX116" s="682"/>
      <c r="AZ116" s="399" t="e">
        <f t="shared" si="80"/>
        <v>#N/A</v>
      </c>
      <c r="BA116" s="682"/>
    </row>
    <row r="117" spans="2:53">
      <c r="B117" s="668"/>
      <c r="C117" s="363">
        <v>11</v>
      </c>
      <c r="D117" s="225"/>
      <c r="E117" s="181"/>
      <c r="F117" s="371"/>
      <c r="G117" s="372"/>
      <c r="H117" s="709"/>
      <c r="I117" s="391" t="str">
        <f t="shared" si="70"/>
        <v>-</v>
      </c>
      <c r="J117" s="391" t="str">
        <f t="shared" si="71"/>
        <v>-</v>
      </c>
      <c r="K117" s="199" t="str">
        <f t="shared" si="72"/>
        <v>-</v>
      </c>
      <c r="L117" s="617"/>
      <c r="M117" s="364" t="e">
        <f>RANK(K117, K$67:$K$81)</f>
        <v>#VALUE!</v>
      </c>
      <c r="N117" s="635"/>
      <c r="O117" s="635"/>
      <c r="P117" s="363"/>
      <c r="Q117" s="364"/>
      <c r="R117" s="364"/>
      <c r="S117" s="363" t="e">
        <f t="shared" si="73"/>
        <v>#N/A</v>
      </c>
      <c r="T117" s="682"/>
      <c r="U117" s="373"/>
      <c r="V117" s="374"/>
      <c r="W117" s="374"/>
      <c r="X117" s="363" t="e">
        <f t="shared" si="74"/>
        <v>#N/A</v>
      </c>
      <c r="Y117" s="682"/>
      <c r="Z117" s="373"/>
      <c r="AA117" s="374"/>
      <c r="AB117" s="374"/>
      <c r="AC117" s="363" t="e">
        <f t="shared" si="75"/>
        <v>#N/A</v>
      </c>
      <c r="AD117" s="682"/>
      <c r="AE117" s="373"/>
      <c r="AF117" s="374"/>
      <c r="AG117" s="374"/>
      <c r="AH117" s="363" t="e">
        <f t="shared" si="76"/>
        <v>#N/A</v>
      </c>
      <c r="AI117" s="682"/>
      <c r="AJ117" s="373"/>
      <c r="AK117" s="374"/>
      <c r="AL117" s="374"/>
      <c r="AM117" s="363" t="e">
        <f t="shared" si="77"/>
        <v>#N/A</v>
      </c>
      <c r="AN117" s="682"/>
      <c r="AO117" s="373"/>
      <c r="AP117" s="374"/>
      <c r="AQ117" s="374"/>
      <c r="AR117" s="363" t="e">
        <f t="shared" si="78"/>
        <v>#N/A</v>
      </c>
      <c r="AS117" s="682"/>
      <c r="AT117" s="371"/>
      <c r="AU117" s="371"/>
      <c r="AV117" s="371"/>
      <c r="AW117" s="363" t="e">
        <f t="shared" si="79"/>
        <v>#N/A</v>
      </c>
      <c r="AX117" s="682"/>
      <c r="AZ117" s="399" t="e">
        <f t="shared" si="80"/>
        <v>#N/A</v>
      </c>
      <c r="BA117" s="682"/>
    </row>
    <row r="118" spans="2:53">
      <c r="B118" s="668"/>
      <c r="C118" s="363">
        <v>12</v>
      </c>
      <c r="D118" s="225"/>
      <c r="E118" s="181"/>
      <c r="F118" s="371"/>
      <c r="G118" s="372"/>
      <c r="H118" s="709"/>
      <c r="I118" s="391" t="str">
        <f t="shared" si="70"/>
        <v>-</v>
      </c>
      <c r="J118" s="391" t="str">
        <f t="shared" si="71"/>
        <v>-</v>
      </c>
      <c r="K118" s="199" t="str">
        <f t="shared" si="72"/>
        <v>-</v>
      </c>
      <c r="L118" s="617"/>
      <c r="M118" s="364" t="e">
        <f>RANK(K118, K$67:$K$81)</f>
        <v>#VALUE!</v>
      </c>
      <c r="N118" s="635"/>
      <c r="O118" s="635"/>
      <c r="P118" s="363"/>
      <c r="Q118" s="364"/>
      <c r="R118" s="364"/>
      <c r="S118" s="363" t="e">
        <f t="shared" si="73"/>
        <v>#N/A</v>
      </c>
      <c r="T118" s="682"/>
      <c r="U118" s="373"/>
      <c r="V118" s="374"/>
      <c r="W118" s="374"/>
      <c r="X118" s="363" t="e">
        <f t="shared" si="74"/>
        <v>#N/A</v>
      </c>
      <c r="Y118" s="682"/>
      <c r="Z118" s="373"/>
      <c r="AA118" s="374"/>
      <c r="AB118" s="374"/>
      <c r="AC118" s="363" t="e">
        <f t="shared" si="75"/>
        <v>#N/A</v>
      </c>
      <c r="AD118" s="682"/>
      <c r="AE118" s="373"/>
      <c r="AF118" s="374"/>
      <c r="AG118" s="374"/>
      <c r="AH118" s="363" t="e">
        <f t="shared" si="76"/>
        <v>#N/A</v>
      </c>
      <c r="AI118" s="682"/>
      <c r="AJ118" s="373"/>
      <c r="AK118" s="374"/>
      <c r="AL118" s="374"/>
      <c r="AM118" s="363" t="e">
        <f t="shared" si="77"/>
        <v>#N/A</v>
      </c>
      <c r="AN118" s="682"/>
      <c r="AO118" s="373"/>
      <c r="AP118" s="374"/>
      <c r="AQ118" s="374"/>
      <c r="AR118" s="363" t="e">
        <f t="shared" si="78"/>
        <v>#N/A</v>
      </c>
      <c r="AS118" s="682"/>
      <c r="AT118" s="371"/>
      <c r="AU118" s="371"/>
      <c r="AV118" s="371"/>
      <c r="AW118" s="363" t="e">
        <f t="shared" si="79"/>
        <v>#N/A</v>
      </c>
      <c r="AX118" s="682"/>
      <c r="AZ118" s="399" t="e">
        <f t="shared" si="80"/>
        <v>#N/A</v>
      </c>
      <c r="BA118" s="682"/>
    </row>
    <row r="119" spans="2:53">
      <c r="B119" s="668"/>
      <c r="C119" s="363">
        <v>13</v>
      </c>
      <c r="D119" s="225"/>
      <c r="E119" s="181"/>
      <c r="F119" s="371"/>
      <c r="G119" s="372"/>
      <c r="H119" s="709"/>
      <c r="I119" s="391" t="str">
        <f t="shared" si="70"/>
        <v>-</v>
      </c>
      <c r="J119" s="391" t="str">
        <f t="shared" si="71"/>
        <v>-</v>
      </c>
      <c r="K119" s="199" t="str">
        <f t="shared" si="72"/>
        <v>-</v>
      </c>
      <c r="L119" s="617"/>
      <c r="M119" s="364" t="e">
        <f>RANK(K119, K$67:$K$81)</f>
        <v>#VALUE!</v>
      </c>
      <c r="N119" s="635"/>
      <c r="O119" s="635"/>
      <c r="P119" s="363"/>
      <c r="Q119" s="364"/>
      <c r="R119" s="364"/>
      <c r="S119" s="363" t="e">
        <f t="shared" si="73"/>
        <v>#N/A</v>
      </c>
      <c r="T119" s="682"/>
      <c r="U119" s="373"/>
      <c r="V119" s="374"/>
      <c r="W119" s="374"/>
      <c r="X119" s="363" t="e">
        <f t="shared" si="74"/>
        <v>#N/A</v>
      </c>
      <c r="Y119" s="682"/>
      <c r="Z119" s="373"/>
      <c r="AA119" s="374"/>
      <c r="AB119" s="374"/>
      <c r="AC119" s="363" t="e">
        <f t="shared" si="75"/>
        <v>#N/A</v>
      </c>
      <c r="AD119" s="682"/>
      <c r="AE119" s="373"/>
      <c r="AF119" s="374"/>
      <c r="AG119" s="374"/>
      <c r="AH119" s="363" t="e">
        <f t="shared" si="76"/>
        <v>#N/A</v>
      </c>
      <c r="AI119" s="682"/>
      <c r="AJ119" s="373"/>
      <c r="AK119" s="374"/>
      <c r="AL119" s="374"/>
      <c r="AM119" s="363" t="e">
        <f t="shared" si="77"/>
        <v>#N/A</v>
      </c>
      <c r="AN119" s="682"/>
      <c r="AO119" s="373"/>
      <c r="AP119" s="374"/>
      <c r="AQ119" s="374"/>
      <c r="AR119" s="363" t="e">
        <f t="shared" si="78"/>
        <v>#N/A</v>
      </c>
      <c r="AS119" s="682"/>
      <c r="AT119" s="371"/>
      <c r="AU119" s="371"/>
      <c r="AV119" s="371"/>
      <c r="AW119" s="363" t="e">
        <f t="shared" si="79"/>
        <v>#N/A</v>
      </c>
      <c r="AX119" s="682"/>
      <c r="AZ119" s="399" t="e">
        <f t="shared" si="80"/>
        <v>#N/A</v>
      </c>
      <c r="BA119" s="682"/>
    </row>
    <row r="120" spans="2:53">
      <c r="B120" s="668"/>
      <c r="C120" s="363">
        <v>14</v>
      </c>
      <c r="D120" s="225"/>
      <c r="E120" s="181"/>
      <c r="F120" s="371"/>
      <c r="G120" s="372"/>
      <c r="H120" s="709"/>
      <c r="I120" s="391" t="str">
        <f t="shared" si="70"/>
        <v>-</v>
      </c>
      <c r="J120" s="391" t="str">
        <f t="shared" si="71"/>
        <v>-</v>
      </c>
      <c r="K120" s="199" t="str">
        <f t="shared" si="72"/>
        <v>-</v>
      </c>
      <c r="L120" s="617"/>
      <c r="M120" s="364" t="e">
        <f>RANK(K120, K$67:$K$81)</f>
        <v>#VALUE!</v>
      </c>
      <c r="N120" s="635"/>
      <c r="O120" s="635"/>
      <c r="P120" s="363"/>
      <c r="Q120" s="364"/>
      <c r="R120" s="364"/>
      <c r="S120" s="363" t="e">
        <f t="shared" si="73"/>
        <v>#N/A</v>
      </c>
      <c r="T120" s="682"/>
      <c r="U120" s="373"/>
      <c r="V120" s="374"/>
      <c r="W120" s="374"/>
      <c r="X120" s="363" t="e">
        <f t="shared" si="74"/>
        <v>#N/A</v>
      </c>
      <c r="Y120" s="682"/>
      <c r="Z120" s="373"/>
      <c r="AA120" s="374"/>
      <c r="AB120" s="374"/>
      <c r="AC120" s="363" t="e">
        <f t="shared" si="75"/>
        <v>#N/A</v>
      </c>
      <c r="AD120" s="682"/>
      <c r="AE120" s="373"/>
      <c r="AF120" s="374"/>
      <c r="AG120" s="374"/>
      <c r="AH120" s="363" t="e">
        <f t="shared" si="76"/>
        <v>#N/A</v>
      </c>
      <c r="AI120" s="682"/>
      <c r="AJ120" s="373"/>
      <c r="AK120" s="374"/>
      <c r="AL120" s="374"/>
      <c r="AM120" s="363" t="e">
        <f t="shared" si="77"/>
        <v>#N/A</v>
      </c>
      <c r="AN120" s="682"/>
      <c r="AO120" s="373"/>
      <c r="AP120" s="374"/>
      <c r="AQ120" s="374"/>
      <c r="AR120" s="363" t="e">
        <f t="shared" si="78"/>
        <v>#N/A</v>
      </c>
      <c r="AS120" s="682"/>
      <c r="AT120" s="371"/>
      <c r="AU120" s="371"/>
      <c r="AV120" s="371"/>
      <c r="AW120" s="363" t="e">
        <f t="shared" si="79"/>
        <v>#N/A</v>
      </c>
      <c r="AX120" s="682"/>
      <c r="AZ120" s="399" t="e">
        <f t="shared" si="80"/>
        <v>#N/A</v>
      </c>
      <c r="BA120" s="682"/>
    </row>
    <row r="121" spans="2:53">
      <c r="B121" s="668"/>
      <c r="C121" s="363">
        <v>15</v>
      </c>
      <c r="D121" s="225"/>
      <c r="E121" s="181"/>
      <c r="F121" s="371"/>
      <c r="G121" s="372"/>
      <c r="H121" s="710"/>
      <c r="I121" s="395"/>
      <c r="J121" s="395"/>
      <c r="K121" s="395"/>
      <c r="L121" s="618"/>
      <c r="M121" s="364" t="e">
        <f>RANK(K121, K$47:$K$61)</f>
        <v>#N/A</v>
      </c>
      <c r="N121" s="635"/>
      <c r="O121" s="635"/>
      <c r="P121" s="363"/>
      <c r="Q121" s="364"/>
      <c r="R121" s="364"/>
      <c r="S121" s="363" t="e">
        <f t="shared" si="73"/>
        <v>#N/A</v>
      </c>
      <c r="T121" s="682"/>
      <c r="U121" s="373"/>
      <c r="V121" s="374"/>
      <c r="W121" s="374"/>
      <c r="X121" s="363" t="e">
        <f t="shared" si="74"/>
        <v>#N/A</v>
      </c>
      <c r="Y121" s="682"/>
      <c r="Z121" s="373"/>
      <c r="AA121" s="374"/>
      <c r="AB121" s="374"/>
      <c r="AC121" s="363" t="e">
        <f t="shared" si="75"/>
        <v>#N/A</v>
      </c>
      <c r="AD121" s="682"/>
      <c r="AE121" s="373"/>
      <c r="AF121" s="374"/>
      <c r="AG121" s="374"/>
      <c r="AH121" s="363" t="e">
        <f t="shared" si="76"/>
        <v>#N/A</v>
      </c>
      <c r="AI121" s="682"/>
      <c r="AJ121" s="373"/>
      <c r="AK121" s="374"/>
      <c r="AL121" s="374"/>
      <c r="AM121" s="363" t="e">
        <f t="shared" si="77"/>
        <v>#N/A</v>
      </c>
      <c r="AN121" s="682"/>
      <c r="AO121" s="373"/>
      <c r="AP121" s="374"/>
      <c r="AQ121" s="374"/>
      <c r="AR121" s="363" t="e">
        <f t="shared" si="78"/>
        <v>#N/A</v>
      </c>
      <c r="AS121" s="682"/>
      <c r="AT121" s="371"/>
      <c r="AU121" s="371"/>
      <c r="AV121" s="371"/>
      <c r="AW121" s="363" t="e">
        <f t="shared" si="79"/>
        <v>#N/A</v>
      </c>
      <c r="AX121" s="682"/>
      <c r="AZ121" s="399" t="e">
        <f t="shared" si="80"/>
        <v>#N/A</v>
      </c>
      <c r="BA121" s="682"/>
    </row>
    <row r="123" spans="2:53" ht="15.75">
      <c r="B123" s="674" t="s">
        <v>482</v>
      </c>
      <c r="C123" s="675"/>
      <c r="D123" s="675"/>
      <c r="E123" s="675"/>
      <c r="F123" s="675"/>
      <c r="G123" s="675"/>
      <c r="H123" s="676"/>
      <c r="I123" s="315"/>
      <c r="J123" s="315"/>
      <c r="K123" s="315"/>
      <c r="L123" s="315"/>
      <c r="M123" s="316"/>
    </row>
    <row r="124" spans="2:53" ht="15.75">
      <c r="B124" s="677"/>
      <c r="C124" s="677"/>
      <c r="D124" s="677"/>
      <c r="E124" s="677"/>
      <c r="F124" s="677"/>
      <c r="G124" s="677"/>
      <c r="H124" s="677"/>
      <c r="I124" s="317"/>
      <c r="J124" s="317"/>
      <c r="K124" s="317"/>
      <c r="L124" s="317"/>
      <c r="M124" s="318"/>
    </row>
    <row r="125" spans="2:53">
      <c r="B125" s="635" t="s">
        <v>483</v>
      </c>
      <c r="C125" s="635" t="s">
        <v>484</v>
      </c>
      <c r="D125" s="635"/>
      <c r="E125" s="635" t="s">
        <v>485</v>
      </c>
      <c r="F125" s="635"/>
      <c r="G125" s="635"/>
      <c r="H125" s="651" t="s">
        <v>486</v>
      </c>
      <c r="I125" s="678" t="s">
        <v>487</v>
      </c>
      <c r="J125" s="678"/>
      <c r="K125" s="678"/>
      <c r="L125" s="691" t="s">
        <v>486</v>
      </c>
      <c r="M125" s="694" t="s">
        <v>488</v>
      </c>
    </row>
    <row r="126" spans="2:53">
      <c r="B126" s="635"/>
      <c r="C126" s="635"/>
      <c r="D126" s="635"/>
      <c r="E126" s="635" t="s">
        <v>489</v>
      </c>
      <c r="F126" s="635"/>
      <c r="G126" s="635"/>
      <c r="H126" s="652"/>
      <c r="I126" s="678" t="s">
        <v>489</v>
      </c>
      <c r="J126" s="678"/>
      <c r="K126" s="678"/>
      <c r="L126" s="692"/>
      <c r="M126" s="695"/>
    </row>
    <row r="127" spans="2:53">
      <c r="B127" s="635"/>
      <c r="C127" s="635"/>
      <c r="D127" s="635"/>
      <c r="E127" s="312" t="s">
        <v>490</v>
      </c>
      <c r="F127" s="312" t="s">
        <v>491</v>
      </c>
      <c r="G127" s="312" t="s">
        <v>492</v>
      </c>
      <c r="H127" s="653"/>
      <c r="I127" s="319" t="s">
        <v>490</v>
      </c>
      <c r="J127" s="319" t="s">
        <v>491</v>
      </c>
      <c r="K127" s="319" t="s">
        <v>492</v>
      </c>
      <c r="L127" s="693"/>
      <c r="M127" s="696"/>
    </row>
    <row r="128" spans="2:53">
      <c r="B128" s="635" t="s">
        <v>499</v>
      </c>
      <c r="C128" s="311">
        <v>1</v>
      </c>
      <c r="D128" s="225"/>
      <c r="E128" s="181"/>
      <c r="F128" s="311"/>
      <c r="G128" s="314"/>
      <c r="H128" s="685" t="e">
        <f>AVERAGE(G128:G142)</f>
        <v>#DIV/0!</v>
      </c>
      <c r="I128" s="198" t="e">
        <f t="shared" ref="I128:J132" si="81">AVERAGEIF($D$7:$D$121,$D128,I$7:I$121)</f>
        <v>#DIV/0!</v>
      </c>
      <c r="J128" s="198" t="e">
        <f t="shared" si="81"/>
        <v>#DIV/0!</v>
      </c>
      <c r="K128" s="198" t="e">
        <f>AVERAGEIF($D$7:$D$121,$D128,K$7:K$121)</f>
        <v>#DIV/0!</v>
      </c>
      <c r="L128" s="688" t="e">
        <f>AVERAGE(K128:K142)</f>
        <v>#DIV/0!</v>
      </c>
      <c r="M128" s="198" t="e">
        <f>RANK(K128, K$128:$K$142)</f>
        <v>#DIV/0!</v>
      </c>
    </row>
    <row r="129" spans="2:39">
      <c r="B129" s="643"/>
      <c r="C129" s="311">
        <v>2</v>
      </c>
      <c r="D129" s="225"/>
      <c r="E129" s="181"/>
      <c r="F129" s="311"/>
      <c r="G129" s="314"/>
      <c r="H129" s="686"/>
      <c r="I129" s="198" t="e">
        <f t="shared" si="81"/>
        <v>#DIV/0!</v>
      </c>
      <c r="J129" s="198" t="e">
        <f t="shared" si="81"/>
        <v>#DIV/0!</v>
      </c>
      <c r="K129" s="198" t="e">
        <f>AVERAGEIF($D$7:$D$121,$D129,K$7:K$121)</f>
        <v>#DIV/0!</v>
      </c>
      <c r="L129" s="689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43"/>
      <c r="C130" s="311">
        <v>3</v>
      </c>
      <c r="D130" s="225"/>
      <c r="E130" s="181"/>
      <c r="F130" s="311"/>
      <c r="G130" s="314"/>
      <c r="H130" s="686"/>
      <c r="I130" s="198" t="e">
        <f t="shared" si="81"/>
        <v>#DIV/0!</v>
      </c>
      <c r="J130" s="198" t="e">
        <f t="shared" si="81"/>
        <v>#DIV/0!</v>
      </c>
      <c r="K130" s="198" t="e">
        <f>AVERAGEIF($D$7:$D$121,$D130,K$7:K$121)</f>
        <v>#DIV/0!</v>
      </c>
      <c r="L130" s="689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43"/>
      <c r="C131" s="311">
        <v>4</v>
      </c>
      <c r="D131" s="225"/>
      <c r="E131" s="181"/>
      <c r="F131" s="311"/>
      <c r="G131" s="314"/>
      <c r="H131" s="686"/>
      <c r="I131" s="198" t="e">
        <f t="shared" si="81"/>
        <v>#DIV/0!</v>
      </c>
      <c r="J131" s="198" t="e">
        <f t="shared" si="81"/>
        <v>#DIV/0!</v>
      </c>
      <c r="K131" s="198" t="e">
        <f>AVERAGEIF($D$7:$D$121,$D131,K$7:K$121)</f>
        <v>#DIV/0!</v>
      </c>
      <c r="L131" s="689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43"/>
      <c r="C132" s="311">
        <v>5</v>
      </c>
      <c r="D132" s="225"/>
      <c r="E132" s="181"/>
      <c r="F132" s="311"/>
      <c r="G132" s="314"/>
      <c r="H132" s="686"/>
      <c r="I132" s="198" t="e">
        <f t="shared" si="81"/>
        <v>#DIV/0!</v>
      </c>
      <c r="J132" s="198" t="e">
        <f t="shared" si="81"/>
        <v>#DIV/0!</v>
      </c>
      <c r="K132" s="198" t="e">
        <f>AVERAGEIF($D$7:$D$121,$D132,K$7:K$121)</f>
        <v>#DIV/0!</v>
      </c>
      <c r="L132" s="689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43"/>
      <c r="C133" s="311">
        <v>6</v>
      </c>
      <c r="D133" s="320"/>
      <c r="E133" s="181"/>
      <c r="F133" s="311"/>
      <c r="G133" s="314"/>
      <c r="H133" s="686"/>
      <c r="I133" s="198"/>
      <c r="J133" s="198"/>
      <c r="K133" s="198"/>
      <c r="L133" s="689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43"/>
      <c r="C134" s="311">
        <v>7</v>
      </c>
      <c r="D134" s="225"/>
      <c r="E134" s="181"/>
      <c r="F134" s="311"/>
      <c r="G134" s="314"/>
      <c r="H134" s="686"/>
      <c r="I134" s="198"/>
      <c r="J134" s="198"/>
      <c r="K134" s="198"/>
      <c r="L134" s="689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43"/>
      <c r="C135" s="311">
        <v>8</v>
      </c>
      <c r="D135" s="225"/>
      <c r="E135" s="181"/>
      <c r="F135" s="311"/>
      <c r="G135" s="314"/>
      <c r="H135" s="686"/>
      <c r="I135" s="198"/>
      <c r="J135" s="198"/>
      <c r="K135" s="198"/>
      <c r="L135" s="689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43"/>
      <c r="C136" s="311">
        <v>9</v>
      </c>
      <c r="D136" s="225"/>
      <c r="E136" s="311"/>
      <c r="F136" s="311"/>
      <c r="G136" s="311"/>
      <c r="H136" s="686"/>
      <c r="I136" s="198"/>
      <c r="J136" s="198"/>
      <c r="K136" s="198"/>
      <c r="L136" s="689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43"/>
      <c r="C137" s="311">
        <v>10</v>
      </c>
      <c r="D137" s="225"/>
      <c r="E137" s="311"/>
      <c r="F137" s="311"/>
      <c r="G137" s="311"/>
      <c r="H137" s="686"/>
      <c r="I137" s="198"/>
      <c r="J137" s="198"/>
      <c r="K137" s="198"/>
      <c r="L137" s="689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43"/>
      <c r="C138" s="311">
        <v>11</v>
      </c>
      <c r="D138" s="225"/>
      <c r="E138" s="311"/>
      <c r="F138" s="311"/>
      <c r="G138" s="311"/>
      <c r="H138" s="686"/>
      <c r="I138" s="198"/>
      <c r="J138" s="198"/>
      <c r="K138" s="198"/>
      <c r="L138" s="689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43"/>
      <c r="C139" s="311">
        <v>12</v>
      </c>
      <c r="D139" s="225"/>
      <c r="E139" s="311"/>
      <c r="F139" s="311"/>
      <c r="G139" s="311"/>
      <c r="H139" s="686"/>
      <c r="I139" s="198"/>
      <c r="J139" s="198"/>
      <c r="K139" s="198"/>
      <c r="L139" s="689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43"/>
      <c r="C140" s="311">
        <v>13</v>
      </c>
      <c r="D140" s="225"/>
      <c r="E140" s="311"/>
      <c r="F140" s="311"/>
      <c r="G140" s="311"/>
      <c r="H140" s="686"/>
      <c r="I140" s="198"/>
      <c r="J140" s="198"/>
      <c r="K140" s="198"/>
      <c r="L140" s="689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43"/>
      <c r="C141" s="311">
        <v>14</v>
      </c>
      <c r="D141" s="225"/>
      <c r="E141" s="311"/>
      <c r="F141" s="311"/>
      <c r="G141" s="311"/>
      <c r="H141" s="686"/>
      <c r="I141" s="198"/>
      <c r="J141" s="198"/>
      <c r="K141" s="198"/>
      <c r="L141" s="689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43"/>
      <c r="C142" s="311">
        <v>15</v>
      </c>
      <c r="D142" s="225"/>
      <c r="E142" s="311"/>
      <c r="F142" s="311"/>
      <c r="G142" s="311"/>
      <c r="H142" s="687"/>
      <c r="I142" s="198"/>
      <c r="J142" s="198"/>
      <c r="K142" s="198"/>
      <c r="L142" s="690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2" zoomScale="55" zoomScaleNormal="55" workbookViewId="0">
      <pane xSplit="15" topLeftCell="P1" activePane="topRight" state="frozen"/>
      <selection activeCell="G101" sqref="D87:G101"/>
      <selection pane="topRight" activeCell="V58" sqref="V58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AVERAGE(L7,L27,L47,L67,L87,L107)</f>
        <v>147.50806689740159</v>
      </c>
    </row>
    <row r="2" spans="1:53" ht="15.75">
      <c r="A2" s="81"/>
      <c r="B2" s="647" t="s">
        <v>163</v>
      </c>
      <c r="C2" s="647"/>
      <c r="D2" s="647"/>
      <c r="E2" s="647"/>
      <c r="F2" s="647"/>
      <c r="G2" s="647"/>
      <c r="H2" s="647"/>
      <c r="I2" s="292"/>
      <c r="J2" s="292"/>
      <c r="K2" s="292"/>
      <c r="L2" s="292"/>
      <c r="M2" s="196"/>
      <c r="N2" s="636" t="s">
        <v>156</v>
      </c>
      <c r="O2" s="636" t="s">
        <v>155</v>
      </c>
      <c r="P2" s="663">
        <v>46168</v>
      </c>
      <c r="Q2" s="664"/>
      <c r="R2" s="664"/>
      <c r="S2" s="664"/>
      <c r="T2" s="665"/>
      <c r="U2" s="642">
        <f>P2+1</f>
        <v>46169</v>
      </c>
      <c r="V2" s="643"/>
      <c r="W2" s="643"/>
      <c r="X2" s="643"/>
      <c r="Y2" s="643"/>
      <c r="Z2" s="642">
        <f>U2+1</f>
        <v>46170</v>
      </c>
      <c r="AA2" s="643"/>
      <c r="AB2" s="643"/>
      <c r="AC2" s="643"/>
      <c r="AD2" s="643"/>
      <c r="AE2" s="642">
        <f>Z2+1</f>
        <v>46171</v>
      </c>
      <c r="AF2" s="643"/>
      <c r="AG2" s="643"/>
      <c r="AH2" s="643"/>
      <c r="AI2" s="643"/>
      <c r="AJ2" s="642">
        <f>AE2+1</f>
        <v>46172</v>
      </c>
      <c r="AK2" s="643"/>
      <c r="AL2" s="643"/>
      <c r="AM2" s="643"/>
      <c r="AN2" s="643"/>
      <c r="AO2" s="642">
        <f>AJ2+1</f>
        <v>46173</v>
      </c>
      <c r="AP2" s="643"/>
      <c r="AQ2" s="643"/>
      <c r="AR2" s="643"/>
      <c r="AS2" s="643"/>
      <c r="AT2" s="639">
        <f>AO2+1</f>
        <v>46174</v>
      </c>
      <c r="AU2" s="640"/>
      <c r="AV2" s="640"/>
      <c r="AW2" s="640"/>
      <c r="AX2" s="641"/>
    </row>
    <row r="3" spans="1:53" ht="15.75">
      <c r="A3" s="81"/>
      <c r="B3" s="666"/>
      <c r="C3" s="666"/>
      <c r="D3" s="666"/>
      <c r="E3" s="666"/>
      <c r="F3" s="666"/>
      <c r="G3" s="666"/>
      <c r="H3" s="666"/>
      <c r="I3" s="293"/>
      <c r="J3" s="293"/>
      <c r="K3" s="293"/>
      <c r="L3" s="293"/>
      <c r="M3" s="197"/>
      <c r="N3" s="638"/>
      <c r="O3" s="638"/>
      <c r="P3" s="639" t="s">
        <v>158</v>
      </c>
      <c r="Q3" s="640"/>
      <c r="R3" s="640"/>
      <c r="S3" s="640"/>
      <c r="T3" s="641"/>
      <c r="U3" s="639" t="s">
        <v>114</v>
      </c>
      <c r="V3" s="640"/>
      <c r="W3" s="640"/>
      <c r="X3" s="640"/>
      <c r="Y3" s="641"/>
      <c r="Z3" s="639" t="s">
        <v>159</v>
      </c>
      <c r="AA3" s="640"/>
      <c r="AB3" s="640"/>
      <c r="AC3" s="640"/>
      <c r="AD3" s="641"/>
      <c r="AE3" s="639" t="s">
        <v>157</v>
      </c>
      <c r="AF3" s="640"/>
      <c r="AG3" s="640"/>
      <c r="AH3" s="640"/>
      <c r="AI3" s="641"/>
      <c r="AJ3" s="639" t="s">
        <v>160</v>
      </c>
      <c r="AK3" s="640"/>
      <c r="AL3" s="640"/>
      <c r="AM3" s="640"/>
      <c r="AN3" s="641"/>
      <c r="AO3" s="639" t="s">
        <v>161</v>
      </c>
      <c r="AP3" s="640"/>
      <c r="AQ3" s="640"/>
      <c r="AR3" s="640"/>
      <c r="AS3" s="641"/>
      <c r="AT3" s="639" t="s">
        <v>162</v>
      </c>
      <c r="AU3" s="640"/>
      <c r="AV3" s="640"/>
      <c r="AW3" s="640"/>
      <c r="AX3" s="641"/>
    </row>
    <row r="4" spans="1:53" ht="14.25">
      <c r="A4" s="81"/>
      <c r="B4" s="635" t="s">
        <v>548</v>
      </c>
      <c r="C4" s="635" t="s">
        <v>384</v>
      </c>
      <c r="D4" s="635"/>
      <c r="E4" s="635" t="s">
        <v>375</v>
      </c>
      <c r="F4" s="635"/>
      <c r="G4" s="635"/>
      <c r="H4" s="651" t="s">
        <v>371</v>
      </c>
      <c r="I4" s="619" t="s">
        <v>376</v>
      </c>
      <c r="J4" s="619"/>
      <c r="K4" s="619"/>
      <c r="L4" s="620" t="s">
        <v>371</v>
      </c>
      <c r="M4" s="626" t="s">
        <v>372</v>
      </c>
      <c r="N4" s="635"/>
      <c r="O4" s="635" t="s">
        <v>377</v>
      </c>
      <c r="P4" s="632" t="s">
        <v>373</v>
      </c>
      <c r="Q4" s="633"/>
      <c r="R4" s="633"/>
      <c r="S4" s="634"/>
      <c r="T4" s="635" t="s">
        <v>371</v>
      </c>
      <c r="U4" s="632" t="s">
        <v>373</v>
      </c>
      <c r="V4" s="633"/>
      <c r="W4" s="633"/>
      <c r="X4" s="634"/>
      <c r="Y4" s="635" t="s">
        <v>371</v>
      </c>
      <c r="Z4" s="632" t="s">
        <v>373</v>
      </c>
      <c r="AA4" s="633"/>
      <c r="AB4" s="633"/>
      <c r="AC4" s="634"/>
      <c r="AD4" s="635" t="s">
        <v>371</v>
      </c>
      <c r="AE4" s="632" t="s">
        <v>373</v>
      </c>
      <c r="AF4" s="633"/>
      <c r="AG4" s="633"/>
      <c r="AH4" s="634"/>
      <c r="AI4" s="635" t="s">
        <v>371</v>
      </c>
      <c r="AJ4" s="632" t="s">
        <v>373</v>
      </c>
      <c r="AK4" s="633"/>
      <c r="AL4" s="633"/>
      <c r="AM4" s="634"/>
      <c r="AN4" s="635" t="s">
        <v>371</v>
      </c>
      <c r="AO4" s="632" t="s">
        <v>373</v>
      </c>
      <c r="AP4" s="633"/>
      <c r="AQ4" s="633"/>
      <c r="AR4" s="634"/>
      <c r="AS4" s="635" t="s">
        <v>371</v>
      </c>
      <c r="AT4" s="632" t="s">
        <v>373</v>
      </c>
      <c r="AU4" s="633"/>
      <c r="AV4" s="633"/>
      <c r="AW4" s="634"/>
      <c r="AX4" s="635" t="s">
        <v>371</v>
      </c>
      <c r="BA4" s="635" t="s">
        <v>371</v>
      </c>
    </row>
    <row r="5" spans="1:53" ht="14.25">
      <c r="A5" s="81"/>
      <c r="B5" s="635"/>
      <c r="C5" s="635"/>
      <c r="D5" s="635"/>
      <c r="E5" s="635" t="s">
        <v>378</v>
      </c>
      <c r="F5" s="635"/>
      <c r="G5" s="635"/>
      <c r="H5" s="652"/>
      <c r="I5" s="619" t="s">
        <v>378</v>
      </c>
      <c r="J5" s="619"/>
      <c r="K5" s="619"/>
      <c r="L5" s="621"/>
      <c r="M5" s="627"/>
      <c r="N5" s="635"/>
      <c r="O5" s="635"/>
      <c r="P5" s="632" t="s">
        <v>379</v>
      </c>
      <c r="Q5" s="633"/>
      <c r="R5" s="633"/>
      <c r="S5" s="634"/>
      <c r="T5" s="635"/>
      <c r="U5" s="632" t="s">
        <v>379</v>
      </c>
      <c r="V5" s="633"/>
      <c r="W5" s="633"/>
      <c r="X5" s="634"/>
      <c r="Y5" s="635"/>
      <c r="Z5" s="632" t="s">
        <v>379</v>
      </c>
      <c r="AA5" s="633"/>
      <c r="AB5" s="633"/>
      <c r="AC5" s="634"/>
      <c r="AD5" s="635"/>
      <c r="AE5" s="632" t="s">
        <v>379</v>
      </c>
      <c r="AF5" s="633"/>
      <c r="AG5" s="633"/>
      <c r="AH5" s="634"/>
      <c r="AI5" s="635"/>
      <c r="AJ5" s="632" t="s">
        <v>379</v>
      </c>
      <c r="AK5" s="633"/>
      <c r="AL5" s="633"/>
      <c r="AM5" s="634"/>
      <c r="AN5" s="635"/>
      <c r="AO5" s="632" t="s">
        <v>379</v>
      </c>
      <c r="AP5" s="633"/>
      <c r="AQ5" s="633"/>
      <c r="AR5" s="634"/>
      <c r="AS5" s="635"/>
      <c r="AT5" s="632" t="s">
        <v>379</v>
      </c>
      <c r="AU5" s="633"/>
      <c r="AV5" s="633"/>
      <c r="AW5" s="634"/>
      <c r="AX5" s="635"/>
      <c r="BA5" s="635"/>
    </row>
    <row r="6" spans="1:53" ht="14.25">
      <c r="A6" s="79"/>
      <c r="B6" s="635"/>
      <c r="C6" s="635"/>
      <c r="D6" s="635"/>
      <c r="E6" s="408" t="s">
        <v>380</v>
      </c>
      <c r="F6" s="408" t="s">
        <v>381</v>
      </c>
      <c r="G6" s="408" t="s">
        <v>382</v>
      </c>
      <c r="H6" s="653"/>
      <c r="I6" s="407" t="s">
        <v>380</v>
      </c>
      <c r="J6" s="407" t="s">
        <v>381</v>
      </c>
      <c r="K6" s="407" t="s">
        <v>382</v>
      </c>
      <c r="L6" s="622"/>
      <c r="M6" s="628"/>
      <c r="N6" s="635"/>
      <c r="O6" s="635"/>
      <c r="P6" s="408" t="s">
        <v>380</v>
      </c>
      <c r="Q6" s="408" t="s">
        <v>381</v>
      </c>
      <c r="R6" s="408" t="s">
        <v>382</v>
      </c>
      <c r="S6" s="408" t="s">
        <v>372</v>
      </c>
      <c r="T6" s="635"/>
      <c r="U6" s="408" t="s">
        <v>380</v>
      </c>
      <c r="V6" s="408" t="s">
        <v>381</v>
      </c>
      <c r="W6" s="408" t="s">
        <v>382</v>
      </c>
      <c r="X6" s="408" t="s">
        <v>372</v>
      </c>
      <c r="Y6" s="635"/>
      <c r="Z6" s="408" t="s">
        <v>380</v>
      </c>
      <c r="AA6" s="408" t="s">
        <v>381</v>
      </c>
      <c r="AB6" s="408" t="s">
        <v>382</v>
      </c>
      <c r="AC6" s="408" t="s">
        <v>372</v>
      </c>
      <c r="AD6" s="635"/>
      <c r="AE6" s="408" t="s">
        <v>380</v>
      </c>
      <c r="AF6" s="408" t="s">
        <v>381</v>
      </c>
      <c r="AG6" s="408" t="s">
        <v>382</v>
      </c>
      <c r="AH6" s="408" t="s">
        <v>372</v>
      </c>
      <c r="AI6" s="635"/>
      <c r="AJ6" s="408" t="s">
        <v>380</v>
      </c>
      <c r="AK6" s="408" t="s">
        <v>381</v>
      </c>
      <c r="AL6" s="408" t="s">
        <v>382</v>
      </c>
      <c r="AM6" s="408" t="s">
        <v>372</v>
      </c>
      <c r="AN6" s="635"/>
      <c r="AO6" s="408" t="s">
        <v>380</v>
      </c>
      <c r="AP6" s="408" t="s">
        <v>381</v>
      </c>
      <c r="AQ6" s="408" t="s">
        <v>382</v>
      </c>
      <c r="AR6" s="408" t="s">
        <v>372</v>
      </c>
      <c r="AS6" s="635"/>
      <c r="AT6" s="408" t="s">
        <v>380</v>
      </c>
      <c r="AU6" s="408" t="s">
        <v>381</v>
      </c>
      <c r="AV6" s="408" t="s">
        <v>382</v>
      </c>
      <c r="AW6" s="408" t="s">
        <v>372</v>
      </c>
      <c r="AX6" s="635"/>
      <c r="AZ6" s="397" t="s">
        <v>372</v>
      </c>
      <c r="BA6" s="635"/>
    </row>
    <row r="7" spans="1:53" ht="14.25">
      <c r="A7" s="81"/>
      <c r="B7" s="635" t="s">
        <v>136</v>
      </c>
      <c r="C7" s="409">
        <v>1</v>
      </c>
      <c r="D7" s="225" t="s">
        <v>358</v>
      </c>
      <c r="E7" s="416">
        <v>7</v>
      </c>
      <c r="F7" s="495">
        <v>1500</v>
      </c>
      <c r="G7" s="496">
        <v>214.28571428571428</v>
      </c>
      <c r="H7" s="685">
        <f>AVERAGE(G7:G21)</f>
        <v>161.21428571428572</v>
      </c>
      <c r="I7" s="413">
        <f t="shared" ref="I7:I20" si="0">IFERROR(AVERAGE(P7,U7,Z7,AE7,AJ7,AO7,AT7),"-")</f>
        <v>7</v>
      </c>
      <c r="J7" s="413">
        <f t="shared" ref="J7:J20" si="1">IFERROR(AVERAGE(Q7,V7,AA7,AF7,AK7,AP7,AU7),"-")</f>
        <v>1465.1354114700464</v>
      </c>
      <c r="K7" s="199">
        <f t="shared" ref="K7:K20" si="2">IFERROR(AVERAGE(R7,W7,AB7,AG7,AL7,AQ7,AV7),"-")</f>
        <v>209.30505878143524</v>
      </c>
      <c r="L7" s="616">
        <f>IFERROR(AVERAGE(K7:K21),"-")</f>
        <v>143.41592809295065</v>
      </c>
      <c r="M7" s="415">
        <f>RANK(K7, K$7:$K$21)</f>
        <v>3</v>
      </c>
      <c r="N7" s="635"/>
      <c r="O7" s="635"/>
      <c r="P7" s="497">
        <v>7</v>
      </c>
      <c r="Q7" s="499">
        <v>1492.6530612244901</v>
      </c>
      <c r="R7" s="499">
        <v>213.2361516034986</v>
      </c>
      <c r="S7" s="497">
        <f t="shared" ref="S7:S21" si="3">RANK(R7, R$7:R$21)</f>
        <v>1</v>
      </c>
      <c r="T7" s="682">
        <f t="shared" ref="T7" si="4">AVERAGE(R7:R21)</f>
        <v>144.11107497700237</v>
      </c>
      <c r="U7" s="497">
        <v>7</v>
      </c>
      <c r="V7" s="499">
        <v>1485.8823529411759</v>
      </c>
      <c r="W7" s="499">
        <v>212.26890756302512</v>
      </c>
      <c r="X7" s="497">
        <f t="shared" ref="X7:X21" si="5">RANK(W7, W$7:W$21)</f>
        <v>1</v>
      </c>
      <c r="Y7" s="682">
        <f t="shared" ref="Y7" si="6">AVERAGE(W7:W21)</f>
        <v>143.82320142476038</v>
      </c>
      <c r="Z7" s="497">
        <v>7</v>
      </c>
      <c r="AA7" s="499">
        <v>1469.9999999999993</v>
      </c>
      <c r="AB7" s="499">
        <v>209.99999999999991</v>
      </c>
      <c r="AC7" s="497">
        <f t="shared" ref="AC7:AC21" si="7">RANK(AB7, AB$7:AB$21)</f>
        <v>3</v>
      </c>
      <c r="AD7" s="682">
        <f t="shared" ref="AD7" si="8">AVERAGE(AB7:AB21)</f>
        <v>143.08047539534527</v>
      </c>
      <c r="AE7" s="497">
        <v>7</v>
      </c>
      <c r="AF7" s="499">
        <v>1444.3902439024384</v>
      </c>
      <c r="AG7" s="499">
        <v>206.34146341463406</v>
      </c>
      <c r="AH7" s="497">
        <f t="shared" ref="AH7:AH21" si="9">RANK(AG7, AG$7:AG$21)</f>
        <v>3</v>
      </c>
      <c r="AI7" s="682">
        <f t="shared" ref="AI7" si="10">AVERAGE(AG7:AG21)</f>
        <v>143.12580255586298</v>
      </c>
      <c r="AJ7" s="497">
        <v>7</v>
      </c>
      <c r="AK7" s="499">
        <v>1457.3333333333333</v>
      </c>
      <c r="AL7" s="499">
        <v>208.19047619047618</v>
      </c>
      <c r="AM7" s="497">
        <f t="shared" ref="AM7:AM21" si="11">RANK(AL7, AL$7:AL$21)</f>
        <v>3</v>
      </c>
      <c r="AN7" s="682">
        <f t="shared" ref="AN7" si="12">AVERAGE(AL7:AL21)</f>
        <v>143.65322532437719</v>
      </c>
      <c r="AO7" s="497">
        <v>7</v>
      </c>
      <c r="AP7" s="499">
        <v>1456.7999999999995</v>
      </c>
      <c r="AQ7" s="499">
        <v>208.11428571428564</v>
      </c>
      <c r="AR7" s="497">
        <f t="shared" ref="AR7:AR21" si="13">RANK(AQ7, AQ$7:AQ$21)</f>
        <v>2</v>
      </c>
      <c r="AS7" s="682">
        <f t="shared" ref="AS7" si="14">AVERAGE(AQ7:AQ21)</f>
        <v>143.02447388160959</v>
      </c>
      <c r="AT7" s="495">
        <v>7</v>
      </c>
      <c r="AU7" s="416">
        <v>1448.8888888888887</v>
      </c>
      <c r="AV7" s="416">
        <v>206.98412698412696</v>
      </c>
      <c r="AW7" s="497">
        <f t="shared" ref="AW7:AW21" si="15">RANK(AV7, AV$7:AV$21)</f>
        <v>3</v>
      </c>
      <c r="AX7" s="682">
        <f t="shared" ref="AX7" si="16">AVERAGE(AV7:AV21)</f>
        <v>143.09324309169671</v>
      </c>
      <c r="AZ7" s="399" t="e">
        <f t="shared" ref="AZ7:AZ21" si="17">RANK(AY7, AY$7:AY$21)</f>
        <v>#N/A</v>
      </c>
      <c r="BA7" s="682" t="e">
        <f t="shared" ref="BA7" si="18">AVERAGE(AY7:AY21)</f>
        <v>#DIV/0!</v>
      </c>
    </row>
    <row r="8" spans="1:53" ht="15" customHeight="1">
      <c r="A8" s="81"/>
      <c r="B8" s="668"/>
      <c r="C8" s="409">
        <v>2</v>
      </c>
      <c r="D8" s="225" t="s">
        <v>359</v>
      </c>
      <c r="E8" s="416">
        <v>7</v>
      </c>
      <c r="F8" s="495">
        <v>1500</v>
      </c>
      <c r="G8" s="496">
        <v>214.28571428571428</v>
      </c>
      <c r="H8" s="686"/>
      <c r="I8" s="413">
        <f t="shared" si="0"/>
        <v>7</v>
      </c>
      <c r="J8" s="413">
        <f t="shared" si="1"/>
        <v>1455.2109629417921</v>
      </c>
      <c r="K8" s="199">
        <f t="shared" si="2"/>
        <v>207.88728042025605</v>
      </c>
      <c r="L8" s="617"/>
      <c r="M8" s="415">
        <f>RANK(K8, K$7:$K$21)</f>
        <v>4</v>
      </c>
      <c r="N8" s="635"/>
      <c r="O8" s="635"/>
      <c r="P8" s="497">
        <v>7</v>
      </c>
      <c r="Q8" s="499">
        <v>1472.6865671641792</v>
      </c>
      <c r="R8" s="499">
        <v>210.38379530916845</v>
      </c>
      <c r="S8" s="497">
        <f t="shared" si="3"/>
        <v>3</v>
      </c>
      <c r="T8" s="682"/>
      <c r="U8" s="497">
        <v>7</v>
      </c>
      <c r="V8" s="499">
        <v>1448.6330935251792</v>
      </c>
      <c r="W8" s="499">
        <v>206.94758478931132</v>
      </c>
      <c r="X8" s="497">
        <f t="shared" si="5"/>
        <v>4</v>
      </c>
      <c r="Y8" s="682"/>
      <c r="Z8" s="497">
        <v>7</v>
      </c>
      <c r="AA8" s="499">
        <v>1471.1278195488721</v>
      </c>
      <c r="AB8" s="499">
        <v>210.16111707841031</v>
      </c>
      <c r="AC8" s="497">
        <f t="shared" si="7"/>
        <v>2</v>
      </c>
      <c r="AD8" s="682"/>
      <c r="AE8" s="497">
        <v>7</v>
      </c>
      <c r="AF8" s="499">
        <v>1442.6315789473686</v>
      </c>
      <c r="AG8" s="499">
        <v>206.0902255639098</v>
      </c>
      <c r="AH8" s="497">
        <f t="shared" si="9"/>
        <v>4</v>
      </c>
      <c r="AI8" s="682"/>
      <c r="AJ8" s="497">
        <v>7</v>
      </c>
      <c r="AK8" s="499">
        <v>1466.3157894736842</v>
      </c>
      <c r="AL8" s="499">
        <v>209.4736842105263</v>
      </c>
      <c r="AM8" s="497">
        <f t="shared" si="11"/>
        <v>2</v>
      </c>
      <c r="AN8" s="682"/>
      <c r="AO8" s="497">
        <v>7</v>
      </c>
      <c r="AP8" s="499">
        <v>1438.2733812949641</v>
      </c>
      <c r="AQ8" s="499">
        <v>205.46762589928059</v>
      </c>
      <c r="AR8" s="497">
        <f t="shared" si="13"/>
        <v>4</v>
      </c>
      <c r="AS8" s="682"/>
      <c r="AT8" s="495">
        <v>7</v>
      </c>
      <c r="AU8" s="416">
        <v>1446.8085106382982</v>
      </c>
      <c r="AV8" s="416">
        <v>206.68693009118547</v>
      </c>
      <c r="AW8" s="497">
        <f t="shared" si="15"/>
        <v>4</v>
      </c>
      <c r="AX8" s="682"/>
      <c r="AZ8" s="399" t="e">
        <f t="shared" si="17"/>
        <v>#N/A</v>
      </c>
      <c r="BA8" s="682"/>
    </row>
    <row r="9" spans="1:53" ht="14.25">
      <c r="A9" s="81"/>
      <c r="B9" s="668"/>
      <c r="C9" s="409">
        <v>3</v>
      </c>
      <c r="D9" s="225" t="s">
        <v>330</v>
      </c>
      <c r="E9" s="416">
        <v>20</v>
      </c>
      <c r="F9" s="495">
        <v>1500</v>
      </c>
      <c r="G9" s="496">
        <v>75</v>
      </c>
      <c r="H9" s="686"/>
      <c r="I9" s="413">
        <f t="shared" si="0"/>
        <v>18.857142857142858</v>
      </c>
      <c r="J9" s="413">
        <f t="shared" si="1"/>
        <v>1302.109380369277</v>
      </c>
      <c r="K9" s="199">
        <f t="shared" si="2"/>
        <v>69.118965216305597</v>
      </c>
      <c r="L9" s="617"/>
      <c r="M9" s="415">
        <f>RANK(K9, K$7:$K$21)</f>
        <v>10</v>
      </c>
      <c r="N9" s="635"/>
      <c r="O9" s="635"/>
      <c r="P9" s="497">
        <v>20</v>
      </c>
      <c r="Q9" s="499">
        <v>1412.0547945205483</v>
      </c>
      <c r="R9" s="499">
        <v>70.602739726027409</v>
      </c>
      <c r="S9" s="497">
        <f t="shared" si="3"/>
        <v>9</v>
      </c>
      <c r="T9" s="682"/>
      <c r="U9" s="497">
        <v>20</v>
      </c>
      <c r="V9" s="499">
        <v>1335.783783783784</v>
      </c>
      <c r="W9" s="499">
        <v>66.789189189189202</v>
      </c>
      <c r="X9" s="497">
        <f t="shared" si="5"/>
        <v>10</v>
      </c>
      <c r="Y9" s="682"/>
      <c r="Z9" s="497">
        <v>20</v>
      </c>
      <c r="AA9" s="499">
        <v>1309.9218749999998</v>
      </c>
      <c r="AB9" s="499">
        <v>65.496093749999986</v>
      </c>
      <c r="AC9" s="497">
        <f t="shared" si="7"/>
        <v>10</v>
      </c>
      <c r="AD9" s="682"/>
      <c r="AE9" s="497">
        <v>18</v>
      </c>
      <c r="AF9" s="499">
        <v>1255.217391304348</v>
      </c>
      <c r="AG9" s="499">
        <v>69.734299516908223</v>
      </c>
      <c r="AH9" s="497">
        <f t="shared" si="9"/>
        <v>9</v>
      </c>
      <c r="AI9" s="682"/>
      <c r="AJ9" s="497">
        <v>18</v>
      </c>
      <c r="AK9" s="499">
        <v>1250.0689655172416</v>
      </c>
      <c r="AL9" s="499">
        <v>69.448275862068982</v>
      </c>
      <c r="AM9" s="497">
        <f t="shared" si="11"/>
        <v>10</v>
      </c>
      <c r="AN9" s="682"/>
      <c r="AO9" s="497">
        <v>18</v>
      </c>
      <c r="AP9" s="499">
        <v>1278.3688524590166</v>
      </c>
      <c r="AQ9" s="499">
        <v>71.020491803278702</v>
      </c>
      <c r="AR9" s="497">
        <f t="shared" si="13"/>
        <v>9</v>
      </c>
      <c r="AS9" s="682"/>
      <c r="AT9" s="495">
        <v>18</v>
      </c>
      <c r="AU9" s="416">
        <v>1273.3500000000004</v>
      </c>
      <c r="AV9" s="416">
        <v>70.741666666666688</v>
      </c>
      <c r="AW9" s="497">
        <f t="shared" si="15"/>
        <v>9</v>
      </c>
      <c r="AX9" s="682"/>
      <c r="AZ9" s="399" t="e">
        <f t="shared" si="17"/>
        <v>#N/A</v>
      </c>
      <c r="BA9" s="682"/>
    </row>
    <row r="10" spans="1:53" ht="14.25">
      <c r="A10" s="81"/>
      <c r="B10" s="668"/>
      <c r="C10" s="409">
        <v>4</v>
      </c>
      <c r="D10" s="225" t="s">
        <v>360</v>
      </c>
      <c r="E10" s="416">
        <v>16</v>
      </c>
      <c r="F10" s="495">
        <v>1440</v>
      </c>
      <c r="G10" s="496">
        <v>90</v>
      </c>
      <c r="H10" s="686"/>
      <c r="I10" s="413">
        <f t="shared" si="0"/>
        <v>16.285714285714285</v>
      </c>
      <c r="J10" s="413">
        <f t="shared" si="1"/>
        <v>1390.3373280377916</v>
      </c>
      <c r="K10" s="199">
        <f t="shared" si="2"/>
        <v>85.425330520317388</v>
      </c>
      <c r="L10" s="617"/>
      <c r="M10" s="415">
        <f>RANK(K10, K$7:$K$21)</f>
        <v>8</v>
      </c>
      <c r="N10" s="635"/>
      <c r="O10" s="635"/>
      <c r="P10" s="497">
        <v>17</v>
      </c>
      <c r="Q10" s="499">
        <v>1379.7169811320762</v>
      </c>
      <c r="R10" s="499">
        <v>81.159822419533896</v>
      </c>
      <c r="S10" s="497">
        <f t="shared" si="3"/>
        <v>8</v>
      </c>
      <c r="T10" s="682"/>
      <c r="U10" s="497">
        <v>16</v>
      </c>
      <c r="V10" s="499">
        <v>1392.7333333333331</v>
      </c>
      <c r="W10" s="499">
        <v>87.04583333333332</v>
      </c>
      <c r="X10" s="497">
        <f t="shared" si="5"/>
        <v>8</v>
      </c>
      <c r="Y10" s="682"/>
      <c r="Z10" s="497">
        <v>17</v>
      </c>
      <c r="AA10" s="499">
        <v>1420.5957446808511</v>
      </c>
      <c r="AB10" s="499">
        <v>83.564455569461828</v>
      </c>
      <c r="AC10" s="497">
        <f t="shared" si="7"/>
        <v>8</v>
      </c>
      <c r="AD10" s="682"/>
      <c r="AE10" s="497">
        <v>16</v>
      </c>
      <c r="AF10" s="499">
        <v>1370.1315789473674</v>
      </c>
      <c r="AG10" s="499">
        <v>85.633223684210463</v>
      </c>
      <c r="AH10" s="497">
        <f t="shared" si="9"/>
        <v>8</v>
      </c>
      <c r="AI10" s="682"/>
      <c r="AJ10" s="497">
        <v>16</v>
      </c>
      <c r="AK10" s="499">
        <v>1382.804347826087</v>
      </c>
      <c r="AL10" s="499">
        <v>86.425271739130437</v>
      </c>
      <c r="AM10" s="497">
        <f t="shared" si="11"/>
        <v>8</v>
      </c>
      <c r="AN10" s="682"/>
      <c r="AO10" s="497">
        <v>16</v>
      </c>
      <c r="AP10" s="499">
        <v>1377.0000000000009</v>
      </c>
      <c r="AQ10" s="499">
        <v>86.062500000000057</v>
      </c>
      <c r="AR10" s="497">
        <f t="shared" si="13"/>
        <v>8</v>
      </c>
      <c r="AS10" s="682"/>
      <c r="AT10" s="495">
        <v>16</v>
      </c>
      <c r="AU10" s="416">
        <v>1409.3793103448268</v>
      </c>
      <c r="AV10" s="416">
        <v>88.086206896551673</v>
      </c>
      <c r="AW10" s="497">
        <f t="shared" si="15"/>
        <v>8</v>
      </c>
      <c r="AX10" s="682"/>
      <c r="AZ10" s="399" t="e">
        <f t="shared" si="17"/>
        <v>#N/A</v>
      </c>
      <c r="BA10" s="682"/>
    </row>
    <row r="11" spans="1:53" ht="14.25">
      <c r="A11" s="81"/>
      <c r="B11" s="668"/>
      <c r="C11" s="409">
        <v>5</v>
      </c>
      <c r="D11" s="225" t="s">
        <v>398</v>
      </c>
      <c r="E11" s="416">
        <v>7</v>
      </c>
      <c r="F11" s="495">
        <v>1500</v>
      </c>
      <c r="G11" s="496">
        <v>214.28571428571428</v>
      </c>
      <c r="H11" s="686"/>
      <c r="I11" s="413">
        <f t="shared" si="0"/>
        <v>7</v>
      </c>
      <c r="J11" s="413">
        <f t="shared" si="1"/>
        <v>1465.9025444104332</v>
      </c>
      <c r="K11" s="199">
        <f t="shared" si="2"/>
        <v>209.41464920149045</v>
      </c>
      <c r="L11" s="617"/>
      <c r="M11" s="415">
        <f>RANK(K11, K$7:$K$21)</f>
        <v>2</v>
      </c>
      <c r="N11" s="635"/>
      <c r="O11" s="635"/>
      <c r="P11" s="497">
        <v>7</v>
      </c>
      <c r="Q11" s="499">
        <v>1466.5217391304348</v>
      </c>
      <c r="R11" s="499">
        <v>209.50310559006212</v>
      </c>
      <c r="S11" s="497">
        <f t="shared" si="3"/>
        <v>4</v>
      </c>
      <c r="T11" s="682"/>
      <c r="U11" s="497">
        <v>7</v>
      </c>
      <c r="V11" s="499">
        <v>1483.7142857142856</v>
      </c>
      <c r="W11" s="499">
        <v>211.95918367346937</v>
      </c>
      <c r="X11" s="497">
        <f t="shared" si="5"/>
        <v>2</v>
      </c>
      <c r="Y11" s="682"/>
      <c r="Z11" s="497">
        <v>7</v>
      </c>
      <c r="AA11" s="499">
        <v>1465.2631578947362</v>
      </c>
      <c r="AB11" s="499">
        <v>209.32330827067659</v>
      </c>
      <c r="AC11" s="497">
        <f t="shared" si="7"/>
        <v>4</v>
      </c>
      <c r="AD11" s="682"/>
      <c r="AE11" s="497">
        <v>7</v>
      </c>
      <c r="AF11" s="499">
        <v>1462.6890756302525</v>
      </c>
      <c r="AG11" s="499">
        <v>208.95558223289322</v>
      </c>
      <c r="AH11" s="497">
        <f t="shared" si="9"/>
        <v>2</v>
      </c>
      <c r="AI11" s="682"/>
      <c r="AJ11" s="497">
        <v>7</v>
      </c>
      <c r="AK11" s="499">
        <v>1470.9836065573772</v>
      </c>
      <c r="AL11" s="499">
        <v>210.14051522248246</v>
      </c>
      <c r="AM11" s="497">
        <f t="shared" si="11"/>
        <v>1</v>
      </c>
      <c r="AN11" s="682"/>
      <c r="AO11" s="497">
        <v>7</v>
      </c>
      <c r="AP11" s="499">
        <v>1461.1999999999998</v>
      </c>
      <c r="AQ11" s="499">
        <v>208.7428571428571</v>
      </c>
      <c r="AR11" s="497">
        <f t="shared" si="13"/>
        <v>1</v>
      </c>
      <c r="AS11" s="682"/>
      <c r="AT11" s="495">
        <v>7</v>
      </c>
      <c r="AU11" s="416">
        <v>1450.9459459459458</v>
      </c>
      <c r="AV11" s="416">
        <v>207.27799227799227</v>
      </c>
      <c r="AW11" s="497">
        <f t="shared" si="15"/>
        <v>2</v>
      </c>
      <c r="AX11" s="682"/>
      <c r="AZ11" s="399" t="e">
        <f t="shared" si="17"/>
        <v>#N/A</v>
      </c>
      <c r="BA11" s="682"/>
    </row>
    <row r="12" spans="1:53" ht="14.25">
      <c r="A12" s="81"/>
      <c r="B12" s="668"/>
      <c r="C12" s="409">
        <v>6</v>
      </c>
      <c r="D12" s="225" t="s">
        <v>598</v>
      </c>
      <c r="E12" s="416">
        <v>12</v>
      </c>
      <c r="F12" s="495">
        <v>2000</v>
      </c>
      <c r="G12" s="496">
        <v>166.66666666666666</v>
      </c>
      <c r="H12" s="686"/>
      <c r="I12" s="413">
        <f t="shared" si="0"/>
        <v>12</v>
      </c>
      <c r="J12" s="413">
        <f t="shared" si="1"/>
        <v>1505.6729817877583</v>
      </c>
      <c r="K12" s="199">
        <f t="shared" si="2"/>
        <v>125.47274848231316</v>
      </c>
      <c r="L12" s="617"/>
      <c r="M12" s="415">
        <f>RANK(K12, K$7:$K$21)</f>
        <v>6</v>
      </c>
      <c r="N12" s="635"/>
      <c r="O12" s="635"/>
      <c r="P12" s="497">
        <v>12</v>
      </c>
      <c r="Q12" s="499">
        <v>1556.2105263157882</v>
      </c>
      <c r="R12" s="499">
        <v>129.6842105263157</v>
      </c>
      <c r="S12" s="497">
        <f t="shared" si="3"/>
        <v>5</v>
      </c>
      <c r="T12" s="682"/>
      <c r="U12" s="497">
        <v>12</v>
      </c>
      <c r="V12" s="499">
        <v>1526.1749999999995</v>
      </c>
      <c r="W12" s="499">
        <v>127.18124999999996</v>
      </c>
      <c r="X12" s="497">
        <f t="shared" si="5"/>
        <v>6</v>
      </c>
      <c r="Y12" s="682"/>
      <c r="Z12" s="497">
        <v>12</v>
      </c>
      <c r="AA12" s="499">
        <v>1456.533333333336</v>
      </c>
      <c r="AB12" s="499">
        <v>121.37777777777801</v>
      </c>
      <c r="AC12" s="497">
        <f t="shared" si="7"/>
        <v>6</v>
      </c>
      <c r="AD12" s="682"/>
      <c r="AE12" s="497">
        <v>12</v>
      </c>
      <c r="AF12" s="499">
        <v>1511.9414634146337</v>
      </c>
      <c r="AG12" s="499">
        <v>125.99512195121947</v>
      </c>
      <c r="AH12" s="497">
        <f t="shared" si="9"/>
        <v>6</v>
      </c>
      <c r="AI12" s="682"/>
      <c r="AJ12" s="497">
        <v>12</v>
      </c>
      <c r="AK12" s="499">
        <v>1512.6000000000001</v>
      </c>
      <c r="AL12" s="499">
        <v>126.05000000000001</v>
      </c>
      <c r="AM12" s="497">
        <f t="shared" si="11"/>
        <v>6</v>
      </c>
      <c r="AN12" s="682"/>
      <c r="AO12" s="497">
        <v>12</v>
      </c>
      <c r="AP12" s="499">
        <v>1502.6076923076932</v>
      </c>
      <c r="AQ12" s="499">
        <v>125.21730769230777</v>
      </c>
      <c r="AR12" s="497">
        <f t="shared" si="13"/>
        <v>6</v>
      </c>
      <c r="AS12" s="682"/>
      <c r="AT12" s="495">
        <v>12</v>
      </c>
      <c r="AU12" s="416">
        <v>1473.6428571428562</v>
      </c>
      <c r="AV12" s="416">
        <v>122.80357142857135</v>
      </c>
      <c r="AW12" s="497">
        <f t="shared" si="15"/>
        <v>6</v>
      </c>
      <c r="AX12" s="682"/>
      <c r="AZ12" s="399" t="e">
        <f t="shared" si="17"/>
        <v>#N/A</v>
      </c>
      <c r="BA12" s="682"/>
    </row>
    <row r="13" spans="1:53" ht="14.25">
      <c r="A13" s="81"/>
      <c r="B13" s="668"/>
      <c r="C13" s="409">
        <v>7</v>
      </c>
      <c r="D13" s="225" t="s">
        <v>581</v>
      </c>
      <c r="E13" s="416">
        <v>7</v>
      </c>
      <c r="F13" s="495">
        <v>1500</v>
      </c>
      <c r="G13" s="496">
        <v>214.28571428571428</v>
      </c>
      <c r="H13" s="686"/>
      <c r="I13" s="413">
        <f t="shared" si="0"/>
        <v>7</v>
      </c>
      <c r="J13" s="413">
        <f t="shared" si="1"/>
        <v>1466.2197974459607</v>
      </c>
      <c r="K13" s="199">
        <f t="shared" si="2"/>
        <v>209.45997106370868</v>
      </c>
      <c r="L13" s="617"/>
      <c r="M13" s="415">
        <f>RANK(K13, K$7:$K$21)</f>
        <v>1</v>
      </c>
      <c r="N13" s="635"/>
      <c r="O13" s="635"/>
      <c r="P13" s="497">
        <v>7</v>
      </c>
      <c r="Q13" s="499">
        <v>1484.21052631579</v>
      </c>
      <c r="R13" s="499">
        <v>212.03007518797</v>
      </c>
      <c r="S13" s="497">
        <f t="shared" si="3"/>
        <v>2</v>
      </c>
      <c r="T13" s="682"/>
      <c r="U13" s="497">
        <v>7</v>
      </c>
      <c r="V13" s="499">
        <v>1478.7341772151906</v>
      </c>
      <c r="W13" s="499">
        <v>211.24773960217007</v>
      </c>
      <c r="X13" s="497">
        <f t="shared" si="5"/>
        <v>3</v>
      </c>
      <c r="Y13" s="682"/>
      <c r="Z13" s="497">
        <v>7</v>
      </c>
      <c r="AA13" s="499">
        <v>1477.9746835443048</v>
      </c>
      <c r="AB13" s="499">
        <v>211.13924050632926</v>
      </c>
      <c r="AC13" s="497">
        <f t="shared" si="7"/>
        <v>1</v>
      </c>
      <c r="AD13" s="682"/>
      <c r="AE13" s="497">
        <v>7</v>
      </c>
      <c r="AF13" s="499">
        <v>1466.9999999999993</v>
      </c>
      <c r="AG13" s="499">
        <v>209.57142857142847</v>
      </c>
      <c r="AH13" s="497">
        <f t="shared" si="9"/>
        <v>1</v>
      </c>
      <c r="AI13" s="682"/>
      <c r="AJ13" s="497">
        <v>7</v>
      </c>
      <c r="AK13" s="499">
        <v>1444.4117647058824</v>
      </c>
      <c r="AL13" s="499">
        <v>206.34453781512607</v>
      </c>
      <c r="AM13" s="497">
        <f t="shared" si="11"/>
        <v>4</v>
      </c>
      <c r="AN13" s="682"/>
      <c r="AO13" s="497">
        <v>7</v>
      </c>
      <c r="AP13" s="499">
        <v>1451.4705882352941</v>
      </c>
      <c r="AQ13" s="499">
        <v>207.35294117647058</v>
      </c>
      <c r="AR13" s="497">
        <f t="shared" si="13"/>
        <v>3</v>
      </c>
      <c r="AS13" s="682"/>
      <c r="AT13" s="495">
        <v>7</v>
      </c>
      <c r="AU13" s="416">
        <v>1459.7368421052638</v>
      </c>
      <c r="AV13" s="416">
        <v>208.53383458646627</v>
      </c>
      <c r="AW13" s="497">
        <f t="shared" si="15"/>
        <v>1</v>
      </c>
      <c r="AX13" s="682"/>
      <c r="AZ13" s="399" t="e">
        <f t="shared" si="17"/>
        <v>#N/A</v>
      </c>
      <c r="BA13" s="682"/>
    </row>
    <row r="14" spans="1:53" ht="14.25">
      <c r="A14" s="81"/>
      <c r="B14" s="668"/>
      <c r="C14" s="409">
        <v>8</v>
      </c>
      <c r="D14" s="225" t="s">
        <v>702</v>
      </c>
      <c r="E14" s="416">
        <v>12</v>
      </c>
      <c r="F14" s="495">
        <v>2000</v>
      </c>
      <c r="G14" s="496">
        <v>166.66666666666666</v>
      </c>
      <c r="H14" s="686"/>
      <c r="I14" s="413">
        <f t="shared" si="0"/>
        <v>12</v>
      </c>
      <c r="J14" s="413">
        <f t="shared" si="1"/>
        <v>1423.1407496014394</v>
      </c>
      <c r="K14" s="199">
        <f t="shared" si="2"/>
        <v>118.59506246678659</v>
      </c>
      <c r="L14" s="617"/>
      <c r="M14" s="415">
        <f>RANK(K14, K$7:$K$21)</f>
        <v>7</v>
      </c>
      <c r="N14" s="635"/>
      <c r="O14" s="635"/>
      <c r="P14" s="497">
        <v>12</v>
      </c>
      <c r="Q14" s="499">
        <v>1416.2238805970151</v>
      </c>
      <c r="R14" s="499">
        <v>118.01865671641792</v>
      </c>
      <c r="S14" s="497">
        <f t="shared" si="3"/>
        <v>7</v>
      </c>
      <c r="T14" s="682"/>
      <c r="U14" s="497">
        <v>12</v>
      </c>
      <c r="V14" s="499">
        <v>1409.9583333333337</v>
      </c>
      <c r="W14" s="499">
        <v>117.49652777777781</v>
      </c>
      <c r="X14" s="497">
        <f t="shared" si="5"/>
        <v>7</v>
      </c>
      <c r="Y14" s="682"/>
      <c r="Z14" s="497">
        <v>12</v>
      </c>
      <c r="AA14" s="499">
        <v>1413.2083333333337</v>
      </c>
      <c r="AB14" s="499">
        <v>117.76736111111114</v>
      </c>
      <c r="AC14" s="497">
        <f t="shared" si="7"/>
        <v>7</v>
      </c>
      <c r="AD14" s="682"/>
      <c r="AE14" s="497">
        <v>12</v>
      </c>
      <c r="AF14" s="499">
        <v>1434.1747572815534</v>
      </c>
      <c r="AG14" s="499">
        <v>119.51456310679612</v>
      </c>
      <c r="AH14" s="497">
        <f t="shared" si="9"/>
        <v>7</v>
      </c>
      <c r="AI14" s="682"/>
      <c r="AJ14" s="497">
        <v>12</v>
      </c>
      <c r="AK14" s="499">
        <v>1430.4424778761061</v>
      </c>
      <c r="AL14" s="499">
        <v>119.20353982300884</v>
      </c>
      <c r="AM14" s="497">
        <f t="shared" si="11"/>
        <v>7</v>
      </c>
      <c r="AN14" s="682"/>
      <c r="AO14" s="497">
        <v>12</v>
      </c>
      <c r="AP14" s="499">
        <v>1419.6</v>
      </c>
      <c r="AQ14" s="499">
        <v>118.3</v>
      </c>
      <c r="AR14" s="497">
        <f t="shared" si="13"/>
        <v>7</v>
      </c>
      <c r="AS14" s="682"/>
      <c r="AT14" s="495">
        <v>12</v>
      </c>
      <c r="AU14" s="416">
        <v>1438.3774647887326</v>
      </c>
      <c r="AV14" s="416">
        <v>119.86478873239439</v>
      </c>
      <c r="AW14" s="497">
        <f t="shared" si="15"/>
        <v>7</v>
      </c>
      <c r="AX14" s="682"/>
      <c r="AZ14" s="399" t="e">
        <f t="shared" si="17"/>
        <v>#N/A</v>
      </c>
      <c r="BA14" s="682"/>
    </row>
    <row r="15" spans="1:53" ht="14.25">
      <c r="A15" s="81"/>
      <c r="B15" s="668"/>
      <c r="C15" s="409">
        <v>9</v>
      </c>
      <c r="D15" s="225" t="s">
        <v>703</v>
      </c>
      <c r="E15" s="416">
        <v>12</v>
      </c>
      <c r="F15" s="495">
        <v>2000</v>
      </c>
      <c r="G15" s="496">
        <v>166.66666666666666</v>
      </c>
      <c r="H15" s="686"/>
      <c r="I15" s="413">
        <f t="shared" si="0"/>
        <v>12</v>
      </c>
      <c r="J15" s="413">
        <f t="shared" si="1"/>
        <v>1553.0617094433421</v>
      </c>
      <c r="K15" s="199">
        <f t="shared" si="2"/>
        <v>129.42180912027851</v>
      </c>
      <c r="L15" s="617"/>
      <c r="M15" s="415">
        <f>RANK(K15, K$7:$K$21)</f>
        <v>5</v>
      </c>
      <c r="N15" s="635"/>
      <c r="O15" s="635"/>
      <c r="P15" s="497">
        <v>12</v>
      </c>
      <c r="Q15" s="499">
        <v>1518.7714285714289</v>
      </c>
      <c r="R15" s="499">
        <v>126.56428571428575</v>
      </c>
      <c r="S15" s="497">
        <f t="shared" si="3"/>
        <v>6</v>
      </c>
      <c r="T15" s="682"/>
      <c r="U15" s="497">
        <v>12</v>
      </c>
      <c r="V15" s="499">
        <v>1529.9142857142861</v>
      </c>
      <c r="W15" s="499">
        <v>127.49285714285718</v>
      </c>
      <c r="X15" s="497">
        <f t="shared" si="5"/>
        <v>5</v>
      </c>
      <c r="Y15" s="682"/>
      <c r="Z15" s="497">
        <v>12</v>
      </c>
      <c r="AA15" s="499">
        <v>1595.5102040816332</v>
      </c>
      <c r="AB15" s="499">
        <v>132.95918367346943</v>
      </c>
      <c r="AC15" s="497">
        <f t="shared" si="7"/>
        <v>5</v>
      </c>
      <c r="AD15" s="682"/>
      <c r="AE15" s="497">
        <v>12</v>
      </c>
      <c r="AF15" s="499">
        <v>1557.2727272727273</v>
      </c>
      <c r="AG15" s="499">
        <v>129.77272727272728</v>
      </c>
      <c r="AH15" s="497">
        <f t="shared" si="9"/>
        <v>5</v>
      </c>
      <c r="AI15" s="682"/>
      <c r="AJ15" s="497">
        <v>12</v>
      </c>
      <c r="AK15" s="499">
        <v>1553.5714285714284</v>
      </c>
      <c r="AL15" s="499">
        <v>129.46428571428569</v>
      </c>
      <c r="AM15" s="497">
        <f t="shared" si="11"/>
        <v>5</v>
      </c>
      <c r="AN15" s="682"/>
      <c r="AO15" s="497">
        <v>12</v>
      </c>
      <c r="AP15" s="499">
        <v>1551.8918918918923</v>
      </c>
      <c r="AQ15" s="499">
        <v>129.32432432432435</v>
      </c>
      <c r="AR15" s="497">
        <f t="shared" si="13"/>
        <v>5</v>
      </c>
      <c r="AS15" s="682"/>
      <c r="AT15" s="495">
        <v>12</v>
      </c>
      <c r="AU15" s="416">
        <v>1564.5</v>
      </c>
      <c r="AV15" s="416">
        <v>130.375</v>
      </c>
      <c r="AW15" s="497">
        <f t="shared" si="15"/>
        <v>5</v>
      </c>
      <c r="AX15" s="682"/>
      <c r="AZ15" s="399" t="e">
        <f t="shared" si="17"/>
        <v>#N/A</v>
      </c>
      <c r="BA15" s="682"/>
    </row>
    <row r="16" spans="1:53" ht="14.25">
      <c r="A16" s="81"/>
      <c r="B16" s="668"/>
      <c r="C16" s="409">
        <v>10</v>
      </c>
      <c r="D16" s="225" t="s">
        <v>719</v>
      </c>
      <c r="E16" s="416">
        <v>16</v>
      </c>
      <c r="F16" s="495">
        <v>1440</v>
      </c>
      <c r="G16" s="496">
        <v>90</v>
      </c>
      <c r="H16" s="686"/>
      <c r="I16" s="413">
        <f t="shared" si="0"/>
        <v>16</v>
      </c>
      <c r="J16" s="413">
        <f t="shared" si="1"/>
        <v>1120.9344905058363</v>
      </c>
      <c r="K16" s="199">
        <f t="shared" si="2"/>
        <v>70.058405656614767</v>
      </c>
      <c r="L16" s="617"/>
      <c r="M16" s="415">
        <f>RANK(K16, K$7:$K$21)</f>
        <v>9</v>
      </c>
      <c r="N16" s="635"/>
      <c r="O16" s="635"/>
      <c r="P16" s="497">
        <v>16</v>
      </c>
      <c r="Q16" s="499">
        <v>1118.8465116279069</v>
      </c>
      <c r="R16" s="499">
        <v>69.927906976744183</v>
      </c>
      <c r="S16" s="497">
        <f t="shared" si="3"/>
        <v>10</v>
      </c>
      <c r="T16" s="682"/>
      <c r="U16" s="497">
        <v>16</v>
      </c>
      <c r="V16" s="499">
        <v>1116.8470588235291</v>
      </c>
      <c r="W16" s="499">
        <v>69.802941176470569</v>
      </c>
      <c r="X16" s="497">
        <f t="shared" si="5"/>
        <v>9</v>
      </c>
      <c r="Y16" s="682"/>
      <c r="Z16" s="497">
        <v>16</v>
      </c>
      <c r="AA16" s="499">
        <v>1104.25945945946</v>
      </c>
      <c r="AB16" s="499">
        <v>69.01621621621625</v>
      </c>
      <c r="AC16" s="497">
        <f t="shared" si="7"/>
        <v>9</v>
      </c>
      <c r="AD16" s="682"/>
      <c r="AE16" s="497">
        <v>16</v>
      </c>
      <c r="AF16" s="499">
        <v>1114.3902439024387</v>
      </c>
      <c r="AG16" s="499">
        <v>69.649390243902417</v>
      </c>
      <c r="AH16" s="497">
        <f t="shared" si="9"/>
        <v>10</v>
      </c>
      <c r="AI16" s="682"/>
      <c r="AJ16" s="497">
        <v>16</v>
      </c>
      <c r="AK16" s="499">
        <v>1148.6666666666667</v>
      </c>
      <c r="AL16" s="499">
        <v>71.791666666666671</v>
      </c>
      <c r="AM16" s="497">
        <f t="shared" si="11"/>
        <v>9</v>
      </c>
      <c r="AN16" s="682"/>
      <c r="AO16" s="497">
        <v>16</v>
      </c>
      <c r="AP16" s="499">
        <v>1130.2784810126586</v>
      </c>
      <c r="AQ16" s="499">
        <v>70.642405063291164</v>
      </c>
      <c r="AR16" s="497">
        <f t="shared" si="13"/>
        <v>10</v>
      </c>
      <c r="AS16" s="682"/>
      <c r="AT16" s="495">
        <v>16</v>
      </c>
      <c r="AU16" s="416">
        <v>1113.2530120481924</v>
      </c>
      <c r="AV16" s="416">
        <v>69.578313253012027</v>
      </c>
      <c r="AW16" s="497">
        <f t="shared" si="15"/>
        <v>10</v>
      </c>
      <c r="AX16" s="682"/>
      <c r="AZ16" s="399" t="e">
        <f t="shared" si="17"/>
        <v>#N/A</v>
      </c>
      <c r="BA16" s="682"/>
    </row>
    <row r="17" spans="2:53">
      <c r="B17" s="668"/>
      <c r="C17" s="409">
        <v>11</v>
      </c>
      <c r="D17" s="225"/>
      <c r="E17" s="416"/>
      <c r="F17" s="495"/>
      <c r="G17" s="496"/>
      <c r="H17" s="686"/>
      <c r="I17" s="413" t="str">
        <f t="shared" si="0"/>
        <v>-</v>
      </c>
      <c r="J17" s="413" t="str">
        <f t="shared" si="1"/>
        <v>-</v>
      </c>
      <c r="K17" s="199" t="str">
        <f t="shared" si="2"/>
        <v>-</v>
      </c>
      <c r="L17" s="617"/>
      <c r="M17" s="415" t="e">
        <f>RANK(K17, K$7:$K$21)</f>
        <v>#VALUE!</v>
      </c>
      <c r="N17" s="635"/>
      <c r="O17" s="635"/>
      <c r="P17" s="497"/>
      <c r="Q17" s="499"/>
      <c r="R17" s="499"/>
      <c r="S17" s="497" t="e">
        <f t="shared" si="3"/>
        <v>#N/A</v>
      </c>
      <c r="T17" s="682"/>
      <c r="U17" s="497"/>
      <c r="V17" s="499"/>
      <c r="W17" s="499"/>
      <c r="X17" s="497" t="e">
        <f t="shared" si="5"/>
        <v>#N/A</v>
      </c>
      <c r="Y17" s="682"/>
      <c r="Z17" s="497"/>
      <c r="AA17" s="499"/>
      <c r="AB17" s="499"/>
      <c r="AC17" s="497" t="e">
        <f t="shared" si="7"/>
        <v>#N/A</v>
      </c>
      <c r="AD17" s="682"/>
      <c r="AE17" s="497"/>
      <c r="AF17" s="499"/>
      <c r="AG17" s="499"/>
      <c r="AH17" s="497" t="e">
        <f t="shared" si="9"/>
        <v>#N/A</v>
      </c>
      <c r="AI17" s="682"/>
      <c r="AJ17" s="497"/>
      <c r="AK17" s="499"/>
      <c r="AL17" s="499"/>
      <c r="AM17" s="497" t="e">
        <f t="shared" si="11"/>
        <v>#N/A</v>
      </c>
      <c r="AN17" s="682"/>
      <c r="AO17" s="497"/>
      <c r="AP17" s="499"/>
      <c r="AQ17" s="499"/>
      <c r="AR17" s="497" t="e">
        <f t="shared" si="13"/>
        <v>#N/A</v>
      </c>
      <c r="AS17" s="682"/>
      <c r="AT17" s="495"/>
      <c r="AU17" s="416"/>
      <c r="AV17" s="416"/>
      <c r="AW17" s="497" t="e">
        <f t="shared" si="15"/>
        <v>#N/A</v>
      </c>
      <c r="AX17" s="682"/>
      <c r="AZ17" s="399" t="e">
        <f t="shared" si="17"/>
        <v>#N/A</v>
      </c>
      <c r="BA17" s="682"/>
    </row>
    <row r="18" spans="2:53">
      <c r="B18" s="668"/>
      <c r="C18" s="409">
        <v>12</v>
      </c>
      <c r="D18" s="225"/>
      <c r="E18" s="416"/>
      <c r="F18" s="495"/>
      <c r="G18" s="496"/>
      <c r="H18" s="686"/>
      <c r="I18" s="413" t="str">
        <f t="shared" si="0"/>
        <v>-</v>
      </c>
      <c r="J18" s="413" t="str">
        <f t="shared" si="1"/>
        <v>-</v>
      </c>
      <c r="K18" s="199" t="str">
        <f t="shared" si="2"/>
        <v>-</v>
      </c>
      <c r="L18" s="617"/>
      <c r="M18" s="415" t="e">
        <f>RANK(K18, K$7:$K$21)</f>
        <v>#VALUE!</v>
      </c>
      <c r="N18" s="635"/>
      <c r="O18" s="635"/>
      <c r="P18" s="497"/>
      <c r="Q18" s="499"/>
      <c r="R18" s="499"/>
      <c r="S18" s="497" t="e">
        <f t="shared" si="3"/>
        <v>#N/A</v>
      </c>
      <c r="T18" s="682"/>
      <c r="U18" s="497"/>
      <c r="V18" s="499"/>
      <c r="W18" s="499"/>
      <c r="X18" s="497" t="e">
        <f t="shared" si="5"/>
        <v>#N/A</v>
      </c>
      <c r="Y18" s="682"/>
      <c r="Z18" s="497"/>
      <c r="AA18" s="499"/>
      <c r="AB18" s="499"/>
      <c r="AC18" s="497" t="e">
        <f t="shared" si="7"/>
        <v>#N/A</v>
      </c>
      <c r="AD18" s="682"/>
      <c r="AE18" s="497"/>
      <c r="AF18" s="499"/>
      <c r="AG18" s="499"/>
      <c r="AH18" s="497" t="e">
        <f t="shared" si="9"/>
        <v>#N/A</v>
      </c>
      <c r="AI18" s="682"/>
      <c r="AJ18" s="497"/>
      <c r="AK18" s="499"/>
      <c r="AL18" s="499"/>
      <c r="AM18" s="497" t="e">
        <f t="shared" si="11"/>
        <v>#N/A</v>
      </c>
      <c r="AN18" s="682"/>
      <c r="AO18" s="497"/>
      <c r="AP18" s="499"/>
      <c r="AQ18" s="499"/>
      <c r="AR18" s="497" t="e">
        <f t="shared" si="13"/>
        <v>#N/A</v>
      </c>
      <c r="AS18" s="682"/>
      <c r="AT18" s="495"/>
      <c r="AU18" s="416"/>
      <c r="AV18" s="416"/>
      <c r="AW18" s="497" t="e">
        <f t="shared" si="15"/>
        <v>#N/A</v>
      </c>
      <c r="AX18" s="682"/>
      <c r="AZ18" s="399" t="e">
        <f t="shared" si="17"/>
        <v>#N/A</v>
      </c>
      <c r="BA18" s="682"/>
    </row>
    <row r="19" spans="2:53">
      <c r="B19" s="668"/>
      <c r="C19" s="409">
        <v>13</v>
      </c>
      <c r="D19" s="225"/>
      <c r="E19" s="416"/>
      <c r="F19" s="495"/>
      <c r="G19" s="496"/>
      <c r="H19" s="686"/>
      <c r="I19" s="413" t="str">
        <f t="shared" si="0"/>
        <v>-</v>
      </c>
      <c r="J19" s="413" t="str">
        <f t="shared" si="1"/>
        <v>-</v>
      </c>
      <c r="K19" s="199" t="str">
        <f t="shared" si="2"/>
        <v>-</v>
      </c>
      <c r="L19" s="617"/>
      <c r="M19" s="415" t="e">
        <f>RANK(K19, K$7:$K$21)</f>
        <v>#VALUE!</v>
      </c>
      <c r="N19" s="635"/>
      <c r="O19" s="635"/>
      <c r="P19" s="497"/>
      <c r="Q19" s="499"/>
      <c r="R19" s="499"/>
      <c r="S19" s="497" t="e">
        <f t="shared" si="3"/>
        <v>#N/A</v>
      </c>
      <c r="T19" s="682"/>
      <c r="U19" s="497"/>
      <c r="V19" s="499"/>
      <c r="W19" s="499"/>
      <c r="X19" s="497" t="e">
        <f t="shared" si="5"/>
        <v>#N/A</v>
      </c>
      <c r="Y19" s="682"/>
      <c r="Z19" s="497"/>
      <c r="AA19" s="499"/>
      <c r="AB19" s="499"/>
      <c r="AC19" s="497" t="e">
        <f t="shared" si="7"/>
        <v>#N/A</v>
      </c>
      <c r="AD19" s="682"/>
      <c r="AE19" s="497"/>
      <c r="AF19" s="499"/>
      <c r="AG19" s="499"/>
      <c r="AH19" s="497" t="e">
        <f t="shared" si="9"/>
        <v>#N/A</v>
      </c>
      <c r="AI19" s="682"/>
      <c r="AJ19" s="497"/>
      <c r="AK19" s="499"/>
      <c r="AL19" s="499"/>
      <c r="AM19" s="497" t="e">
        <f t="shared" si="11"/>
        <v>#N/A</v>
      </c>
      <c r="AN19" s="682"/>
      <c r="AO19" s="497"/>
      <c r="AP19" s="499"/>
      <c r="AQ19" s="499"/>
      <c r="AR19" s="497" t="e">
        <f t="shared" si="13"/>
        <v>#N/A</v>
      </c>
      <c r="AS19" s="682"/>
      <c r="AT19" s="495"/>
      <c r="AU19" s="416"/>
      <c r="AV19" s="416"/>
      <c r="AW19" s="497" t="e">
        <f t="shared" si="15"/>
        <v>#N/A</v>
      </c>
      <c r="AX19" s="682"/>
      <c r="AZ19" s="399" t="e">
        <f t="shared" si="17"/>
        <v>#N/A</v>
      </c>
      <c r="BA19" s="682"/>
    </row>
    <row r="20" spans="2:53">
      <c r="B20" s="668"/>
      <c r="C20" s="409">
        <v>14</v>
      </c>
      <c r="D20" s="225"/>
      <c r="E20" s="416"/>
      <c r="F20" s="495"/>
      <c r="G20" s="496"/>
      <c r="H20" s="686"/>
      <c r="I20" s="413" t="str">
        <f t="shared" si="0"/>
        <v>-</v>
      </c>
      <c r="J20" s="413" t="str">
        <f t="shared" si="1"/>
        <v>-</v>
      </c>
      <c r="K20" s="199" t="str">
        <f t="shared" si="2"/>
        <v>-</v>
      </c>
      <c r="L20" s="617"/>
      <c r="M20" s="415" t="e">
        <f>RANK(K20, K$7:$K$21)</f>
        <v>#VALUE!</v>
      </c>
      <c r="N20" s="635"/>
      <c r="O20" s="635"/>
      <c r="P20" s="497"/>
      <c r="Q20" s="499"/>
      <c r="R20" s="499"/>
      <c r="S20" s="497" t="e">
        <f t="shared" si="3"/>
        <v>#N/A</v>
      </c>
      <c r="T20" s="682"/>
      <c r="U20" s="497"/>
      <c r="V20" s="499"/>
      <c r="W20" s="499"/>
      <c r="X20" s="497" t="e">
        <f t="shared" si="5"/>
        <v>#N/A</v>
      </c>
      <c r="Y20" s="682"/>
      <c r="Z20" s="497"/>
      <c r="AA20" s="499"/>
      <c r="AB20" s="499"/>
      <c r="AC20" s="497" t="e">
        <f t="shared" si="7"/>
        <v>#N/A</v>
      </c>
      <c r="AD20" s="682"/>
      <c r="AE20" s="497"/>
      <c r="AF20" s="499"/>
      <c r="AG20" s="499"/>
      <c r="AH20" s="497" t="e">
        <f t="shared" si="9"/>
        <v>#N/A</v>
      </c>
      <c r="AI20" s="682"/>
      <c r="AJ20" s="497"/>
      <c r="AK20" s="499"/>
      <c r="AL20" s="499"/>
      <c r="AM20" s="497" t="e">
        <f t="shared" si="11"/>
        <v>#N/A</v>
      </c>
      <c r="AN20" s="682"/>
      <c r="AO20" s="497"/>
      <c r="AP20" s="499"/>
      <c r="AQ20" s="499"/>
      <c r="AR20" s="497" t="e">
        <f t="shared" si="13"/>
        <v>#N/A</v>
      </c>
      <c r="AS20" s="682"/>
      <c r="AT20" s="495"/>
      <c r="AU20" s="416"/>
      <c r="AV20" s="416"/>
      <c r="AW20" s="497" t="e">
        <f t="shared" si="15"/>
        <v>#N/A</v>
      </c>
      <c r="AX20" s="682"/>
      <c r="AZ20" s="399" t="e">
        <f t="shared" si="17"/>
        <v>#N/A</v>
      </c>
      <c r="BA20" s="682"/>
    </row>
    <row r="21" spans="2:53">
      <c r="B21" s="668"/>
      <c r="C21" s="409">
        <v>15</v>
      </c>
      <c r="D21" s="225"/>
      <c r="E21" s="416"/>
      <c r="F21" s="495"/>
      <c r="G21" s="496"/>
      <c r="H21" s="687"/>
      <c r="I21" s="411"/>
      <c r="J21" s="411"/>
      <c r="K21" s="411"/>
      <c r="L21" s="618"/>
      <c r="M21" s="415" t="e">
        <f>RANK(K21, K$7:$K$21)</f>
        <v>#N/A</v>
      </c>
      <c r="N21" s="635"/>
      <c r="O21" s="635"/>
      <c r="P21" s="497"/>
      <c r="Q21" s="499"/>
      <c r="R21" s="499"/>
      <c r="S21" s="497" t="e">
        <f t="shared" si="3"/>
        <v>#N/A</v>
      </c>
      <c r="T21" s="682"/>
      <c r="U21" s="497"/>
      <c r="V21" s="499"/>
      <c r="W21" s="499"/>
      <c r="X21" s="497" t="e">
        <f t="shared" si="5"/>
        <v>#N/A</v>
      </c>
      <c r="Y21" s="682"/>
      <c r="Z21" s="497"/>
      <c r="AA21" s="499"/>
      <c r="AB21" s="499"/>
      <c r="AC21" s="497" t="e">
        <f t="shared" si="7"/>
        <v>#N/A</v>
      </c>
      <c r="AD21" s="682"/>
      <c r="AE21" s="497"/>
      <c r="AF21" s="499"/>
      <c r="AG21" s="499"/>
      <c r="AH21" s="497" t="e">
        <f t="shared" si="9"/>
        <v>#N/A</v>
      </c>
      <c r="AI21" s="682"/>
      <c r="AJ21" s="497"/>
      <c r="AK21" s="499"/>
      <c r="AL21" s="499"/>
      <c r="AM21" s="497" t="e">
        <f t="shared" si="11"/>
        <v>#N/A</v>
      </c>
      <c r="AN21" s="682"/>
      <c r="AO21" s="497"/>
      <c r="AP21" s="499"/>
      <c r="AQ21" s="499"/>
      <c r="AR21" s="497" t="e">
        <f t="shared" si="13"/>
        <v>#N/A</v>
      </c>
      <c r="AS21" s="682"/>
      <c r="AT21" s="495"/>
      <c r="AU21" s="416"/>
      <c r="AV21" s="416"/>
      <c r="AW21" s="497" t="e">
        <f t="shared" si="15"/>
        <v>#N/A</v>
      </c>
      <c r="AX21" s="682"/>
      <c r="AZ21" s="399" t="e">
        <f t="shared" si="17"/>
        <v>#N/A</v>
      </c>
      <c r="BA21" s="682"/>
    </row>
    <row r="22" spans="2:53" ht="15.75">
      <c r="B22" s="661" t="s">
        <v>163</v>
      </c>
      <c r="C22" s="662"/>
      <c r="D22" s="662"/>
      <c r="E22" s="662"/>
      <c r="F22" s="662"/>
      <c r="G22" s="662"/>
      <c r="H22" s="662"/>
      <c r="I22" s="202"/>
      <c r="J22" s="202"/>
      <c r="K22" s="202"/>
      <c r="L22" s="202"/>
      <c r="M22" s="203"/>
      <c r="N22" s="636" t="s">
        <v>156</v>
      </c>
      <c r="O22" s="636" t="s">
        <v>105</v>
      </c>
      <c r="P22" s="642">
        <f>P2+7</f>
        <v>46175</v>
      </c>
      <c r="Q22" s="643"/>
      <c r="R22" s="643"/>
      <c r="S22" s="643"/>
      <c r="T22" s="643"/>
      <c r="U22" s="639">
        <f>P22+1</f>
        <v>46176</v>
      </c>
      <c r="V22" s="640"/>
      <c r="W22" s="640"/>
      <c r="X22" s="640"/>
      <c r="Y22" s="641"/>
      <c r="Z22" s="639">
        <f>U22+1</f>
        <v>46177</v>
      </c>
      <c r="AA22" s="640"/>
      <c r="AB22" s="640"/>
      <c r="AC22" s="640"/>
      <c r="AD22" s="641"/>
      <c r="AE22" s="639">
        <f>Z22+1</f>
        <v>46178</v>
      </c>
      <c r="AF22" s="640"/>
      <c r="AG22" s="640"/>
      <c r="AH22" s="640"/>
      <c r="AI22" s="641"/>
      <c r="AJ22" s="639">
        <f>AE22+1</f>
        <v>46179</v>
      </c>
      <c r="AK22" s="640"/>
      <c r="AL22" s="640"/>
      <c r="AM22" s="640"/>
      <c r="AN22" s="641"/>
      <c r="AO22" s="639">
        <f>AJ22+1</f>
        <v>46180</v>
      </c>
      <c r="AP22" s="640"/>
      <c r="AQ22" s="640"/>
      <c r="AR22" s="640"/>
      <c r="AS22" s="641"/>
      <c r="AT22" s="639">
        <f>AO22+1</f>
        <v>46181</v>
      </c>
      <c r="AU22" s="640"/>
      <c r="AV22" s="640"/>
      <c r="AW22" s="640"/>
      <c r="AX22" s="641"/>
    </row>
    <row r="23" spans="2:53" ht="15.75">
      <c r="B23" s="650"/>
      <c r="C23" s="650"/>
      <c r="D23" s="650"/>
      <c r="E23" s="650"/>
      <c r="F23" s="650"/>
      <c r="G23" s="650"/>
      <c r="H23" s="650"/>
      <c r="I23" s="204"/>
      <c r="J23" s="204"/>
      <c r="K23" s="204"/>
      <c r="L23" s="204"/>
      <c r="M23" s="205"/>
      <c r="N23" s="638"/>
      <c r="O23" s="638"/>
      <c r="P23" s="642" t="s">
        <v>318</v>
      </c>
      <c r="Q23" s="643"/>
      <c r="R23" s="643"/>
      <c r="S23" s="643"/>
      <c r="T23" s="643"/>
      <c r="U23" s="642" t="s">
        <v>319</v>
      </c>
      <c r="V23" s="643"/>
      <c r="W23" s="643"/>
      <c r="X23" s="643"/>
      <c r="Y23" s="643"/>
      <c r="Z23" s="642" t="s">
        <v>320</v>
      </c>
      <c r="AA23" s="643"/>
      <c r="AB23" s="643"/>
      <c r="AC23" s="643"/>
      <c r="AD23" s="643"/>
      <c r="AE23" s="642" t="s">
        <v>321</v>
      </c>
      <c r="AF23" s="643"/>
      <c r="AG23" s="643"/>
      <c r="AH23" s="643"/>
      <c r="AI23" s="643"/>
      <c r="AJ23" s="642" t="s">
        <v>322</v>
      </c>
      <c r="AK23" s="643"/>
      <c r="AL23" s="643"/>
      <c r="AM23" s="643"/>
      <c r="AN23" s="643"/>
      <c r="AO23" s="642" t="s">
        <v>323</v>
      </c>
      <c r="AP23" s="643"/>
      <c r="AQ23" s="643"/>
      <c r="AR23" s="643"/>
      <c r="AS23" s="643"/>
      <c r="AT23" s="642" t="s">
        <v>324</v>
      </c>
      <c r="AU23" s="643"/>
      <c r="AV23" s="643"/>
      <c r="AW23" s="643"/>
      <c r="AX23" s="643"/>
    </row>
    <row r="24" spans="2:53">
      <c r="B24" s="635" t="s">
        <v>451</v>
      </c>
      <c r="C24" s="635" t="s">
        <v>549</v>
      </c>
      <c r="D24" s="635"/>
      <c r="E24" s="635" t="s">
        <v>550</v>
      </c>
      <c r="F24" s="635"/>
      <c r="G24" s="635"/>
      <c r="H24" s="651" t="s">
        <v>551</v>
      </c>
      <c r="I24" s="635" t="s">
        <v>552</v>
      </c>
      <c r="J24" s="635"/>
      <c r="K24" s="635"/>
      <c r="L24" s="651" t="s">
        <v>371</v>
      </c>
      <c r="M24" s="636" t="s">
        <v>553</v>
      </c>
      <c r="N24" s="635"/>
      <c r="O24" s="635" t="s">
        <v>377</v>
      </c>
      <c r="P24" s="632" t="s">
        <v>373</v>
      </c>
      <c r="Q24" s="633"/>
      <c r="R24" s="633"/>
      <c r="S24" s="634"/>
      <c r="T24" s="635" t="s">
        <v>371</v>
      </c>
      <c r="U24" s="632" t="s">
        <v>373</v>
      </c>
      <c r="V24" s="633"/>
      <c r="W24" s="633"/>
      <c r="X24" s="634"/>
      <c r="Y24" s="635" t="s">
        <v>371</v>
      </c>
      <c r="Z24" s="632" t="s">
        <v>373</v>
      </c>
      <c r="AA24" s="633"/>
      <c r="AB24" s="633"/>
      <c r="AC24" s="634"/>
      <c r="AD24" s="635" t="s">
        <v>371</v>
      </c>
      <c r="AE24" s="632" t="s">
        <v>373</v>
      </c>
      <c r="AF24" s="633"/>
      <c r="AG24" s="633"/>
      <c r="AH24" s="634"/>
      <c r="AI24" s="635" t="s">
        <v>371</v>
      </c>
      <c r="AJ24" s="632" t="s">
        <v>373</v>
      </c>
      <c r="AK24" s="633"/>
      <c r="AL24" s="633"/>
      <c r="AM24" s="634"/>
      <c r="AN24" s="635" t="s">
        <v>371</v>
      </c>
      <c r="AO24" s="632" t="s">
        <v>373</v>
      </c>
      <c r="AP24" s="633"/>
      <c r="AQ24" s="633"/>
      <c r="AR24" s="634"/>
      <c r="AS24" s="635" t="s">
        <v>371</v>
      </c>
      <c r="AT24" s="632" t="s">
        <v>373</v>
      </c>
      <c r="AU24" s="633"/>
      <c r="AV24" s="633"/>
      <c r="AW24" s="634"/>
      <c r="AX24" s="635" t="s">
        <v>371</v>
      </c>
      <c r="BA24" s="635" t="s">
        <v>371</v>
      </c>
    </row>
    <row r="25" spans="2:53">
      <c r="B25" s="635"/>
      <c r="C25" s="635"/>
      <c r="D25" s="635"/>
      <c r="E25" s="635" t="s">
        <v>555</v>
      </c>
      <c r="F25" s="635"/>
      <c r="G25" s="635"/>
      <c r="H25" s="652"/>
      <c r="I25" s="635" t="s">
        <v>555</v>
      </c>
      <c r="J25" s="635"/>
      <c r="K25" s="635"/>
      <c r="L25" s="652"/>
      <c r="M25" s="637"/>
      <c r="N25" s="635"/>
      <c r="O25" s="635"/>
      <c r="P25" s="632" t="s">
        <v>379</v>
      </c>
      <c r="Q25" s="633"/>
      <c r="R25" s="633"/>
      <c r="S25" s="634"/>
      <c r="T25" s="635"/>
      <c r="U25" s="632" t="s">
        <v>379</v>
      </c>
      <c r="V25" s="633"/>
      <c r="W25" s="633"/>
      <c r="X25" s="634"/>
      <c r="Y25" s="635"/>
      <c r="Z25" s="632" t="s">
        <v>379</v>
      </c>
      <c r="AA25" s="633"/>
      <c r="AB25" s="633"/>
      <c r="AC25" s="634"/>
      <c r="AD25" s="635"/>
      <c r="AE25" s="632" t="s">
        <v>379</v>
      </c>
      <c r="AF25" s="633"/>
      <c r="AG25" s="633"/>
      <c r="AH25" s="634"/>
      <c r="AI25" s="635"/>
      <c r="AJ25" s="632" t="s">
        <v>379</v>
      </c>
      <c r="AK25" s="633"/>
      <c r="AL25" s="633"/>
      <c r="AM25" s="634"/>
      <c r="AN25" s="635"/>
      <c r="AO25" s="632" t="s">
        <v>379</v>
      </c>
      <c r="AP25" s="633"/>
      <c r="AQ25" s="633"/>
      <c r="AR25" s="634"/>
      <c r="AS25" s="635"/>
      <c r="AT25" s="632" t="s">
        <v>379</v>
      </c>
      <c r="AU25" s="633"/>
      <c r="AV25" s="633"/>
      <c r="AW25" s="634"/>
      <c r="AX25" s="635"/>
      <c r="BA25" s="635"/>
    </row>
    <row r="26" spans="2:53">
      <c r="B26" s="635"/>
      <c r="C26" s="635"/>
      <c r="D26" s="635"/>
      <c r="E26" s="408" t="s">
        <v>556</v>
      </c>
      <c r="F26" s="408" t="s">
        <v>557</v>
      </c>
      <c r="G26" s="408" t="s">
        <v>558</v>
      </c>
      <c r="H26" s="653"/>
      <c r="I26" s="408" t="s">
        <v>556</v>
      </c>
      <c r="J26" s="408" t="s">
        <v>557</v>
      </c>
      <c r="K26" s="408" t="s">
        <v>558</v>
      </c>
      <c r="L26" s="653"/>
      <c r="M26" s="638"/>
      <c r="N26" s="635"/>
      <c r="O26" s="635"/>
      <c r="P26" s="408" t="s">
        <v>380</v>
      </c>
      <c r="Q26" s="408" t="s">
        <v>381</v>
      </c>
      <c r="R26" s="408" t="s">
        <v>382</v>
      </c>
      <c r="S26" s="408" t="s">
        <v>372</v>
      </c>
      <c r="T26" s="635"/>
      <c r="U26" s="408" t="s">
        <v>380</v>
      </c>
      <c r="V26" s="408" t="s">
        <v>381</v>
      </c>
      <c r="W26" s="408" t="s">
        <v>382</v>
      </c>
      <c r="X26" s="408" t="s">
        <v>372</v>
      </c>
      <c r="Y26" s="635"/>
      <c r="Z26" s="408" t="s">
        <v>380</v>
      </c>
      <c r="AA26" s="408" t="s">
        <v>381</v>
      </c>
      <c r="AB26" s="408" t="s">
        <v>382</v>
      </c>
      <c r="AC26" s="408" t="s">
        <v>372</v>
      </c>
      <c r="AD26" s="635"/>
      <c r="AE26" s="408" t="s">
        <v>380</v>
      </c>
      <c r="AF26" s="408" t="s">
        <v>381</v>
      </c>
      <c r="AG26" s="408" t="s">
        <v>382</v>
      </c>
      <c r="AH26" s="408" t="s">
        <v>372</v>
      </c>
      <c r="AI26" s="635"/>
      <c r="AJ26" s="408" t="s">
        <v>380</v>
      </c>
      <c r="AK26" s="408" t="s">
        <v>381</v>
      </c>
      <c r="AL26" s="408" t="s">
        <v>382</v>
      </c>
      <c r="AM26" s="408" t="s">
        <v>372</v>
      </c>
      <c r="AN26" s="635"/>
      <c r="AO26" s="408" t="s">
        <v>380</v>
      </c>
      <c r="AP26" s="408" t="s">
        <v>381</v>
      </c>
      <c r="AQ26" s="408" t="s">
        <v>382</v>
      </c>
      <c r="AR26" s="408" t="s">
        <v>372</v>
      </c>
      <c r="AS26" s="635"/>
      <c r="AT26" s="408" t="s">
        <v>380</v>
      </c>
      <c r="AU26" s="408" t="s">
        <v>381</v>
      </c>
      <c r="AV26" s="408" t="s">
        <v>382</v>
      </c>
      <c r="AW26" s="408" t="s">
        <v>372</v>
      </c>
      <c r="AX26" s="635"/>
      <c r="AZ26" s="397" t="s">
        <v>372</v>
      </c>
      <c r="BA26" s="635"/>
    </row>
    <row r="27" spans="2:53">
      <c r="B27" s="635" t="s">
        <v>452</v>
      </c>
      <c r="C27" s="411">
        <v>1</v>
      </c>
      <c r="D27" s="225" t="s">
        <v>358</v>
      </c>
      <c r="E27" s="416">
        <v>7</v>
      </c>
      <c r="F27" s="409">
        <v>1500</v>
      </c>
      <c r="G27" s="410">
        <v>214.28571428571428</v>
      </c>
      <c r="H27" s="679">
        <f>AVERAGE(G27:G41)</f>
        <v>166.03896103896105</v>
      </c>
      <c r="I27" s="413">
        <f t="shared" ref="I27:I40" si="19">IFERROR(AVERAGE(P27,U27,Z27,AE27,AJ27,AO27,AT27),"-")</f>
        <v>7</v>
      </c>
      <c r="J27" s="413">
        <f t="shared" ref="J27:J40" si="20">IFERROR(AVERAGE(Q27,V27,AA27,AF27,AK27,AP27,AU27),"-")</f>
        <v>1443.8793414575005</v>
      </c>
      <c r="K27" s="199">
        <f t="shared" ref="K27:K40" si="21">IFERROR(AVERAGE(R27,W27,AB27,AG27,AL27,AQ27,AV27),"-")</f>
        <v>206.26847735107145</v>
      </c>
      <c r="L27" s="616">
        <f>IFERROR(AVERAGE(K27:K41),"-")</f>
        <v>148.81056237666323</v>
      </c>
      <c r="M27" s="417">
        <f>RANK(K27, K$24:$K$41)</f>
        <v>5</v>
      </c>
      <c r="N27" s="635"/>
      <c r="O27" s="635"/>
      <c r="P27" s="539">
        <v>7</v>
      </c>
      <c r="Q27" s="416">
        <v>1459.5918367346944</v>
      </c>
      <c r="R27" s="416">
        <v>208.51311953352777</v>
      </c>
      <c r="S27" s="539">
        <f t="shared" ref="S27:S41" si="22">RANK(R27, R$27:R$41)</f>
        <v>3</v>
      </c>
      <c r="T27" s="644">
        <f t="shared" ref="T27" si="23">AVERAGE(R27:R41)</f>
        <v>149.53734304010098</v>
      </c>
      <c r="U27" s="539">
        <v>7</v>
      </c>
      <c r="V27" s="416">
        <v>1429.090909090909</v>
      </c>
      <c r="W27" s="416">
        <v>204.15584415584414</v>
      </c>
      <c r="X27" s="539">
        <f t="shared" ref="X27:X41" si="24">RANK(W27, W$27:W$41)</f>
        <v>5</v>
      </c>
      <c r="Y27" s="644">
        <f t="shared" ref="Y27" si="25">AVERAGE(W27:W41)</f>
        <v>150.03586280544465</v>
      </c>
      <c r="Z27" s="539">
        <v>7</v>
      </c>
      <c r="AA27" s="416">
        <v>1440.0000000000002</v>
      </c>
      <c r="AB27" s="416">
        <v>205.71428571428575</v>
      </c>
      <c r="AC27" s="539">
        <f t="shared" ref="AC27:AC41" si="26">RANK(AB27, AB$27:AB$41)</f>
        <v>4</v>
      </c>
      <c r="AD27" s="644">
        <f t="shared" ref="AD27" si="27">AVERAGE(AB27:AB41)</f>
        <v>149.892239307907</v>
      </c>
      <c r="AE27" s="539">
        <v>7</v>
      </c>
      <c r="AF27" s="416">
        <v>1414.2857142857138</v>
      </c>
      <c r="AG27" s="416">
        <v>202.04081632653055</v>
      </c>
      <c r="AH27" s="539">
        <f t="shared" ref="AH27:AH41" si="28">RANK(AG27, AG$27:AG$41)</f>
        <v>5</v>
      </c>
      <c r="AI27" s="644">
        <f t="shared" ref="AI27" si="29">AVERAGE(AG27:AG41)</f>
        <v>147.85021480645312</v>
      </c>
      <c r="AJ27" s="539">
        <v>7</v>
      </c>
      <c r="AK27" s="416">
        <v>1443.8297872340427</v>
      </c>
      <c r="AL27" s="416">
        <v>206.26139817629181</v>
      </c>
      <c r="AM27" s="539">
        <f t="shared" ref="AM27:AM41" si="30">RANK(AL27, AL$27:AL$41)</f>
        <v>4</v>
      </c>
      <c r="AN27" s="644">
        <f t="shared" ref="AN27" si="31">AVERAGE(AL27:AL41)</f>
        <v>148.47154802266957</v>
      </c>
      <c r="AO27" s="539">
        <v>7</v>
      </c>
      <c r="AP27" s="416">
        <v>1459.9999999999998</v>
      </c>
      <c r="AQ27" s="416">
        <v>208.57142857142853</v>
      </c>
      <c r="AR27" s="539">
        <f t="shared" ref="AR27:AR41" si="32">RANK(AQ27, AQ$27:AQ$41)</f>
        <v>2</v>
      </c>
      <c r="AS27" s="644">
        <f t="shared" ref="AS27" si="33">AVERAGE(AQ27:AQ41)</f>
        <v>148.67770902121396</v>
      </c>
      <c r="AT27" s="539">
        <v>7</v>
      </c>
      <c r="AU27" s="416">
        <v>1460.3571428571429</v>
      </c>
      <c r="AV27" s="416">
        <v>208.62244897959184</v>
      </c>
      <c r="AW27" s="539">
        <f t="shared" ref="AW27:AW41" si="34">RANK(AV27, AV$27:AV$41)</f>
        <v>2</v>
      </c>
      <c r="AX27" s="644">
        <f t="shared" ref="AX27" si="35">AVERAGE(AV27:AV41)</f>
        <v>147.20901963285317</v>
      </c>
      <c r="AZ27" s="398" t="e">
        <f t="shared" ref="AZ27:AZ41" si="36">RANK(AY27, AY$27:AY$41)</f>
        <v>#N/A</v>
      </c>
      <c r="BA27" s="644" t="e">
        <f t="shared" ref="BA27" si="37">AVERAGE(AY27:AY41)</f>
        <v>#DIV/0!</v>
      </c>
    </row>
    <row r="28" spans="2:53">
      <c r="B28" s="643"/>
      <c r="C28" s="411">
        <v>2</v>
      </c>
      <c r="D28" s="225" t="s">
        <v>359</v>
      </c>
      <c r="E28" s="416">
        <v>7</v>
      </c>
      <c r="F28" s="409">
        <v>1500</v>
      </c>
      <c r="G28" s="410">
        <v>214.28571428571428</v>
      </c>
      <c r="H28" s="680"/>
      <c r="I28" s="413">
        <f t="shared" si="19"/>
        <v>7</v>
      </c>
      <c r="J28" s="413">
        <f t="shared" si="20"/>
        <v>1456.3862519307766</v>
      </c>
      <c r="K28" s="199">
        <f t="shared" si="21"/>
        <v>208.05517884725379</v>
      </c>
      <c r="L28" s="617"/>
      <c r="M28" s="420">
        <f>RANK(K28, K$24:$K$41)</f>
        <v>1</v>
      </c>
      <c r="N28" s="635"/>
      <c r="O28" s="635"/>
      <c r="P28" s="539">
        <v>7</v>
      </c>
      <c r="Q28" s="416">
        <v>1462.1739130434783</v>
      </c>
      <c r="R28" s="416">
        <v>208.88198757763976</v>
      </c>
      <c r="S28" s="539">
        <f t="shared" si="22"/>
        <v>2</v>
      </c>
      <c r="T28" s="645"/>
      <c r="U28" s="539">
        <v>7</v>
      </c>
      <c r="V28" s="416">
        <v>1454.4360902255639</v>
      </c>
      <c r="W28" s="416">
        <v>207.7765843179377</v>
      </c>
      <c r="X28" s="539">
        <f t="shared" si="24"/>
        <v>3</v>
      </c>
      <c r="Y28" s="645"/>
      <c r="Z28" s="539">
        <v>7</v>
      </c>
      <c r="AA28" s="416">
        <v>1476.2903225806456</v>
      </c>
      <c r="AB28" s="416">
        <v>210.8986175115208</v>
      </c>
      <c r="AC28" s="539">
        <f t="shared" si="26"/>
        <v>1</v>
      </c>
      <c r="AD28" s="645"/>
      <c r="AE28" s="539">
        <v>7</v>
      </c>
      <c r="AF28" s="416">
        <v>1477.9816513761466</v>
      </c>
      <c r="AG28" s="416">
        <v>211.14023591087809</v>
      </c>
      <c r="AH28" s="539">
        <f t="shared" si="28"/>
        <v>1</v>
      </c>
      <c r="AI28" s="645"/>
      <c r="AJ28" s="539">
        <v>7</v>
      </c>
      <c r="AK28" s="416">
        <v>1443.3600000000006</v>
      </c>
      <c r="AL28" s="416">
        <v>206.1942857142858</v>
      </c>
      <c r="AM28" s="539">
        <f t="shared" si="30"/>
        <v>5</v>
      </c>
      <c r="AN28" s="645"/>
      <c r="AO28" s="539">
        <v>7</v>
      </c>
      <c r="AP28" s="416">
        <v>1443.2432432432429</v>
      </c>
      <c r="AQ28" s="416">
        <v>206.17760617760612</v>
      </c>
      <c r="AR28" s="539">
        <f t="shared" si="32"/>
        <v>3</v>
      </c>
      <c r="AS28" s="645"/>
      <c r="AT28" s="539">
        <v>7</v>
      </c>
      <c r="AU28" s="416">
        <v>1437.2185430463574</v>
      </c>
      <c r="AV28" s="416">
        <v>205.31693472090819</v>
      </c>
      <c r="AW28" s="539">
        <f t="shared" si="34"/>
        <v>4</v>
      </c>
      <c r="AX28" s="645"/>
      <c r="AZ28" s="398" t="e">
        <f t="shared" si="36"/>
        <v>#N/A</v>
      </c>
      <c r="BA28" s="645"/>
    </row>
    <row r="29" spans="2:53">
      <c r="B29" s="643"/>
      <c r="C29" s="411">
        <v>3</v>
      </c>
      <c r="D29" s="225" t="s">
        <v>330</v>
      </c>
      <c r="E29" s="416">
        <v>20</v>
      </c>
      <c r="F29" s="409">
        <v>1500</v>
      </c>
      <c r="G29" s="410">
        <v>75</v>
      </c>
      <c r="H29" s="680"/>
      <c r="I29" s="413">
        <f t="shared" si="19"/>
        <v>19.142857142857142</v>
      </c>
      <c r="J29" s="413">
        <f t="shared" si="20"/>
        <v>1325.869322790925</v>
      </c>
      <c r="K29" s="199">
        <f t="shared" si="21"/>
        <v>69.412907689981054</v>
      </c>
      <c r="L29" s="617"/>
      <c r="M29" s="420">
        <f>RANK(K29, K$24:$K$41)</f>
        <v>11</v>
      </c>
      <c r="N29" s="635"/>
      <c r="O29" s="635"/>
      <c r="P29" s="539">
        <v>18</v>
      </c>
      <c r="Q29" s="416">
        <v>1292.5714285714291</v>
      </c>
      <c r="R29" s="416">
        <v>71.809523809523839</v>
      </c>
      <c r="S29" s="539">
        <f t="shared" si="22"/>
        <v>10</v>
      </c>
      <c r="T29" s="645"/>
      <c r="U29" s="539">
        <v>18</v>
      </c>
      <c r="V29" s="416">
        <v>1319.7084112149532</v>
      </c>
      <c r="W29" s="416">
        <v>73.317133956386286</v>
      </c>
      <c r="X29" s="539">
        <f t="shared" si="24"/>
        <v>10</v>
      </c>
      <c r="Y29" s="645"/>
      <c r="Z29" s="539">
        <v>18</v>
      </c>
      <c r="AA29" s="416">
        <v>1318.2165137614677</v>
      </c>
      <c r="AB29" s="416">
        <v>73.234250764525981</v>
      </c>
      <c r="AC29" s="539">
        <f t="shared" si="26"/>
        <v>10</v>
      </c>
      <c r="AD29" s="645"/>
      <c r="AE29" s="539">
        <v>20</v>
      </c>
      <c r="AF29" s="416">
        <v>1334.2857142857147</v>
      </c>
      <c r="AG29" s="416">
        <v>66.714285714285737</v>
      </c>
      <c r="AH29" s="539">
        <f t="shared" si="28"/>
        <v>11</v>
      </c>
      <c r="AI29" s="645"/>
      <c r="AJ29" s="539">
        <v>20</v>
      </c>
      <c r="AK29" s="416">
        <v>1333.0612244897964</v>
      </c>
      <c r="AL29" s="416">
        <v>66.653061224489818</v>
      </c>
      <c r="AM29" s="539">
        <f t="shared" si="30"/>
        <v>11</v>
      </c>
      <c r="AN29" s="645"/>
      <c r="AO29" s="539">
        <v>20</v>
      </c>
      <c r="AP29" s="416">
        <v>1351.0819672131151</v>
      </c>
      <c r="AQ29" s="416">
        <v>67.554098360655757</v>
      </c>
      <c r="AR29" s="539">
        <f t="shared" si="32"/>
        <v>11</v>
      </c>
      <c r="AS29" s="645"/>
      <c r="AT29" s="539">
        <v>20</v>
      </c>
      <c r="AU29" s="416">
        <v>1332.1599999999999</v>
      </c>
      <c r="AV29" s="416">
        <v>66.60799999999999</v>
      </c>
      <c r="AW29" s="539">
        <f t="shared" si="34"/>
        <v>11</v>
      </c>
      <c r="AX29" s="645"/>
      <c r="AZ29" s="398" t="e">
        <f t="shared" si="36"/>
        <v>#N/A</v>
      </c>
      <c r="BA29" s="645"/>
    </row>
    <row r="30" spans="2:53">
      <c r="B30" s="643"/>
      <c r="C30" s="411">
        <v>4</v>
      </c>
      <c r="D30" s="225" t="s">
        <v>360</v>
      </c>
      <c r="E30" s="416">
        <v>16</v>
      </c>
      <c r="F30" s="409">
        <v>1440</v>
      </c>
      <c r="G30" s="410">
        <v>90</v>
      </c>
      <c r="H30" s="680"/>
      <c r="I30" s="413">
        <f t="shared" si="19"/>
        <v>16.428571428571427</v>
      </c>
      <c r="J30" s="413">
        <f t="shared" si="20"/>
        <v>1371.2245934015734</v>
      </c>
      <c r="K30" s="199">
        <f t="shared" si="21"/>
        <v>83.53333988462272</v>
      </c>
      <c r="L30" s="617"/>
      <c r="M30" s="420">
        <f>RANK(K30, K$24:$K$41)</f>
        <v>9</v>
      </c>
      <c r="N30" s="635"/>
      <c r="O30" s="635"/>
      <c r="P30" s="539">
        <v>17</v>
      </c>
      <c r="Q30" s="416">
        <v>1401.947368421052</v>
      </c>
      <c r="R30" s="416">
        <v>82.467492260061888</v>
      </c>
      <c r="S30" s="539">
        <f t="shared" si="22"/>
        <v>9</v>
      </c>
      <c r="T30" s="645"/>
      <c r="U30" s="539">
        <v>16</v>
      </c>
      <c r="V30" s="416">
        <v>1400.1000000000004</v>
      </c>
      <c r="W30" s="416">
        <v>87.506250000000023</v>
      </c>
      <c r="X30" s="539">
        <f t="shared" si="24"/>
        <v>9</v>
      </c>
      <c r="Y30" s="645"/>
      <c r="Z30" s="539">
        <v>16</v>
      </c>
      <c r="AA30" s="416">
        <v>1370.5714285714289</v>
      </c>
      <c r="AB30" s="416">
        <v>85.660714285714306</v>
      </c>
      <c r="AC30" s="539">
        <f t="shared" si="26"/>
        <v>9</v>
      </c>
      <c r="AD30" s="645"/>
      <c r="AE30" s="539">
        <v>17</v>
      </c>
      <c r="AF30" s="416">
        <v>1334.5609756097556</v>
      </c>
      <c r="AG30" s="416">
        <v>78.503586800573856</v>
      </c>
      <c r="AH30" s="539">
        <f t="shared" si="28"/>
        <v>9</v>
      </c>
      <c r="AI30" s="645"/>
      <c r="AJ30" s="539">
        <v>16</v>
      </c>
      <c r="AK30" s="416">
        <v>1349.7058823529417</v>
      </c>
      <c r="AL30" s="416">
        <v>84.356617647058854</v>
      </c>
      <c r="AM30" s="539">
        <f t="shared" si="30"/>
        <v>9</v>
      </c>
      <c r="AN30" s="645"/>
      <c r="AO30" s="539">
        <v>16</v>
      </c>
      <c r="AP30" s="416">
        <v>1349.9473684210536</v>
      </c>
      <c r="AQ30" s="416">
        <v>84.371710526315852</v>
      </c>
      <c r="AR30" s="539">
        <f t="shared" si="32"/>
        <v>9</v>
      </c>
      <c r="AS30" s="645"/>
      <c r="AT30" s="539">
        <v>17</v>
      </c>
      <c r="AU30" s="416">
        <v>1391.7391304347825</v>
      </c>
      <c r="AV30" s="416">
        <v>81.867007672634259</v>
      </c>
      <c r="AW30" s="539">
        <f t="shared" si="34"/>
        <v>9</v>
      </c>
      <c r="AX30" s="645"/>
      <c r="AZ30" s="398" t="e">
        <f t="shared" si="36"/>
        <v>#N/A</v>
      </c>
      <c r="BA30" s="645"/>
    </row>
    <row r="31" spans="2:53">
      <c r="B31" s="643"/>
      <c r="C31" s="411">
        <v>5</v>
      </c>
      <c r="D31" s="225" t="s">
        <v>398</v>
      </c>
      <c r="E31" s="416">
        <v>7</v>
      </c>
      <c r="F31" s="409">
        <v>1500</v>
      </c>
      <c r="G31" s="410">
        <v>214.28571428571428</v>
      </c>
      <c r="H31" s="680"/>
      <c r="I31" s="413">
        <f t="shared" si="19"/>
        <v>7</v>
      </c>
      <c r="J31" s="413">
        <f t="shared" si="20"/>
        <v>1456.0326896787424</v>
      </c>
      <c r="K31" s="199">
        <f t="shared" si="21"/>
        <v>208.00466995410605</v>
      </c>
      <c r="L31" s="617"/>
      <c r="M31" s="420">
        <f>RANK(K31, K$24:$K$41)</f>
        <v>2</v>
      </c>
      <c r="N31" s="635"/>
      <c r="O31" s="635"/>
      <c r="P31" s="539">
        <v>7</v>
      </c>
      <c r="Q31" s="416">
        <v>1464.9999999999995</v>
      </c>
      <c r="R31" s="416">
        <v>209.28571428571422</v>
      </c>
      <c r="S31" s="539">
        <f t="shared" si="22"/>
        <v>1</v>
      </c>
      <c r="T31" s="645"/>
      <c r="U31" s="539">
        <v>7</v>
      </c>
      <c r="V31" s="416">
        <v>1443.3600000000004</v>
      </c>
      <c r="W31" s="416">
        <v>206.19428571428577</v>
      </c>
      <c r="X31" s="539">
        <f t="shared" si="24"/>
        <v>4</v>
      </c>
      <c r="Y31" s="645"/>
      <c r="Z31" s="539">
        <v>7</v>
      </c>
      <c r="AA31" s="416">
        <v>1465.4400000000003</v>
      </c>
      <c r="AB31" s="416">
        <v>209.34857142857146</v>
      </c>
      <c r="AC31" s="539">
        <f t="shared" si="26"/>
        <v>2</v>
      </c>
      <c r="AD31" s="645"/>
      <c r="AE31" s="539">
        <v>7</v>
      </c>
      <c r="AF31" s="416">
        <v>1467.8947368421052</v>
      </c>
      <c r="AG31" s="416">
        <v>209.69924812030075</v>
      </c>
      <c r="AH31" s="539">
        <f t="shared" si="28"/>
        <v>3</v>
      </c>
      <c r="AI31" s="645"/>
      <c r="AJ31" s="539">
        <v>7</v>
      </c>
      <c r="AK31" s="416">
        <v>1445.6250000000005</v>
      </c>
      <c r="AL31" s="416">
        <v>206.5178571428572</v>
      </c>
      <c r="AM31" s="539">
        <f t="shared" si="30"/>
        <v>3</v>
      </c>
      <c r="AN31" s="645"/>
      <c r="AO31" s="539">
        <v>7</v>
      </c>
      <c r="AP31" s="416">
        <v>1464.5454545454545</v>
      </c>
      <c r="AQ31" s="416">
        <v>209.22077922077921</v>
      </c>
      <c r="AR31" s="539">
        <f t="shared" si="32"/>
        <v>1</v>
      </c>
      <c r="AS31" s="645"/>
      <c r="AT31" s="539">
        <v>7</v>
      </c>
      <c r="AU31" s="416">
        <v>1440.3636363636367</v>
      </c>
      <c r="AV31" s="416">
        <v>205.76623376623382</v>
      </c>
      <c r="AW31" s="539">
        <f t="shared" si="34"/>
        <v>3</v>
      </c>
      <c r="AX31" s="645"/>
      <c r="AZ31" s="398" t="e">
        <f t="shared" si="36"/>
        <v>#N/A</v>
      </c>
      <c r="BA31" s="645"/>
    </row>
    <row r="32" spans="2:53">
      <c r="B32" s="643"/>
      <c r="C32" s="411">
        <v>6</v>
      </c>
      <c r="D32" s="225" t="s">
        <v>598</v>
      </c>
      <c r="E32" s="416">
        <v>12</v>
      </c>
      <c r="F32" s="409">
        <v>2000</v>
      </c>
      <c r="G32" s="410">
        <v>166.66666666666666</v>
      </c>
      <c r="H32" s="680"/>
      <c r="I32" s="413">
        <f t="shared" si="19"/>
        <v>12</v>
      </c>
      <c r="J32" s="413">
        <f t="shared" si="20"/>
        <v>1544.4541456895438</v>
      </c>
      <c r="K32" s="199">
        <f t="shared" si="21"/>
        <v>128.70451214079532</v>
      </c>
      <c r="L32" s="617"/>
      <c r="M32" s="420">
        <f>RANK(K32, K$24:$K$41)</f>
        <v>6</v>
      </c>
      <c r="N32" s="635"/>
      <c r="O32" s="635"/>
      <c r="P32" s="539">
        <v>12</v>
      </c>
      <c r="Q32" s="416">
        <v>1561.73076923077</v>
      </c>
      <c r="R32" s="416">
        <v>130.14423076923083</v>
      </c>
      <c r="S32" s="539">
        <f t="shared" si="22"/>
        <v>6</v>
      </c>
      <c r="T32" s="645"/>
      <c r="U32" s="539">
        <v>12</v>
      </c>
      <c r="V32" s="416">
        <v>1571.6666666666674</v>
      </c>
      <c r="W32" s="416">
        <v>130.97222222222229</v>
      </c>
      <c r="X32" s="539">
        <f t="shared" si="24"/>
        <v>6</v>
      </c>
      <c r="Y32" s="645"/>
      <c r="Z32" s="539">
        <v>12</v>
      </c>
      <c r="AA32" s="416">
        <v>1613.8775510204086</v>
      </c>
      <c r="AB32" s="416">
        <v>134.48979591836738</v>
      </c>
      <c r="AC32" s="539">
        <f t="shared" si="26"/>
        <v>6</v>
      </c>
      <c r="AD32" s="645"/>
      <c r="AE32" s="539">
        <v>12</v>
      </c>
      <c r="AF32" s="416">
        <v>1476.0000000000007</v>
      </c>
      <c r="AG32" s="416">
        <v>123.00000000000006</v>
      </c>
      <c r="AH32" s="539">
        <f t="shared" si="28"/>
        <v>7</v>
      </c>
      <c r="AI32" s="645"/>
      <c r="AJ32" s="539">
        <v>12</v>
      </c>
      <c r="AK32" s="416">
        <v>1532.9032258064531</v>
      </c>
      <c r="AL32" s="416">
        <v>127.74193548387109</v>
      </c>
      <c r="AM32" s="539">
        <f t="shared" si="30"/>
        <v>7</v>
      </c>
      <c r="AN32" s="645"/>
      <c r="AO32" s="539">
        <v>12</v>
      </c>
      <c r="AP32" s="416">
        <v>1578.238095238097</v>
      </c>
      <c r="AQ32" s="416">
        <v>131.51984126984141</v>
      </c>
      <c r="AR32" s="539">
        <f t="shared" si="32"/>
        <v>6</v>
      </c>
      <c r="AS32" s="645"/>
      <c r="AT32" s="539">
        <v>12</v>
      </c>
      <c r="AU32" s="416">
        <v>1476.7627118644082</v>
      </c>
      <c r="AV32" s="416">
        <v>123.06355932203401</v>
      </c>
      <c r="AW32" s="539">
        <f t="shared" si="34"/>
        <v>7</v>
      </c>
      <c r="AX32" s="645"/>
      <c r="AZ32" s="398" t="e">
        <f t="shared" si="36"/>
        <v>#N/A</v>
      </c>
      <c r="BA32" s="645"/>
    </row>
    <row r="33" spans="2:53">
      <c r="B33" s="643"/>
      <c r="C33" s="411">
        <v>7</v>
      </c>
      <c r="D33" s="225" t="s">
        <v>581</v>
      </c>
      <c r="E33" s="416">
        <v>7</v>
      </c>
      <c r="F33" s="409">
        <v>1500</v>
      </c>
      <c r="G33" s="410">
        <v>214.28571428571428</v>
      </c>
      <c r="H33" s="680"/>
      <c r="I33" s="413">
        <f t="shared" si="19"/>
        <v>7</v>
      </c>
      <c r="J33" s="413">
        <f t="shared" si="20"/>
        <v>1449.169509354731</v>
      </c>
      <c r="K33" s="199">
        <f t="shared" si="21"/>
        <v>207.02421562210446</v>
      </c>
      <c r="L33" s="617"/>
      <c r="M33" s="420">
        <f>RANK(K33, K$24:$K$41)</f>
        <v>4</v>
      </c>
      <c r="N33" s="635"/>
      <c r="O33" s="635"/>
      <c r="P33" s="539">
        <v>7</v>
      </c>
      <c r="Q33" s="416">
        <v>1447.8947368421057</v>
      </c>
      <c r="R33" s="416">
        <v>206.84210526315795</v>
      </c>
      <c r="S33" s="539">
        <f t="shared" si="22"/>
        <v>5</v>
      </c>
      <c r="T33" s="645"/>
      <c r="U33" s="539">
        <v>7</v>
      </c>
      <c r="V33" s="416">
        <v>1478.9610389610395</v>
      </c>
      <c r="W33" s="416">
        <v>211.28014842300564</v>
      </c>
      <c r="X33" s="539">
        <f t="shared" si="24"/>
        <v>1</v>
      </c>
      <c r="Y33" s="645"/>
      <c r="Z33" s="539">
        <v>7</v>
      </c>
      <c r="AA33" s="416">
        <v>1438.4615384615392</v>
      </c>
      <c r="AB33" s="416">
        <v>205.4945054945056</v>
      </c>
      <c r="AC33" s="539">
        <f t="shared" si="26"/>
        <v>5</v>
      </c>
      <c r="AD33" s="645"/>
      <c r="AE33" s="539">
        <v>7</v>
      </c>
      <c r="AF33" s="416">
        <v>1460.6557377049176</v>
      </c>
      <c r="AG33" s="416">
        <v>208.6651053864168</v>
      </c>
      <c r="AH33" s="539">
        <f t="shared" si="28"/>
        <v>4</v>
      </c>
      <c r="AI33" s="645"/>
      <c r="AJ33" s="539">
        <v>7</v>
      </c>
      <c r="AK33" s="416">
        <v>1455.2000000000005</v>
      </c>
      <c r="AL33" s="416">
        <v>207.88571428571436</v>
      </c>
      <c r="AM33" s="539">
        <f t="shared" si="30"/>
        <v>1</v>
      </c>
      <c r="AN33" s="645"/>
      <c r="AO33" s="539">
        <v>7</v>
      </c>
      <c r="AP33" s="416">
        <v>1433.5135135135142</v>
      </c>
      <c r="AQ33" s="416">
        <v>204.78764478764489</v>
      </c>
      <c r="AR33" s="539">
        <f t="shared" si="32"/>
        <v>5</v>
      </c>
      <c r="AS33" s="645"/>
      <c r="AT33" s="539">
        <v>7</v>
      </c>
      <c r="AU33" s="416">
        <v>1429.5000000000009</v>
      </c>
      <c r="AV33" s="416">
        <v>204.21428571428584</v>
      </c>
      <c r="AW33" s="539">
        <f t="shared" si="34"/>
        <v>5</v>
      </c>
      <c r="AX33" s="645"/>
      <c r="AZ33" s="398" t="e">
        <f t="shared" si="36"/>
        <v>#N/A</v>
      </c>
      <c r="BA33" s="645"/>
    </row>
    <row r="34" spans="2:53">
      <c r="B34" s="643"/>
      <c r="C34" s="411">
        <v>8</v>
      </c>
      <c r="D34" s="225" t="s">
        <v>702</v>
      </c>
      <c r="E34" s="416">
        <v>12</v>
      </c>
      <c r="F34" s="409">
        <v>2000</v>
      </c>
      <c r="G34" s="410">
        <v>166.66666666666666</v>
      </c>
      <c r="H34" s="680"/>
      <c r="I34" s="413">
        <f t="shared" si="19"/>
        <v>12</v>
      </c>
      <c r="J34" s="413">
        <f t="shared" si="20"/>
        <v>1426.3922766325561</v>
      </c>
      <c r="K34" s="199">
        <f t="shared" si="21"/>
        <v>118.866023052713</v>
      </c>
      <c r="L34" s="617"/>
      <c r="M34" s="420">
        <f>RANK(K34, K$24:$K$41)</f>
        <v>8</v>
      </c>
      <c r="N34" s="635"/>
      <c r="O34" s="635"/>
      <c r="P34" s="539">
        <v>12</v>
      </c>
      <c r="Q34" s="416">
        <v>1425.1956521739132</v>
      </c>
      <c r="R34" s="416">
        <v>118.76630434782611</v>
      </c>
      <c r="S34" s="539">
        <f t="shared" si="22"/>
        <v>8</v>
      </c>
      <c r="T34" s="645"/>
      <c r="U34" s="539">
        <v>12</v>
      </c>
      <c r="V34" s="416">
        <v>1432.5697674418602</v>
      </c>
      <c r="W34" s="416">
        <v>119.38081395348836</v>
      </c>
      <c r="X34" s="539">
        <f t="shared" si="24"/>
        <v>8</v>
      </c>
      <c r="Y34" s="645"/>
      <c r="Z34" s="539">
        <v>12</v>
      </c>
      <c r="AA34" s="416">
        <v>1438.0632911392406</v>
      </c>
      <c r="AB34" s="416">
        <v>119.83860759493672</v>
      </c>
      <c r="AC34" s="539">
        <f t="shared" si="26"/>
        <v>8</v>
      </c>
      <c r="AD34" s="645"/>
      <c r="AE34" s="539">
        <v>12</v>
      </c>
      <c r="AF34" s="416">
        <v>1420.0952380952378</v>
      </c>
      <c r="AG34" s="416">
        <v>118.34126984126982</v>
      </c>
      <c r="AH34" s="539">
        <f t="shared" si="28"/>
        <v>8</v>
      </c>
      <c r="AI34" s="645"/>
      <c r="AJ34" s="539">
        <v>12</v>
      </c>
      <c r="AK34" s="416">
        <v>1428.8695652173913</v>
      </c>
      <c r="AL34" s="416">
        <v>119.07246376811594</v>
      </c>
      <c r="AM34" s="539">
        <f t="shared" si="30"/>
        <v>8</v>
      </c>
      <c r="AN34" s="645"/>
      <c r="AO34" s="539">
        <v>12</v>
      </c>
      <c r="AP34" s="416">
        <v>1426.6695652173914</v>
      </c>
      <c r="AQ34" s="416">
        <v>118.88913043478261</v>
      </c>
      <c r="AR34" s="539">
        <f t="shared" si="32"/>
        <v>8</v>
      </c>
      <c r="AS34" s="645"/>
      <c r="AT34" s="539">
        <v>12</v>
      </c>
      <c r="AU34" s="416">
        <v>1413.2828571428574</v>
      </c>
      <c r="AV34" s="416">
        <v>117.77357142857146</v>
      </c>
      <c r="AW34" s="539">
        <f t="shared" si="34"/>
        <v>8</v>
      </c>
      <c r="AX34" s="645"/>
      <c r="AZ34" s="398" t="e">
        <f t="shared" si="36"/>
        <v>#N/A</v>
      </c>
      <c r="BA34" s="645"/>
    </row>
    <row r="35" spans="2:53">
      <c r="B35" s="643"/>
      <c r="C35" s="411">
        <v>9</v>
      </c>
      <c r="D35" s="225" t="s">
        <v>703</v>
      </c>
      <c r="E35" s="416">
        <v>12</v>
      </c>
      <c r="F35" s="409">
        <v>2000</v>
      </c>
      <c r="G35" s="410">
        <v>166.66666666666666</v>
      </c>
      <c r="H35" s="680"/>
      <c r="I35" s="413">
        <f t="shared" si="19"/>
        <v>12</v>
      </c>
      <c r="J35" s="413">
        <f t="shared" si="20"/>
        <v>1541.5763312476454</v>
      </c>
      <c r="K35" s="199">
        <f t="shared" si="21"/>
        <v>128.46469427063715</v>
      </c>
      <c r="L35" s="617"/>
      <c r="M35" s="420">
        <f>RANK(K35, K$24:$K$41)</f>
        <v>7</v>
      </c>
      <c r="N35" s="635"/>
      <c r="O35" s="635"/>
      <c r="P35" s="539">
        <v>12</v>
      </c>
      <c r="Q35" s="416">
        <v>1558.2857142857144</v>
      </c>
      <c r="R35" s="416">
        <v>129.85714285714286</v>
      </c>
      <c r="S35" s="539">
        <f t="shared" si="22"/>
        <v>7</v>
      </c>
      <c r="T35" s="645"/>
      <c r="U35" s="539">
        <v>12</v>
      </c>
      <c r="V35" s="416">
        <v>1555.5882352941176</v>
      </c>
      <c r="W35" s="416">
        <v>129.63235294117646</v>
      </c>
      <c r="X35" s="539">
        <f t="shared" si="24"/>
        <v>7</v>
      </c>
      <c r="Y35" s="645"/>
      <c r="Z35" s="539">
        <v>12</v>
      </c>
      <c r="AA35" s="416">
        <v>1529.5081967213109</v>
      </c>
      <c r="AB35" s="416">
        <v>127.45901639344258</v>
      </c>
      <c r="AC35" s="539">
        <f t="shared" si="26"/>
        <v>7</v>
      </c>
      <c r="AD35" s="645"/>
      <c r="AE35" s="539">
        <v>12</v>
      </c>
      <c r="AF35" s="416">
        <v>1520.9302325581393</v>
      </c>
      <c r="AG35" s="416">
        <v>126.74418604651162</v>
      </c>
      <c r="AH35" s="539">
        <f t="shared" si="28"/>
        <v>6</v>
      </c>
      <c r="AI35" s="645"/>
      <c r="AJ35" s="539">
        <v>12</v>
      </c>
      <c r="AK35" s="416">
        <v>1561.2765957446811</v>
      </c>
      <c r="AL35" s="416">
        <v>130.10638297872342</v>
      </c>
      <c r="AM35" s="539">
        <f t="shared" si="30"/>
        <v>6</v>
      </c>
      <c r="AN35" s="645"/>
      <c r="AO35" s="539">
        <v>12</v>
      </c>
      <c r="AP35" s="416">
        <v>1538.0769230769238</v>
      </c>
      <c r="AQ35" s="416">
        <v>128.17307692307699</v>
      </c>
      <c r="AR35" s="539">
        <f t="shared" si="32"/>
        <v>7</v>
      </c>
      <c r="AS35" s="645"/>
      <c r="AT35" s="539">
        <v>12</v>
      </c>
      <c r="AU35" s="416">
        <v>1527.3684210526314</v>
      </c>
      <c r="AV35" s="416">
        <v>127.28070175438596</v>
      </c>
      <c r="AW35" s="539">
        <f t="shared" si="34"/>
        <v>6</v>
      </c>
      <c r="AX35" s="645"/>
      <c r="AZ35" s="398" t="e">
        <f t="shared" si="36"/>
        <v>#N/A</v>
      </c>
      <c r="BA35" s="645"/>
    </row>
    <row r="36" spans="2:53">
      <c r="B36" s="643"/>
      <c r="C36" s="411">
        <v>10</v>
      </c>
      <c r="D36" s="225" t="s">
        <v>719</v>
      </c>
      <c r="E36" s="416">
        <v>16</v>
      </c>
      <c r="F36" s="409">
        <v>1440</v>
      </c>
      <c r="G36" s="410">
        <v>90</v>
      </c>
      <c r="H36" s="680"/>
      <c r="I36" s="413">
        <f t="shared" si="19"/>
        <v>16</v>
      </c>
      <c r="J36" s="413">
        <f t="shared" si="20"/>
        <v>1132.3182244400844</v>
      </c>
      <c r="K36" s="199">
        <f t="shared" si="21"/>
        <v>70.769889027505272</v>
      </c>
      <c r="L36" s="617"/>
      <c r="M36" s="420">
        <f>RANK(K36, K$24:$K$41)</f>
        <v>10</v>
      </c>
      <c r="N36" s="635"/>
      <c r="O36" s="635"/>
      <c r="P36" s="539">
        <v>16</v>
      </c>
      <c r="Q36" s="416">
        <v>1137.2222222222222</v>
      </c>
      <c r="R36" s="416">
        <v>71.076388888888886</v>
      </c>
      <c r="S36" s="539">
        <f t="shared" si="22"/>
        <v>11</v>
      </c>
      <c r="T36" s="645"/>
      <c r="U36" s="539">
        <v>16</v>
      </c>
      <c r="V36" s="416">
        <v>1119.3750000000005</v>
      </c>
      <c r="W36" s="416">
        <v>69.960937500000028</v>
      </c>
      <c r="X36" s="539">
        <f t="shared" si="24"/>
        <v>11</v>
      </c>
      <c r="Y36" s="645"/>
      <c r="Z36" s="539">
        <v>16</v>
      </c>
      <c r="AA36" s="416">
        <v>1129.677419354839</v>
      </c>
      <c r="AB36" s="416">
        <v>70.604838709677438</v>
      </c>
      <c r="AC36" s="539">
        <f t="shared" si="26"/>
        <v>11</v>
      </c>
      <c r="AD36" s="645"/>
      <c r="AE36" s="539">
        <v>16</v>
      </c>
      <c r="AF36" s="416">
        <v>1143.1168831168836</v>
      </c>
      <c r="AG36" s="416">
        <v>71.444805194805227</v>
      </c>
      <c r="AH36" s="539">
        <f t="shared" si="28"/>
        <v>10</v>
      </c>
      <c r="AI36" s="645"/>
      <c r="AJ36" s="539">
        <v>16</v>
      </c>
      <c r="AK36" s="416">
        <v>1141.2903225806454</v>
      </c>
      <c r="AL36" s="416">
        <v>71.330645161290334</v>
      </c>
      <c r="AM36" s="539">
        <f t="shared" si="30"/>
        <v>10</v>
      </c>
      <c r="AN36" s="645"/>
      <c r="AO36" s="539">
        <v>16</v>
      </c>
      <c r="AP36" s="416">
        <v>1134.1621621621625</v>
      </c>
      <c r="AQ36" s="416">
        <v>70.885135135135158</v>
      </c>
      <c r="AR36" s="539">
        <f t="shared" si="32"/>
        <v>10</v>
      </c>
      <c r="AS36" s="645"/>
      <c r="AT36" s="539">
        <v>16</v>
      </c>
      <c r="AU36" s="416">
        <v>1121.3835616438359</v>
      </c>
      <c r="AV36" s="416">
        <v>70.086472602739747</v>
      </c>
      <c r="AW36" s="539">
        <f t="shared" si="34"/>
        <v>10</v>
      </c>
      <c r="AX36" s="645"/>
      <c r="AZ36" s="398" t="e">
        <f t="shared" si="36"/>
        <v>#N/A</v>
      </c>
      <c r="BA36" s="645"/>
    </row>
    <row r="37" spans="2:53">
      <c r="B37" s="643"/>
      <c r="C37" s="411">
        <v>11</v>
      </c>
      <c r="D37" s="225" t="s">
        <v>747</v>
      </c>
      <c r="E37" s="416">
        <v>7</v>
      </c>
      <c r="F37" s="409">
        <v>1500</v>
      </c>
      <c r="G37" s="410">
        <v>214.28571428571428</v>
      </c>
      <c r="H37" s="680"/>
      <c r="I37" s="413">
        <f t="shared" si="19"/>
        <v>7</v>
      </c>
      <c r="J37" s="413">
        <f t="shared" si="20"/>
        <v>1454.6859481175354</v>
      </c>
      <c r="K37" s="199">
        <f t="shared" si="21"/>
        <v>207.81227830250504</v>
      </c>
      <c r="L37" s="617"/>
      <c r="M37" s="420">
        <f>RANK(K37, K$24:$K$41)</f>
        <v>3</v>
      </c>
      <c r="N37" s="635"/>
      <c r="O37" s="635"/>
      <c r="P37" s="539">
        <v>7</v>
      </c>
      <c r="Q37" s="416">
        <v>1450.8673469387761</v>
      </c>
      <c r="R37" s="416">
        <v>207.26676384839658</v>
      </c>
      <c r="S37" s="539">
        <f t="shared" si="22"/>
        <v>4</v>
      </c>
      <c r="T37" s="645"/>
      <c r="U37" s="539">
        <v>7</v>
      </c>
      <c r="V37" s="416">
        <v>1471.5254237288127</v>
      </c>
      <c r="W37" s="416">
        <v>210.21791767554467</v>
      </c>
      <c r="X37" s="539">
        <f t="shared" si="24"/>
        <v>2</v>
      </c>
      <c r="Y37" s="645"/>
      <c r="Z37" s="539">
        <v>7</v>
      </c>
      <c r="AA37" s="416">
        <v>1442.5000000000007</v>
      </c>
      <c r="AB37" s="416">
        <v>206.07142857142867</v>
      </c>
      <c r="AC37" s="539">
        <f t="shared" si="26"/>
        <v>3</v>
      </c>
      <c r="AD37" s="645"/>
      <c r="AE37" s="539">
        <v>7</v>
      </c>
      <c r="AF37" s="416">
        <v>1470.4117647058829</v>
      </c>
      <c r="AG37" s="416">
        <v>210.05882352941185</v>
      </c>
      <c r="AH37" s="539">
        <f t="shared" si="28"/>
        <v>2</v>
      </c>
      <c r="AI37" s="645"/>
      <c r="AJ37" s="539">
        <v>7</v>
      </c>
      <c r="AK37" s="416">
        <v>1449.4666666666665</v>
      </c>
      <c r="AL37" s="416">
        <v>207.06666666666663</v>
      </c>
      <c r="AM37" s="539">
        <f t="shared" si="30"/>
        <v>2</v>
      </c>
      <c r="AN37" s="645"/>
      <c r="AO37" s="539">
        <v>7</v>
      </c>
      <c r="AP37" s="416">
        <v>1437.1304347826087</v>
      </c>
      <c r="AQ37" s="416">
        <v>205.30434782608697</v>
      </c>
      <c r="AR37" s="539">
        <f t="shared" si="32"/>
        <v>4</v>
      </c>
      <c r="AS37" s="645"/>
      <c r="AT37" s="539">
        <v>7</v>
      </c>
      <c r="AU37" s="416">
        <v>1460.8999999999992</v>
      </c>
      <c r="AV37" s="416">
        <v>208.69999999999987</v>
      </c>
      <c r="AW37" s="539">
        <f t="shared" si="34"/>
        <v>1</v>
      </c>
      <c r="AX37" s="645"/>
      <c r="AZ37" s="398" t="e">
        <f t="shared" si="36"/>
        <v>#N/A</v>
      </c>
      <c r="BA37" s="645"/>
    </row>
    <row r="38" spans="2:53">
      <c r="B38" s="643"/>
      <c r="C38" s="411">
        <v>12</v>
      </c>
      <c r="D38" s="225"/>
      <c r="E38" s="416"/>
      <c r="F38" s="409"/>
      <c r="G38" s="410"/>
      <c r="H38" s="680"/>
      <c r="I38" s="413" t="str">
        <f t="shared" si="19"/>
        <v>-</v>
      </c>
      <c r="J38" s="413" t="str">
        <f t="shared" si="20"/>
        <v>-</v>
      </c>
      <c r="K38" s="199" t="str">
        <f t="shared" si="21"/>
        <v>-</v>
      </c>
      <c r="L38" s="617"/>
      <c r="M38" s="420" t="e">
        <f>RANK(K38, K$24:$K$41)</f>
        <v>#VALUE!</v>
      </c>
      <c r="N38" s="635"/>
      <c r="O38" s="635"/>
      <c r="P38" s="539" t="s">
        <v>615</v>
      </c>
      <c r="Q38" s="416" t="s">
        <v>615</v>
      </c>
      <c r="R38" s="416" t="s">
        <v>615</v>
      </c>
      <c r="S38" s="539" t="e">
        <f t="shared" si="22"/>
        <v>#VALUE!</v>
      </c>
      <c r="T38" s="645"/>
      <c r="U38" s="539" t="s">
        <v>615</v>
      </c>
      <c r="V38" s="416" t="s">
        <v>615</v>
      </c>
      <c r="W38" s="416" t="s">
        <v>615</v>
      </c>
      <c r="X38" s="539" t="e">
        <f t="shared" si="24"/>
        <v>#VALUE!</v>
      </c>
      <c r="Y38" s="645"/>
      <c r="Z38" s="539" t="s">
        <v>615</v>
      </c>
      <c r="AA38" s="416" t="s">
        <v>615</v>
      </c>
      <c r="AB38" s="416" t="s">
        <v>615</v>
      </c>
      <c r="AC38" s="539" t="e">
        <f t="shared" si="26"/>
        <v>#VALUE!</v>
      </c>
      <c r="AD38" s="645"/>
      <c r="AE38" s="539" t="s">
        <v>615</v>
      </c>
      <c r="AF38" s="416" t="s">
        <v>615</v>
      </c>
      <c r="AG38" s="416" t="s">
        <v>615</v>
      </c>
      <c r="AH38" s="539" t="e">
        <f t="shared" si="28"/>
        <v>#VALUE!</v>
      </c>
      <c r="AI38" s="645"/>
      <c r="AJ38" s="539" t="s">
        <v>615</v>
      </c>
      <c r="AK38" s="416" t="s">
        <v>615</v>
      </c>
      <c r="AL38" s="416" t="s">
        <v>615</v>
      </c>
      <c r="AM38" s="539" t="e">
        <f t="shared" si="30"/>
        <v>#VALUE!</v>
      </c>
      <c r="AN38" s="645"/>
      <c r="AO38" s="539" t="s">
        <v>615</v>
      </c>
      <c r="AP38" s="416" t="s">
        <v>615</v>
      </c>
      <c r="AQ38" s="416" t="s">
        <v>615</v>
      </c>
      <c r="AR38" s="539" t="e">
        <f t="shared" si="32"/>
        <v>#VALUE!</v>
      </c>
      <c r="AS38" s="645"/>
      <c r="AT38" s="539" t="s">
        <v>615</v>
      </c>
      <c r="AU38" s="416" t="s">
        <v>615</v>
      </c>
      <c r="AV38" s="416" t="s">
        <v>615</v>
      </c>
      <c r="AW38" s="539" t="e">
        <f t="shared" si="34"/>
        <v>#VALUE!</v>
      </c>
      <c r="AX38" s="645"/>
      <c r="AZ38" s="398" t="e">
        <f t="shared" si="36"/>
        <v>#N/A</v>
      </c>
      <c r="BA38" s="645"/>
    </row>
    <row r="39" spans="2:53">
      <c r="B39" s="643"/>
      <c r="C39" s="411">
        <v>13</v>
      </c>
      <c r="D39" s="225"/>
      <c r="E39" s="416"/>
      <c r="F39" s="409"/>
      <c r="G39" s="410"/>
      <c r="H39" s="680"/>
      <c r="I39" s="413" t="str">
        <f t="shared" si="19"/>
        <v>-</v>
      </c>
      <c r="J39" s="413" t="str">
        <f t="shared" si="20"/>
        <v>-</v>
      </c>
      <c r="K39" s="199" t="str">
        <f t="shared" si="21"/>
        <v>-</v>
      </c>
      <c r="L39" s="617"/>
      <c r="M39" s="420" t="e">
        <f>RANK(K39, K$24:$K$41)</f>
        <v>#VALUE!</v>
      </c>
      <c r="N39" s="635"/>
      <c r="O39" s="635"/>
      <c r="P39" s="539" t="s">
        <v>615</v>
      </c>
      <c r="Q39" s="416" t="s">
        <v>615</v>
      </c>
      <c r="R39" s="416" t="s">
        <v>615</v>
      </c>
      <c r="S39" s="539" t="e">
        <f t="shared" si="22"/>
        <v>#VALUE!</v>
      </c>
      <c r="T39" s="645"/>
      <c r="U39" s="539" t="s">
        <v>615</v>
      </c>
      <c r="V39" s="416" t="s">
        <v>615</v>
      </c>
      <c r="W39" s="416" t="s">
        <v>615</v>
      </c>
      <c r="X39" s="539" t="e">
        <f t="shared" si="24"/>
        <v>#VALUE!</v>
      </c>
      <c r="Y39" s="645"/>
      <c r="Z39" s="539" t="s">
        <v>615</v>
      </c>
      <c r="AA39" s="416" t="s">
        <v>615</v>
      </c>
      <c r="AB39" s="416" t="s">
        <v>615</v>
      </c>
      <c r="AC39" s="539" t="e">
        <f t="shared" si="26"/>
        <v>#VALUE!</v>
      </c>
      <c r="AD39" s="645"/>
      <c r="AE39" s="539" t="s">
        <v>615</v>
      </c>
      <c r="AF39" s="416" t="s">
        <v>615</v>
      </c>
      <c r="AG39" s="416" t="s">
        <v>615</v>
      </c>
      <c r="AH39" s="539" t="e">
        <f t="shared" si="28"/>
        <v>#VALUE!</v>
      </c>
      <c r="AI39" s="645"/>
      <c r="AJ39" s="539" t="s">
        <v>615</v>
      </c>
      <c r="AK39" s="416" t="s">
        <v>615</v>
      </c>
      <c r="AL39" s="416" t="s">
        <v>615</v>
      </c>
      <c r="AM39" s="539" t="e">
        <f t="shared" si="30"/>
        <v>#VALUE!</v>
      </c>
      <c r="AN39" s="645"/>
      <c r="AO39" s="539" t="s">
        <v>615</v>
      </c>
      <c r="AP39" s="416" t="s">
        <v>615</v>
      </c>
      <c r="AQ39" s="416" t="s">
        <v>615</v>
      </c>
      <c r="AR39" s="539" t="e">
        <f t="shared" si="32"/>
        <v>#VALUE!</v>
      </c>
      <c r="AS39" s="645"/>
      <c r="AT39" s="539" t="s">
        <v>615</v>
      </c>
      <c r="AU39" s="416" t="s">
        <v>615</v>
      </c>
      <c r="AV39" s="416" t="s">
        <v>615</v>
      </c>
      <c r="AW39" s="539" t="e">
        <f t="shared" si="34"/>
        <v>#VALUE!</v>
      </c>
      <c r="AX39" s="645"/>
      <c r="AZ39" s="398" t="e">
        <f t="shared" si="36"/>
        <v>#N/A</v>
      </c>
      <c r="BA39" s="645"/>
    </row>
    <row r="40" spans="2:53">
      <c r="B40" s="643"/>
      <c r="C40" s="411">
        <v>14</v>
      </c>
      <c r="D40" s="225"/>
      <c r="E40" s="416"/>
      <c r="F40" s="409"/>
      <c r="G40" s="410"/>
      <c r="H40" s="680"/>
      <c r="I40" s="413" t="str">
        <f t="shared" si="19"/>
        <v>-</v>
      </c>
      <c r="J40" s="413" t="str">
        <f t="shared" si="20"/>
        <v>-</v>
      </c>
      <c r="K40" s="199" t="str">
        <f t="shared" si="21"/>
        <v>-</v>
      </c>
      <c r="L40" s="617"/>
      <c r="M40" s="420" t="e">
        <f>RANK(K40, K$24:$K$41)</f>
        <v>#VALUE!</v>
      </c>
      <c r="N40" s="635"/>
      <c r="O40" s="635"/>
      <c r="P40" s="539" t="s">
        <v>615</v>
      </c>
      <c r="Q40" s="416" t="s">
        <v>615</v>
      </c>
      <c r="R40" s="416" t="s">
        <v>615</v>
      </c>
      <c r="S40" s="539" t="e">
        <f t="shared" si="22"/>
        <v>#VALUE!</v>
      </c>
      <c r="T40" s="645"/>
      <c r="U40" s="539" t="s">
        <v>615</v>
      </c>
      <c r="V40" s="416" t="s">
        <v>615</v>
      </c>
      <c r="W40" s="416" t="s">
        <v>615</v>
      </c>
      <c r="X40" s="539" t="e">
        <f t="shared" si="24"/>
        <v>#VALUE!</v>
      </c>
      <c r="Y40" s="645"/>
      <c r="Z40" s="539" t="s">
        <v>615</v>
      </c>
      <c r="AA40" s="416" t="s">
        <v>615</v>
      </c>
      <c r="AB40" s="416" t="s">
        <v>615</v>
      </c>
      <c r="AC40" s="539" t="e">
        <f t="shared" si="26"/>
        <v>#VALUE!</v>
      </c>
      <c r="AD40" s="645"/>
      <c r="AE40" s="539" t="s">
        <v>615</v>
      </c>
      <c r="AF40" s="416" t="s">
        <v>615</v>
      </c>
      <c r="AG40" s="416" t="s">
        <v>615</v>
      </c>
      <c r="AH40" s="539" t="e">
        <f t="shared" si="28"/>
        <v>#VALUE!</v>
      </c>
      <c r="AI40" s="645"/>
      <c r="AJ40" s="539" t="s">
        <v>615</v>
      </c>
      <c r="AK40" s="416" t="s">
        <v>615</v>
      </c>
      <c r="AL40" s="416" t="s">
        <v>615</v>
      </c>
      <c r="AM40" s="539" t="e">
        <f t="shared" si="30"/>
        <v>#VALUE!</v>
      </c>
      <c r="AN40" s="645"/>
      <c r="AO40" s="539" t="s">
        <v>615</v>
      </c>
      <c r="AP40" s="416" t="s">
        <v>615</v>
      </c>
      <c r="AQ40" s="416" t="s">
        <v>615</v>
      </c>
      <c r="AR40" s="539" t="e">
        <f t="shared" si="32"/>
        <v>#VALUE!</v>
      </c>
      <c r="AS40" s="645"/>
      <c r="AT40" s="539" t="s">
        <v>615</v>
      </c>
      <c r="AU40" s="416" t="s">
        <v>615</v>
      </c>
      <c r="AV40" s="416" t="s">
        <v>615</v>
      </c>
      <c r="AW40" s="539" t="e">
        <f t="shared" si="34"/>
        <v>#VALUE!</v>
      </c>
      <c r="AX40" s="645"/>
      <c r="AZ40" s="398" t="e">
        <f t="shared" si="36"/>
        <v>#N/A</v>
      </c>
      <c r="BA40" s="645"/>
    </row>
    <row r="41" spans="2:53">
      <c r="B41" s="643"/>
      <c r="C41" s="411">
        <v>15</v>
      </c>
      <c r="D41" s="225"/>
      <c r="E41" s="416"/>
      <c r="F41" s="409"/>
      <c r="G41" s="410"/>
      <c r="H41" s="684"/>
      <c r="I41" s="411"/>
      <c r="J41" s="411"/>
      <c r="K41" s="411"/>
      <c r="L41" s="618"/>
      <c r="M41" s="420" t="e">
        <f>RANK(K41, K$24:$K$41)</f>
        <v>#N/A</v>
      </c>
      <c r="N41" s="635"/>
      <c r="O41" s="635"/>
      <c r="P41" s="539" t="s">
        <v>615</v>
      </c>
      <c r="Q41" s="416" t="s">
        <v>615</v>
      </c>
      <c r="R41" s="416" t="s">
        <v>615</v>
      </c>
      <c r="S41" s="539" t="e">
        <f t="shared" si="22"/>
        <v>#VALUE!</v>
      </c>
      <c r="T41" s="646"/>
      <c r="U41" s="539" t="s">
        <v>615</v>
      </c>
      <c r="V41" s="416" t="s">
        <v>615</v>
      </c>
      <c r="W41" s="416" t="s">
        <v>615</v>
      </c>
      <c r="X41" s="539" t="e">
        <f t="shared" si="24"/>
        <v>#VALUE!</v>
      </c>
      <c r="Y41" s="646"/>
      <c r="Z41" s="539" t="s">
        <v>615</v>
      </c>
      <c r="AA41" s="416" t="s">
        <v>615</v>
      </c>
      <c r="AB41" s="416" t="s">
        <v>615</v>
      </c>
      <c r="AC41" s="539" t="e">
        <f t="shared" si="26"/>
        <v>#VALUE!</v>
      </c>
      <c r="AD41" s="646"/>
      <c r="AE41" s="539" t="s">
        <v>615</v>
      </c>
      <c r="AF41" s="416" t="s">
        <v>615</v>
      </c>
      <c r="AG41" s="416" t="s">
        <v>615</v>
      </c>
      <c r="AH41" s="539" t="e">
        <f t="shared" si="28"/>
        <v>#VALUE!</v>
      </c>
      <c r="AI41" s="646"/>
      <c r="AJ41" s="539" t="s">
        <v>615</v>
      </c>
      <c r="AK41" s="416" t="s">
        <v>615</v>
      </c>
      <c r="AL41" s="416" t="s">
        <v>615</v>
      </c>
      <c r="AM41" s="539" t="e">
        <f t="shared" si="30"/>
        <v>#VALUE!</v>
      </c>
      <c r="AN41" s="646"/>
      <c r="AO41" s="539" t="s">
        <v>615</v>
      </c>
      <c r="AP41" s="416" t="s">
        <v>615</v>
      </c>
      <c r="AQ41" s="416" t="s">
        <v>615</v>
      </c>
      <c r="AR41" s="539" t="e">
        <f t="shared" si="32"/>
        <v>#VALUE!</v>
      </c>
      <c r="AS41" s="646"/>
      <c r="AT41" s="539" t="s">
        <v>615</v>
      </c>
      <c r="AU41" s="416" t="s">
        <v>615</v>
      </c>
      <c r="AV41" s="416" t="s">
        <v>615</v>
      </c>
      <c r="AW41" s="539" t="e">
        <f t="shared" si="34"/>
        <v>#VALUE!</v>
      </c>
      <c r="AX41" s="646"/>
      <c r="AZ41" s="398" t="e">
        <f t="shared" si="36"/>
        <v>#N/A</v>
      </c>
      <c r="BA41" s="646"/>
    </row>
    <row r="42" spans="2:53" ht="15.75">
      <c r="B42" s="661" t="s">
        <v>163</v>
      </c>
      <c r="C42" s="662"/>
      <c r="D42" s="662"/>
      <c r="E42" s="662"/>
      <c r="F42" s="662"/>
      <c r="G42" s="662"/>
      <c r="H42" s="662"/>
      <c r="I42" s="207"/>
      <c r="J42" s="202"/>
      <c r="K42" s="207"/>
      <c r="L42" s="207"/>
      <c r="M42" s="203"/>
      <c r="N42" s="636" t="s">
        <v>156</v>
      </c>
      <c r="O42" s="636" t="s">
        <v>105</v>
      </c>
      <c r="P42" s="642">
        <f>P22+7</f>
        <v>46182</v>
      </c>
      <c r="Q42" s="643"/>
      <c r="R42" s="643"/>
      <c r="S42" s="643"/>
      <c r="T42" s="643"/>
      <c r="U42" s="639">
        <f>P42+1</f>
        <v>46183</v>
      </c>
      <c r="V42" s="640"/>
      <c r="W42" s="640"/>
      <c r="X42" s="640"/>
      <c r="Y42" s="641"/>
      <c r="Z42" s="639">
        <f>U42+1</f>
        <v>46184</v>
      </c>
      <c r="AA42" s="640"/>
      <c r="AB42" s="640"/>
      <c r="AC42" s="640"/>
      <c r="AD42" s="641"/>
      <c r="AE42" s="639">
        <f>Z42+1</f>
        <v>46185</v>
      </c>
      <c r="AF42" s="640"/>
      <c r="AG42" s="640"/>
      <c r="AH42" s="640"/>
      <c r="AI42" s="641"/>
      <c r="AJ42" s="639">
        <f>AE42+1</f>
        <v>46186</v>
      </c>
      <c r="AK42" s="640"/>
      <c r="AL42" s="640"/>
      <c r="AM42" s="640"/>
      <c r="AN42" s="641"/>
      <c r="AO42" s="639">
        <f>AJ42+1</f>
        <v>46187</v>
      </c>
      <c r="AP42" s="640"/>
      <c r="AQ42" s="640"/>
      <c r="AR42" s="640"/>
      <c r="AS42" s="641"/>
      <c r="AT42" s="639">
        <f>AO42+1</f>
        <v>46188</v>
      </c>
      <c r="AU42" s="640"/>
      <c r="AV42" s="640"/>
      <c r="AW42" s="640"/>
      <c r="AX42" s="641"/>
    </row>
    <row r="43" spans="2:53" ht="15.75">
      <c r="B43" s="650"/>
      <c r="C43" s="650"/>
      <c r="D43" s="650"/>
      <c r="E43" s="650"/>
      <c r="F43" s="650"/>
      <c r="G43" s="650"/>
      <c r="H43" s="650"/>
      <c r="I43" s="204"/>
      <c r="J43" s="204"/>
      <c r="K43" s="204"/>
      <c r="L43" s="204"/>
      <c r="M43" s="205"/>
      <c r="N43" s="638"/>
      <c r="O43" s="638"/>
      <c r="P43" s="642" t="s">
        <v>318</v>
      </c>
      <c r="Q43" s="643"/>
      <c r="R43" s="643"/>
      <c r="S43" s="643"/>
      <c r="T43" s="643"/>
      <c r="U43" s="642" t="s">
        <v>319</v>
      </c>
      <c r="V43" s="643"/>
      <c r="W43" s="643"/>
      <c r="X43" s="643"/>
      <c r="Y43" s="643"/>
      <c r="Z43" s="642" t="s">
        <v>320</v>
      </c>
      <c r="AA43" s="643"/>
      <c r="AB43" s="643"/>
      <c r="AC43" s="643"/>
      <c r="AD43" s="643"/>
      <c r="AE43" s="642" t="s">
        <v>321</v>
      </c>
      <c r="AF43" s="643"/>
      <c r="AG43" s="643"/>
      <c r="AH43" s="643"/>
      <c r="AI43" s="643"/>
      <c r="AJ43" s="642" t="s">
        <v>322</v>
      </c>
      <c r="AK43" s="643"/>
      <c r="AL43" s="643"/>
      <c r="AM43" s="643"/>
      <c r="AN43" s="643"/>
      <c r="AO43" s="642" t="s">
        <v>323</v>
      </c>
      <c r="AP43" s="643"/>
      <c r="AQ43" s="643"/>
      <c r="AR43" s="643"/>
      <c r="AS43" s="643"/>
      <c r="AT43" s="642" t="s">
        <v>324</v>
      </c>
      <c r="AU43" s="643"/>
      <c r="AV43" s="643"/>
      <c r="AW43" s="643"/>
      <c r="AX43" s="643"/>
    </row>
    <row r="44" spans="2:53">
      <c r="B44" s="635" t="s">
        <v>463</v>
      </c>
      <c r="C44" s="635" t="s">
        <v>549</v>
      </c>
      <c r="D44" s="635"/>
      <c r="E44" s="635" t="s">
        <v>550</v>
      </c>
      <c r="F44" s="635"/>
      <c r="G44" s="635"/>
      <c r="H44" s="651" t="s">
        <v>551</v>
      </c>
      <c r="I44" s="635" t="s">
        <v>552</v>
      </c>
      <c r="J44" s="635"/>
      <c r="K44" s="635"/>
      <c r="L44" s="651" t="s">
        <v>371</v>
      </c>
      <c r="M44" s="636" t="s">
        <v>553</v>
      </c>
      <c r="N44" s="635"/>
      <c r="O44" s="635" t="s">
        <v>377</v>
      </c>
      <c r="P44" s="632" t="s">
        <v>373</v>
      </c>
      <c r="Q44" s="633"/>
      <c r="R44" s="633"/>
      <c r="S44" s="634"/>
      <c r="T44" s="635" t="s">
        <v>371</v>
      </c>
      <c r="U44" s="632" t="s">
        <v>373</v>
      </c>
      <c r="V44" s="633"/>
      <c r="W44" s="633"/>
      <c r="X44" s="634"/>
      <c r="Y44" s="635" t="s">
        <v>371</v>
      </c>
      <c r="Z44" s="632" t="s">
        <v>373</v>
      </c>
      <c r="AA44" s="633"/>
      <c r="AB44" s="633"/>
      <c r="AC44" s="634"/>
      <c r="AD44" s="635" t="s">
        <v>371</v>
      </c>
      <c r="AE44" s="632" t="s">
        <v>373</v>
      </c>
      <c r="AF44" s="633"/>
      <c r="AG44" s="633"/>
      <c r="AH44" s="634"/>
      <c r="AI44" s="635" t="s">
        <v>371</v>
      </c>
      <c r="AJ44" s="632" t="s">
        <v>373</v>
      </c>
      <c r="AK44" s="633"/>
      <c r="AL44" s="633"/>
      <c r="AM44" s="634"/>
      <c r="AN44" s="635" t="s">
        <v>371</v>
      </c>
      <c r="AO44" s="632" t="s">
        <v>373</v>
      </c>
      <c r="AP44" s="633"/>
      <c r="AQ44" s="633"/>
      <c r="AR44" s="634"/>
      <c r="AS44" s="635" t="s">
        <v>371</v>
      </c>
      <c r="AT44" s="632" t="s">
        <v>373</v>
      </c>
      <c r="AU44" s="633"/>
      <c r="AV44" s="633"/>
      <c r="AW44" s="634"/>
      <c r="AX44" s="635" t="s">
        <v>371</v>
      </c>
      <c r="BA44" s="635" t="s">
        <v>371</v>
      </c>
    </row>
    <row r="45" spans="2:53">
      <c r="B45" s="635"/>
      <c r="C45" s="635"/>
      <c r="D45" s="635"/>
      <c r="E45" s="635" t="s">
        <v>555</v>
      </c>
      <c r="F45" s="635"/>
      <c r="G45" s="635"/>
      <c r="H45" s="652"/>
      <c r="I45" s="635" t="s">
        <v>555</v>
      </c>
      <c r="J45" s="635"/>
      <c r="K45" s="635"/>
      <c r="L45" s="652"/>
      <c r="M45" s="637"/>
      <c r="N45" s="635"/>
      <c r="O45" s="635"/>
      <c r="P45" s="632" t="s">
        <v>379</v>
      </c>
      <c r="Q45" s="633"/>
      <c r="R45" s="633"/>
      <c r="S45" s="634"/>
      <c r="T45" s="635"/>
      <c r="U45" s="632" t="s">
        <v>379</v>
      </c>
      <c r="V45" s="633"/>
      <c r="W45" s="633"/>
      <c r="X45" s="634"/>
      <c r="Y45" s="635"/>
      <c r="Z45" s="632" t="s">
        <v>379</v>
      </c>
      <c r="AA45" s="633"/>
      <c r="AB45" s="633"/>
      <c r="AC45" s="634"/>
      <c r="AD45" s="635"/>
      <c r="AE45" s="632" t="s">
        <v>379</v>
      </c>
      <c r="AF45" s="633"/>
      <c r="AG45" s="633"/>
      <c r="AH45" s="634"/>
      <c r="AI45" s="635"/>
      <c r="AJ45" s="632" t="s">
        <v>379</v>
      </c>
      <c r="AK45" s="633"/>
      <c r="AL45" s="633"/>
      <c r="AM45" s="634"/>
      <c r="AN45" s="635"/>
      <c r="AO45" s="632" t="s">
        <v>379</v>
      </c>
      <c r="AP45" s="633"/>
      <c r="AQ45" s="633"/>
      <c r="AR45" s="634"/>
      <c r="AS45" s="635"/>
      <c r="AT45" s="632" t="s">
        <v>379</v>
      </c>
      <c r="AU45" s="633"/>
      <c r="AV45" s="633"/>
      <c r="AW45" s="634"/>
      <c r="AX45" s="635"/>
      <c r="BA45" s="635"/>
    </row>
    <row r="46" spans="2:53">
      <c r="B46" s="635"/>
      <c r="C46" s="635"/>
      <c r="D46" s="635"/>
      <c r="E46" s="408" t="s">
        <v>556</v>
      </c>
      <c r="F46" s="408" t="s">
        <v>557</v>
      </c>
      <c r="G46" s="408" t="s">
        <v>558</v>
      </c>
      <c r="H46" s="653"/>
      <c r="I46" s="408" t="s">
        <v>556</v>
      </c>
      <c r="J46" s="408" t="s">
        <v>557</v>
      </c>
      <c r="K46" s="408" t="s">
        <v>558</v>
      </c>
      <c r="L46" s="653"/>
      <c r="M46" s="638"/>
      <c r="N46" s="635"/>
      <c r="O46" s="635"/>
      <c r="P46" s="408" t="s">
        <v>380</v>
      </c>
      <c r="Q46" s="408" t="s">
        <v>381</v>
      </c>
      <c r="R46" s="408" t="s">
        <v>382</v>
      </c>
      <c r="S46" s="408" t="s">
        <v>372</v>
      </c>
      <c r="T46" s="635"/>
      <c r="U46" s="408" t="s">
        <v>380</v>
      </c>
      <c r="V46" s="408" t="s">
        <v>381</v>
      </c>
      <c r="W46" s="408" t="s">
        <v>382</v>
      </c>
      <c r="X46" s="408" t="s">
        <v>372</v>
      </c>
      <c r="Y46" s="635"/>
      <c r="Z46" s="408" t="s">
        <v>380</v>
      </c>
      <c r="AA46" s="408" t="s">
        <v>381</v>
      </c>
      <c r="AB46" s="408" t="s">
        <v>382</v>
      </c>
      <c r="AC46" s="408" t="s">
        <v>372</v>
      </c>
      <c r="AD46" s="635"/>
      <c r="AE46" s="408" t="s">
        <v>380</v>
      </c>
      <c r="AF46" s="408" t="s">
        <v>381</v>
      </c>
      <c r="AG46" s="408" t="s">
        <v>382</v>
      </c>
      <c r="AH46" s="408" t="s">
        <v>372</v>
      </c>
      <c r="AI46" s="635"/>
      <c r="AJ46" s="408" t="s">
        <v>380</v>
      </c>
      <c r="AK46" s="408" t="s">
        <v>381</v>
      </c>
      <c r="AL46" s="408" t="s">
        <v>382</v>
      </c>
      <c r="AM46" s="408" t="s">
        <v>372</v>
      </c>
      <c r="AN46" s="635"/>
      <c r="AO46" s="408" t="s">
        <v>380</v>
      </c>
      <c r="AP46" s="408" t="s">
        <v>381</v>
      </c>
      <c r="AQ46" s="408" t="s">
        <v>382</v>
      </c>
      <c r="AR46" s="408" t="s">
        <v>372</v>
      </c>
      <c r="AS46" s="635"/>
      <c r="AT46" s="408" t="s">
        <v>380</v>
      </c>
      <c r="AU46" s="408" t="s">
        <v>381</v>
      </c>
      <c r="AV46" s="408" t="s">
        <v>382</v>
      </c>
      <c r="AW46" s="408" t="s">
        <v>372</v>
      </c>
      <c r="AX46" s="635"/>
      <c r="AZ46" s="397" t="s">
        <v>579</v>
      </c>
      <c r="BA46" s="635"/>
    </row>
    <row r="47" spans="2:53">
      <c r="B47" s="635" t="s">
        <v>479</v>
      </c>
      <c r="C47" s="411">
        <v>1</v>
      </c>
      <c r="D47" s="225" t="s">
        <v>358</v>
      </c>
      <c r="E47" s="416">
        <v>7</v>
      </c>
      <c r="F47" s="495">
        <v>1500</v>
      </c>
      <c r="G47" s="496">
        <v>214.28571428571428</v>
      </c>
      <c r="H47" s="679">
        <f>AVERAGE(G47:G61)</f>
        <v>164.87532467532466</v>
      </c>
      <c r="I47" s="413">
        <f t="shared" ref="I47:I60" si="38">IFERROR(AVERAGE(P47,U47,Z47,AE47,AJ47,AO47,AT47),"-")</f>
        <v>7</v>
      </c>
      <c r="J47" s="413">
        <f t="shared" ref="J47:J60" si="39">IFERROR(AVERAGE(Q47,V47,AA47,AF47,AK47,AP47,AU47),"-")</f>
        <v>1465.0033444816054</v>
      </c>
      <c r="K47" s="199">
        <f t="shared" ref="K47:K60" si="40">IFERROR(AVERAGE(R47,W47,AB47,AG47,AL47,AQ47,AV47),"-")</f>
        <v>209.2861920688008</v>
      </c>
      <c r="L47" s="616">
        <f>IFERROR(AVERAGE(K47:K61),"-")</f>
        <v>150.29771022259089</v>
      </c>
      <c r="M47" s="417">
        <f>RANK(K47, K$47:$K$61)</f>
        <v>5</v>
      </c>
      <c r="N47" s="635"/>
      <c r="O47" s="635"/>
      <c r="P47" s="549">
        <v>7</v>
      </c>
      <c r="Q47" s="416">
        <v>1483.6363636363633</v>
      </c>
      <c r="R47" s="416">
        <v>211.9480519480519</v>
      </c>
      <c r="S47" s="549">
        <f t="shared" ref="S47:S61" si="41">RANK(R47, R$47:R$61)</f>
        <v>3</v>
      </c>
      <c r="T47" s="644">
        <f t="shared" ref="T47" si="42">AVERAGE(R47:R61)</f>
        <v>151.06584563131386</v>
      </c>
      <c r="U47" s="549">
        <v>7</v>
      </c>
      <c r="V47" s="416">
        <v>1471.6363636363635</v>
      </c>
      <c r="W47" s="416">
        <v>210.2337662337662</v>
      </c>
      <c r="X47" s="549">
        <f t="shared" ref="X47:X61" si="43">RANK(W47, W$47:W$61)</f>
        <v>4</v>
      </c>
      <c r="Y47" s="644">
        <f t="shared" ref="Y47" si="44">AVERAGE(W47:W61)</f>
        <v>151.06386998659426</v>
      </c>
      <c r="Z47" s="549">
        <v>7</v>
      </c>
      <c r="AA47" s="416">
        <v>1456.1538461538471</v>
      </c>
      <c r="AB47" s="416">
        <v>208.02197802197816</v>
      </c>
      <c r="AC47" s="549">
        <f t="shared" ref="AC47:AC61" si="45">RANK(AB47, AB$47:AB$61)</f>
        <v>5</v>
      </c>
      <c r="AD47" s="644">
        <f t="shared" ref="AD47" si="46">AVERAGE(AB47:AB61)</f>
        <v>150.28268143386271</v>
      </c>
      <c r="AE47" s="549">
        <v>7</v>
      </c>
      <c r="AF47" s="416">
        <v>1467.2727272727273</v>
      </c>
      <c r="AG47" s="416">
        <v>209.6103896103896</v>
      </c>
      <c r="AH47" s="549">
        <f t="shared" ref="AH47:AH61" si="47">RANK(AG47, AG$47:AG$61)</f>
        <v>4</v>
      </c>
      <c r="AI47" s="644">
        <f t="shared" ref="AI47" si="48">AVERAGE(AG47:AG61)</f>
        <v>150.27254694643048</v>
      </c>
      <c r="AJ47" s="549">
        <v>7</v>
      </c>
      <c r="AK47" s="416">
        <v>1460.8695652173915</v>
      </c>
      <c r="AL47" s="416">
        <v>208.69565217391306</v>
      </c>
      <c r="AM47" s="549">
        <f t="shared" ref="AM47:AM61" si="49">RANK(AL47, AL$47:AL$61)</f>
        <v>4</v>
      </c>
      <c r="AN47" s="644">
        <f t="shared" ref="AN47" si="50">AVERAGE(AL47:AL61)</f>
        <v>148.84385152343026</v>
      </c>
      <c r="AO47" s="549">
        <v>7</v>
      </c>
      <c r="AP47" s="416">
        <v>1458.0000000000005</v>
      </c>
      <c r="AQ47" s="416">
        <v>208.28571428571436</v>
      </c>
      <c r="AR47" s="549">
        <f t="shared" ref="AR47:AR61" si="51">RANK(AQ47, AQ$47:AQ$61)</f>
        <v>5</v>
      </c>
      <c r="AS47" s="644">
        <f t="shared" ref="AS47" si="52">AVERAGE(AQ47:AQ61)</f>
        <v>150.95959264331552</v>
      </c>
      <c r="AT47" s="549">
        <v>7</v>
      </c>
      <c r="AU47" s="416">
        <v>1457.4545454545453</v>
      </c>
      <c r="AV47" s="416">
        <v>208.20779220779218</v>
      </c>
      <c r="AW47" s="549">
        <f t="shared" ref="AW47:AW61" si="53">RANK(AV47, AV$47:AV$61)</f>
        <v>4</v>
      </c>
      <c r="AX47" s="644">
        <f t="shared" ref="AX47" si="54">AVERAGE(AV47:AV61)</f>
        <v>149.5955833931892</v>
      </c>
      <c r="AZ47" s="398" t="e">
        <f t="shared" ref="AZ47:AZ61" si="55">RANK(AY47, AY$47:AY$61)</f>
        <v>#N/A</v>
      </c>
      <c r="BA47" s="644" t="e">
        <f t="shared" ref="BA47" si="56">AVERAGE(AY47:AY61)</f>
        <v>#DIV/0!</v>
      </c>
    </row>
    <row r="48" spans="2:53">
      <c r="B48" s="643"/>
      <c r="C48" s="411">
        <v>2</v>
      </c>
      <c r="D48" s="225" t="s">
        <v>359</v>
      </c>
      <c r="E48" s="416">
        <v>7</v>
      </c>
      <c r="F48" s="495">
        <v>1500</v>
      </c>
      <c r="G48" s="496">
        <v>214.28571428571428</v>
      </c>
      <c r="H48" s="680"/>
      <c r="I48" s="413">
        <f t="shared" si="38"/>
        <v>7</v>
      </c>
      <c r="J48" s="413">
        <f t="shared" si="39"/>
        <v>1476.7643870849358</v>
      </c>
      <c r="K48" s="199">
        <f t="shared" si="40"/>
        <v>210.96634101213371</v>
      </c>
      <c r="L48" s="617"/>
      <c r="M48" s="481">
        <f>RANK(K48, K$47:$K$61)</f>
        <v>2</v>
      </c>
      <c r="N48" s="635"/>
      <c r="O48" s="635"/>
      <c r="P48" s="549">
        <v>7</v>
      </c>
      <c r="Q48" s="416">
        <v>1475.5263157894733</v>
      </c>
      <c r="R48" s="416">
        <v>210.78947368421046</v>
      </c>
      <c r="S48" s="549">
        <f t="shared" si="41"/>
        <v>5</v>
      </c>
      <c r="T48" s="645"/>
      <c r="U48" s="549">
        <v>7</v>
      </c>
      <c r="V48" s="416">
        <v>1470.4166666666661</v>
      </c>
      <c r="W48" s="416">
        <v>210.05952380952371</v>
      </c>
      <c r="X48" s="549">
        <f t="shared" si="43"/>
        <v>5</v>
      </c>
      <c r="Y48" s="645"/>
      <c r="Z48" s="549">
        <v>7</v>
      </c>
      <c r="AA48" s="416">
        <v>1493.7500000000005</v>
      </c>
      <c r="AB48" s="416">
        <v>213.3928571428572</v>
      </c>
      <c r="AC48" s="549">
        <f t="shared" si="45"/>
        <v>1</v>
      </c>
      <c r="AD48" s="645"/>
      <c r="AE48" s="549">
        <v>7</v>
      </c>
      <c r="AF48" s="416">
        <v>1483.2000000000005</v>
      </c>
      <c r="AG48" s="416">
        <v>211.88571428571436</v>
      </c>
      <c r="AH48" s="549">
        <f t="shared" si="47"/>
        <v>3</v>
      </c>
      <c r="AI48" s="645"/>
      <c r="AJ48" s="549">
        <v>7</v>
      </c>
      <c r="AK48" s="416">
        <v>1465.5118110236217</v>
      </c>
      <c r="AL48" s="416">
        <v>209.35883014623167</v>
      </c>
      <c r="AM48" s="549">
        <f t="shared" si="49"/>
        <v>3</v>
      </c>
      <c r="AN48" s="645"/>
      <c r="AO48" s="549">
        <v>7</v>
      </c>
      <c r="AP48" s="416">
        <v>1495.8333333333328</v>
      </c>
      <c r="AQ48" s="416">
        <v>213.69047619047612</v>
      </c>
      <c r="AR48" s="549">
        <f t="shared" si="51"/>
        <v>1</v>
      </c>
      <c r="AS48" s="645"/>
      <c r="AT48" s="549">
        <v>7</v>
      </c>
      <c r="AU48" s="416">
        <v>1453.1125827814574</v>
      </c>
      <c r="AV48" s="416">
        <v>207.58751182592249</v>
      </c>
      <c r="AW48" s="549">
        <f t="shared" si="53"/>
        <v>5</v>
      </c>
      <c r="AX48" s="645"/>
      <c r="AZ48" s="398" t="e">
        <f t="shared" si="55"/>
        <v>#N/A</v>
      </c>
      <c r="BA48" s="645"/>
    </row>
    <row r="49" spans="2:53">
      <c r="B49" s="643"/>
      <c r="C49" s="411">
        <v>3</v>
      </c>
      <c r="D49" s="225" t="s">
        <v>330</v>
      </c>
      <c r="E49" s="416">
        <v>20</v>
      </c>
      <c r="F49" s="495">
        <v>1385</v>
      </c>
      <c r="G49" s="496">
        <v>69.2</v>
      </c>
      <c r="H49" s="680"/>
      <c r="I49" s="413">
        <f t="shared" si="38"/>
        <v>18.857142857142858</v>
      </c>
      <c r="J49" s="413">
        <f t="shared" si="39"/>
        <v>1304.5297981697163</v>
      </c>
      <c r="K49" s="199">
        <f t="shared" si="40"/>
        <v>69.315336697781603</v>
      </c>
      <c r="L49" s="617"/>
      <c r="M49" s="481">
        <f>RANK(K49, K$47:$K$61)</f>
        <v>11</v>
      </c>
      <c r="N49" s="635"/>
      <c r="O49" s="635"/>
      <c r="P49" s="549">
        <v>18</v>
      </c>
      <c r="Q49" s="416">
        <v>1312.6044444444437</v>
      </c>
      <c r="R49" s="416">
        <v>72.92246913580243</v>
      </c>
      <c r="S49" s="549">
        <f t="shared" si="41"/>
        <v>10</v>
      </c>
      <c r="T49" s="645"/>
      <c r="U49" s="549">
        <v>18</v>
      </c>
      <c r="V49" s="416">
        <v>1319.4871794871797</v>
      </c>
      <c r="W49" s="416">
        <v>73.304843304843317</v>
      </c>
      <c r="X49" s="549">
        <f t="shared" si="43"/>
        <v>10</v>
      </c>
      <c r="Y49" s="645"/>
      <c r="Z49" s="549">
        <v>20</v>
      </c>
      <c r="AA49" s="416">
        <v>1287.9310344827588</v>
      </c>
      <c r="AB49" s="416">
        <v>64.396551724137936</v>
      </c>
      <c r="AC49" s="549">
        <f t="shared" si="45"/>
        <v>11</v>
      </c>
      <c r="AD49" s="645"/>
      <c r="AE49" s="549">
        <v>19</v>
      </c>
      <c r="AF49" s="416">
        <v>1313.4883720930229</v>
      </c>
      <c r="AG49" s="416">
        <v>69.130966952264359</v>
      </c>
      <c r="AH49" s="549">
        <f t="shared" si="47"/>
        <v>11</v>
      </c>
      <c r="AI49" s="645"/>
      <c r="AJ49" s="549">
        <v>20</v>
      </c>
      <c r="AK49" s="416">
        <v>1315.3246753246758</v>
      </c>
      <c r="AL49" s="416">
        <v>65.766233766233796</v>
      </c>
      <c r="AM49" s="549">
        <f t="shared" si="49"/>
        <v>11</v>
      </c>
      <c r="AN49" s="645"/>
      <c r="AO49" s="549">
        <v>18</v>
      </c>
      <c r="AP49" s="416">
        <v>1281.0000000000002</v>
      </c>
      <c r="AQ49" s="416">
        <v>71.166666666666686</v>
      </c>
      <c r="AR49" s="549">
        <f t="shared" si="51"/>
        <v>10</v>
      </c>
      <c r="AS49" s="645"/>
      <c r="AT49" s="549">
        <v>19</v>
      </c>
      <c r="AU49" s="416">
        <v>1301.8728813559321</v>
      </c>
      <c r="AV49" s="416">
        <v>68.519625334522743</v>
      </c>
      <c r="AW49" s="549">
        <f t="shared" si="53"/>
        <v>11</v>
      </c>
      <c r="AX49" s="645"/>
      <c r="AZ49" s="398" t="e">
        <f t="shared" si="55"/>
        <v>#N/A</v>
      </c>
      <c r="BA49" s="645"/>
    </row>
    <row r="50" spans="2:53">
      <c r="B50" s="643"/>
      <c r="C50" s="411">
        <v>4</v>
      </c>
      <c r="D50" s="225" t="s">
        <v>360</v>
      </c>
      <c r="E50" s="416">
        <v>17</v>
      </c>
      <c r="F50" s="495">
        <v>1500</v>
      </c>
      <c r="G50" s="496">
        <v>86.5</v>
      </c>
      <c r="H50" s="680"/>
      <c r="I50" s="413">
        <f t="shared" si="38"/>
        <v>16.428571428571427</v>
      </c>
      <c r="J50" s="413">
        <f t="shared" si="39"/>
        <v>1370.2781980525056</v>
      </c>
      <c r="K50" s="199">
        <f t="shared" si="40"/>
        <v>83.465999082916611</v>
      </c>
      <c r="L50" s="617"/>
      <c r="M50" s="481">
        <f>RANK(K50, K$47:$K$61)</f>
        <v>9</v>
      </c>
      <c r="N50" s="635"/>
      <c r="O50" s="635"/>
      <c r="P50" s="549">
        <v>17</v>
      </c>
      <c r="Q50" s="416">
        <v>1366.2786885245896</v>
      </c>
      <c r="R50" s="416">
        <v>80.369334619093507</v>
      </c>
      <c r="S50" s="549">
        <f t="shared" si="41"/>
        <v>9</v>
      </c>
      <c r="T50" s="645"/>
      <c r="U50" s="549">
        <v>17</v>
      </c>
      <c r="V50" s="416">
        <v>1384.8979591836739</v>
      </c>
      <c r="W50" s="416">
        <v>81.464585834333761</v>
      </c>
      <c r="X50" s="549">
        <f t="shared" si="43"/>
        <v>9</v>
      </c>
      <c r="Y50" s="645"/>
      <c r="Z50" s="549">
        <v>16</v>
      </c>
      <c r="AA50" s="416">
        <v>1368.8235294117653</v>
      </c>
      <c r="AB50" s="416">
        <v>85.551470588235333</v>
      </c>
      <c r="AC50" s="549">
        <f t="shared" si="45"/>
        <v>9</v>
      </c>
      <c r="AD50" s="645"/>
      <c r="AE50" s="549">
        <v>16</v>
      </c>
      <c r="AF50" s="416">
        <v>1360.645161290322</v>
      </c>
      <c r="AG50" s="416">
        <v>85.040322580645125</v>
      </c>
      <c r="AH50" s="549">
        <f t="shared" si="47"/>
        <v>9</v>
      </c>
      <c r="AI50" s="645"/>
      <c r="AJ50" s="549">
        <v>16</v>
      </c>
      <c r="AK50" s="416">
        <v>1289.2682926829264</v>
      </c>
      <c r="AL50" s="416">
        <v>80.579268292682897</v>
      </c>
      <c r="AM50" s="549">
        <f t="shared" si="49"/>
        <v>9</v>
      </c>
      <c r="AN50" s="645"/>
      <c r="AO50" s="549">
        <v>16</v>
      </c>
      <c r="AP50" s="416">
        <v>1429.3670886075943</v>
      </c>
      <c r="AQ50" s="416">
        <v>89.335443037974642</v>
      </c>
      <c r="AR50" s="549">
        <f t="shared" si="51"/>
        <v>9</v>
      </c>
      <c r="AS50" s="645"/>
      <c r="AT50" s="549">
        <v>17</v>
      </c>
      <c r="AU50" s="416">
        <v>1392.6666666666667</v>
      </c>
      <c r="AV50" s="416">
        <v>81.921568627450981</v>
      </c>
      <c r="AW50" s="549">
        <f t="shared" si="53"/>
        <v>9</v>
      </c>
      <c r="AX50" s="645"/>
      <c r="AZ50" s="398" t="e">
        <f t="shared" si="55"/>
        <v>#N/A</v>
      </c>
      <c r="BA50" s="645"/>
    </row>
    <row r="51" spans="2:53">
      <c r="B51" s="643"/>
      <c r="C51" s="411">
        <v>5</v>
      </c>
      <c r="D51" s="225" t="s">
        <v>398</v>
      </c>
      <c r="E51" s="416">
        <v>7</v>
      </c>
      <c r="F51" s="495">
        <v>1500</v>
      </c>
      <c r="G51" s="496">
        <v>214.28571428571428</v>
      </c>
      <c r="H51" s="680"/>
      <c r="I51" s="413">
        <f t="shared" si="38"/>
        <v>7</v>
      </c>
      <c r="J51" s="413">
        <f t="shared" si="39"/>
        <v>1483.2074240474299</v>
      </c>
      <c r="K51" s="199">
        <f t="shared" si="40"/>
        <v>211.88677486391856</v>
      </c>
      <c r="L51" s="617"/>
      <c r="M51" s="481">
        <f>RANK(K51, K$47:$K$61)</f>
        <v>1</v>
      </c>
      <c r="N51" s="635"/>
      <c r="O51" s="635"/>
      <c r="P51" s="549">
        <v>7</v>
      </c>
      <c r="Q51" s="416">
        <v>1491.6981132075473</v>
      </c>
      <c r="R51" s="416">
        <v>213.09973045822105</v>
      </c>
      <c r="S51" s="549">
        <f t="shared" si="41"/>
        <v>1</v>
      </c>
      <c r="T51" s="645"/>
      <c r="U51" s="549">
        <v>7</v>
      </c>
      <c r="V51" s="416">
        <v>1484.489795918367</v>
      </c>
      <c r="W51" s="416">
        <v>212.06997084548101</v>
      </c>
      <c r="X51" s="549">
        <f t="shared" si="43"/>
        <v>1</v>
      </c>
      <c r="Y51" s="645"/>
      <c r="Z51" s="549">
        <v>7</v>
      </c>
      <c r="AA51" s="416">
        <v>1483.0872483221476</v>
      </c>
      <c r="AB51" s="416">
        <v>211.86960690316394</v>
      </c>
      <c r="AC51" s="549">
        <f t="shared" si="45"/>
        <v>2</v>
      </c>
      <c r="AD51" s="645"/>
      <c r="AE51" s="549">
        <v>7</v>
      </c>
      <c r="AF51" s="416">
        <v>1491.3636363636369</v>
      </c>
      <c r="AG51" s="416">
        <v>213.05194805194813</v>
      </c>
      <c r="AH51" s="549">
        <f t="shared" si="47"/>
        <v>1</v>
      </c>
      <c r="AI51" s="645"/>
      <c r="AJ51" s="549">
        <v>7</v>
      </c>
      <c r="AK51" s="416">
        <v>1466.9565217391298</v>
      </c>
      <c r="AL51" s="416">
        <v>209.56521739130426</v>
      </c>
      <c r="AM51" s="549">
        <f t="shared" si="49"/>
        <v>2</v>
      </c>
      <c r="AN51" s="645"/>
      <c r="AO51" s="549">
        <v>7</v>
      </c>
      <c r="AP51" s="416">
        <v>1466.4150943396223</v>
      </c>
      <c r="AQ51" s="416">
        <v>209.48787061994605</v>
      </c>
      <c r="AR51" s="549">
        <f t="shared" si="51"/>
        <v>4</v>
      </c>
      <c r="AS51" s="645"/>
      <c r="AT51" s="549">
        <v>7</v>
      </c>
      <c r="AU51" s="416">
        <v>1498.4415584415585</v>
      </c>
      <c r="AV51" s="416">
        <v>214.06307977736552</v>
      </c>
      <c r="AW51" s="549">
        <f t="shared" si="53"/>
        <v>1</v>
      </c>
      <c r="AX51" s="645"/>
      <c r="AZ51" s="398" t="e">
        <f t="shared" si="55"/>
        <v>#N/A</v>
      </c>
      <c r="BA51" s="645"/>
    </row>
    <row r="52" spans="2:53">
      <c r="B52" s="643"/>
      <c r="C52" s="411">
        <v>6</v>
      </c>
      <c r="D52" s="225" t="s">
        <v>598</v>
      </c>
      <c r="E52" s="416">
        <v>12</v>
      </c>
      <c r="F52" s="495">
        <v>2000</v>
      </c>
      <c r="G52" s="496">
        <v>166.66666666666666</v>
      </c>
      <c r="H52" s="680"/>
      <c r="I52" s="413">
        <f t="shared" si="38"/>
        <v>12</v>
      </c>
      <c r="J52" s="413">
        <f t="shared" si="39"/>
        <v>1577.1989481821547</v>
      </c>
      <c r="K52" s="199">
        <f t="shared" si="40"/>
        <v>131.43324568184622</v>
      </c>
      <c r="L52" s="617"/>
      <c r="M52" s="481">
        <f>RANK(K52, K$47:$K$61)</f>
        <v>6</v>
      </c>
      <c r="N52" s="635"/>
      <c r="O52" s="635"/>
      <c r="P52" s="549">
        <v>12</v>
      </c>
      <c r="Q52" s="416">
        <v>1605.3658536585372</v>
      </c>
      <c r="R52" s="416">
        <v>133.78048780487811</v>
      </c>
      <c r="S52" s="549">
        <f t="shared" si="41"/>
        <v>6</v>
      </c>
      <c r="T52" s="645"/>
      <c r="U52" s="549">
        <v>12</v>
      </c>
      <c r="V52" s="416">
        <v>1601.8487394957986</v>
      </c>
      <c r="W52" s="416">
        <v>133.48739495798321</v>
      </c>
      <c r="X52" s="549">
        <f t="shared" si="43"/>
        <v>6</v>
      </c>
      <c r="Y52" s="645"/>
      <c r="Z52" s="549">
        <v>12</v>
      </c>
      <c r="AA52" s="416">
        <v>1592.1052631578948</v>
      </c>
      <c r="AB52" s="416">
        <v>132.67543859649123</v>
      </c>
      <c r="AC52" s="549">
        <f t="shared" si="45"/>
        <v>6</v>
      </c>
      <c r="AD52" s="645"/>
      <c r="AE52" s="549">
        <v>12</v>
      </c>
      <c r="AF52" s="416">
        <v>1571.3999999999992</v>
      </c>
      <c r="AG52" s="416">
        <v>130.94999999999993</v>
      </c>
      <c r="AH52" s="549">
        <f t="shared" si="47"/>
        <v>6</v>
      </c>
      <c r="AI52" s="645"/>
      <c r="AJ52" s="549">
        <v>12</v>
      </c>
      <c r="AK52" s="416">
        <v>1581.3084112149531</v>
      </c>
      <c r="AL52" s="416">
        <v>131.77570093457942</v>
      </c>
      <c r="AM52" s="549">
        <f t="shared" si="49"/>
        <v>6</v>
      </c>
      <c r="AN52" s="645"/>
      <c r="AO52" s="549">
        <v>12</v>
      </c>
      <c r="AP52" s="416">
        <v>1550.9243697478996</v>
      </c>
      <c r="AQ52" s="416">
        <v>129.24369747899163</v>
      </c>
      <c r="AR52" s="549">
        <f t="shared" si="51"/>
        <v>6</v>
      </c>
      <c r="AS52" s="645"/>
      <c r="AT52" s="549">
        <v>12</v>
      </c>
      <c r="AU52" s="416">
        <v>1537.4400000000005</v>
      </c>
      <c r="AV52" s="416">
        <v>128.12000000000003</v>
      </c>
      <c r="AW52" s="549">
        <f t="shared" si="53"/>
        <v>6</v>
      </c>
      <c r="AX52" s="645"/>
      <c r="AZ52" s="398" t="e">
        <f t="shared" si="55"/>
        <v>#N/A</v>
      </c>
      <c r="BA52" s="645"/>
    </row>
    <row r="53" spans="2:53">
      <c r="B53" s="643"/>
      <c r="C53" s="411">
        <v>7</v>
      </c>
      <c r="D53" s="225" t="s">
        <v>581</v>
      </c>
      <c r="E53" s="416">
        <v>7</v>
      </c>
      <c r="F53" s="495">
        <v>1500</v>
      </c>
      <c r="G53" s="496">
        <v>214.28571428571428</v>
      </c>
      <c r="H53" s="680"/>
      <c r="I53" s="413">
        <f t="shared" si="38"/>
        <v>7</v>
      </c>
      <c r="J53" s="413">
        <f t="shared" si="39"/>
        <v>1473.8408991708789</v>
      </c>
      <c r="K53" s="199">
        <f t="shared" si="40"/>
        <v>210.54869988155411</v>
      </c>
      <c r="L53" s="617"/>
      <c r="M53" s="481">
        <f>RANK(K53, K$47:$K$61)</f>
        <v>4</v>
      </c>
      <c r="N53" s="635"/>
      <c r="O53" s="635"/>
      <c r="P53" s="549">
        <v>7</v>
      </c>
      <c r="Q53" s="416">
        <v>1477.0370370370365</v>
      </c>
      <c r="R53" s="416">
        <v>211.00529100529093</v>
      </c>
      <c r="S53" s="549">
        <f t="shared" si="41"/>
        <v>4</v>
      </c>
      <c r="T53" s="645"/>
      <c r="U53" s="549">
        <v>7</v>
      </c>
      <c r="V53" s="416">
        <v>1482.2222222222217</v>
      </c>
      <c r="W53" s="416">
        <v>211.74603174603166</v>
      </c>
      <c r="X53" s="549">
        <f t="shared" si="43"/>
        <v>3</v>
      </c>
      <c r="Y53" s="645"/>
      <c r="Z53" s="549">
        <v>7</v>
      </c>
      <c r="AA53" s="416">
        <v>1480.7142857142851</v>
      </c>
      <c r="AB53" s="416">
        <v>211.53061224489787</v>
      </c>
      <c r="AC53" s="549">
        <f t="shared" si="45"/>
        <v>3</v>
      </c>
      <c r="AD53" s="645"/>
      <c r="AE53" s="549">
        <v>7</v>
      </c>
      <c r="AF53" s="416">
        <v>1443.3802816901411</v>
      </c>
      <c r="AG53" s="416">
        <v>206.19718309859158</v>
      </c>
      <c r="AH53" s="549">
        <f t="shared" si="47"/>
        <v>5</v>
      </c>
      <c r="AI53" s="645"/>
      <c r="AJ53" s="549">
        <v>7</v>
      </c>
      <c r="AK53" s="416">
        <v>1468.2857142857144</v>
      </c>
      <c r="AL53" s="416">
        <v>209.75510204081635</v>
      </c>
      <c r="AM53" s="549">
        <f t="shared" si="49"/>
        <v>1</v>
      </c>
      <c r="AN53" s="645"/>
      <c r="AO53" s="549">
        <v>7</v>
      </c>
      <c r="AP53" s="416">
        <v>1477.7142857142851</v>
      </c>
      <c r="AQ53" s="416">
        <v>211.10204081632645</v>
      </c>
      <c r="AR53" s="549">
        <f t="shared" si="51"/>
        <v>2</v>
      </c>
      <c r="AS53" s="645"/>
      <c r="AT53" s="549">
        <v>7</v>
      </c>
      <c r="AU53" s="416">
        <v>1487.5324675324675</v>
      </c>
      <c r="AV53" s="416">
        <v>212.50463821892393</v>
      </c>
      <c r="AW53" s="549">
        <f t="shared" si="53"/>
        <v>2</v>
      </c>
      <c r="AX53" s="645"/>
      <c r="AZ53" s="398" t="e">
        <f t="shared" si="55"/>
        <v>#N/A</v>
      </c>
      <c r="BA53" s="645"/>
    </row>
    <row r="54" spans="2:53">
      <c r="B54" s="643"/>
      <c r="C54" s="411">
        <v>8</v>
      </c>
      <c r="D54" s="225" t="s">
        <v>702</v>
      </c>
      <c r="E54" s="416">
        <v>12</v>
      </c>
      <c r="F54" s="495">
        <v>2000</v>
      </c>
      <c r="G54" s="496">
        <v>166.66666666666666</v>
      </c>
      <c r="H54" s="680"/>
      <c r="I54" s="413">
        <f t="shared" si="38"/>
        <v>12</v>
      </c>
      <c r="J54" s="413">
        <f t="shared" si="39"/>
        <v>1419.5452718595766</v>
      </c>
      <c r="K54" s="199">
        <f t="shared" si="40"/>
        <v>118.29543932163138</v>
      </c>
      <c r="L54" s="617"/>
      <c r="M54" s="481">
        <f>RANK(K54, K$47:$K$61)</f>
        <v>8</v>
      </c>
      <c r="N54" s="635"/>
      <c r="O54" s="635"/>
      <c r="P54" s="549">
        <v>12</v>
      </c>
      <c r="Q54" s="416">
        <v>1405.8571428571424</v>
      </c>
      <c r="R54" s="416">
        <v>117.15476190476187</v>
      </c>
      <c r="S54" s="549">
        <f t="shared" si="41"/>
        <v>8</v>
      </c>
      <c r="T54" s="645"/>
      <c r="U54" s="549">
        <v>12</v>
      </c>
      <c r="V54" s="416">
        <v>1440</v>
      </c>
      <c r="W54" s="416">
        <v>120</v>
      </c>
      <c r="X54" s="549">
        <f t="shared" si="43"/>
        <v>8</v>
      </c>
      <c r="Y54" s="645"/>
      <c r="Z54" s="549">
        <v>12</v>
      </c>
      <c r="AA54" s="416">
        <v>1412.2105263157891</v>
      </c>
      <c r="AB54" s="416">
        <v>117.68421052631577</v>
      </c>
      <c r="AC54" s="549">
        <f t="shared" si="45"/>
        <v>8</v>
      </c>
      <c r="AD54" s="645"/>
      <c r="AE54" s="549">
        <v>12</v>
      </c>
      <c r="AF54" s="416">
        <v>1427.2631578947369</v>
      </c>
      <c r="AG54" s="416">
        <v>118.93859649122807</v>
      </c>
      <c r="AH54" s="549">
        <f t="shared" si="47"/>
        <v>8</v>
      </c>
      <c r="AI54" s="645"/>
      <c r="AJ54" s="549">
        <v>12</v>
      </c>
      <c r="AK54" s="416">
        <v>1418.9999999999998</v>
      </c>
      <c r="AL54" s="416">
        <v>118.24999999999999</v>
      </c>
      <c r="AM54" s="549">
        <f t="shared" si="49"/>
        <v>8</v>
      </c>
      <c r="AN54" s="645"/>
      <c r="AO54" s="549">
        <v>12</v>
      </c>
      <c r="AP54" s="416">
        <v>1419.6</v>
      </c>
      <c r="AQ54" s="416">
        <v>118.3</v>
      </c>
      <c r="AR54" s="549">
        <f t="shared" si="51"/>
        <v>8</v>
      </c>
      <c r="AS54" s="645"/>
      <c r="AT54" s="549">
        <v>12</v>
      </c>
      <c r="AU54" s="416">
        <v>1412.8860759493671</v>
      </c>
      <c r="AV54" s="416">
        <v>117.74050632911393</v>
      </c>
      <c r="AW54" s="549">
        <f t="shared" si="53"/>
        <v>8</v>
      </c>
      <c r="AX54" s="645"/>
      <c r="AZ54" s="398" t="e">
        <f t="shared" si="55"/>
        <v>#N/A</v>
      </c>
      <c r="BA54" s="645"/>
    </row>
    <row r="55" spans="2:53">
      <c r="B55" s="643"/>
      <c r="C55" s="411">
        <v>9</v>
      </c>
      <c r="D55" s="225" t="s">
        <v>703</v>
      </c>
      <c r="E55" s="416">
        <v>12</v>
      </c>
      <c r="F55" s="495">
        <v>2000</v>
      </c>
      <c r="G55" s="496">
        <v>166.66666666666666</v>
      </c>
      <c r="H55" s="680"/>
      <c r="I55" s="413">
        <f t="shared" si="38"/>
        <v>12</v>
      </c>
      <c r="J55" s="413">
        <f t="shared" si="39"/>
        <v>1522.5542575124782</v>
      </c>
      <c r="K55" s="199">
        <f t="shared" si="40"/>
        <v>126.87952145937321</v>
      </c>
      <c r="L55" s="617"/>
      <c r="M55" s="481">
        <f>RANK(K55, K$47:$K$61)</f>
        <v>7</v>
      </c>
      <c r="N55" s="635"/>
      <c r="O55" s="635"/>
      <c r="P55" s="549">
        <v>12</v>
      </c>
      <c r="Q55" s="416">
        <v>1525.0909090909088</v>
      </c>
      <c r="R55" s="416">
        <v>127.09090909090907</v>
      </c>
      <c r="S55" s="549">
        <f t="shared" si="41"/>
        <v>7</v>
      </c>
      <c r="T55" s="645"/>
      <c r="U55" s="549">
        <v>12</v>
      </c>
      <c r="V55" s="416">
        <v>1526.7857142857144</v>
      </c>
      <c r="W55" s="416">
        <v>127.23214285714288</v>
      </c>
      <c r="X55" s="549">
        <f t="shared" si="43"/>
        <v>7</v>
      </c>
      <c r="Y55" s="645"/>
      <c r="Z55" s="549">
        <v>12</v>
      </c>
      <c r="AA55" s="416">
        <v>1537.3584905660373</v>
      </c>
      <c r="AB55" s="416">
        <v>128.11320754716976</v>
      </c>
      <c r="AC55" s="549">
        <f t="shared" si="45"/>
        <v>7</v>
      </c>
      <c r="AD55" s="645"/>
      <c r="AE55" s="549">
        <v>12</v>
      </c>
      <c r="AF55" s="416">
        <v>1510.2857142857147</v>
      </c>
      <c r="AG55" s="416">
        <v>125.85714285714289</v>
      </c>
      <c r="AH55" s="549">
        <f t="shared" si="47"/>
        <v>7</v>
      </c>
      <c r="AI55" s="645"/>
      <c r="AJ55" s="549">
        <v>12</v>
      </c>
      <c r="AK55" s="416">
        <v>1498.4615384615377</v>
      </c>
      <c r="AL55" s="416">
        <v>124.8717948717948</v>
      </c>
      <c r="AM55" s="549">
        <f t="shared" si="49"/>
        <v>7</v>
      </c>
      <c r="AN55" s="645"/>
      <c r="AO55" s="549">
        <v>12</v>
      </c>
      <c r="AP55" s="416">
        <v>1549.2307692307684</v>
      </c>
      <c r="AQ55" s="416">
        <v>129.10256410256403</v>
      </c>
      <c r="AR55" s="549">
        <f t="shared" si="51"/>
        <v>7</v>
      </c>
      <c r="AS55" s="645"/>
      <c r="AT55" s="549">
        <v>12</v>
      </c>
      <c r="AU55" s="416">
        <v>1510.6666666666665</v>
      </c>
      <c r="AV55" s="416">
        <v>125.88888888888887</v>
      </c>
      <c r="AW55" s="549">
        <f t="shared" si="53"/>
        <v>7</v>
      </c>
      <c r="AX55" s="645"/>
      <c r="AZ55" s="479" t="e">
        <f t="shared" si="55"/>
        <v>#N/A</v>
      </c>
      <c r="BA55" s="645"/>
    </row>
    <row r="56" spans="2:53">
      <c r="B56" s="643"/>
      <c r="C56" s="411">
        <v>10</v>
      </c>
      <c r="D56" s="225" t="s">
        <v>719</v>
      </c>
      <c r="E56" s="416">
        <v>16</v>
      </c>
      <c r="F56" s="495">
        <v>1385</v>
      </c>
      <c r="G56" s="496">
        <v>86.5</v>
      </c>
      <c r="H56" s="680"/>
      <c r="I56" s="413">
        <f t="shared" si="38"/>
        <v>16</v>
      </c>
      <c r="J56" s="413">
        <f t="shared" si="39"/>
        <v>1125.680600633611</v>
      </c>
      <c r="K56" s="199">
        <f t="shared" si="40"/>
        <v>70.355037539600687</v>
      </c>
      <c r="L56" s="617"/>
      <c r="M56" s="481">
        <f>RANK(K56, K$47:$K$61)</f>
        <v>10</v>
      </c>
      <c r="N56" s="635"/>
      <c r="O56" s="635"/>
      <c r="P56" s="549">
        <v>16</v>
      </c>
      <c r="Q56" s="416">
        <v>1137.3214285714284</v>
      </c>
      <c r="R56" s="416">
        <v>71.082589285714278</v>
      </c>
      <c r="S56" s="549">
        <f t="shared" si="41"/>
        <v>11</v>
      </c>
      <c r="T56" s="645"/>
      <c r="U56" s="549">
        <v>16</v>
      </c>
      <c r="V56" s="416">
        <v>1123.8202247191011</v>
      </c>
      <c r="W56" s="416">
        <v>70.238764044943821</v>
      </c>
      <c r="X56" s="549">
        <f t="shared" si="43"/>
        <v>11</v>
      </c>
      <c r="Y56" s="645"/>
      <c r="Z56" s="549">
        <v>16</v>
      </c>
      <c r="AA56" s="416">
        <v>1114.7727272727273</v>
      </c>
      <c r="AB56" s="416">
        <v>69.673295454545453</v>
      </c>
      <c r="AC56" s="549">
        <f t="shared" si="45"/>
        <v>10</v>
      </c>
      <c r="AD56" s="645"/>
      <c r="AE56" s="549">
        <v>16</v>
      </c>
      <c r="AF56" s="416">
        <v>1122.0779220779225</v>
      </c>
      <c r="AG56" s="416">
        <v>70.129870129870156</v>
      </c>
      <c r="AH56" s="549">
        <f t="shared" si="47"/>
        <v>10</v>
      </c>
      <c r="AI56" s="645"/>
      <c r="AJ56" s="549">
        <v>16</v>
      </c>
      <c r="AK56" s="416">
        <v>1124.835164835165</v>
      </c>
      <c r="AL56" s="416">
        <v>70.30219780219781</v>
      </c>
      <c r="AM56" s="549">
        <f t="shared" si="49"/>
        <v>10</v>
      </c>
      <c r="AN56" s="645"/>
      <c r="AO56" s="549">
        <v>16</v>
      </c>
      <c r="AP56" s="416">
        <v>1128.8235294117642</v>
      </c>
      <c r="AQ56" s="416">
        <v>70.551470588235262</v>
      </c>
      <c r="AR56" s="549">
        <f t="shared" si="51"/>
        <v>11</v>
      </c>
      <c r="AS56" s="645"/>
      <c r="AT56" s="549">
        <v>16</v>
      </c>
      <c r="AU56" s="416">
        <v>1128.1132075471696</v>
      </c>
      <c r="AV56" s="416">
        <v>70.507075471698101</v>
      </c>
      <c r="AW56" s="549">
        <f t="shared" si="53"/>
        <v>10</v>
      </c>
      <c r="AX56" s="645"/>
      <c r="AZ56" s="479" t="e">
        <f t="shared" si="55"/>
        <v>#N/A</v>
      </c>
      <c r="BA56" s="645"/>
    </row>
    <row r="57" spans="2:53">
      <c r="B57" s="643"/>
      <c r="C57" s="411">
        <v>11</v>
      </c>
      <c r="D57" s="225" t="s">
        <v>747</v>
      </c>
      <c r="E57" s="416">
        <v>7</v>
      </c>
      <c r="F57" s="495">
        <v>1500</v>
      </c>
      <c r="G57" s="496">
        <v>214.28571428571428</v>
      </c>
      <c r="H57" s="680"/>
      <c r="I57" s="413">
        <f t="shared" si="38"/>
        <v>7</v>
      </c>
      <c r="J57" s="413">
        <f t="shared" si="39"/>
        <v>1475.8955738726011</v>
      </c>
      <c r="K57" s="199">
        <f t="shared" si="40"/>
        <v>210.842224838943</v>
      </c>
      <c r="L57" s="617"/>
      <c r="M57" s="481">
        <f>RANK(K57, K$47:$K$61)</f>
        <v>3</v>
      </c>
      <c r="N57" s="635"/>
      <c r="O57" s="635"/>
      <c r="P57" s="549">
        <v>7</v>
      </c>
      <c r="Q57" s="416">
        <v>1487.3684210526321</v>
      </c>
      <c r="R57" s="416">
        <v>212.48120300751887</v>
      </c>
      <c r="S57" s="549">
        <f t="shared" si="41"/>
        <v>2</v>
      </c>
      <c r="T57" s="645"/>
      <c r="U57" s="549">
        <v>7</v>
      </c>
      <c r="V57" s="416">
        <v>1483.0588235294117</v>
      </c>
      <c r="W57" s="416">
        <v>211.8655462184874</v>
      </c>
      <c r="X57" s="549">
        <f t="shared" si="43"/>
        <v>2</v>
      </c>
      <c r="Y57" s="645"/>
      <c r="Z57" s="549">
        <v>7</v>
      </c>
      <c r="AA57" s="416">
        <v>1471.4018691588783</v>
      </c>
      <c r="AB57" s="416">
        <v>210.20026702269689</v>
      </c>
      <c r="AC57" s="549">
        <f t="shared" si="45"/>
        <v>4</v>
      </c>
      <c r="AD57" s="645"/>
      <c r="AE57" s="549">
        <v>7</v>
      </c>
      <c r="AF57" s="416">
        <v>1485.4411764705883</v>
      </c>
      <c r="AG57" s="416">
        <v>212.20588235294119</v>
      </c>
      <c r="AH57" s="549">
        <f t="shared" si="47"/>
        <v>2</v>
      </c>
      <c r="AI57" s="645"/>
      <c r="AJ57" s="549">
        <v>7</v>
      </c>
      <c r="AK57" s="416">
        <v>1458.5365853658541</v>
      </c>
      <c r="AL57" s="416">
        <v>208.36236933797915</v>
      </c>
      <c r="AM57" s="549">
        <f t="shared" si="49"/>
        <v>5</v>
      </c>
      <c r="AN57" s="645"/>
      <c r="AO57" s="549">
        <v>7</v>
      </c>
      <c r="AP57" s="416">
        <v>1472.0270270270266</v>
      </c>
      <c r="AQ57" s="416">
        <v>210.28957528957523</v>
      </c>
      <c r="AR57" s="549">
        <f t="shared" si="51"/>
        <v>3</v>
      </c>
      <c r="AS57" s="645"/>
      <c r="AT57" s="549">
        <v>7</v>
      </c>
      <c r="AU57" s="416">
        <v>1473.4351145038167</v>
      </c>
      <c r="AV57" s="416">
        <v>210.4907306434024</v>
      </c>
      <c r="AW57" s="549">
        <f t="shared" si="53"/>
        <v>3</v>
      </c>
      <c r="AX57" s="645"/>
      <c r="AZ57" s="479" t="e">
        <f t="shared" si="55"/>
        <v>#N/A</v>
      </c>
      <c r="BA57" s="645"/>
    </row>
    <row r="58" spans="2:53">
      <c r="B58" s="643"/>
      <c r="C58" s="411">
        <v>12</v>
      </c>
      <c r="D58" s="225"/>
      <c r="E58" s="416"/>
      <c r="F58" s="495"/>
      <c r="G58" s="496"/>
      <c r="H58" s="680"/>
      <c r="I58" s="413" t="str">
        <f t="shared" si="38"/>
        <v>-</v>
      </c>
      <c r="J58" s="413" t="str">
        <f t="shared" si="39"/>
        <v>-</v>
      </c>
      <c r="K58" s="199" t="str">
        <f t="shared" si="40"/>
        <v>-</v>
      </c>
      <c r="L58" s="617"/>
      <c r="M58" s="481" t="e">
        <f>RANK(K58, K$47:$K$61)</f>
        <v>#VALUE!</v>
      </c>
      <c r="N58" s="635"/>
      <c r="O58" s="635"/>
      <c r="P58" s="549" t="s">
        <v>615</v>
      </c>
      <c r="Q58" s="416" t="s">
        <v>615</v>
      </c>
      <c r="R58" s="416" t="s">
        <v>615</v>
      </c>
      <c r="S58" s="549" t="e">
        <f t="shared" si="41"/>
        <v>#VALUE!</v>
      </c>
      <c r="T58" s="645"/>
      <c r="U58" s="549" t="s">
        <v>615</v>
      </c>
      <c r="V58" s="416" t="s">
        <v>615</v>
      </c>
      <c r="W58" s="416" t="s">
        <v>615</v>
      </c>
      <c r="X58" s="549" t="e">
        <f t="shared" si="43"/>
        <v>#VALUE!</v>
      </c>
      <c r="Y58" s="645"/>
      <c r="Z58" s="549" t="s">
        <v>615</v>
      </c>
      <c r="AA58" s="416" t="s">
        <v>615</v>
      </c>
      <c r="AB58" s="416" t="s">
        <v>615</v>
      </c>
      <c r="AC58" s="549" t="e">
        <f t="shared" si="45"/>
        <v>#VALUE!</v>
      </c>
      <c r="AD58" s="645"/>
      <c r="AE58" s="549" t="s">
        <v>615</v>
      </c>
      <c r="AF58" s="416" t="s">
        <v>615</v>
      </c>
      <c r="AG58" s="416" t="s">
        <v>615</v>
      </c>
      <c r="AH58" s="549" t="e">
        <f t="shared" si="47"/>
        <v>#VALUE!</v>
      </c>
      <c r="AI58" s="645"/>
      <c r="AJ58" s="549" t="s">
        <v>615</v>
      </c>
      <c r="AK58" s="416" t="s">
        <v>615</v>
      </c>
      <c r="AL58" s="416" t="s">
        <v>615</v>
      </c>
      <c r="AM58" s="549" t="e">
        <f t="shared" si="49"/>
        <v>#VALUE!</v>
      </c>
      <c r="AN58" s="645"/>
      <c r="AO58" s="549" t="s">
        <v>615</v>
      </c>
      <c r="AP58" s="416" t="s">
        <v>615</v>
      </c>
      <c r="AQ58" s="416" t="s">
        <v>615</v>
      </c>
      <c r="AR58" s="549" t="e">
        <f t="shared" si="51"/>
        <v>#VALUE!</v>
      </c>
      <c r="AS58" s="645"/>
      <c r="AT58" s="549" t="s">
        <v>615</v>
      </c>
      <c r="AU58" s="416" t="s">
        <v>615</v>
      </c>
      <c r="AV58" s="416" t="s">
        <v>615</v>
      </c>
      <c r="AW58" s="549" t="e">
        <f t="shared" si="53"/>
        <v>#VALUE!</v>
      </c>
      <c r="AX58" s="645"/>
      <c r="AZ58" s="479" t="e">
        <f t="shared" si="55"/>
        <v>#N/A</v>
      </c>
      <c r="BA58" s="645"/>
    </row>
    <row r="59" spans="2:53">
      <c r="B59" s="643"/>
      <c r="C59" s="411">
        <v>13</v>
      </c>
      <c r="D59" s="225"/>
      <c r="E59" s="416"/>
      <c r="F59" s="495"/>
      <c r="G59" s="496"/>
      <c r="H59" s="680"/>
      <c r="I59" s="413" t="str">
        <f t="shared" si="38"/>
        <v>-</v>
      </c>
      <c r="J59" s="413" t="str">
        <f t="shared" si="39"/>
        <v>-</v>
      </c>
      <c r="K59" s="199" t="str">
        <f t="shared" si="40"/>
        <v>-</v>
      </c>
      <c r="L59" s="617"/>
      <c r="M59" s="481" t="e">
        <f>RANK(K59, K$47:$K$61)</f>
        <v>#VALUE!</v>
      </c>
      <c r="N59" s="635"/>
      <c r="O59" s="635"/>
      <c r="P59" s="549" t="s">
        <v>615</v>
      </c>
      <c r="Q59" s="416" t="s">
        <v>615</v>
      </c>
      <c r="R59" s="416" t="s">
        <v>615</v>
      </c>
      <c r="S59" s="549" t="e">
        <f t="shared" si="41"/>
        <v>#VALUE!</v>
      </c>
      <c r="T59" s="645"/>
      <c r="U59" s="549" t="s">
        <v>615</v>
      </c>
      <c r="V59" s="416" t="s">
        <v>615</v>
      </c>
      <c r="W59" s="416" t="s">
        <v>615</v>
      </c>
      <c r="X59" s="549" t="e">
        <f t="shared" si="43"/>
        <v>#VALUE!</v>
      </c>
      <c r="Y59" s="645"/>
      <c r="Z59" s="549" t="s">
        <v>615</v>
      </c>
      <c r="AA59" s="416" t="s">
        <v>615</v>
      </c>
      <c r="AB59" s="416" t="s">
        <v>615</v>
      </c>
      <c r="AC59" s="549" t="e">
        <f t="shared" si="45"/>
        <v>#VALUE!</v>
      </c>
      <c r="AD59" s="645"/>
      <c r="AE59" s="549" t="s">
        <v>615</v>
      </c>
      <c r="AF59" s="416" t="s">
        <v>615</v>
      </c>
      <c r="AG59" s="416" t="s">
        <v>615</v>
      </c>
      <c r="AH59" s="549" t="e">
        <f t="shared" si="47"/>
        <v>#VALUE!</v>
      </c>
      <c r="AI59" s="645"/>
      <c r="AJ59" s="549" t="s">
        <v>615</v>
      </c>
      <c r="AK59" s="416" t="s">
        <v>615</v>
      </c>
      <c r="AL59" s="416" t="s">
        <v>615</v>
      </c>
      <c r="AM59" s="549" t="e">
        <f t="shared" si="49"/>
        <v>#VALUE!</v>
      </c>
      <c r="AN59" s="645"/>
      <c r="AO59" s="549" t="s">
        <v>615</v>
      </c>
      <c r="AP59" s="416" t="s">
        <v>615</v>
      </c>
      <c r="AQ59" s="416" t="s">
        <v>615</v>
      </c>
      <c r="AR59" s="549" t="e">
        <f t="shared" si="51"/>
        <v>#VALUE!</v>
      </c>
      <c r="AS59" s="645"/>
      <c r="AT59" s="549" t="s">
        <v>615</v>
      </c>
      <c r="AU59" s="416" t="s">
        <v>615</v>
      </c>
      <c r="AV59" s="416" t="s">
        <v>615</v>
      </c>
      <c r="AW59" s="549" t="e">
        <f t="shared" si="53"/>
        <v>#VALUE!</v>
      </c>
      <c r="AX59" s="645"/>
      <c r="AZ59" s="479" t="e">
        <f t="shared" si="55"/>
        <v>#N/A</v>
      </c>
      <c r="BA59" s="645"/>
    </row>
    <row r="60" spans="2:53">
      <c r="B60" s="643"/>
      <c r="C60" s="411">
        <v>14</v>
      </c>
      <c r="D60" s="225"/>
      <c r="E60" s="416"/>
      <c r="F60" s="495"/>
      <c r="G60" s="496"/>
      <c r="H60" s="680"/>
      <c r="I60" s="413" t="str">
        <f t="shared" si="38"/>
        <v>-</v>
      </c>
      <c r="J60" s="413" t="str">
        <f t="shared" si="39"/>
        <v>-</v>
      </c>
      <c r="K60" s="199" t="str">
        <f t="shared" si="40"/>
        <v>-</v>
      </c>
      <c r="L60" s="617"/>
      <c r="M60" s="481" t="e">
        <f>RANK(K60, K$47:$K$61)</f>
        <v>#VALUE!</v>
      </c>
      <c r="N60" s="635"/>
      <c r="O60" s="635"/>
      <c r="P60" s="549" t="s">
        <v>615</v>
      </c>
      <c r="Q60" s="416" t="s">
        <v>615</v>
      </c>
      <c r="R60" s="416" t="s">
        <v>615</v>
      </c>
      <c r="S60" s="549" t="e">
        <f t="shared" si="41"/>
        <v>#VALUE!</v>
      </c>
      <c r="T60" s="645"/>
      <c r="U60" s="549" t="s">
        <v>615</v>
      </c>
      <c r="V60" s="416" t="s">
        <v>615</v>
      </c>
      <c r="W60" s="416" t="s">
        <v>615</v>
      </c>
      <c r="X60" s="549" t="e">
        <f t="shared" si="43"/>
        <v>#VALUE!</v>
      </c>
      <c r="Y60" s="645"/>
      <c r="Z60" s="549" t="s">
        <v>615</v>
      </c>
      <c r="AA60" s="416" t="s">
        <v>615</v>
      </c>
      <c r="AB60" s="416" t="s">
        <v>615</v>
      </c>
      <c r="AC60" s="549" t="e">
        <f t="shared" si="45"/>
        <v>#VALUE!</v>
      </c>
      <c r="AD60" s="645"/>
      <c r="AE60" s="549" t="s">
        <v>615</v>
      </c>
      <c r="AF60" s="416" t="s">
        <v>615</v>
      </c>
      <c r="AG60" s="416" t="s">
        <v>615</v>
      </c>
      <c r="AH60" s="549" t="e">
        <f t="shared" si="47"/>
        <v>#VALUE!</v>
      </c>
      <c r="AI60" s="645"/>
      <c r="AJ60" s="549" t="s">
        <v>615</v>
      </c>
      <c r="AK60" s="416" t="s">
        <v>615</v>
      </c>
      <c r="AL60" s="416" t="s">
        <v>615</v>
      </c>
      <c r="AM60" s="549" t="e">
        <f t="shared" si="49"/>
        <v>#VALUE!</v>
      </c>
      <c r="AN60" s="645"/>
      <c r="AO60" s="549" t="s">
        <v>615</v>
      </c>
      <c r="AP60" s="416" t="s">
        <v>615</v>
      </c>
      <c r="AQ60" s="416" t="s">
        <v>615</v>
      </c>
      <c r="AR60" s="549" t="e">
        <f t="shared" si="51"/>
        <v>#VALUE!</v>
      </c>
      <c r="AS60" s="645"/>
      <c r="AT60" s="549" t="s">
        <v>615</v>
      </c>
      <c r="AU60" s="416" t="s">
        <v>615</v>
      </c>
      <c r="AV60" s="416" t="s">
        <v>615</v>
      </c>
      <c r="AW60" s="549" t="e">
        <f t="shared" si="53"/>
        <v>#VALUE!</v>
      </c>
      <c r="AX60" s="645"/>
      <c r="AZ60" s="479" t="e">
        <f t="shared" si="55"/>
        <v>#N/A</v>
      </c>
      <c r="BA60" s="645"/>
    </row>
    <row r="61" spans="2:53">
      <c r="B61" s="643"/>
      <c r="C61" s="411">
        <v>15</v>
      </c>
      <c r="D61" s="225"/>
      <c r="E61" s="416"/>
      <c r="F61" s="495"/>
      <c r="G61" s="496"/>
      <c r="H61" s="684"/>
      <c r="I61" s="411"/>
      <c r="J61" s="411"/>
      <c r="K61" s="411"/>
      <c r="L61" s="618"/>
      <c r="M61" s="481" t="e">
        <f>RANK(K61, K$47:$K$61)</f>
        <v>#N/A</v>
      </c>
      <c r="N61" s="635"/>
      <c r="O61" s="635"/>
      <c r="P61" s="549" t="s">
        <v>615</v>
      </c>
      <c r="Q61" s="416" t="s">
        <v>615</v>
      </c>
      <c r="R61" s="416" t="s">
        <v>615</v>
      </c>
      <c r="S61" s="549" t="e">
        <f t="shared" si="41"/>
        <v>#VALUE!</v>
      </c>
      <c r="T61" s="646"/>
      <c r="U61" s="549" t="s">
        <v>615</v>
      </c>
      <c r="V61" s="416" t="s">
        <v>615</v>
      </c>
      <c r="W61" s="416" t="s">
        <v>615</v>
      </c>
      <c r="X61" s="549" t="e">
        <f t="shared" si="43"/>
        <v>#VALUE!</v>
      </c>
      <c r="Y61" s="646"/>
      <c r="Z61" s="549" t="s">
        <v>615</v>
      </c>
      <c r="AA61" s="416" t="s">
        <v>615</v>
      </c>
      <c r="AB61" s="416" t="s">
        <v>615</v>
      </c>
      <c r="AC61" s="549" t="e">
        <f t="shared" si="45"/>
        <v>#VALUE!</v>
      </c>
      <c r="AD61" s="646"/>
      <c r="AE61" s="549" t="s">
        <v>615</v>
      </c>
      <c r="AF61" s="416" t="s">
        <v>615</v>
      </c>
      <c r="AG61" s="416" t="s">
        <v>615</v>
      </c>
      <c r="AH61" s="549" t="e">
        <f t="shared" si="47"/>
        <v>#VALUE!</v>
      </c>
      <c r="AI61" s="646"/>
      <c r="AJ61" s="549" t="s">
        <v>615</v>
      </c>
      <c r="AK61" s="416" t="s">
        <v>615</v>
      </c>
      <c r="AL61" s="416" t="s">
        <v>615</v>
      </c>
      <c r="AM61" s="549" t="e">
        <f t="shared" si="49"/>
        <v>#VALUE!</v>
      </c>
      <c r="AN61" s="646"/>
      <c r="AO61" s="549" t="s">
        <v>615</v>
      </c>
      <c r="AP61" s="416" t="s">
        <v>615</v>
      </c>
      <c r="AQ61" s="416" t="s">
        <v>615</v>
      </c>
      <c r="AR61" s="549" t="e">
        <f t="shared" si="51"/>
        <v>#VALUE!</v>
      </c>
      <c r="AS61" s="646"/>
      <c r="AT61" s="549" t="s">
        <v>615</v>
      </c>
      <c r="AU61" s="416" t="s">
        <v>615</v>
      </c>
      <c r="AV61" s="416" t="s">
        <v>615</v>
      </c>
      <c r="AW61" s="549" t="e">
        <f t="shared" si="53"/>
        <v>#VALUE!</v>
      </c>
      <c r="AX61" s="646"/>
      <c r="AZ61" s="479" t="e">
        <f t="shared" si="55"/>
        <v>#N/A</v>
      </c>
      <c r="BA61" s="646"/>
    </row>
    <row r="62" spans="2:53" ht="15.75">
      <c r="B62" s="647" t="s">
        <v>163</v>
      </c>
      <c r="C62" s="648"/>
      <c r="D62" s="648"/>
      <c r="E62" s="648"/>
      <c r="F62" s="648"/>
      <c r="G62" s="648"/>
      <c r="H62" s="649"/>
      <c r="I62" s="207"/>
      <c r="J62" s="207"/>
      <c r="K62" s="207"/>
      <c r="L62" s="207"/>
      <c r="M62" s="206"/>
      <c r="N62" s="636" t="s">
        <v>156</v>
      </c>
      <c r="O62" s="636" t="s">
        <v>105</v>
      </c>
      <c r="P62" s="642">
        <f>P42+7</f>
        <v>46189</v>
      </c>
      <c r="Q62" s="643"/>
      <c r="R62" s="643"/>
      <c r="S62" s="643"/>
      <c r="T62" s="643"/>
      <c r="U62" s="639">
        <f>P62+1</f>
        <v>46190</v>
      </c>
      <c r="V62" s="640"/>
      <c r="W62" s="640"/>
      <c r="X62" s="640"/>
      <c r="Y62" s="641"/>
      <c r="Z62" s="639">
        <f>U62+1</f>
        <v>46191</v>
      </c>
      <c r="AA62" s="640"/>
      <c r="AB62" s="640"/>
      <c r="AC62" s="640"/>
      <c r="AD62" s="641"/>
      <c r="AE62" s="639">
        <f>Z62+1</f>
        <v>46192</v>
      </c>
      <c r="AF62" s="640"/>
      <c r="AG62" s="640"/>
      <c r="AH62" s="640"/>
      <c r="AI62" s="641"/>
      <c r="AJ62" s="639">
        <f>AE62+1</f>
        <v>46193</v>
      </c>
      <c r="AK62" s="640"/>
      <c r="AL62" s="640"/>
      <c r="AM62" s="640"/>
      <c r="AN62" s="641"/>
      <c r="AO62" s="639">
        <f>AJ62+1</f>
        <v>46194</v>
      </c>
      <c r="AP62" s="640"/>
      <c r="AQ62" s="640"/>
      <c r="AR62" s="640"/>
      <c r="AS62" s="641"/>
      <c r="AT62" s="639">
        <f>AO62+1</f>
        <v>46195</v>
      </c>
      <c r="AU62" s="640"/>
      <c r="AV62" s="640"/>
      <c r="AW62" s="640"/>
      <c r="AX62" s="641"/>
    </row>
    <row r="63" spans="2:53" ht="15.75">
      <c r="B63" s="650"/>
      <c r="C63" s="650"/>
      <c r="D63" s="650"/>
      <c r="E63" s="650"/>
      <c r="F63" s="650"/>
      <c r="G63" s="650"/>
      <c r="H63" s="650"/>
      <c r="I63" s="204"/>
      <c r="J63" s="204"/>
      <c r="K63" s="204"/>
      <c r="L63" s="204"/>
      <c r="M63" s="205"/>
      <c r="N63" s="638"/>
      <c r="O63" s="638"/>
      <c r="P63" s="642" t="s">
        <v>318</v>
      </c>
      <c r="Q63" s="643"/>
      <c r="R63" s="643"/>
      <c r="S63" s="643"/>
      <c r="T63" s="643"/>
      <c r="U63" s="642" t="s">
        <v>319</v>
      </c>
      <c r="V63" s="643"/>
      <c r="W63" s="643"/>
      <c r="X63" s="643"/>
      <c r="Y63" s="643"/>
      <c r="Z63" s="642" t="s">
        <v>320</v>
      </c>
      <c r="AA63" s="643"/>
      <c r="AB63" s="643"/>
      <c r="AC63" s="643"/>
      <c r="AD63" s="643"/>
      <c r="AE63" s="642" t="s">
        <v>321</v>
      </c>
      <c r="AF63" s="643"/>
      <c r="AG63" s="643"/>
      <c r="AH63" s="643"/>
      <c r="AI63" s="643"/>
      <c r="AJ63" s="642" t="s">
        <v>322</v>
      </c>
      <c r="AK63" s="643"/>
      <c r="AL63" s="643"/>
      <c r="AM63" s="643"/>
      <c r="AN63" s="643"/>
      <c r="AO63" s="642" t="s">
        <v>323</v>
      </c>
      <c r="AP63" s="643"/>
      <c r="AQ63" s="643"/>
      <c r="AR63" s="643"/>
      <c r="AS63" s="643"/>
      <c r="AT63" s="642" t="s">
        <v>324</v>
      </c>
      <c r="AU63" s="643"/>
      <c r="AV63" s="643"/>
      <c r="AW63" s="643"/>
      <c r="AX63" s="643"/>
    </row>
    <row r="64" spans="2:53">
      <c r="B64" s="635" t="s">
        <v>417</v>
      </c>
      <c r="C64" s="635" t="s">
        <v>549</v>
      </c>
      <c r="D64" s="635"/>
      <c r="E64" s="635" t="s">
        <v>550</v>
      </c>
      <c r="F64" s="635"/>
      <c r="G64" s="635"/>
      <c r="H64" s="651" t="s">
        <v>551</v>
      </c>
      <c r="I64" s="635" t="s">
        <v>552</v>
      </c>
      <c r="J64" s="635"/>
      <c r="K64" s="635"/>
      <c r="L64" s="651" t="s">
        <v>371</v>
      </c>
      <c r="M64" s="636" t="s">
        <v>553</v>
      </c>
      <c r="N64" s="635"/>
      <c r="O64" s="635" t="s">
        <v>377</v>
      </c>
      <c r="P64" s="632" t="s">
        <v>373</v>
      </c>
      <c r="Q64" s="633"/>
      <c r="R64" s="633"/>
      <c r="S64" s="634"/>
      <c r="T64" s="635" t="s">
        <v>371</v>
      </c>
      <c r="U64" s="632" t="s">
        <v>373</v>
      </c>
      <c r="V64" s="633"/>
      <c r="W64" s="633"/>
      <c r="X64" s="634"/>
      <c r="Y64" s="635" t="s">
        <v>371</v>
      </c>
      <c r="Z64" s="632" t="s">
        <v>373</v>
      </c>
      <c r="AA64" s="633"/>
      <c r="AB64" s="633"/>
      <c r="AC64" s="634"/>
      <c r="AD64" s="635" t="s">
        <v>371</v>
      </c>
      <c r="AE64" s="632" t="s">
        <v>373</v>
      </c>
      <c r="AF64" s="633"/>
      <c r="AG64" s="633"/>
      <c r="AH64" s="634"/>
      <c r="AI64" s="635" t="s">
        <v>371</v>
      </c>
      <c r="AJ64" s="632" t="s">
        <v>373</v>
      </c>
      <c r="AK64" s="633"/>
      <c r="AL64" s="633"/>
      <c r="AM64" s="634"/>
      <c r="AN64" s="635" t="s">
        <v>371</v>
      </c>
      <c r="AO64" s="632" t="s">
        <v>373</v>
      </c>
      <c r="AP64" s="633"/>
      <c r="AQ64" s="633"/>
      <c r="AR64" s="634"/>
      <c r="AS64" s="635" t="s">
        <v>371</v>
      </c>
      <c r="AT64" s="632" t="s">
        <v>373</v>
      </c>
      <c r="AU64" s="633"/>
      <c r="AV64" s="633"/>
      <c r="AW64" s="634"/>
      <c r="AX64" s="635" t="s">
        <v>371</v>
      </c>
      <c r="BA64" s="635" t="s">
        <v>371</v>
      </c>
    </row>
    <row r="65" spans="2:53">
      <c r="B65" s="635"/>
      <c r="C65" s="635"/>
      <c r="D65" s="635"/>
      <c r="E65" s="635" t="s">
        <v>555</v>
      </c>
      <c r="F65" s="635"/>
      <c r="G65" s="635"/>
      <c r="H65" s="652"/>
      <c r="I65" s="635" t="s">
        <v>555</v>
      </c>
      <c r="J65" s="635"/>
      <c r="K65" s="635"/>
      <c r="L65" s="652"/>
      <c r="M65" s="637"/>
      <c r="N65" s="635"/>
      <c r="O65" s="635"/>
      <c r="P65" s="632" t="s">
        <v>379</v>
      </c>
      <c r="Q65" s="633"/>
      <c r="R65" s="633"/>
      <c r="S65" s="634"/>
      <c r="T65" s="635"/>
      <c r="U65" s="632" t="s">
        <v>379</v>
      </c>
      <c r="V65" s="633"/>
      <c r="W65" s="633"/>
      <c r="X65" s="634"/>
      <c r="Y65" s="635"/>
      <c r="Z65" s="632" t="s">
        <v>379</v>
      </c>
      <c r="AA65" s="633"/>
      <c r="AB65" s="633"/>
      <c r="AC65" s="634"/>
      <c r="AD65" s="635"/>
      <c r="AE65" s="632" t="s">
        <v>379</v>
      </c>
      <c r="AF65" s="633"/>
      <c r="AG65" s="633"/>
      <c r="AH65" s="634"/>
      <c r="AI65" s="635"/>
      <c r="AJ65" s="632" t="s">
        <v>379</v>
      </c>
      <c r="AK65" s="633"/>
      <c r="AL65" s="633"/>
      <c r="AM65" s="634"/>
      <c r="AN65" s="635"/>
      <c r="AO65" s="632" t="s">
        <v>379</v>
      </c>
      <c r="AP65" s="633"/>
      <c r="AQ65" s="633"/>
      <c r="AR65" s="634"/>
      <c r="AS65" s="635"/>
      <c r="AT65" s="632" t="s">
        <v>379</v>
      </c>
      <c r="AU65" s="633"/>
      <c r="AV65" s="633"/>
      <c r="AW65" s="634"/>
      <c r="AX65" s="635"/>
      <c r="BA65" s="635"/>
    </row>
    <row r="66" spans="2:53">
      <c r="B66" s="635"/>
      <c r="C66" s="635"/>
      <c r="D66" s="635"/>
      <c r="E66" s="408" t="s">
        <v>556</v>
      </c>
      <c r="F66" s="408" t="s">
        <v>557</v>
      </c>
      <c r="G66" s="408" t="s">
        <v>558</v>
      </c>
      <c r="H66" s="653"/>
      <c r="I66" s="408" t="s">
        <v>556</v>
      </c>
      <c r="J66" s="408" t="s">
        <v>557</v>
      </c>
      <c r="K66" s="408" t="s">
        <v>558</v>
      </c>
      <c r="L66" s="653"/>
      <c r="M66" s="638"/>
      <c r="N66" s="635"/>
      <c r="O66" s="635"/>
      <c r="P66" s="408" t="s">
        <v>380</v>
      </c>
      <c r="Q66" s="408" t="s">
        <v>381</v>
      </c>
      <c r="R66" s="408" t="s">
        <v>382</v>
      </c>
      <c r="S66" s="408" t="s">
        <v>372</v>
      </c>
      <c r="T66" s="635"/>
      <c r="U66" s="408" t="s">
        <v>380</v>
      </c>
      <c r="V66" s="408" t="s">
        <v>381</v>
      </c>
      <c r="W66" s="408" t="s">
        <v>382</v>
      </c>
      <c r="X66" s="408" t="s">
        <v>372</v>
      </c>
      <c r="Y66" s="635"/>
      <c r="Z66" s="408" t="s">
        <v>380</v>
      </c>
      <c r="AA66" s="408" t="s">
        <v>381</v>
      </c>
      <c r="AB66" s="408" t="s">
        <v>382</v>
      </c>
      <c r="AC66" s="408" t="s">
        <v>372</v>
      </c>
      <c r="AD66" s="635"/>
      <c r="AE66" s="408" t="s">
        <v>380</v>
      </c>
      <c r="AF66" s="408" t="s">
        <v>381</v>
      </c>
      <c r="AG66" s="408" t="s">
        <v>382</v>
      </c>
      <c r="AH66" s="408" t="s">
        <v>372</v>
      </c>
      <c r="AI66" s="635"/>
      <c r="AJ66" s="408" t="s">
        <v>380</v>
      </c>
      <c r="AK66" s="408" t="s">
        <v>381</v>
      </c>
      <c r="AL66" s="408" t="s">
        <v>382</v>
      </c>
      <c r="AM66" s="408" t="s">
        <v>372</v>
      </c>
      <c r="AN66" s="635"/>
      <c r="AO66" s="408" t="s">
        <v>380</v>
      </c>
      <c r="AP66" s="408" t="s">
        <v>381</v>
      </c>
      <c r="AQ66" s="408" t="s">
        <v>382</v>
      </c>
      <c r="AR66" s="408" t="s">
        <v>372</v>
      </c>
      <c r="AS66" s="635"/>
      <c r="AT66" s="408" t="s">
        <v>380</v>
      </c>
      <c r="AU66" s="408" t="s">
        <v>381</v>
      </c>
      <c r="AV66" s="408" t="s">
        <v>382</v>
      </c>
      <c r="AW66" s="408" t="s">
        <v>372</v>
      </c>
      <c r="AX66" s="635"/>
      <c r="AZ66" s="397" t="s">
        <v>372</v>
      </c>
      <c r="BA66" s="635"/>
    </row>
    <row r="67" spans="2:53">
      <c r="B67" s="635" t="s">
        <v>431</v>
      </c>
      <c r="C67" s="411">
        <v>1</v>
      </c>
      <c r="D67" s="225"/>
      <c r="E67" s="416"/>
      <c r="F67" s="495"/>
      <c r="G67" s="496"/>
      <c r="H67" s="679" t="e">
        <f>AVERAGE(G67:G81)</f>
        <v>#DIV/0!</v>
      </c>
      <c r="I67" s="413" t="str">
        <f t="shared" ref="I67:I80" si="57">IFERROR(AVERAGE(P67,U67,Z67,AE67,AJ67,AO67,AT67),"-")</f>
        <v>-</v>
      </c>
      <c r="J67" s="413" t="str">
        <f t="shared" ref="J67:J80" si="58">IFERROR(AVERAGE(Q67,V67,AA67,AF67,AK67,AP67,AU67),"-")</f>
        <v>-</v>
      </c>
      <c r="K67" s="199" t="str">
        <f t="shared" ref="K67:K80" si="59">IFERROR(AVERAGE(R67,W67,AB67,AG67,AL67,AQ67,AV67),"-")</f>
        <v>-</v>
      </c>
      <c r="L67" s="616" t="str">
        <f>IFERROR(AVERAGE(K67:K81),"-")</f>
        <v>-</v>
      </c>
      <c r="M67" s="417" t="e">
        <f>RANK(K67, K$67:$K$81)</f>
        <v>#VALUE!</v>
      </c>
      <c r="N67" s="635"/>
      <c r="O67" s="635"/>
      <c r="P67" s="483"/>
      <c r="Q67" s="485"/>
      <c r="R67" s="485"/>
      <c r="S67" s="482"/>
      <c r="T67" s="644"/>
      <c r="U67" s="483"/>
      <c r="V67" s="485"/>
      <c r="W67" s="485"/>
      <c r="X67" s="482"/>
      <c r="Y67" s="644"/>
      <c r="Z67" s="483"/>
      <c r="AA67" s="485"/>
      <c r="AB67" s="485"/>
      <c r="AC67" s="482"/>
      <c r="AD67" s="644"/>
      <c r="AE67" s="483"/>
      <c r="AF67" s="485"/>
      <c r="AG67" s="485"/>
      <c r="AH67" s="482"/>
      <c r="AI67" s="644"/>
      <c r="AJ67" s="483"/>
      <c r="AK67" s="485"/>
      <c r="AL67" s="485"/>
      <c r="AM67" s="482"/>
      <c r="AN67" s="644"/>
      <c r="AO67" s="483"/>
      <c r="AP67" s="485"/>
      <c r="AQ67" s="485"/>
      <c r="AR67" s="482"/>
      <c r="AS67" s="644"/>
      <c r="AT67" s="482"/>
      <c r="AU67" s="416"/>
      <c r="AV67" s="416"/>
      <c r="AW67" s="482"/>
      <c r="AX67" s="644"/>
      <c r="AZ67" s="398" t="e">
        <f t="shared" ref="AZ67:AZ81" si="60">RANK(AY67, AY$67:AY$81)</f>
        <v>#N/A</v>
      </c>
      <c r="BA67" s="644" t="e">
        <f t="shared" ref="BA67" si="61">AVERAGE(AY67:AY81)</f>
        <v>#DIV/0!</v>
      </c>
    </row>
    <row r="68" spans="2:53">
      <c r="B68" s="643"/>
      <c r="C68" s="411">
        <v>2</v>
      </c>
      <c r="D68" s="225"/>
      <c r="E68" s="416"/>
      <c r="F68" s="495"/>
      <c r="G68" s="496"/>
      <c r="H68" s="680"/>
      <c r="I68" s="413" t="str">
        <f t="shared" si="57"/>
        <v>-</v>
      </c>
      <c r="J68" s="413" t="str">
        <f t="shared" si="58"/>
        <v>-</v>
      </c>
      <c r="K68" s="199" t="str">
        <f t="shared" si="59"/>
        <v>-</v>
      </c>
      <c r="L68" s="617"/>
      <c r="M68" s="417" t="e">
        <f>RANK(K68, K$67:$K$81)</f>
        <v>#VALUE!</v>
      </c>
      <c r="N68" s="635"/>
      <c r="O68" s="635"/>
      <c r="P68" s="483"/>
      <c r="Q68" s="485"/>
      <c r="R68" s="485"/>
      <c r="S68" s="482"/>
      <c r="T68" s="645"/>
      <c r="U68" s="483"/>
      <c r="V68" s="485"/>
      <c r="W68" s="485"/>
      <c r="X68" s="482"/>
      <c r="Y68" s="645"/>
      <c r="Z68" s="483"/>
      <c r="AA68" s="485"/>
      <c r="AB68" s="485"/>
      <c r="AC68" s="482"/>
      <c r="AD68" s="645"/>
      <c r="AE68" s="483"/>
      <c r="AF68" s="485"/>
      <c r="AG68" s="485"/>
      <c r="AH68" s="482"/>
      <c r="AI68" s="645"/>
      <c r="AJ68" s="483"/>
      <c r="AK68" s="485"/>
      <c r="AL68" s="485"/>
      <c r="AM68" s="482"/>
      <c r="AN68" s="645"/>
      <c r="AO68" s="483"/>
      <c r="AP68" s="485"/>
      <c r="AQ68" s="485"/>
      <c r="AR68" s="482"/>
      <c r="AS68" s="645"/>
      <c r="AT68" s="482"/>
      <c r="AU68" s="416"/>
      <c r="AV68" s="416"/>
      <c r="AW68" s="482"/>
      <c r="AX68" s="645"/>
      <c r="AZ68" s="398" t="e">
        <f t="shared" si="60"/>
        <v>#N/A</v>
      </c>
      <c r="BA68" s="645"/>
    </row>
    <row r="69" spans="2:53">
      <c r="B69" s="643"/>
      <c r="C69" s="411">
        <v>3</v>
      </c>
      <c r="D69" s="225"/>
      <c r="E69" s="416"/>
      <c r="F69" s="495"/>
      <c r="G69" s="496"/>
      <c r="H69" s="680"/>
      <c r="I69" s="413" t="str">
        <f t="shared" si="57"/>
        <v>-</v>
      </c>
      <c r="J69" s="413" t="str">
        <f t="shared" si="58"/>
        <v>-</v>
      </c>
      <c r="K69" s="199" t="str">
        <f t="shared" si="59"/>
        <v>-</v>
      </c>
      <c r="L69" s="617"/>
      <c r="M69" s="417" t="e">
        <f>RANK(K69, K$67:$K$81)</f>
        <v>#VALUE!</v>
      </c>
      <c r="N69" s="635"/>
      <c r="O69" s="635"/>
      <c r="P69" s="483"/>
      <c r="Q69" s="485"/>
      <c r="R69" s="485"/>
      <c r="S69" s="482"/>
      <c r="T69" s="645"/>
      <c r="U69" s="483"/>
      <c r="V69" s="485"/>
      <c r="W69" s="485"/>
      <c r="X69" s="482"/>
      <c r="Y69" s="645"/>
      <c r="Z69" s="483"/>
      <c r="AA69" s="485"/>
      <c r="AB69" s="485"/>
      <c r="AC69" s="482"/>
      <c r="AD69" s="645"/>
      <c r="AE69" s="483"/>
      <c r="AF69" s="485"/>
      <c r="AG69" s="485"/>
      <c r="AH69" s="482"/>
      <c r="AI69" s="645"/>
      <c r="AJ69" s="483"/>
      <c r="AK69" s="485"/>
      <c r="AL69" s="485"/>
      <c r="AM69" s="482"/>
      <c r="AN69" s="645"/>
      <c r="AO69" s="483"/>
      <c r="AP69" s="485"/>
      <c r="AQ69" s="485"/>
      <c r="AR69" s="482"/>
      <c r="AS69" s="645"/>
      <c r="AT69" s="482"/>
      <c r="AU69" s="416"/>
      <c r="AV69" s="416"/>
      <c r="AW69" s="482"/>
      <c r="AX69" s="645"/>
      <c r="AZ69" s="398" t="e">
        <f t="shared" si="60"/>
        <v>#N/A</v>
      </c>
      <c r="BA69" s="645"/>
    </row>
    <row r="70" spans="2:53">
      <c r="B70" s="643"/>
      <c r="C70" s="411">
        <v>4</v>
      </c>
      <c r="D70" s="225"/>
      <c r="E70" s="416"/>
      <c r="F70" s="495"/>
      <c r="G70" s="496"/>
      <c r="H70" s="680"/>
      <c r="I70" s="413" t="str">
        <f t="shared" si="57"/>
        <v>-</v>
      </c>
      <c r="J70" s="413" t="str">
        <f t="shared" si="58"/>
        <v>-</v>
      </c>
      <c r="K70" s="199" t="str">
        <f t="shared" si="59"/>
        <v>-</v>
      </c>
      <c r="L70" s="617"/>
      <c r="M70" s="417" t="e">
        <f>RANK(K70, K$67:$K$81)</f>
        <v>#VALUE!</v>
      </c>
      <c r="N70" s="635"/>
      <c r="O70" s="635"/>
      <c r="P70" s="483"/>
      <c r="Q70" s="485"/>
      <c r="R70" s="485"/>
      <c r="S70" s="482"/>
      <c r="T70" s="645"/>
      <c r="U70" s="483"/>
      <c r="V70" s="485"/>
      <c r="W70" s="485"/>
      <c r="X70" s="482"/>
      <c r="Y70" s="645"/>
      <c r="Z70" s="483"/>
      <c r="AA70" s="485"/>
      <c r="AB70" s="485"/>
      <c r="AC70" s="482"/>
      <c r="AD70" s="645"/>
      <c r="AE70" s="483"/>
      <c r="AF70" s="485"/>
      <c r="AG70" s="485"/>
      <c r="AH70" s="482"/>
      <c r="AI70" s="645"/>
      <c r="AJ70" s="483"/>
      <c r="AK70" s="485"/>
      <c r="AL70" s="485"/>
      <c r="AM70" s="482"/>
      <c r="AN70" s="645"/>
      <c r="AO70" s="483"/>
      <c r="AP70" s="485"/>
      <c r="AQ70" s="485"/>
      <c r="AR70" s="482"/>
      <c r="AS70" s="645"/>
      <c r="AT70" s="482"/>
      <c r="AU70" s="416"/>
      <c r="AV70" s="416"/>
      <c r="AW70" s="482"/>
      <c r="AX70" s="645"/>
      <c r="AZ70" s="398" t="e">
        <f t="shared" si="60"/>
        <v>#N/A</v>
      </c>
      <c r="BA70" s="645"/>
    </row>
    <row r="71" spans="2:53">
      <c r="B71" s="643"/>
      <c r="C71" s="411">
        <v>5</v>
      </c>
      <c r="D71" s="225"/>
      <c r="E71" s="416"/>
      <c r="F71" s="495"/>
      <c r="G71" s="496"/>
      <c r="H71" s="680"/>
      <c r="I71" s="413" t="str">
        <f t="shared" si="57"/>
        <v>-</v>
      </c>
      <c r="J71" s="413" t="str">
        <f t="shared" si="58"/>
        <v>-</v>
      </c>
      <c r="K71" s="199" t="str">
        <f t="shared" si="59"/>
        <v>-</v>
      </c>
      <c r="L71" s="617"/>
      <c r="M71" s="417" t="e">
        <f>RANK(K71, K$67:$K$81)</f>
        <v>#VALUE!</v>
      </c>
      <c r="N71" s="635"/>
      <c r="O71" s="635"/>
      <c r="P71" s="483"/>
      <c r="Q71" s="485"/>
      <c r="R71" s="485"/>
      <c r="S71" s="482"/>
      <c r="T71" s="645"/>
      <c r="U71" s="483"/>
      <c r="V71" s="485"/>
      <c r="W71" s="485"/>
      <c r="X71" s="482"/>
      <c r="Y71" s="645"/>
      <c r="Z71" s="483"/>
      <c r="AA71" s="485"/>
      <c r="AB71" s="485"/>
      <c r="AC71" s="482"/>
      <c r="AD71" s="645"/>
      <c r="AE71" s="483"/>
      <c r="AF71" s="485"/>
      <c r="AG71" s="485"/>
      <c r="AH71" s="482"/>
      <c r="AI71" s="645"/>
      <c r="AJ71" s="483"/>
      <c r="AK71" s="485"/>
      <c r="AL71" s="485"/>
      <c r="AM71" s="482"/>
      <c r="AN71" s="645"/>
      <c r="AO71" s="483"/>
      <c r="AP71" s="485"/>
      <c r="AQ71" s="485"/>
      <c r="AR71" s="482"/>
      <c r="AS71" s="645"/>
      <c r="AT71" s="482"/>
      <c r="AU71" s="416"/>
      <c r="AV71" s="416"/>
      <c r="AW71" s="482"/>
      <c r="AX71" s="645"/>
      <c r="AZ71" s="398" t="e">
        <f t="shared" si="60"/>
        <v>#N/A</v>
      </c>
      <c r="BA71" s="645"/>
    </row>
    <row r="72" spans="2:53">
      <c r="B72" s="643"/>
      <c r="C72" s="411">
        <v>6</v>
      </c>
      <c r="D72" s="225"/>
      <c r="E72" s="416"/>
      <c r="F72" s="495"/>
      <c r="G72" s="496"/>
      <c r="H72" s="680"/>
      <c r="I72" s="413" t="str">
        <f t="shared" si="57"/>
        <v>-</v>
      </c>
      <c r="J72" s="413" t="str">
        <f t="shared" si="58"/>
        <v>-</v>
      </c>
      <c r="K72" s="199" t="str">
        <f t="shared" si="59"/>
        <v>-</v>
      </c>
      <c r="L72" s="617"/>
      <c r="M72" s="417" t="e">
        <f>RANK(K72, K$67:$K$81)</f>
        <v>#VALUE!</v>
      </c>
      <c r="N72" s="635"/>
      <c r="O72" s="635"/>
      <c r="P72" s="483"/>
      <c r="Q72" s="485"/>
      <c r="R72" s="485"/>
      <c r="S72" s="482"/>
      <c r="T72" s="645"/>
      <c r="U72" s="483"/>
      <c r="V72" s="485"/>
      <c r="W72" s="485"/>
      <c r="X72" s="482"/>
      <c r="Y72" s="645"/>
      <c r="Z72" s="483"/>
      <c r="AA72" s="485"/>
      <c r="AB72" s="485"/>
      <c r="AC72" s="482"/>
      <c r="AD72" s="645"/>
      <c r="AE72" s="483"/>
      <c r="AF72" s="485"/>
      <c r="AG72" s="485"/>
      <c r="AH72" s="482"/>
      <c r="AI72" s="645"/>
      <c r="AJ72" s="483"/>
      <c r="AK72" s="485"/>
      <c r="AL72" s="485"/>
      <c r="AM72" s="482"/>
      <c r="AN72" s="645"/>
      <c r="AO72" s="483"/>
      <c r="AP72" s="485"/>
      <c r="AQ72" s="485"/>
      <c r="AR72" s="482"/>
      <c r="AS72" s="645"/>
      <c r="AT72" s="482"/>
      <c r="AU72" s="416"/>
      <c r="AV72" s="416"/>
      <c r="AW72" s="482"/>
      <c r="AX72" s="645"/>
      <c r="AZ72" s="398" t="e">
        <f t="shared" si="60"/>
        <v>#N/A</v>
      </c>
      <c r="BA72" s="645"/>
    </row>
    <row r="73" spans="2:53">
      <c r="B73" s="643"/>
      <c r="C73" s="411">
        <v>7</v>
      </c>
      <c r="D73" s="225"/>
      <c r="E73" s="416"/>
      <c r="F73" s="495"/>
      <c r="G73" s="496"/>
      <c r="H73" s="680"/>
      <c r="I73" s="413" t="str">
        <f t="shared" si="57"/>
        <v>-</v>
      </c>
      <c r="J73" s="413" t="str">
        <f t="shared" si="58"/>
        <v>-</v>
      </c>
      <c r="K73" s="199" t="str">
        <f t="shared" si="59"/>
        <v>-</v>
      </c>
      <c r="L73" s="617"/>
      <c r="M73" s="417" t="e">
        <f>RANK(K73, K$67:$K$81)</f>
        <v>#VALUE!</v>
      </c>
      <c r="N73" s="635"/>
      <c r="O73" s="635"/>
      <c r="P73" s="483"/>
      <c r="Q73" s="485"/>
      <c r="R73" s="485"/>
      <c r="S73" s="482"/>
      <c r="T73" s="645"/>
      <c r="U73" s="483"/>
      <c r="V73" s="485"/>
      <c r="W73" s="485"/>
      <c r="X73" s="482"/>
      <c r="Y73" s="645"/>
      <c r="Z73" s="483"/>
      <c r="AA73" s="485"/>
      <c r="AB73" s="485"/>
      <c r="AC73" s="482"/>
      <c r="AD73" s="645"/>
      <c r="AE73" s="483"/>
      <c r="AF73" s="485"/>
      <c r="AG73" s="485"/>
      <c r="AH73" s="482"/>
      <c r="AI73" s="645"/>
      <c r="AJ73" s="483"/>
      <c r="AK73" s="485"/>
      <c r="AL73" s="485"/>
      <c r="AM73" s="482"/>
      <c r="AN73" s="645"/>
      <c r="AO73" s="483"/>
      <c r="AP73" s="485"/>
      <c r="AQ73" s="485"/>
      <c r="AR73" s="482"/>
      <c r="AS73" s="645"/>
      <c r="AT73" s="482"/>
      <c r="AU73" s="416"/>
      <c r="AV73" s="416"/>
      <c r="AW73" s="482"/>
      <c r="AX73" s="645"/>
      <c r="AZ73" s="398" t="e">
        <f t="shared" si="60"/>
        <v>#N/A</v>
      </c>
      <c r="BA73" s="645"/>
    </row>
    <row r="74" spans="2:53">
      <c r="B74" s="643"/>
      <c r="C74" s="411">
        <v>8</v>
      </c>
      <c r="D74" s="225"/>
      <c r="E74" s="416"/>
      <c r="F74" s="495"/>
      <c r="G74" s="496"/>
      <c r="H74" s="680"/>
      <c r="I74" s="413" t="str">
        <f t="shared" si="57"/>
        <v>-</v>
      </c>
      <c r="J74" s="413" t="str">
        <f t="shared" si="58"/>
        <v>-</v>
      </c>
      <c r="K74" s="199" t="str">
        <f t="shared" si="59"/>
        <v>-</v>
      </c>
      <c r="L74" s="617"/>
      <c r="M74" s="417" t="e">
        <f>RANK(K74, K$67:$K$81)</f>
        <v>#VALUE!</v>
      </c>
      <c r="N74" s="635"/>
      <c r="O74" s="635"/>
      <c r="P74" s="483"/>
      <c r="Q74" s="485"/>
      <c r="R74" s="485"/>
      <c r="S74" s="482"/>
      <c r="T74" s="645"/>
      <c r="U74" s="483"/>
      <c r="V74" s="485"/>
      <c r="W74" s="485"/>
      <c r="X74" s="482"/>
      <c r="Y74" s="645"/>
      <c r="Z74" s="483"/>
      <c r="AA74" s="485"/>
      <c r="AB74" s="485"/>
      <c r="AC74" s="482"/>
      <c r="AD74" s="645"/>
      <c r="AE74" s="483"/>
      <c r="AF74" s="485"/>
      <c r="AG74" s="485"/>
      <c r="AH74" s="482"/>
      <c r="AI74" s="645"/>
      <c r="AJ74" s="483"/>
      <c r="AK74" s="485"/>
      <c r="AL74" s="485"/>
      <c r="AM74" s="482"/>
      <c r="AN74" s="645"/>
      <c r="AO74" s="483"/>
      <c r="AP74" s="485"/>
      <c r="AQ74" s="485"/>
      <c r="AR74" s="482"/>
      <c r="AS74" s="645"/>
      <c r="AT74" s="482"/>
      <c r="AU74" s="416"/>
      <c r="AV74" s="416"/>
      <c r="AW74" s="482"/>
      <c r="AX74" s="645"/>
      <c r="AZ74" s="398" t="e">
        <f t="shared" si="60"/>
        <v>#N/A</v>
      </c>
      <c r="BA74" s="645"/>
    </row>
    <row r="75" spans="2:53">
      <c r="B75" s="643"/>
      <c r="C75" s="411">
        <v>9</v>
      </c>
      <c r="D75" s="225"/>
      <c r="E75" s="416"/>
      <c r="F75" s="495"/>
      <c r="G75" s="496"/>
      <c r="H75" s="680"/>
      <c r="I75" s="413" t="str">
        <f t="shared" si="57"/>
        <v>-</v>
      </c>
      <c r="J75" s="413" t="str">
        <f t="shared" si="58"/>
        <v>-</v>
      </c>
      <c r="K75" s="199" t="str">
        <f t="shared" si="59"/>
        <v>-</v>
      </c>
      <c r="L75" s="617"/>
      <c r="M75" s="417" t="e">
        <f>RANK(K75, K$67:$K$81)</f>
        <v>#VALUE!</v>
      </c>
      <c r="N75" s="635"/>
      <c r="O75" s="635"/>
      <c r="P75" s="483"/>
      <c r="Q75" s="485"/>
      <c r="R75" s="485"/>
      <c r="S75" s="482"/>
      <c r="T75" s="645"/>
      <c r="U75" s="483"/>
      <c r="V75" s="485"/>
      <c r="W75" s="485"/>
      <c r="X75" s="482"/>
      <c r="Y75" s="645"/>
      <c r="Z75" s="483"/>
      <c r="AA75" s="485"/>
      <c r="AB75" s="485"/>
      <c r="AC75" s="482"/>
      <c r="AD75" s="645"/>
      <c r="AE75" s="483"/>
      <c r="AF75" s="485"/>
      <c r="AG75" s="485"/>
      <c r="AH75" s="482"/>
      <c r="AI75" s="645"/>
      <c r="AJ75" s="483"/>
      <c r="AK75" s="485"/>
      <c r="AL75" s="485"/>
      <c r="AM75" s="482"/>
      <c r="AN75" s="645"/>
      <c r="AO75" s="483"/>
      <c r="AP75" s="485"/>
      <c r="AQ75" s="485"/>
      <c r="AR75" s="482"/>
      <c r="AS75" s="645"/>
      <c r="AT75" s="482"/>
      <c r="AU75" s="416"/>
      <c r="AV75" s="416"/>
      <c r="AW75" s="482"/>
      <c r="AX75" s="645"/>
      <c r="AZ75" s="398" t="e">
        <f t="shared" si="60"/>
        <v>#N/A</v>
      </c>
      <c r="BA75" s="645"/>
    </row>
    <row r="76" spans="2:53">
      <c r="B76" s="643"/>
      <c r="C76" s="411">
        <v>10</v>
      </c>
      <c r="D76" s="225"/>
      <c r="E76" s="416"/>
      <c r="F76" s="495"/>
      <c r="G76" s="496"/>
      <c r="H76" s="680"/>
      <c r="I76" s="413" t="str">
        <f t="shared" si="57"/>
        <v>-</v>
      </c>
      <c r="J76" s="413" t="str">
        <f t="shared" si="58"/>
        <v>-</v>
      </c>
      <c r="K76" s="199" t="str">
        <f t="shared" si="59"/>
        <v>-</v>
      </c>
      <c r="L76" s="617"/>
      <c r="M76" s="417" t="e">
        <f>RANK(K76, K$67:$K$81)</f>
        <v>#VALUE!</v>
      </c>
      <c r="N76" s="635"/>
      <c r="O76" s="635"/>
      <c r="P76" s="483"/>
      <c r="Q76" s="485"/>
      <c r="R76" s="485"/>
      <c r="S76" s="482"/>
      <c r="T76" s="645"/>
      <c r="U76" s="483"/>
      <c r="V76" s="485"/>
      <c r="W76" s="485"/>
      <c r="X76" s="482"/>
      <c r="Y76" s="645"/>
      <c r="Z76" s="483"/>
      <c r="AA76" s="485"/>
      <c r="AB76" s="485"/>
      <c r="AC76" s="482"/>
      <c r="AD76" s="645"/>
      <c r="AE76" s="483"/>
      <c r="AF76" s="485"/>
      <c r="AG76" s="485"/>
      <c r="AH76" s="482"/>
      <c r="AI76" s="645"/>
      <c r="AJ76" s="483"/>
      <c r="AK76" s="485"/>
      <c r="AL76" s="485"/>
      <c r="AM76" s="482"/>
      <c r="AN76" s="645"/>
      <c r="AO76" s="483"/>
      <c r="AP76" s="485"/>
      <c r="AQ76" s="485"/>
      <c r="AR76" s="482"/>
      <c r="AS76" s="645"/>
      <c r="AT76" s="482"/>
      <c r="AU76" s="416"/>
      <c r="AV76" s="416"/>
      <c r="AW76" s="482"/>
      <c r="AX76" s="645"/>
      <c r="AZ76" s="398" t="e">
        <f t="shared" si="60"/>
        <v>#N/A</v>
      </c>
      <c r="BA76" s="645"/>
    </row>
    <row r="77" spans="2:53">
      <c r="B77" s="643"/>
      <c r="C77" s="411">
        <v>11</v>
      </c>
      <c r="D77" s="225"/>
      <c r="E77" s="416"/>
      <c r="F77" s="495"/>
      <c r="G77" s="496"/>
      <c r="H77" s="680"/>
      <c r="I77" s="413" t="str">
        <f t="shared" si="57"/>
        <v>-</v>
      </c>
      <c r="J77" s="413" t="str">
        <f t="shared" si="58"/>
        <v>-</v>
      </c>
      <c r="K77" s="199" t="str">
        <f t="shared" si="59"/>
        <v>-</v>
      </c>
      <c r="L77" s="617"/>
      <c r="M77" s="417" t="e">
        <f>RANK(K77, K$67:$K$81)</f>
        <v>#VALUE!</v>
      </c>
      <c r="N77" s="635"/>
      <c r="O77" s="635"/>
      <c r="P77" s="483"/>
      <c r="Q77" s="485"/>
      <c r="R77" s="485"/>
      <c r="S77" s="482"/>
      <c r="T77" s="645"/>
      <c r="U77" s="483"/>
      <c r="V77" s="485"/>
      <c r="W77" s="485"/>
      <c r="X77" s="482"/>
      <c r="Y77" s="645"/>
      <c r="Z77" s="483"/>
      <c r="AA77" s="485"/>
      <c r="AB77" s="485"/>
      <c r="AC77" s="482"/>
      <c r="AD77" s="645"/>
      <c r="AE77" s="483"/>
      <c r="AF77" s="485"/>
      <c r="AG77" s="485"/>
      <c r="AH77" s="482"/>
      <c r="AI77" s="645"/>
      <c r="AJ77" s="483"/>
      <c r="AK77" s="485"/>
      <c r="AL77" s="485"/>
      <c r="AM77" s="482"/>
      <c r="AN77" s="645"/>
      <c r="AO77" s="483"/>
      <c r="AP77" s="485"/>
      <c r="AQ77" s="485"/>
      <c r="AR77" s="482"/>
      <c r="AS77" s="645"/>
      <c r="AT77" s="482"/>
      <c r="AU77" s="416"/>
      <c r="AV77" s="416"/>
      <c r="AW77" s="482"/>
      <c r="AX77" s="645"/>
      <c r="AZ77" s="398" t="e">
        <f t="shared" si="60"/>
        <v>#N/A</v>
      </c>
      <c r="BA77" s="645"/>
    </row>
    <row r="78" spans="2:53">
      <c r="B78" s="643"/>
      <c r="C78" s="411">
        <v>12</v>
      </c>
      <c r="D78" s="225"/>
      <c r="E78" s="416"/>
      <c r="F78" s="495"/>
      <c r="G78" s="496"/>
      <c r="H78" s="680"/>
      <c r="I78" s="413" t="str">
        <f t="shared" si="57"/>
        <v>-</v>
      </c>
      <c r="J78" s="413" t="str">
        <f t="shared" si="58"/>
        <v>-</v>
      </c>
      <c r="K78" s="199" t="str">
        <f t="shared" si="59"/>
        <v>-</v>
      </c>
      <c r="L78" s="617"/>
      <c r="M78" s="417" t="e">
        <f>RANK(K78, K$67:$K$81)</f>
        <v>#VALUE!</v>
      </c>
      <c r="N78" s="635"/>
      <c r="O78" s="635"/>
      <c r="P78" s="483"/>
      <c r="Q78" s="485"/>
      <c r="R78" s="485"/>
      <c r="S78" s="482"/>
      <c r="T78" s="645"/>
      <c r="U78" s="483"/>
      <c r="V78" s="485"/>
      <c r="W78" s="485"/>
      <c r="X78" s="482"/>
      <c r="Y78" s="645"/>
      <c r="Z78" s="483"/>
      <c r="AA78" s="485"/>
      <c r="AB78" s="485"/>
      <c r="AC78" s="482"/>
      <c r="AD78" s="645"/>
      <c r="AE78" s="483"/>
      <c r="AF78" s="485"/>
      <c r="AG78" s="485"/>
      <c r="AH78" s="482"/>
      <c r="AI78" s="645"/>
      <c r="AJ78" s="483"/>
      <c r="AK78" s="485"/>
      <c r="AL78" s="485"/>
      <c r="AM78" s="482"/>
      <c r="AN78" s="645"/>
      <c r="AO78" s="483"/>
      <c r="AP78" s="485"/>
      <c r="AQ78" s="485"/>
      <c r="AR78" s="482"/>
      <c r="AS78" s="645"/>
      <c r="AT78" s="482"/>
      <c r="AU78" s="416"/>
      <c r="AV78" s="416"/>
      <c r="AW78" s="482"/>
      <c r="AX78" s="645"/>
      <c r="AZ78" s="398" t="e">
        <f t="shared" si="60"/>
        <v>#N/A</v>
      </c>
      <c r="BA78" s="645"/>
    </row>
    <row r="79" spans="2:53">
      <c r="B79" s="643"/>
      <c r="C79" s="411">
        <v>13</v>
      </c>
      <c r="D79" s="225"/>
      <c r="E79" s="416"/>
      <c r="F79" s="495"/>
      <c r="G79" s="496"/>
      <c r="H79" s="680"/>
      <c r="I79" s="413" t="str">
        <f t="shared" si="57"/>
        <v>-</v>
      </c>
      <c r="J79" s="413" t="str">
        <f t="shared" si="58"/>
        <v>-</v>
      </c>
      <c r="K79" s="199" t="str">
        <f t="shared" si="59"/>
        <v>-</v>
      </c>
      <c r="L79" s="617"/>
      <c r="M79" s="417" t="e">
        <f>RANK(K79, K$67:$K$81)</f>
        <v>#VALUE!</v>
      </c>
      <c r="N79" s="635"/>
      <c r="O79" s="635"/>
      <c r="P79" s="483"/>
      <c r="Q79" s="485"/>
      <c r="R79" s="485"/>
      <c r="S79" s="482"/>
      <c r="T79" s="645"/>
      <c r="U79" s="483"/>
      <c r="V79" s="485"/>
      <c r="W79" s="485"/>
      <c r="X79" s="482"/>
      <c r="Y79" s="645"/>
      <c r="Z79" s="483"/>
      <c r="AA79" s="485"/>
      <c r="AB79" s="485"/>
      <c r="AC79" s="482"/>
      <c r="AD79" s="645"/>
      <c r="AE79" s="483"/>
      <c r="AF79" s="485"/>
      <c r="AG79" s="485"/>
      <c r="AH79" s="482"/>
      <c r="AI79" s="645"/>
      <c r="AJ79" s="483"/>
      <c r="AK79" s="485"/>
      <c r="AL79" s="485"/>
      <c r="AM79" s="482"/>
      <c r="AN79" s="645"/>
      <c r="AO79" s="483"/>
      <c r="AP79" s="485"/>
      <c r="AQ79" s="485"/>
      <c r="AR79" s="482"/>
      <c r="AS79" s="645"/>
      <c r="AT79" s="482"/>
      <c r="AU79" s="416"/>
      <c r="AV79" s="416"/>
      <c r="AW79" s="482"/>
      <c r="AX79" s="645"/>
      <c r="AZ79" s="398" t="e">
        <f t="shared" si="60"/>
        <v>#N/A</v>
      </c>
      <c r="BA79" s="645"/>
    </row>
    <row r="80" spans="2:53">
      <c r="B80" s="643"/>
      <c r="C80" s="411">
        <v>14</v>
      </c>
      <c r="D80" s="225"/>
      <c r="E80" s="416"/>
      <c r="F80" s="495"/>
      <c r="G80" s="496"/>
      <c r="H80" s="680"/>
      <c r="I80" s="413" t="str">
        <f t="shared" si="57"/>
        <v>-</v>
      </c>
      <c r="J80" s="413" t="str">
        <f t="shared" si="58"/>
        <v>-</v>
      </c>
      <c r="K80" s="199" t="str">
        <f t="shared" si="59"/>
        <v>-</v>
      </c>
      <c r="L80" s="617"/>
      <c r="M80" s="417" t="e">
        <f>RANK(K80, K$67:$K$81)</f>
        <v>#VALUE!</v>
      </c>
      <c r="N80" s="635"/>
      <c r="O80" s="635"/>
      <c r="P80" s="483"/>
      <c r="Q80" s="485"/>
      <c r="R80" s="485"/>
      <c r="S80" s="482"/>
      <c r="T80" s="645"/>
      <c r="U80" s="483"/>
      <c r="V80" s="485"/>
      <c r="W80" s="485"/>
      <c r="X80" s="482"/>
      <c r="Y80" s="645"/>
      <c r="Z80" s="483"/>
      <c r="AA80" s="485"/>
      <c r="AB80" s="485"/>
      <c r="AC80" s="482"/>
      <c r="AD80" s="645"/>
      <c r="AE80" s="483"/>
      <c r="AF80" s="485"/>
      <c r="AG80" s="485"/>
      <c r="AH80" s="482"/>
      <c r="AI80" s="645"/>
      <c r="AJ80" s="483"/>
      <c r="AK80" s="485"/>
      <c r="AL80" s="485"/>
      <c r="AM80" s="482"/>
      <c r="AN80" s="645"/>
      <c r="AO80" s="483"/>
      <c r="AP80" s="485"/>
      <c r="AQ80" s="485"/>
      <c r="AR80" s="482"/>
      <c r="AS80" s="645"/>
      <c r="AT80" s="482"/>
      <c r="AU80" s="416"/>
      <c r="AV80" s="416"/>
      <c r="AW80" s="482"/>
      <c r="AX80" s="645"/>
      <c r="AZ80" s="398" t="e">
        <f t="shared" si="60"/>
        <v>#N/A</v>
      </c>
      <c r="BA80" s="645"/>
    </row>
    <row r="81" spans="2:53">
      <c r="B81" s="643"/>
      <c r="C81" s="411">
        <v>15</v>
      </c>
      <c r="D81" s="225"/>
      <c r="E81" s="416"/>
      <c r="F81" s="495"/>
      <c r="G81" s="496"/>
      <c r="H81" s="684"/>
      <c r="I81" s="411"/>
      <c r="J81" s="411"/>
      <c r="K81" s="411"/>
      <c r="L81" s="618"/>
      <c r="M81" s="417" t="e">
        <f>RANK(K81, K$47:$K$61)</f>
        <v>#N/A</v>
      </c>
      <c r="N81" s="635"/>
      <c r="O81" s="635"/>
      <c r="P81" s="483"/>
      <c r="Q81" s="485"/>
      <c r="R81" s="485"/>
      <c r="S81" s="482"/>
      <c r="T81" s="646"/>
      <c r="U81" s="483"/>
      <c r="V81" s="485"/>
      <c r="W81" s="485"/>
      <c r="X81" s="482"/>
      <c r="Y81" s="646"/>
      <c r="Z81" s="483"/>
      <c r="AA81" s="485"/>
      <c r="AB81" s="485"/>
      <c r="AC81" s="482"/>
      <c r="AD81" s="646"/>
      <c r="AE81" s="483"/>
      <c r="AF81" s="485"/>
      <c r="AG81" s="485"/>
      <c r="AH81" s="482"/>
      <c r="AI81" s="646"/>
      <c r="AJ81" s="483"/>
      <c r="AK81" s="485"/>
      <c r="AL81" s="485"/>
      <c r="AM81" s="482"/>
      <c r="AN81" s="646"/>
      <c r="AO81" s="483"/>
      <c r="AP81" s="485"/>
      <c r="AQ81" s="485"/>
      <c r="AR81" s="482"/>
      <c r="AS81" s="646"/>
      <c r="AT81" s="482"/>
      <c r="AU81" s="416"/>
      <c r="AV81" s="416"/>
      <c r="AW81" s="482"/>
      <c r="AX81" s="646"/>
      <c r="AZ81" s="398" t="e">
        <f t="shared" si="60"/>
        <v>#N/A</v>
      </c>
      <c r="BA81" s="646"/>
    </row>
    <row r="82" spans="2:53" ht="15.75">
      <c r="B82" s="647" t="s">
        <v>163</v>
      </c>
      <c r="C82" s="648"/>
      <c r="D82" s="648"/>
      <c r="E82" s="648"/>
      <c r="F82" s="648"/>
      <c r="G82" s="648"/>
      <c r="H82" s="649"/>
      <c r="I82" s="207"/>
      <c r="J82" s="207"/>
      <c r="K82" s="207"/>
      <c r="L82" s="207"/>
      <c r="M82" s="206"/>
      <c r="N82" s="636" t="s">
        <v>156</v>
      </c>
      <c r="O82" s="636" t="s">
        <v>105</v>
      </c>
      <c r="P82" s="642">
        <f>P62+7</f>
        <v>46196</v>
      </c>
      <c r="Q82" s="643"/>
      <c r="R82" s="643"/>
      <c r="S82" s="643"/>
      <c r="T82" s="643"/>
      <c r="U82" s="639">
        <f>P82+1</f>
        <v>46197</v>
      </c>
      <c r="V82" s="640"/>
      <c r="W82" s="640"/>
      <c r="X82" s="640"/>
      <c r="Y82" s="641"/>
      <c r="Z82" s="639">
        <f>U82+1</f>
        <v>46198</v>
      </c>
      <c r="AA82" s="640"/>
      <c r="AB82" s="640"/>
      <c r="AC82" s="640"/>
      <c r="AD82" s="641"/>
      <c r="AE82" s="639">
        <f>Z82+1</f>
        <v>46199</v>
      </c>
      <c r="AF82" s="640"/>
      <c r="AG82" s="640"/>
      <c r="AH82" s="640"/>
      <c r="AI82" s="641"/>
      <c r="AJ82" s="639">
        <f>AE82+1</f>
        <v>46200</v>
      </c>
      <c r="AK82" s="640"/>
      <c r="AL82" s="640"/>
      <c r="AM82" s="640"/>
      <c r="AN82" s="641"/>
      <c r="AO82" s="639">
        <f>AJ82+1</f>
        <v>46201</v>
      </c>
      <c r="AP82" s="640"/>
      <c r="AQ82" s="640"/>
      <c r="AR82" s="640"/>
      <c r="AS82" s="641"/>
      <c r="AT82" s="639">
        <f>AO82+1</f>
        <v>46202</v>
      </c>
      <c r="AU82" s="640"/>
      <c r="AV82" s="640"/>
      <c r="AW82" s="640"/>
      <c r="AX82" s="641"/>
    </row>
    <row r="83" spans="2:53" ht="15.75">
      <c r="B83" s="650"/>
      <c r="C83" s="650"/>
      <c r="D83" s="650"/>
      <c r="E83" s="650"/>
      <c r="F83" s="650"/>
      <c r="G83" s="650"/>
      <c r="H83" s="650"/>
      <c r="I83" s="204"/>
      <c r="J83" s="204"/>
      <c r="K83" s="204"/>
      <c r="L83" s="204"/>
      <c r="M83" s="205"/>
      <c r="N83" s="638"/>
      <c r="O83" s="638"/>
      <c r="P83" s="642" t="s">
        <v>318</v>
      </c>
      <c r="Q83" s="643"/>
      <c r="R83" s="643"/>
      <c r="S83" s="643"/>
      <c r="T83" s="643"/>
      <c r="U83" s="642" t="s">
        <v>319</v>
      </c>
      <c r="V83" s="643"/>
      <c r="W83" s="643"/>
      <c r="X83" s="643"/>
      <c r="Y83" s="643"/>
      <c r="Z83" s="642" t="s">
        <v>320</v>
      </c>
      <c r="AA83" s="643"/>
      <c r="AB83" s="643"/>
      <c r="AC83" s="643"/>
      <c r="AD83" s="643"/>
      <c r="AE83" s="642" t="s">
        <v>321</v>
      </c>
      <c r="AF83" s="643"/>
      <c r="AG83" s="643"/>
      <c r="AH83" s="643"/>
      <c r="AI83" s="643"/>
      <c r="AJ83" s="642" t="s">
        <v>322</v>
      </c>
      <c r="AK83" s="643"/>
      <c r="AL83" s="643"/>
      <c r="AM83" s="643"/>
      <c r="AN83" s="643"/>
      <c r="AO83" s="642" t="s">
        <v>323</v>
      </c>
      <c r="AP83" s="643"/>
      <c r="AQ83" s="643"/>
      <c r="AR83" s="643"/>
      <c r="AS83" s="643"/>
      <c r="AT83" s="642" t="s">
        <v>324</v>
      </c>
      <c r="AU83" s="643"/>
      <c r="AV83" s="643"/>
      <c r="AW83" s="643"/>
      <c r="AX83" s="643"/>
    </row>
    <row r="84" spans="2:53">
      <c r="B84" s="635" t="s">
        <v>417</v>
      </c>
      <c r="C84" s="635" t="s">
        <v>549</v>
      </c>
      <c r="D84" s="635"/>
      <c r="E84" s="635" t="s">
        <v>550</v>
      </c>
      <c r="F84" s="635"/>
      <c r="G84" s="635"/>
      <c r="H84" s="651" t="s">
        <v>551</v>
      </c>
      <c r="I84" s="635" t="s">
        <v>552</v>
      </c>
      <c r="J84" s="635"/>
      <c r="K84" s="635"/>
      <c r="L84" s="651" t="s">
        <v>371</v>
      </c>
      <c r="M84" s="636" t="s">
        <v>553</v>
      </c>
      <c r="N84" s="635"/>
      <c r="O84" s="635" t="s">
        <v>377</v>
      </c>
      <c r="P84" s="632" t="s">
        <v>373</v>
      </c>
      <c r="Q84" s="633"/>
      <c r="R84" s="633"/>
      <c r="S84" s="634"/>
      <c r="T84" s="635" t="s">
        <v>371</v>
      </c>
      <c r="U84" s="632" t="s">
        <v>373</v>
      </c>
      <c r="V84" s="633"/>
      <c r="W84" s="633"/>
      <c r="X84" s="634"/>
      <c r="Y84" s="635" t="s">
        <v>371</v>
      </c>
      <c r="Z84" s="632" t="s">
        <v>373</v>
      </c>
      <c r="AA84" s="633"/>
      <c r="AB84" s="633"/>
      <c r="AC84" s="634"/>
      <c r="AD84" s="635" t="s">
        <v>371</v>
      </c>
      <c r="AE84" s="632" t="s">
        <v>373</v>
      </c>
      <c r="AF84" s="633"/>
      <c r="AG84" s="633"/>
      <c r="AH84" s="634"/>
      <c r="AI84" s="635" t="s">
        <v>371</v>
      </c>
      <c r="AJ84" s="632" t="s">
        <v>373</v>
      </c>
      <c r="AK84" s="633"/>
      <c r="AL84" s="633"/>
      <c r="AM84" s="634"/>
      <c r="AN84" s="635" t="s">
        <v>371</v>
      </c>
      <c r="AO84" s="632" t="s">
        <v>373</v>
      </c>
      <c r="AP84" s="633"/>
      <c r="AQ84" s="633"/>
      <c r="AR84" s="634"/>
      <c r="AS84" s="635" t="s">
        <v>371</v>
      </c>
      <c r="AT84" s="632" t="s">
        <v>373</v>
      </c>
      <c r="AU84" s="633"/>
      <c r="AV84" s="633"/>
      <c r="AW84" s="634"/>
      <c r="AX84" s="635" t="s">
        <v>371</v>
      </c>
      <c r="BA84" s="635" t="s">
        <v>371</v>
      </c>
    </row>
    <row r="85" spans="2:53">
      <c r="B85" s="635"/>
      <c r="C85" s="635"/>
      <c r="D85" s="635"/>
      <c r="E85" s="635" t="s">
        <v>555</v>
      </c>
      <c r="F85" s="635"/>
      <c r="G85" s="635"/>
      <c r="H85" s="652"/>
      <c r="I85" s="635" t="s">
        <v>555</v>
      </c>
      <c r="J85" s="635"/>
      <c r="K85" s="635"/>
      <c r="L85" s="652"/>
      <c r="M85" s="637"/>
      <c r="N85" s="635"/>
      <c r="O85" s="635"/>
      <c r="P85" s="632" t="s">
        <v>379</v>
      </c>
      <c r="Q85" s="633"/>
      <c r="R85" s="633"/>
      <c r="S85" s="634"/>
      <c r="T85" s="635"/>
      <c r="U85" s="632" t="s">
        <v>379</v>
      </c>
      <c r="V85" s="633"/>
      <c r="W85" s="633"/>
      <c r="X85" s="634"/>
      <c r="Y85" s="635"/>
      <c r="Z85" s="632" t="s">
        <v>379</v>
      </c>
      <c r="AA85" s="633"/>
      <c r="AB85" s="633"/>
      <c r="AC85" s="634"/>
      <c r="AD85" s="635"/>
      <c r="AE85" s="632" t="s">
        <v>379</v>
      </c>
      <c r="AF85" s="633"/>
      <c r="AG85" s="633"/>
      <c r="AH85" s="634"/>
      <c r="AI85" s="635"/>
      <c r="AJ85" s="632" t="s">
        <v>379</v>
      </c>
      <c r="AK85" s="633"/>
      <c r="AL85" s="633"/>
      <c r="AM85" s="634"/>
      <c r="AN85" s="635"/>
      <c r="AO85" s="632" t="s">
        <v>379</v>
      </c>
      <c r="AP85" s="633"/>
      <c r="AQ85" s="633"/>
      <c r="AR85" s="634"/>
      <c r="AS85" s="635"/>
      <c r="AT85" s="632" t="s">
        <v>379</v>
      </c>
      <c r="AU85" s="633"/>
      <c r="AV85" s="633"/>
      <c r="AW85" s="634"/>
      <c r="AX85" s="635"/>
      <c r="BA85" s="635"/>
    </row>
    <row r="86" spans="2:53">
      <c r="B86" s="635"/>
      <c r="C86" s="635"/>
      <c r="D86" s="635"/>
      <c r="E86" s="408" t="s">
        <v>556</v>
      </c>
      <c r="F86" s="408" t="s">
        <v>557</v>
      </c>
      <c r="G86" s="408" t="s">
        <v>558</v>
      </c>
      <c r="H86" s="653"/>
      <c r="I86" s="408" t="s">
        <v>556</v>
      </c>
      <c r="J86" s="408" t="s">
        <v>557</v>
      </c>
      <c r="K86" s="408" t="s">
        <v>558</v>
      </c>
      <c r="L86" s="653"/>
      <c r="M86" s="638"/>
      <c r="N86" s="635"/>
      <c r="O86" s="635"/>
      <c r="P86" s="408" t="s">
        <v>380</v>
      </c>
      <c r="Q86" s="408" t="s">
        <v>381</v>
      </c>
      <c r="R86" s="408" t="s">
        <v>382</v>
      </c>
      <c r="S86" s="408" t="s">
        <v>372</v>
      </c>
      <c r="T86" s="635"/>
      <c r="U86" s="408" t="s">
        <v>380</v>
      </c>
      <c r="V86" s="408" t="s">
        <v>381</v>
      </c>
      <c r="W86" s="408" t="s">
        <v>382</v>
      </c>
      <c r="X86" s="408" t="s">
        <v>372</v>
      </c>
      <c r="Y86" s="635"/>
      <c r="Z86" s="408" t="s">
        <v>380</v>
      </c>
      <c r="AA86" s="408" t="s">
        <v>381</v>
      </c>
      <c r="AB86" s="408" t="s">
        <v>382</v>
      </c>
      <c r="AC86" s="408" t="s">
        <v>372</v>
      </c>
      <c r="AD86" s="635"/>
      <c r="AE86" s="408" t="s">
        <v>380</v>
      </c>
      <c r="AF86" s="408" t="s">
        <v>381</v>
      </c>
      <c r="AG86" s="408" t="s">
        <v>382</v>
      </c>
      <c r="AH86" s="408" t="s">
        <v>372</v>
      </c>
      <c r="AI86" s="635"/>
      <c r="AJ86" s="408" t="s">
        <v>380</v>
      </c>
      <c r="AK86" s="408" t="s">
        <v>381</v>
      </c>
      <c r="AL86" s="408" t="s">
        <v>382</v>
      </c>
      <c r="AM86" s="408" t="s">
        <v>372</v>
      </c>
      <c r="AN86" s="635"/>
      <c r="AO86" s="408" t="s">
        <v>380</v>
      </c>
      <c r="AP86" s="408" t="s">
        <v>381</v>
      </c>
      <c r="AQ86" s="408" t="s">
        <v>382</v>
      </c>
      <c r="AR86" s="408" t="s">
        <v>372</v>
      </c>
      <c r="AS86" s="635"/>
      <c r="AT86" s="408" t="s">
        <v>380</v>
      </c>
      <c r="AU86" s="408" t="s">
        <v>381</v>
      </c>
      <c r="AV86" s="408" t="s">
        <v>382</v>
      </c>
      <c r="AW86" s="408" t="s">
        <v>372</v>
      </c>
      <c r="AX86" s="635"/>
      <c r="AZ86" s="397" t="s">
        <v>372</v>
      </c>
      <c r="BA86" s="635"/>
    </row>
    <row r="87" spans="2:53">
      <c r="B87" s="635" t="s">
        <v>431</v>
      </c>
      <c r="C87" s="411">
        <v>1</v>
      </c>
      <c r="D87" s="225"/>
      <c r="E87" s="416"/>
      <c r="F87" s="409"/>
      <c r="G87" s="410"/>
      <c r="H87" s="679" t="e">
        <f>AVERAGE(G87:G101)</f>
        <v>#DIV/0!</v>
      </c>
      <c r="I87" s="413" t="str">
        <f t="shared" ref="I87:I100" si="62">IFERROR(AVERAGE(P87,U87,Z87,AE87,AJ87,AO87,AT87),"-")</f>
        <v>-</v>
      </c>
      <c r="J87" s="413" t="str">
        <f t="shared" ref="J87:J100" si="63">IFERROR(AVERAGE(Q87,V87,AA87,AF87,AK87,AP87,AU87),"-")</f>
        <v>-</v>
      </c>
      <c r="K87" s="199" t="str">
        <f t="shared" ref="K87:K100" si="64">IFERROR(AVERAGE(R87,W87,AB87,AG87,AL87,AQ87,AV87),"-")</f>
        <v>-</v>
      </c>
      <c r="L87" s="616" t="str">
        <f>IFERROR(AVERAGE(K87:K101),"-")</f>
        <v>-</v>
      </c>
      <c r="M87" s="417" t="e">
        <f>RANK(K87, K$67:$K$81)</f>
        <v>#VALUE!</v>
      </c>
      <c r="N87" s="635"/>
      <c r="O87" s="635"/>
      <c r="P87" s="491"/>
      <c r="Q87" s="492"/>
      <c r="R87" s="492"/>
      <c r="S87" s="490"/>
      <c r="T87" s="657"/>
      <c r="U87" s="491"/>
      <c r="V87" s="492"/>
      <c r="W87" s="492"/>
      <c r="X87" s="490"/>
      <c r="Y87" s="657"/>
      <c r="Z87" s="491"/>
      <c r="AA87" s="492"/>
      <c r="AB87" s="492"/>
      <c r="AC87" s="490"/>
      <c r="AD87" s="657"/>
      <c r="AE87" s="491"/>
      <c r="AF87" s="492"/>
      <c r="AG87" s="492"/>
      <c r="AH87" s="490"/>
      <c r="AI87" s="657"/>
      <c r="AJ87" s="491"/>
      <c r="AK87" s="492"/>
      <c r="AL87" s="492"/>
      <c r="AM87" s="490"/>
      <c r="AN87" s="657"/>
      <c r="AO87" s="491"/>
      <c r="AP87" s="492"/>
      <c r="AQ87" s="492"/>
      <c r="AR87" s="490"/>
      <c r="AS87" s="657"/>
      <c r="AT87" s="490"/>
      <c r="AU87" s="416"/>
      <c r="AV87" s="416"/>
      <c r="AW87" s="490"/>
      <c r="AX87" s="657"/>
      <c r="AZ87" s="398" t="e">
        <f t="shared" ref="AZ87:AZ101" si="65">RANK(AY87, AY$87:AY$101)</f>
        <v>#N/A</v>
      </c>
      <c r="BA87" s="657" t="e">
        <f t="shared" ref="BA87" si="66">AVERAGE(AY87:AY101)</f>
        <v>#DIV/0!</v>
      </c>
    </row>
    <row r="88" spans="2:53">
      <c r="B88" s="643"/>
      <c r="C88" s="411">
        <v>2</v>
      </c>
      <c r="D88" s="225"/>
      <c r="E88" s="416"/>
      <c r="F88" s="409"/>
      <c r="G88" s="410"/>
      <c r="H88" s="680"/>
      <c r="I88" s="413" t="str">
        <f t="shared" si="62"/>
        <v>-</v>
      </c>
      <c r="J88" s="413" t="str">
        <f t="shared" si="63"/>
        <v>-</v>
      </c>
      <c r="K88" s="199" t="str">
        <f t="shared" si="64"/>
        <v>-</v>
      </c>
      <c r="L88" s="617"/>
      <c r="M88" s="417" t="e">
        <f>RANK(K88, K$67:$K$81)</f>
        <v>#VALUE!</v>
      </c>
      <c r="N88" s="635"/>
      <c r="O88" s="635"/>
      <c r="P88" s="491"/>
      <c r="Q88" s="492"/>
      <c r="R88" s="492"/>
      <c r="S88" s="490"/>
      <c r="T88" s="657"/>
      <c r="U88" s="491"/>
      <c r="V88" s="492"/>
      <c r="W88" s="492"/>
      <c r="X88" s="490"/>
      <c r="Y88" s="657"/>
      <c r="Z88" s="491"/>
      <c r="AA88" s="492"/>
      <c r="AB88" s="492"/>
      <c r="AC88" s="490"/>
      <c r="AD88" s="657"/>
      <c r="AE88" s="491"/>
      <c r="AF88" s="492"/>
      <c r="AG88" s="492"/>
      <c r="AH88" s="490"/>
      <c r="AI88" s="657"/>
      <c r="AJ88" s="491"/>
      <c r="AK88" s="492"/>
      <c r="AL88" s="492"/>
      <c r="AM88" s="490"/>
      <c r="AN88" s="657"/>
      <c r="AO88" s="491"/>
      <c r="AP88" s="492"/>
      <c r="AQ88" s="492"/>
      <c r="AR88" s="490"/>
      <c r="AS88" s="657"/>
      <c r="AT88" s="490"/>
      <c r="AU88" s="416"/>
      <c r="AV88" s="416"/>
      <c r="AW88" s="490"/>
      <c r="AX88" s="657"/>
      <c r="AZ88" s="398" t="e">
        <f t="shared" si="65"/>
        <v>#N/A</v>
      </c>
      <c r="BA88" s="657"/>
    </row>
    <row r="89" spans="2:53">
      <c r="B89" s="643"/>
      <c r="C89" s="411">
        <v>3</v>
      </c>
      <c r="D89" s="225"/>
      <c r="E89" s="416"/>
      <c r="F89" s="409"/>
      <c r="G89" s="410"/>
      <c r="H89" s="680"/>
      <c r="I89" s="413" t="str">
        <f t="shared" si="62"/>
        <v>-</v>
      </c>
      <c r="J89" s="413" t="str">
        <f t="shared" si="63"/>
        <v>-</v>
      </c>
      <c r="K89" s="199" t="str">
        <f t="shared" si="64"/>
        <v>-</v>
      </c>
      <c r="L89" s="617"/>
      <c r="M89" s="417" t="e">
        <f>RANK(K89, K$67:$K$81)</f>
        <v>#VALUE!</v>
      </c>
      <c r="N89" s="635"/>
      <c r="O89" s="635"/>
      <c r="P89" s="491"/>
      <c r="Q89" s="492"/>
      <c r="R89" s="492"/>
      <c r="S89" s="490"/>
      <c r="T89" s="657"/>
      <c r="U89" s="491"/>
      <c r="V89" s="492"/>
      <c r="W89" s="492"/>
      <c r="X89" s="490"/>
      <c r="Y89" s="657"/>
      <c r="Z89" s="491"/>
      <c r="AA89" s="492"/>
      <c r="AB89" s="492"/>
      <c r="AC89" s="490"/>
      <c r="AD89" s="657"/>
      <c r="AE89" s="491"/>
      <c r="AF89" s="492"/>
      <c r="AG89" s="492"/>
      <c r="AH89" s="490"/>
      <c r="AI89" s="657"/>
      <c r="AJ89" s="491"/>
      <c r="AK89" s="492"/>
      <c r="AL89" s="492"/>
      <c r="AM89" s="490"/>
      <c r="AN89" s="657"/>
      <c r="AO89" s="491"/>
      <c r="AP89" s="492"/>
      <c r="AQ89" s="492"/>
      <c r="AR89" s="490"/>
      <c r="AS89" s="657"/>
      <c r="AT89" s="490"/>
      <c r="AU89" s="416"/>
      <c r="AV89" s="416"/>
      <c r="AW89" s="490"/>
      <c r="AX89" s="657"/>
      <c r="AZ89" s="398" t="e">
        <f t="shared" si="65"/>
        <v>#N/A</v>
      </c>
      <c r="BA89" s="657"/>
    </row>
    <row r="90" spans="2:53">
      <c r="B90" s="643"/>
      <c r="C90" s="411">
        <v>4</v>
      </c>
      <c r="D90" s="225"/>
      <c r="E90" s="416"/>
      <c r="F90" s="409"/>
      <c r="G90" s="410"/>
      <c r="H90" s="680"/>
      <c r="I90" s="413" t="str">
        <f t="shared" si="62"/>
        <v>-</v>
      </c>
      <c r="J90" s="413" t="str">
        <f t="shared" si="63"/>
        <v>-</v>
      </c>
      <c r="K90" s="199" t="str">
        <f t="shared" si="64"/>
        <v>-</v>
      </c>
      <c r="L90" s="617"/>
      <c r="M90" s="417" t="e">
        <f>RANK(K90, K$67:$K$81)</f>
        <v>#VALUE!</v>
      </c>
      <c r="N90" s="635"/>
      <c r="O90" s="635"/>
      <c r="P90" s="491"/>
      <c r="Q90" s="492"/>
      <c r="R90" s="492"/>
      <c r="S90" s="490"/>
      <c r="T90" s="657"/>
      <c r="U90" s="491"/>
      <c r="V90" s="492"/>
      <c r="W90" s="492"/>
      <c r="X90" s="490"/>
      <c r="Y90" s="657"/>
      <c r="Z90" s="491"/>
      <c r="AA90" s="492"/>
      <c r="AB90" s="492"/>
      <c r="AC90" s="490"/>
      <c r="AD90" s="657"/>
      <c r="AE90" s="491"/>
      <c r="AF90" s="492"/>
      <c r="AG90" s="492"/>
      <c r="AH90" s="490"/>
      <c r="AI90" s="657"/>
      <c r="AJ90" s="491"/>
      <c r="AK90" s="492"/>
      <c r="AL90" s="492"/>
      <c r="AM90" s="490"/>
      <c r="AN90" s="657"/>
      <c r="AO90" s="491"/>
      <c r="AP90" s="492"/>
      <c r="AQ90" s="492"/>
      <c r="AR90" s="490"/>
      <c r="AS90" s="657"/>
      <c r="AT90" s="490"/>
      <c r="AU90" s="416"/>
      <c r="AV90" s="416"/>
      <c r="AW90" s="490"/>
      <c r="AX90" s="657"/>
      <c r="AZ90" s="398" t="e">
        <f t="shared" si="65"/>
        <v>#N/A</v>
      </c>
      <c r="BA90" s="657"/>
    </row>
    <row r="91" spans="2:53">
      <c r="B91" s="643"/>
      <c r="C91" s="411">
        <v>5</v>
      </c>
      <c r="D91" s="225"/>
      <c r="E91" s="416"/>
      <c r="F91" s="409"/>
      <c r="G91" s="410"/>
      <c r="H91" s="680"/>
      <c r="I91" s="413" t="str">
        <f t="shared" si="62"/>
        <v>-</v>
      </c>
      <c r="J91" s="413" t="str">
        <f t="shared" si="63"/>
        <v>-</v>
      </c>
      <c r="K91" s="199" t="str">
        <f t="shared" si="64"/>
        <v>-</v>
      </c>
      <c r="L91" s="617"/>
      <c r="M91" s="417" t="e">
        <f>RANK(K91, K$67:$K$81)</f>
        <v>#VALUE!</v>
      </c>
      <c r="N91" s="635"/>
      <c r="O91" s="635"/>
      <c r="P91" s="491"/>
      <c r="Q91" s="492"/>
      <c r="R91" s="492"/>
      <c r="S91" s="490"/>
      <c r="T91" s="657"/>
      <c r="U91" s="491"/>
      <c r="V91" s="492"/>
      <c r="W91" s="492"/>
      <c r="X91" s="490"/>
      <c r="Y91" s="657"/>
      <c r="Z91" s="491"/>
      <c r="AA91" s="492"/>
      <c r="AB91" s="492"/>
      <c r="AC91" s="490"/>
      <c r="AD91" s="657"/>
      <c r="AE91" s="491"/>
      <c r="AF91" s="492"/>
      <c r="AG91" s="492"/>
      <c r="AH91" s="490"/>
      <c r="AI91" s="657"/>
      <c r="AJ91" s="491"/>
      <c r="AK91" s="492"/>
      <c r="AL91" s="492"/>
      <c r="AM91" s="490"/>
      <c r="AN91" s="657"/>
      <c r="AO91" s="491"/>
      <c r="AP91" s="492"/>
      <c r="AQ91" s="492"/>
      <c r="AR91" s="490"/>
      <c r="AS91" s="657"/>
      <c r="AT91" s="490"/>
      <c r="AU91" s="416"/>
      <c r="AV91" s="416"/>
      <c r="AW91" s="490"/>
      <c r="AX91" s="657"/>
      <c r="AZ91" s="398" t="e">
        <f t="shared" si="65"/>
        <v>#N/A</v>
      </c>
      <c r="BA91" s="657"/>
    </row>
    <row r="92" spans="2:53">
      <c r="B92" s="643"/>
      <c r="C92" s="411">
        <v>6</v>
      </c>
      <c r="D92" s="225"/>
      <c r="E92" s="416"/>
      <c r="F92" s="409"/>
      <c r="G92" s="410"/>
      <c r="H92" s="680"/>
      <c r="I92" s="413" t="str">
        <f t="shared" si="62"/>
        <v>-</v>
      </c>
      <c r="J92" s="413" t="str">
        <f t="shared" si="63"/>
        <v>-</v>
      </c>
      <c r="K92" s="199" t="str">
        <f t="shared" si="64"/>
        <v>-</v>
      </c>
      <c r="L92" s="617"/>
      <c r="M92" s="417" t="e">
        <f>RANK(K92, K$67:$K$81)</f>
        <v>#VALUE!</v>
      </c>
      <c r="N92" s="635"/>
      <c r="O92" s="635"/>
      <c r="P92" s="491"/>
      <c r="Q92" s="492"/>
      <c r="R92" s="492"/>
      <c r="S92" s="490"/>
      <c r="T92" s="657"/>
      <c r="U92" s="491"/>
      <c r="V92" s="492"/>
      <c r="W92" s="492"/>
      <c r="X92" s="490"/>
      <c r="Y92" s="657"/>
      <c r="Z92" s="491"/>
      <c r="AA92" s="492"/>
      <c r="AB92" s="492"/>
      <c r="AC92" s="490"/>
      <c r="AD92" s="657"/>
      <c r="AE92" s="491"/>
      <c r="AF92" s="492"/>
      <c r="AG92" s="492"/>
      <c r="AH92" s="490"/>
      <c r="AI92" s="657"/>
      <c r="AJ92" s="491"/>
      <c r="AK92" s="492"/>
      <c r="AL92" s="492"/>
      <c r="AM92" s="490"/>
      <c r="AN92" s="657"/>
      <c r="AO92" s="491"/>
      <c r="AP92" s="492"/>
      <c r="AQ92" s="492"/>
      <c r="AR92" s="490"/>
      <c r="AS92" s="657"/>
      <c r="AT92" s="490"/>
      <c r="AU92" s="416"/>
      <c r="AV92" s="416"/>
      <c r="AW92" s="490"/>
      <c r="AX92" s="657"/>
      <c r="AZ92" s="398" t="e">
        <f t="shared" si="65"/>
        <v>#N/A</v>
      </c>
      <c r="BA92" s="657"/>
    </row>
    <row r="93" spans="2:53">
      <c r="B93" s="643"/>
      <c r="C93" s="411">
        <v>7</v>
      </c>
      <c r="D93" s="225"/>
      <c r="E93" s="416"/>
      <c r="F93" s="409"/>
      <c r="G93" s="410"/>
      <c r="H93" s="680"/>
      <c r="I93" s="413" t="str">
        <f t="shared" si="62"/>
        <v>-</v>
      </c>
      <c r="J93" s="413" t="str">
        <f t="shared" si="63"/>
        <v>-</v>
      </c>
      <c r="K93" s="199" t="str">
        <f t="shared" si="64"/>
        <v>-</v>
      </c>
      <c r="L93" s="617"/>
      <c r="M93" s="417" t="e">
        <f>RANK(K93, K$67:$K$81)</f>
        <v>#VALUE!</v>
      </c>
      <c r="N93" s="635"/>
      <c r="O93" s="635"/>
      <c r="P93" s="491"/>
      <c r="Q93" s="492"/>
      <c r="R93" s="492"/>
      <c r="S93" s="490"/>
      <c r="T93" s="657"/>
      <c r="U93" s="491"/>
      <c r="V93" s="492"/>
      <c r="W93" s="492"/>
      <c r="X93" s="490"/>
      <c r="Y93" s="657"/>
      <c r="Z93" s="491"/>
      <c r="AA93" s="492"/>
      <c r="AB93" s="492"/>
      <c r="AC93" s="490"/>
      <c r="AD93" s="657"/>
      <c r="AE93" s="491"/>
      <c r="AF93" s="492"/>
      <c r="AG93" s="492"/>
      <c r="AH93" s="490"/>
      <c r="AI93" s="657"/>
      <c r="AJ93" s="491"/>
      <c r="AK93" s="492"/>
      <c r="AL93" s="492"/>
      <c r="AM93" s="490"/>
      <c r="AN93" s="657"/>
      <c r="AO93" s="491"/>
      <c r="AP93" s="492"/>
      <c r="AQ93" s="492"/>
      <c r="AR93" s="490"/>
      <c r="AS93" s="657"/>
      <c r="AT93" s="490"/>
      <c r="AU93" s="416"/>
      <c r="AV93" s="416"/>
      <c r="AW93" s="490"/>
      <c r="AX93" s="657"/>
      <c r="AZ93" s="398" t="e">
        <f t="shared" si="65"/>
        <v>#N/A</v>
      </c>
      <c r="BA93" s="657"/>
    </row>
    <row r="94" spans="2:53">
      <c r="B94" s="643"/>
      <c r="C94" s="411">
        <v>8</v>
      </c>
      <c r="D94" s="225"/>
      <c r="E94" s="416"/>
      <c r="F94" s="409"/>
      <c r="G94" s="410"/>
      <c r="H94" s="680"/>
      <c r="I94" s="413" t="str">
        <f t="shared" si="62"/>
        <v>-</v>
      </c>
      <c r="J94" s="413" t="str">
        <f t="shared" si="63"/>
        <v>-</v>
      </c>
      <c r="K94" s="199" t="str">
        <f t="shared" si="64"/>
        <v>-</v>
      </c>
      <c r="L94" s="617"/>
      <c r="M94" s="417" t="e">
        <f>RANK(K94, K$67:$K$81)</f>
        <v>#VALUE!</v>
      </c>
      <c r="N94" s="635"/>
      <c r="O94" s="635"/>
      <c r="P94" s="491"/>
      <c r="Q94" s="492"/>
      <c r="R94" s="492"/>
      <c r="S94" s="490"/>
      <c r="T94" s="657"/>
      <c r="U94" s="491"/>
      <c r="V94" s="492"/>
      <c r="W94" s="492"/>
      <c r="X94" s="490"/>
      <c r="Y94" s="657"/>
      <c r="Z94" s="491"/>
      <c r="AA94" s="492"/>
      <c r="AB94" s="492"/>
      <c r="AC94" s="490"/>
      <c r="AD94" s="657"/>
      <c r="AE94" s="491"/>
      <c r="AF94" s="492"/>
      <c r="AG94" s="492"/>
      <c r="AH94" s="490"/>
      <c r="AI94" s="657"/>
      <c r="AJ94" s="491"/>
      <c r="AK94" s="492"/>
      <c r="AL94" s="492"/>
      <c r="AM94" s="490"/>
      <c r="AN94" s="657"/>
      <c r="AO94" s="491"/>
      <c r="AP94" s="492"/>
      <c r="AQ94" s="492"/>
      <c r="AR94" s="490"/>
      <c r="AS94" s="657"/>
      <c r="AT94" s="490"/>
      <c r="AU94" s="416"/>
      <c r="AV94" s="416"/>
      <c r="AW94" s="490"/>
      <c r="AX94" s="657"/>
      <c r="AZ94" s="398" t="e">
        <f t="shared" si="65"/>
        <v>#N/A</v>
      </c>
      <c r="BA94" s="657"/>
    </row>
    <row r="95" spans="2:53">
      <c r="B95" s="643"/>
      <c r="C95" s="411">
        <v>9</v>
      </c>
      <c r="D95" s="225"/>
      <c r="E95" s="416"/>
      <c r="F95" s="409"/>
      <c r="G95" s="410"/>
      <c r="H95" s="680"/>
      <c r="I95" s="413" t="str">
        <f t="shared" si="62"/>
        <v>-</v>
      </c>
      <c r="J95" s="413" t="str">
        <f t="shared" si="63"/>
        <v>-</v>
      </c>
      <c r="K95" s="199" t="str">
        <f t="shared" si="64"/>
        <v>-</v>
      </c>
      <c r="L95" s="617"/>
      <c r="M95" s="417" t="e">
        <f>RANK(K95, K$67:$K$81)</f>
        <v>#VALUE!</v>
      </c>
      <c r="N95" s="635"/>
      <c r="O95" s="635"/>
      <c r="P95" s="491"/>
      <c r="Q95" s="492"/>
      <c r="R95" s="492"/>
      <c r="S95" s="490"/>
      <c r="T95" s="657"/>
      <c r="U95" s="491"/>
      <c r="V95" s="492"/>
      <c r="W95" s="492"/>
      <c r="X95" s="490"/>
      <c r="Y95" s="657"/>
      <c r="Z95" s="491"/>
      <c r="AA95" s="492"/>
      <c r="AB95" s="492"/>
      <c r="AC95" s="490"/>
      <c r="AD95" s="657"/>
      <c r="AE95" s="491"/>
      <c r="AF95" s="492"/>
      <c r="AG95" s="492"/>
      <c r="AH95" s="490"/>
      <c r="AI95" s="657"/>
      <c r="AJ95" s="491"/>
      <c r="AK95" s="492"/>
      <c r="AL95" s="492"/>
      <c r="AM95" s="490"/>
      <c r="AN95" s="657"/>
      <c r="AO95" s="491"/>
      <c r="AP95" s="492"/>
      <c r="AQ95" s="492"/>
      <c r="AR95" s="490"/>
      <c r="AS95" s="657"/>
      <c r="AT95" s="490"/>
      <c r="AU95" s="416"/>
      <c r="AV95" s="416"/>
      <c r="AW95" s="490"/>
      <c r="AX95" s="657"/>
      <c r="AZ95" s="398" t="e">
        <f t="shared" si="65"/>
        <v>#N/A</v>
      </c>
      <c r="BA95" s="657"/>
    </row>
    <row r="96" spans="2:53">
      <c r="B96" s="643"/>
      <c r="C96" s="411">
        <v>10</v>
      </c>
      <c r="D96" s="225"/>
      <c r="E96" s="416"/>
      <c r="F96" s="409"/>
      <c r="G96" s="410"/>
      <c r="H96" s="680"/>
      <c r="I96" s="413" t="str">
        <f t="shared" si="62"/>
        <v>-</v>
      </c>
      <c r="J96" s="413" t="str">
        <f t="shared" si="63"/>
        <v>-</v>
      </c>
      <c r="K96" s="199" t="str">
        <f t="shared" si="64"/>
        <v>-</v>
      </c>
      <c r="L96" s="617"/>
      <c r="M96" s="417" t="e">
        <f>RANK(K96, K$67:$K$81)</f>
        <v>#VALUE!</v>
      </c>
      <c r="N96" s="635"/>
      <c r="O96" s="635"/>
      <c r="P96" s="491"/>
      <c r="Q96" s="492"/>
      <c r="R96" s="492"/>
      <c r="S96" s="490"/>
      <c r="T96" s="657"/>
      <c r="U96" s="491"/>
      <c r="V96" s="492"/>
      <c r="W96" s="492"/>
      <c r="X96" s="490"/>
      <c r="Y96" s="657"/>
      <c r="Z96" s="491"/>
      <c r="AA96" s="492"/>
      <c r="AB96" s="492"/>
      <c r="AC96" s="490"/>
      <c r="AD96" s="657"/>
      <c r="AE96" s="491"/>
      <c r="AF96" s="492"/>
      <c r="AG96" s="492"/>
      <c r="AH96" s="490"/>
      <c r="AI96" s="657"/>
      <c r="AJ96" s="491"/>
      <c r="AK96" s="492"/>
      <c r="AL96" s="492"/>
      <c r="AM96" s="490"/>
      <c r="AN96" s="657"/>
      <c r="AO96" s="491"/>
      <c r="AP96" s="492"/>
      <c r="AQ96" s="492"/>
      <c r="AR96" s="490"/>
      <c r="AS96" s="657"/>
      <c r="AT96" s="490"/>
      <c r="AU96" s="416"/>
      <c r="AV96" s="416"/>
      <c r="AW96" s="490"/>
      <c r="AX96" s="657"/>
      <c r="AZ96" s="398" t="e">
        <f t="shared" si="65"/>
        <v>#N/A</v>
      </c>
      <c r="BA96" s="657"/>
    </row>
    <row r="97" spans="2:53">
      <c r="B97" s="643"/>
      <c r="C97" s="411">
        <v>11</v>
      </c>
      <c r="D97" s="225"/>
      <c r="E97" s="416"/>
      <c r="F97" s="409"/>
      <c r="G97" s="410"/>
      <c r="H97" s="680"/>
      <c r="I97" s="413" t="str">
        <f t="shared" si="62"/>
        <v>-</v>
      </c>
      <c r="J97" s="413" t="str">
        <f t="shared" si="63"/>
        <v>-</v>
      </c>
      <c r="K97" s="199" t="str">
        <f t="shared" si="64"/>
        <v>-</v>
      </c>
      <c r="L97" s="617"/>
      <c r="M97" s="417" t="e">
        <f>RANK(K97, K$67:$K$81)</f>
        <v>#VALUE!</v>
      </c>
      <c r="N97" s="635"/>
      <c r="O97" s="635"/>
      <c r="P97" s="491"/>
      <c r="Q97" s="492"/>
      <c r="R97" s="492"/>
      <c r="S97" s="490"/>
      <c r="T97" s="657"/>
      <c r="U97" s="491"/>
      <c r="V97" s="492"/>
      <c r="W97" s="492"/>
      <c r="X97" s="490"/>
      <c r="Y97" s="657"/>
      <c r="Z97" s="491"/>
      <c r="AA97" s="492"/>
      <c r="AB97" s="492"/>
      <c r="AC97" s="490"/>
      <c r="AD97" s="657"/>
      <c r="AE97" s="491"/>
      <c r="AF97" s="492"/>
      <c r="AG97" s="492"/>
      <c r="AH97" s="490"/>
      <c r="AI97" s="657"/>
      <c r="AJ97" s="491"/>
      <c r="AK97" s="492"/>
      <c r="AL97" s="492"/>
      <c r="AM97" s="490"/>
      <c r="AN97" s="657"/>
      <c r="AO97" s="491"/>
      <c r="AP97" s="492"/>
      <c r="AQ97" s="492"/>
      <c r="AR97" s="490"/>
      <c r="AS97" s="657"/>
      <c r="AT97" s="490"/>
      <c r="AU97" s="416"/>
      <c r="AV97" s="416"/>
      <c r="AW97" s="490"/>
      <c r="AX97" s="657"/>
      <c r="AZ97" s="398" t="e">
        <f t="shared" si="65"/>
        <v>#N/A</v>
      </c>
      <c r="BA97" s="657"/>
    </row>
    <row r="98" spans="2:53">
      <c r="B98" s="643"/>
      <c r="C98" s="411">
        <v>12</v>
      </c>
      <c r="D98" s="225"/>
      <c r="E98" s="416"/>
      <c r="F98" s="409"/>
      <c r="G98" s="410"/>
      <c r="H98" s="680"/>
      <c r="I98" s="413" t="str">
        <f t="shared" si="62"/>
        <v>-</v>
      </c>
      <c r="J98" s="413" t="str">
        <f t="shared" si="63"/>
        <v>-</v>
      </c>
      <c r="K98" s="199" t="str">
        <f t="shared" si="64"/>
        <v>-</v>
      </c>
      <c r="L98" s="617"/>
      <c r="M98" s="417" t="e">
        <f>RANK(K98, K$67:$K$81)</f>
        <v>#VALUE!</v>
      </c>
      <c r="N98" s="635"/>
      <c r="O98" s="635"/>
      <c r="P98" s="491"/>
      <c r="Q98" s="492"/>
      <c r="R98" s="492"/>
      <c r="S98" s="490"/>
      <c r="T98" s="657"/>
      <c r="U98" s="491"/>
      <c r="V98" s="492"/>
      <c r="W98" s="492"/>
      <c r="X98" s="490"/>
      <c r="Y98" s="657"/>
      <c r="Z98" s="491"/>
      <c r="AA98" s="492"/>
      <c r="AB98" s="492"/>
      <c r="AC98" s="490"/>
      <c r="AD98" s="657"/>
      <c r="AE98" s="491"/>
      <c r="AF98" s="492"/>
      <c r="AG98" s="492"/>
      <c r="AH98" s="490"/>
      <c r="AI98" s="657"/>
      <c r="AJ98" s="491"/>
      <c r="AK98" s="492"/>
      <c r="AL98" s="492"/>
      <c r="AM98" s="490"/>
      <c r="AN98" s="657"/>
      <c r="AO98" s="491"/>
      <c r="AP98" s="492"/>
      <c r="AQ98" s="492"/>
      <c r="AR98" s="490"/>
      <c r="AS98" s="657"/>
      <c r="AT98" s="490"/>
      <c r="AU98" s="416"/>
      <c r="AV98" s="416"/>
      <c r="AW98" s="490"/>
      <c r="AX98" s="657"/>
      <c r="AZ98" s="398" t="e">
        <f t="shared" si="65"/>
        <v>#N/A</v>
      </c>
      <c r="BA98" s="657"/>
    </row>
    <row r="99" spans="2:53">
      <c r="B99" s="643"/>
      <c r="C99" s="411">
        <v>13</v>
      </c>
      <c r="D99" s="225"/>
      <c r="E99" s="416"/>
      <c r="F99" s="409"/>
      <c r="G99" s="410"/>
      <c r="H99" s="680"/>
      <c r="I99" s="413" t="str">
        <f t="shared" si="62"/>
        <v>-</v>
      </c>
      <c r="J99" s="413" t="str">
        <f t="shared" si="63"/>
        <v>-</v>
      </c>
      <c r="K99" s="199" t="str">
        <f t="shared" si="64"/>
        <v>-</v>
      </c>
      <c r="L99" s="617"/>
      <c r="M99" s="417" t="e">
        <f>RANK(K99, K$67:$K$81)</f>
        <v>#VALUE!</v>
      </c>
      <c r="N99" s="635"/>
      <c r="O99" s="635"/>
      <c r="P99" s="491"/>
      <c r="Q99" s="492"/>
      <c r="R99" s="492"/>
      <c r="S99" s="490"/>
      <c r="T99" s="657"/>
      <c r="U99" s="491"/>
      <c r="V99" s="492"/>
      <c r="W99" s="492"/>
      <c r="X99" s="490"/>
      <c r="Y99" s="657"/>
      <c r="Z99" s="491"/>
      <c r="AA99" s="492"/>
      <c r="AB99" s="492"/>
      <c r="AC99" s="490"/>
      <c r="AD99" s="657"/>
      <c r="AE99" s="491"/>
      <c r="AF99" s="492"/>
      <c r="AG99" s="492"/>
      <c r="AH99" s="490"/>
      <c r="AI99" s="657"/>
      <c r="AJ99" s="491"/>
      <c r="AK99" s="492"/>
      <c r="AL99" s="492"/>
      <c r="AM99" s="490"/>
      <c r="AN99" s="657"/>
      <c r="AO99" s="491"/>
      <c r="AP99" s="492"/>
      <c r="AQ99" s="492"/>
      <c r="AR99" s="490"/>
      <c r="AS99" s="657"/>
      <c r="AT99" s="490"/>
      <c r="AU99" s="416"/>
      <c r="AV99" s="416"/>
      <c r="AW99" s="490"/>
      <c r="AX99" s="657"/>
      <c r="AZ99" s="398" t="e">
        <f t="shared" si="65"/>
        <v>#N/A</v>
      </c>
      <c r="BA99" s="657"/>
    </row>
    <row r="100" spans="2:53">
      <c r="B100" s="643"/>
      <c r="C100" s="411">
        <v>14</v>
      </c>
      <c r="D100" s="225"/>
      <c r="E100" s="416"/>
      <c r="F100" s="409"/>
      <c r="G100" s="410"/>
      <c r="H100" s="680"/>
      <c r="I100" s="413" t="str">
        <f t="shared" si="62"/>
        <v>-</v>
      </c>
      <c r="J100" s="413" t="str">
        <f t="shared" si="63"/>
        <v>-</v>
      </c>
      <c r="K100" s="199" t="str">
        <f t="shared" si="64"/>
        <v>-</v>
      </c>
      <c r="L100" s="617"/>
      <c r="M100" s="417" t="e">
        <f>RANK(K100, K$67:$K$81)</f>
        <v>#VALUE!</v>
      </c>
      <c r="N100" s="635"/>
      <c r="O100" s="635"/>
      <c r="P100" s="491"/>
      <c r="Q100" s="492"/>
      <c r="R100" s="492"/>
      <c r="S100" s="490"/>
      <c r="T100" s="657"/>
      <c r="U100" s="491"/>
      <c r="V100" s="492"/>
      <c r="W100" s="492"/>
      <c r="X100" s="490"/>
      <c r="Y100" s="657"/>
      <c r="Z100" s="491"/>
      <c r="AA100" s="492"/>
      <c r="AB100" s="492"/>
      <c r="AC100" s="490"/>
      <c r="AD100" s="657"/>
      <c r="AE100" s="491"/>
      <c r="AF100" s="492"/>
      <c r="AG100" s="492"/>
      <c r="AH100" s="490"/>
      <c r="AI100" s="657"/>
      <c r="AJ100" s="491"/>
      <c r="AK100" s="492"/>
      <c r="AL100" s="492"/>
      <c r="AM100" s="490"/>
      <c r="AN100" s="657"/>
      <c r="AO100" s="491"/>
      <c r="AP100" s="492"/>
      <c r="AQ100" s="492"/>
      <c r="AR100" s="490"/>
      <c r="AS100" s="657"/>
      <c r="AT100" s="490"/>
      <c r="AU100" s="416"/>
      <c r="AV100" s="416"/>
      <c r="AW100" s="490"/>
      <c r="AX100" s="657"/>
      <c r="AZ100" s="398" t="e">
        <f t="shared" si="65"/>
        <v>#N/A</v>
      </c>
      <c r="BA100" s="657"/>
    </row>
    <row r="101" spans="2:53">
      <c r="B101" s="643"/>
      <c r="C101" s="411">
        <v>15</v>
      </c>
      <c r="D101" s="225"/>
      <c r="E101" s="416"/>
      <c r="F101" s="409"/>
      <c r="G101" s="410"/>
      <c r="H101" s="684"/>
      <c r="I101" s="411"/>
      <c r="J101" s="411"/>
      <c r="K101" s="411"/>
      <c r="L101" s="618"/>
      <c r="M101" s="417" t="e">
        <f>RANK(K101, K$47:$K$61)</f>
        <v>#N/A</v>
      </c>
      <c r="N101" s="635"/>
      <c r="O101" s="635"/>
      <c r="P101" s="491"/>
      <c r="Q101" s="492"/>
      <c r="R101" s="492"/>
      <c r="S101" s="490"/>
      <c r="T101" s="657"/>
      <c r="U101" s="491"/>
      <c r="V101" s="492"/>
      <c r="W101" s="492"/>
      <c r="X101" s="490"/>
      <c r="Y101" s="657"/>
      <c r="Z101" s="491"/>
      <c r="AA101" s="492"/>
      <c r="AB101" s="492"/>
      <c r="AC101" s="490"/>
      <c r="AD101" s="657"/>
      <c r="AE101" s="491"/>
      <c r="AF101" s="492"/>
      <c r="AG101" s="492"/>
      <c r="AH101" s="490"/>
      <c r="AI101" s="657"/>
      <c r="AJ101" s="491"/>
      <c r="AK101" s="492"/>
      <c r="AL101" s="492"/>
      <c r="AM101" s="490"/>
      <c r="AN101" s="657"/>
      <c r="AO101" s="491"/>
      <c r="AP101" s="492"/>
      <c r="AQ101" s="492"/>
      <c r="AR101" s="490"/>
      <c r="AS101" s="657"/>
      <c r="AT101" s="490"/>
      <c r="AU101" s="416"/>
      <c r="AV101" s="416"/>
      <c r="AW101" s="490"/>
      <c r="AX101" s="657"/>
      <c r="AZ101" s="398" t="e">
        <f t="shared" si="65"/>
        <v>#N/A</v>
      </c>
      <c r="BA101" s="657"/>
    </row>
    <row r="102" spans="2:53" ht="15.75">
      <c r="B102" s="647" t="s">
        <v>163</v>
      </c>
      <c r="C102" s="648"/>
      <c r="D102" s="648"/>
      <c r="E102" s="648"/>
      <c r="F102" s="648"/>
      <c r="G102" s="648"/>
      <c r="H102" s="649"/>
      <c r="I102" s="207"/>
      <c r="J102" s="207"/>
      <c r="K102" s="207"/>
      <c r="L102" s="207"/>
      <c r="M102" s="206"/>
      <c r="N102" s="636" t="s">
        <v>156</v>
      </c>
      <c r="O102" s="636" t="s">
        <v>105</v>
      </c>
      <c r="P102" s="642">
        <f>P82+7</f>
        <v>46203</v>
      </c>
      <c r="Q102" s="643"/>
      <c r="R102" s="643"/>
      <c r="S102" s="643"/>
      <c r="T102" s="643"/>
      <c r="U102" s="639">
        <f>P102+1</f>
        <v>46204</v>
      </c>
      <c r="V102" s="640"/>
      <c r="W102" s="640"/>
      <c r="X102" s="640"/>
      <c r="Y102" s="641"/>
      <c r="Z102" s="639">
        <f>U102+1</f>
        <v>46205</v>
      </c>
      <c r="AA102" s="640"/>
      <c r="AB102" s="640"/>
      <c r="AC102" s="640"/>
      <c r="AD102" s="641"/>
      <c r="AE102" s="639">
        <f>Z102+1</f>
        <v>46206</v>
      </c>
      <c r="AF102" s="640"/>
      <c r="AG102" s="640"/>
      <c r="AH102" s="640"/>
      <c r="AI102" s="641"/>
      <c r="AJ102" s="639">
        <f>AE102+1</f>
        <v>46207</v>
      </c>
      <c r="AK102" s="640"/>
      <c r="AL102" s="640"/>
      <c r="AM102" s="640"/>
      <c r="AN102" s="641"/>
      <c r="AO102" s="639">
        <f>AJ102+1</f>
        <v>46208</v>
      </c>
      <c r="AP102" s="640"/>
      <c r="AQ102" s="640"/>
      <c r="AR102" s="640"/>
      <c r="AS102" s="641"/>
      <c r="AT102" s="639">
        <f>AO102+1</f>
        <v>46209</v>
      </c>
      <c r="AU102" s="640"/>
      <c r="AV102" s="640"/>
      <c r="AW102" s="640"/>
      <c r="AX102" s="641"/>
    </row>
    <row r="103" spans="2:53" ht="15.75">
      <c r="B103" s="650"/>
      <c r="C103" s="650"/>
      <c r="D103" s="650"/>
      <c r="E103" s="650"/>
      <c r="F103" s="650"/>
      <c r="G103" s="650"/>
      <c r="H103" s="650"/>
      <c r="I103" s="204"/>
      <c r="J103" s="204"/>
      <c r="K103" s="204"/>
      <c r="L103" s="204"/>
      <c r="M103" s="205"/>
      <c r="N103" s="638"/>
      <c r="O103" s="638"/>
      <c r="P103" s="642" t="s">
        <v>158</v>
      </c>
      <c r="Q103" s="643"/>
      <c r="R103" s="643"/>
      <c r="S103" s="643"/>
      <c r="T103" s="643"/>
      <c r="U103" s="642" t="s">
        <v>114</v>
      </c>
      <c r="V103" s="643"/>
      <c r="W103" s="643"/>
      <c r="X103" s="643"/>
      <c r="Y103" s="643"/>
      <c r="Z103" s="642" t="s">
        <v>159</v>
      </c>
      <c r="AA103" s="643"/>
      <c r="AB103" s="643"/>
      <c r="AC103" s="643"/>
      <c r="AD103" s="643"/>
      <c r="AE103" s="642" t="s">
        <v>157</v>
      </c>
      <c r="AF103" s="643"/>
      <c r="AG103" s="643"/>
      <c r="AH103" s="643"/>
      <c r="AI103" s="643"/>
      <c r="AJ103" s="642" t="s">
        <v>160</v>
      </c>
      <c r="AK103" s="643"/>
      <c r="AL103" s="643"/>
      <c r="AM103" s="643"/>
      <c r="AN103" s="643"/>
      <c r="AO103" s="642" t="s">
        <v>115</v>
      </c>
      <c r="AP103" s="643"/>
      <c r="AQ103" s="643"/>
      <c r="AR103" s="643"/>
      <c r="AS103" s="643"/>
      <c r="AT103" s="642" t="s">
        <v>162</v>
      </c>
      <c r="AU103" s="643"/>
      <c r="AV103" s="643"/>
      <c r="AW103" s="643"/>
      <c r="AX103" s="643"/>
    </row>
    <row r="104" spans="2:53">
      <c r="B104" s="635" t="s">
        <v>548</v>
      </c>
      <c r="C104" s="635" t="s">
        <v>549</v>
      </c>
      <c r="D104" s="635"/>
      <c r="E104" s="635" t="s">
        <v>550</v>
      </c>
      <c r="F104" s="635"/>
      <c r="G104" s="635"/>
      <c r="H104" s="651" t="s">
        <v>551</v>
      </c>
      <c r="I104" s="635" t="s">
        <v>552</v>
      </c>
      <c r="J104" s="635"/>
      <c r="K104" s="635"/>
      <c r="L104" s="651" t="s">
        <v>371</v>
      </c>
      <c r="M104" s="636" t="s">
        <v>553</v>
      </c>
      <c r="N104" s="635"/>
      <c r="O104" s="635" t="s">
        <v>539</v>
      </c>
      <c r="P104" s="632" t="s">
        <v>540</v>
      </c>
      <c r="Q104" s="633"/>
      <c r="R104" s="633"/>
      <c r="S104" s="634"/>
      <c r="T104" s="635" t="s">
        <v>536</v>
      </c>
      <c r="U104" s="632" t="s">
        <v>540</v>
      </c>
      <c r="V104" s="633"/>
      <c r="W104" s="633"/>
      <c r="X104" s="634"/>
      <c r="Y104" s="635" t="s">
        <v>536</v>
      </c>
      <c r="Z104" s="632" t="s">
        <v>540</v>
      </c>
      <c r="AA104" s="633"/>
      <c r="AB104" s="633"/>
      <c r="AC104" s="634"/>
      <c r="AD104" s="635" t="s">
        <v>536</v>
      </c>
      <c r="AE104" s="632" t="s">
        <v>540</v>
      </c>
      <c r="AF104" s="633"/>
      <c r="AG104" s="633"/>
      <c r="AH104" s="634"/>
      <c r="AI104" s="635" t="s">
        <v>536</v>
      </c>
      <c r="AJ104" s="632" t="s">
        <v>540</v>
      </c>
      <c r="AK104" s="633"/>
      <c r="AL104" s="633"/>
      <c r="AM104" s="634"/>
      <c r="AN104" s="635" t="s">
        <v>536</v>
      </c>
      <c r="AO104" s="632" t="s">
        <v>540</v>
      </c>
      <c r="AP104" s="633"/>
      <c r="AQ104" s="633"/>
      <c r="AR104" s="634"/>
      <c r="AS104" s="635" t="s">
        <v>536</v>
      </c>
      <c r="AT104" s="632" t="s">
        <v>540</v>
      </c>
      <c r="AU104" s="633"/>
      <c r="AV104" s="633"/>
      <c r="AW104" s="634"/>
      <c r="AX104" s="635" t="s">
        <v>536</v>
      </c>
      <c r="BA104" s="635" t="s">
        <v>371</v>
      </c>
    </row>
    <row r="105" spans="2:53">
      <c r="B105" s="635"/>
      <c r="C105" s="635"/>
      <c r="D105" s="635"/>
      <c r="E105" s="635" t="s">
        <v>555</v>
      </c>
      <c r="F105" s="635"/>
      <c r="G105" s="635"/>
      <c r="H105" s="652"/>
      <c r="I105" s="635" t="s">
        <v>555</v>
      </c>
      <c r="J105" s="635"/>
      <c r="K105" s="635"/>
      <c r="L105" s="652"/>
      <c r="M105" s="637"/>
      <c r="N105" s="635"/>
      <c r="O105" s="635"/>
      <c r="P105" s="632" t="s">
        <v>542</v>
      </c>
      <c r="Q105" s="633"/>
      <c r="R105" s="633"/>
      <c r="S105" s="634"/>
      <c r="T105" s="635"/>
      <c r="U105" s="632" t="s">
        <v>542</v>
      </c>
      <c r="V105" s="633"/>
      <c r="W105" s="633"/>
      <c r="X105" s="634"/>
      <c r="Y105" s="635"/>
      <c r="Z105" s="632" t="s">
        <v>542</v>
      </c>
      <c r="AA105" s="633"/>
      <c r="AB105" s="633"/>
      <c r="AC105" s="634"/>
      <c r="AD105" s="635"/>
      <c r="AE105" s="632" t="s">
        <v>542</v>
      </c>
      <c r="AF105" s="633"/>
      <c r="AG105" s="633"/>
      <c r="AH105" s="634"/>
      <c r="AI105" s="635"/>
      <c r="AJ105" s="632" t="s">
        <v>542</v>
      </c>
      <c r="AK105" s="633"/>
      <c r="AL105" s="633"/>
      <c r="AM105" s="634"/>
      <c r="AN105" s="635"/>
      <c r="AO105" s="632" t="s">
        <v>542</v>
      </c>
      <c r="AP105" s="633"/>
      <c r="AQ105" s="633"/>
      <c r="AR105" s="634"/>
      <c r="AS105" s="635"/>
      <c r="AT105" s="632" t="s">
        <v>542</v>
      </c>
      <c r="AU105" s="633"/>
      <c r="AV105" s="633"/>
      <c r="AW105" s="634"/>
      <c r="AX105" s="635"/>
      <c r="BA105" s="635"/>
    </row>
    <row r="106" spans="2:53">
      <c r="B106" s="635"/>
      <c r="C106" s="635"/>
      <c r="D106" s="635"/>
      <c r="E106" s="360" t="s">
        <v>556</v>
      </c>
      <c r="F106" s="360" t="s">
        <v>557</v>
      </c>
      <c r="G106" s="360" t="s">
        <v>558</v>
      </c>
      <c r="H106" s="653"/>
      <c r="I106" s="360" t="s">
        <v>556</v>
      </c>
      <c r="J106" s="360" t="s">
        <v>557</v>
      </c>
      <c r="K106" s="360" t="s">
        <v>558</v>
      </c>
      <c r="L106" s="653"/>
      <c r="M106" s="638"/>
      <c r="N106" s="635"/>
      <c r="O106" s="635"/>
      <c r="P106" s="360" t="s">
        <v>543</v>
      </c>
      <c r="Q106" s="360" t="s">
        <v>544</v>
      </c>
      <c r="R106" s="360" t="s">
        <v>545</v>
      </c>
      <c r="S106" s="360" t="s">
        <v>538</v>
      </c>
      <c r="T106" s="635"/>
      <c r="U106" s="360" t="s">
        <v>543</v>
      </c>
      <c r="V106" s="360" t="s">
        <v>544</v>
      </c>
      <c r="W106" s="360" t="s">
        <v>545</v>
      </c>
      <c r="X106" s="360" t="s">
        <v>538</v>
      </c>
      <c r="Y106" s="635"/>
      <c r="Z106" s="360" t="s">
        <v>543</v>
      </c>
      <c r="AA106" s="360" t="s">
        <v>544</v>
      </c>
      <c r="AB106" s="360" t="s">
        <v>545</v>
      </c>
      <c r="AC106" s="360" t="s">
        <v>538</v>
      </c>
      <c r="AD106" s="635"/>
      <c r="AE106" s="360" t="s">
        <v>543</v>
      </c>
      <c r="AF106" s="360" t="s">
        <v>544</v>
      </c>
      <c r="AG106" s="360" t="s">
        <v>545</v>
      </c>
      <c r="AH106" s="360" t="s">
        <v>538</v>
      </c>
      <c r="AI106" s="635"/>
      <c r="AJ106" s="360" t="s">
        <v>543</v>
      </c>
      <c r="AK106" s="360" t="s">
        <v>544</v>
      </c>
      <c r="AL106" s="360" t="s">
        <v>545</v>
      </c>
      <c r="AM106" s="360" t="s">
        <v>538</v>
      </c>
      <c r="AN106" s="635"/>
      <c r="AO106" s="360" t="s">
        <v>543</v>
      </c>
      <c r="AP106" s="360" t="s">
        <v>544</v>
      </c>
      <c r="AQ106" s="360" t="s">
        <v>545</v>
      </c>
      <c r="AR106" s="360" t="s">
        <v>538</v>
      </c>
      <c r="AS106" s="635"/>
      <c r="AT106" s="360" t="s">
        <v>543</v>
      </c>
      <c r="AU106" s="360" t="s">
        <v>544</v>
      </c>
      <c r="AV106" s="360" t="s">
        <v>545</v>
      </c>
      <c r="AW106" s="360" t="s">
        <v>538</v>
      </c>
      <c r="AX106" s="635"/>
      <c r="AZ106" s="397" t="s">
        <v>538</v>
      </c>
      <c r="BA106" s="635"/>
    </row>
    <row r="107" spans="2:53">
      <c r="B107" s="635" t="s">
        <v>136</v>
      </c>
      <c r="C107" s="363">
        <v>1</v>
      </c>
      <c r="D107" s="225"/>
      <c r="E107" s="181"/>
      <c r="F107" s="371"/>
      <c r="G107" s="372"/>
      <c r="H107" s="679" t="e">
        <f>AVERAGE(G107:G121)</f>
        <v>#DIV/0!</v>
      </c>
      <c r="I107" s="391" t="str">
        <f t="shared" ref="I107:I120" si="67">IFERROR(AVERAGE(P107,U107,Z107,AE107,AJ107,AO107,AT107),"-")</f>
        <v>-</v>
      </c>
      <c r="J107" s="391" t="str">
        <f t="shared" ref="J107:J120" si="68">IFERROR(AVERAGE(Q107,V107,AA107,AF107,AK107,AP107,AU107),"-")</f>
        <v>-</v>
      </c>
      <c r="K107" s="199" t="str">
        <f t="shared" ref="K107:K120" si="69">IFERROR(AVERAGE(R107,W107,AB107,AG107,AL107,AQ107,AV107),"-")</f>
        <v>-</v>
      </c>
      <c r="L107" s="616" t="str">
        <f>IFERROR(AVERAGE(K107:K121),"-")</f>
        <v>-</v>
      </c>
      <c r="M107" s="364" t="e">
        <f>RANK(K107, K$67:$K$81)</f>
        <v>#VALUE!</v>
      </c>
      <c r="N107" s="635"/>
      <c r="O107" s="635"/>
      <c r="P107" s="363"/>
      <c r="Q107" s="364"/>
      <c r="R107" s="364"/>
      <c r="S107" s="363" t="e">
        <f>RANK(R107, R$67:R$81)</f>
        <v>#N/A</v>
      </c>
      <c r="T107" s="682" t="e">
        <f>AVERAGE(R107:R121)</f>
        <v>#DIV/0!</v>
      </c>
      <c r="U107" s="373"/>
      <c r="V107" s="374"/>
      <c r="W107" s="374"/>
      <c r="X107" s="363" t="e">
        <f>RANK(W107, W$67:W$81)</f>
        <v>#N/A</v>
      </c>
      <c r="Y107" s="682" t="e">
        <f>AVERAGE(W107:W121)</f>
        <v>#DIV/0!</v>
      </c>
      <c r="Z107" s="373"/>
      <c r="AA107" s="374"/>
      <c r="AB107" s="374"/>
      <c r="AC107" s="363" t="e">
        <f>RANK(AB107, AB$67:AB$81)</f>
        <v>#N/A</v>
      </c>
      <c r="AD107" s="682" t="e">
        <f>AVERAGE(AB107:AB121)</f>
        <v>#DIV/0!</v>
      </c>
      <c r="AE107" s="373"/>
      <c r="AF107" s="374"/>
      <c r="AG107" s="374"/>
      <c r="AH107" s="363" t="e">
        <f>RANK(AG107, AG$67:AG$81)</f>
        <v>#N/A</v>
      </c>
      <c r="AI107" s="682" t="e">
        <f>AVERAGE(AG107:AG121)</f>
        <v>#DIV/0!</v>
      </c>
      <c r="AJ107" s="373"/>
      <c r="AK107" s="374"/>
      <c r="AL107" s="374"/>
      <c r="AM107" s="363" t="e">
        <f>RANK(AL107, AL$67:AL$81)</f>
        <v>#N/A</v>
      </c>
      <c r="AN107" s="682" t="e">
        <f>AVERAGE(AL107:AL121)</f>
        <v>#DIV/0!</v>
      </c>
      <c r="AO107" s="373"/>
      <c r="AP107" s="374"/>
      <c r="AQ107" s="374"/>
      <c r="AR107" s="363" t="e">
        <f>RANK(AQ107, AQ$67:AQ$81)</f>
        <v>#N/A</v>
      </c>
      <c r="AS107" s="682" t="e">
        <f>AVERAGE(AQ107:AQ121)</f>
        <v>#DIV/0!</v>
      </c>
      <c r="AT107" s="181"/>
      <c r="AU107" s="181"/>
      <c r="AV107" s="372"/>
      <c r="AW107" s="363" t="e">
        <f>RANK(AV107, AV$67:AV$81)</f>
        <v>#N/A</v>
      </c>
      <c r="AX107" s="682" t="e">
        <f>AVERAGE(AV107:AV121)</f>
        <v>#DIV/0!</v>
      </c>
      <c r="AZ107" s="399" t="e">
        <f>RANK(AY107, AY$67:AY$81)</f>
        <v>#N/A</v>
      </c>
      <c r="BA107" s="682" t="e">
        <f>AVERAGE(AY107:AY121)</f>
        <v>#DIV/0!</v>
      </c>
    </row>
    <row r="108" spans="2:53">
      <c r="B108" s="668"/>
      <c r="C108" s="363">
        <v>2</v>
      </c>
      <c r="D108" s="225"/>
      <c r="E108" s="181"/>
      <c r="F108" s="371"/>
      <c r="G108" s="372"/>
      <c r="H108" s="680"/>
      <c r="I108" s="391" t="str">
        <f t="shared" si="67"/>
        <v>-</v>
      </c>
      <c r="J108" s="391" t="str">
        <f t="shared" si="68"/>
        <v>-</v>
      </c>
      <c r="K108" s="199" t="str">
        <f t="shared" si="69"/>
        <v>-</v>
      </c>
      <c r="L108" s="617"/>
      <c r="M108" s="364" t="e">
        <f>RANK(K108, K$67:$K$81)</f>
        <v>#VALUE!</v>
      </c>
      <c r="N108" s="635"/>
      <c r="O108" s="635"/>
      <c r="P108" s="363"/>
      <c r="Q108" s="364"/>
      <c r="R108" s="364"/>
      <c r="S108" s="363" t="e">
        <f t="shared" ref="S108:S121" si="70">RANK(R108, R$67:R$81)</f>
        <v>#N/A</v>
      </c>
      <c r="T108" s="682"/>
      <c r="U108" s="373"/>
      <c r="V108" s="374"/>
      <c r="W108" s="374"/>
      <c r="X108" s="363" t="e">
        <f t="shared" ref="X108:X121" si="71">RANK(W108, W$67:W$81)</f>
        <v>#N/A</v>
      </c>
      <c r="Y108" s="682"/>
      <c r="Z108" s="373"/>
      <c r="AA108" s="374"/>
      <c r="AB108" s="374"/>
      <c r="AC108" s="363" t="e">
        <f t="shared" ref="AC108:AC121" si="72">RANK(AB108, AB$67:AB$81)</f>
        <v>#N/A</v>
      </c>
      <c r="AD108" s="682"/>
      <c r="AE108" s="373"/>
      <c r="AF108" s="374"/>
      <c r="AG108" s="374"/>
      <c r="AH108" s="363" t="e">
        <f t="shared" ref="AH108:AH121" si="73">RANK(AG108, AG$67:AG$81)</f>
        <v>#N/A</v>
      </c>
      <c r="AI108" s="682"/>
      <c r="AJ108" s="373"/>
      <c r="AK108" s="374"/>
      <c r="AL108" s="374"/>
      <c r="AM108" s="363" t="e">
        <f t="shared" ref="AM108:AM121" si="74">RANK(AL108, AL$67:AL$81)</f>
        <v>#N/A</v>
      </c>
      <c r="AN108" s="682"/>
      <c r="AO108" s="373"/>
      <c r="AP108" s="374"/>
      <c r="AQ108" s="374"/>
      <c r="AR108" s="363" t="e">
        <f t="shared" ref="AR108:AR121" si="75">RANK(AQ108, AQ$67:AQ$81)</f>
        <v>#N/A</v>
      </c>
      <c r="AS108" s="682"/>
      <c r="AT108" s="371"/>
      <c r="AU108" s="181"/>
      <c r="AV108" s="372"/>
      <c r="AW108" s="363" t="e">
        <f t="shared" ref="AW108:AW121" si="76">RANK(AV108, AV$67:AV$81)</f>
        <v>#N/A</v>
      </c>
      <c r="AX108" s="682"/>
      <c r="AZ108" s="399" t="e">
        <f t="shared" ref="AZ108:AZ121" si="77">RANK(AY108, AY$67:AY$81)</f>
        <v>#N/A</v>
      </c>
      <c r="BA108" s="682"/>
    </row>
    <row r="109" spans="2:53">
      <c r="B109" s="668"/>
      <c r="C109" s="363">
        <v>3</v>
      </c>
      <c r="D109" s="225"/>
      <c r="E109" s="181"/>
      <c r="F109" s="371"/>
      <c r="G109" s="372"/>
      <c r="H109" s="680"/>
      <c r="I109" s="391" t="str">
        <f t="shared" si="67"/>
        <v>-</v>
      </c>
      <c r="J109" s="391" t="str">
        <f t="shared" si="68"/>
        <v>-</v>
      </c>
      <c r="K109" s="199" t="str">
        <f t="shared" si="69"/>
        <v>-</v>
      </c>
      <c r="L109" s="617"/>
      <c r="M109" s="364" t="e">
        <f>RANK(K109, K$67:$K$81)</f>
        <v>#VALUE!</v>
      </c>
      <c r="N109" s="635"/>
      <c r="O109" s="635"/>
      <c r="P109" s="363"/>
      <c r="Q109" s="364"/>
      <c r="R109" s="364"/>
      <c r="S109" s="363" t="e">
        <f t="shared" si="70"/>
        <v>#N/A</v>
      </c>
      <c r="T109" s="682"/>
      <c r="U109" s="373"/>
      <c r="V109" s="374"/>
      <c r="W109" s="374"/>
      <c r="X109" s="363" t="e">
        <f t="shared" si="71"/>
        <v>#N/A</v>
      </c>
      <c r="Y109" s="682"/>
      <c r="Z109" s="373"/>
      <c r="AA109" s="374"/>
      <c r="AB109" s="374"/>
      <c r="AC109" s="363" t="e">
        <f t="shared" si="72"/>
        <v>#N/A</v>
      </c>
      <c r="AD109" s="682"/>
      <c r="AE109" s="373"/>
      <c r="AF109" s="374"/>
      <c r="AG109" s="374"/>
      <c r="AH109" s="363" t="e">
        <f t="shared" si="73"/>
        <v>#N/A</v>
      </c>
      <c r="AI109" s="682"/>
      <c r="AJ109" s="373"/>
      <c r="AK109" s="374"/>
      <c r="AL109" s="374"/>
      <c r="AM109" s="363" t="e">
        <f t="shared" si="74"/>
        <v>#N/A</v>
      </c>
      <c r="AN109" s="682"/>
      <c r="AO109" s="373"/>
      <c r="AP109" s="374"/>
      <c r="AQ109" s="374"/>
      <c r="AR109" s="363" t="e">
        <f t="shared" si="75"/>
        <v>#N/A</v>
      </c>
      <c r="AS109" s="682"/>
      <c r="AT109" s="371"/>
      <c r="AU109" s="181"/>
      <c r="AV109" s="372"/>
      <c r="AW109" s="363" t="e">
        <f t="shared" si="76"/>
        <v>#N/A</v>
      </c>
      <c r="AX109" s="682"/>
      <c r="AZ109" s="399" t="e">
        <f t="shared" si="77"/>
        <v>#N/A</v>
      </c>
      <c r="BA109" s="682"/>
    </row>
    <row r="110" spans="2:53">
      <c r="B110" s="668"/>
      <c r="C110" s="363">
        <v>4</v>
      </c>
      <c r="D110" s="225"/>
      <c r="E110" s="181"/>
      <c r="F110" s="371"/>
      <c r="G110" s="372"/>
      <c r="H110" s="680"/>
      <c r="I110" s="391" t="str">
        <f t="shared" si="67"/>
        <v>-</v>
      </c>
      <c r="J110" s="391" t="str">
        <f t="shared" si="68"/>
        <v>-</v>
      </c>
      <c r="K110" s="199" t="str">
        <f t="shared" si="69"/>
        <v>-</v>
      </c>
      <c r="L110" s="617"/>
      <c r="M110" s="364" t="e">
        <f>RANK(K110, K$67:$K$81)</f>
        <v>#VALUE!</v>
      </c>
      <c r="N110" s="635"/>
      <c r="O110" s="635"/>
      <c r="P110" s="363"/>
      <c r="Q110" s="364"/>
      <c r="R110" s="364"/>
      <c r="S110" s="363" t="e">
        <f t="shared" si="70"/>
        <v>#N/A</v>
      </c>
      <c r="T110" s="682"/>
      <c r="U110" s="373"/>
      <c r="V110" s="374"/>
      <c r="W110" s="374"/>
      <c r="X110" s="363" t="e">
        <f t="shared" si="71"/>
        <v>#N/A</v>
      </c>
      <c r="Y110" s="682"/>
      <c r="Z110" s="373"/>
      <c r="AA110" s="374"/>
      <c r="AB110" s="374"/>
      <c r="AC110" s="363" t="e">
        <f t="shared" si="72"/>
        <v>#N/A</v>
      </c>
      <c r="AD110" s="682"/>
      <c r="AE110" s="373"/>
      <c r="AF110" s="374"/>
      <c r="AG110" s="374"/>
      <c r="AH110" s="363" t="e">
        <f t="shared" si="73"/>
        <v>#N/A</v>
      </c>
      <c r="AI110" s="682"/>
      <c r="AJ110" s="373"/>
      <c r="AK110" s="374"/>
      <c r="AL110" s="374"/>
      <c r="AM110" s="363" t="e">
        <f t="shared" si="74"/>
        <v>#N/A</v>
      </c>
      <c r="AN110" s="682"/>
      <c r="AO110" s="373"/>
      <c r="AP110" s="374"/>
      <c r="AQ110" s="374"/>
      <c r="AR110" s="363" t="e">
        <f t="shared" si="75"/>
        <v>#N/A</v>
      </c>
      <c r="AS110" s="682"/>
      <c r="AT110" s="371"/>
      <c r="AU110" s="181"/>
      <c r="AV110" s="372"/>
      <c r="AW110" s="363" t="e">
        <f t="shared" si="76"/>
        <v>#N/A</v>
      </c>
      <c r="AX110" s="682"/>
      <c r="AZ110" s="399" t="e">
        <f t="shared" si="77"/>
        <v>#N/A</v>
      </c>
      <c r="BA110" s="682"/>
    </row>
    <row r="111" spans="2:53">
      <c r="B111" s="668"/>
      <c r="C111" s="363">
        <v>5</v>
      </c>
      <c r="D111" s="225"/>
      <c r="E111" s="181"/>
      <c r="F111" s="371"/>
      <c r="G111" s="372"/>
      <c r="H111" s="680"/>
      <c r="I111" s="391" t="str">
        <f t="shared" si="67"/>
        <v>-</v>
      </c>
      <c r="J111" s="391" t="str">
        <f t="shared" si="68"/>
        <v>-</v>
      </c>
      <c r="K111" s="199" t="str">
        <f t="shared" si="69"/>
        <v>-</v>
      </c>
      <c r="L111" s="617"/>
      <c r="M111" s="364" t="e">
        <f>RANK(K111, K$67:$K$81)</f>
        <v>#VALUE!</v>
      </c>
      <c r="N111" s="635"/>
      <c r="O111" s="635"/>
      <c r="P111" s="363"/>
      <c r="Q111" s="364"/>
      <c r="R111" s="364"/>
      <c r="S111" s="363" t="e">
        <f t="shared" si="70"/>
        <v>#N/A</v>
      </c>
      <c r="T111" s="682"/>
      <c r="U111" s="373"/>
      <c r="V111" s="374"/>
      <c r="W111" s="374"/>
      <c r="X111" s="363" t="e">
        <f t="shared" si="71"/>
        <v>#N/A</v>
      </c>
      <c r="Y111" s="682"/>
      <c r="Z111" s="373"/>
      <c r="AA111" s="374"/>
      <c r="AB111" s="374"/>
      <c r="AC111" s="363" t="e">
        <f t="shared" si="72"/>
        <v>#N/A</v>
      </c>
      <c r="AD111" s="682"/>
      <c r="AE111" s="373"/>
      <c r="AF111" s="374"/>
      <c r="AG111" s="374"/>
      <c r="AH111" s="363" t="e">
        <f t="shared" si="73"/>
        <v>#N/A</v>
      </c>
      <c r="AI111" s="682"/>
      <c r="AJ111" s="373"/>
      <c r="AK111" s="374"/>
      <c r="AL111" s="374"/>
      <c r="AM111" s="363" t="e">
        <f t="shared" si="74"/>
        <v>#N/A</v>
      </c>
      <c r="AN111" s="682"/>
      <c r="AO111" s="373"/>
      <c r="AP111" s="374"/>
      <c r="AQ111" s="374"/>
      <c r="AR111" s="363" t="e">
        <f t="shared" si="75"/>
        <v>#N/A</v>
      </c>
      <c r="AS111" s="682"/>
      <c r="AT111" s="371"/>
      <c r="AU111" s="181"/>
      <c r="AV111" s="372"/>
      <c r="AW111" s="363" t="e">
        <f t="shared" si="76"/>
        <v>#N/A</v>
      </c>
      <c r="AX111" s="682"/>
      <c r="AZ111" s="399" t="e">
        <f t="shared" si="77"/>
        <v>#N/A</v>
      </c>
      <c r="BA111" s="682"/>
    </row>
    <row r="112" spans="2:53">
      <c r="B112" s="668"/>
      <c r="C112" s="363">
        <v>6</v>
      </c>
      <c r="D112" s="225"/>
      <c r="E112" s="181"/>
      <c r="F112" s="371"/>
      <c r="G112" s="372"/>
      <c r="H112" s="680"/>
      <c r="I112" s="391" t="str">
        <f t="shared" si="67"/>
        <v>-</v>
      </c>
      <c r="J112" s="391" t="str">
        <f t="shared" si="68"/>
        <v>-</v>
      </c>
      <c r="K112" s="199" t="str">
        <f t="shared" si="69"/>
        <v>-</v>
      </c>
      <c r="L112" s="617"/>
      <c r="M112" s="364" t="e">
        <f>RANK(K112, K$67:$K$81)</f>
        <v>#VALUE!</v>
      </c>
      <c r="N112" s="635"/>
      <c r="O112" s="635"/>
      <c r="P112" s="363"/>
      <c r="Q112" s="364"/>
      <c r="R112" s="364"/>
      <c r="S112" s="363" t="e">
        <f t="shared" si="70"/>
        <v>#N/A</v>
      </c>
      <c r="T112" s="682"/>
      <c r="U112" s="373"/>
      <c r="V112" s="374"/>
      <c r="W112" s="374"/>
      <c r="X112" s="363" t="e">
        <f t="shared" si="71"/>
        <v>#N/A</v>
      </c>
      <c r="Y112" s="682"/>
      <c r="Z112" s="373"/>
      <c r="AA112" s="374"/>
      <c r="AB112" s="374"/>
      <c r="AC112" s="363" t="e">
        <f t="shared" si="72"/>
        <v>#N/A</v>
      </c>
      <c r="AD112" s="682"/>
      <c r="AE112" s="373"/>
      <c r="AF112" s="374"/>
      <c r="AG112" s="374"/>
      <c r="AH112" s="363" t="e">
        <f t="shared" si="73"/>
        <v>#N/A</v>
      </c>
      <c r="AI112" s="682"/>
      <c r="AJ112" s="373"/>
      <c r="AK112" s="374"/>
      <c r="AL112" s="374"/>
      <c r="AM112" s="363" t="e">
        <f t="shared" si="74"/>
        <v>#N/A</v>
      </c>
      <c r="AN112" s="682"/>
      <c r="AO112" s="373"/>
      <c r="AP112" s="374"/>
      <c r="AQ112" s="374"/>
      <c r="AR112" s="363" t="e">
        <f t="shared" si="75"/>
        <v>#N/A</v>
      </c>
      <c r="AS112" s="682"/>
      <c r="AT112" s="371"/>
      <c r="AU112" s="181"/>
      <c r="AV112" s="372"/>
      <c r="AW112" s="363" t="e">
        <f t="shared" si="76"/>
        <v>#N/A</v>
      </c>
      <c r="AX112" s="682"/>
      <c r="AZ112" s="399" t="e">
        <f t="shared" si="77"/>
        <v>#N/A</v>
      </c>
      <c r="BA112" s="682"/>
    </row>
    <row r="113" spans="2:53">
      <c r="B113" s="668"/>
      <c r="C113" s="363">
        <v>7</v>
      </c>
      <c r="D113" s="225"/>
      <c r="E113" s="181"/>
      <c r="F113" s="371"/>
      <c r="G113" s="372"/>
      <c r="H113" s="680"/>
      <c r="I113" s="391" t="str">
        <f t="shared" si="67"/>
        <v>-</v>
      </c>
      <c r="J113" s="391" t="str">
        <f t="shared" si="68"/>
        <v>-</v>
      </c>
      <c r="K113" s="199" t="str">
        <f t="shared" si="69"/>
        <v>-</v>
      </c>
      <c r="L113" s="617"/>
      <c r="M113" s="364" t="e">
        <f>RANK(K113, K$67:$K$81)</f>
        <v>#VALUE!</v>
      </c>
      <c r="N113" s="635"/>
      <c r="O113" s="635"/>
      <c r="P113" s="363"/>
      <c r="Q113" s="364"/>
      <c r="R113" s="364"/>
      <c r="S113" s="363" t="e">
        <f t="shared" si="70"/>
        <v>#N/A</v>
      </c>
      <c r="T113" s="682"/>
      <c r="U113" s="373"/>
      <c r="V113" s="374"/>
      <c r="W113" s="374"/>
      <c r="X113" s="363" t="e">
        <f t="shared" si="71"/>
        <v>#N/A</v>
      </c>
      <c r="Y113" s="682"/>
      <c r="Z113" s="373"/>
      <c r="AA113" s="374"/>
      <c r="AB113" s="374"/>
      <c r="AC113" s="363" t="e">
        <f t="shared" si="72"/>
        <v>#N/A</v>
      </c>
      <c r="AD113" s="682"/>
      <c r="AE113" s="373"/>
      <c r="AF113" s="374"/>
      <c r="AG113" s="374"/>
      <c r="AH113" s="363" t="e">
        <f t="shared" si="73"/>
        <v>#N/A</v>
      </c>
      <c r="AI113" s="682"/>
      <c r="AJ113" s="373"/>
      <c r="AK113" s="374"/>
      <c r="AL113" s="374"/>
      <c r="AM113" s="363" t="e">
        <f t="shared" si="74"/>
        <v>#N/A</v>
      </c>
      <c r="AN113" s="682"/>
      <c r="AO113" s="373"/>
      <c r="AP113" s="374"/>
      <c r="AQ113" s="374"/>
      <c r="AR113" s="363" t="e">
        <f t="shared" si="75"/>
        <v>#N/A</v>
      </c>
      <c r="AS113" s="682"/>
      <c r="AT113" s="371"/>
      <c r="AU113" s="181"/>
      <c r="AV113" s="372"/>
      <c r="AW113" s="363" t="e">
        <f t="shared" si="76"/>
        <v>#N/A</v>
      </c>
      <c r="AX113" s="682"/>
      <c r="AZ113" s="399" t="e">
        <f t="shared" si="77"/>
        <v>#N/A</v>
      </c>
      <c r="BA113" s="682"/>
    </row>
    <row r="114" spans="2:53">
      <c r="B114" s="668"/>
      <c r="C114" s="363">
        <v>8</v>
      </c>
      <c r="D114" s="225"/>
      <c r="E114" s="181"/>
      <c r="F114" s="371"/>
      <c r="G114" s="372"/>
      <c r="H114" s="680"/>
      <c r="I114" s="391" t="str">
        <f t="shared" si="67"/>
        <v>-</v>
      </c>
      <c r="J114" s="391" t="str">
        <f t="shared" si="68"/>
        <v>-</v>
      </c>
      <c r="K114" s="199" t="str">
        <f t="shared" si="69"/>
        <v>-</v>
      </c>
      <c r="L114" s="617"/>
      <c r="M114" s="364" t="e">
        <f>RANK(K114, K$67:$K$81)</f>
        <v>#VALUE!</v>
      </c>
      <c r="N114" s="635"/>
      <c r="O114" s="635"/>
      <c r="P114" s="363"/>
      <c r="Q114" s="364"/>
      <c r="R114" s="364"/>
      <c r="S114" s="363" t="e">
        <f t="shared" si="70"/>
        <v>#N/A</v>
      </c>
      <c r="T114" s="682"/>
      <c r="U114" s="373"/>
      <c r="V114" s="374"/>
      <c r="W114" s="374"/>
      <c r="X114" s="363" t="e">
        <f t="shared" si="71"/>
        <v>#N/A</v>
      </c>
      <c r="Y114" s="682"/>
      <c r="Z114" s="373"/>
      <c r="AA114" s="374"/>
      <c r="AB114" s="374"/>
      <c r="AC114" s="363" t="e">
        <f t="shared" si="72"/>
        <v>#N/A</v>
      </c>
      <c r="AD114" s="682"/>
      <c r="AE114" s="373"/>
      <c r="AF114" s="374"/>
      <c r="AG114" s="374"/>
      <c r="AH114" s="363" t="e">
        <f t="shared" si="73"/>
        <v>#N/A</v>
      </c>
      <c r="AI114" s="682"/>
      <c r="AJ114" s="373"/>
      <c r="AK114" s="374"/>
      <c r="AL114" s="374"/>
      <c r="AM114" s="363" t="e">
        <f t="shared" si="74"/>
        <v>#N/A</v>
      </c>
      <c r="AN114" s="682"/>
      <c r="AO114" s="373"/>
      <c r="AP114" s="374"/>
      <c r="AQ114" s="374"/>
      <c r="AR114" s="363" t="e">
        <f t="shared" si="75"/>
        <v>#N/A</v>
      </c>
      <c r="AS114" s="682"/>
      <c r="AT114" s="371"/>
      <c r="AU114" s="181"/>
      <c r="AV114" s="372"/>
      <c r="AW114" s="363" t="e">
        <f t="shared" si="76"/>
        <v>#N/A</v>
      </c>
      <c r="AX114" s="682"/>
      <c r="AZ114" s="399" t="e">
        <f t="shared" si="77"/>
        <v>#N/A</v>
      </c>
      <c r="BA114" s="682"/>
    </row>
    <row r="115" spans="2:53">
      <c r="B115" s="668"/>
      <c r="C115" s="363">
        <v>9</v>
      </c>
      <c r="D115" s="225"/>
      <c r="E115" s="181"/>
      <c r="F115" s="371"/>
      <c r="G115" s="372"/>
      <c r="H115" s="680"/>
      <c r="I115" s="391" t="str">
        <f t="shared" si="67"/>
        <v>-</v>
      </c>
      <c r="J115" s="391" t="str">
        <f t="shared" si="68"/>
        <v>-</v>
      </c>
      <c r="K115" s="199" t="str">
        <f t="shared" si="69"/>
        <v>-</v>
      </c>
      <c r="L115" s="617"/>
      <c r="M115" s="364" t="e">
        <f>RANK(K115, K$67:$K$81)</f>
        <v>#VALUE!</v>
      </c>
      <c r="N115" s="635"/>
      <c r="O115" s="635"/>
      <c r="P115" s="363"/>
      <c r="Q115" s="364"/>
      <c r="R115" s="364"/>
      <c r="S115" s="363" t="e">
        <f t="shared" si="70"/>
        <v>#N/A</v>
      </c>
      <c r="T115" s="682"/>
      <c r="U115" s="373"/>
      <c r="V115" s="374"/>
      <c r="W115" s="374"/>
      <c r="X115" s="363" t="e">
        <f t="shared" si="71"/>
        <v>#N/A</v>
      </c>
      <c r="Y115" s="682"/>
      <c r="Z115" s="373"/>
      <c r="AA115" s="374"/>
      <c r="AB115" s="374"/>
      <c r="AC115" s="363" t="e">
        <f t="shared" si="72"/>
        <v>#N/A</v>
      </c>
      <c r="AD115" s="682"/>
      <c r="AE115" s="373"/>
      <c r="AF115" s="374"/>
      <c r="AG115" s="374"/>
      <c r="AH115" s="363" t="e">
        <f t="shared" si="73"/>
        <v>#N/A</v>
      </c>
      <c r="AI115" s="682"/>
      <c r="AJ115" s="373"/>
      <c r="AK115" s="374"/>
      <c r="AL115" s="374"/>
      <c r="AM115" s="363" t="e">
        <f t="shared" si="74"/>
        <v>#N/A</v>
      </c>
      <c r="AN115" s="682"/>
      <c r="AO115" s="373"/>
      <c r="AP115" s="374"/>
      <c r="AQ115" s="374"/>
      <c r="AR115" s="363" t="e">
        <f t="shared" si="75"/>
        <v>#N/A</v>
      </c>
      <c r="AS115" s="682"/>
      <c r="AT115" s="371"/>
      <c r="AU115" s="181"/>
      <c r="AV115" s="372"/>
      <c r="AW115" s="363" t="e">
        <f t="shared" si="76"/>
        <v>#N/A</v>
      </c>
      <c r="AX115" s="682"/>
      <c r="AZ115" s="399" t="e">
        <f t="shared" si="77"/>
        <v>#N/A</v>
      </c>
      <c r="BA115" s="682"/>
    </row>
    <row r="116" spans="2:53">
      <c r="B116" s="668"/>
      <c r="C116" s="363">
        <v>10</v>
      </c>
      <c r="D116" s="225"/>
      <c r="E116" s="181"/>
      <c r="F116" s="371"/>
      <c r="G116" s="372"/>
      <c r="H116" s="680"/>
      <c r="I116" s="391" t="str">
        <f t="shared" si="67"/>
        <v>-</v>
      </c>
      <c r="J116" s="391" t="str">
        <f t="shared" si="68"/>
        <v>-</v>
      </c>
      <c r="K116" s="199" t="str">
        <f t="shared" si="69"/>
        <v>-</v>
      </c>
      <c r="L116" s="617"/>
      <c r="M116" s="364" t="e">
        <f>RANK(K116, K$67:$K$81)</f>
        <v>#VALUE!</v>
      </c>
      <c r="N116" s="635"/>
      <c r="O116" s="635"/>
      <c r="P116" s="363"/>
      <c r="Q116" s="364"/>
      <c r="R116" s="364"/>
      <c r="S116" s="363" t="e">
        <f t="shared" si="70"/>
        <v>#N/A</v>
      </c>
      <c r="T116" s="682"/>
      <c r="U116" s="373"/>
      <c r="V116" s="374"/>
      <c r="W116" s="374"/>
      <c r="X116" s="363" t="e">
        <f t="shared" si="71"/>
        <v>#N/A</v>
      </c>
      <c r="Y116" s="682"/>
      <c r="Z116" s="373"/>
      <c r="AA116" s="374"/>
      <c r="AB116" s="374"/>
      <c r="AC116" s="363" t="e">
        <f t="shared" si="72"/>
        <v>#N/A</v>
      </c>
      <c r="AD116" s="682"/>
      <c r="AE116" s="373"/>
      <c r="AF116" s="374"/>
      <c r="AG116" s="374"/>
      <c r="AH116" s="363" t="e">
        <f t="shared" si="73"/>
        <v>#N/A</v>
      </c>
      <c r="AI116" s="682"/>
      <c r="AJ116" s="373"/>
      <c r="AK116" s="374"/>
      <c r="AL116" s="374"/>
      <c r="AM116" s="363" t="e">
        <f t="shared" si="74"/>
        <v>#N/A</v>
      </c>
      <c r="AN116" s="682"/>
      <c r="AO116" s="373"/>
      <c r="AP116" s="374"/>
      <c r="AQ116" s="374"/>
      <c r="AR116" s="363" t="e">
        <f t="shared" si="75"/>
        <v>#N/A</v>
      </c>
      <c r="AS116" s="682"/>
      <c r="AT116" s="371"/>
      <c r="AU116" s="181"/>
      <c r="AV116" s="372"/>
      <c r="AW116" s="363" t="e">
        <f t="shared" si="76"/>
        <v>#N/A</v>
      </c>
      <c r="AX116" s="682"/>
      <c r="AZ116" s="399" t="e">
        <f t="shared" si="77"/>
        <v>#N/A</v>
      </c>
      <c r="BA116" s="682"/>
    </row>
    <row r="117" spans="2:53">
      <c r="B117" s="668"/>
      <c r="C117" s="363">
        <v>11</v>
      </c>
      <c r="D117" s="225"/>
      <c r="E117" s="181"/>
      <c r="F117" s="371"/>
      <c r="G117" s="372"/>
      <c r="H117" s="680"/>
      <c r="I117" s="391" t="str">
        <f t="shared" si="67"/>
        <v>-</v>
      </c>
      <c r="J117" s="391" t="str">
        <f t="shared" si="68"/>
        <v>-</v>
      </c>
      <c r="K117" s="199" t="str">
        <f t="shared" si="69"/>
        <v>-</v>
      </c>
      <c r="L117" s="617"/>
      <c r="M117" s="364" t="e">
        <f>RANK(K117, K$67:$K$81)</f>
        <v>#VALUE!</v>
      </c>
      <c r="N117" s="635"/>
      <c r="O117" s="635"/>
      <c r="P117" s="363"/>
      <c r="Q117" s="364"/>
      <c r="R117" s="364"/>
      <c r="S117" s="363" t="e">
        <f t="shared" si="70"/>
        <v>#N/A</v>
      </c>
      <c r="T117" s="682"/>
      <c r="U117" s="373"/>
      <c r="V117" s="374"/>
      <c r="W117" s="374"/>
      <c r="X117" s="363" t="e">
        <f t="shared" si="71"/>
        <v>#N/A</v>
      </c>
      <c r="Y117" s="682"/>
      <c r="Z117" s="373"/>
      <c r="AA117" s="374"/>
      <c r="AB117" s="374"/>
      <c r="AC117" s="363" t="e">
        <f t="shared" si="72"/>
        <v>#N/A</v>
      </c>
      <c r="AD117" s="682"/>
      <c r="AE117" s="373"/>
      <c r="AF117" s="374"/>
      <c r="AG117" s="374"/>
      <c r="AH117" s="363" t="e">
        <f t="shared" si="73"/>
        <v>#N/A</v>
      </c>
      <c r="AI117" s="682"/>
      <c r="AJ117" s="373"/>
      <c r="AK117" s="374"/>
      <c r="AL117" s="374"/>
      <c r="AM117" s="363" t="e">
        <f t="shared" si="74"/>
        <v>#N/A</v>
      </c>
      <c r="AN117" s="682"/>
      <c r="AO117" s="373"/>
      <c r="AP117" s="374"/>
      <c r="AQ117" s="374"/>
      <c r="AR117" s="363" t="e">
        <f t="shared" si="75"/>
        <v>#N/A</v>
      </c>
      <c r="AS117" s="682"/>
      <c r="AT117" s="371"/>
      <c r="AU117" s="181"/>
      <c r="AV117" s="372"/>
      <c r="AW117" s="363" t="e">
        <f t="shared" si="76"/>
        <v>#N/A</v>
      </c>
      <c r="AX117" s="682"/>
      <c r="AZ117" s="399" t="e">
        <f t="shared" si="77"/>
        <v>#N/A</v>
      </c>
      <c r="BA117" s="682"/>
    </row>
    <row r="118" spans="2:53">
      <c r="B118" s="668"/>
      <c r="C118" s="363">
        <v>12</v>
      </c>
      <c r="D118" s="225"/>
      <c r="E118" s="181"/>
      <c r="F118" s="371"/>
      <c r="G118" s="372"/>
      <c r="H118" s="680"/>
      <c r="I118" s="391" t="str">
        <f t="shared" si="67"/>
        <v>-</v>
      </c>
      <c r="J118" s="391" t="str">
        <f t="shared" si="68"/>
        <v>-</v>
      </c>
      <c r="K118" s="199" t="str">
        <f t="shared" si="69"/>
        <v>-</v>
      </c>
      <c r="L118" s="617"/>
      <c r="M118" s="364" t="e">
        <f>RANK(K118, K$67:$K$81)</f>
        <v>#VALUE!</v>
      </c>
      <c r="N118" s="635"/>
      <c r="O118" s="635"/>
      <c r="P118" s="363"/>
      <c r="Q118" s="364"/>
      <c r="R118" s="364"/>
      <c r="S118" s="363" t="e">
        <f t="shared" si="70"/>
        <v>#N/A</v>
      </c>
      <c r="T118" s="682"/>
      <c r="U118" s="373"/>
      <c r="V118" s="374"/>
      <c r="W118" s="374"/>
      <c r="X118" s="363" t="e">
        <f t="shared" si="71"/>
        <v>#N/A</v>
      </c>
      <c r="Y118" s="682"/>
      <c r="Z118" s="373"/>
      <c r="AA118" s="374"/>
      <c r="AB118" s="374"/>
      <c r="AC118" s="363" t="e">
        <f t="shared" si="72"/>
        <v>#N/A</v>
      </c>
      <c r="AD118" s="682"/>
      <c r="AE118" s="373"/>
      <c r="AF118" s="374"/>
      <c r="AG118" s="374"/>
      <c r="AH118" s="363" t="e">
        <f t="shared" si="73"/>
        <v>#N/A</v>
      </c>
      <c r="AI118" s="682"/>
      <c r="AJ118" s="373"/>
      <c r="AK118" s="374"/>
      <c r="AL118" s="374"/>
      <c r="AM118" s="363" t="e">
        <f t="shared" si="74"/>
        <v>#N/A</v>
      </c>
      <c r="AN118" s="682"/>
      <c r="AO118" s="373"/>
      <c r="AP118" s="374"/>
      <c r="AQ118" s="374"/>
      <c r="AR118" s="363" t="e">
        <f t="shared" si="75"/>
        <v>#N/A</v>
      </c>
      <c r="AS118" s="682"/>
      <c r="AT118" s="371"/>
      <c r="AU118" s="181"/>
      <c r="AV118" s="372"/>
      <c r="AW118" s="363" t="e">
        <f t="shared" si="76"/>
        <v>#N/A</v>
      </c>
      <c r="AX118" s="682"/>
      <c r="AZ118" s="399" t="e">
        <f t="shared" si="77"/>
        <v>#N/A</v>
      </c>
      <c r="BA118" s="682"/>
    </row>
    <row r="119" spans="2:53">
      <c r="B119" s="668"/>
      <c r="C119" s="363">
        <v>13</v>
      </c>
      <c r="D119" s="225"/>
      <c r="E119" s="181"/>
      <c r="F119" s="371"/>
      <c r="G119" s="372"/>
      <c r="H119" s="680"/>
      <c r="I119" s="391" t="str">
        <f t="shared" si="67"/>
        <v>-</v>
      </c>
      <c r="J119" s="391" t="str">
        <f t="shared" si="68"/>
        <v>-</v>
      </c>
      <c r="K119" s="199" t="str">
        <f t="shared" si="69"/>
        <v>-</v>
      </c>
      <c r="L119" s="617"/>
      <c r="M119" s="364" t="e">
        <f>RANK(K119, K$67:$K$81)</f>
        <v>#VALUE!</v>
      </c>
      <c r="N119" s="635"/>
      <c r="O119" s="635"/>
      <c r="P119" s="363"/>
      <c r="Q119" s="364"/>
      <c r="R119" s="364"/>
      <c r="S119" s="363" t="e">
        <f t="shared" si="70"/>
        <v>#N/A</v>
      </c>
      <c r="T119" s="682"/>
      <c r="U119" s="373"/>
      <c r="V119" s="374"/>
      <c r="W119" s="374"/>
      <c r="X119" s="363" t="e">
        <f t="shared" si="71"/>
        <v>#N/A</v>
      </c>
      <c r="Y119" s="682"/>
      <c r="Z119" s="373"/>
      <c r="AA119" s="374"/>
      <c r="AB119" s="374"/>
      <c r="AC119" s="363" t="e">
        <f t="shared" si="72"/>
        <v>#N/A</v>
      </c>
      <c r="AD119" s="682"/>
      <c r="AE119" s="373"/>
      <c r="AF119" s="374"/>
      <c r="AG119" s="374"/>
      <c r="AH119" s="363" t="e">
        <f t="shared" si="73"/>
        <v>#N/A</v>
      </c>
      <c r="AI119" s="682"/>
      <c r="AJ119" s="373"/>
      <c r="AK119" s="374"/>
      <c r="AL119" s="374"/>
      <c r="AM119" s="363" t="e">
        <f t="shared" si="74"/>
        <v>#N/A</v>
      </c>
      <c r="AN119" s="682"/>
      <c r="AO119" s="373"/>
      <c r="AP119" s="374"/>
      <c r="AQ119" s="374"/>
      <c r="AR119" s="363" t="e">
        <f t="shared" si="75"/>
        <v>#N/A</v>
      </c>
      <c r="AS119" s="682"/>
      <c r="AT119" s="371"/>
      <c r="AU119" s="181"/>
      <c r="AV119" s="372"/>
      <c r="AW119" s="363" t="e">
        <f t="shared" si="76"/>
        <v>#N/A</v>
      </c>
      <c r="AX119" s="682"/>
      <c r="AZ119" s="399" t="e">
        <f t="shared" si="77"/>
        <v>#N/A</v>
      </c>
      <c r="BA119" s="682"/>
    </row>
    <row r="120" spans="2:53">
      <c r="B120" s="668"/>
      <c r="C120" s="363">
        <v>14</v>
      </c>
      <c r="D120" s="225"/>
      <c r="E120" s="181"/>
      <c r="F120" s="371"/>
      <c r="G120" s="372"/>
      <c r="H120" s="680"/>
      <c r="I120" s="391" t="str">
        <f t="shared" si="67"/>
        <v>-</v>
      </c>
      <c r="J120" s="391" t="str">
        <f t="shared" si="68"/>
        <v>-</v>
      </c>
      <c r="K120" s="199" t="str">
        <f t="shared" si="69"/>
        <v>-</v>
      </c>
      <c r="L120" s="617"/>
      <c r="M120" s="364" t="e">
        <f>RANK(K120, K$67:$K$81)</f>
        <v>#VALUE!</v>
      </c>
      <c r="N120" s="635"/>
      <c r="O120" s="635"/>
      <c r="P120" s="363"/>
      <c r="Q120" s="364"/>
      <c r="R120" s="364"/>
      <c r="S120" s="363" t="e">
        <f t="shared" si="70"/>
        <v>#N/A</v>
      </c>
      <c r="T120" s="682"/>
      <c r="U120" s="373"/>
      <c r="V120" s="374"/>
      <c r="W120" s="374"/>
      <c r="X120" s="363" t="e">
        <f t="shared" si="71"/>
        <v>#N/A</v>
      </c>
      <c r="Y120" s="682"/>
      <c r="Z120" s="373"/>
      <c r="AA120" s="374"/>
      <c r="AB120" s="374"/>
      <c r="AC120" s="363" t="e">
        <f t="shared" si="72"/>
        <v>#N/A</v>
      </c>
      <c r="AD120" s="682"/>
      <c r="AE120" s="373"/>
      <c r="AF120" s="374"/>
      <c r="AG120" s="374"/>
      <c r="AH120" s="363" t="e">
        <f t="shared" si="73"/>
        <v>#N/A</v>
      </c>
      <c r="AI120" s="682"/>
      <c r="AJ120" s="373"/>
      <c r="AK120" s="374"/>
      <c r="AL120" s="374"/>
      <c r="AM120" s="363" t="e">
        <f t="shared" si="74"/>
        <v>#N/A</v>
      </c>
      <c r="AN120" s="682"/>
      <c r="AO120" s="373"/>
      <c r="AP120" s="374"/>
      <c r="AQ120" s="374"/>
      <c r="AR120" s="363" t="e">
        <f t="shared" si="75"/>
        <v>#N/A</v>
      </c>
      <c r="AS120" s="682"/>
      <c r="AT120" s="371"/>
      <c r="AU120" s="181"/>
      <c r="AV120" s="372"/>
      <c r="AW120" s="363" t="e">
        <f t="shared" si="76"/>
        <v>#N/A</v>
      </c>
      <c r="AX120" s="682"/>
      <c r="AZ120" s="399" t="e">
        <f t="shared" si="77"/>
        <v>#N/A</v>
      </c>
      <c r="BA120" s="682"/>
    </row>
    <row r="121" spans="2:53">
      <c r="B121" s="668"/>
      <c r="C121" s="363">
        <v>15</v>
      </c>
      <c r="D121" s="225"/>
      <c r="E121" s="181"/>
      <c r="F121" s="371"/>
      <c r="G121" s="372"/>
      <c r="H121" s="684"/>
      <c r="I121" s="395"/>
      <c r="J121" s="395"/>
      <c r="K121" s="395"/>
      <c r="L121" s="618"/>
      <c r="M121" s="364" t="e">
        <f>RANK(K121, K$47:$K$61)</f>
        <v>#N/A</v>
      </c>
      <c r="N121" s="635"/>
      <c r="O121" s="635"/>
      <c r="P121" s="363"/>
      <c r="Q121" s="364"/>
      <c r="R121" s="364"/>
      <c r="S121" s="363" t="e">
        <f t="shared" si="70"/>
        <v>#N/A</v>
      </c>
      <c r="T121" s="682"/>
      <c r="U121" s="373"/>
      <c r="V121" s="374"/>
      <c r="W121" s="374"/>
      <c r="X121" s="363" t="e">
        <f t="shared" si="71"/>
        <v>#N/A</v>
      </c>
      <c r="Y121" s="682"/>
      <c r="Z121" s="373"/>
      <c r="AA121" s="374"/>
      <c r="AB121" s="374"/>
      <c r="AC121" s="363" t="e">
        <f t="shared" si="72"/>
        <v>#N/A</v>
      </c>
      <c r="AD121" s="682"/>
      <c r="AE121" s="373"/>
      <c r="AF121" s="374"/>
      <c r="AG121" s="374"/>
      <c r="AH121" s="363" t="e">
        <f t="shared" si="73"/>
        <v>#N/A</v>
      </c>
      <c r="AI121" s="682"/>
      <c r="AJ121" s="373"/>
      <c r="AK121" s="374"/>
      <c r="AL121" s="374"/>
      <c r="AM121" s="363" t="e">
        <f t="shared" si="74"/>
        <v>#N/A</v>
      </c>
      <c r="AN121" s="682"/>
      <c r="AO121" s="373"/>
      <c r="AP121" s="374"/>
      <c r="AQ121" s="374"/>
      <c r="AR121" s="363" t="e">
        <f t="shared" si="75"/>
        <v>#N/A</v>
      </c>
      <c r="AS121" s="682"/>
      <c r="AT121" s="371"/>
      <c r="AU121" s="181"/>
      <c r="AV121" s="372"/>
      <c r="AW121" s="363" t="e">
        <f t="shared" si="76"/>
        <v>#N/A</v>
      </c>
      <c r="AX121" s="682"/>
      <c r="AZ121" s="399" t="e">
        <f t="shared" si="77"/>
        <v>#N/A</v>
      </c>
      <c r="BA121" s="682"/>
    </row>
    <row r="123" spans="2:53" ht="15.75">
      <c r="B123" s="674" t="s">
        <v>482</v>
      </c>
      <c r="C123" s="675"/>
      <c r="D123" s="675"/>
      <c r="E123" s="675"/>
      <c r="F123" s="675"/>
      <c r="G123" s="675"/>
      <c r="H123" s="676"/>
      <c r="I123" s="315"/>
      <c r="J123" s="315"/>
      <c r="K123" s="315"/>
      <c r="L123" s="315"/>
      <c r="M123" s="316"/>
    </row>
    <row r="124" spans="2:53" ht="15.75">
      <c r="B124" s="677"/>
      <c r="C124" s="677"/>
      <c r="D124" s="677"/>
      <c r="E124" s="677"/>
      <c r="F124" s="677"/>
      <c r="G124" s="677"/>
      <c r="H124" s="677"/>
      <c r="I124" s="317"/>
      <c r="J124" s="317"/>
      <c r="K124" s="317"/>
      <c r="L124" s="317"/>
      <c r="M124" s="318"/>
    </row>
    <row r="125" spans="2:53">
      <c r="B125" s="635" t="s">
        <v>483</v>
      </c>
      <c r="C125" s="635" t="s">
        <v>484</v>
      </c>
      <c r="D125" s="635"/>
      <c r="E125" s="635" t="s">
        <v>485</v>
      </c>
      <c r="F125" s="635"/>
      <c r="G125" s="635"/>
      <c r="H125" s="651" t="s">
        <v>486</v>
      </c>
      <c r="I125" s="678" t="s">
        <v>487</v>
      </c>
      <c r="J125" s="678"/>
      <c r="K125" s="678"/>
      <c r="L125" s="691" t="s">
        <v>486</v>
      </c>
      <c r="M125" s="694" t="s">
        <v>488</v>
      </c>
    </row>
    <row r="126" spans="2:53">
      <c r="B126" s="635"/>
      <c r="C126" s="635"/>
      <c r="D126" s="635"/>
      <c r="E126" s="635" t="s">
        <v>489</v>
      </c>
      <c r="F126" s="635"/>
      <c r="G126" s="635"/>
      <c r="H126" s="652"/>
      <c r="I126" s="678" t="s">
        <v>489</v>
      </c>
      <c r="J126" s="678"/>
      <c r="K126" s="678"/>
      <c r="L126" s="692"/>
      <c r="M126" s="695"/>
    </row>
    <row r="127" spans="2:53">
      <c r="B127" s="635"/>
      <c r="C127" s="635"/>
      <c r="D127" s="635"/>
      <c r="E127" s="312" t="s">
        <v>490</v>
      </c>
      <c r="F127" s="312" t="s">
        <v>491</v>
      </c>
      <c r="G127" s="312" t="s">
        <v>492</v>
      </c>
      <c r="H127" s="653"/>
      <c r="I127" s="319" t="s">
        <v>490</v>
      </c>
      <c r="J127" s="319" t="s">
        <v>491</v>
      </c>
      <c r="K127" s="319" t="s">
        <v>492</v>
      </c>
      <c r="L127" s="693"/>
      <c r="M127" s="696"/>
    </row>
    <row r="128" spans="2:53">
      <c r="B128" s="635" t="s">
        <v>500</v>
      </c>
      <c r="C128" s="311">
        <v>1</v>
      </c>
      <c r="D128" s="225"/>
      <c r="E128" s="181"/>
      <c r="F128" s="311"/>
      <c r="G128" s="314"/>
      <c r="H128" s="685" t="e">
        <f>AVERAGE(G128:G142)</f>
        <v>#DIV/0!</v>
      </c>
      <c r="I128" s="198" t="e">
        <f t="shared" ref="I128:J133" si="78">AVERAGEIF($D$7:$D$121,$D128,I$7:I$121)</f>
        <v>#DIV/0!</v>
      </c>
      <c r="J128" s="198" t="e">
        <f t="shared" si="78"/>
        <v>#DIV/0!</v>
      </c>
      <c r="K128" s="198" t="e">
        <f t="shared" ref="K128:K133" si="79">AVERAGEIF($D$7:$D$121,$D128,K$7:K$121)</f>
        <v>#DIV/0!</v>
      </c>
      <c r="L128" s="688" t="e">
        <f>AVERAGE(K128:K142)</f>
        <v>#DIV/0!</v>
      </c>
      <c r="M128" s="198" t="e">
        <f>RANK(K128, K$128:$K$142)</f>
        <v>#DIV/0!</v>
      </c>
    </row>
    <row r="129" spans="2:13">
      <c r="B129" s="643"/>
      <c r="C129" s="311">
        <v>2</v>
      </c>
      <c r="D129" s="225"/>
      <c r="E129" s="181"/>
      <c r="F129" s="311"/>
      <c r="G129" s="314"/>
      <c r="H129" s="686"/>
      <c r="I129" s="198" t="e">
        <f t="shared" si="78"/>
        <v>#DIV/0!</v>
      </c>
      <c r="J129" s="198" t="e">
        <f t="shared" si="78"/>
        <v>#DIV/0!</v>
      </c>
      <c r="K129" s="198" t="e">
        <f t="shared" si="79"/>
        <v>#DIV/0!</v>
      </c>
      <c r="L129" s="689"/>
      <c r="M129" s="198" t="e">
        <f>RANK(K129, K$128:$K$142)</f>
        <v>#DIV/0!</v>
      </c>
    </row>
    <row r="130" spans="2:13">
      <c r="B130" s="643"/>
      <c r="C130" s="311">
        <v>3</v>
      </c>
      <c r="D130" s="225"/>
      <c r="E130" s="181"/>
      <c r="F130" s="311"/>
      <c r="G130" s="314"/>
      <c r="H130" s="686"/>
      <c r="I130" s="198" t="e">
        <f t="shared" si="78"/>
        <v>#DIV/0!</v>
      </c>
      <c r="J130" s="198" t="e">
        <f t="shared" si="78"/>
        <v>#DIV/0!</v>
      </c>
      <c r="K130" s="198" t="e">
        <f t="shared" si="79"/>
        <v>#DIV/0!</v>
      </c>
      <c r="L130" s="689"/>
      <c r="M130" s="198" t="e">
        <f>RANK(K130, K$128:$K$142)</f>
        <v>#DIV/0!</v>
      </c>
    </row>
    <row r="131" spans="2:13">
      <c r="B131" s="643"/>
      <c r="C131" s="311">
        <v>4</v>
      </c>
      <c r="D131" s="225"/>
      <c r="E131" s="181"/>
      <c r="F131" s="311"/>
      <c r="G131" s="314"/>
      <c r="H131" s="686"/>
      <c r="I131" s="198" t="e">
        <f t="shared" si="78"/>
        <v>#DIV/0!</v>
      </c>
      <c r="J131" s="198" t="e">
        <f t="shared" si="78"/>
        <v>#DIV/0!</v>
      </c>
      <c r="K131" s="198" t="e">
        <f t="shared" si="79"/>
        <v>#DIV/0!</v>
      </c>
      <c r="L131" s="689"/>
      <c r="M131" s="198" t="e">
        <f>RANK(K131, K$128:$K$142)</f>
        <v>#DIV/0!</v>
      </c>
    </row>
    <row r="132" spans="2:13">
      <c r="B132" s="643"/>
      <c r="C132" s="311">
        <v>5</v>
      </c>
      <c r="D132" s="225"/>
      <c r="E132" s="181"/>
      <c r="F132" s="311"/>
      <c r="G132" s="314"/>
      <c r="H132" s="686"/>
      <c r="I132" s="198" t="e">
        <f t="shared" si="78"/>
        <v>#DIV/0!</v>
      </c>
      <c r="J132" s="198" t="e">
        <f t="shared" si="78"/>
        <v>#DIV/0!</v>
      </c>
      <c r="K132" s="198" t="e">
        <f t="shared" si="79"/>
        <v>#DIV/0!</v>
      </c>
      <c r="L132" s="689"/>
      <c r="M132" s="198" t="e">
        <f>RANK(K132, K$128:$K$142)</f>
        <v>#DIV/0!</v>
      </c>
    </row>
    <row r="133" spans="2:13">
      <c r="B133" s="643"/>
      <c r="C133" s="311">
        <v>6</v>
      </c>
      <c r="D133" s="320"/>
      <c r="E133" s="181"/>
      <c r="F133" s="311"/>
      <c r="G133" s="314"/>
      <c r="H133" s="686"/>
      <c r="I133" s="198" t="e">
        <f t="shared" si="78"/>
        <v>#DIV/0!</v>
      </c>
      <c r="J133" s="198" t="e">
        <f t="shared" si="78"/>
        <v>#DIV/0!</v>
      </c>
      <c r="K133" s="198" t="e">
        <f t="shared" si="79"/>
        <v>#DIV/0!</v>
      </c>
      <c r="L133" s="689"/>
      <c r="M133" s="198" t="e">
        <f>RANK(K133, K$128:$K$142)</f>
        <v>#DIV/0!</v>
      </c>
    </row>
    <row r="134" spans="2:13">
      <c r="B134" s="643"/>
      <c r="C134" s="311">
        <v>7</v>
      </c>
      <c r="D134" s="225"/>
      <c r="E134" s="181"/>
      <c r="F134" s="311"/>
      <c r="G134" s="314"/>
      <c r="H134" s="686"/>
      <c r="I134" s="198"/>
      <c r="J134" s="198"/>
      <c r="K134" s="198"/>
      <c r="L134" s="689"/>
      <c r="M134" s="198" t="e">
        <f>RANK(K134, K$128:$K$142)</f>
        <v>#DIV/0!</v>
      </c>
    </row>
    <row r="135" spans="2:13">
      <c r="B135" s="643"/>
      <c r="C135" s="311">
        <v>8</v>
      </c>
      <c r="D135" s="225"/>
      <c r="E135" s="181"/>
      <c r="F135" s="311"/>
      <c r="G135" s="314"/>
      <c r="H135" s="686"/>
      <c r="I135" s="198"/>
      <c r="J135" s="198"/>
      <c r="K135" s="198"/>
      <c r="L135" s="689"/>
      <c r="M135" s="198" t="e">
        <f>RANK(K135, K$128:$K$142)</f>
        <v>#DIV/0!</v>
      </c>
    </row>
    <row r="136" spans="2:13">
      <c r="B136" s="643"/>
      <c r="C136" s="311">
        <v>9</v>
      </c>
      <c r="D136" s="225"/>
      <c r="E136" s="311"/>
      <c r="F136" s="311"/>
      <c r="G136" s="311"/>
      <c r="H136" s="686"/>
      <c r="I136" s="198"/>
      <c r="J136" s="198"/>
      <c r="K136" s="198"/>
      <c r="L136" s="689"/>
      <c r="M136" s="198" t="e">
        <f>RANK(K136, K$128:$K$142)</f>
        <v>#DIV/0!</v>
      </c>
    </row>
    <row r="137" spans="2:13">
      <c r="B137" s="643"/>
      <c r="C137" s="311">
        <v>10</v>
      </c>
      <c r="D137" s="225"/>
      <c r="E137" s="311"/>
      <c r="F137" s="311"/>
      <c r="G137" s="311"/>
      <c r="H137" s="686"/>
      <c r="I137" s="198"/>
      <c r="J137" s="198"/>
      <c r="K137" s="198"/>
      <c r="L137" s="689"/>
      <c r="M137" s="198" t="e">
        <f>RANK(K137, K$128:$K$142)</f>
        <v>#DIV/0!</v>
      </c>
    </row>
    <row r="138" spans="2:13">
      <c r="B138" s="643"/>
      <c r="C138" s="311">
        <v>11</v>
      </c>
      <c r="D138" s="225"/>
      <c r="E138" s="311"/>
      <c r="F138" s="311"/>
      <c r="G138" s="311"/>
      <c r="H138" s="686"/>
      <c r="I138" s="198"/>
      <c r="J138" s="198"/>
      <c r="K138" s="198"/>
      <c r="L138" s="689"/>
      <c r="M138" s="198" t="e">
        <f>RANK(K138, K$128:$K$142)</f>
        <v>#DIV/0!</v>
      </c>
    </row>
    <row r="139" spans="2:13">
      <c r="B139" s="643"/>
      <c r="C139" s="311">
        <v>12</v>
      </c>
      <c r="D139" s="225"/>
      <c r="E139" s="311"/>
      <c r="F139" s="311"/>
      <c r="G139" s="311"/>
      <c r="H139" s="686"/>
      <c r="I139" s="198"/>
      <c r="J139" s="198"/>
      <c r="K139" s="198"/>
      <c r="L139" s="689"/>
      <c r="M139" s="198" t="e">
        <f>RANK(K139, K$128:$K$142)</f>
        <v>#DIV/0!</v>
      </c>
    </row>
    <row r="140" spans="2:13">
      <c r="B140" s="643"/>
      <c r="C140" s="311">
        <v>13</v>
      </c>
      <c r="D140" s="225"/>
      <c r="E140" s="311"/>
      <c r="F140" s="311"/>
      <c r="G140" s="311"/>
      <c r="H140" s="686"/>
      <c r="I140" s="198"/>
      <c r="J140" s="198"/>
      <c r="K140" s="198"/>
      <c r="L140" s="689"/>
      <c r="M140" s="198" t="e">
        <f>RANK(K140, K$128:$K$142)</f>
        <v>#DIV/0!</v>
      </c>
    </row>
    <row r="141" spans="2:13">
      <c r="B141" s="643"/>
      <c r="C141" s="311">
        <v>14</v>
      </c>
      <c r="D141" s="225"/>
      <c r="E141" s="311"/>
      <c r="F141" s="311"/>
      <c r="G141" s="311"/>
      <c r="H141" s="686"/>
      <c r="I141" s="198"/>
      <c r="J141" s="198"/>
      <c r="K141" s="198"/>
      <c r="L141" s="689"/>
      <c r="M141" s="198" t="e">
        <f>RANK(K141, K$128:$K$142)</f>
        <v>#DIV/0!</v>
      </c>
    </row>
    <row r="142" spans="2:13">
      <c r="B142" s="643"/>
      <c r="C142" s="311">
        <v>15</v>
      </c>
      <c r="D142" s="225"/>
      <c r="E142" s="311"/>
      <c r="F142" s="311"/>
      <c r="G142" s="311"/>
      <c r="H142" s="687"/>
      <c r="I142" s="198"/>
      <c r="J142" s="198"/>
      <c r="K142" s="198"/>
      <c r="L142" s="690"/>
      <c r="M142" s="198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K8" sqref="K8:L12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88" t="s">
        <v>186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119"/>
    </row>
    <row r="2" spans="1:13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</row>
    <row r="3" spans="1:13" ht="15.75" customHeight="1">
      <c r="A3" s="731" t="s">
        <v>187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151"/>
    </row>
    <row r="4" spans="1:13" s="120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130"/>
    </row>
    <row r="5" spans="1:13" s="153" customFormat="1" ht="16.350000000000001" customHeight="1">
      <c r="A5" s="715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15"/>
      <c r="B6" s="166" t="s">
        <v>188</v>
      </c>
      <c r="C6" s="16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16" t="s">
        <v>169</v>
      </c>
      <c r="B7" s="716"/>
      <c r="C7" s="361" t="s">
        <v>390</v>
      </c>
      <c r="D7" s="716" t="s">
        <v>12</v>
      </c>
      <c r="E7" s="719"/>
      <c r="F7" s="719"/>
      <c r="G7" s="361" t="s">
        <v>46</v>
      </c>
      <c r="H7" s="361" t="s">
        <v>519</v>
      </c>
      <c r="I7" s="361" t="s">
        <v>387</v>
      </c>
      <c r="J7" s="221" t="s">
        <v>388</v>
      </c>
      <c r="K7" s="716" t="s">
        <v>389</v>
      </c>
      <c r="L7" s="719"/>
      <c r="M7" s="152"/>
    </row>
    <row r="8" spans="1:13" ht="15.75" customHeight="1">
      <c r="A8" s="715">
        <v>1</v>
      </c>
      <c r="B8" s="716" t="s">
        <v>150</v>
      </c>
      <c r="C8" s="551">
        <v>1</v>
      </c>
      <c r="D8" s="382" t="s">
        <v>337</v>
      </c>
      <c r="E8" s="358"/>
      <c r="F8" s="359"/>
      <c r="G8" s="377">
        <v>3</v>
      </c>
      <c r="H8" s="377">
        <v>3293.2999682141258</v>
      </c>
      <c r="I8" s="377">
        <v>1097.7666560713753</v>
      </c>
      <c r="J8" s="240" t="s">
        <v>748</v>
      </c>
      <c r="K8" s="721" t="s">
        <v>824</v>
      </c>
      <c r="L8" s="722"/>
      <c r="M8" s="130"/>
    </row>
    <row r="9" spans="1:13" ht="15.75" customHeight="1">
      <c r="A9" s="715"/>
      <c r="B9" s="716"/>
      <c r="C9" s="551">
        <v>2</v>
      </c>
      <c r="D9" s="376" t="s">
        <v>341</v>
      </c>
      <c r="E9" s="358"/>
      <c r="F9" s="359"/>
      <c r="G9" s="377">
        <v>3</v>
      </c>
      <c r="H9" s="377">
        <v>3198.4727933356976</v>
      </c>
      <c r="I9" s="377">
        <v>1066.157597778566</v>
      </c>
      <c r="J9" s="240" t="s">
        <v>748</v>
      </c>
      <c r="K9" s="723"/>
      <c r="L9" s="724"/>
      <c r="M9" s="130"/>
    </row>
    <row r="10" spans="1:13" ht="15.75" customHeight="1">
      <c r="A10" s="715"/>
      <c r="B10" s="716"/>
      <c r="C10" s="551">
        <v>3</v>
      </c>
      <c r="D10" s="382" t="s">
        <v>699</v>
      </c>
      <c r="E10" s="358"/>
      <c r="F10" s="359"/>
      <c r="G10" s="377">
        <v>3</v>
      </c>
      <c r="H10" s="377">
        <v>3194.5103584258409</v>
      </c>
      <c r="I10" s="377">
        <v>1064.836786141947</v>
      </c>
      <c r="J10" s="241" t="s">
        <v>749</v>
      </c>
      <c r="K10" s="723"/>
      <c r="L10" s="724"/>
      <c r="M10" s="130"/>
    </row>
    <row r="11" spans="1:13" ht="15.75" customHeight="1">
      <c r="A11" s="715"/>
      <c r="B11" s="716"/>
      <c r="C11" s="551">
        <v>4</v>
      </c>
      <c r="D11" s="376" t="s">
        <v>339</v>
      </c>
      <c r="E11" s="358"/>
      <c r="F11" s="359"/>
      <c r="G11" s="377">
        <v>3</v>
      </c>
      <c r="H11" s="377">
        <v>3194.2655588050961</v>
      </c>
      <c r="I11" s="377">
        <v>1064.7551862683656</v>
      </c>
      <c r="J11" s="241" t="s">
        <v>749</v>
      </c>
      <c r="K11" s="723"/>
      <c r="L11" s="724"/>
      <c r="M11" s="130"/>
    </row>
    <row r="12" spans="1:13" ht="15.75" customHeight="1">
      <c r="A12" s="715"/>
      <c r="B12" s="716"/>
      <c r="C12" s="551">
        <v>5</v>
      </c>
      <c r="D12" s="382" t="s">
        <v>342</v>
      </c>
      <c r="E12" s="358"/>
      <c r="F12" s="359"/>
      <c r="G12" s="377">
        <v>3</v>
      </c>
      <c r="H12" s="377">
        <v>3180.1872348939573</v>
      </c>
      <c r="I12" s="377">
        <v>1060.0624116313195</v>
      </c>
      <c r="J12" s="406" t="s">
        <v>750</v>
      </c>
      <c r="K12" s="725"/>
      <c r="L12" s="726"/>
      <c r="M12" s="130"/>
    </row>
    <row r="13" spans="1:13" ht="15.75" customHeight="1">
      <c r="A13" s="715"/>
      <c r="B13" s="716"/>
      <c r="C13" s="164" t="s">
        <v>391</v>
      </c>
      <c r="D13" s="376" t="s">
        <v>606</v>
      </c>
      <c r="E13" s="358"/>
      <c r="F13" s="359"/>
      <c r="G13" s="377">
        <v>12</v>
      </c>
      <c r="H13" s="377">
        <v>1223.7089563097984</v>
      </c>
      <c r="I13" s="377">
        <v>101.97574635914985</v>
      </c>
      <c r="J13" s="406" t="s">
        <v>750</v>
      </c>
      <c r="K13" s="718"/>
      <c r="L13" s="719"/>
      <c r="M13" s="130"/>
    </row>
    <row r="14" spans="1:13" ht="15.75" customHeight="1">
      <c r="A14" s="715"/>
      <c r="B14" s="716"/>
      <c r="C14" s="164" t="s">
        <v>392</v>
      </c>
      <c r="D14" s="376" t="s">
        <v>636</v>
      </c>
      <c r="E14" s="358"/>
      <c r="F14" s="359"/>
      <c r="G14" s="377">
        <v>12</v>
      </c>
      <c r="H14" s="377">
        <v>1400.0704758845843</v>
      </c>
      <c r="I14" s="377">
        <v>116.6725396570487</v>
      </c>
      <c r="J14" s="239" t="s">
        <v>750</v>
      </c>
      <c r="K14" s="720"/>
      <c r="L14" s="720"/>
      <c r="M14" s="130"/>
    </row>
    <row r="15" spans="1:13" ht="15.75" customHeight="1">
      <c r="A15" s="715"/>
      <c r="B15" s="716"/>
      <c r="C15" s="164" t="s">
        <v>393</v>
      </c>
      <c r="D15" s="559" t="s">
        <v>589</v>
      </c>
      <c r="E15" s="358"/>
      <c r="F15" s="359"/>
      <c r="G15" s="377">
        <v>4</v>
      </c>
      <c r="H15" s="377">
        <v>2772.9224361316437</v>
      </c>
      <c r="I15" s="377">
        <v>693.23060903291093</v>
      </c>
      <c r="J15" s="241" t="s">
        <v>749</v>
      </c>
      <c r="K15" s="727" t="s">
        <v>825</v>
      </c>
      <c r="L15" s="728"/>
      <c r="M15" s="130"/>
    </row>
    <row r="16" spans="1:13" ht="15.75" customHeight="1">
      <c r="A16" s="715"/>
      <c r="B16" s="716"/>
      <c r="C16" s="164" t="s">
        <v>394</v>
      </c>
      <c r="D16" s="376" t="s">
        <v>584</v>
      </c>
      <c r="E16" s="358"/>
      <c r="F16" s="359"/>
      <c r="G16" s="377">
        <v>4</v>
      </c>
      <c r="H16" s="377">
        <v>2794.0550733017699</v>
      </c>
      <c r="I16" s="377">
        <v>698.51376832544247</v>
      </c>
      <c r="J16" s="240" t="s">
        <v>748</v>
      </c>
      <c r="K16" s="729"/>
      <c r="L16" s="730"/>
      <c r="M16" s="151"/>
    </row>
    <row r="17" spans="1:13" ht="15.75" customHeight="1">
      <c r="A17" s="715"/>
      <c r="B17" s="716"/>
      <c r="C17" s="164" t="s">
        <v>395</v>
      </c>
      <c r="D17" s="382" t="s">
        <v>585</v>
      </c>
      <c r="E17" s="358"/>
      <c r="F17" s="359"/>
      <c r="G17" s="377">
        <v>4</v>
      </c>
      <c r="H17" s="377">
        <v>2793.3428571428676</v>
      </c>
      <c r="I17" s="377">
        <v>698.3357142857169</v>
      </c>
      <c r="J17" s="239" t="s">
        <v>750</v>
      </c>
      <c r="K17" s="718"/>
      <c r="L17" s="719"/>
      <c r="M17" s="151"/>
    </row>
    <row r="18" spans="1:13" s="161" customFormat="1" ht="15.75" customHeight="1">
      <c r="A18" s="713" t="s">
        <v>168</v>
      </c>
      <c r="B18" s="713"/>
      <c r="C18" s="552" t="s">
        <v>47</v>
      </c>
      <c r="D18" s="713" t="s">
        <v>12</v>
      </c>
      <c r="E18" s="714"/>
      <c r="F18" s="714"/>
      <c r="G18" s="552" t="s">
        <v>46</v>
      </c>
      <c r="H18" s="552" t="s">
        <v>519</v>
      </c>
      <c r="I18" s="552" t="s">
        <v>387</v>
      </c>
      <c r="J18" s="221" t="s">
        <v>388</v>
      </c>
      <c r="K18" s="713" t="s">
        <v>51</v>
      </c>
      <c r="L18" s="714"/>
      <c r="M18" s="154"/>
    </row>
    <row r="19" spans="1:13" ht="15.75" customHeight="1">
      <c r="A19" s="715">
        <v>2</v>
      </c>
      <c r="B19" s="716" t="s">
        <v>151</v>
      </c>
      <c r="C19" s="551">
        <v>1</v>
      </c>
      <c r="D19" s="357" t="s">
        <v>590</v>
      </c>
      <c r="E19" s="358"/>
      <c r="F19" s="359"/>
      <c r="G19" s="377">
        <v>10</v>
      </c>
      <c r="H19" s="377">
        <v>1425.558002148229</v>
      </c>
      <c r="I19" s="377">
        <v>142.55580021482288</v>
      </c>
      <c r="J19" s="239" t="s">
        <v>750</v>
      </c>
      <c r="K19" s="717"/>
      <c r="L19" s="712"/>
      <c r="M19" s="151"/>
    </row>
    <row r="20" spans="1:13" ht="15.75" customHeight="1">
      <c r="A20" s="715"/>
      <c r="B20" s="716"/>
      <c r="C20" s="551">
        <v>2</v>
      </c>
      <c r="D20" s="357" t="s">
        <v>624</v>
      </c>
      <c r="E20" s="358"/>
      <c r="F20" s="359"/>
      <c r="G20" s="377">
        <v>12.857142857142858</v>
      </c>
      <c r="H20" s="377">
        <v>1730.4979403959503</v>
      </c>
      <c r="I20" s="377">
        <v>135.94053059658839</v>
      </c>
      <c r="J20" s="239" t="s">
        <v>750</v>
      </c>
      <c r="K20" s="717"/>
      <c r="L20" s="712"/>
      <c r="M20" s="151"/>
    </row>
    <row r="21" spans="1:13" ht="15.75" customHeight="1">
      <c r="A21" s="715"/>
      <c r="B21" s="716"/>
      <c r="C21" s="551">
        <v>3</v>
      </c>
      <c r="D21" s="378" t="s">
        <v>623</v>
      </c>
      <c r="E21" s="358"/>
      <c r="F21" s="359"/>
      <c r="G21" s="377">
        <v>12.857142857142858</v>
      </c>
      <c r="H21" s="377">
        <v>1722.4027842750731</v>
      </c>
      <c r="I21" s="377">
        <v>135.20307939123197</v>
      </c>
      <c r="J21" s="239" t="s">
        <v>750</v>
      </c>
      <c r="K21" s="717"/>
      <c r="L21" s="712"/>
      <c r="M21" s="151"/>
    </row>
    <row r="22" spans="1:13" ht="15.75" customHeight="1">
      <c r="A22" s="715"/>
      <c r="B22" s="716"/>
      <c r="C22" s="551">
        <v>4</v>
      </c>
      <c r="D22" s="378"/>
      <c r="E22" s="358"/>
      <c r="F22" s="359"/>
      <c r="G22" s="377"/>
      <c r="H22" s="377"/>
      <c r="I22" s="377"/>
      <c r="J22" s="239"/>
      <c r="K22" s="711"/>
      <c r="L22" s="712"/>
      <c r="M22" s="151"/>
    </row>
    <row r="23" spans="1:13" ht="15.75" customHeight="1">
      <c r="A23" s="715"/>
      <c r="B23" s="716"/>
      <c r="C23" s="551">
        <v>5</v>
      </c>
      <c r="D23" s="378"/>
      <c r="E23" s="358"/>
      <c r="F23" s="359"/>
      <c r="G23" s="377"/>
      <c r="H23" s="377"/>
      <c r="I23" s="377"/>
      <c r="J23" s="239"/>
      <c r="K23" s="711"/>
      <c r="L23" s="712"/>
      <c r="M23" s="151"/>
    </row>
    <row r="24" spans="1:13" ht="15.75" customHeight="1">
      <c r="A24" s="715"/>
      <c r="B24" s="716"/>
      <c r="C24" s="164" t="s">
        <v>391</v>
      </c>
      <c r="D24" s="357"/>
      <c r="E24" s="358"/>
      <c r="F24" s="359"/>
      <c r="G24" s="377"/>
      <c r="H24" s="377"/>
      <c r="I24" s="377"/>
      <c r="J24" s="239"/>
      <c r="K24" s="717"/>
      <c r="L24" s="712"/>
      <c r="M24" s="151"/>
    </row>
    <row r="25" spans="1:13" ht="15.75" customHeight="1">
      <c r="A25" s="715"/>
      <c r="B25" s="716"/>
      <c r="C25" s="164" t="s">
        <v>392</v>
      </c>
      <c r="D25" s="357"/>
      <c r="E25" s="358"/>
      <c r="F25" s="359"/>
      <c r="G25" s="377"/>
      <c r="H25" s="377"/>
      <c r="I25" s="377"/>
      <c r="J25" s="239"/>
      <c r="K25" s="711"/>
      <c r="L25" s="712"/>
      <c r="M25" s="151"/>
    </row>
    <row r="26" spans="1:13" ht="15.75" customHeight="1">
      <c r="A26" s="715"/>
      <c r="B26" s="716"/>
      <c r="C26" s="164" t="s">
        <v>393</v>
      </c>
      <c r="E26" s="358"/>
      <c r="F26" s="359"/>
      <c r="G26" s="377"/>
      <c r="H26" s="377"/>
      <c r="I26" s="377"/>
      <c r="J26" s="553"/>
      <c r="K26" s="711"/>
      <c r="L26" s="712"/>
      <c r="M26" s="151"/>
    </row>
    <row r="27" spans="1:13" ht="15.75" customHeight="1">
      <c r="A27" s="715"/>
      <c r="B27" s="716"/>
      <c r="C27" s="164" t="s">
        <v>394</v>
      </c>
      <c r="D27" s="357"/>
      <c r="E27" s="358"/>
      <c r="F27" s="359"/>
      <c r="G27" s="377"/>
      <c r="H27" s="377"/>
      <c r="I27" s="377"/>
      <c r="J27" s="553"/>
      <c r="K27" s="711"/>
      <c r="L27" s="712"/>
      <c r="M27" s="151"/>
    </row>
    <row r="28" spans="1:13" ht="15.75" customHeight="1">
      <c r="A28" s="715"/>
      <c r="B28" s="716"/>
      <c r="C28" s="164" t="s">
        <v>395</v>
      </c>
      <c r="D28" s="357"/>
      <c r="E28" s="358"/>
      <c r="F28" s="359"/>
      <c r="G28" s="553"/>
      <c r="H28" s="553"/>
      <c r="I28" s="553"/>
      <c r="J28" s="553"/>
      <c r="K28" s="711"/>
      <c r="L28" s="712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8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N15" sqref="N15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88" t="s">
        <v>186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119"/>
    </row>
    <row r="2" spans="1:13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</row>
    <row r="3" spans="1:13" ht="15.75" customHeight="1">
      <c r="A3" s="731" t="s">
        <v>187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151"/>
    </row>
    <row r="4" spans="1:13" s="120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130"/>
    </row>
    <row r="5" spans="1:13" s="153" customFormat="1" ht="16.350000000000001" customHeight="1">
      <c r="A5" s="715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15"/>
      <c r="B6" s="156" t="s">
        <v>188</v>
      </c>
      <c r="C6" s="156" t="s">
        <v>151</v>
      </c>
      <c r="D6" s="166" t="s">
        <v>189</v>
      </c>
      <c r="E6" s="16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16" t="s">
        <v>169</v>
      </c>
      <c r="B7" s="716"/>
      <c r="C7" s="361" t="s">
        <v>390</v>
      </c>
      <c r="D7" s="716" t="s">
        <v>12</v>
      </c>
      <c r="E7" s="719"/>
      <c r="F7" s="719"/>
      <c r="G7" s="381" t="s">
        <v>571</v>
      </c>
      <c r="H7" s="381" t="s">
        <v>572</v>
      </c>
      <c r="I7" s="381" t="s">
        <v>573</v>
      </c>
      <c r="J7" s="221" t="s">
        <v>574</v>
      </c>
      <c r="K7" s="716" t="s">
        <v>575</v>
      </c>
      <c r="L7" s="719"/>
      <c r="M7" s="152"/>
    </row>
    <row r="8" spans="1:13" ht="15.75" customHeight="1">
      <c r="A8" s="740">
        <v>3</v>
      </c>
      <c r="B8" s="733" t="s">
        <v>152</v>
      </c>
      <c r="C8" s="551">
        <v>1</v>
      </c>
      <c r="D8" s="357" t="s">
        <v>362</v>
      </c>
      <c r="E8" s="358"/>
      <c r="F8" s="359"/>
      <c r="G8" s="377">
        <v>5</v>
      </c>
      <c r="H8" s="377">
        <v>2143.8072178330826</v>
      </c>
      <c r="I8" s="377">
        <v>428.76144356661644</v>
      </c>
      <c r="J8" s="240" t="s">
        <v>748</v>
      </c>
      <c r="K8" s="759" t="s">
        <v>752</v>
      </c>
      <c r="L8" s="760"/>
      <c r="M8" s="130"/>
    </row>
    <row r="9" spans="1:13" ht="15.75" customHeight="1">
      <c r="A9" s="741"/>
      <c r="B9" s="734"/>
      <c r="C9" s="551">
        <v>2</v>
      </c>
      <c r="D9" s="357" t="s">
        <v>438</v>
      </c>
      <c r="E9" s="358"/>
      <c r="F9" s="359"/>
      <c r="G9" s="377">
        <v>5</v>
      </c>
      <c r="H9" s="377">
        <v>2131.7982925785732</v>
      </c>
      <c r="I9" s="377">
        <v>426.35965851571473</v>
      </c>
      <c r="J9" s="241" t="s">
        <v>749</v>
      </c>
      <c r="K9" s="761"/>
      <c r="L9" s="762"/>
      <c r="M9" s="130"/>
    </row>
    <row r="10" spans="1:13" ht="15.75" customHeight="1">
      <c r="A10" s="741"/>
      <c r="B10" s="734"/>
      <c r="C10" s="551">
        <v>3</v>
      </c>
      <c r="D10" s="357" t="s">
        <v>365</v>
      </c>
      <c r="E10" s="358"/>
      <c r="F10" s="359"/>
      <c r="G10" s="377">
        <v>10</v>
      </c>
      <c r="H10" s="377">
        <v>2331.4913021660764</v>
      </c>
      <c r="I10" s="377">
        <v>233.1491302166076</v>
      </c>
      <c r="J10" s="239" t="s">
        <v>750</v>
      </c>
      <c r="K10" s="743"/>
      <c r="L10" s="737"/>
      <c r="M10" s="130"/>
    </row>
    <row r="11" spans="1:13" ht="15.75" customHeight="1">
      <c r="A11" s="741"/>
      <c r="B11" s="734"/>
      <c r="C11" s="551">
        <v>4</v>
      </c>
      <c r="D11" s="357" t="s">
        <v>591</v>
      </c>
      <c r="E11" s="358"/>
      <c r="F11" s="359"/>
      <c r="G11" s="377">
        <v>13</v>
      </c>
      <c r="H11" s="377">
        <v>2137.6915431904413</v>
      </c>
      <c r="I11" s="377">
        <v>164.43781101464933</v>
      </c>
      <c r="J11" s="240" t="s">
        <v>748</v>
      </c>
      <c r="K11" s="748" t="s">
        <v>751</v>
      </c>
      <c r="L11" s="749"/>
      <c r="M11" s="130"/>
    </row>
    <row r="12" spans="1:13" ht="15.75" customHeight="1">
      <c r="A12" s="741"/>
      <c r="B12" s="734"/>
      <c r="C12" s="551">
        <v>5</v>
      </c>
      <c r="D12" s="357" t="s">
        <v>364</v>
      </c>
      <c r="E12" s="358"/>
      <c r="F12" s="359"/>
      <c r="G12" s="377">
        <v>13</v>
      </c>
      <c r="H12" s="377">
        <v>2125.4433553190051</v>
      </c>
      <c r="I12" s="377">
        <v>163.4956427168465</v>
      </c>
      <c r="J12" s="241" t="s">
        <v>749</v>
      </c>
      <c r="K12" s="750"/>
      <c r="L12" s="751"/>
      <c r="M12" s="130"/>
    </row>
    <row r="13" spans="1:13" ht="15.75" customHeight="1">
      <c r="A13" s="741"/>
      <c r="B13" s="734"/>
      <c r="C13" s="164" t="s">
        <v>391</v>
      </c>
      <c r="D13" s="357" t="s">
        <v>794</v>
      </c>
      <c r="E13" s="358"/>
      <c r="F13" s="359"/>
      <c r="G13" s="377">
        <v>18</v>
      </c>
      <c r="H13" s="377">
        <v>1140.367346938775</v>
      </c>
      <c r="I13" s="377">
        <v>63.353741496598609</v>
      </c>
      <c r="J13" s="239" t="s">
        <v>750</v>
      </c>
      <c r="K13" s="736" t="s">
        <v>834</v>
      </c>
      <c r="L13" s="737"/>
      <c r="M13" s="130"/>
    </row>
    <row r="14" spans="1:13" ht="15.75" customHeight="1">
      <c r="A14" s="741"/>
      <c r="B14" s="734"/>
      <c r="C14" s="164" t="s">
        <v>392</v>
      </c>
      <c r="D14" s="357" t="s">
        <v>361</v>
      </c>
      <c r="E14" s="358"/>
      <c r="F14" s="359"/>
      <c r="G14" s="377">
        <v>18</v>
      </c>
      <c r="H14" s="377">
        <v>1150.9575202197559</v>
      </c>
      <c r="I14" s="377">
        <v>63.942084456653099</v>
      </c>
      <c r="J14" s="239" t="s">
        <v>750</v>
      </c>
      <c r="K14" s="763"/>
      <c r="L14" s="764"/>
      <c r="M14" s="130"/>
    </row>
    <row r="15" spans="1:13" ht="15.75" customHeight="1">
      <c r="A15" s="741"/>
      <c r="B15" s="734"/>
      <c r="C15" s="164" t="s">
        <v>393</v>
      </c>
      <c r="D15" s="357" t="s">
        <v>363</v>
      </c>
      <c r="E15" s="358"/>
      <c r="F15" s="359"/>
      <c r="G15" s="377">
        <v>12</v>
      </c>
      <c r="H15" s="377">
        <v>1885.9439094462009</v>
      </c>
      <c r="I15" s="377">
        <v>157.1619924538501</v>
      </c>
      <c r="J15" s="241" t="s">
        <v>749</v>
      </c>
      <c r="K15" s="752" t="s">
        <v>826</v>
      </c>
      <c r="L15" s="753"/>
      <c r="M15" s="130"/>
    </row>
    <row r="16" spans="1:13" ht="15.75" customHeight="1">
      <c r="A16" s="741"/>
      <c r="B16" s="734"/>
      <c r="C16" s="164" t="s">
        <v>394</v>
      </c>
      <c r="D16" s="357" t="s">
        <v>531</v>
      </c>
      <c r="E16" s="358"/>
      <c r="F16" s="359"/>
      <c r="G16" s="377">
        <v>12</v>
      </c>
      <c r="H16" s="377">
        <v>1897.713183303031</v>
      </c>
      <c r="I16" s="377">
        <v>158.14276527525257</v>
      </c>
      <c r="J16" s="240" t="s">
        <v>748</v>
      </c>
      <c r="K16" s="754"/>
      <c r="L16" s="755"/>
      <c r="M16" s="151"/>
    </row>
    <row r="17" spans="1:13" ht="15.75" customHeight="1">
      <c r="A17" s="742"/>
      <c r="B17" s="735"/>
      <c r="C17" s="164" t="s">
        <v>395</v>
      </c>
      <c r="D17" s="357"/>
      <c r="E17" s="358"/>
      <c r="F17" s="359"/>
      <c r="G17" s="377"/>
      <c r="H17" s="377"/>
      <c r="I17" s="377"/>
      <c r="J17" s="239"/>
      <c r="K17" s="743"/>
      <c r="L17" s="737"/>
      <c r="M17" s="151"/>
    </row>
    <row r="18" spans="1:13" s="161" customFormat="1" ht="15.75" customHeight="1">
      <c r="A18" s="756" t="s">
        <v>168</v>
      </c>
      <c r="B18" s="758"/>
      <c r="C18" s="552" t="s">
        <v>47</v>
      </c>
      <c r="D18" s="756" t="s">
        <v>12</v>
      </c>
      <c r="E18" s="757"/>
      <c r="F18" s="758"/>
      <c r="G18" s="552" t="s">
        <v>46</v>
      </c>
      <c r="H18" s="552" t="s">
        <v>519</v>
      </c>
      <c r="I18" s="552" t="s">
        <v>387</v>
      </c>
      <c r="J18" s="221" t="s">
        <v>388</v>
      </c>
      <c r="K18" s="756" t="s">
        <v>51</v>
      </c>
      <c r="L18" s="758"/>
      <c r="M18" s="154"/>
    </row>
    <row r="19" spans="1:13" ht="15.75" customHeight="1">
      <c r="A19" s="740">
        <v>4</v>
      </c>
      <c r="B19" s="733" t="s">
        <v>153</v>
      </c>
      <c r="C19" s="551">
        <v>1</v>
      </c>
      <c r="D19" s="378" t="s">
        <v>632</v>
      </c>
      <c r="E19" s="358"/>
      <c r="F19" s="359"/>
      <c r="G19" s="377">
        <v>13</v>
      </c>
      <c r="H19" s="377">
        <v>1450.2058733246704</v>
      </c>
      <c r="I19" s="377">
        <v>111.55429794805157</v>
      </c>
      <c r="J19" s="239" t="s">
        <v>750</v>
      </c>
      <c r="K19" s="746"/>
      <c r="L19" s="747"/>
      <c r="M19" s="151"/>
    </row>
    <row r="20" spans="1:13" ht="15.75" customHeight="1">
      <c r="A20" s="741"/>
      <c r="B20" s="734"/>
      <c r="C20" s="551">
        <v>2</v>
      </c>
      <c r="D20" s="357"/>
      <c r="E20" s="358"/>
      <c r="F20" s="359"/>
      <c r="G20" s="377"/>
      <c r="H20" s="377"/>
      <c r="I20" s="377"/>
      <c r="J20" s="240"/>
      <c r="K20" s="738"/>
      <c r="L20" s="739"/>
      <c r="M20" s="151"/>
    </row>
    <row r="21" spans="1:13" ht="15.75" customHeight="1">
      <c r="A21" s="741"/>
      <c r="B21" s="734"/>
      <c r="C21" s="551">
        <v>3</v>
      </c>
      <c r="D21" s="378"/>
      <c r="E21" s="358"/>
      <c r="F21" s="359"/>
      <c r="G21" s="377"/>
      <c r="H21" s="377"/>
      <c r="I21" s="377"/>
      <c r="J21" s="241"/>
      <c r="K21" s="738"/>
      <c r="L21" s="739"/>
      <c r="M21" s="151"/>
    </row>
    <row r="22" spans="1:13" ht="15.75" customHeight="1">
      <c r="A22" s="741"/>
      <c r="B22" s="734"/>
      <c r="C22" s="551">
        <v>4</v>
      </c>
      <c r="D22" s="378"/>
      <c r="E22" s="358"/>
      <c r="F22" s="359"/>
      <c r="G22" s="553"/>
      <c r="H22" s="377"/>
      <c r="I22" s="377"/>
      <c r="J22" s="239"/>
      <c r="K22" s="738"/>
      <c r="L22" s="739"/>
      <c r="M22" s="151"/>
    </row>
    <row r="23" spans="1:13" ht="15.75" customHeight="1">
      <c r="A23" s="741"/>
      <c r="B23" s="734"/>
      <c r="C23" s="551">
        <v>5</v>
      </c>
      <c r="D23" s="357"/>
      <c r="E23" s="358"/>
      <c r="F23" s="359"/>
      <c r="G23" s="553"/>
      <c r="H23" s="553"/>
      <c r="I23" s="553"/>
      <c r="J23" s="553"/>
      <c r="K23" s="738"/>
      <c r="L23" s="739"/>
      <c r="M23" s="151"/>
    </row>
    <row r="24" spans="1:13" ht="15.75" customHeight="1">
      <c r="A24" s="741"/>
      <c r="B24" s="734"/>
      <c r="C24" s="164" t="s">
        <v>391</v>
      </c>
      <c r="D24" s="378"/>
      <c r="E24" s="358"/>
      <c r="F24" s="359"/>
      <c r="G24" s="377"/>
      <c r="H24" s="377"/>
      <c r="I24" s="377"/>
      <c r="J24" s="239"/>
      <c r="K24" s="744"/>
      <c r="L24" s="745"/>
      <c r="M24" s="151"/>
    </row>
    <row r="25" spans="1:13" ht="15.75" customHeight="1">
      <c r="A25" s="741"/>
      <c r="B25" s="734"/>
      <c r="C25" s="164" t="s">
        <v>392</v>
      </c>
      <c r="D25" s="357"/>
      <c r="E25" s="358"/>
      <c r="F25" s="359"/>
      <c r="G25" s="553"/>
      <c r="H25" s="553"/>
      <c r="I25" s="553"/>
      <c r="J25" s="553"/>
      <c r="K25" s="738"/>
      <c r="L25" s="739"/>
      <c r="M25" s="151"/>
    </row>
    <row r="26" spans="1:13" ht="15.75" customHeight="1">
      <c r="A26" s="741"/>
      <c r="B26" s="734"/>
      <c r="C26" s="164" t="s">
        <v>393</v>
      </c>
      <c r="D26" s="357"/>
      <c r="E26" s="358"/>
      <c r="F26" s="359"/>
      <c r="G26" s="553"/>
      <c r="H26" s="553"/>
      <c r="I26" s="553"/>
      <c r="J26" s="553"/>
      <c r="K26" s="738"/>
      <c r="L26" s="739"/>
      <c r="M26" s="151"/>
    </row>
    <row r="27" spans="1:13" ht="15.75" customHeight="1">
      <c r="A27" s="741"/>
      <c r="B27" s="734"/>
      <c r="C27" s="164" t="s">
        <v>394</v>
      </c>
      <c r="D27" s="357"/>
      <c r="E27" s="358"/>
      <c r="F27" s="359"/>
      <c r="G27" s="553"/>
      <c r="H27" s="553"/>
      <c r="I27" s="553"/>
      <c r="J27" s="553"/>
      <c r="K27" s="738"/>
      <c r="L27" s="739"/>
      <c r="M27" s="151"/>
    </row>
    <row r="28" spans="1:13" ht="15.75" customHeight="1">
      <c r="A28" s="742"/>
      <c r="B28" s="735"/>
      <c r="C28" s="164" t="s">
        <v>395</v>
      </c>
      <c r="D28" s="357"/>
      <c r="E28" s="358"/>
      <c r="F28" s="359"/>
      <c r="G28" s="553"/>
      <c r="H28" s="553"/>
      <c r="I28" s="553"/>
      <c r="J28" s="553"/>
      <c r="K28" s="738"/>
      <c r="L28" s="739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11:L12"/>
    <mergeCell ref="K15:L16"/>
    <mergeCell ref="D18:F18"/>
    <mergeCell ref="K18:L18"/>
    <mergeCell ref="A1:L2"/>
    <mergeCell ref="A3:L4"/>
    <mergeCell ref="K10:L10"/>
    <mergeCell ref="K8:L9"/>
    <mergeCell ref="A5:A6"/>
    <mergeCell ref="A7:B7"/>
    <mergeCell ref="D7:F7"/>
    <mergeCell ref="K7:L7"/>
    <mergeCell ref="A8:A17"/>
    <mergeCell ref="K14:L14"/>
    <mergeCell ref="B8:B17"/>
    <mergeCell ref="A18:B18"/>
    <mergeCell ref="B19:B28"/>
    <mergeCell ref="K13:L13"/>
    <mergeCell ref="K20:L20"/>
    <mergeCell ref="K21:L21"/>
    <mergeCell ref="A19:A28"/>
    <mergeCell ref="K25:L25"/>
    <mergeCell ref="K26:L26"/>
    <mergeCell ref="K17:L17"/>
    <mergeCell ref="K28:L28"/>
    <mergeCell ref="K22:L22"/>
    <mergeCell ref="K23:L23"/>
    <mergeCell ref="K27:L27"/>
    <mergeCell ref="K24:L24"/>
    <mergeCell ref="K19:L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90" zoomScaleNormal="9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588" t="s">
        <v>186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119"/>
    </row>
    <row r="2" spans="1:18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</row>
    <row r="3" spans="1:18" ht="15.75" customHeight="1">
      <c r="A3" s="731" t="s">
        <v>187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151"/>
    </row>
    <row r="4" spans="1:18" s="120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130"/>
    </row>
    <row r="5" spans="1:18" s="153" customFormat="1" ht="16.350000000000001" customHeight="1">
      <c r="A5" s="715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15"/>
      <c r="B6" s="156" t="s">
        <v>188</v>
      </c>
      <c r="C6" s="156" t="s">
        <v>151</v>
      </c>
      <c r="D6" s="156" t="s">
        <v>189</v>
      </c>
      <c r="E6" s="156" t="s">
        <v>153</v>
      </c>
      <c r="F6" s="167" t="s">
        <v>133</v>
      </c>
      <c r="G6" s="168" t="s">
        <v>131</v>
      </c>
      <c r="H6" s="159" t="s">
        <v>190</v>
      </c>
      <c r="I6" s="158" t="s">
        <v>191</v>
      </c>
      <c r="J6" s="158" t="s">
        <v>137</v>
      </c>
      <c r="K6" s="154"/>
      <c r="L6" s="154"/>
      <c r="M6" s="130"/>
    </row>
    <row r="7" spans="1:18" s="153" customFormat="1" ht="15.75" customHeight="1">
      <c r="A7" s="716" t="s">
        <v>559</v>
      </c>
      <c r="B7" s="716"/>
      <c r="C7" s="361" t="s">
        <v>560</v>
      </c>
      <c r="D7" s="716" t="s">
        <v>12</v>
      </c>
      <c r="E7" s="719"/>
      <c r="F7" s="719"/>
      <c r="G7" s="381" t="s">
        <v>571</v>
      </c>
      <c r="H7" s="381" t="s">
        <v>572</v>
      </c>
      <c r="I7" s="381" t="s">
        <v>573</v>
      </c>
      <c r="J7" s="221" t="s">
        <v>574</v>
      </c>
      <c r="K7" s="716" t="s">
        <v>575</v>
      </c>
      <c r="L7" s="719"/>
      <c r="M7" s="152"/>
    </row>
    <row r="8" spans="1:18" ht="15.75" customHeight="1">
      <c r="A8" s="715">
        <v>5</v>
      </c>
      <c r="B8" s="716" t="s">
        <v>133</v>
      </c>
      <c r="C8" s="551">
        <v>1</v>
      </c>
      <c r="D8" s="401" t="s">
        <v>344</v>
      </c>
      <c r="E8" s="358"/>
      <c r="F8" s="359"/>
      <c r="G8" s="377">
        <v>6</v>
      </c>
      <c r="H8" s="377">
        <v>1473.9255313148844</v>
      </c>
      <c r="I8" s="377">
        <v>245.65425521914747</v>
      </c>
      <c r="J8" s="240" t="s">
        <v>748</v>
      </c>
      <c r="K8" s="727" t="s">
        <v>827</v>
      </c>
      <c r="L8" s="728"/>
      <c r="M8" s="130"/>
      <c r="P8" s="250"/>
      <c r="Q8" s="250"/>
      <c r="R8" s="250"/>
    </row>
    <row r="9" spans="1:18" ht="15.75" customHeight="1">
      <c r="A9" s="715"/>
      <c r="B9" s="716"/>
      <c r="C9" s="551">
        <v>2</v>
      </c>
      <c r="D9" s="378" t="s">
        <v>616</v>
      </c>
      <c r="E9" s="358"/>
      <c r="F9" s="359"/>
      <c r="G9" s="377">
        <v>6</v>
      </c>
      <c r="H9" s="377">
        <v>1462.3803661978729</v>
      </c>
      <c r="I9" s="377">
        <v>243.73006103297888</v>
      </c>
      <c r="J9" s="241" t="s">
        <v>749</v>
      </c>
      <c r="K9" s="729"/>
      <c r="L9" s="730"/>
      <c r="M9" s="130"/>
      <c r="P9" s="250"/>
      <c r="Q9" s="250"/>
      <c r="R9" s="250"/>
    </row>
    <row r="10" spans="1:18" ht="15.75" customHeight="1">
      <c r="A10" s="715"/>
      <c r="B10" s="716"/>
      <c r="C10" s="551">
        <v>3</v>
      </c>
      <c r="D10" s="357" t="s">
        <v>347</v>
      </c>
      <c r="E10" s="358"/>
      <c r="F10" s="359"/>
      <c r="G10" s="377">
        <v>14.857142857142858</v>
      </c>
      <c r="H10" s="377">
        <v>1339.9613963132997</v>
      </c>
      <c r="I10" s="377">
        <v>90.258275588139753</v>
      </c>
      <c r="J10" s="239" t="s">
        <v>750</v>
      </c>
      <c r="K10" s="765"/>
      <c r="L10" s="719"/>
      <c r="M10" s="130"/>
      <c r="P10" s="250"/>
      <c r="Q10" s="250"/>
      <c r="R10" s="250"/>
    </row>
    <row r="11" spans="1:18" ht="15.75" customHeight="1">
      <c r="A11" s="715"/>
      <c r="B11" s="716"/>
      <c r="C11" s="551">
        <v>4</v>
      </c>
      <c r="D11" s="357" t="s">
        <v>700</v>
      </c>
      <c r="E11" s="358"/>
      <c r="F11" s="359"/>
      <c r="G11" s="377">
        <v>16.428571428571427</v>
      </c>
      <c r="H11" s="377">
        <v>1400.2119373608143</v>
      </c>
      <c r="I11" s="377">
        <v>85.251885830838162</v>
      </c>
      <c r="J11" s="240" t="s">
        <v>748</v>
      </c>
      <c r="K11" s="765" t="s">
        <v>751</v>
      </c>
      <c r="L11" s="719"/>
      <c r="M11" s="130"/>
      <c r="P11" s="250"/>
      <c r="Q11" s="250"/>
      <c r="R11" s="250"/>
    </row>
    <row r="12" spans="1:18" ht="15.75" customHeight="1">
      <c r="A12" s="715"/>
      <c r="B12" s="716"/>
      <c r="C12" s="551">
        <v>5</v>
      </c>
      <c r="D12" s="357" t="s">
        <v>716</v>
      </c>
      <c r="E12" s="358"/>
      <c r="F12" s="359"/>
      <c r="G12" s="377">
        <v>16.428571428571427</v>
      </c>
      <c r="H12" s="377">
        <v>1387.3270286868633</v>
      </c>
      <c r="I12" s="377">
        <v>84.488359681876702</v>
      </c>
      <c r="J12" s="240" t="s">
        <v>748</v>
      </c>
      <c r="K12" s="765" t="s">
        <v>828</v>
      </c>
      <c r="L12" s="719"/>
      <c r="M12" s="130"/>
      <c r="P12" s="250"/>
      <c r="Q12" s="250"/>
      <c r="R12" s="250"/>
    </row>
    <row r="13" spans="1:18" ht="15.75" customHeight="1">
      <c r="A13" s="715"/>
      <c r="B13" s="716"/>
      <c r="C13" s="164" t="s">
        <v>391</v>
      </c>
      <c r="D13" s="357" t="s">
        <v>635</v>
      </c>
      <c r="E13" s="358"/>
      <c r="F13" s="359"/>
      <c r="G13" s="377">
        <v>20</v>
      </c>
      <c r="H13" s="377">
        <v>1061.8986049053049</v>
      </c>
      <c r="I13" s="377">
        <v>53.094930245265239</v>
      </c>
      <c r="J13" s="239" t="s">
        <v>750</v>
      </c>
      <c r="K13" s="765"/>
      <c r="L13" s="719"/>
      <c r="M13" s="130"/>
      <c r="P13" s="250"/>
      <c r="Q13" s="250"/>
      <c r="R13" s="250"/>
    </row>
    <row r="14" spans="1:18" ht="15.75" customHeight="1">
      <c r="A14" s="715"/>
      <c r="B14" s="716"/>
      <c r="C14" s="164" t="s">
        <v>392</v>
      </c>
      <c r="D14" s="357" t="s">
        <v>567</v>
      </c>
      <c r="E14" s="358"/>
      <c r="F14" s="359"/>
      <c r="G14" s="377">
        <v>21</v>
      </c>
      <c r="H14" s="377">
        <v>1291.9992196370538</v>
      </c>
      <c r="I14" s="377">
        <v>61.523772363669231</v>
      </c>
      <c r="J14" s="239" t="s">
        <v>750</v>
      </c>
      <c r="K14" s="765"/>
      <c r="L14" s="719"/>
      <c r="M14" s="130"/>
      <c r="P14" s="250"/>
      <c r="Q14" s="250"/>
      <c r="R14" s="250"/>
    </row>
    <row r="15" spans="1:18" ht="15.75" customHeight="1">
      <c r="A15" s="715"/>
      <c r="B15" s="716"/>
      <c r="C15" s="164" t="s">
        <v>393</v>
      </c>
      <c r="D15" s="357" t="s">
        <v>526</v>
      </c>
      <c r="E15" s="358"/>
      <c r="F15" s="359"/>
      <c r="G15" s="377">
        <v>19.857142857142858</v>
      </c>
      <c r="H15" s="377">
        <v>1220.8851705507202</v>
      </c>
      <c r="I15" s="377">
        <v>61.49783812871285</v>
      </c>
      <c r="J15" s="239" t="s">
        <v>750</v>
      </c>
      <c r="K15" s="765"/>
      <c r="L15" s="719"/>
      <c r="M15" s="130"/>
      <c r="P15" s="250"/>
      <c r="Q15" s="250"/>
      <c r="R15" s="250"/>
    </row>
    <row r="16" spans="1:18" ht="15.75" customHeight="1">
      <c r="A16" s="715"/>
      <c r="B16" s="716"/>
      <c r="C16" s="164" t="s">
        <v>394</v>
      </c>
      <c r="D16" s="378" t="s">
        <v>596</v>
      </c>
      <c r="E16" s="358"/>
      <c r="F16" s="359"/>
      <c r="G16" s="377">
        <v>19</v>
      </c>
      <c r="H16" s="377">
        <v>1223.3102382304787</v>
      </c>
      <c r="I16" s="377">
        <v>64.384749380551511</v>
      </c>
      <c r="J16" s="239" t="s">
        <v>750</v>
      </c>
      <c r="K16" s="765"/>
      <c r="L16" s="719"/>
      <c r="M16" s="151"/>
      <c r="P16" s="250"/>
      <c r="Q16" s="250"/>
      <c r="R16" s="250"/>
    </row>
    <row r="17" spans="1:18" ht="15.75" customHeight="1">
      <c r="A17" s="715"/>
      <c r="B17" s="716"/>
      <c r="C17" s="164" t="s">
        <v>395</v>
      </c>
      <c r="D17" s="378" t="s">
        <v>525</v>
      </c>
      <c r="E17" s="358"/>
      <c r="F17" s="359"/>
      <c r="G17" s="377">
        <v>20</v>
      </c>
      <c r="H17" s="377">
        <v>1302.9374999573815</v>
      </c>
      <c r="I17" s="377">
        <v>65.146874997869091</v>
      </c>
      <c r="J17" s="239" t="s">
        <v>750</v>
      </c>
      <c r="K17" s="765"/>
      <c r="L17" s="719"/>
      <c r="M17" s="151"/>
      <c r="P17" s="250"/>
      <c r="Q17" s="250"/>
      <c r="R17" s="250"/>
    </row>
    <row r="18" spans="1:18" s="161" customFormat="1" ht="15.75" customHeight="1">
      <c r="A18" s="713" t="s">
        <v>168</v>
      </c>
      <c r="B18" s="713"/>
      <c r="C18" s="552" t="s">
        <v>47</v>
      </c>
      <c r="D18" s="713" t="s">
        <v>12</v>
      </c>
      <c r="E18" s="714"/>
      <c r="F18" s="714"/>
      <c r="G18" s="552" t="s">
        <v>46</v>
      </c>
      <c r="H18" s="552" t="s">
        <v>519</v>
      </c>
      <c r="I18" s="552" t="s">
        <v>387</v>
      </c>
      <c r="J18" s="221" t="s">
        <v>388</v>
      </c>
      <c r="K18" s="713" t="s">
        <v>51</v>
      </c>
      <c r="L18" s="714"/>
      <c r="M18" s="154"/>
    </row>
    <row r="19" spans="1:18" ht="15.75" customHeight="1">
      <c r="A19" s="715">
        <v>6</v>
      </c>
      <c r="B19" s="716" t="s">
        <v>131</v>
      </c>
      <c r="C19" s="551">
        <v>1</v>
      </c>
      <c r="D19" s="357" t="s">
        <v>523</v>
      </c>
      <c r="E19" s="358"/>
      <c r="F19" s="359"/>
      <c r="G19" s="377">
        <v>16.571428571428573</v>
      </c>
      <c r="H19" s="377">
        <v>1334.6689232399833</v>
      </c>
      <c r="I19" s="377">
        <v>80.616022477855083</v>
      </c>
      <c r="J19" s="239" t="s">
        <v>750</v>
      </c>
      <c r="K19" s="766"/>
      <c r="L19" s="719"/>
      <c r="M19" s="151"/>
      <c r="P19" s="250"/>
      <c r="Q19" s="250"/>
      <c r="R19" s="250"/>
    </row>
    <row r="20" spans="1:18" ht="15.75" customHeight="1">
      <c r="A20" s="715"/>
      <c r="B20" s="716"/>
      <c r="C20" s="551">
        <v>2</v>
      </c>
      <c r="D20" s="357" t="s">
        <v>350</v>
      </c>
      <c r="E20" s="358"/>
      <c r="F20" s="359"/>
      <c r="G20" s="377">
        <v>17</v>
      </c>
      <c r="H20" s="377">
        <v>1334.3537714945871</v>
      </c>
      <c r="I20" s="377">
        <v>78.491398323211001</v>
      </c>
      <c r="J20" s="240" t="s">
        <v>748</v>
      </c>
      <c r="K20" s="767" t="s">
        <v>751</v>
      </c>
      <c r="L20" s="768"/>
      <c r="M20" s="151"/>
      <c r="P20" s="250"/>
      <c r="Q20" s="250"/>
      <c r="R20" s="250"/>
    </row>
    <row r="21" spans="1:18" ht="15.75" customHeight="1">
      <c r="A21" s="715"/>
      <c r="B21" s="716"/>
      <c r="C21" s="551">
        <v>3</v>
      </c>
      <c r="D21" s="357" t="s">
        <v>619</v>
      </c>
      <c r="E21" s="358"/>
      <c r="F21" s="359"/>
      <c r="G21" s="377">
        <v>17</v>
      </c>
      <c r="H21" s="377">
        <v>1318.6844174105806</v>
      </c>
      <c r="I21" s="377">
        <v>77.569671612387097</v>
      </c>
      <c r="J21" s="241" t="s">
        <v>749</v>
      </c>
      <c r="K21" s="769"/>
      <c r="L21" s="770"/>
      <c r="M21" s="151"/>
      <c r="P21" s="250"/>
      <c r="Q21" s="250"/>
      <c r="R21" s="250"/>
    </row>
    <row r="22" spans="1:18" ht="15.75" customHeight="1">
      <c r="A22" s="715"/>
      <c r="B22" s="716"/>
      <c r="C22" s="551">
        <v>4</v>
      </c>
      <c r="D22" s="357" t="s">
        <v>701</v>
      </c>
      <c r="E22" s="358"/>
      <c r="F22" s="359"/>
      <c r="G22" s="377">
        <v>17</v>
      </c>
      <c r="H22" s="377">
        <v>1260.4120143739176</v>
      </c>
      <c r="I22" s="377">
        <v>74.141883198465734</v>
      </c>
      <c r="J22" s="239" t="s">
        <v>750</v>
      </c>
      <c r="K22" s="766"/>
      <c r="L22" s="719"/>
      <c r="M22" s="151"/>
      <c r="P22" s="250"/>
      <c r="Q22" s="250"/>
      <c r="R22" s="250"/>
    </row>
    <row r="23" spans="1:18" ht="15.75" customHeight="1">
      <c r="A23" s="715"/>
      <c r="B23" s="716"/>
      <c r="C23" s="551">
        <v>5</v>
      </c>
      <c r="D23" s="357" t="s">
        <v>349</v>
      </c>
      <c r="E23" s="358"/>
      <c r="F23" s="359"/>
      <c r="G23" s="377">
        <v>18</v>
      </c>
      <c r="H23" s="377">
        <v>1286.4371831272679</v>
      </c>
      <c r="I23" s="377">
        <v>71.468732395959321</v>
      </c>
      <c r="J23" s="239" t="s">
        <v>750</v>
      </c>
      <c r="K23" s="766"/>
      <c r="L23" s="719"/>
      <c r="M23" s="151"/>
      <c r="P23" s="250"/>
      <c r="Q23" s="250"/>
      <c r="R23" s="250"/>
    </row>
    <row r="24" spans="1:18" ht="15.75" customHeight="1">
      <c r="A24" s="715"/>
      <c r="B24" s="716"/>
      <c r="C24" s="164" t="s">
        <v>391</v>
      </c>
      <c r="D24" s="378" t="s">
        <v>352</v>
      </c>
      <c r="E24" s="358"/>
      <c r="F24" s="359"/>
      <c r="G24" s="377">
        <v>21</v>
      </c>
      <c r="H24" s="377">
        <v>1266.3232359215144</v>
      </c>
      <c r="I24" s="377">
        <v>60.301106472453078</v>
      </c>
      <c r="J24" s="239" t="s">
        <v>750</v>
      </c>
      <c r="K24" s="766"/>
      <c r="L24" s="719"/>
      <c r="M24" s="151"/>
      <c r="P24" s="250"/>
      <c r="Q24" s="250"/>
      <c r="R24" s="250"/>
    </row>
    <row r="25" spans="1:18" ht="15.75" customHeight="1">
      <c r="A25" s="715"/>
      <c r="B25" s="716"/>
      <c r="C25" s="164" t="s">
        <v>392</v>
      </c>
      <c r="D25" s="357" t="s">
        <v>612</v>
      </c>
      <c r="E25" s="358"/>
      <c r="F25" s="359"/>
      <c r="G25" s="377">
        <v>18</v>
      </c>
      <c r="H25" s="377">
        <v>1107.7674076495621</v>
      </c>
      <c r="I25" s="377">
        <v>61.542633758309009</v>
      </c>
      <c r="J25" s="239" t="s">
        <v>750</v>
      </c>
      <c r="K25" s="766"/>
      <c r="L25" s="719"/>
      <c r="M25" s="151"/>
      <c r="P25" s="250"/>
      <c r="Q25" s="250"/>
      <c r="R25" s="250"/>
    </row>
    <row r="26" spans="1:18" ht="15.75" customHeight="1">
      <c r="A26" s="715"/>
      <c r="B26" s="716"/>
      <c r="C26" s="164" t="s">
        <v>393</v>
      </c>
      <c r="D26" s="357" t="s">
        <v>353</v>
      </c>
      <c r="E26" s="358"/>
      <c r="F26" s="359"/>
      <c r="G26" s="377">
        <v>19.285714285714285</v>
      </c>
      <c r="H26" s="377">
        <v>1308.1557086157045</v>
      </c>
      <c r="I26" s="377">
        <v>67.842497664752628</v>
      </c>
      <c r="J26" s="239" t="s">
        <v>750</v>
      </c>
      <c r="K26" s="766"/>
      <c r="L26" s="719"/>
      <c r="M26" s="151"/>
      <c r="P26" s="250"/>
      <c r="Q26" s="250"/>
      <c r="R26" s="250"/>
    </row>
    <row r="27" spans="1:18" ht="15.75" customHeight="1">
      <c r="A27" s="715"/>
      <c r="B27" s="716"/>
      <c r="C27" s="164" t="s">
        <v>394</v>
      </c>
      <c r="D27" s="357" t="s">
        <v>503</v>
      </c>
      <c r="E27" s="358"/>
      <c r="F27" s="359"/>
      <c r="G27" s="377">
        <v>18</v>
      </c>
      <c r="H27" s="377">
        <v>1231.3496451881038</v>
      </c>
      <c r="I27" s="377">
        <v>68.408313621561305</v>
      </c>
      <c r="J27" s="239" t="s">
        <v>750</v>
      </c>
      <c r="K27" s="766"/>
      <c r="L27" s="719"/>
      <c r="M27" s="151"/>
      <c r="P27" s="250"/>
      <c r="Q27" s="250"/>
      <c r="R27" s="250"/>
    </row>
    <row r="28" spans="1:18" ht="15.75" customHeight="1">
      <c r="A28" s="715"/>
      <c r="B28" s="716"/>
      <c r="C28" s="164" t="s">
        <v>395</v>
      </c>
      <c r="D28" s="357" t="s">
        <v>501</v>
      </c>
      <c r="E28" s="358"/>
      <c r="F28" s="359"/>
      <c r="G28" s="377">
        <v>18</v>
      </c>
      <c r="H28" s="377">
        <v>1263.4063354746324</v>
      </c>
      <c r="I28" s="377">
        <v>70.189240859701798</v>
      </c>
      <c r="J28" s="239" t="s">
        <v>750</v>
      </c>
      <c r="K28" s="766"/>
      <c r="L28" s="719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K27:L27"/>
    <mergeCell ref="K14:L14"/>
    <mergeCell ref="K15:L15"/>
    <mergeCell ref="K16:L16"/>
    <mergeCell ref="K22:L22"/>
    <mergeCell ref="K23:L23"/>
    <mergeCell ref="K17:L17"/>
    <mergeCell ref="K8:L9"/>
    <mergeCell ref="K20:L21"/>
    <mergeCell ref="K24:L24"/>
    <mergeCell ref="K25:L25"/>
    <mergeCell ref="K26:L26"/>
    <mergeCell ref="K10:L10"/>
    <mergeCell ref="K11:L11"/>
    <mergeCell ref="K12:L12"/>
    <mergeCell ref="K18:L18"/>
    <mergeCell ref="K13:L13"/>
    <mergeCell ref="K19:L19"/>
    <mergeCell ref="A1:L2"/>
    <mergeCell ref="A3:L4"/>
    <mergeCell ref="A5:A6"/>
    <mergeCell ref="A7:B7"/>
    <mergeCell ref="D7:F7"/>
    <mergeCell ref="K7:L7"/>
    <mergeCell ref="A19:A28"/>
    <mergeCell ref="A8:A17"/>
    <mergeCell ref="B8:B17"/>
    <mergeCell ref="A18:B18"/>
    <mergeCell ref="D18:F18"/>
    <mergeCell ref="B19:B28"/>
    <mergeCell ref="K28:L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90" zoomScaleNormal="90" zoomScaleSheetLayoutView="100" workbookViewId="0">
      <selection activeCell="N19" sqref="N19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88" t="s">
        <v>186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119"/>
    </row>
    <row r="2" spans="1:13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</row>
    <row r="3" spans="1:13" ht="15.75" customHeight="1">
      <c r="A3" s="731" t="s">
        <v>187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151"/>
    </row>
    <row r="4" spans="1:13" s="120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130"/>
    </row>
    <row r="5" spans="1:13" s="153" customFormat="1" ht="16.350000000000001" customHeight="1">
      <c r="A5" s="740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42"/>
      <c r="B6" s="156" t="s">
        <v>188</v>
      </c>
      <c r="C6" s="15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66" t="s">
        <v>190</v>
      </c>
      <c r="I6" s="168" t="s">
        <v>191</v>
      </c>
      <c r="J6" s="158" t="s">
        <v>137</v>
      </c>
      <c r="K6" s="154"/>
      <c r="L6" s="154"/>
      <c r="M6" s="130"/>
    </row>
    <row r="7" spans="1:13" s="153" customFormat="1" ht="15.75" customHeight="1">
      <c r="A7" s="773" t="s">
        <v>559</v>
      </c>
      <c r="B7" s="774"/>
      <c r="C7" s="361" t="s">
        <v>560</v>
      </c>
      <c r="D7" s="773" t="s">
        <v>12</v>
      </c>
      <c r="E7" s="775"/>
      <c r="F7" s="774"/>
      <c r="G7" s="381" t="s">
        <v>46</v>
      </c>
      <c r="H7" s="381" t="s">
        <v>576</v>
      </c>
      <c r="I7" s="381" t="s">
        <v>577</v>
      </c>
      <c r="J7" s="221" t="s">
        <v>578</v>
      </c>
      <c r="K7" s="773" t="s">
        <v>51</v>
      </c>
      <c r="L7" s="774"/>
      <c r="M7" s="152"/>
    </row>
    <row r="8" spans="1:13" ht="15.75" customHeight="1">
      <c r="A8" s="740">
        <v>7</v>
      </c>
      <c r="B8" s="733" t="s">
        <v>135</v>
      </c>
      <c r="C8" s="551">
        <v>1</v>
      </c>
      <c r="D8" s="357" t="s">
        <v>638</v>
      </c>
      <c r="E8" s="358"/>
      <c r="F8" s="359"/>
      <c r="G8" s="377">
        <v>14</v>
      </c>
      <c r="H8" s="377">
        <v>1462.1176530927762</v>
      </c>
      <c r="I8" s="377">
        <v>104.43697522091259</v>
      </c>
      <c r="J8" s="239" t="s">
        <v>750</v>
      </c>
      <c r="K8" s="771"/>
      <c r="L8" s="772"/>
      <c r="M8" s="130"/>
    </row>
    <row r="9" spans="1:13" ht="15.75" customHeight="1">
      <c r="A9" s="741"/>
      <c r="B9" s="734"/>
      <c r="C9" s="551">
        <v>2</v>
      </c>
      <c r="D9" s="378" t="s">
        <v>532</v>
      </c>
      <c r="E9" s="358"/>
      <c r="F9" s="359"/>
      <c r="G9" s="377">
        <v>16.714285714285715</v>
      </c>
      <c r="H9" s="377">
        <v>1416.0323450612839</v>
      </c>
      <c r="I9" s="377">
        <v>84.785115935977885</v>
      </c>
      <c r="J9" s="240" t="s">
        <v>748</v>
      </c>
      <c r="K9" s="771" t="s">
        <v>751</v>
      </c>
      <c r="L9" s="772"/>
      <c r="M9" s="130"/>
    </row>
    <row r="10" spans="1:13" ht="15.75" customHeight="1">
      <c r="A10" s="741"/>
      <c r="B10" s="734"/>
      <c r="C10" s="551">
        <v>3</v>
      </c>
      <c r="D10" s="357" t="s">
        <v>802</v>
      </c>
      <c r="E10" s="358"/>
      <c r="F10" s="359"/>
      <c r="G10" s="377">
        <v>17.285714285714285</v>
      </c>
      <c r="H10" s="377">
        <v>1416.2272612817371</v>
      </c>
      <c r="I10" s="377">
        <v>81.990777067049422</v>
      </c>
      <c r="J10" s="239" t="s">
        <v>750</v>
      </c>
      <c r="K10" s="771" t="s">
        <v>829</v>
      </c>
      <c r="L10" s="772"/>
      <c r="M10" s="130"/>
    </row>
    <row r="11" spans="1:13" ht="15.75" customHeight="1">
      <c r="A11" s="741"/>
      <c r="B11" s="734"/>
      <c r="C11" s="551">
        <v>4</v>
      </c>
      <c r="D11" s="378" t="s">
        <v>717</v>
      </c>
      <c r="E11" s="358"/>
      <c r="F11" s="359"/>
      <c r="G11" s="377">
        <v>17.428571428571427</v>
      </c>
      <c r="H11" s="377">
        <v>1416.7348143818665</v>
      </c>
      <c r="I11" s="377">
        <v>81.447967642167328</v>
      </c>
      <c r="J11" s="239" t="s">
        <v>750</v>
      </c>
      <c r="K11" s="778"/>
      <c r="L11" s="777"/>
      <c r="M11" s="130"/>
    </row>
    <row r="12" spans="1:13" ht="15.75" customHeight="1">
      <c r="A12" s="741"/>
      <c r="B12" s="734"/>
      <c r="C12" s="551">
        <v>5</v>
      </c>
      <c r="D12" s="357" t="s">
        <v>618</v>
      </c>
      <c r="E12" s="358"/>
      <c r="F12" s="359"/>
      <c r="G12" s="377">
        <v>16.285714285714285</v>
      </c>
      <c r="H12" s="377">
        <v>1316.1416893373132</v>
      </c>
      <c r="I12" s="377">
        <v>80.87740284661588</v>
      </c>
      <c r="J12" s="241" t="s">
        <v>749</v>
      </c>
      <c r="K12" s="771" t="s">
        <v>751</v>
      </c>
      <c r="L12" s="772"/>
      <c r="M12" s="130"/>
    </row>
    <row r="13" spans="1:13" ht="15.75" customHeight="1">
      <c r="A13" s="741"/>
      <c r="B13" s="734"/>
      <c r="C13" s="164" t="s">
        <v>391</v>
      </c>
      <c r="D13" s="378" t="s">
        <v>705</v>
      </c>
      <c r="E13" s="358"/>
      <c r="F13" s="359"/>
      <c r="G13" s="377">
        <v>18.142857142857142</v>
      </c>
      <c r="H13" s="377">
        <v>1346.2163555838363</v>
      </c>
      <c r="I13" s="377">
        <v>74.232011558065466</v>
      </c>
      <c r="J13" s="239" t="s">
        <v>750</v>
      </c>
      <c r="K13" s="778"/>
      <c r="L13" s="777"/>
      <c r="M13" s="130"/>
    </row>
    <row r="14" spans="1:13" ht="15.75" customHeight="1">
      <c r="A14" s="741"/>
      <c r="B14" s="734"/>
      <c r="C14" s="164" t="s">
        <v>392</v>
      </c>
      <c r="D14" s="357" t="s">
        <v>631</v>
      </c>
      <c r="E14" s="358"/>
      <c r="F14" s="359"/>
      <c r="G14" s="377">
        <v>17.714285714285715</v>
      </c>
      <c r="H14" s="377">
        <v>1300.3533457296285</v>
      </c>
      <c r="I14" s="377">
        <v>73.45433324189078</v>
      </c>
      <c r="J14" s="239"/>
      <c r="K14" s="776"/>
      <c r="L14" s="777"/>
      <c r="M14" s="130"/>
    </row>
    <row r="15" spans="1:13" ht="15.75" customHeight="1">
      <c r="A15" s="741"/>
      <c r="B15" s="734"/>
      <c r="C15" s="164" t="s">
        <v>393</v>
      </c>
      <c r="D15" s="357"/>
      <c r="E15" s="358"/>
      <c r="F15" s="359"/>
      <c r="G15" s="377"/>
      <c r="H15" s="377"/>
      <c r="I15" s="377"/>
      <c r="J15" s="239"/>
      <c r="K15" s="776"/>
      <c r="L15" s="777"/>
      <c r="M15" s="130"/>
    </row>
    <row r="16" spans="1:13" ht="15.75" customHeight="1">
      <c r="A16" s="741"/>
      <c r="B16" s="734"/>
      <c r="C16" s="164" t="s">
        <v>394</v>
      </c>
      <c r="D16" s="357"/>
      <c r="E16" s="358"/>
      <c r="F16" s="359"/>
      <c r="G16" s="377"/>
      <c r="H16" s="377"/>
      <c r="I16" s="377"/>
      <c r="J16" s="239"/>
      <c r="K16" s="776"/>
      <c r="L16" s="777"/>
      <c r="M16" s="151"/>
    </row>
    <row r="17" spans="1:13" ht="15.75" customHeight="1">
      <c r="A17" s="742"/>
      <c r="B17" s="735"/>
      <c r="C17" s="164" t="s">
        <v>395</v>
      </c>
      <c r="D17" s="357"/>
      <c r="E17" s="358"/>
      <c r="F17" s="359"/>
      <c r="G17" s="553"/>
      <c r="H17" s="553"/>
      <c r="I17" s="553"/>
      <c r="J17" s="553"/>
      <c r="K17" s="776"/>
      <c r="L17" s="777"/>
      <c r="M17" s="151"/>
    </row>
    <row r="18" spans="1:13" s="161" customFormat="1" ht="15.75" customHeight="1">
      <c r="A18" s="756" t="s">
        <v>168</v>
      </c>
      <c r="B18" s="758"/>
      <c r="C18" s="552" t="s">
        <v>47</v>
      </c>
      <c r="D18" s="756" t="s">
        <v>12</v>
      </c>
      <c r="E18" s="757"/>
      <c r="F18" s="758"/>
      <c r="G18" s="552" t="s">
        <v>46</v>
      </c>
      <c r="H18" s="552" t="s">
        <v>519</v>
      </c>
      <c r="I18" s="552" t="s">
        <v>387</v>
      </c>
      <c r="J18" s="221" t="s">
        <v>388</v>
      </c>
      <c r="K18" s="756" t="s">
        <v>51</v>
      </c>
      <c r="L18" s="758"/>
      <c r="M18" s="154"/>
    </row>
    <row r="19" spans="1:13" ht="15.75" customHeight="1">
      <c r="A19" s="740">
        <v>8</v>
      </c>
      <c r="B19" s="733" t="s">
        <v>136</v>
      </c>
      <c r="C19" s="551">
        <v>1</v>
      </c>
      <c r="D19" s="357" t="s">
        <v>625</v>
      </c>
      <c r="E19" s="358"/>
      <c r="F19" s="359"/>
      <c r="G19" s="377">
        <v>17</v>
      </c>
      <c r="H19" s="377">
        <v>2387.6549431288504</v>
      </c>
      <c r="I19" s="377">
        <v>140.45029077228531</v>
      </c>
      <c r="J19" s="240" t="s">
        <v>748</v>
      </c>
      <c r="K19" s="721" t="s">
        <v>753</v>
      </c>
      <c r="L19" s="722"/>
      <c r="M19" s="151"/>
    </row>
    <row r="20" spans="1:13" ht="15.75" customHeight="1">
      <c r="A20" s="741"/>
      <c r="B20" s="734"/>
      <c r="C20" s="551">
        <v>2</v>
      </c>
      <c r="D20" s="357" t="s">
        <v>637</v>
      </c>
      <c r="E20" s="358"/>
      <c r="F20" s="359"/>
      <c r="G20" s="377">
        <v>17.142857142857142</v>
      </c>
      <c r="H20" s="377">
        <v>2396.2975590124802</v>
      </c>
      <c r="I20" s="377">
        <v>139.89863092230277</v>
      </c>
      <c r="J20" s="241" t="s">
        <v>749</v>
      </c>
      <c r="K20" s="723"/>
      <c r="L20" s="724"/>
      <c r="M20" s="151"/>
    </row>
    <row r="21" spans="1:13" ht="15.75" customHeight="1">
      <c r="A21" s="741"/>
      <c r="B21" s="734"/>
      <c r="C21" s="551">
        <v>3</v>
      </c>
      <c r="D21" s="357" t="s">
        <v>718</v>
      </c>
      <c r="E21" s="358"/>
      <c r="F21" s="359"/>
      <c r="G21" s="377">
        <v>17.285714285714285</v>
      </c>
      <c r="H21" s="377">
        <v>2413.6071851176898</v>
      </c>
      <c r="I21" s="377">
        <v>139.77973464021417</v>
      </c>
      <c r="J21" s="241" t="s">
        <v>749</v>
      </c>
      <c r="K21" s="725"/>
      <c r="L21" s="726"/>
      <c r="M21" s="151"/>
    </row>
    <row r="22" spans="1:13" ht="15.75" customHeight="1">
      <c r="A22" s="741"/>
      <c r="B22" s="734"/>
      <c r="C22" s="551">
        <v>4</v>
      </c>
      <c r="D22" s="357" t="s">
        <v>355</v>
      </c>
      <c r="E22" s="358"/>
      <c r="F22" s="359"/>
      <c r="G22" s="377">
        <v>18.571428571428573</v>
      </c>
      <c r="H22" s="377">
        <v>2536.5337104918026</v>
      </c>
      <c r="I22" s="377">
        <v>136.68861578283685</v>
      </c>
      <c r="J22" s="239" t="s">
        <v>750</v>
      </c>
      <c r="K22" s="784"/>
      <c r="L22" s="785"/>
      <c r="M22" s="151"/>
    </row>
    <row r="23" spans="1:13" ht="15.75" customHeight="1">
      <c r="A23" s="741"/>
      <c r="B23" s="734"/>
      <c r="C23" s="551">
        <v>5</v>
      </c>
      <c r="D23" s="357" t="s">
        <v>356</v>
      </c>
      <c r="E23" s="358"/>
      <c r="F23" s="359"/>
      <c r="G23" s="377">
        <v>18.714285714285715</v>
      </c>
      <c r="H23" s="377">
        <v>2539.0668938005524</v>
      </c>
      <c r="I23" s="377">
        <v>135.73476930233025</v>
      </c>
      <c r="J23" s="239" t="s">
        <v>750</v>
      </c>
      <c r="K23" s="784"/>
      <c r="L23" s="785"/>
      <c r="M23" s="151"/>
    </row>
    <row r="24" spans="1:13" ht="15.75" customHeight="1">
      <c r="A24" s="741"/>
      <c r="B24" s="734"/>
      <c r="C24" s="164" t="s">
        <v>391</v>
      </c>
      <c r="D24" s="357" t="s">
        <v>736</v>
      </c>
      <c r="E24" s="358"/>
      <c r="F24" s="359"/>
      <c r="G24" s="377">
        <v>19.857142857142858</v>
      </c>
      <c r="H24" s="377">
        <v>2184.1772405419101</v>
      </c>
      <c r="I24" s="377">
        <v>110.00793417555175</v>
      </c>
      <c r="J24" s="239" t="s">
        <v>750</v>
      </c>
      <c r="K24" s="779" t="s">
        <v>830</v>
      </c>
      <c r="L24" s="780"/>
      <c r="M24" s="151"/>
    </row>
    <row r="25" spans="1:13" ht="15.75" customHeight="1">
      <c r="A25" s="741"/>
      <c r="B25" s="734"/>
      <c r="C25" s="164" t="s">
        <v>392</v>
      </c>
      <c r="D25" s="560" t="s">
        <v>831</v>
      </c>
      <c r="E25" s="358"/>
      <c r="F25" s="359"/>
      <c r="G25" s="377">
        <v>18.285714285714285</v>
      </c>
      <c r="H25" s="377">
        <v>2070.5075487128156</v>
      </c>
      <c r="I25" s="377">
        <v>113.35062924721338</v>
      </c>
      <c r="J25" s="241" t="s">
        <v>749</v>
      </c>
      <c r="K25" s="781" t="s">
        <v>832</v>
      </c>
      <c r="L25" s="777"/>
      <c r="M25" s="151"/>
    </row>
    <row r="26" spans="1:13" ht="15.75" customHeight="1">
      <c r="A26" s="741"/>
      <c r="B26" s="734"/>
      <c r="C26" s="164" t="s">
        <v>393</v>
      </c>
      <c r="D26" s="357" t="s">
        <v>823</v>
      </c>
      <c r="E26" s="358"/>
      <c r="F26" s="359"/>
      <c r="G26" s="553">
        <v>20</v>
      </c>
      <c r="H26" s="377">
        <v>2332.0479913165282</v>
      </c>
      <c r="I26" s="377">
        <v>116.60239956582642</v>
      </c>
      <c r="J26" s="239" t="s">
        <v>750</v>
      </c>
      <c r="K26" s="782"/>
      <c r="L26" s="783"/>
      <c r="M26" s="151"/>
    </row>
    <row r="27" spans="1:13" ht="15.75" customHeight="1">
      <c r="A27" s="741"/>
      <c r="B27" s="734"/>
      <c r="C27" s="164" t="s">
        <v>394</v>
      </c>
      <c r="D27" s="357" t="s">
        <v>354</v>
      </c>
      <c r="E27" s="358"/>
      <c r="F27" s="359"/>
      <c r="G27" s="377">
        <v>20</v>
      </c>
      <c r="H27" s="377">
        <v>2359.3893427420103</v>
      </c>
      <c r="I27" s="377">
        <v>117.96946713710051</v>
      </c>
      <c r="J27" s="240" t="s">
        <v>748</v>
      </c>
      <c r="K27" s="767" t="s">
        <v>751</v>
      </c>
      <c r="L27" s="768"/>
      <c r="M27" s="151"/>
    </row>
    <row r="28" spans="1:13" ht="15.75" customHeight="1">
      <c r="A28" s="742"/>
      <c r="B28" s="735"/>
      <c r="C28" s="164" t="s">
        <v>395</v>
      </c>
      <c r="D28" s="357" t="s">
        <v>524</v>
      </c>
      <c r="E28" s="358"/>
      <c r="F28" s="359"/>
      <c r="G28" s="377">
        <v>17.714285714285715</v>
      </c>
      <c r="H28" s="377">
        <v>2171.1908479022945</v>
      </c>
      <c r="I28" s="377">
        <v>122.67445987078906</v>
      </c>
      <c r="J28" s="240" t="s">
        <v>748</v>
      </c>
      <c r="K28" s="769"/>
      <c r="L28" s="770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11:L11"/>
    <mergeCell ref="K12:L12"/>
    <mergeCell ref="K19:L21"/>
    <mergeCell ref="K27:L28"/>
    <mergeCell ref="K22:L22"/>
    <mergeCell ref="A18:B18"/>
    <mergeCell ref="D18:F18"/>
    <mergeCell ref="K18:L18"/>
    <mergeCell ref="A19:A28"/>
    <mergeCell ref="B19:B28"/>
    <mergeCell ref="K24:L24"/>
    <mergeCell ref="K25:L25"/>
    <mergeCell ref="K26:L26"/>
    <mergeCell ref="K23:L23"/>
    <mergeCell ref="A1:L2"/>
    <mergeCell ref="K8:L8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  <mergeCell ref="K9:L9"/>
    <mergeCell ref="K13:L13"/>
    <mergeCell ref="K10:L10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P10" sqref="P10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588" t="s">
        <v>186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119"/>
    </row>
    <row r="2" spans="1:22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</row>
    <row r="3" spans="1:22" ht="15.75" customHeight="1">
      <c r="A3" s="731" t="s">
        <v>187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151"/>
    </row>
    <row r="4" spans="1:22" s="120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130"/>
    </row>
    <row r="5" spans="1:22" s="153" customFormat="1" ht="16.350000000000001" customHeight="1">
      <c r="A5" s="740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540"/>
      <c r="V5" s="541"/>
    </row>
    <row r="6" spans="1:22" ht="16.350000000000001" customHeight="1">
      <c r="A6" s="742"/>
      <c r="B6" s="156" t="s">
        <v>188</v>
      </c>
      <c r="C6" s="156" t="s">
        <v>151</v>
      </c>
      <c r="D6" s="156" t="s">
        <v>189</v>
      </c>
      <c r="E6" s="156" t="s">
        <v>153</v>
      </c>
      <c r="F6" s="157" t="s">
        <v>133</v>
      </c>
      <c r="G6" s="158" t="s">
        <v>131</v>
      </c>
      <c r="H6" s="159" t="s">
        <v>190</v>
      </c>
      <c r="I6" s="158" t="s">
        <v>191</v>
      </c>
      <c r="J6" s="168" t="s">
        <v>137</v>
      </c>
      <c r="K6" s="154"/>
      <c r="L6" s="154"/>
      <c r="M6" s="130"/>
      <c r="U6" s="250"/>
      <c r="V6" s="542"/>
    </row>
    <row r="7" spans="1:22" s="153" customFormat="1" ht="15.75" customHeight="1">
      <c r="A7" s="773" t="s">
        <v>559</v>
      </c>
      <c r="B7" s="774"/>
      <c r="C7" s="361" t="s">
        <v>560</v>
      </c>
      <c r="D7" s="773" t="s">
        <v>12</v>
      </c>
      <c r="E7" s="775"/>
      <c r="F7" s="774"/>
      <c r="G7" s="381" t="s">
        <v>571</v>
      </c>
      <c r="H7" s="381" t="s">
        <v>572</v>
      </c>
      <c r="I7" s="381" t="s">
        <v>573</v>
      </c>
      <c r="J7" s="221" t="s">
        <v>574</v>
      </c>
      <c r="K7" s="773" t="s">
        <v>575</v>
      </c>
      <c r="L7" s="774"/>
      <c r="M7" s="152"/>
      <c r="U7" s="540"/>
      <c r="V7" s="541"/>
    </row>
    <row r="8" spans="1:22" ht="15.75" customHeight="1">
      <c r="A8" s="740">
        <v>9</v>
      </c>
      <c r="B8" s="733" t="str">
        <f>J6</f>
        <v>微波小吃</v>
      </c>
      <c r="C8" s="551">
        <v>1</v>
      </c>
      <c r="D8" s="357" t="s">
        <v>398</v>
      </c>
      <c r="E8" s="358"/>
      <c r="F8" s="359"/>
      <c r="G8" s="493">
        <v>7</v>
      </c>
      <c r="H8" s="493">
        <v>1483.2074240474299</v>
      </c>
      <c r="I8" s="493">
        <v>211.88677486391856</v>
      </c>
      <c r="J8" s="240" t="s">
        <v>748</v>
      </c>
      <c r="K8" s="790" t="s">
        <v>833</v>
      </c>
      <c r="L8" s="791"/>
      <c r="M8" s="130"/>
      <c r="U8" s="250"/>
      <c r="V8" s="542"/>
    </row>
    <row r="9" spans="1:22" ht="15.75" customHeight="1">
      <c r="A9" s="741"/>
      <c r="B9" s="734"/>
      <c r="C9" s="551">
        <v>2</v>
      </c>
      <c r="D9" s="357" t="s">
        <v>359</v>
      </c>
      <c r="E9" s="358"/>
      <c r="F9" s="359"/>
      <c r="G9" s="493">
        <v>7</v>
      </c>
      <c r="H9" s="493">
        <v>1476.7643870849358</v>
      </c>
      <c r="I9" s="493">
        <v>210.96634101213371</v>
      </c>
      <c r="J9" s="241" t="s">
        <v>749</v>
      </c>
      <c r="K9" s="792"/>
      <c r="L9" s="793"/>
      <c r="M9" s="130"/>
      <c r="U9" s="250"/>
      <c r="V9" s="542"/>
    </row>
    <row r="10" spans="1:22" ht="15.75" customHeight="1">
      <c r="A10" s="741"/>
      <c r="B10" s="734"/>
      <c r="C10" s="551">
        <v>3</v>
      </c>
      <c r="D10" s="357" t="s">
        <v>747</v>
      </c>
      <c r="E10" s="358"/>
      <c r="F10" s="359"/>
      <c r="G10" s="493">
        <v>7</v>
      </c>
      <c r="H10" s="493">
        <v>1475.8955738726011</v>
      </c>
      <c r="I10" s="493">
        <v>210.842224838943</v>
      </c>
      <c r="J10" s="239" t="s">
        <v>750</v>
      </c>
      <c r="K10" s="792"/>
      <c r="L10" s="793"/>
      <c r="M10" s="130"/>
      <c r="U10" s="250"/>
      <c r="V10" s="542"/>
    </row>
    <row r="11" spans="1:22" ht="15.75" customHeight="1">
      <c r="A11" s="741"/>
      <c r="B11" s="734"/>
      <c r="C11" s="551">
        <v>4</v>
      </c>
      <c r="D11" s="378" t="s">
        <v>581</v>
      </c>
      <c r="E11" s="358"/>
      <c r="F11" s="359"/>
      <c r="G11" s="493">
        <v>7</v>
      </c>
      <c r="H11" s="493">
        <v>1473.8408991708789</v>
      </c>
      <c r="I11" s="493">
        <v>210.54869988155411</v>
      </c>
      <c r="J11" s="239" t="s">
        <v>750</v>
      </c>
      <c r="K11" s="792"/>
      <c r="L11" s="793"/>
      <c r="M11" s="130"/>
      <c r="U11" s="250"/>
      <c r="V11" s="542"/>
    </row>
    <row r="12" spans="1:22" ht="15.75" customHeight="1">
      <c r="A12" s="741"/>
      <c r="B12" s="734"/>
      <c r="C12" s="551">
        <v>5</v>
      </c>
      <c r="D12" s="378" t="s">
        <v>358</v>
      </c>
      <c r="E12" s="358"/>
      <c r="F12" s="359"/>
      <c r="G12" s="493">
        <v>7</v>
      </c>
      <c r="H12" s="493">
        <v>1465.0033444816054</v>
      </c>
      <c r="I12" s="493">
        <v>209.2861920688008</v>
      </c>
      <c r="J12" s="239" t="s">
        <v>750</v>
      </c>
      <c r="K12" s="794"/>
      <c r="L12" s="795"/>
      <c r="M12" s="130"/>
    </row>
    <row r="13" spans="1:22" ht="15.75" customHeight="1">
      <c r="A13" s="741"/>
      <c r="B13" s="734"/>
      <c r="C13" s="164" t="s">
        <v>391</v>
      </c>
      <c r="D13" s="378" t="s">
        <v>330</v>
      </c>
      <c r="E13" s="358"/>
      <c r="F13" s="359"/>
      <c r="G13" s="493">
        <v>18.857142857142858</v>
      </c>
      <c r="H13" s="493">
        <v>1304.5297981697163</v>
      </c>
      <c r="I13" s="493">
        <v>69.315336697781603</v>
      </c>
      <c r="J13" s="239" t="s">
        <v>750</v>
      </c>
      <c r="K13" s="788"/>
      <c r="L13" s="788"/>
      <c r="M13" s="130"/>
    </row>
    <row r="14" spans="1:22" ht="15.75" customHeight="1">
      <c r="A14" s="741"/>
      <c r="B14" s="734"/>
      <c r="C14" s="164" t="s">
        <v>392</v>
      </c>
      <c r="D14" s="357" t="s">
        <v>719</v>
      </c>
      <c r="E14" s="358"/>
      <c r="F14" s="359"/>
      <c r="G14" s="493">
        <v>16</v>
      </c>
      <c r="H14" s="493">
        <v>1125.680600633611</v>
      </c>
      <c r="I14" s="493">
        <v>70.355037539600687</v>
      </c>
      <c r="J14" s="239" t="s">
        <v>750</v>
      </c>
      <c r="K14" s="786"/>
      <c r="L14" s="787"/>
      <c r="M14" s="130"/>
    </row>
    <row r="15" spans="1:22" ht="15.75" customHeight="1">
      <c r="A15" s="741"/>
      <c r="B15" s="734"/>
      <c r="C15" s="164" t="s">
        <v>393</v>
      </c>
      <c r="D15" s="357" t="s">
        <v>360</v>
      </c>
      <c r="E15" s="358"/>
      <c r="F15" s="359"/>
      <c r="G15" s="377">
        <v>16.428571428571427</v>
      </c>
      <c r="H15" s="377">
        <v>1370.2781980525056</v>
      </c>
      <c r="I15" s="377">
        <v>83.465999082916611</v>
      </c>
      <c r="J15" s="239" t="s">
        <v>750</v>
      </c>
      <c r="K15" s="786"/>
      <c r="L15" s="789"/>
      <c r="M15" s="130"/>
    </row>
    <row r="16" spans="1:22" ht="15.75" customHeight="1">
      <c r="A16" s="741"/>
      <c r="B16" s="734"/>
      <c r="C16" s="164" t="s">
        <v>394</v>
      </c>
      <c r="D16" s="378" t="s">
        <v>702</v>
      </c>
      <c r="E16" s="358"/>
      <c r="F16" s="359"/>
      <c r="G16" s="377">
        <v>12</v>
      </c>
      <c r="H16" s="377">
        <v>1419.5452718595766</v>
      </c>
      <c r="I16" s="377">
        <v>118.29543932163138</v>
      </c>
      <c r="J16" s="239" t="s">
        <v>750</v>
      </c>
      <c r="K16" s="786"/>
      <c r="L16" s="789"/>
      <c r="M16" s="151"/>
    </row>
    <row r="17" spans="1:13" ht="15.75" customHeight="1">
      <c r="A17" s="742"/>
      <c r="B17" s="735"/>
      <c r="C17" s="164" t="s">
        <v>395</v>
      </c>
      <c r="D17" s="378" t="s">
        <v>703</v>
      </c>
      <c r="E17" s="358"/>
      <c r="F17" s="359"/>
      <c r="G17" s="553">
        <v>12</v>
      </c>
      <c r="H17" s="377">
        <v>1522.5542575124782</v>
      </c>
      <c r="I17" s="377">
        <v>126.87952145937321</v>
      </c>
      <c r="J17" s="239" t="s">
        <v>750</v>
      </c>
      <c r="K17" s="786"/>
      <c r="L17" s="789"/>
      <c r="M17" s="151"/>
    </row>
    <row r="18" spans="1:13" s="161" customFormat="1" ht="15.75" customHeight="1">
      <c r="A18" s="756" t="s">
        <v>169</v>
      </c>
      <c r="B18" s="758"/>
      <c r="C18" s="270" t="s">
        <v>390</v>
      </c>
      <c r="D18" s="756" t="s">
        <v>12</v>
      </c>
      <c r="E18" s="757"/>
      <c r="F18" s="758"/>
      <c r="G18" s="388" t="s">
        <v>607</v>
      </c>
      <c r="H18" s="388" t="s">
        <v>608</v>
      </c>
      <c r="I18" s="388" t="s">
        <v>609</v>
      </c>
      <c r="J18" s="221" t="s">
        <v>610</v>
      </c>
      <c r="K18" s="756" t="s">
        <v>611</v>
      </c>
      <c r="L18" s="758"/>
      <c r="M18" s="154"/>
    </row>
    <row r="19" spans="1:13" ht="15.75" customHeight="1">
      <c r="A19" s="740"/>
      <c r="B19" s="733"/>
      <c r="C19" s="269">
        <v>1</v>
      </c>
      <c r="D19" s="357"/>
      <c r="E19" s="358"/>
      <c r="F19" s="359"/>
      <c r="G19" s="387"/>
      <c r="H19" s="387"/>
      <c r="I19" s="387"/>
      <c r="J19" s="387"/>
      <c r="K19" s="746"/>
      <c r="L19" s="747"/>
      <c r="M19" s="151"/>
    </row>
    <row r="20" spans="1:13" ht="15.75" customHeight="1">
      <c r="A20" s="741"/>
      <c r="B20" s="734"/>
      <c r="C20" s="269">
        <v>2</v>
      </c>
      <c r="D20" s="357"/>
      <c r="E20" s="358"/>
      <c r="F20" s="359"/>
      <c r="G20" s="387"/>
      <c r="H20" s="387"/>
      <c r="I20" s="387"/>
      <c r="J20" s="387"/>
      <c r="K20" s="738"/>
      <c r="L20" s="739"/>
      <c r="M20" s="151"/>
    </row>
    <row r="21" spans="1:13" ht="15.75" customHeight="1">
      <c r="A21" s="741"/>
      <c r="B21" s="734"/>
      <c r="C21" s="269">
        <v>3</v>
      </c>
      <c r="D21" s="357"/>
      <c r="E21" s="358"/>
      <c r="F21" s="359"/>
      <c r="G21" s="387"/>
      <c r="H21" s="387"/>
      <c r="I21" s="387"/>
      <c r="J21" s="387"/>
      <c r="K21" s="738"/>
      <c r="L21" s="739"/>
      <c r="M21" s="151"/>
    </row>
    <row r="22" spans="1:13" ht="15.75" customHeight="1">
      <c r="A22" s="741"/>
      <c r="B22" s="734"/>
      <c r="C22" s="269">
        <v>4</v>
      </c>
      <c r="D22" s="738"/>
      <c r="E22" s="796"/>
      <c r="F22" s="739"/>
      <c r="G22" s="268"/>
      <c r="H22" s="268"/>
      <c r="I22" s="268"/>
      <c r="J22" s="268"/>
      <c r="K22" s="738"/>
      <c r="L22" s="739"/>
      <c r="M22" s="151"/>
    </row>
    <row r="23" spans="1:13" ht="15.75" customHeight="1">
      <c r="A23" s="741"/>
      <c r="B23" s="734"/>
      <c r="C23" s="269">
        <v>5</v>
      </c>
      <c r="D23" s="738"/>
      <c r="E23" s="796"/>
      <c r="F23" s="739"/>
      <c r="G23" s="268"/>
      <c r="H23" s="268"/>
      <c r="I23" s="268"/>
      <c r="J23" s="268"/>
      <c r="K23" s="738"/>
      <c r="L23" s="739"/>
      <c r="M23" s="151"/>
    </row>
    <row r="24" spans="1:13" ht="15.75" customHeight="1">
      <c r="A24" s="741"/>
      <c r="B24" s="734"/>
      <c r="C24" s="164" t="s">
        <v>391</v>
      </c>
      <c r="D24" s="746"/>
      <c r="E24" s="797"/>
      <c r="F24" s="747"/>
      <c r="G24" s="268"/>
      <c r="H24" s="268"/>
      <c r="I24" s="268"/>
      <c r="J24" s="268"/>
      <c r="K24" s="746"/>
      <c r="L24" s="747"/>
      <c r="M24" s="151"/>
    </row>
    <row r="25" spans="1:13" ht="15.75" customHeight="1">
      <c r="A25" s="741"/>
      <c r="B25" s="734"/>
      <c r="C25" s="164" t="s">
        <v>392</v>
      </c>
      <c r="D25" s="738"/>
      <c r="E25" s="796"/>
      <c r="F25" s="739"/>
      <c r="G25" s="268"/>
      <c r="H25" s="268"/>
      <c r="I25" s="268"/>
      <c r="J25" s="268"/>
      <c r="K25" s="738"/>
      <c r="L25" s="739"/>
      <c r="M25" s="151"/>
    </row>
    <row r="26" spans="1:13" ht="15.75" customHeight="1">
      <c r="A26" s="741"/>
      <c r="B26" s="734"/>
      <c r="C26" s="164" t="s">
        <v>393</v>
      </c>
      <c r="D26" s="738"/>
      <c r="E26" s="796"/>
      <c r="F26" s="739"/>
      <c r="G26" s="268"/>
      <c r="H26" s="268"/>
      <c r="I26" s="268"/>
      <c r="J26" s="268"/>
      <c r="K26" s="738"/>
      <c r="L26" s="739"/>
      <c r="M26" s="151"/>
    </row>
    <row r="27" spans="1:13" ht="15.75" customHeight="1">
      <c r="A27" s="741"/>
      <c r="B27" s="734"/>
      <c r="C27" s="164" t="s">
        <v>394</v>
      </c>
      <c r="D27" s="738"/>
      <c r="E27" s="796"/>
      <c r="F27" s="739"/>
      <c r="G27" s="268"/>
      <c r="H27" s="268"/>
      <c r="I27" s="268"/>
      <c r="J27" s="268"/>
      <c r="K27" s="738"/>
      <c r="L27" s="739"/>
      <c r="M27" s="151"/>
    </row>
    <row r="28" spans="1:13" ht="15.75" customHeight="1">
      <c r="A28" s="742"/>
      <c r="B28" s="735"/>
      <c r="C28" s="164" t="s">
        <v>395</v>
      </c>
      <c r="D28" s="738"/>
      <c r="E28" s="796"/>
      <c r="F28" s="739"/>
      <c r="G28" s="268"/>
      <c r="H28" s="268"/>
      <c r="I28" s="268"/>
      <c r="J28" s="268"/>
      <c r="K28" s="738"/>
      <c r="L28" s="739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6">
    <mergeCell ref="K25:L25"/>
    <mergeCell ref="K22:L22"/>
    <mergeCell ref="D23:F23"/>
    <mergeCell ref="K24:L24"/>
    <mergeCell ref="K23:L23"/>
    <mergeCell ref="D24:F24"/>
    <mergeCell ref="A18:B18"/>
    <mergeCell ref="D18:F18"/>
    <mergeCell ref="K18:L18"/>
    <mergeCell ref="A19:A28"/>
    <mergeCell ref="B19:B28"/>
    <mergeCell ref="K19:L19"/>
    <mergeCell ref="K20:L20"/>
    <mergeCell ref="D28:F28"/>
    <mergeCell ref="K28:L28"/>
    <mergeCell ref="D25:F25"/>
    <mergeCell ref="D26:F26"/>
    <mergeCell ref="K26:L26"/>
    <mergeCell ref="K21:L21"/>
    <mergeCell ref="D27:F27"/>
    <mergeCell ref="K27:L27"/>
    <mergeCell ref="D22:F22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8:L12"/>
    <mergeCell ref="K16:L16"/>
    <mergeCell ref="K17:L1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800" t="s">
        <v>218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</row>
    <row r="2" spans="1:14" s="183" customFormat="1" ht="15.75" customHeight="1">
      <c r="A2" s="800"/>
      <c r="B2" s="800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</row>
    <row r="3" spans="1:14" ht="15.75" customHeight="1">
      <c r="A3" s="801" t="s">
        <v>219</v>
      </c>
      <c r="B3" s="801"/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184"/>
    </row>
    <row r="4" spans="1:14" s="183" customFormat="1" ht="15.75" customHeight="1">
      <c r="A4" s="801"/>
      <c r="B4" s="801"/>
      <c r="C4" s="801"/>
      <c r="D4" s="801"/>
      <c r="E4" s="801"/>
      <c r="F4" s="801"/>
      <c r="G4" s="801"/>
      <c r="H4" s="801"/>
      <c r="I4" s="801"/>
      <c r="J4" s="801"/>
      <c r="K4" s="801"/>
      <c r="L4" s="801"/>
      <c r="M4" s="801"/>
      <c r="N4" s="185"/>
    </row>
    <row r="5" spans="1:14" ht="15.75" customHeight="1">
      <c r="A5" s="186" t="s">
        <v>220</v>
      </c>
      <c r="B5" s="187">
        <v>212376150</v>
      </c>
    </row>
    <row r="6" spans="1:14" ht="15.75" customHeight="1">
      <c r="A6" s="802" t="s">
        <v>221</v>
      </c>
      <c r="B6" s="803" t="s">
        <v>10</v>
      </c>
      <c r="C6" s="803"/>
      <c r="D6" s="804"/>
      <c r="E6" s="802" t="s">
        <v>221</v>
      </c>
      <c r="F6" s="806">
        <v>1</v>
      </c>
      <c r="G6" s="806"/>
      <c r="H6" s="806">
        <v>2</v>
      </c>
      <c r="I6" s="806"/>
      <c r="J6" s="806">
        <v>3</v>
      </c>
      <c r="K6" s="806"/>
      <c r="L6" s="806">
        <v>4</v>
      </c>
      <c r="M6" s="806"/>
    </row>
    <row r="7" spans="1:14" ht="31.35" customHeight="1">
      <c r="A7" s="802"/>
      <c r="B7" s="803"/>
      <c r="C7" s="803"/>
      <c r="D7" s="805"/>
      <c r="E7" s="802"/>
      <c r="F7" s="798" t="s">
        <v>232</v>
      </c>
      <c r="G7" s="798"/>
      <c r="H7" s="798" t="s">
        <v>222</v>
      </c>
      <c r="I7" s="798"/>
      <c r="J7" s="798" t="s">
        <v>223</v>
      </c>
      <c r="K7" s="798"/>
      <c r="L7" s="798" t="s">
        <v>224</v>
      </c>
      <c r="M7" s="798"/>
    </row>
    <row r="8" spans="1:14" ht="15.75" customHeight="1">
      <c r="A8" s="802"/>
      <c r="B8" s="215" t="s">
        <v>11</v>
      </c>
      <c r="C8" s="215" t="s">
        <v>225</v>
      </c>
      <c r="D8" s="805"/>
      <c r="E8" s="802"/>
      <c r="F8" s="215" t="s">
        <v>11</v>
      </c>
      <c r="G8" s="215" t="s">
        <v>225</v>
      </c>
      <c r="H8" s="215" t="s">
        <v>11</v>
      </c>
      <c r="I8" s="215" t="s">
        <v>225</v>
      </c>
      <c r="J8" s="215" t="s">
        <v>11</v>
      </c>
      <c r="K8" s="215" t="s">
        <v>225</v>
      </c>
      <c r="L8" s="215" t="s">
        <v>11</v>
      </c>
      <c r="M8" s="215" t="s">
        <v>225</v>
      </c>
    </row>
    <row r="9" spans="1:14" s="193" customFormat="1" ht="19.350000000000001" customHeight="1">
      <c r="A9" s="188" t="s">
        <v>226</v>
      </c>
      <c r="B9" s="189">
        <v>47927.00699999994</v>
      </c>
      <c r="C9" s="190">
        <f>B9/$B$5</f>
        <v>2.256703824793883E-4</v>
      </c>
      <c r="D9" s="805"/>
      <c r="E9" s="188" t="s">
        <v>226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227</v>
      </c>
      <c r="B10" s="195">
        <v>69974.579191980054</v>
      </c>
      <c r="C10" s="190">
        <f>B10/$B$5</f>
        <v>3.2948416849999424E-4</v>
      </c>
      <c r="D10" s="805"/>
      <c r="E10" s="194" t="s">
        <v>227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805"/>
      <c r="E11" s="802" t="s">
        <v>221</v>
      </c>
      <c r="F11" s="806">
        <v>5</v>
      </c>
      <c r="G11" s="806"/>
      <c r="H11" s="806">
        <v>6</v>
      </c>
      <c r="I11" s="806"/>
      <c r="J11" s="806">
        <v>7</v>
      </c>
      <c r="K11" s="806"/>
      <c r="L11" s="807">
        <v>8</v>
      </c>
      <c r="M11" s="807"/>
    </row>
    <row r="12" spans="1:14" ht="31.35" customHeight="1">
      <c r="D12" s="805"/>
      <c r="E12" s="802"/>
      <c r="F12" s="798" t="s">
        <v>228</v>
      </c>
      <c r="G12" s="798"/>
      <c r="H12" s="798" t="s">
        <v>229</v>
      </c>
      <c r="I12" s="798"/>
      <c r="J12" s="798" t="s">
        <v>230</v>
      </c>
      <c r="K12" s="798"/>
      <c r="L12" s="799" t="s">
        <v>231</v>
      </c>
      <c r="M12" s="799"/>
    </row>
    <row r="13" spans="1:14" ht="15.75" customHeight="1">
      <c r="D13" s="805"/>
      <c r="E13" s="802"/>
      <c r="F13" s="215" t="s">
        <v>11</v>
      </c>
      <c r="G13" s="215" t="s">
        <v>225</v>
      </c>
      <c r="H13" s="215" t="s">
        <v>11</v>
      </c>
      <c r="I13" s="215" t="s">
        <v>225</v>
      </c>
      <c r="J13" s="215" t="s">
        <v>11</v>
      </c>
      <c r="K13" s="215" t="s">
        <v>225</v>
      </c>
      <c r="L13" s="215" t="s">
        <v>11</v>
      </c>
      <c r="M13" s="215" t="s">
        <v>225</v>
      </c>
    </row>
    <row r="14" spans="1:14" s="193" customFormat="1" ht="19.350000000000001" customHeight="1">
      <c r="D14" s="805"/>
      <c r="E14" s="188" t="s">
        <v>226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805"/>
      <c r="E15" s="194" t="s">
        <v>227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A6" sqref="A6:S16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800" t="s">
        <v>218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</row>
    <row r="2" spans="1:19" s="183" customFormat="1" ht="15.75" customHeight="1">
      <c r="A2" s="800"/>
      <c r="B2" s="800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</row>
    <row r="3" spans="1:19" ht="15.75" customHeight="1">
      <c r="A3" s="801" t="s">
        <v>639</v>
      </c>
      <c r="B3" s="801"/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</row>
    <row r="4" spans="1:19" s="183" customFormat="1" ht="15.75" customHeight="1">
      <c r="A4" s="801"/>
      <c r="B4" s="801"/>
      <c r="C4" s="801"/>
      <c r="D4" s="801"/>
      <c r="E4" s="801"/>
      <c r="F4" s="801"/>
      <c r="G4" s="801"/>
      <c r="H4" s="801"/>
      <c r="I4" s="801"/>
      <c r="J4" s="801"/>
      <c r="K4" s="801"/>
      <c r="L4" s="801"/>
      <c r="M4" s="801"/>
    </row>
    <row r="5" spans="1:19" ht="15.75" customHeight="1" thickBot="1"/>
    <row r="6" spans="1:19" ht="15.75" customHeight="1" thickBot="1">
      <c r="A6" s="423" t="s">
        <v>773</v>
      </c>
      <c r="B6" s="424">
        <v>67337724</v>
      </c>
      <c r="C6" s="425" t="s">
        <v>774</v>
      </c>
      <c r="E6" s="810" t="s">
        <v>775</v>
      </c>
      <c r="F6" s="811"/>
      <c r="G6" s="811"/>
      <c r="H6" s="811"/>
      <c r="I6" s="811"/>
      <c r="J6" s="811"/>
      <c r="K6" s="811"/>
      <c r="L6" s="811"/>
      <c r="M6" s="811"/>
      <c r="N6" s="811"/>
      <c r="O6" s="811"/>
      <c r="P6" s="811"/>
      <c r="Q6" s="811"/>
      <c r="R6" s="811"/>
      <c r="S6" s="812"/>
    </row>
    <row r="7" spans="1:19" ht="15.75" customHeight="1">
      <c r="A7" s="813" t="s">
        <v>776</v>
      </c>
      <c r="B7" s="803" t="s">
        <v>10</v>
      </c>
      <c r="C7" s="814"/>
      <c r="D7" s="805"/>
      <c r="E7" s="815" t="s">
        <v>776</v>
      </c>
      <c r="F7" s="817">
        <v>1</v>
      </c>
      <c r="G7" s="818"/>
      <c r="H7" s="819">
        <v>2</v>
      </c>
      <c r="I7" s="820"/>
      <c r="J7" s="820">
        <v>3</v>
      </c>
      <c r="K7" s="821"/>
      <c r="L7" s="817">
        <v>4</v>
      </c>
      <c r="M7" s="818"/>
      <c r="N7" s="822">
        <v>5</v>
      </c>
      <c r="O7" s="823"/>
      <c r="P7" s="824">
        <v>6</v>
      </c>
      <c r="Q7" s="819"/>
      <c r="R7" s="821">
        <v>7</v>
      </c>
      <c r="S7" s="823"/>
    </row>
    <row r="8" spans="1:19" ht="15.75" customHeight="1">
      <c r="A8" s="813"/>
      <c r="B8" s="803"/>
      <c r="C8" s="814"/>
      <c r="D8" s="805"/>
      <c r="E8" s="816"/>
      <c r="F8" s="825" t="s">
        <v>777</v>
      </c>
      <c r="G8" s="826"/>
      <c r="H8" s="827" t="s">
        <v>778</v>
      </c>
      <c r="I8" s="798"/>
      <c r="J8" s="798" t="s">
        <v>779</v>
      </c>
      <c r="K8" s="808"/>
      <c r="L8" s="825" t="s">
        <v>780</v>
      </c>
      <c r="M8" s="826"/>
      <c r="N8" s="828" t="s">
        <v>781</v>
      </c>
      <c r="O8" s="809"/>
      <c r="P8" s="829" t="s">
        <v>782</v>
      </c>
      <c r="Q8" s="827"/>
      <c r="R8" s="808" t="s">
        <v>783</v>
      </c>
      <c r="S8" s="809"/>
    </row>
    <row r="9" spans="1:19" ht="15.75" customHeight="1">
      <c r="A9" s="813"/>
      <c r="B9" s="544" t="s">
        <v>11</v>
      </c>
      <c r="C9" s="536" t="s">
        <v>784</v>
      </c>
      <c r="D9" s="805"/>
      <c r="E9" s="816"/>
      <c r="F9" s="426" t="s">
        <v>11</v>
      </c>
      <c r="G9" s="536" t="s">
        <v>784</v>
      </c>
      <c r="H9" s="427" t="s">
        <v>11</v>
      </c>
      <c r="I9" s="544" t="s">
        <v>784</v>
      </c>
      <c r="J9" s="544" t="s">
        <v>11</v>
      </c>
      <c r="K9" s="428" t="s">
        <v>784</v>
      </c>
      <c r="L9" s="426" t="s">
        <v>11</v>
      </c>
      <c r="M9" s="536" t="s">
        <v>784</v>
      </c>
      <c r="N9" s="426" t="s">
        <v>11</v>
      </c>
      <c r="O9" s="536" t="s">
        <v>784</v>
      </c>
      <c r="P9" s="427" t="s">
        <v>11</v>
      </c>
      <c r="Q9" s="544" t="s">
        <v>784</v>
      </c>
      <c r="R9" s="544" t="s">
        <v>11</v>
      </c>
      <c r="S9" s="536" t="s">
        <v>784</v>
      </c>
    </row>
    <row r="10" spans="1:19" ht="15.75" customHeight="1">
      <c r="A10" s="262" t="s">
        <v>785</v>
      </c>
      <c r="B10" s="263">
        <v>163325.77840000007</v>
      </c>
      <c r="C10" s="429">
        <v>2.4254722122773274E-3</v>
      </c>
      <c r="D10" s="805"/>
      <c r="E10" s="430" t="s">
        <v>785</v>
      </c>
      <c r="F10" s="431">
        <v>0</v>
      </c>
      <c r="G10" s="265">
        <v>0</v>
      </c>
      <c r="H10" s="432">
        <v>0</v>
      </c>
      <c r="I10" s="192">
        <v>0</v>
      </c>
      <c r="J10" s="264">
        <v>1949.223</v>
      </c>
      <c r="K10" s="433">
        <v>1.1934570397247218E-2</v>
      </c>
      <c r="L10" s="431">
        <v>9254.42</v>
      </c>
      <c r="M10" s="265">
        <v>5.6662335184682618E-2</v>
      </c>
      <c r="N10" s="431">
        <v>7239.6980000000012</v>
      </c>
      <c r="O10" s="265">
        <v>4.4326731952070084E-2</v>
      </c>
      <c r="P10" s="432">
        <v>1067.712</v>
      </c>
      <c r="Q10" s="192">
        <v>6.5373146263847806E-3</v>
      </c>
      <c r="R10" s="264">
        <v>1122.24</v>
      </c>
      <c r="S10" s="265">
        <v>6.8711749669518154E-3</v>
      </c>
    </row>
    <row r="11" spans="1:19" ht="15.75" customHeight="1" thickBot="1">
      <c r="A11" s="434" t="s">
        <v>786</v>
      </c>
      <c r="B11" s="435">
        <v>263378.36954377615</v>
      </c>
      <c r="C11" s="436">
        <v>3.9113048956596176E-3</v>
      </c>
      <c r="D11" s="805"/>
      <c r="E11" s="437" t="s">
        <v>786</v>
      </c>
      <c r="F11" s="438">
        <v>0</v>
      </c>
      <c r="G11" s="267">
        <v>0</v>
      </c>
      <c r="H11" s="438">
        <v>1378.0689484536178</v>
      </c>
      <c r="I11" s="266">
        <v>5.2322783789751151E-3</v>
      </c>
      <c r="J11" s="438">
        <v>0</v>
      </c>
      <c r="K11" s="439">
        <v>0</v>
      </c>
      <c r="L11" s="438">
        <v>14187.858040000026</v>
      </c>
      <c r="M11" s="267">
        <v>5.386872910093652E-2</v>
      </c>
      <c r="N11" s="438">
        <v>12242.741329999997</v>
      </c>
      <c r="O11" s="267">
        <v>4.6483473002004172E-2</v>
      </c>
      <c r="P11" s="438">
        <v>1688.7644800000005</v>
      </c>
      <c r="Q11" s="266">
        <v>6.411933079110776E-3</v>
      </c>
      <c r="R11" s="438">
        <v>4336.3148299999921</v>
      </c>
      <c r="S11" s="267">
        <v>1.6464202574840728E-2</v>
      </c>
    </row>
    <row r="12" spans="1:19" ht="15.75" customHeight="1">
      <c r="A12" s="476"/>
      <c r="B12" s="184"/>
      <c r="C12" s="184"/>
      <c r="D12" s="805"/>
    </row>
    <row r="13" spans="1:19" ht="15.75" customHeight="1">
      <c r="A13" s="476"/>
      <c r="B13" s="184"/>
      <c r="C13" s="184"/>
      <c r="D13" s="805"/>
    </row>
    <row r="14" spans="1:19" ht="15.75" customHeight="1">
      <c r="A14" s="476"/>
      <c r="B14" s="184"/>
      <c r="C14" s="184"/>
      <c r="D14" s="805"/>
    </row>
    <row r="15" spans="1:19" ht="15.75" customHeight="1">
      <c r="A15" s="477"/>
      <c r="B15" s="478"/>
      <c r="C15" s="478"/>
      <c r="D15" s="805"/>
    </row>
    <row r="16" spans="1:19" ht="15.75" customHeight="1">
      <c r="A16" s="477"/>
      <c r="B16" s="478"/>
      <c r="C16" s="478"/>
      <c r="D16" s="805"/>
    </row>
  </sheetData>
  <mergeCells count="21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588" t="s">
        <v>186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731" t="s">
        <v>192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151"/>
    </row>
    <row r="4" spans="1:17" s="120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  <c r="N4" s="130"/>
    </row>
    <row r="5" spans="1:17" ht="15.75" customHeight="1">
      <c r="A5" s="607" t="s">
        <v>172</v>
      </c>
      <c r="B5" s="857">
        <v>1</v>
      </c>
      <c r="C5" s="857"/>
      <c r="D5" s="857">
        <v>2</v>
      </c>
      <c r="E5" s="857"/>
      <c r="F5" s="857">
        <v>3</v>
      </c>
      <c r="G5" s="857"/>
      <c r="H5" s="855">
        <v>4</v>
      </c>
      <c r="I5" s="855"/>
      <c r="J5" s="855">
        <v>5</v>
      </c>
      <c r="K5" s="855"/>
      <c r="L5" s="855">
        <v>6</v>
      </c>
      <c r="M5" s="855"/>
      <c r="N5" s="855">
        <v>7</v>
      </c>
      <c r="O5" s="855"/>
      <c r="P5" s="855">
        <v>8</v>
      </c>
      <c r="Q5" s="855"/>
    </row>
    <row r="6" spans="1:17" ht="15.75" customHeight="1">
      <c r="A6" s="607"/>
      <c r="B6" s="858" t="s">
        <v>303</v>
      </c>
      <c r="C6" s="858"/>
      <c r="D6" s="858" t="s">
        <v>193</v>
      </c>
      <c r="E6" s="858"/>
      <c r="F6" s="858" t="s">
        <v>164</v>
      </c>
      <c r="G6" s="858"/>
      <c r="H6" s="607" t="s">
        <v>502</v>
      </c>
      <c r="I6" s="607"/>
      <c r="J6" s="607" t="s">
        <v>170</v>
      </c>
      <c r="K6" s="607"/>
      <c r="L6" s="607" t="s">
        <v>165</v>
      </c>
      <c r="M6" s="607"/>
      <c r="N6" s="607" t="s">
        <v>171</v>
      </c>
      <c r="O6" s="607"/>
      <c r="P6" s="856" t="s">
        <v>196</v>
      </c>
      <c r="Q6" s="607"/>
    </row>
    <row r="8" spans="1:17" s="153" customFormat="1" ht="15.75" customHeight="1">
      <c r="A8" s="848" t="s">
        <v>755</v>
      </c>
      <c r="B8" s="849"/>
      <c r="C8" s="547" t="s">
        <v>756</v>
      </c>
      <c r="D8" s="850" t="s">
        <v>12</v>
      </c>
      <c r="E8" s="851"/>
      <c r="F8" s="852"/>
      <c r="G8" s="545" t="s">
        <v>757</v>
      </c>
      <c r="H8" s="546"/>
      <c r="I8" s="547"/>
      <c r="J8" s="169" t="s">
        <v>758</v>
      </c>
      <c r="K8" s="169" t="s">
        <v>759</v>
      </c>
      <c r="L8" s="169" t="s">
        <v>760</v>
      </c>
      <c r="M8" s="169" t="s">
        <v>11</v>
      </c>
      <c r="N8" s="331" t="s">
        <v>761</v>
      </c>
      <c r="O8" s="853" t="s">
        <v>762</v>
      </c>
      <c r="P8" s="854"/>
    </row>
    <row r="9" spans="1:17" ht="15.75" customHeight="1">
      <c r="A9" s="740">
        <v>1</v>
      </c>
      <c r="B9" s="836" t="s">
        <v>763</v>
      </c>
      <c r="C9" s="170">
        <v>1</v>
      </c>
      <c r="D9" s="561">
        <v>0</v>
      </c>
      <c r="E9" s="839"/>
      <c r="F9" s="840"/>
      <c r="G9" s="561">
        <v>0</v>
      </c>
      <c r="H9" s="839"/>
      <c r="I9" s="840"/>
      <c r="J9" s="4">
        <v>0</v>
      </c>
      <c r="K9" s="14">
        <v>0</v>
      </c>
      <c r="L9" s="4">
        <v>0</v>
      </c>
      <c r="M9" s="440">
        <v>0</v>
      </c>
      <c r="N9" s="171"/>
      <c r="O9" s="844"/>
      <c r="P9" s="845"/>
    </row>
    <row r="10" spans="1:17" ht="15.75" customHeight="1">
      <c r="A10" s="741"/>
      <c r="B10" s="837"/>
      <c r="C10" s="170">
        <v>2</v>
      </c>
      <c r="D10" s="561">
        <v>0</v>
      </c>
      <c r="E10" s="839"/>
      <c r="F10" s="840"/>
      <c r="G10" s="561">
        <v>0</v>
      </c>
      <c r="H10" s="839"/>
      <c r="I10" s="840"/>
      <c r="J10" s="4">
        <v>0</v>
      </c>
      <c r="K10" s="14">
        <v>0</v>
      </c>
      <c r="L10" s="4">
        <v>0</v>
      </c>
      <c r="M10" s="440">
        <v>0</v>
      </c>
      <c r="N10" s="171"/>
      <c r="O10" s="844"/>
      <c r="P10" s="845"/>
    </row>
    <row r="11" spans="1:17" ht="15.75" customHeight="1">
      <c r="A11" s="741"/>
      <c r="B11" s="837"/>
      <c r="C11" s="170">
        <v>3</v>
      </c>
      <c r="D11" s="561">
        <v>0</v>
      </c>
      <c r="E11" s="839"/>
      <c r="F11" s="840"/>
      <c r="G11" s="561">
        <v>0</v>
      </c>
      <c r="H11" s="839"/>
      <c r="I11" s="840"/>
      <c r="J11" s="4">
        <v>0</v>
      </c>
      <c r="K11" s="14">
        <v>0</v>
      </c>
      <c r="L11" s="4">
        <v>0</v>
      </c>
      <c r="M11" s="440">
        <v>0</v>
      </c>
      <c r="N11" s="171"/>
      <c r="O11" s="844"/>
      <c r="P11" s="845"/>
    </row>
    <row r="12" spans="1:17" ht="15.75" customHeight="1">
      <c r="A12" s="741"/>
      <c r="B12" s="837"/>
      <c r="C12" s="170">
        <v>4</v>
      </c>
      <c r="D12" s="561">
        <v>0</v>
      </c>
      <c r="E12" s="839"/>
      <c r="F12" s="840"/>
      <c r="G12" s="561">
        <v>0</v>
      </c>
      <c r="H12" s="839"/>
      <c r="I12" s="840"/>
      <c r="J12" s="4">
        <v>0</v>
      </c>
      <c r="K12" s="14">
        <v>0</v>
      </c>
      <c r="L12" s="4">
        <v>0</v>
      </c>
      <c r="M12" s="440">
        <v>0</v>
      </c>
      <c r="N12" s="171"/>
      <c r="O12" s="844"/>
      <c r="P12" s="845"/>
    </row>
    <row r="13" spans="1:17" ht="15.75" customHeight="1" thickBot="1">
      <c r="A13" s="741"/>
      <c r="B13" s="837"/>
      <c r="C13" s="172">
        <v>5</v>
      </c>
      <c r="D13" s="561">
        <v>0</v>
      </c>
      <c r="E13" s="839"/>
      <c r="F13" s="840"/>
      <c r="G13" s="561">
        <v>0</v>
      </c>
      <c r="H13" s="839"/>
      <c r="I13" s="840"/>
      <c r="J13" s="4">
        <v>0</v>
      </c>
      <c r="K13" s="14">
        <v>0</v>
      </c>
      <c r="L13" s="4">
        <v>0</v>
      </c>
      <c r="M13" s="440">
        <v>0</v>
      </c>
      <c r="N13" s="171"/>
      <c r="O13" s="844"/>
      <c r="P13" s="845"/>
    </row>
    <row r="14" spans="1:17" ht="15.75" customHeight="1" thickTop="1" thickBot="1">
      <c r="A14" s="742"/>
      <c r="B14" s="838"/>
      <c r="C14" s="830"/>
      <c r="D14" s="831"/>
      <c r="E14" s="831"/>
      <c r="F14" s="831"/>
      <c r="G14" s="831"/>
      <c r="H14" s="831"/>
      <c r="I14" s="832"/>
      <c r="J14" s="330" t="s">
        <v>764</v>
      </c>
      <c r="K14" s="244">
        <v>0</v>
      </c>
      <c r="L14" s="330" t="s">
        <v>765</v>
      </c>
      <c r="M14" s="441">
        <v>0</v>
      </c>
      <c r="N14" s="833"/>
      <c r="O14" s="834"/>
      <c r="P14" s="835"/>
    </row>
    <row r="15" spans="1:17" ht="15.75" customHeight="1" thickTop="1"/>
    <row r="16" spans="1:17" ht="15.75" customHeight="1">
      <c r="A16" s="848" t="s">
        <v>755</v>
      </c>
      <c r="B16" s="849"/>
      <c r="C16" s="547" t="s">
        <v>756</v>
      </c>
      <c r="D16" s="850" t="s">
        <v>12</v>
      </c>
      <c r="E16" s="851"/>
      <c r="F16" s="852"/>
      <c r="G16" s="545" t="s">
        <v>757</v>
      </c>
      <c r="H16" s="546"/>
      <c r="I16" s="547"/>
      <c r="J16" s="169" t="s">
        <v>758</v>
      </c>
      <c r="K16" s="169" t="s">
        <v>759</v>
      </c>
      <c r="L16" s="169" t="s">
        <v>760</v>
      </c>
      <c r="M16" s="169" t="s">
        <v>11</v>
      </c>
      <c r="N16" s="331" t="s">
        <v>761</v>
      </c>
      <c r="O16" s="853" t="s">
        <v>762</v>
      </c>
      <c r="P16" s="854"/>
    </row>
    <row r="17" spans="1:16" ht="15.75" customHeight="1">
      <c r="A17" s="740">
        <v>2</v>
      </c>
      <c r="B17" s="836" t="s">
        <v>766</v>
      </c>
      <c r="C17" s="170">
        <v>1</v>
      </c>
      <c r="D17" s="561" t="s">
        <v>631</v>
      </c>
      <c r="E17" s="839"/>
      <c r="F17" s="840"/>
      <c r="G17" s="561" t="s">
        <v>767</v>
      </c>
      <c r="H17" s="839"/>
      <c r="I17" s="840"/>
      <c r="J17" s="4">
        <v>296.75</v>
      </c>
      <c r="K17" s="14">
        <v>0.17574692442882248</v>
      </c>
      <c r="L17" s="4">
        <v>0.6</v>
      </c>
      <c r="M17" s="440">
        <v>178.04999999999998</v>
      </c>
      <c r="N17" s="171"/>
      <c r="O17" s="859" t="s">
        <v>768</v>
      </c>
      <c r="P17" s="845"/>
    </row>
    <row r="18" spans="1:16" ht="15.75" customHeight="1">
      <c r="A18" s="741"/>
      <c r="B18" s="837"/>
      <c r="C18" s="170">
        <v>2</v>
      </c>
      <c r="D18" s="561">
        <v>0</v>
      </c>
      <c r="E18" s="839"/>
      <c r="F18" s="840"/>
      <c r="G18" s="561">
        <v>0</v>
      </c>
      <c r="H18" s="839"/>
      <c r="I18" s="840"/>
      <c r="J18" s="4">
        <v>0</v>
      </c>
      <c r="K18" s="14">
        <v>0</v>
      </c>
      <c r="L18" s="4">
        <v>0</v>
      </c>
      <c r="M18" s="440">
        <v>0</v>
      </c>
      <c r="N18" s="171"/>
      <c r="O18" s="859"/>
      <c r="P18" s="845"/>
    </row>
    <row r="19" spans="1:16" ht="15.75" customHeight="1">
      <c r="A19" s="741"/>
      <c r="B19" s="837"/>
      <c r="C19" s="170">
        <v>3</v>
      </c>
      <c r="D19" s="561">
        <v>0</v>
      </c>
      <c r="E19" s="839"/>
      <c r="F19" s="840"/>
      <c r="G19" s="561">
        <v>0</v>
      </c>
      <c r="H19" s="839"/>
      <c r="I19" s="840"/>
      <c r="J19" s="4">
        <v>0</v>
      </c>
      <c r="K19" s="14">
        <v>0</v>
      </c>
      <c r="L19" s="4">
        <v>0</v>
      </c>
      <c r="M19" s="440">
        <v>0</v>
      </c>
      <c r="N19" s="171"/>
      <c r="O19" s="859"/>
      <c r="P19" s="845"/>
    </row>
    <row r="20" spans="1:16" ht="15.75" customHeight="1">
      <c r="A20" s="741"/>
      <c r="B20" s="837"/>
      <c r="C20" s="170">
        <v>4</v>
      </c>
      <c r="D20" s="561">
        <v>0</v>
      </c>
      <c r="E20" s="839"/>
      <c r="F20" s="840"/>
      <c r="G20" s="561">
        <v>0</v>
      </c>
      <c r="H20" s="839"/>
      <c r="I20" s="840"/>
      <c r="J20" s="4">
        <v>0</v>
      </c>
      <c r="K20" s="14">
        <v>0</v>
      </c>
      <c r="L20" s="4">
        <v>0</v>
      </c>
      <c r="M20" s="440">
        <v>0</v>
      </c>
      <c r="N20" s="171"/>
      <c r="O20" s="844"/>
      <c r="P20" s="845"/>
    </row>
    <row r="21" spans="1:16" ht="15.75" customHeight="1" thickBot="1">
      <c r="A21" s="741"/>
      <c r="B21" s="837"/>
      <c r="C21" s="172">
        <v>5</v>
      </c>
      <c r="D21" s="561">
        <v>0</v>
      </c>
      <c r="E21" s="839"/>
      <c r="F21" s="840"/>
      <c r="G21" s="561">
        <v>0</v>
      </c>
      <c r="H21" s="839"/>
      <c r="I21" s="840"/>
      <c r="J21" s="4">
        <v>0</v>
      </c>
      <c r="K21" s="14">
        <v>0</v>
      </c>
      <c r="L21" s="4">
        <v>0</v>
      </c>
      <c r="M21" s="440">
        <v>0</v>
      </c>
      <c r="N21" s="173"/>
      <c r="O21" s="844"/>
      <c r="P21" s="845"/>
    </row>
    <row r="22" spans="1:16" ht="15.75" customHeight="1" thickTop="1" thickBot="1">
      <c r="A22" s="742"/>
      <c r="B22" s="838"/>
      <c r="C22" s="841"/>
      <c r="D22" s="842"/>
      <c r="E22" s="842"/>
      <c r="F22" s="842"/>
      <c r="G22" s="842"/>
      <c r="H22" s="842"/>
      <c r="I22" s="843"/>
      <c r="J22" s="330" t="s">
        <v>764</v>
      </c>
      <c r="K22" s="244">
        <v>1.0901524654848968E-3</v>
      </c>
      <c r="L22" s="330" t="s">
        <v>765</v>
      </c>
      <c r="M22" s="441">
        <v>178.04999999999998</v>
      </c>
      <c r="N22" s="833"/>
      <c r="O22" s="834"/>
      <c r="P22" s="835"/>
    </row>
    <row r="23" spans="1:16" ht="15.75" customHeight="1" thickTop="1"/>
    <row r="24" spans="1:16" ht="15.75" customHeight="1">
      <c r="A24" s="848" t="s">
        <v>755</v>
      </c>
      <c r="B24" s="849"/>
      <c r="C24" s="547" t="s">
        <v>756</v>
      </c>
      <c r="D24" s="850" t="s">
        <v>12</v>
      </c>
      <c r="E24" s="851"/>
      <c r="F24" s="852"/>
      <c r="G24" s="545" t="s">
        <v>757</v>
      </c>
      <c r="H24" s="546"/>
      <c r="I24" s="547"/>
      <c r="J24" s="169" t="s">
        <v>758</v>
      </c>
      <c r="K24" s="169" t="s">
        <v>759</v>
      </c>
      <c r="L24" s="169" t="s">
        <v>760</v>
      </c>
      <c r="M24" s="169" t="s">
        <v>11</v>
      </c>
      <c r="N24" s="331" t="s">
        <v>761</v>
      </c>
      <c r="O24" s="853" t="s">
        <v>762</v>
      </c>
      <c r="P24" s="854"/>
    </row>
    <row r="25" spans="1:16" ht="15.75" customHeight="1">
      <c r="A25" s="740">
        <v>3</v>
      </c>
      <c r="B25" s="836" t="s">
        <v>769</v>
      </c>
      <c r="C25" s="170">
        <v>1</v>
      </c>
      <c r="D25" s="561" t="s">
        <v>522</v>
      </c>
      <c r="E25" s="839"/>
      <c r="F25" s="840"/>
      <c r="G25" s="561" t="s">
        <v>739</v>
      </c>
      <c r="H25" s="839"/>
      <c r="I25" s="840"/>
      <c r="J25" s="4">
        <v>103.97</v>
      </c>
      <c r="K25" s="14">
        <v>2.1933621933621934E-2</v>
      </c>
      <c r="L25" s="4">
        <v>1.9</v>
      </c>
      <c r="M25" s="440">
        <v>197.54299999999998</v>
      </c>
      <c r="N25" s="171"/>
      <c r="O25" s="844" t="s">
        <v>770</v>
      </c>
      <c r="P25" s="845"/>
    </row>
    <row r="26" spans="1:16" ht="15.75" customHeight="1">
      <c r="A26" s="741"/>
      <c r="B26" s="837"/>
      <c r="C26" s="170">
        <v>2</v>
      </c>
      <c r="D26" s="561" t="s">
        <v>532</v>
      </c>
      <c r="E26" s="839"/>
      <c r="F26" s="840"/>
      <c r="G26" s="561" t="s">
        <v>706</v>
      </c>
      <c r="H26" s="839"/>
      <c r="I26" s="840"/>
      <c r="J26" s="4">
        <v>240.51</v>
      </c>
      <c r="K26" s="14">
        <v>2.4752475247524754E-2</v>
      </c>
      <c r="L26" s="4">
        <v>0.8</v>
      </c>
      <c r="M26" s="440">
        <v>192.40800000000002</v>
      </c>
      <c r="N26" s="171"/>
      <c r="O26" s="844" t="s">
        <v>770</v>
      </c>
      <c r="P26" s="845"/>
    </row>
    <row r="27" spans="1:16" ht="15.75" customHeight="1">
      <c r="A27" s="741"/>
      <c r="B27" s="837"/>
      <c r="C27" s="170">
        <v>3</v>
      </c>
      <c r="D27" s="561" t="s">
        <v>635</v>
      </c>
      <c r="E27" s="839"/>
      <c r="F27" s="840"/>
      <c r="G27" s="561" t="s">
        <v>771</v>
      </c>
      <c r="H27" s="839"/>
      <c r="I27" s="840"/>
      <c r="J27" s="4">
        <v>90.32</v>
      </c>
      <c r="K27" s="14">
        <v>3.5317860746720484E-2</v>
      </c>
      <c r="L27" s="4">
        <v>2.1</v>
      </c>
      <c r="M27" s="440">
        <v>189.672</v>
      </c>
      <c r="N27" s="171"/>
      <c r="O27" s="844" t="s">
        <v>527</v>
      </c>
      <c r="P27" s="845"/>
    </row>
    <row r="28" spans="1:16" ht="15.75" customHeight="1">
      <c r="A28" s="741"/>
      <c r="B28" s="837"/>
      <c r="C28" s="170">
        <v>4</v>
      </c>
      <c r="D28" s="561" t="s">
        <v>618</v>
      </c>
      <c r="E28" s="839"/>
      <c r="F28" s="840"/>
      <c r="G28" s="561" t="s">
        <v>772</v>
      </c>
      <c r="H28" s="839"/>
      <c r="I28" s="840"/>
      <c r="J28" s="4">
        <v>143.99</v>
      </c>
      <c r="K28" s="14">
        <v>1.8767143063375201E-2</v>
      </c>
      <c r="L28" s="4">
        <v>1.3</v>
      </c>
      <c r="M28" s="440">
        <v>187.18700000000001</v>
      </c>
      <c r="N28" s="171"/>
      <c r="O28" s="844" t="s">
        <v>527</v>
      </c>
      <c r="P28" s="845"/>
    </row>
    <row r="29" spans="1:16" ht="15.75" customHeight="1" thickBot="1">
      <c r="A29" s="741"/>
      <c r="B29" s="837"/>
      <c r="C29" s="172">
        <v>5</v>
      </c>
      <c r="D29" s="561" t="s">
        <v>526</v>
      </c>
      <c r="E29" s="839"/>
      <c r="F29" s="840"/>
      <c r="G29" s="561" t="s">
        <v>720</v>
      </c>
      <c r="H29" s="839"/>
      <c r="I29" s="840"/>
      <c r="J29" s="4">
        <v>462.04</v>
      </c>
      <c r="K29" s="14">
        <v>4.1562759767248547E-2</v>
      </c>
      <c r="L29" s="4">
        <v>0.4</v>
      </c>
      <c r="M29" s="440">
        <v>184.81600000000003</v>
      </c>
      <c r="N29" s="173"/>
      <c r="O29" s="846" t="s">
        <v>527</v>
      </c>
      <c r="P29" s="847"/>
    </row>
    <row r="30" spans="1:16" ht="15.75" customHeight="1" thickTop="1" thickBot="1">
      <c r="A30" s="742"/>
      <c r="B30" s="838"/>
      <c r="C30" s="830"/>
      <c r="D30" s="831"/>
      <c r="E30" s="831"/>
      <c r="F30" s="831"/>
      <c r="G30" s="831"/>
      <c r="H30" s="831"/>
      <c r="I30" s="832"/>
      <c r="J30" s="330" t="s">
        <v>764</v>
      </c>
      <c r="K30" s="244">
        <v>5.8265511379923087E-3</v>
      </c>
      <c r="L30" s="330" t="s">
        <v>765</v>
      </c>
      <c r="M30" s="441">
        <v>951.62600000000009</v>
      </c>
      <c r="N30" s="833"/>
      <c r="O30" s="834"/>
      <c r="P30" s="835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588" t="s">
        <v>186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s="119" customFormat="1" ht="15.75" customHeight="1">
      <c r="A3" s="731" t="s">
        <v>192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151"/>
    </row>
    <row r="4" spans="1:17" s="120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  <c r="N4" s="130"/>
    </row>
    <row r="5" spans="1:17" s="119" customFormat="1" ht="15.75" customHeight="1">
      <c r="A5" s="607" t="s">
        <v>172</v>
      </c>
      <c r="B5" s="855">
        <v>1</v>
      </c>
      <c r="C5" s="855"/>
      <c r="D5" s="855">
        <v>2</v>
      </c>
      <c r="E5" s="855"/>
      <c r="F5" s="855">
        <v>3</v>
      </c>
      <c r="G5" s="855"/>
      <c r="H5" s="857">
        <v>4</v>
      </c>
      <c r="I5" s="857"/>
      <c r="J5" s="857">
        <v>5</v>
      </c>
      <c r="K5" s="857"/>
      <c r="L5" s="857">
        <v>6</v>
      </c>
      <c r="M5" s="857"/>
      <c r="N5" s="857">
        <v>7</v>
      </c>
      <c r="O5" s="857"/>
      <c r="P5" s="855">
        <v>8</v>
      </c>
      <c r="Q5" s="855"/>
    </row>
    <row r="6" spans="1:17" s="119" customFormat="1" ht="15.75" customHeight="1">
      <c r="A6" s="607"/>
      <c r="B6" s="607" t="s">
        <v>304</v>
      </c>
      <c r="C6" s="607"/>
      <c r="D6" s="607" t="s">
        <v>193</v>
      </c>
      <c r="E6" s="607"/>
      <c r="F6" s="607" t="s">
        <v>164</v>
      </c>
      <c r="G6" s="607"/>
      <c r="H6" s="858" t="s">
        <v>502</v>
      </c>
      <c r="I6" s="858"/>
      <c r="J6" s="858" t="s">
        <v>170</v>
      </c>
      <c r="K6" s="858"/>
      <c r="L6" s="858" t="s">
        <v>165</v>
      </c>
      <c r="M6" s="858"/>
      <c r="N6" s="858" t="s">
        <v>171</v>
      </c>
      <c r="O6" s="858"/>
      <c r="P6" s="856" t="s">
        <v>196</v>
      </c>
      <c r="Q6" s="607"/>
    </row>
    <row r="7" spans="1:17" s="119" customFormat="1" ht="15.75" customHeight="1">
      <c r="B7" s="174"/>
      <c r="C7" s="160"/>
    </row>
    <row r="8" spans="1:17" s="109" customFormat="1" ht="15.75" customHeight="1">
      <c r="A8" s="860" t="s">
        <v>755</v>
      </c>
      <c r="B8" s="861"/>
      <c r="C8" s="116" t="s">
        <v>756</v>
      </c>
      <c r="D8" s="862" t="s">
        <v>12</v>
      </c>
      <c r="E8" s="863"/>
      <c r="F8" s="864"/>
      <c r="G8" s="114" t="s">
        <v>757</v>
      </c>
      <c r="H8" s="115"/>
      <c r="I8" s="116"/>
      <c r="J8" s="113" t="s">
        <v>758</v>
      </c>
      <c r="K8" s="113" t="s">
        <v>759</v>
      </c>
      <c r="L8" s="113" t="s">
        <v>760</v>
      </c>
      <c r="M8" s="117" t="s">
        <v>11</v>
      </c>
      <c r="N8" s="331" t="s">
        <v>761</v>
      </c>
      <c r="O8" s="865" t="s">
        <v>762</v>
      </c>
      <c r="P8" s="866"/>
    </row>
    <row r="9" spans="1:17" ht="15.75" customHeight="1">
      <c r="A9" s="861">
        <v>4</v>
      </c>
      <c r="B9" s="868" t="s">
        <v>502</v>
      </c>
      <c r="C9" s="111">
        <v>1</v>
      </c>
      <c r="D9" s="561" t="s">
        <v>332</v>
      </c>
      <c r="E9" s="839"/>
      <c r="F9" s="840"/>
      <c r="G9" s="561" t="s">
        <v>787</v>
      </c>
      <c r="H9" s="839"/>
      <c r="I9" s="840"/>
      <c r="J9" s="4">
        <v>116.66</v>
      </c>
      <c r="K9" s="14">
        <v>5.3496634432322037E-3</v>
      </c>
      <c r="L9" s="4">
        <v>1.7</v>
      </c>
      <c r="M9" s="440">
        <v>198.322</v>
      </c>
      <c r="N9" s="4"/>
      <c r="O9" s="844" t="s">
        <v>788</v>
      </c>
      <c r="P9" s="874"/>
      <c r="Q9" s="261"/>
    </row>
    <row r="10" spans="1:17" ht="15.75" customHeight="1">
      <c r="A10" s="861"/>
      <c r="B10" s="868"/>
      <c r="C10" s="111">
        <v>2</v>
      </c>
      <c r="D10" s="561" t="s">
        <v>522</v>
      </c>
      <c r="E10" s="839"/>
      <c r="F10" s="840"/>
      <c r="G10" s="561" t="s">
        <v>739</v>
      </c>
      <c r="H10" s="839"/>
      <c r="I10" s="840"/>
      <c r="J10" s="4">
        <v>103.97</v>
      </c>
      <c r="K10" s="14">
        <v>1.7399267399267407E-2</v>
      </c>
      <c r="L10" s="4">
        <v>1.900000000000001</v>
      </c>
      <c r="M10" s="440">
        <v>197.54300000000009</v>
      </c>
      <c r="N10" s="4"/>
      <c r="O10" s="844" t="s">
        <v>788</v>
      </c>
      <c r="P10" s="874"/>
      <c r="Q10" s="261"/>
    </row>
    <row r="11" spans="1:17" ht="15.75" customHeight="1">
      <c r="A11" s="861"/>
      <c r="B11" s="868"/>
      <c r="C11" s="111">
        <v>3</v>
      </c>
      <c r="D11" s="561" t="s">
        <v>580</v>
      </c>
      <c r="E11" s="839"/>
      <c r="F11" s="840"/>
      <c r="G11" s="561" t="s">
        <v>789</v>
      </c>
      <c r="H11" s="839"/>
      <c r="I11" s="840"/>
      <c r="J11" s="4">
        <v>81.91</v>
      </c>
      <c r="K11" s="14">
        <v>7.9000641880215272E-3</v>
      </c>
      <c r="L11" s="4">
        <v>2.4</v>
      </c>
      <c r="M11" s="440">
        <v>196.58399999999997</v>
      </c>
      <c r="N11" s="4"/>
      <c r="O11" s="844" t="s">
        <v>788</v>
      </c>
      <c r="P11" s="874"/>
      <c r="Q11" s="261"/>
    </row>
    <row r="12" spans="1:17" ht="15.75" customHeight="1">
      <c r="A12" s="861"/>
      <c r="B12" s="868"/>
      <c r="C12" s="111">
        <v>4</v>
      </c>
      <c r="D12" s="561" t="s">
        <v>532</v>
      </c>
      <c r="E12" s="839"/>
      <c r="F12" s="840"/>
      <c r="G12" s="561" t="s">
        <v>706</v>
      </c>
      <c r="H12" s="839"/>
      <c r="I12" s="840"/>
      <c r="J12" s="4">
        <v>240.51</v>
      </c>
      <c r="K12" s="14">
        <v>1.8768768768768766E-2</v>
      </c>
      <c r="L12" s="4">
        <v>0.79999999999999993</v>
      </c>
      <c r="M12" s="440">
        <v>192.40799999999999</v>
      </c>
      <c r="N12" s="4"/>
      <c r="O12" s="844" t="s">
        <v>788</v>
      </c>
      <c r="P12" s="874"/>
      <c r="Q12" s="261"/>
    </row>
    <row r="13" spans="1:17" ht="15.75" customHeight="1" thickBot="1">
      <c r="A13" s="861"/>
      <c r="B13" s="868"/>
      <c r="C13" s="112">
        <v>5</v>
      </c>
      <c r="D13" s="561" t="s">
        <v>332</v>
      </c>
      <c r="E13" s="839"/>
      <c r="F13" s="840"/>
      <c r="G13" s="561" t="s">
        <v>529</v>
      </c>
      <c r="H13" s="839"/>
      <c r="I13" s="840"/>
      <c r="J13" s="4">
        <v>111.17</v>
      </c>
      <c r="K13" s="14">
        <v>5.2499922794231185E-3</v>
      </c>
      <c r="L13" s="4">
        <v>1.7</v>
      </c>
      <c r="M13" s="440">
        <v>188.989</v>
      </c>
      <c r="N13" s="27"/>
      <c r="O13" s="844" t="s">
        <v>788</v>
      </c>
      <c r="P13" s="874"/>
      <c r="Q13" s="261"/>
    </row>
    <row r="14" spans="1:17" ht="15.75" customHeight="1" thickTop="1" thickBot="1">
      <c r="A14" s="861"/>
      <c r="B14" s="868"/>
      <c r="C14" s="876"/>
      <c r="D14" s="876"/>
      <c r="E14" s="876"/>
      <c r="F14" s="876"/>
      <c r="G14" s="876"/>
      <c r="H14" s="876"/>
      <c r="I14" s="876"/>
      <c r="J14" s="245" t="s">
        <v>764</v>
      </c>
      <c r="K14" s="244">
        <v>5.9625982471362259E-3</v>
      </c>
      <c r="L14" s="245" t="s">
        <v>765</v>
      </c>
      <c r="M14" s="441">
        <v>973.84600000000012</v>
      </c>
      <c r="N14" s="875"/>
      <c r="O14" s="875"/>
      <c r="P14" s="875"/>
      <c r="Q14" s="261"/>
    </row>
    <row r="15" spans="1:17" ht="15.75" customHeight="1" thickTop="1">
      <c r="A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  <c r="N15" s="543"/>
      <c r="O15" s="543"/>
      <c r="P15" s="543"/>
      <c r="Q15" s="261"/>
    </row>
    <row r="16" spans="1:17" ht="15.75" customHeight="1">
      <c r="A16" s="860" t="s">
        <v>755</v>
      </c>
      <c r="B16" s="861"/>
      <c r="C16" s="116" t="s">
        <v>756</v>
      </c>
      <c r="D16" s="862" t="s">
        <v>12</v>
      </c>
      <c r="E16" s="863"/>
      <c r="F16" s="864"/>
      <c r="G16" s="114" t="s">
        <v>757</v>
      </c>
      <c r="H16" s="115"/>
      <c r="I16" s="116"/>
      <c r="J16" s="113" t="s">
        <v>758</v>
      </c>
      <c r="K16" s="113" t="s">
        <v>759</v>
      </c>
      <c r="L16" s="113" t="s">
        <v>760</v>
      </c>
      <c r="M16" s="117" t="s">
        <v>11</v>
      </c>
      <c r="N16" s="331" t="s">
        <v>761</v>
      </c>
      <c r="O16" s="865" t="s">
        <v>762</v>
      </c>
      <c r="P16" s="866"/>
      <c r="Q16" s="261"/>
    </row>
    <row r="17" spans="1:17" ht="15.75" customHeight="1">
      <c r="A17" s="861">
        <v>5</v>
      </c>
      <c r="B17" s="867" t="s">
        <v>194</v>
      </c>
      <c r="C17" s="111">
        <v>1</v>
      </c>
      <c r="D17" s="561" t="s">
        <v>727</v>
      </c>
      <c r="E17" s="839"/>
      <c r="F17" s="840"/>
      <c r="G17" s="561" t="s">
        <v>728</v>
      </c>
      <c r="H17" s="839"/>
      <c r="I17" s="840"/>
      <c r="J17" s="4">
        <v>395.29</v>
      </c>
      <c r="K17" s="14">
        <v>3.5945363048166786E-3</v>
      </c>
      <c r="L17" s="4">
        <v>0.5</v>
      </c>
      <c r="M17" s="440">
        <v>197.64500000000001</v>
      </c>
      <c r="N17" s="4"/>
      <c r="O17" s="844" t="s">
        <v>515</v>
      </c>
      <c r="P17" s="874"/>
      <c r="Q17" s="261"/>
    </row>
    <row r="18" spans="1:17" ht="15.75" customHeight="1">
      <c r="A18" s="861"/>
      <c r="B18" s="868"/>
      <c r="C18" s="111">
        <v>2</v>
      </c>
      <c r="D18" s="561" t="s">
        <v>626</v>
      </c>
      <c r="E18" s="839"/>
      <c r="F18" s="840"/>
      <c r="G18" s="561" t="s">
        <v>627</v>
      </c>
      <c r="H18" s="839"/>
      <c r="I18" s="840"/>
      <c r="J18" s="4">
        <v>325.01</v>
      </c>
      <c r="K18" s="14">
        <v>1.1650485436893204E-2</v>
      </c>
      <c r="L18" s="4">
        <v>0.6</v>
      </c>
      <c r="M18" s="440">
        <v>195.006</v>
      </c>
      <c r="N18" s="4"/>
      <c r="O18" s="844" t="s">
        <v>515</v>
      </c>
      <c r="P18" s="874"/>
      <c r="Q18" s="261"/>
    </row>
    <row r="19" spans="1:17" ht="15.75" customHeight="1">
      <c r="A19" s="861"/>
      <c r="B19" s="868"/>
      <c r="C19" s="111">
        <v>3</v>
      </c>
      <c r="D19" s="561" t="s">
        <v>522</v>
      </c>
      <c r="E19" s="839"/>
      <c r="F19" s="840"/>
      <c r="G19" s="561" t="s">
        <v>790</v>
      </c>
      <c r="H19" s="839"/>
      <c r="I19" s="840"/>
      <c r="J19" s="4">
        <v>278.12</v>
      </c>
      <c r="K19" s="14">
        <v>1.7299327797548437E-2</v>
      </c>
      <c r="L19" s="4">
        <v>0.7</v>
      </c>
      <c r="M19" s="440">
        <v>194.684</v>
      </c>
      <c r="N19" s="4"/>
      <c r="O19" s="844" t="s">
        <v>515</v>
      </c>
      <c r="P19" s="874"/>
      <c r="Q19" s="261"/>
    </row>
    <row r="20" spans="1:17" ht="15.75" customHeight="1">
      <c r="A20" s="861"/>
      <c r="B20" s="868"/>
      <c r="C20" s="111">
        <v>4</v>
      </c>
      <c r="D20" s="561" t="s">
        <v>332</v>
      </c>
      <c r="E20" s="839"/>
      <c r="F20" s="840"/>
      <c r="G20" s="561" t="s">
        <v>791</v>
      </c>
      <c r="H20" s="839"/>
      <c r="I20" s="840"/>
      <c r="J20" s="4">
        <v>136.88999999999999</v>
      </c>
      <c r="K20" s="14">
        <v>3.1554273350162275E-2</v>
      </c>
      <c r="L20" s="4">
        <v>1.4</v>
      </c>
      <c r="M20" s="440">
        <v>191.64599999999996</v>
      </c>
      <c r="N20" s="4"/>
      <c r="O20" s="844" t="s">
        <v>515</v>
      </c>
      <c r="P20" s="874"/>
      <c r="Q20" s="261"/>
    </row>
    <row r="21" spans="1:17" ht="15.75" customHeight="1" thickBot="1">
      <c r="A21" s="861"/>
      <c r="B21" s="868"/>
      <c r="C21" s="112">
        <v>5</v>
      </c>
      <c r="D21" s="561" t="s">
        <v>328</v>
      </c>
      <c r="E21" s="839"/>
      <c r="F21" s="840"/>
      <c r="G21" s="561" t="s">
        <v>641</v>
      </c>
      <c r="H21" s="839"/>
      <c r="I21" s="840"/>
      <c r="J21" s="4">
        <v>272.74</v>
      </c>
      <c r="K21" s="14">
        <v>1.1121703209405783E-2</v>
      </c>
      <c r="L21" s="4">
        <v>0.7</v>
      </c>
      <c r="M21" s="440">
        <v>190.91800000000001</v>
      </c>
      <c r="N21" s="4"/>
      <c r="O21" s="844" t="s">
        <v>515</v>
      </c>
      <c r="P21" s="874"/>
      <c r="Q21" s="261"/>
    </row>
    <row r="22" spans="1:17" ht="15.75" customHeight="1" thickTop="1" thickBot="1">
      <c r="A22" s="861"/>
      <c r="B22" s="868"/>
      <c r="C22" s="869"/>
      <c r="D22" s="869"/>
      <c r="E22" s="869"/>
      <c r="F22" s="869"/>
      <c r="G22" s="869"/>
      <c r="H22" s="869"/>
      <c r="I22" s="870"/>
      <c r="J22" s="118" t="s">
        <v>764</v>
      </c>
      <c r="K22" s="244">
        <v>5.9384318232032357E-3</v>
      </c>
      <c r="L22" s="118" t="s">
        <v>765</v>
      </c>
      <c r="M22" s="441">
        <v>969.899</v>
      </c>
      <c r="N22" s="871"/>
      <c r="O22" s="872"/>
      <c r="P22" s="873"/>
      <c r="Q22" s="261"/>
    </row>
    <row r="23" spans="1:17" ht="15.75" customHeight="1" thickTop="1">
      <c r="A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  <c r="O23" s="543"/>
      <c r="P23" s="543"/>
      <c r="Q23" s="261"/>
    </row>
    <row r="24" spans="1:17" ht="15.75" customHeight="1">
      <c r="A24" s="860" t="s">
        <v>755</v>
      </c>
      <c r="B24" s="861"/>
      <c r="C24" s="116" t="s">
        <v>756</v>
      </c>
      <c r="D24" s="862" t="s">
        <v>12</v>
      </c>
      <c r="E24" s="863"/>
      <c r="F24" s="864"/>
      <c r="G24" s="114" t="s">
        <v>757</v>
      </c>
      <c r="H24" s="115"/>
      <c r="I24" s="116"/>
      <c r="J24" s="113" t="s">
        <v>758</v>
      </c>
      <c r="K24" s="113" t="s">
        <v>759</v>
      </c>
      <c r="L24" s="113" t="s">
        <v>760</v>
      </c>
      <c r="M24" s="117" t="s">
        <v>11</v>
      </c>
      <c r="N24" s="331" t="s">
        <v>761</v>
      </c>
      <c r="O24" s="865" t="s">
        <v>762</v>
      </c>
      <c r="P24" s="866"/>
      <c r="Q24" s="261"/>
    </row>
    <row r="25" spans="1:17" ht="15.75" customHeight="1">
      <c r="A25" s="861">
        <v>6</v>
      </c>
      <c r="B25" s="867" t="s">
        <v>195</v>
      </c>
      <c r="C25" s="111">
        <v>1</v>
      </c>
      <c r="D25" s="561" t="s">
        <v>566</v>
      </c>
      <c r="E25" s="839"/>
      <c r="F25" s="840"/>
      <c r="G25" s="561" t="s">
        <v>640</v>
      </c>
      <c r="H25" s="839"/>
      <c r="I25" s="840"/>
      <c r="J25" s="4">
        <v>444.88</v>
      </c>
      <c r="K25" s="14">
        <v>2.1980437410704472E-2</v>
      </c>
      <c r="L25" s="4">
        <v>0.4</v>
      </c>
      <c r="M25" s="440">
        <v>177.952</v>
      </c>
      <c r="N25" s="4"/>
      <c r="O25" s="844" t="s">
        <v>597</v>
      </c>
      <c r="P25" s="874"/>
      <c r="Q25" s="261"/>
    </row>
    <row r="26" spans="1:17" ht="15.75" customHeight="1">
      <c r="A26" s="861"/>
      <c r="B26" s="868"/>
      <c r="C26" s="111">
        <v>2</v>
      </c>
      <c r="D26" s="561" t="s">
        <v>567</v>
      </c>
      <c r="E26" s="839"/>
      <c r="F26" s="840"/>
      <c r="G26" s="561" t="s">
        <v>333</v>
      </c>
      <c r="H26" s="839"/>
      <c r="I26" s="840"/>
      <c r="J26" s="4">
        <v>487.6</v>
      </c>
      <c r="K26" s="14">
        <v>9.1480148807708741E-3</v>
      </c>
      <c r="L26" s="4">
        <v>0.3</v>
      </c>
      <c r="M26" s="440">
        <v>146.28</v>
      </c>
      <c r="N26" s="4"/>
      <c r="O26" s="844" t="s">
        <v>597</v>
      </c>
      <c r="P26" s="874"/>
      <c r="Q26" s="261"/>
    </row>
    <row r="27" spans="1:17" ht="15.75" customHeight="1">
      <c r="A27" s="861"/>
      <c r="B27" s="868"/>
      <c r="C27" s="111">
        <v>3</v>
      </c>
      <c r="D27" s="561">
        <v>0</v>
      </c>
      <c r="E27" s="839"/>
      <c r="F27" s="840"/>
      <c r="G27" s="561">
        <v>0</v>
      </c>
      <c r="H27" s="839"/>
      <c r="I27" s="840"/>
      <c r="J27" s="4">
        <v>0</v>
      </c>
      <c r="K27" s="14">
        <v>0</v>
      </c>
      <c r="L27" s="4">
        <v>0</v>
      </c>
      <c r="M27" s="440">
        <v>0</v>
      </c>
      <c r="N27" s="4"/>
      <c r="O27" s="844"/>
      <c r="P27" s="874"/>
      <c r="Q27" s="261"/>
    </row>
    <row r="28" spans="1:17" ht="15.75" customHeight="1">
      <c r="A28" s="861"/>
      <c r="B28" s="868"/>
      <c r="C28" s="111">
        <v>4</v>
      </c>
      <c r="D28" s="561">
        <v>0</v>
      </c>
      <c r="E28" s="839"/>
      <c r="F28" s="840"/>
      <c r="G28" s="561">
        <v>0</v>
      </c>
      <c r="H28" s="839"/>
      <c r="I28" s="840"/>
      <c r="J28" s="4">
        <v>0</v>
      </c>
      <c r="K28" s="14">
        <v>0</v>
      </c>
      <c r="L28" s="4">
        <v>0</v>
      </c>
      <c r="M28" s="440">
        <v>0</v>
      </c>
      <c r="N28" s="4"/>
      <c r="O28" s="844"/>
      <c r="P28" s="874"/>
      <c r="Q28" s="261"/>
    </row>
    <row r="29" spans="1:17" ht="15.75" customHeight="1" thickBot="1">
      <c r="A29" s="861"/>
      <c r="B29" s="868"/>
      <c r="C29" s="112">
        <v>5</v>
      </c>
      <c r="D29" s="561">
        <v>0</v>
      </c>
      <c r="E29" s="839"/>
      <c r="F29" s="840"/>
      <c r="G29" s="561">
        <v>0</v>
      </c>
      <c r="H29" s="839"/>
      <c r="I29" s="840"/>
      <c r="J29" s="4">
        <v>0</v>
      </c>
      <c r="K29" s="14">
        <v>0</v>
      </c>
      <c r="L29" s="4">
        <v>0</v>
      </c>
      <c r="M29" s="440">
        <v>0</v>
      </c>
      <c r="N29" s="4"/>
      <c r="O29" s="844"/>
      <c r="P29" s="874"/>
      <c r="Q29" s="261"/>
    </row>
    <row r="30" spans="1:17" ht="15.75" customHeight="1" thickTop="1" thickBot="1">
      <c r="A30" s="861"/>
      <c r="B30" s="868"/>
      <c r="C30" s="869"/>
      <c r="D30" s="869"/>
      <c r="E30" s="869"/>
      <c r="F30" s="869"/>
      <c r="G30" s="869"/>
      <c r="H30" s="869"/>
      <c r="I30" s="870"/>
      <c r="J30" s="118" t="s">
        <v>764</v>
      </c>
      <c r="K30" s="244">
        <v>1.9851857017079422E-3</v>
      </c>
      <c r="L30" s="118" t="s">
        <v>765</v>
      </c>
      <c r="M30" s="441">
        <v>324.23199999999997</v>
      </c>
      <c r="N30" s="871"/>
      <c r="O30" s="872"/>
      <c r="P30" s="873"/>
      <c r="Q30" s="261"/>
    </row>
    <row r="31" spans="1:17" ht="15.75" customHeight="1" thickTop="1">
      <c r="A31" s="543"/>
      <c r="D31" s="543"/>
      <c r="E31" s="543"/>
      <c r="F31" s="543"/>
      <c r="G31" s="543"/>
      <c r="H31" s="543"/>
      <c r="I31" s="543"/>
      <c r="J31" s="543"/>
      <c r="K31" s="543"/>
      <c r="L31" s="543"/>
      <c r="M31" s="543"/>
      <c r="N31" s="543"/>
      <c r="O31" s="543"/>
      <c r="P31" s="543"/>
      <c r="Q31" s="261"/>
    </row>
    <row r="32" spans="1:17" ht="15.75" customHeight="1">
      <c r="A32" s="860" t="s">
        <v>755</v>
      </c>
      <c r="B32" s="861"/>
      <c r="C32" s="116" t="s">
        <v>756</v>
      </c>
      <c r="D32" s="862" t="s">
        <v>12</v>
      </c>
      <c r="E32" s="863"/>
      <c r="F32" s="864"/>
      <c r="G32" s="114" t="s">
        <v>757</v>
      </c>
      <c r="H32" s="115"/>
      <c r="I32" s="116"/>
      <c r="J32" s="113" t="s">
        <v>758</v>
      </c>
      <c r="K32" s="113" t="s">
        <v>759</v>
      </c>
      <c r="L32" s="113" t="s">
        <v>760</v>
      </c>
      <c r="M32" s="117" t="s">
        <v>11</v>
      </c>
      <c r="N32" s="117" t="s">
        <v>13</v>
      </c>
      <c r="O32" s="865" t="s">
        <v>762</v>
      </c>
      <c r="P32" s="866"/>
      <c r="Q32" s="261"/>
    </row>
    <row r="33" spans="1:17" ht="15.75" customHeight="1">
      <c r="A33" s="861">
        <v>7</v>
      </c>
      <c r="B33" s="867" t="s">
        <v>792</v>
      </c>
      <c r="C33" s="111">
        <v>1</v>
      </c>
      <c r="D33" s="561" t="s">
        <v>520</v>
      </c>
      <c r="E33" s="839"/>
      <c r="F33" s="840"/>
      <c r="G33" s="561" t="s">
        <v>633</v>
      </c>
      <c r="H33" s="839"/>
      <c r="I33" s="840"/>
      <c r="J33" s="4">
        <v>13.45</v>
      </c>
      <c r="K33" s="14">
        <v>5.1052967453733252E-3</v>
      </c>
      <c r="L33" s="4">
        <v>16</v>
      </c>
      <c r="M33" s="440">
        <v>215.2</v>
      </c>
      <c r="N33" s="4"/>
      <c r="O33" s="844" t="s">
        <v>793</v>
      </c>
      <c r="P33" s="874"/>
      <c r="Q33" s="261"/>
    </row>
    <row r="34" spans="1:17" ht="15.75" customHeight="1">
      <c r="A34" s="861"/>
      <c r="B34" s="868"/>
      <c r="C34" s="111">
        <v>2</v>
      </c>
      <c r="D34" s="561" t="s">
        <v>794</v>
      </c>
      <c r="E34" s="839"/>
      <c r="F34" s="840"/>
      <c r="G34" s="561" t="s">
        <v>795</v>
      </c>
      <c r="H34" s="839"/>
      <c r="I34" s="840"/>
      <c r="J34" s="4">
        <v>935.2</v>
      </c>
      <c r="K34" s="14">
        <v>5.3688392569526469E-3</v>
      </c>
      <c r="L34" s="4">
        <v>0.2</v>
      </c>
      <c r="M34" s="440">
        <v>187.04000000000002</v>
      </c>
      <c r="N34" s="4"/>
      <c r="O34" s="844" t="s">
        <v>620</v>
      </c>
      <c r="P34" s="845"/>
      <c r="Q34" s="261"/>
    </row>
    <row r="35" spans="1:17" ht="15.75" customHeight="1">
      <c r="A35" s="861"/>
      <c r="B35" s="868"/>
      <c r="C35" s="111">
        <v>3</v>
      </c>
      <c r="D35" s="561" t="s">
        <v>592</v>
      </c>
      <c r="E35" s="839"/>
      <c r="F35" s="840"/>
      <c r="G35" s="561" t="s">
        <v>796</v>
      </c>
      <c r="H35" s="839"/>
      <c r="I35" s="840"/>
      <c r="J35" s="4">
        <v>930.36</v>
      </c>
      <c r="K35" s="14">
        <v>1.5606710885680844E-2</v>
      </c>
      <c r="L35" s="4">
        <v>0.2</v>
      </c>
      <c r="M35" s="440">
        <v>186.072</v>
      </c>
      <c r="N35" s="4"/>
      <c r="O35" s="844" t="s">
        <v>620</v>
      </c>
      <c r="P35" s="845"/>
      <c r="Q35" s="261"/>
    </row>
    <row r="36" spans="1:17" ht="15.75" customHeight="1">
      <c r="A36" s="861"/>
      <c r="B36" s="868"/>
      <c r="C36" s="111">
        <v>4</v>
      </c>
      <c r="D36" s="561" t="s">
        <v>618</v>
      </c>
      <c r="E36" s="839"/>
      <c r="F36" s="840"/>
      <c r="G36" s="561" t="s">
        <v>729</v>
      </c>
      <c r="H36" s="839"/>
      <c r="I36" s="840"/>
      <c r="J36" s="4">
        <v>68.62</v>
      </c>
      <c r="K36" s="14">
        <v>2.2541024664890102E-3</v>
      </c>
      <c r="L36" s="4">
        <v>2.7</v>
      </c>
      <c r="M36" s="440">
        <v>185.27400000000003</v>
      </c>
      <c r="N36" s="4"/>
      <c r="O36" s="844" t="s">
        <v>793</v>
      </c>
      <c r="P36" s="874"/>
      <c r="Q36" s="261"/>
    </row>
    <row r="37" spans="1:17" ht="15.75" customHeight="1" thickBot="1">
      <c r="A37" s="861"/>
      <c r="B37" s="868"/>
      <c r="C37" s="112">
        <v>5</v>
      </c>
      <c r="D37" s="561" t="s">
        <v>629</v>
      </c>
      <c r="E37" s="839"/>
      <c r="F37" s="840"/>
      <c r="G37" s="561" t="s">
        <v>630</v>
      </c>
      <c r="H37" s="839"/>
      <c r="I37" s="840"/>
      <c r="J37" s="4">
        <v>593.27</v>
      </c>
      <c r="K37" s="14">
        <v>2.2168033695411218E-2</v>
      </c>
      <c r="L37" s="4">
        <v>0.3</v>
      </c>
      <c r="M37" s="440">
        <v>177.98099999999999</v>
      </c>
      <c r="N37" s="4"/>
      <c r="O37" s="844" t="s">
        <v>620</v>
      </c>
      <c r="P37" s="845"/>
      <c r="Q37" s="261"/>
    </row>
    <row r="38" spans="1:17" ht="15.75" customHeight="1" thickTop="1" thickBot="1">
      <c r="A38" s="861"/>
      <c r="B38" s="868"/>
      <c r="C38" s="869"/>
      <c r="D38" s="869"/>
      <c r="E38" s="869"/>
      <c r="F38" s="869"/>
      <c r="G38" s="869"/>
      <c r="H38" s="869"/>
      <c r="I38" s="870"/>
      <c r="J38" s="118" t="s">
        <v>764</v>
      </c>
      <c r="K38" s="244">
        <v>5.8261898967934119E-3</v>
      </c>
      <c r="L38" s="118" t="s">
        <v>765</v>
      </c>
      <c r="M38" s="441">
        <v>951.56700000000001</v>
      </c>
      <c r="N38" s="871"/>
      <c r="O38" s="872"/>
      <c r="P38" s="873"/>
      <c r="Q38" s="261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2" customWidth="1"/>
    <col min="2" max="2" width="11.42578125" style="333" customWidth="1"/>
    <col min="3" max="3" width="4" style="334" customWidth="1"/>
    <col min="4" max="17" width="9.5703125" style="182" customWidth="1"/>
    <col min="18" max="16384" width="12.5703125" style="182"/>
  </cols>
  <sheetData>
    <row r="1" spans="1:23" ht="15.75" customHeight="1">
      <c r="A1" s="800" t="s">
        <v>505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0"/>
    </row>
    <row r="2" spans="1:23" s="183" customFormat="1" ht="15.75" customHeight="1">
      <c r="A2" s="800"/>
      <c r="B2" s="800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0"/>
      <c r="R2" s="182"/>
      <c r="S2" s="182"/>
      <c r="T2" s="182"/>
      <c r="U2" s="182"/>
      <c r="V2" s="182"/>
      <c r="W2" s="182"/>
    </row>
    <row r="3" spans="1:23" ht="15.75" customHeight="1">
      <c r="A3" s="801" t="s">
        <v>506</v>
      </c>
      <c r="B3" s="801"/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184"/>
    </row>
    <row r="4" spans="1:23" s="183" customFormat="1" ht="15.75" customHeight="1">
      <c r="A4" s="801"/>
      <c r="B4" s="801"/>
      <c r="C4" s="801"/>
      <c r="D4" s="801"/>
      <c r="E4" s="801"/>
      <c r="F4" s="801"/>
      <c r="G4" s="801"/>
      <c r="H4" s="801"/>
      <c r="I4" s="801"/>
      <c r="J4" s="801"/>
      <c r="K4" s="801"/>
      <c r="L4" s="801"/>
      <c r="M4" s="801"/>
      <c r="N4" s="185"/>
      <c r="R4" s="182"/>
      <c r="S4" s="182"/>
      <c r="T4" s="182"/>
      <c r="U4" s="182"/>
      <c r="V4" s="182"/>
      <c r="W4" s="182"/>
    </row>
    <row r="5" spans="1:23" ht="15.75" customHeight="1">
      <c r="A5" s="803" t="s">
        <v>504</v>
      </c>
      <c r="B5" s="878">
        <v>1</v>
      </c>
      <c r="C5" s="878"/>
      <c r="D5" s="878">
        <v>2</v>
      </c>
      <c r="E5" s="878"/>
      <c r="F5" s="878">
        <v>3</v>
      </c>
      <c r="G5" s="878"/>
      <c r="H5" s="806">
        <v>4</v>
      </c>
      <c r="I5" s="806"/>
      <c r="J5" s="806">
        <v>5</v>
      </c>
      <c r="K5" s="806"/>
      <c r="L5" s="806">
        <v>6</v>
      </c>
      <c r="M5" s="806"/>
      <c r="N5" s="806">
        <v>7</v>
      </c>
      <c r="O5" s="806"/>
      <c r="P5" s="806">
        <v>8</v>
      </c>
      <c r="Q5" s="806"/>
    </row>
    <row r="6" spans="1:23" ht="15.75" customHeight="1">
      <c r="A6" s="803"/>
      <c r="B6" s="879" t="s">
        <v>507</v>
      </c>
      <c r="C6" s="879"/>
      <c r="D6" s="879" t="s">
        <v>508</v>
      </c>
      <c r="E6" s="879"/>
      <c r="F6" s="879" t="s">
        <v>509</v>
      </c>
      <c r="G6" s="879"/>
      <c r="H6" s="877" t="s">
        <v>510</v>
      </c>
      <c r="I6" s="803"/>
      <c r="J6" s="803" t="s">
        <v>511</v>
      </c>
      <c r="K6" s="803"/>
      <c r="L6" s="803" t="s">
        <v>512</v>
      </c>
      <c r="M6" s="803"/>
      <c r="N6" s="803" t="s">
        <v>513</v>
      </c>
      <c r="O6" s="803"/>
      <c r="P6" s="877" t="s">
        <v>514</v>
      </c>
      <c r="Q6" s="803"/>
    </row>
    <row r="8" spans="1:23" s="332" customFormat="1" ht="15.75" customHeight="1">
      <c r="A8" s="848" t="s">
        <v>755</v>
      </c>
      <c r="B8" s="849"/>
      <c r="C8" s="547" t="s">
        <v>756</v>
      </c>
      <c r="D8" s="850" t="s">
        <v>12</v>
      </c>
      <c r="E8" s="851"/>
      <c r="F8" s="852"/>
      <c r="G8" s="545" t="s">
        <v>757</v>
      </c>
      <c r="H8" s="546"/>
      <c r="I8" s="547"/>
      <c r="J8" s="169" t="s">
        <v>758</v>
      </c>
      <c r="K8" s="331" t="s">
        <v>797</v>
      </c>
      <c r="L8" s="169" t="s">
        <v>760</v>
      </c>
      <c r="M8" s="169" t="s">
        <v>11</v>
      </c>
      <c r="N8" s="331" t="s">
        <v>761</v>
      </c>
      <c r="O8" s="853" t="s">
        <v>762</v>
      </c>
      <c r="P8" s="854"/>
      <c r="R8" s="182"/>
      <c r="S8" s="182"/>
      <c r="T8" s="182"/>
      <c r="U8" s="182"/>
      <c r="V8" s="182"/>
      <c r="W8" s="182"/>
    </row>
    <row r="9" spans="1:23" ht="15.75" customHeight="1">
      <c r="A9" s="740">
        <v>1</v>
      </c>
      <c r="B9" s="836" t="s">
        <v>763</v>
      </c>
      <c r="C9" s="170">
        <v>1</v>
      </c>
      <c r="D9" s="561">
        <v>0</v>
      </c>
      <c r="E9" s="839"/>
      <c r="F9" s="840"/>
      <c r="G9" s="561">
        <v>0</v>
      </c>
      <c r="H9" s="839"/>
      <c r="I9" s="840"/>
      <c r="J9" s="4">
        <v>0</v>
      </c>
      <c r="K9" s="14">
        <v>0</v>
      </c>
      <c r="L9" s="4">
        <v>0</v>
      </c>
      <c r="M9" s="440">
        <v>0</v>
      </c>
      <c r="N9" s="171"/>
      <c r="O9" s="844"/>
      <c r="P9" s="845"/>
    </row>
    <row r="10" spans="1:23" ht="15.75" customHeight="1">
      <c r="A10" s="741"/>
      <c r="B10" s="837"/>
      <c r="C10" s="170">
        <v>2</v>
      </c>
      <c r="D10" s="561">
        <v>0</v>
      </c>
      <c r="E10" s="839"/>
      <c r="F10" s="840"/>
      <c r="G10" s="561">
        <v>0</v>
      </c>
      <c r="H10" s="839"/>
      <c r="I10" s="840"/>
      <c r="J10" s="4">
        <v>0</v>
      </c>
      <c r="K10" s="14">
        <v>0</v>
      </c>
      <c r="L10" s="4">
        <v>0</v>
      </c>
      <c r="M10" s="440">
        <v>0</v>
      </c>
      <c r="N10" s="171"/>
      <c r="O10" s="844"/>
      <c r="P10" s="845"/>
    </row>
    <row r="11" spans="1:23" ht="15.75" customHeight="1">
      <c r="A11" s="741"/>
      <c r="B11" s="837"/>
      <c r="C11" s="170">
        <v>3</v>
      </c>
      <c r="D11" s="561">
        <v>0</v>
      </c>
      <c r="E11" s="839"/>
      <c r="F11" s="840"/>
      <c r="G11" s="561">
        <v>0</v>
      </c>
      <c r="H11" s="839"/>
      <c r="I11" s="840"/>
      <c r="J11" s="4">
        <v>0</v>
      </c>
      <c r="K11" s="14">
        <v>0</v>
      </c>
      <c r="L11" s="4">
        <v>0</v>
      </c>
      <c r="M11" s="440">
        <v>0</v>
      </c>
      <c r="N11" s="171"/>
      <c r="O11" s="844"/>
      <c r="P11" s="845"/>
    </row>
    <row r="12" spans="1:23" ht="15.75" customHeight="1">
      <c r="A12" s="741"/>
      <c r="B12" s="837"/>
      <c r="C12" s="170">
        <v>4</v>
      </c>
      <c r="D12" s="561">
        <v>0</v>
      </c>
      <c r="E12" s="839"/>
      <c r="F12" s="840"/>
      <c r="G12" s="561">
        <v>0</v>
      </c>
      <c r="H12" s="839"/>
      <c r="I12" s="840"/>
      <c r="J12" s="4">
        <v>0</v>
      </c>
      <c r="K12" s="14">
        <v>0</v>
      </c>
      <c r="L12" s="4">
        <v>0</v>
      </c>
      <c r="M12" s="440">
        <v>0</v>
      </c>
      <c r="N12" s="171"/>
      <c r="O12" s="844"/>
      <c r="P12" s="845"/>
    </row>
    <row r="13" spans="1:23" ht="15.75" customHeight="1" thickBot="1">
      <c r="A13" s="741"/>
      <c r="B13" s="837"/>
      <c r="C13" s="172">
        <v>5</v>
      </c>
      <c r="D13" s="561">
        <v>0</v>
      </c>
      <c r="E13" s="839"/>
      <c r="F13" s="840"/>
      <c r="G13" s="561">
        <v>0</v>
      </c>
      <c r="H13" s="839"/>
      <c r="I13" s="840"/>
      <c r="J13" s="4">
        <v>0</v>
      </c>
      <c r="K13" s="14">
        <v>0</v>
      </c>
      <c r="L13" s="4">
        <v>0</v>
      </c>
      <c r="M13" s="440">
        <v>0</v>
      </c>
      <c r="N13" s="173"/>
      <c r="O13" s="846"/>
      <c r="P13" s="847"/>
    </row>
    <row r="14" spans="1:23" ht="15.75" customHeight="1" thickTop="1" thickBot="1">
      <c r="A14" s="742"/>
      <c r="B14" s="838"/>
      <c r="C14" s="830"/>
      <c r="D14" s="831"/>
      <c r="E14" s="831"/>
      <c r="F14" s="831"/>
      <c r="G14" s="831"/>
      <c r="H14" s="831"/>
      <c r="I14" s="832"/>
      <c r="J14" s="330" t="s">
        <v>764</v>
      </c>
      <c r="K14" s="244">
        <v>0</v>
      </c>
      <c r="L14" s="330" t="s">
        <v>765</v>
      </c>
      <c r="M14" s="441">
        <v>0</v>
      </c>
      <c r="N14" s="833"/>
      <c r="O14" s="834"/>
      <c r="P14" s="835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48" t="s">
        <v>755</v>
      </c>
      <c r="B16" s="849"/>
      <c r="C16" s="547" t="s">
        <v>756</v>
      </c>
      <c r="D16" s="850" t="s">
        <v>12</v>
      </c>
      <c r="E16" s="851"/>
      <c r="F16" s="852"/>
      <c r="G16" s="545" t="s">
        <v>757</v>
      </c>
      <c r="H16" s="546"/>
      <c r="I16" s="547"/>
      <c r="J16" s="169" t="s">
        <v>758</v>
      </c>
      <c r="K16" s="331" t="s">
        <v>797</v>
      </c>
      <c r="L16" s="169" t="s">
        <v>760</v>
      </c>
      <c r="M16" s="169" t="s">
        <v>11</v>
      </c>
      <c r="N16" s="331" t="s">
        <v>761</v>
      </c>
      <c r="O16" s="853" t="s">
        <v>762</v>
      </c>
      <c r="P16" s="854"/>
    </row>
    <row r="17" spans="1:16" ht="15.75" customHeight="1">
      <c r="A17" s="740">
        <v>2</v>
      </c>
      <c r="B17" s="836" t="s">
        <v>766</v>
      </c>
      <c r="C17" s="170">
        <v>1</v>
      </c>
      <c r="D17" s="561" t="s">
        <v>798</v>
      </c>
      <c r="E17" s="839"/>
      <c r="F17" s="840"/>
      <c r="G17" s="561" t="s">
        <v>799</v>
      </c>
      <c r="H17" s="839"/>
      <c r="I17" s="840"/>
      <c r="J17" s="4">
        <v>413.08</v>
      </c>
      <c r="K17" s="14">
        <v>8.8690984506527362E-2</v>
      </c>
      <c r="L17" s="4">
        <v>0.74948453608247867</v>
      </c>
      <c r="M17" s="440">
        <v>309.5970721649503</v>
      </c>
      <c r="N17" s="171"/>
      <c r="O17" s="844" t="s">
        <v>800</v>
      </c>
      <c r="P17" s="845"/>
    </row>
    <row r="18" spans="1:16" ht="15.75" customHeight="1">
      <c r="A18" s="741"/>
      <c r="B18" s="837"/>
      <c r="C18" s="170">
        <v>2</v>
      </c>
      <c r="D18" s="561" t="s">
        <v>340</v>
      </c>
      <c r="E18" s="839"/>
      <c r="F18" s="840"/>
      <c r="G18" s="561" t="s">
        <v>731</v>
      </c>
      <c r="H18" s="839"/>
      <c r="I18" s="840"/>
      <c r="J18" s="4">
        <v>413.08</v>
      </c>
      <c r="K18" s="14">
        <v>0.13273647333592956</v>
      </c>
      <c r="L18" s="4">
        <v>0.70309278350516013</v>
      </c>
      <c r="M18" s="440">
        <v>290.43356701031155</v>
      </c>
      <c r="N18" s="171"/>
      <c r="O18" s="844" t="s">
        <v>800</v>
      </c>
      <c r="P18" s="845"/>
    </row>
    <row r="19" spans="1:16" ht="15.75" customHeight="1">
      <c r="A19" s="741"/>
      <c r="B19" s="837"/>
      <c r="C19" s="170">
        <v>3</v>
      </c>
      <c r="D19" s="561">
        <v>0</v>
      </c>
      <c r="E19" s="839"/>
      <c r="F19" s="840"/>
      <c r="G19" s="561">
        <v>0</v>
      </c>
      <c r="H19" s="839"/>
      <c r="I19" s="840"/>
      <c r="J19" s="4">
        <v>0</v>
      </c>
      <c r="K19" s="14">
        <v>0</v>
      </c>
      <c r="L19" s="4">
        <v>0</v>
      </c>
      <c r="M19" s="440">
        <v>0</v>
      </c>
      <c r="N19" s="171"/>
      <c r="O19" s="844"/>
      <c r="P19" s="845"/>
    </row>
    <row r="20" spans="1:16" ht="15.75" customHeight="1">
      <c r="A20" s="741"/>
      <c r="B20" s="837"/>
      <c r="C20" s="170">
        <v>4</v>
      </c>
      <c r="D20" s="561">
        <v>0</v>
      </c>
      <c r="E20" s="839"/>
      <c r="F20" s="840"/>
      <c r="G20" s="561">
        <v>0</v>
      </c>
      <c r="H20" s="839"/>
      <c r="I20" s="840"/>
      <c r="J20" s="4">
        <v>0</v>
      </c>
      <c r="K20" s="14">
        <v>0</v>
      </c>
      <c r="L20" s="4">
        <v>0</v>
      </c>
      <c r="M20" s="440">
        <v>0</v>
      </c>
      <c r="N20" s="171"/>
      <c r="O20" s="844"/>
      <c r="P20" s="845"/>
    </row>
    <row r="21" spans="1:16" ht="15.75" customHeight="1" thickBot="1">
      <c r="A21" s="741"/>
      <c r="B21" s="837"/>
      <c r="C21" s="172">
        <v>5</v>
      </c>
      <c r="D21" s="561">
        <v>0</v>
      </c>
      <c r="E21" s="839"/>
      <c r="F21" s="840"/>
      <c r="G21" s="561">
        <v>0</v>
      </c>
      <c r="H21" s="839"/>
      <c r="I21" s="840"/>
      <c r="J21" s="4">
        <v>0</v>
      </c>
      <c r="K21" s="14">
        <v>0</v>
      </c>
      <c r="L21" s="4">
        <v>0</v>
      </c>
      <c r="M21" s="440">
        <v>0</v>
      </c>
      <c r="N21" s="173"/>
      <c r="O21" s="844"/>
      <c r="P21" s="845"/>
    </row>
    <row r="22" spans="1:16" ht="15.75" customHeight="1" thickTop="1" thickBot="1">
      <c r="A22" s="742"/>
      <c r="B22" s="838"/>
      <c r="C22" s="841"/>
      <c r="D22" s="842"/>
      <c r="E22" s="842"/>
      <c r="F22" s="842"/>
      <c r="G22" s="842"/>
      <c r="H22" s="842"/>
      <c r="I22" s="843"/>
      <c r="J22" s="330" t="s">
        <v>764</v>
      </c>
      <c r="K22" s="244">
        <v>2.2782077367045537E-3</v>
      </c>
      <c r="L22" s="330" t="s">
        <v>765</v>
      </c>
      <c r="M22" s="441">
        <v>600.03063917526185</v>
      </c>
      <c r="N22" s="833"/>
      <c r="O22" s="834"/>
      <c r="P22" s="835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48" t="s">
        <v>755</v>
      </c>
      <c r="B24" s="849"/>
      <c r="C24" s="547" t="s">
        <v>756</v>
      </c>
      <c r="D24" s="850" t="s">
        <v>12</v>
      </c>
      <c r="E24" s="851"/>
      <c r="F24" s="852"/>
      <c r="G24" s="545" t="s">
        <v>757</v>
      </c>
      <c r="H24" s="546"/>
      <c r="I24" s="547"/>
      <c r="J24" s="169" t="s">
        <v>758</v>
      </c>
      <c r="K24" s="331" t="s">
        <v>797</v>
      </c>
      <c r="L24" s="169" t="s">
        <v>760</v>
      </c>
      <c r="M24" s="169" t="s">
        <v>11</v>
      </c>
      <c r="N24" s="331" t="s">
        <v>761</v>
      </c>
      <c r="O24" s="853" t="s">
        <v>762</v>
      </c>
      <c r="P24" s="854"/>
    </row>
    <row r="25" spans="1:16" ht="15.75" customHeight="1">
      <c r="A25" s="740">
        <v>3</v>
      </c>
      <c r="B25" s="836" t="s">
        <v>769</v>
      </c>
      <c r="C25" s="170">
        <v>1</v>
      </c>
      <c r="D25" s="561" t="s">
        <v>522</v>
      </c>
      <c r="E25" s="839"/>
      <c r="F25" s="840"/>
      <c r="G25" s="561" t="s">
        <v>739</v>
      </c>
      <c r="H25" s="839"/>
      <c r="I25" s="840"/>
      <c r="J25" s="4">
        <v>103.97</v>
      </c>
      <c r="K25" s="14">
        <v>3.0880230880230848E-2</v>
      </c>
      <c r="L25" s="4">
        <v>2.6749999999999972</v>
      </c>
      <c r="M25" s="440">
        <v>278.11974999999973</v>
      </c>
      <c r="N25" s="171"/>
      <c r="O25" s="844" t="s">
        <v>527</v>
      </c>
      <c r="P25" s="845"/>
    </row>
    <row r="26" spans="1:16" ht="15.75" customHeight="1">
      <c r="A26" s="741"/>
      <c r="B26" s="837"/>
      <c r="C26" s="170">
        <v>2</v>
      </c>
      <c r="D26" s="561" t="s">
        <v>526</v>
      </c>
      <c r="E26" s="839"/>
      <c r="F26" s="840"/>
      <c r="G26" s="561" t="s">
        <v>720</v>
      </c>
      <c r="H26" s="839"/>
      <c r="I26" s="840"/>
      <c r="J26" s="4">
        <v>462.04</v>
      </c>
      <c r="K26" s="14">
        <v>5.9850374064837772E-2</v>
      </c>
      <c r="L26" s="4">
        <v>0.57599999999999874</v>
      </c>
      <c r="M26" s="440">
        <v>266.13503999999944</v>
      </c>
      <c r="N26" s="171"/>
      <c r="O26" s="844" t="s">
        <v>527</v>
      </c>
      <c r="P26" s="845"/>
    </row>
    <row r="27" spans="1:16" ht="15.75" customHeight="1">
      <c r="A27" s="741"/>
      <c r="B27" s="837"/>
      <c r="C27" s="170">
        <v>3</v>
      </c>
      <c r="D27" s="561" t="s">
        <v>345</v>
      </c>
      <c r="E27" s="839"/>
      <c r="F27" s="840"/>
      <c r="G27" s="561" t="s">
        <v>801</v>
      </c>
      <c r="H27" s="839"/>
      <c r="I27" s="840"/>
      <c r="J27" s="4">
        <v>354.37</v>
      </c>
      <c r="K27" s="14">
        <v>5.3702492551413475E-2</v>
      </c>
      <c r="L27" s="4">
        <v>0.73900000000000077</v>
      </c>
      <c r="M27" s="440">
        <v>261.8794300000003</v>
      </c>
      <c r="N27" s="171"/>
      <c r="O27" s="844" t="s">
        <v>527</v>
      </c>
      <c r="P27" s="845"/>
    </row>
    <row r="28" spans="1:16" ht="15.75" customHeight="1">
      <c r="A28" s="741"/>
      <c r="B28" s="837"/>
      <c r="C28" s="170">
        <v>4</v>
      </c>
      <c r="D28" s="561" t="s">
        <v>532</v>
      </c>
      <c r="E28" s="839"/>
      <c r="F28" s="840"/>
      <c r="G28" s="561" t="s">
        <v>706</v>
      </c>
      <c r="H28" s="839"/>
      <c r="I28" s="840"/>
      <c r="J28" s="4">
        <v>240.51</v>
      </c>
      <c r="K28" s="14">
        <v>3.3415841584158362E-2</v>
      </c>
      <c r="L28" s="4">
        <v>1.0799999999999983</v>
      </c>
      <c r="M28" s="440">
        <v>259.75079999999957</v>
      </c>
      <c r="N28" s="171"/>
      <c r="O28" s="844" t="s">
        <v>527</v>
      </c>
      <c r="P28" s="845"/>
    </row>
    <row r="29" spans="1:16" ht="15.75" customHeight="1" thickBot="1">
      <c r="A29" s="741"/>
      <c r="B29" s="837"/>
      <c r="C29" s="172">
        <v>5</v>
      </c>
      <c r="D29" s="561">
        <v>0</v>
      </c>
      <c r="E29" s="839"/>
      <c r="F29" s="840"/>
      <c r="G29" s="561">
        <v>0</v>
      </c>
      <c r="H29" s="839"/>
      <c r="I29" s="840"/>
      <c r="J29" s="4">
        <v>0</v>
      </c>
      <c r="K29" s="14">
        <v>0</v>
      </c>
      <c r="L29" s="4">
        <v>0</v>
      </c>
      <c r="M29" s="440">
        <v>0</v>
      </c>
      <c r="N29" s="173"/>
      <c r="O29" s="846"/>
      <c r="P29" s="847"/>
    </row>
    <row r="30" spans="1:16" ht="15.75" customHeight="1" thickTop="1" thickBot="1">
      <c r="A30" s="742"/>
      <c r="B30" s="838"/>
      <c r="C30" s="830"/>
      <c r="D30" s="831"/>
      <c r="E30" s="831"/>
      <c r="F30" s="831"/>
      <c r="G30" s="831"/>
      <c r="H30" s="831"/>
      <c r="I30" s="832"/>
      <c r="J30" s="330" t="s">
        <v>764</v>
      </c>
      <c r="K30" s="244">
        <v>4.0469725051693667E-3</v>
      </c>
      <c r="L30" s="330" t="s">
        <v>765</v>
      </c>
      <c r="M30" s="441">
        <v>1065.885019999999</v>
      </c>
      <c r="N30" s="833"/>
      <c r="O30" s="834"/>
      <c r="P30" s="835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36" customWidth="1"/>
    <col min="2" max="2" width="11.42578125" style="337" customWidth="1"/>
    <col min="3" max="3" width="4" style="338" customWidth="1"/>
    <col min="4" max="17" width="9.5703125" style="336" customWidth="1"/>
    <col min="18" max="16384" width="12.5703125" style="336"/>
  </cols>
  <sheetData>
    <row r="1" spans="1:23" s="182" customFormat="1" ht="15.75" customHeight="1">
      <c r="A1" s="800" t="s">
        <v>505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0"/>
    </row>
    <row r="2" spans="1:23" s="183" customFormat="1" ht="15.75" customHeight="1">
      <c r="A2" s="800"/>
      <c r="B2" s="800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0"/>
    </row>
    <row r="3" spans="1:23" s="182" customFormat="1" ht="15.75" customHeight="1">
      <c r="A3" s="801" t="s">
        <v>506</v>
      </c>
      <c r="B3" s="801"/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184"/>
    </row>
    <row r="4" spans="1:23" s="183" customFormat="1" ht="15.75" customHeight="1">
      <c r="A4" s="801"/>
      <c r="B4" s="801"/>
      <c r="C4" s="801"/>
      <c r="D4" s="801"/>
      <c r="E4" s="801"/>
      <c r="F4" s="801"/>
      <c r="G4" s="801"/>
      <c r="H4" s="801"/>
      <c r="I4" s="801"/>
      <c r="J4" s="801"/>
      <c r="K4" s="801"/>
      <c r="L4" s="801"/>
      <c r="M4" s="801"/>
      <c r="N4" s="185"/>
    </row>
    <row r="5" spans="1:23" s="182" customFormat="1" ht="15.75" customHeight="1">
      <c r="A5" s="803" t="s">
        <v>504</v>
      </c>
      <c r="B5" s="806">
        <v>1</v>
      </c>
      <c r="C5" s="806"/>
      <c r="D5" s="806">
        <v>2</v>
      </c>
      <c r="E5" s="806"/>
      <c r="F5" s="806">
        <v>3</v>
      </c>
      <c r="G5" s="806"/>
      <c r="H5" s="878">
        <v>4</v>
      </c>
      <c r="I5" s="878"/>
      <c r="J5" s="878">
        <v>5</v>
      </c>
      <c r="K5" s="878"/>
      <c r="L5" s="878">
        <v>6</v>
      </c>
      <c r="M5" s="878"/>
      <c r="N5" s="878">
        <v>7</v>
      </c>
      <c r="O5" s="878"/>
      <c r="P5" s="806">
        <v>8</v>
      </c>
      <c r="Q5" s="806"/>
    </row>
    <row r="6" spans="1:23" s="182" customFormat="1" ht="15.75" customHeight="1">
      <c r="A6" s="803"/>
      <c r="B6" s="803" t="s">
        <v>507</v>
      </c>
      <c r="C6" s="803"/>
      <c r="D6" s="803" t="s">
        <v>508</v>
      </c>
      <c r="E6" s="803"/>
      <c r="F6" s="803" t="s">
        <v>509</v>
      </c>
      <c r="G6" s="803"/>
      <c r="H6" s="880" t="s">
        <v>510</v>
      </c>
      <c r="I6" s="879"/>
      <c r="J6" s="879" t="s">
        <v>511</v>
      </c>
      <c r="K6" s="879"/>
      <c r="L6" s="879" t="s">
        <v>512</v>
      </c>
      <c r="M6" s="879"/>
      <c r="N6" s="879" t="s">
        <v>513</v>
      </c>
      <c r="O6" s="879"/>
      <c r="P6" s="877" t="s">
        <v>514</v>
      </c>
      <c r="Q6" s="803"/>
    </row>
    <row r="7" spans="1:23" s="182" customFormat="1" ht="15.75" customHeight="1">
      <c r="B7" s="333"/>
      <c r="C7" s="334"/>
    </row>
    <row r="8" spans="1:23" s="335" customFormat="1" ht="15.75" customHeight="1">
      <c r="A8" s="860" t="s">
        <v>755</v>
      </c>
      <c r="B8" s="861"/>
      <c r="C8" s="116" t="s">
        <v>756</v>
      </c>
      <c r="D8" s="862" t="s">
        <v>12</v>
      </c>
      <c r="E8" s="863"/>
      <c r="F8" s="864"/>
      <c r="G8" s="114" t="s">
        <v>757</v>
      </c>
      <c r="H8" s="115"/>
      <c r="I8" s="116"/>
      <c r="J8" s="113" t="s">
        <v>758</v>
      </c>
      <c r="K8" s="113" t="s">
        <v>797</v>
      </c>
      <c r="L8" s="113" t="s">
        <v>760</v>
      </c>
      <c r="M8" s="117" t="s">
        <v>11</v>
      </c>
      <c r="N8" s="331" t="s">
        <v>761</v>
      </c>
      <c r="O8" s="865" t="s">
        <v>762</v>
      </c>
      <c r="P8" s="866"/>
      <c r="R8" s="182"/>
      <c r="S8" s="182"/>
      <c r="T8" s="182"/>
      <c r="U8" s="182"/>
      <c r="V8" s="182"/>
      <c r="W8" s="182"/>
    </row>
    <row r="9" spans="1:23" ht="15.75" customHeight="1">
      <c r="A9" s="861">
        <v>4</v>
      </c>
      <c r="B9" s="868" t="s">
        <v>502</v>
      </c>
      <c r="C9" s="111">
        <v>1</v>
      </c>
      <c r="D9" s="561" t="s">
        <v>332</v>
      </c>
      <c r="E9" s="839"/>
      <c r="F9" s="840"/>
      <c r="G9" s="561" t="s">
        <v>709</v>
      </c>
      <c r="H9" s="839"/>
      <c r="I9" s="840"/>
      <c r="J9" s="4">
        <v>361.51</v>
      </c>
      <c r="K9" s="14">
        <v>1.6428735287370599E-2</v>
      </c>
      <c r="L9" s="4">
        <v>0.93100000000000449</v>
      </c>
      <c r="M9" s="440">
        <v>336.56581000000159</v>
      </c>
      <c r="N9" s="4"/>
      <c r="O9" s="844" t="s">
        <v>453</v>
      </c>
      <c r="P9" s="874"/>
      <c r="R9" s="182"/>
      <c r="S9" s="182"/>
      <c r="T9" s="182"/>
      <c r="U9" s="182"/>
      <c r="V9" s="182"/>
      <c r="W9" s="182"/>
    </row>
    <row r="10" spans="1:23" ht="15.75" customHeight="1">
      <c r="A10" s="861"/>
      <c r="B10" s="868"/>
      <c r="C10" s="111">
        <v>2</v>
      </c>
      <c r="D10" s="561" t="s">
        <v>705</v>
      </c>
      <c r="E10" s="839"/>
      <c r="F10" s="840"/>
      <c r="G10" s="561" t="s">
        <v>707</v>
      </c>
      <c r="H10" s="839"/>
      <c r="I10" s="840"/>
      <c r="J10" s="4">
        <v>118.03</v>
      </c>
      <c r="K10" s="14">
        <v>8.4421986689675946E-3</v>
      </c>
      <c r="L10" s="4">
        <v>2.7400000000001228</v>
      </c>
      <c r="M10" s="440">
        <v>323.40220000001449</v>
      </c>
      <c r="N10" s="4"/>
      <c r="O10" s="844" t="s">
        <v>453</v>
      </c>
      <c r="P10" s="874"/>
      <c r="R10" s="182"/>
      <c r="S10" s="182"/>
      <c r="T10" s="182"/>
      <c r="U10" s="182"/>
      <c r="V10" s="182"/>
      <c r="W10" s="182"/>
    </row>
    <row r="11" spans="1:23" ht="15.75" customHeight="1">
      <c r="A11" s="861"/>
      <c r="B11" s="868"/>
      <c r="C11" s="111">
        <v>3</v>
      </c>
      <c r="D11" s="561" t="s">
        <v>332</v>
      </c>
      <c r="E11" s="839"/>
      <c r="F11" s="840"/>
      <c r="G11" s="561" t="s">
        <v>787</v>
      </c>
      <c r="H11" s="839"/>
      <c r="I11" s="840"/>
      <c r="J11" s="4">
        <v>116.66</v>
      </c>
      <c r="K11" s="14">
        <v>8.5689020917188059E-3</v>
      </c>
      <c r="L11" s="4">
        <v>2.7230000000001269</v>
      </c>
      <c r="M11" s="440">
        <v>317.6651800000148</v>
      </c>
      <c r="N11" s="4"/>
      <c r="O11" s="844" t="s">
        <v>453</v>
      </c>
      <c r="P11" s="874"/>
      <c r="R11" s="182"/>
      <c r="S11" s="182"/>
      <c r="T11" s="182"/>
      <c r="U11" s="182"/>
      <c r="V11" s="182"/>
      <c r="W11" s="182"/>
    </row>
    <row r="12" spans="1:23" ht="15.75" customHeight="1">
      <c r="A12" s="861"/>
      <c r="B12" s="868"/>
      <c r="C12" s="111">
        <v>4</v>
      </c>
      <c r="D12" s="561" t="s">
        <v>802</v>
      </c>
      <c r="E12" s="839"/>
      <c r="F12" s="840"/>
      <c r="G12" s="561" t="s">
        <v>803</v>
      </c>
      <c r="H12" s="839"/>
      <c r="I12" s="840"/>
      <c r="J12" s="4">
        <v>103.55</v>
      </c>
      <c r="K12" s="14">
        <v>5.8564865024747642E-3</v>
      </c>
      <c r="L12" s="4">
        <v>2.9700000000000273</v>
      </c>
      <c r="M12" s="440">
        <v>307.54350000000284</v>
      </c>
      <c r="N12" s="4"/>
      <c r="O12" s="844" t="s">
        <v>453</v>
      </c>
      <c r="P12" s="874"/>
      <c r="R12" s="182"/>
      <c r="S12" s="182"/>
      <c r="T12" s="182"/>
      <c r="U12" s="182"/>
      <c r="V12" s="182"/>
      <c r="W12" s="182"/>
    </row>
    <row r="13" spans="1:23" ht="15.75" customHeight="1" thickBot="1">
      <c r="A13" s="861"/>
      <c r="B13" s="868"/>
      <c r="C13" s="112">
        <v>5</v>
      </c>
      <c r="D13" s="561" t="s">
        <v>354</v>
      </c>
      <c r="E13" s="839"/>
      <c r="F13" s="840"/>
      <c r="G13" s="561" t="s">
        <v>714</v>
      </c>
      <c r="H13" s="839"/>
      <c r="I13" s="840"/>
      <c r="J13" s="4">
        <v>371.13</v>
      </c>
      <c r="K13" s="14">
        <v>4.8818729287674325E-3</v>
      </c>
      <c r="L13" s="4">
        <v>0.82200000000000273</v>
      </c>
      <c r="M13" s="440">
        <v>305.068860000001</v>
      </c>
      <c r="N13" s="4"/>
      <c r="O13" s="844" t="s">
        <v>453</v>
      </c>
      <c r="P13" s="874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61"/>
      <c r="B14" s="868"/>
      <c r="C14" s="876"/>
      <c r="D14" s="876"/>
      <c r="E14" s="876"/>
      <c r="F14" s="876"/>
      <c r="G14" s="876"/>
      <c r="H14" s="876"/>
      <c r="I14" s="876"/>
      <c r="J14" s="245" t="s">
        <v>764</v>
      </c>
      <c r="K14" s="244">
        <v>6.037874532956739E-3</v>
      </c>
      <c r="L14" s="245" t="s">
        <v>765</v>
      </c>
      <c r="M14" s="441">
        <v>1590.2455500000349</v>
      </c>
      <c r="N14" s="875"/>
      <c r="O14" s="875"/>
      <c r="P14" s="875"/>
      <c r="R14" s="182"/>
      <c r="S14" s="182"/>
      <c r="T14" s="182"/>
      <c r="U14" s="182"/>
      <c r="V14" s="182"/>
      <c r="W14" s="182"/>
    </row>
    <row r="15" spans="1:23" ht="15.75" customHeight="1" thickTop="1">
      <c r="A15" s="543"/>
      <c r="B15" s="110"/>
      <c r="C15" s="108"/>
      <c r="D15" s="543"/>
      <c r="E15" s="543"/>
      <c r="F15" s="543"/>
      <c r="G15" s="543"/>
      <c r="H15" s="543"/>
      <c r="I15" s="543"/>
      <c r="J15" s="543"/>
      <c r="K15" s="543"/>
      <c r="L15" s="543"/>
      <c r="M15" s="543"/>
      <c r="N15" s="543"/>
      <c r="O15" s="543"/>
      <c r="P15" s="543"/>
      <c r="R15" s="182"/>
      <c r="S15" s="182"/>
      <c r="T15" s="182"/>
      <c r="U15" s="182"/>
      <c r="V15" s="182"/>
      <c r="W15" s="182"/>
    </row>
    <row r="16" spans="1:23" ht="15.75" customHeight="1">
      <c r="A16" s="860" t="s">
        <v>755</v>
      </c>
      <c r="B16" s="861"/>
      <c r="C16" s="116" t="s">
        <v>756</v>
      </c>
      <c r="D16" s="862" t="s">
        <v>12</v>
      </c>
      <c r="E16" s="863"/>
      <c r="F16" s="864"/>
      <c r="G16" s="114" t="s">
        <v>757</v>
      </c>
      <c r="H16" s="115"/>
      <c r="I16" s="116"/>
      <c r="J16" s="113" t="s">
        <v>758</v>
      </c>
      <c r="K16" s="113" t="s">
        <v>797</v>
      </c>
      <c r="L16" s="113" t="s">
        <v>760</v>
      </c>
      <c r="M16" s="117" t="s">
        <v>11</v>
      </c>
      <c r="N16" s="331" t="s">
        <v>761</v>
      </c>
      <c r="O16" s="865" t="s">
        <v>762</v>
      </c>
      <c r="P16" s="866"/>
      <c r="R16" s="182"/>
      <c r="S16" s="182"/>
      <c r="T16" s="182"/>
      <c r="U16" s="182"/>
      <c r="V16" s="182"/>
      <c r="W16" s="182"/>
    </row>
    <row r="17" spans="1:23" ht="15.75" customHeight="1">
      <c r="A17" s="861">
        <v>5</v>
      </c>
      <c r="B17" s="867" t="s">
        <v>194</v>
      </c>
      <c r="C17" s="111">
        <v>1</v>
      </c>
      <c r="D17" s="561" t="s">
        <v>351</v>
      </c>
      <c r="E17" s="839"/>
      <c r="F17" s="840"/>
      <c r="G17" s="561" t="s">
        <v>804</v>
      </c>
      <c r="H17" s="839"/>
      <c r="I17" s="840"/>
      <c r="J17" s="4">
        <v>241.7</v>
      </c>
      <c r="K17" s="14">
        <v>3.7956888472352332E-2</v>
      </c>
      <c r="L17" s="4">
        <v>1.6199999999999974</v>
      </c>
      <c r="M17" s="440">
        <v>391.55399999999935</v>
      </c>
      <c r="N17" s="4"/>
      <c r="O17" s="844" t="s">
        <v>515</v>
      </c>
      <c r="P17" s="845"/>
      <c r="R17" s="182"/>
      <c r="S17" s="182"/>
      <c r="T17" s="182"/>
      <c r="U17" s="182"/>
      <c r="V17" s="182"/>
      <c r="W17" s="182"/>
    </row>
    <row r="18" spans="1:23" ht="15.75" customHeight="1">
      <c r="A18" s="861"/>
      <c r="B18" s="868"/>
      <c r="C18" s="111">
        <v>2</v>
      </c>
      <c r="D18" s="561" t="s">
        <v>601</v>
      </c>
      <c r="E18" s="839"/>
      <c r="F18" s="840"/>
      <c r="G18" s="561" t="s">
        <v>602</v>
      </c>
      <c r="H18" s="839"/>
      <c r="I18" s="840"/>
      <c r="J18" s="4">
        <v>447.3</v>
      </c>
      <c r="K18" s="14">
        <v>9.1324200913243305E-3</v>
      </c>
      <c r="L18" s="4">
        <v>0.80000000000001137</v>
      </c>
      <c r="M18" s="440">
        <v>357.84000000000509</v>
      </c>
      <c r="N18" s="4"/>
      <c r="O18" s="844" t="s">
        <v>515</v>
      </c>
      <c r="P18" s="845"/>
      <c r="R18" s="182"/>
      <c r="S18" s="182"/>
      <c r="T18" s="182"/>
      <c r="U18" s="182"/>
      <c r="V18" s="182"/>
      <c r="W18" s="182"/>
    </row>
    <row r="19" spans="1:23" ht="15.75" customHeight="1">
      <c r="A19" s="861"/>
      <c r="B19" s="868"/>
      <c r="C19" s="111">
        <v>3</v>
      </c>
      <c r="D19" s="561" t="s">
        <v>727</v>
      </c>
      <c r="E19" s="839"/>
      <c r="F19" s="840"/>
      <c r="G19" s="561" t="s">
        <v>728</v>
      </c>
      <c r="H19" s="839"/>
      <c r="I19" s="840"/>
      <c r="J19" s="4">
        <v>395.29</v>
      </c>
      <c r="K19" s="14">
        <v>6.4701653486700624E-3</v>
      </c>
      <c r="L19" s="4">
        <v>0.90000000000000568</v>
      </c>
      <c r="M19" s="440">
        <v>355.76100000000224</v>
      </c>
      <c r="N19" s="4"/>
      <c r="O19" s="844" t="s">
        <v>515</v>
      </c>
      <c r="P19" s="845"/>
      <c r="R19" s="182"/>
      <c r="S19" s="182"/>
      <c r="T19" s="182"/>
      <c r="U19" s="182"/>
      <c r="V19" s="182"/>
      <c r="W19" s="182"/>
    </row>
    <row r="20" spans="1:23" ht="15.75" customHeight="1">
      <c r="A20" s="861"/>
      <c r="B20" s="868"/>
      <c r="C20" s="111">
        <v>4</v>
      </c>
      <c r="D20" s="561" t="s">
        <v>352</v>
      </c>
      <c r="E20" s="839"/>
      <c r="F20" s="840"/>
      <c r="G20" s="561" t="s">
        <v>370</v>
      </c>
      <c r="H20" s="839"/>
      <c r="I20" s="840"/>
      <c r="J20" s="4">
        <v>420.33</v>
      </c>
      <c r="K20" s="14">
        <v>9.8312902051218357E-3</v>
      </c>
      <c r="L20" s="4">
        <v>0.80999999999998806</v>
      </c>
      <c r="M20" s="440">
        <v>340.46729999999496</v>
      </c>
      <c r="N20" s="4"/>
      <c r="O20" s="844" t="s">
        <v>515</v>
      </c>
      <c r="P20" s="845"/>
      <c r="R20" s="182"/>
      <c r="S20" s="182"/>
      <c r="T20" s="182"/>
      <c r="U20" s="182"/>
      <c r="V20" s="182"/>
      <c r="W20" s="182"/>
    </row>
    <row r="21" spans="1:23" ht="15.75" customHeight="1" thickBot="1">
      <c r="A21" s="861"/>
      <c r="B21" s="868"/>
      <c r="C21" s="112">
        <v>5</v>
      </c>
      <c r="D21" s="561" t="s">
        <v>328</v>
      </c>
      <c r="E21" s="839"/>
      <c r="F21" s="840"/>
      <c r="G21" s="561" t="s">
        <v>641</v>
      </c>
      <c r="H21" s="839"/>
      <c r="I21" s="840"/>
      <c r="J21" s="4">
        <v>272.74</v>
      </c>
      <c r="K21" s="14">
        <v>1.8430251032729529E-2</v>
      </c>
      <c r="L21" s="4">
        <v>1.1599999999999966</v>
      </c>
      <c r="M21" s="440">
        <v>316.37839999999909</v>
      </c>
      <c r="N21" s="4"/>
      <c r="O21" s="844" t="s">
        <v>515</v>
      </c>
      <c r="P21" s="845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61"/>
      <c r="B22" s="868"/>
      <c r="C22" s="869"/>
      <c r="D22" s="869"/>
      <c r="E22" s="869"/>
      <c r="F22" s="869"/>
      <c r="G22" s="869"/>
      <c r="H22" s="869"/>
      <c r="I22" s="870"/>
      <c r="J22" s="118" t="s">
        <v>764</v>
      </c>
      <c r="K22" s="244">
        <v>6.6899977513420611E-3</v>
      </c>
      <c r="L22" s="118" t="s">
        <v>765</v>
      </c>
      <c r="M22" s="441">
        <v>1762.0007000000007</v>
      </c>
      <c r="N22" s="871"/>
      <c r="O22" s="872"/>
      <c r="P22" s="873"/>
      <c r="R22" s="182"/>
      <c r="S22" s="182"/>
      <c r="T22" s="182"/>
      <c r="U22" s="182"/>
      <c r="V22" s="182"/>
      <c r="W22" s="182"/>
    </row>
    <row r="23" spans="1:23" ht="15.75" customHeight="1" thickTop="1">
      <c r="A23" s="543"/>
      <c r="B23" s="110"/>
      <c r="C23" s="108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  <c r="O23" s="543"/>
      <c r="P23" s="543"/>
      <c r="R23" s="182"/>
      <c r="S23" s="182"/>
      <c r="T23" s="182"/>
      <c r="U23" s="182"/>
      <c r="V23" s="182"/>
      <c r="W23" s="182"/>
    </row>
    <row r="24" spans="1:23" ht="15.75" customHeight="1">
      <c r="A24" s="860" t="s">
        <v>755</v>
      </c>
      <c r="B24" s="861"/>
      <c r="C24" s="116" t="s">
        <v>756</v>
      </c>
      <c r="D24" s="862" t="s">
        <v>12</v>
      </c>
      <c r="E24" s="863"/>
      <c r="F24" s="864"/>
      <c r="G24" s="114" t="s">
        <v>757</v>
      </c>
      <c r="H24" s="115"/>
      <c r="I24" s="116"/>
      <c r="J24" s="113" t="s">
        <v>758</v>
      </c>
      <c r="K24" s="113" t="s">
        <v>797</v>
      </c>
      <c r="L24" s="113" t="s">
        <v>760</v>
      </c>
      <c r="M24" s="117" t="s">
        <v>11</v>
      </c>
      <c r="N24" s="331" t="s">
        <v>761</v>
      </c>
      <c r="O24" s="865" t="s">
        <v>762</v>
      </c>
      <c r="P24" s="866"/>
      <c r="R24" s="182"/>
      <c r="S24" s="182"/>
      <c r="T24" s="182"/>
      <c r="U24" s="182"/>
      <c r="V24" s="182"/>
      <c r="W24" s="182"/>
    </row>
    <row r="25" spans="1:23" ht="15.75" customHeight="1">
      <c r="A25" s="861">
        <v>6</v>
      </c>
      <c r="B25" s="867" t="s">
        <v>195</v>
      </c>
      <c r="C25" s="111">
        <v>1</v>
      </c>
      <c r="D25" s="561" t="s">
        <v>566</v>
      </c>
      <c r="E25" s="839"/>
      <c r="F25" s="840"/>
      <c r="G25" s="561" t="s">
        <v>640</v>
      </c>
      <c r="H25" s="839"/>
      <c r="I25" s="840"/>
      <c r="J25" s="4">
        <v>444.88</v>
      </c>
      <c r="K25" s="14">
        <v>3.6134541289180415E-2</v>
      </c>
      <c r="L25" s="4">
        <v>0.69399999999999906</v>
      </c>
      <c r="M25" s="440">
        <v>308.74671999999958</v>
      </c>
      <c r="N25" s="4"/>
      <c r="O25" s="844" t="s">
        <v>805</v>
      </c>
      <c r="P25" s="874"/>
      <c r="R25" s="182"/>
      <c r="S25" s="182"/>
      <c r="T25" s="182"/>
      <c r="U25" s="182"/>
      <c r="V25" s="182"/>
      <c r="W25" s="182"/>
    </row>
    <row r="26" spans="1:23" ht="15.75" customHeight="1">
      <c r="A26" s="861"/>
      <c r="B26" s="868"/>
      <c r="C26" s="111">
        <v>2</v>
      </c>
      <c r="D26" s="561" t="s">
        <v>567</v>
      </c>
      <c r="E26" s="839"/>
      <c r="F26" s="840"/>
      <c r="G26" s="561" t="s">
        <v>333</v>
      </c>
      <c r="H26" s="839"/>
      <c r="I26" s="840"/>
      <c r="J26" s="4">
        <v>487.6</v>
      </c>
      <c r="K26" s="14">
        <v>1.528766483837069E-2</v>
      </c>
      <c r="L26" s="4">
        <v>0.5239999999999938</v>
      </c>
      <c r="M26" s="440">
        <v>255.50239999999698</v>
      </c>
      <c r="N26" s="4"/>
      <c r="O26" s="844" t="s">
        <v>697</v>
      </c>
      <c r="P26" s="874"/>
      <c r="R26" s="182"/>
      <c r="S26" s="182"/>
      <c r="T26" s="182"/>
      <c r="U26" s="182"/>
      <c r="V26" s="182"/>
      <c r="W26" s="182"/>
    </row>
    <row r="27" spans="1:23" ht="15.75" customHeight="1">
      <c r="A27" s="861"/>
      <c r="B27" s="868"/>
      <c r="C27" s="111">
        <v>3</v>
      </c>
      <c r="D27" s="561">
        <v>0</v>
      </c>
      <c r="E27" s="839"/>
      <c r="F27" s="840"/>
      <c r="G27" s="561">
        <v>0</v>
      </c>
      <c r="H27" s="839"/>
      <c r="I27" s="840"/>
      <c r="J27" s="4">
        <v>0</v>
      </c>
      <c r="K27" s="14">
        <v>0</v>
      </c>
      <c r="L27" s="4">
        <v>0</v>
      </c>
      <c r="M27" s="440">
        <v>0</v>
      </c>
      <c r="N27" s="4"/>
      <c r="O27" s="844"/>
      <c r="P27" s="874"/>
      <c r="R27" s="182"/>
      <c r="S27" s="182"/>
      <c r="T27" s="182"/>
      <c r="U27" s="182"/>
      <c r="V27" s="182"/>
      <c r="W27" s="182"/>
    </row>
    <row r="28" spans="1:23" ht="15.75" customHeight="1">
      <c r="A28" s="861"/>
      <c r="B28" s="868"/>
      <c r="C28" s="111">
        <v>4</v>
      </c>
      <c r="D28" s="561">
        <v>0</v>
      </c>
      <c r="E28" s="839"/>
      <c r="F28" s="840"/>
      <c r="G28" s="561">
        <v>0</v>
      </c>
      <c r="H28" s="839"/>
      <c r="I28" s="840"/>
      <c r="J28" s="4">
        <v>0</v>
      </c>
      <c r="K28" s="14">
        <v>0</v>
      </c>
      <c r="L28" s="4">
        <v>0</v>
      </c>
      <c r="M28" s="440">
        <v>0</v>
      </c>
      <c r="N28" s="4"/>
      <c r="O28" s="844"/>
      <c r="P28" s="874"/>
      <c r="R28" s="182"/>
      <c r="S28" s="182"/>
      <c r="T28" s="182"/>
      <c r="U28" s="182"/>
      <c r="V28" s="182"/>
      <c r="W28" s="182"/>
    </row>
    <row r="29" spans="1:23" ht="15.75" customHeight="1" thickBot="1">
      <c r="A29" s="861"/>
      <c r="B29" s="868"/>
      <c r="C29" s="112">
        <v>5</v>
      </c>
      <c r="D29" s="561">
        <v>0</v>
      </c>
      <c r="E29" s="839"/>
      <c r="F29" s="840"/>
      <c r="G29" s="561">
        <v>0</v>
      </c>
      <c r="H29" s="839"/>
      <c r="I29" s="840"/>
      <c r="J29" s="4">
        <v>0</v>
      </c>
      <c r="K29" s="14">
        <v>0</v>
      </c>
      <c r="L29" s="4">
        <v>0</v>
      </c>
      <c r="M29" s="440">
        <v>0</v>
      </c>
      <c r="N29" s="4"/>
      <c r="O29" s="844"/>
      <c r="P29" s="874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61"/>
      <c r="B30" s="868"/>
      <c r="C30" s="869"/>
      <c r="D30" s="869"/>
      <c r="E30" s="869"/>
      <c r="F30" s="869"/>
      <c r="G30" s="869"/>
      <c r="H30" s="869"/>
      <c r="I30" s="870"/>
      <c r="J30" s="118" t="s">
        <v>764</v>
      </c>
      <c r="K30" s="244">
        <v>2.1423517845348822E-3</v>
      </c>
      <c r="L30" s="118" t="s">
        <v>765</v>
      </c>
      <c r="M30" s="441">
        <v>564.24911999999654</v>
      </c>
      <c r="N30" s="871"/>
      <c r="O30" s="872"/>
      <c r="P30" s="873"/>
      <c r="R30" s="182"/>
      <c r="S30" s="182"/>
      <c r="T30" s="182"/>
      <c r="U30" s="182"/>
      <c r="V30" s="182"/>
      <c r="W30" s="182"/>
    </row>
    <row r="31" spans="1:23" ht="15.75" customHeight="1" thickTop="1">
      <c r="A31" s="543"/>
      <c r="B31" s="110"/>
      <c r="C31" s="108"/>
      <c r="D31" s="543"/>
      <c r="E31" s="543"/>
      <c r="F31" s="543"/>
      <c r="G31" s="543"/>
      <c r="H31" s="543"/>
      <c r="I31" s="543"/>
      <c r="J31" s="543"/>
      <c r="K31" s="543"/>
      <c r="L31" s="543"/>
      <c r="M31" s="543"/>
      <c r="N31" s="543"/>
      <c r="O31" s="543"/>
      <c r="P31" s="543"/>
      <c r="R31" s="182"/>
      <c r="S31" s="182"/>
      <c r="T31" s="182"/>
      <c r="U31" s="182"/>
      <c r="V31" s="182"/>
      <c r="W31" s="182"/>
    </row>
    <row r="32" spans="1:23" ht="15.75" customHeight="1">
      <c r="A32" s="860" t="s">
        <v>755</v>
      </c>
      <c r="B32" s="861"/>
      <c r="C32" s="116" t="s">
        <v>756</v>
      </c>
      <c r="D32" s="862" t="s">
        <v>12</v>
      </c>
      <c r="E32" s="863"/>
      <c r="F32" s="864"/>
      <c r="G32" s="114" t="s">
        <v>757</v>
      </c>
      <c r="H32" s="115"/>
      <c r="I32" s="116"/>
      <c r="J32" s="113" t="s">
        <v>758</v>
      </c>
      <c r="K32" s="113" t="s">
        <v>797</v>
      </c>
      <c r="L32" s="113" t="s">
        <v>760</v>
      </c>
      <c r="M32" s="117" t="s">
        <v>11</v>
      </c>
      <c r="N32" s="117" t="s">
        <v>13</v>
      </c>
      <c r="O32" s="865" t="s">
        <v>762</v>
      </c>
      <c r="P32" s="866"/>
      <c r="R32" s="182"/>
      <c r="S32" s="182"/>
      <c r="T32" s="182"/>
      <c r="U32" s="182"/>
      <c r="V32" s="182"/>
      <c r="W32" s="182"/>
    </row>
    <row r="33" spans="1:23" ht="15.75" customHeight="1">
      <c r="A33" s="861">
        <v>7</v>
      </c>
      <c r="B33" s="867" t="s">
        <v>792</v>
      </c>
      <c r="C33" s="111">
        <v>1</v>
      </c>
      <c r="D33" s="561" t="s">
        <v>794</v>
      </c>
      <c r="E33" s="839"/>
      <c r="F33" s="840"/>
      <c r="G33" s="561" t="s">
        <v>795</v>
      </c>
      <c r="H33" s="839"/>
      <c r="I33" s="840"/>
      <c r="J33" s="4">
        <v>935.2</v>
      </c>
      <c r="K33" s="14">
        <v>2.5077796082738343E-2</v>
      </c>
      <c r="L33" s="4">
        <v>0.54799999999999827</v>
      </c>
      <c r="M33" s="440">
        <v>512.4895999999984</v>
      </c>
      <c r="N33" s="4"/>
      <c r="O33" s="844" t="s">
        <v>806</v>
      </c>
      <c r="P33" s="874"/>
      <c r="R33" s="182"/>
      <c r="S33" s="182"/>
      <c r="T33" s="182"/>
      <c r="U33" s="182"/>
      <c r="V33" s="182"/>
      <c r="W33" s="182"/>
    </row>
    <row r="34" spans="1:23" ht="15.75" customHeight="1">
      <c r="A34" s="861"/>
      <c r="B34" s="868"/>
      <c r="C34" s="111">
        <v>2</v>
      </c>
      <c r="D34" s="561" t="s">
        <v>807</v>
      </c>
      <c r="E34" s="839"/>
      <c r="F34" s="840"/>
      <c r="G34" s="561" t="s">
        <v>808</v>
      </c>
      <c r="H34" s="839"/>
      <c r="I34" s="840"/>
      <c r="J34" s="4">
        <v>1760</v>
      </c>
      <c r="K34" s="14">
        <v>5.6910569105691047E-2</v>
      </c>
      <c r="L34" s="4">
        <v>0.20999999999999996</v>
      </c>
      <c r="M34" s="440">
        <v>369.59999999999991</v>
      </c>
      <c r="N34" s="4"/>
      <c r="O34" s="844" t="s">
        <v>806</v>
      </c>
      <c r="P34" s="874"/>
      <c r="R34" s="182"/>
      <c r="S34" s="182"/>
      <c r="T34" s="182"/>
      <c r="U34" s="182"/>
      <c r="V34" s="182"/>
      <c r="W34" s="182"/>
    </row>
    <row r="35" spans="1:23" ht="15.75" customHeight="1">
      <c r="A35" s="861"/>
      <c r="B35" s="868"/>
      <c r="C35" s="111">
        <v>3</v>
      </c>
      <c r="D35" s="561" t="s">
        <v>592</v>
      </c>
      <c r="E35" s="839"/>
      <c r="F35" s="840"/>
      <c r="G35" s="561" t="s">
        <v>796</v>
      </c>
      <c r="H35" s="839"/>
      <c r="I35" s="840"/>
      <c r="J35" s="4">
        <v>930.36</v>
      </c>
      <c r="K35" s="14">
        <v>3.305785123966945E-2</v>
      </c>
      <c r="L35" s="4">
        <v>0.38400000000000034</v>
      </c>
      <c r="M35" s="440">
        <v>357.25824000000034</v>
      </c>
      <c r="N35" s="4"/>
      <c r="O35" s="844" t="s">
        <v>806</v>
      </c>
      <c r="P35" s="874"/>
      <c r="R35" s="182"/>
      <c r="S35" s="182"/>
      <c r="T35" s="182"/>
      <c r="U35" s="182"/>
      <c r="V35" s="182"/>
      <c r="W35" s="182"/>
    </row>
    <row r="36" spans="1:23" ht="15.75" customHeight="1">
      <c r="A36" s="861"/>
      <c r="B36" s="868"/>
      <c r="C36" s="111">
        <v>4</v>
      </c>
      <c r="D36" s="561" t="s">
        <v>715</v>
      </c>
      <c r="E36" s="839"/>
      <c r="F36" s="840"/>
      <c r="G36" s="561" t="s">
        <v>723</v>
      </c>
      <c r="H36" s="839"/>
      <c r="I36" s="840"/>
      <c r="J36" s="4">
        <v>1210</v>
      </c>
      <c r="K36" s="14">
        <v>1.002004008016032E-2</v>
      </c>
      <c r="L36" s="4">
        <v>0.25</v>
      </c>
      <c r="M36" s="440">
        <v>302.5</v>
      </c>
      <c r="N36" s="4"/>
      <c r="O36" s="844" t="s">
        <v>806</v>
      </c>
      <c r="P36" s="874"/>
      <c r="R36" s="182"/>
      <c r="S36" s="182"/>
      <c r="T36" s="182"/>
      <c r="U36" s="182"/>
      <c r="V36" s="182"/>
      <c r="W36" s="182"/>
    </row>
    <row r="37" spans="1:23" ht="15.75" customHeight="1" thickBot="1">
      <c r="A37" s="861"/>
      <c r="B37" s="868"/>
      <c r="C37" s="112">
        <v>5</v>
      </c>
      <c r="D37" s="561" t="s">
        <v>621</v>
      </c>
      <c r="E37" s="839"/>
      <c r="F37" s="840"/>
      <c r="G37" s="561" t="s">
        <v>732</v>
      </c>
      <c r="H37" s="839"/>
      <c r="I37" s="840"/>
      <c r="J37" s="4">
        <v>771.4</v>
      </c>
      <c r="K37" s="14">
        <v>3.9144471347861164E-2</v>
      </c>
      <c r="L37" s="4">
        <v>0.3879999999999999</v>
      </c>
      <c r="M37" s="440">
        <v>299.30319999999989</v>
      </c>
      <c r="N37" s="4"/>
      <c r="O37" s="844" t="s">
        <v>806</v>
      </c>
      <c r="P37" s="874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61"/>
      <c r="B38" s="868"/>
      <c r="C38" s="869"/>
      <c r="D38" s="869"/>
      <c r="E38" s="869"/>
      <c r="F38" s="869"/>
      <c r="G38" s="869"/>
      <c r="H38" s="869"/>
      <c r="I38" s="870"/>
      <c r="J38" s="118" t="s">
        <v>764</v>
      </c>
      <c r="K38" s="244">
        <v>6.9905172668098719E-3</v>
      </c>
      <c r="L38" s="118" t="s">
        <v>765</v>
      </c>
      <c r="M38" s="441">
        <v>1841.1510399999984</v>
      </c>
      <c r="N38" s="871"/>
      <c r="O38" s="872"/>
      <c r="P38" s="873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T30" sqref="T30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588" t="s">
        <v>186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</row>
    <row r="2" spans="1:17" s="120" customFormat="1" ht="15.75" customHeight="1">
      <c r="A2" s="588"/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</row>
    <row r="3" spans="1:17" ht="15.75" customHeight="1">
      <c r="A3" s="731" t="s">
        <v>197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731"/>
      <c r="O3" s="731"/>
      <c r="P3" s="731"/>
      <c r="Q3" s="731"/>
    </row>
    <row r="4" spans="1:17" s="120" customFormat="1" ht="15.75" customHeight="1">
      <c r="A4" s="887"/>
      <c r="B4" s="887"/>
      <c r="C4" s="887"/>
      <c r="D4" s="887"/>
      <c r="E4" s="887"/>
      <c r="F4" s="887"/>
      <c r="G4" s="887"/>
      <c r="H4" s="887"/>
      <c r="I4" s="887"/>
      <c r="J4" s="887"/>
      <c r="K4" s="887"/>
      <c r="L4" s="887"/>
      <c r="M4" s="887"/>
      <c r="N4" s="887"/>
      <c r="O4" s="887"/>
      <c r="P4" s="887"/>
      <c r="Q4" s="887"/>
    </row>
    <row r="5" spans="1:17" ht="15.75" customHeight="1">
      <c r="A5" s="607" t="s">
        <v>172</v>
      </c>
      <c r="B5" s="855">
        <v>1</v>
      </c>
      <c r="C5" s="855"/>
      <c r="D5" s="855">
        <v>2</v>
      </c>
      <c r="E5" s="855"/>
      <c r="F5" s="855">
        <v>3</v>
      </c>
      <c r="G5" s="855"/>
      <c r="H5" s="855">
        <v>4</v>
      </c>
      <c r="I5" s="855"/>
      <c r="J5" s="855">
        <v>5</v>
      </c>
      <c r="K5" s="855"/>
      <c r="L5" s="855">
        <v>6</v>
      </c>
      <c r="M5" s="855"/>
      <c r="N5" s="855">
        <v>7</v>
      </c>
      <c r="O5" s="855"/>
      <c r="P5" s="857">
        <v>8</v>
      </c>
      <c r="Q5" s="857"/>
    </row>
    <row r="6" spans="1:17" ht="15.75" customHeight="1">
      <c r="A6" s="607"/>
      <c r="B6" s="607" t="s">
        <v>305</v>
      </c>
      <c r="C6" s="607"/>
      <c r="D6" s="607" t="s">
        <v>198</v>
      </c>
      <c r="E6" s="607"/>
      <c r="F6" s="607" t="s">
        <v>164</v>
      </c>
      <c r="G6" s="607"/>
      <c r="H6" s="607" t="s">
        <v>502</v>
      </c>
      <c r="I6" s="607"/>
      <c r="J6" s="607" t="s">
        <v>170</v>
      </c>
      <c r="K6" s="607"/>
      <c r="L6" s="607" t="s">
        <v>165</v>
      </c>
      <c r="M6" s="607"/>
      <c r="N6" s="607" t="s">
        <v>171</v>
      </c>
      <c r="O6" s="607"/>
      <c r="P6" s="858" t="s">
        <v>199</v>
      </c>
      <c r="Q6" s="858"/>
    </row>
    <row r="8" spans="1:17" s="153" customFormat="1" ht="15.75" customHeight="1">
      <c r="A8" s="162" t="s">
        <v>174</v>
      </c>
      <c r="B8" s="179" t="s">
        <v>18</v>
      </c>
      <c r="C8" s="885" t="s">
        <v>12</v>
      </c>
      <c r="D8" s="885"/>
      <c r="E8" s="885"/>
      <c r="F8" s="885" t="s">
        <v>53</v>
      </c>
      <c r="G8" s="885"/>
      <c r="H8" s="885"/>
      <c r="I8" s="179" t="s">
        <v>54</v>
      </c>
      <c r="J8" s="180" t="s">
        <v>19</v>
      </c>
      <c r="K8" s="179" t="s">
        <v>57</v>
      </c>
      <c r="L8" s="179" t="s">
        <v>2</v>
      </c>
      <c r="M8" s="888" t="s">
        <v>50</v>
      </c>
      <c r="N8" s="889"/>
      <c r="O8" s="889"/>
      <c r="P8" s="889"/>
      <c r="Q8" s="889"/>
    </row>
    <row r="9" spans="1:17" ht="15.75" customHeight="1">
      <c r="A9" s="885" t="s">
        <v>173</v>
      </c>
      <c r="B9" s="155">
        <v>1</v>
      </c>
      <c r="C9" s="881"/>
      <c r="D9" s="712"/>
      <c r="E9" s="712"/>
      <c r="F9" s="881"/>
      <c r="G9" s="712"/>
      <c r="H9" s="712"/>
      <c r="I9" s="163"/>
      <c r="J9" s="177"/>
      <c r="K9" s="177"/>
      <c r="L9" s="178">
        <f>K9-J9</f>
        <v>0</v>
      </c>
      <c r="M9" s="881"/>
      <c r="N9" s="881"/>
      <c r="O9" s="881"/>
      <c r="P9" s="881"/>
      <c r="Q9" s="881"/>
    </row>
    <row r="10" spans="1:17" ht="15.75" customHeight="1">
      <c r="A10" s="886"/>
      <c r="B10" s="155">
        <v>2</v>
      </c>
      <c r="C10" s="881"/>
      <c r="D10" s="712"/>
      <c r="E10" s="712"/>
      <c r="F10" s="881"/>
      <c r="G10" s="712"/>
      <c r="H10" s="712"/>
      <c r="I10" s="163"/>
      <c r="J10" s="177"/>
      <c r="K10" s="177"/>
      <c r="L10" s="178">
        <f>K10-J10</f>
        <v>0</v>
      </c>
      <c r="M10" s="881"/>
      <c r="N10" s="881"/>
      <c r="O10" s="881"/>
      <c r="P10" s="881"/>
      <c r="Q10" s="881"/>
    </row>
    <row r="11" spans="1:17" ht="15.75" customHeight="1">
      <c r="A11" s="886"/>
      <c r="B11" s="155">
        <v>3</v>
      </c>
      <c r="C11" s="881"/>
      <c r="D11" s="712"/>
      <c r="E11" s="712"/>
      <c r="F11" s="881"/>
      <c r="G11" s="712"/>
      <c r="H11" s="712"/>
      <c r="I11" s="163"/>
      <c r="J11" s="177"/>
      <c r="K11" s="177"/>
      <c r="L11" s="178">
        <f>K11-J11</f>
        <v>0</v>
      </c>
      <c r="M11" s="881"/>
      <c r="N11" s="881"/>
      <c r="O11" s="881"/>
      <c r="P11" s="881"/>
      <c r="Q11" s="881"/>
    </row>
    <row r="12" spans="1:17" ht="15.75" customHeight="1">
      <c r="A12" s="886"/>
      <c r="B12" s="155">
        <v>4</v>
      </c>
      <c r="C12" s="881"/>
      <c r="D12" s="712"/>
      <c r="E12" s="712"/>
      <c r="F12" s="881"/>
      <c r="G12" s="712"/>
      <c r="H12" s="712"/>
      <c r="I12" s="163"/>
      <c r="J12" s="177"/>
      <c r="K12" s="177"/>
      <c r="L12" s="178">
        <f>K12-J12</f>
        <v>0</v>
      </c>
      <c r="M12" s="881"/>
      <c r="N12" s="881"/>
      <c r="O12" s="881"/>
      <c r="P12" s="881"/>
      <c r="Q12" s="881"/>
    </row>
    <row r="13" spans="1:17" ht="15.75" customHeight="1">
      <c r="A13" s="886"/>
      <c r="B13" s="155">
        <v>5</v>
      </c>
      <c r="C13" s="881"/>
      <c r="D13" s="712"/>
      <c r="E13" s="712"/>
      <c r="F13" s="881"/>
      <c r="G13" s="712"/>
      <c r="H13" s="712"/>
      <c r="I13" s="163"/>
      <c r="J13" s="177"/>
      <c r="K13" s="177"/>
      <c r="L13" s="178">
        <f>K13-J13</f>
        <v>0</v>
      </c>
      <c r="M13" s="881"/>
      <c r="N13" s="881"/>
      <c r="O13" s="881"/>
      <c r="P13" s="881"/>
      <c r="Q13" s="881"/>
    </row>
    <row r="14" spans="1:17" ht="15.75" customHeight="1">
      <c r="A14" s="883"/>
      <c r="B14" s="883"/>
      <c r="C14" s="883"/>
      <c r="D14" s="883"/>
      <c r="E14" s="883"/>
      <c r="F14" s="883"/>
      <c r="G14" s="883"/>
      <c r="H14" s="883"/>
      <c r="I14" s="883"/>
      <c r="J14" s="883"/>
      <c r="K14" s="883"/>
      <c r="L14" s="883"/>
      <c r="M14" s="883"/>
      <c r="N14" s="883"/>
      <c r="O14" s="884"/>
    </row>
    <row r="15" spans="1:17" s="153" customFormat="1" ht="15.75" customHeight="1">
      <c r="A15" s="162" t="s">
        <v>174</v>
      </c>
      <c r="B15" s="162" t="s">
        <v>18</v>
      </c>
      <c r="C15" s="882" t="s">
        <v>12</v>
      </c>
      <c r="D15" s="882"/>
      <c r="E15" s="882"/>
      <c r="F15" s="882" t="s">
        <v>53</v>
      </c>
      <c r="G15" s="882"/>
      <c r="H15" s="882"/>
      <c r="I15" s="162" t="s">
        <v>54</v>
      </c>
      <c r="J15" s="176" t="s">
        <v>19</v>
      </c>
      <c r="K15" s="162" t="s">
        <v>57</v>
      </c>
      <c r="L15" s="162" t="s">
        <v>2</v>
      </c>
      <c r="M15" s="882" t="s">
        <v>50</v>
      </c>
      <c r="N15" s="882"/>
      <c r="O15" s="882"/>
      <c r="P15" s="882"/>
      <c r="Q15" s="882"/>
    </row>
    <row r="16" spans="1:17" ht="15.75" customHeight="1">
      <c r="A16" s="882" t="s">
        <v>175</v>
      </c>
      <c r="B16" s="155">
        <v>1</v>
      </c>
      <c r="C16" s="881"/>
      <c r="D16" s="712"/>
      <c r="E16" s="712"/>
      <c r="F16" s="881"/>
      <c r="G16" s="712"/>
      <c r="H16" s="712"/>
      <c r="I16" s="163"/>
      <c r="J16" s="177"/>
      <c r="K16" s="177"/>
      <c r="L16" s="178">
        <f>K16-J16</f>
        <v>0</v>
      </c>
      <c r="M16" s="881"/>
      <c r="N16" s="881"/>
      <c r="O16" s="881"/>
      <c r="P16" s="881"/>
      <c r="Q16" s="881"/>
    </row>
    <row r="17" spans="1:17" ht="15.75" customHeight="1">
      <c r="A17" s="882"/>
      <c r="B17" s="155">
        <v>2</v>
      </c>
      <c r="C17" s="881"/>
      <c r="D17" s="712"/>
      <c r="E17" s="712"/>
      <c r="F17" s="881"/>
      <c r="G17" s="712"/>
      <c r="H17" s="712"/>
      <c r="I17" s="163"/>
      <c r="J17" s="177"/>
      <c r="K17" s="177"/>
      <c r="L17" s="178">
        <f>K17-J17</f>
        <v>0</v>
      </c>
      <c r="M17" s="881"/>
      <c r="N17" s="881"/>
      <c r="O17" s="881"/>
      <c r="P17" s="881"/>
      <c r="Q17" s="881"/>
    </row>
    <row r="18" spans="1:17" ht="15.75" customHeight="1">
      <c r="A18" s="882"/>
      <c r="B18" s="155">
        <v>3</v>
      </c>
      <c r="C18" s="881"/>
      <c r="D18" s="712"/>
      <c r="E18" s="712"/>
      <c r="F18" s="881"/>
      <c r="G18" s="712"/>
      <c r="H18" s="712"/>
      <c r="I18" s="163"/>
      <c r="J18" s="177"/>
      <c r="K18" s="177"/>
      <c r="L18" s="178">
        <f>K18-J18</f>
        <v>0</v>
      </c>
      <c r="M18" s="881"/>
      <c r="N18" s="881"/>
      <c r="O18" s="881"/>
      <c r="P18" s="881"/>
      <c r="Q18" s="881"/>
    </row>
    <row r="19" spans="1:17" ht="15.75" customHeight="1">
      <c r="A19" s="882"/>
      <c r="B19" s="155">
        <v>4</v>
      </c>
      <c r="C19" s="881"/>
      <c r="D19" s="712"/>
      <c r="E19" s="712"/>
      <c r="F19" s="881"/>
      <c r="G19" s="712"/>
      <c r="H19" s="712"/>
      <c r="I19" s="163"/>
      <c r="J19" s="177"/>
      <c r="K19" s="177"/>
      <c r="L19" s="178">
        <f>K19-J19</f>
        <v>0</v>
      </c>
      <c r="M19" s="881"/>
      <c r="N19" s="881"/>
      <c r="O19" s="881"/>
      <c r="P19" s="881"/>
      <c r="Q19" s="881"/>
    </row>
    <row r="20" spans="1:17" ht="15.75" customHeight="1">
      <c r="A20" s="882"/>
      <c r="B20" s="155">
        <v>5</v>
      </c>
      <c r="C20" s="881"/>
      <c r="D20" s="712"/>
      <c r="E20" s="712"/>
      <c r="F20" s="881"/>
      <c r="G20" s="712"/>
      <c r="H20" s="712"/>
      <c r="I20" s="163"/>
      <c r="J20" s="177"/>
      <c r="K20" s="177"/>
      <c r="L20" s="178">
        <f>K20-J20</f>
        <v>0</v>
      </c>
      <c r="M20" s="881"/>
      <c r="N20" s="881"/>
      <c r="O20" s="881"/>
      <c r="P20" s="881"/>
      <c r="Q20" s="881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P272"/>
  <sheetViews>
    <sheetView zoomScale="55" zoomScaleNormal="55" workbookViewId="0">
      <pane xSplit="4" ySplit="1" topLeftCell="P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5" sqref="D5:AA24"/>
    </sheetView>
  </sheetViews>
  <sheetFormatPr defaultColWidth="8.85546875" defaultRowHeight="16.5"/>
  <cols>
    <col min="1" max="1" width="8.85546875" style="339"/>
    <col min="2" max="2" width="12.42578125" style="339" customWidth="1"/>
    <col min="3" max="3" width="8.85546875" style="339"/>
    <col min="4" max="4" width="11.5703125" style="339" customWidth="1"/>
    <col min="5" max="5" width="39.28515625" style="339" bestFit="1" customWidth="1"/>
    <col min="6" max="21" width="15.7109375" style="339" customWidth="1"/>
    <col min="22" max="22" width="12.42578125" style="339" bestFit="1" customWidth="1"/>
    <col min="23" max="23" width="25.28515625" style="339" bestFit="1" customWidth="1"/>
    <col min="24" max="24" width="88.28515625" style="339" customWidth="1"/>
    <col min="25" max="25" width="117.7109375" style="339" bestFit="1" customWidth="1"/>
    <col min="26" max="26" width="7.42578125" style="339" bestFit="1" customWidth="1"/>
    <col min="27" max="27" width="69.5703125" style="339" bestFit="1" customWidth="1"/>
    <col min="28" max="28" width="11.42578125" style="339" bestFit="1" customWidth="1"/>
    <col min="29" max="29" width="21.5703125" style="339" customWidth="1"/>
    <col min="30" max="30" width="19.42578125" style="339" bestFit="1" customWidth="1"/>
    <col min="31" max="36" width="14.42578125" style="339" customWidth="1"/>
    <col min="37" max="40" width="8.85546875" style="339"/>
    <col min="41" max="41" width="20.85546875" style="339" bestFit="1" customWidth="1"/>
    <col min="42" max="42" width="8.7109375" style="339" customWidth="1"/>
    <col min="43" max="16384" width="8.85546875" style="339"/>
  </cols>
  <sheetData>
    <row r="2" spans="2:42" ht="41.1" customHeight="1">
      <c r="B2" s="916" t="s">
        <v>647</v>
      </c>
      <c r="C2" s="917"/>
      <c r="D2" s="917"/>
      <c r="E2" s="917"/>
      <c r="F2" s="917"/>
      <c r="G2" s="917"/>
      <c r="H2" s="917"/>
      <c r="I2" s="917"/>
      <c r="J2" s="917"/>
      <c r="K2" s="917"/>
      <c r="L2" s="917"/>
      <c r="M2" s="917"/>
      <c r="N2" s="917"/>
      <c r="O2" s="917"/>
      <c r="P2" s="917"/>
      <c r="Q2" s="917"/>
      <c r="R2" s="917"/>
      <c r="S2" s="917"/>
      <c r="T2" s="917"/>
      <c r="U2" s="917"/>
      <c r="V2" s="917"/>
      <c r="W2" s="917"/>
      <c r="X2" s="917"/>
      <c r="Y2" s="917"/>
      <c r="Z2" s="917"/>
      <c r="AA2" s="917"/>
      <c r="AC2" s="340"/>
      <c r="AD2" s="340"/>
    </row>
    <row r="3" spans="2:42" ht="17.100000000000001" customHeight="1">
      <c r="B3" s="918" t="s">
        <v>648</v>
      </c>
      <c r="C3" s="919"/>
      <c r="D3" s="922" t="s">
        <v>649</v>
      </c>
      <c r="E3" s="923" t="s">
        <v>650</v>
      </c>
      <c r="F3" s="914" t="s">
        <v>651</v>
      </c>
      <c r="G3" s="907" t="s">
        <v>652</v>
      </c>
      <c r="H3" s="915" t="s">
        <v>653</v>
      </c>
      <c r="I3" s="909" t="s">
        <v>654</v>
      </c>
      <c r="J3" s="910"/>
      <c r="K3" s="909" t="s">
        <v>655</v>
      </c>
      <c r="L3" s="910"/>
      <c r="M3" s="909" t="s">
        <v>656</v>
      </c>
      <c r="N3" s="910"/>
      <c r="O3" s="909" t="s">
        <v>657</v>
      </c>
      <c r="P3" s="910"/>
      <c r="Q3" s="909" t="s">
        <v>658</v>
      </c>
      <c r="R3" s="910"/>
      <c r="S3" s="911" t="s">
        <v>659</v>
      </c>
      <c r="T3" s="912"/>
      <c r="U3" s="913"/>
      <c r="V3" s="905" t="s">
        <v>166</v>
      </c>
      <c r="W3" s="905" t="s">
        <v>660</v>
      </c>
      <c r="X3" s="905" t="s">
        <v>661</v>
      </c>
      <c r="Y3" s="905" t="s">
        <v>662</v>
      </c>
      <c r="Z3" s="905" t="s">
        <v>663</v>
      </c>
      <c r="AA3" s="907" t="s">
        <v>167</v>
      </c>
      <c r="AC3" s="890" t="s">
        <v>664</v>
      </c>
      <c r="AD3" s="891"/>
      <c r="AE3" s="891"/>
      <c r="AF3" s="891"/>
      <c r="AG3" s="891"/>
      <c r="AH3" s="891"/>
      <c r="AI3" s="891"/>
      <c r="AJ3" s="892"/>
    </row>
    <row r="4" spans="2:42">
      <c r="B4" s="920"/>
      <c r="C4" s="921"/>
      <c r="D4" s="922"/>
      <c r="E4" s="922"/>
      <c r="F4" s="914"/>
      <c r="G4" s="908"/>
      <c r="H4" s="908"/>
      <c r="I4" s="442" t="s">
        <v>665</v>
      </c>
      <c r="J4" s="443" t="s">
        <v>642</v>
      </c>
      <c r="K4" s="442" t="s">
        <v>665</v>
      </c>
      <c r="L4" s="443" t="s">
        <v>642</v>
      </c>
      <c r="M4" s="442" t="s">
        <v>665</v>
      </c>
      <c r="N4" s="443" t="s">
        <v>642</v>
      </c>
      <c r="O4" s="442" t="s">
        <v>665</v>
      </c>
      <c r="P4" s="443" t="s">
        <v>642</v>
      </c>
      <c r="Q4" s="442" t="s">
        <v>665</v>
      </c>
      <c r="R4" s="443" t="s">
        <v>642</v>
      </c>
      <c r="S4" s="442" t="s">
        <v>665</v>
      </c>
      <c r="T4" s="443" t="s">
        <v>642</v>
      </c>
      <c r="U4" s="443" t="s">
        <v>643</v>
      </c>
      <c r="V4" s="906"/>
      <c r="W4" s="906"/>
      <c r="X4" s="906"/>
      <c r="Y4" s="906"/>
      <c r="Z4" s="906"/>
      <c r="AA4" s="908"/>
      <c r="AC4" s="893"/>
      <c r="AD4" s="894"/>
      <c r="AE4" s="894"/>
      <c r="AF4" s="894"/>
      <c r="AG4" s="894"/>
      <c r="AH4" s="894"/>
      <c r="AI4" s="894"/>
      <c r="AJ4" s="895"/>
    </row>
    <row r="5" spans="2:42" s="421" customFormat="1" ht="27" customHeight="1">
      <c r="B5" s="899"/>
      <c r="C5" s="900"/>
      <c r="D5" s="341">
        <v>1</v>
      </c>
      <c r="E5" s="444" t="s">
        <v>627</v>
      </c>
      <c r="F5" s="445">
        <v>1267.5390000000002</v>
      </c>
      <c r="G5" s="342">
        <v>325.01</v>
      </c>
      <c r="H5" s="446">
        <v>325.15000000000003</v>
      </c>
      <c r="I5" s="447">
        <v>326.92050717852226</v>
      </c>
      <c r="J5" s="448">
        <v>1.0054679896789407</v>
      </c>
      <c r="K5" s="447">
        <v>330.9</v>
      </c>
      <c r="L5" s="448">
        <v>1.017684145778871</v>
      </c>
      <c r="M5" s="447">
        <v>0</v>
      </c>
      <c r="N5" s="448">
        <v>0</v>
      </c>
      <c r="O5" s="449">
        <v>330.9</v>
      </c>
      <c r="P5" s="448">
        <v>1.017684145778871</v>
      </c>
      <c r="Q5" s="446">
        <v>3.9000000000000004</v>
      </c>
      <c r="R5" s="448">
        <v>1.199446409349531E-2</v>
      </c>
      <c r="S5" s="449">
        <v>5.7500000000000213</v>
      </c>
      <c r="T5" s="448">
        <v>1.7684145778871355E-2</v>
      </c>
      <c r="U5" s="450">
        <v>1868.8075000000067</v>
      </c>
      <c r="V5" s="343" t="s">
        <v>327</v>
      </c>
      <c r="W5" s="343" t="s">
        <v>194</v>
      </c>
      <c r="X5" s="343" t="s">
        <v>603</v>
      </c>
      <c r="Y5" s="343" t="s">
        <v>528</v>
      </c>
      <c r="Z5" s="343">
        <v>1</v>
      </c>
      <c r="AA5" s="451" t="s">
        <v>626</v>
      </c>
      <c r="AC5" s="896"/>
      <c r="AD5" s="897"/>
      <c r="AE5" s="897"/>
      <c r="AF5" s="897"/>
      <c r="AG5" s="897"/>
      <c r="AH5" s="897"/>
      <c r="AI5" s="897"/>
      <c r="AJ5" s="898"/>
    </row>
    <row r="6" spans="2:42" s="421" customFormat="1" ht="27" customHeight="1">
      <c r="B6" s="901"/>
      <c r="C6" s="902"/>
      <c r="D6" s="341">
        <v>2</v>
      </c>
      <c r="E6" s="444" t="s">
        <v>707</v>
      </c>
      <c r="F6" s="445">
        <v>1180.3000000000002</v>
      </c>
      <c r="G6" s="342">
        <v>118.03</v>
      </c>
      <c r="H6" s="446">
        <v>1688.4</v>
      </c>
      <c r="I6" s="447">
        <v>1694.5981005777894</v>
      </c>
      <c r="J6" s="448">
        <v>1.0037433517134509</v>
      </c>
      <c r="K6" s="447">
        <v>1703.9</v>
      </c>
      <c r="L6" s="448">
        <v>1.0091802890310353</v>
      </c>
      <c r="M6" s="447">
        <v>0</v>
      </c>
      <c r="N6" s="448">
        <v>0</v>
      </c>
      <c r="O6" s="449">
        <v>1703.9</v>
      </c>
      <c r="P6" s="448">
        <v>1.0091802890310353</v>
      </c>
      <c r="Q6" s="446">
        <v>10</v>
      </c>
      <c r="R6" s="448">
        <v>5.9227671167969669E-3</v>
      </c>
      <c r="S6" s="449">
        <v>15.500000000000057</v>
      </c>
      <c r="T6" s="448">
        <v>9.1802890310353335E-3</v>
      </c>
      <c r="U6" s="450">
        <v>1829.4650000000067</v>
      </c>
      <c r="V6" s="343" t="s">
        <v>326</v>
      </c>
      <c r="W6" s="343" t="s">
        <v>502</v>
      </c>
      <c r="X6" s="343" t="s">
        <v>613</v>
      </c>
      <c r="Y6" s="343" t="s">
        <v>614</v>
      </c>
      <c r="Z6" s="343">
        <v>1</v>
      </c>
      <c r="AA6" s="451" t="s">
        <v>705</v>
      </c>
      <c r="AC6" s="222" t="s">
        <v>666</v>
      </c>
      <c r="AD6" s="222" t="s">
        <v>644</v>
      </c>
      <c r="AE6" s="422" t="s">
        <v>645</v>
      </c>
      <c r="AF6" s="422" t="s">
        <v>369</v>
      </c>
      <c r="AG6" s="422" t="s">
        <v>502</v>
      </c>
      <c r="AH6" s="422" t="s">
        <v>194</v>
      </c>
      <c r="AI6" s="422" t="s">
        <v>195</v>
      </c>
      <c r="AJ6" s="422" t="s">
        <v>516</v>
      </c>
      <c r="AO6" s="452"/>
      <c r="AP6" s="452"/>
    </row>
    <row r="7" spans="2:42" s="421" customFormat="1" ht="27" customHeight="1">
      <c r="B7" s="901"/>
      <c r="C7" s="902"/>
      <c r="D7" s="341">
        <v>3</v>
      </c>
      <c r="E7" s="444" t="s">
        <v>370</v>
      </c>
      <c r="F7" s="445">
        <v>1176.9240000000002</v>
      </c>
      <c r="G7" s="342">
        <v>420.33</v>
      </c>
      <c r="H7" s="446">
        <v>508.935</v>
      </c>
      <c r="I7" s="447">
        <v>510.66523216129599</v>
      </c>
      <c r="J7" s="448">
        <v>1.00332499969753</v>
      </c>
      <c r="K7" s="447">
        <v>513.5</v>
      </c>
      <c r="L7" s="448">
        <v>1.0089697112597875</v>
      </c>
      <c r="M7" s="447">
        <v>0</v>
      </c>
      <c r="N7" s="448">
        <v>0</v>
      </c>
      <c r="O7" s="449">
        <v>513.5</v>
      </c>
      <c r="P7" s="448">
        <v>1.0089697112597875</v>
      </c>
      <c r="Q7" s="446">
        <v>2.8</v>
      </c>
      <c r="R7" s="448">
        <v>5.5016848909978681E-3</v>
      </c>
      <c r="S7" s="449">
        <v>4.564999999999948</v>
      </c>
      <c r="T7" s="448">
        <v>8.9697112597874936E-3</v>
      </c>
      <c r="U7" s="450">
        <v>1918.8064499999782</v>
      </c>
      <c r="V7" s="343" t="s">
        <v>327</v>
      </c>
      <c r="W7" s="343" t="s">
        <v>194</v>
      </c>
      <c r="X7" s="343" t="s">
        <v>603</v>
      </c>
      <c r="Y7" s="343" t="s">
        <v>528</v>
      </c>
      <c r="Z7" s="343">
        <v>1</v>
      </c>
      <c r="AA7" s="451" t="s">
        <v>352</v>
      </c>
      <c r="AC7" s="453">
        <f>SUM(Z5:Z24)</f>
        <v>20</v>
      </c>
      <c r="AD7" s="344">
        <f>SUMIF($W$5:$W$24,TRIM(AD6),$Z$5:$Z$24)</f>
        <v>0</v>
      </c>
      <c r="AE7" s="344">
        <f>SUMIF($W$5:$W$24,TRIM(AE6),$Z$5:$Z$24)</f>
        <v>0</v>
      </c>
      <c r="AF7" s="344">
        <f>SUMIF($W$5:$W$24,TRIM(AF6),$Z$5:$Z$24)</f>
        <v>1</v>
      </c>
      <c r="AG7" s="344">
        <f>SUMIF($W$5:$W$24,TRIM(AG6),$Z$5:$Z$24)</f>
        <v>11</v>
      </c>
      <c r="AH7" s="344">
        <f t="shared" ref="AH7:AI7" si="0">SUMIF($W$5:$W$24,TRIM(AH6),$Z$5:$Z$24)</f>
        <v>5</v>
      </c>
      <c r="AI7" s="344">
        <f t="shared" si="0"/>
        <v>2</v>
      </c>
      <c r="AJ7" s="344">
        <f>SUMIF($W$5:$W$24,TRIM(AJ6),$Z$5:$Z$24)</f>
        <v>1</v>
      </c>
      <c r="AO7" s="454"/>
      <c r="AP7" s="208"/>
    </row>
    <row r="8" spans="2:42" s="421" customFormat="1" ht="27" customHeight="1">
      <c r="B8" s="901"/>
      <c r="C8" s="902"/>
      <c r="D8" s="341">
        <v>4</v>
      </c>
      <c r="E8" s="444" t="s">
        <v>640</v>
      </c>
      <c r="F8" s="445">
        <v>1156.6879999999999</v>
      </c>
      <c r="G8" s="342">
        <v>444.88</v>
      </c>
      <c r="H8" s="446">
        <v>117.89999999999999</v>
      </c>
      <c r="I8" s="447">
        <v>118.95994531011729</v>
      </c>
      <c r="J8" s="448">
        <v>1.0089802241322992</v>
      </c>
      <c r="K8" s="447">
        <v>121.60000000000001</v>
      </c>
      <c r="L8" s="448">
        <v>1.0313825275657338</v>
      </c>
      <c r="M8" s="447">
        <v>0</v>
      </c>
      <c r="N8" s="448">
        <v>0</v>
      </c>
      <c r="O8" s="449">
        <v>121.60000000000001</v>
      </c>
      <c r="P8" s="448">
        <v>1.0313825275657338</v>
      </c>
      <c r="Q8" s="446">
        <v>2.6</v>
      </c>
      <c r="R8" s="448">
        <v>2.2052586938083124E-2</v>
      </c>
      <c r="S8" s="449">
        <v>3.7000000000000028</v>
      </c>
      <c r="T8" s="448">
        <v>3.1382527565733696E-2</v>
      </c>
      <c r="U8" s="450">
        <v>1646.0560000000012</v>
      </c>
      <c r="V8" s="343" t="s">
        <v>327</v>
      </c>
      <c r="W8" s="343" t="s">
        <v>195</v>
      </c>
      <c r="X8" s="343" t="s">
        <v>604</v>
      </c>
      <c r="Y8" s="343" t="s">
        <v>528</v>
      </c>
      <c r="Z8" s="343">
        <v>1</v>
      </c>
      <c r="AA8" s="451" t="s">
        <v>566</v>
      </c>
      <c r="AC8" s="455" t="s">
        <v>11</v>
      </c>
      <c r="AD8" s="456">
        <f>SUMIF($W5:$W$24,TRIM(AD6),$F$5:$F$24)</f>
        <v>0</v>
      </c>
      <c r="AE8" s="456">
        <f>SUMIF($W5:$W$24,TRIM(AE6),$F$5:$F$24)</f>
        <v>0</v>
      </c>
      <c r="AF8" s="456">
        <f>SUMIF($W5:$W$24,TRIM(AF6),$F$5:$F$24)</f>
        <v>1011.558</v>
      </c>
      <c r="AG8" s="456">
        <f>SUMIF($W5:$W$24,TRIM(AG6),$F$5:$F$24)</f>
        <v>11403.776000000002</v>
      </c>
      <c r="AH8" s="456">
        <f>SUMIF($W5:$W$24,TRIM(AH6),$F$5:$F$24)</f>
        <v>5455.1110000000017</v>
      </c>
      <c r="AI8" s="456">
        <f>SUMIF($W5:$W$24,TRIM(AI6),$F$5:$F$24)</f>
        <v>2278.1679999999997</v>
      </c>
      <c r="AJ8" s="456">
        <f>SUMIF($W5:$W$24,TRIM(AJ6),$F$5:$F$24)</f>
        <v>941.49999999999977</v>
      </c>
      <c r="AO8" s="208"/>
      <c r="AP8" s="208"/>
    </row>
    <row r="9" spans="2:42" s="421" customFormat="1" ht="27" customHeight="1">
      <c r="B9" s="901"/>
      <c r="C9" s="902"/>
      <c r="D9" s="341">
        <v>5</v>
      </c>
      <c r="E9" s="444" t="s">
        <v>333</v>
      </c>
      <c r="F9" s="445">
        <v>1121.48</v>
      </c>
      <c r="G9" s="342">
        <v>487.6</v>
      </c>
      <c r="H9" s="446">
        <v>225.14999999999998</v>
      </c>
      <c r="I9" s="447">
        <v>226.70852240675774</v>
      </c>
      <c r="J9" s="448">
        <v>1.006920707776447</v>
      </c>
      <c r="K9" s="447">
        <v>228.89999999999998</v>
      </c>
      <c r="L9" s="448">
        <v>1.0166555629580281</v>
      </c>
      <c r="M9" s="447">
        <v>0</v>
      </c>
      <c r="N9" s="448">
        <v>0</v>
      </c>
      <c r="O9" s="449">
        <v>228.89999999999998</v>
      </c>
      <c r="P9" s="448">
        <v>1.0166555629580281</v>
      </c>
      <c r="Q9" s="446">
        <v>2.2999999999999998</v>
      </c>
      <c r="R9" s="448">
        <v>1.0215411947590496E-2</v>
      </c>
      <c r="S9" s="449">
        <v>3.7500000000000107</v>
      </c>
      <c r="T9" s="448">
        <v>1.6655562958028031E-2</v>
      </c>
      <c r="U9" s="450">
        <v>1828.5000000000052</v>
      </c>
      <c r="V9" s="343" t="s">
        <v>327</v>
      </c>
      <c r="W9" s="343" t="s">
        <v>195</v>
      </c>
      <c r="X9" s="343" t="s">
        <v>604</v>
      </c>
      <c r="Y9" s="343" t="s">
        <v>528</v>
      </c>
      <c r="Z9" s="343">
        <v>1</v>
      </c>
      <c r="AA9" s="451" t="s">
        <v>567</v>
      </c>
      <c r="AC9" s="341" t="s">
        <v>646</v>
      </c>
      <c r="AD9" s="457">
        <f t="shared" ref="AD9:AJ9" si="1">AD7/$AC7</f>
        <v>0</v>
      </c>
      <c r="AE9" s="457">
        <f t="shared" si="1"/>
        <v>0</v>
      </c>
      <c r="AF9" s="457">
        <f t="shared" si="1"/>
        <v>0.05</v>
      </c>
      <c r="AG9" s="457">
        <f t="shared" si="1"/>
        <v>0.55000000000000004</v>
      </c>
      <c r="AH9" s="457">
        <f t="shared" si="1"/>
        <v>0.25</v>
      </c>
      <c r="AI9" s="457">
        <f t="shared" si="1"/>
        <v>0.1</v>
      </c>
      <c r="AJ9" s="457">
        <f t="shared" si="1"/>
        <v>0.05</v>
      </c>
      <c r="AO9" s="208"/>
      <c r="AP9" s="208"/>
    </row>
    <row r="10" spans="2:42" s="421" customFormat="1" ht="27" customHeight="1">
      <c r="B10" s="901"/>
      <c r="C10" s="902"/>
      <c r="D10" s="341">
        <v>6</v>
      </c>
      <c r="E10" s="444" t="s">
        <v>709</v>
      </c>
      <c r="F10" s="445">
        <v>1120.681</v>
      </c>
      <c r="G10" s="342">
        <v>361.51</v>
      </c>
      <c r="H10" s="446">
        <v>1038.1033597204619</v>
      </c>
      <c r="I10" s="447">
        <v>1040.6803755245726</v>
      </c>
      <c r="J10" s="448">
        <v>1.0024945446843287</v>
      </c>
      <c r="K10" s="447">
        <v>1043.8</v>
      </c>
      <c r="L10" s="448">
        <v>1.0054875463278263</v>
      </c>
      <c r="M10" s="447">
        <v>0</v>
      </c>
      <c r="N10" s="448">
        <v>0</v>
      </c>
      <c r="O10" s="449">
        <v>1043.8</v>
      </c>
      <c r="P10" s="448">
        <v>1.0054875463278263</v>
      </c>
      <c r="Q10" s="446">
        <v>3.1</v>
      </c>
      <c r="R10" s="448">
        <v>2.9862151692050792E-3</v>
      </c>
      <c r="S10" s="449">
        <v>5.6966402795379736</v>
      </c>
      <c r="T10" s="448">
        <v>5.4875463278261155E-3</v>
      </c>
      <c r="U10" s="450">
        <v>2059.3924274557726</v>
      </c>
      <c r="V10" s="343" t="s">
        <v>326</v>
      </c>
      <c r="W10" s="343" t="s">
        <v>502</v>
      </c>
      <c r="X10" s="343" t="s">
        <v>733</v>
      </c>
      <c r="Y10" s="343" t="s">
        <v>713</v>
      </c>
      <c r="Z10" s="343">
        <v>1</v>
      </c>
      <c r="AA10" s="451" t="s">
        <v>332</v>
      </c>
      <c r="AO10" s="208"/>
      <c r="AP10" s="208"/>
    </row>
    <row r="11" spans="2:42" s="421" customFormat="1" ht="27" customHeight="1">
      <c r="B11" s="901"/>
      <c r="C11" s="902"/>
      <c r="D11" s="341">
        <v>7</v>
      </c>
      <c r="E11" s="444" t="s">
        <v>722</v>
      </c>
      <c r="F11" s="445">
        <v>1105.192</v>
      </c>
      <c r="G11" s="342">
        <v>125.59</v>
      </c>
      <c r="H11" s="446">
        <v>1652.144</v>
      </c>
      <c r="I11" s="447">
        <v>1658.5314694830865</v>
      </c>
      <c r="J11" s="448">
        <v>1.003970524071925</v>
      </c>
      <c r="K11" s="447">
        <v>1666.9</v>
      </c>
      <c r="L11" s="448">
        <v>1.0089314248636922</v>
      </c>
      <c r="M11" s="447">
        <v>0</v>
      </c>
      <c r="N11" s="448">
        <v>0</v>
      </c>
      <c r="O11" s="449">
        <v>1666.9</v>
      </c>
      <c r="P11" s="448">
        <v>1.0089314248636922</v>
      </c>
      <c r="Q11" s="446">
        <v>8.7999999999999989</v>
      </c>
      <c r="R11" s="448">
        <v>5.3264122255687147E-3</v>
      </c>
      <c r="S11" s="449">
        <v>14.756000000000057</v>
      </c>
      <c r="T11" s="448">
        <v>8.9314248636923037E-3</v>
      </c>
      <c r="U11" s="450">
        <v>1853.2060400000073</v>
      </c>
      <c r="V11" s="343" t="s">
        <v>326</v>
      </c>
      <c r="W11" s="343" t="s">
        <v>502</v>
      </c>
      <c r="X11" s="343" t="s">
        <v>613</v>
      </c>
      <c r="Y11" s="343" t="s">
        <v>614</v>
      </c>
      <c r="Z11" s="343">
        <v>1</v>
      </c>
      <c r="AA11" s="451" t="s">
        <v>717</v>
      </c>
      <c r="AO11" s="208"/>
      <c r="AP11" s="208"/>
    </row>
    <row r="12" spans="2:42" s="421" customFormat="1" ht="27" customHeight="1">
      <c r="B12" s="901"/>
      <c r="C12" s="902"/>
      <c r="D12" s="341">
        <v>8</v>
      </c>
      <c r="E12" s="444" t="s">
        <v>529</v>
      </c>
      <c r="F12" s="445">
        <v>1089.4660000000001</v>
      </c>
      <c r="G12" s="342">
        <v>111.17</v>
      </c>
      <c r="H12" s="446">
        <v>1980.4359999999999</v>
      </c>
      <c r="I12" s="447">
        <v>1984.4507360800744</v>
      </c>
      <c r="J12" s="448">
        <v>1.002007709657891</v>
      </c>
      <c r="K12" s="447">
        <v>1994.6000000000004</v>
      </c>
      <c r="L12" s="448">
        <v>1.00715196047739</v>
      </c>
      <c r="M12" s="447">
        <v>0</v>
      </c>
      <c r="N12" s="448">
        <v>0</v>
      </c>
      <c r="O12" s="449">
        <v>1994.6000000000004</v>
      </c>
      <c r="P12" s="448">
        <v>1.00715196047739</v>
      </c>
      <c r="Q12" s="446">
        <v>9.7999999999999989</v>
      </c>
      <c r="R12" s="448">
        <v>4.9484053006509671E-3</v>
      </c>
      <c r="S12" s="449">
        <v>14.164000000000385</v>
      </c>
      <c r="T12" s="448">
        <v>7.1519604773900222E-3</v>
      </c>
      <c r="U12" s="450">
        <v>1574.6118800000429</v>
      </c>
      <c r="V12" s="343" t="s">
        <v>326</v>
      </c>
      <c r="W12" s="343" t="s">
        <v>502</v>
      </c>
      <c r="X12" s="343" t="s">
        <v>734</v>
      </c>
      <c r="Y12" s="343" t="s">
        <v>530</v>
      </c>
      <c r="Z12" s="343">
        <v>1</v>
      </c>
      <c r="AA12" s="451" t="s">
        <v>332</v>
      </c>
      <c r="AO12" s="208"/>
      <c r="AP12" s="208"/>
    </row>
    <row r="13" spans="2:42" s="421" customFormat="1" ht="27" customHeight="1">
      <c r="B13" s="901"/>
      <c r="C13" s="902"/>
      <c r="D13" s="341">
        <v>9</v>
      </c>
      <c r="E13" s="444" t="s">
        <v>602</v>
      </c>
      <c r="F13" s="445">
        <v>1073.5200000000002</v>
      </c>
      <c r="G13" s="342">
        <v>447.3</v>
      </c>
      <c r="H13" s="446">
        <v>753.4</v>
      </c>
      <c r="I13" s="447">
        <v>755.36962551781221</v>
      </c>
      <c r="J13" s="448">
        <v>1.0026745763970966</v>
      </c>
      <c r="K13" s="447">
        <v>757.99999999999989</v>
      </c>
      <c r="L13" s="448">
        <v>1.0061056543668701</v>
      </c>
      <c r="M13" s="447">
        <v>0</v>
      </c>
      <c r="N13" s="448">
        <v>0</v>
      </c>
      <c r="O13" s="449">
        <v>757.99999999999989</v>
      </c>
      <c r="P13" s="448">
        <v>1.0061056543668701</v>
      </c>
      <c r="Q13" s="446">
        <v>2.4</v>
      </c>
      <c r="R13" s="448">
        <v>3.1855588001061851E-3</v>
      </c>
      <c r="S13" s="449">
        <v>4.6000000000000227</v>
      </c>
      <c r="T13" s="448">
        <v>6.1056543668702185E-3</v>
      </c>
      <c r="U13" s="450">
        <v>2057.5800000000099</v>
      </c>
      <c r="V13" s="343" t="s">
        <v>327</v>
      </c>
      <c r="W13" s="343" t="s">
        <v>194</v>
      </c>
      <c r="X13" s="343" t="s">
        <v>604</v>
      </c>
      <c r="Y13" s="343" t="s">
        <v>528</v>
      </c>
      <c r="Z13" s="343">
        <v>1</v>
      </c>
      <c r="AA13" s="451" t="s">
        <v>601</v>
      </c>
      <c r="AO13" s="208"/>
      <c r="AP13" s="208"/>
    </row>
    <row r="14" spans="2:42" s="421" customFormat="1" ht="27" customHeight="1">
      <c r="B14" s="901"/>
      <c r="C14" s="902"/>
      <c r="D14" s="341">
        <v>10</v>
      </c>
      <c r="E14" s="444" t="s">
        <v>735</v>
      </c>
      <c r="F14" s="445">
        <v>1054.4460000000001</v>
      </c>
      <c r="G14" s="342">
        <v>122.61</v>
      </c>
      <c r="H14" s="446">
        <v>656.22</v>
      </c>
      <c r="I14" s="447">
        <v>658.69148279057708</v>
      </c>
      <c r="J14" s="448">
        <v>1.0040304920533125</v>
      </c>
      <c r="K14" s="447">
        <v>667.59999999999991</v>
      </c>
      <c r="L14" s="448">
        <v>1.0173417451464446</v>
      </c>
      <c r="M14" s="447">
        <v>0</v>
      </c>
      <c r="N14" s="448">
        <v>0</v>
      </c>
      <c r="O14" s="449">
        <v>667.59999999999991</v>
      </c>
      <c r="P14" s="448">
        <v>1.0173417451464446</v>
      </c>
      <c r="Q14" s="446">
        <v>8.6</v>
      </c>
      <c r="R14" s="448">
        <v>1.3105361006979366E-2</v>
      </c>
      <c r="S14" s="449">
        <v>11.379999999999974</v>
      </c>
      <c r="T14" s="448">
        <v>1.7341745146444751E-2</v>
      </c>
      <c r="U14" s="450">
        <v>1395.301799999997</v>
      </c>
      <c r="V14" s="343" t="s">
        <v>326</v>
      </c>
      <c r="W14" s="343" t="s">
        <v>502</v>
      </c>
      <c r="X14" s="343" t="s">
        <v>613</v>
      </c>
      <c r="Y14" s="343" t="s">
        <v>614</v>
      </c>
      <c r="Z14" s="343">
        <v>1</v>
      </c>
      <c r="AA14" s="451" t="s">
        <v>736</v>
      </c>
    </row>
    <row r="15" spans="2:42" s="421" customFormat="1" ht="27" customHeight="1">
      <c r="B15" s="901"/>
      <c r="C15" s="902"/>
      <c r="D15" s="341">
        <v>11</v>
      </c>
      <c r="E15" s="444" t="s">
        <v>737</v>
      </c>
      <c r="F15" s="445">
        <v>1017.9750000000001</v>
      </c>
      <c r="G15" s="342">
        <v>290.85000000000002</v>
      </c>
      <c r="H15" s="446">
        <v>228.03799999999998</v>
      </c>
      <c r="I15" s="447">
        <v>228.03799999999998</v>
      </c>
      <c r="J15" s="448">
        <v>1</v>
      </c>
      <c r="K15" s="447">
        <v>233.09999999999997</v>
      </c>
      <c r="L15" s="448">
        <v>1.0221980547101799</v>
      </c>
      <c r="M15" s="447">
        <v>0</v>
      </c>
      <c r="N15" s="448">
        <v>0</v>
      </c>
      <c r="O15" s="449">
        <v>233.09999999999997</v>
      </c>
      <c r="P15" s="448">
        <v>1.0221980547101799</v>
      </c>
      <c r="Q15" s="446">
        <v>3.5</v>
      </c>
      <c r="R15" s="448">
        <v>1.5348319139792493E-2</v>
      </c>
      <c r="S15" s="449">
        <v>5.0620000000000047</v>
      </c>
      <c r="T15" s="448">
        <v>2.2198054710179906E-2</v>
      </c>
      <c r="U15" s="450">
        <v>1472.2827000000016</v>
      </c>
      <c r="V15" s="343" t="s">
        <v>331</v>
      </c>
      <c r="W15" s="343" t="s">
        <v>502</v>
      </c>
      <c r="X15" s="343" t="s">
        <v>603</v>
      </c>
      <c r="Y15" s="343" t="s">
        <v>528</v>
      </c>
      <c r="Z15" s="343">
        <v>1</v>
      </c>
      <c r="AA15" s="451" t="s">
        <v>342</v>
      </c>
      <c r="AE15" s="345"/>
    </row>
    <row r="16" spans="2:42" s="421" customFormat="1" ht="27" customHeight="1">
      <c r="B16" s="901"/>
      <c r="C16" s="902"/>
      <c r="D16" s="341">
        <v>12</v>
      </c>
      <c r="E16" s="444" t="s">
        <v>738</v>
      </c>
      <c r="F16" s="445">
        <v>1011.558</v>
      </c>
      <c r="G16" s="342">
        <v>95.43</v>
      </c>
      <c r="H16" s="446">
        <v>396.05</v>
      </c>
      <c r="I16" s="447">
        <v>399.97778088508989</v>
      </c>
      <c r="J16" s="448">
        <v>1.0099857501135987</v>
      </c>
      <c r="K16" s="447">
        <v>410.50000000000006</v>
      </c>
      <c r="L16" s="448">
        <v>1.0364852922610783</v>
      </c>
      <c r="M16" s="447">
        <v>0</v>
      </c>
      <c r="N16" s="448">
        <v>0</v>
      </c>
      <c r="O16" s="449">
        <v>410.50000000000006</v>
      </c>
      <c r="P16" s="448">
        <v>1.0364852922610783</v>
      </c>
      <c r="Q16" s="446">
        <v>10.6</v>
      </c>
      <c r="R16" s="448">
        <v>2.6764297437192271E-2</v>
      </c>
      <c r="S16" s="449">
        <v>14.450000000000024</v>
      </c>
      <c r="T16" s="448">
        <v>3.6485292261078203E-2</v>
      </c>
      <c r="U16" s="450">
        <v>1378.9635000000026</v>
      </c>
      <c r="V16" s="343" t="s">
        <v>331</v>
      </c>
      <c r="W16" s="343" t="s">
        <v>369</v>
      </c>
      <c r="X16" s="343" t="s">
        <v>725</v>
      </c>
      <c r="Y16" s="343" t="s">
        <v>726</v>
      </c>
      <c r="Z16" s="343">
        <v>1</v>
      </c>
      <c r="AA16" s="451" t="s">
        <v>347</v>
      </c>
    </row>
    <row r="17" spans="2:27" s="421" customFormat="1" ht="27" customHeight="1">
      <c r="B17" s="901"/>
      <c r="C17" s="902"/>
      <c r="D17" s="341">
        <v>13</v>
      </c>
      <c r="E17" s="444" t="s">
        <v>739</v>
      </c>
      <c r="F17" s="445">
        <v>998.11199999999997</v>
      </c>
      <c r="G17" s="342">
        <v>103.97</v>
      </c>
      <c r="H17" s="446">
        <v>650.05500000000006</v>
      </c>
      <c r="I17" s="447">
        <v>653.75712129073497</v>
      </c>
      <c r="J17" s="448">
        <v>1.0057168019110614</v>
      </c>
      <c r="K17" s="447">
        <v>663.79999999999984</v>
      </c>
      <c r="L17" s="448">
        <v>1.0211443647076013</v>
      </c>
      <c r="M17" s="447">
        <v>0</v>
      </c>
      <c r="N17" s="448">
        <v>0</v>
      </c>
      <c r="O17" s="449">
        <v>663.79999999999984</v>
      </c>
      <c r="P17" s="448">
        <v>1.0211443647076013</v>
      </c>
      <c r="Q17" s="446">
        <v>9.6</v>
      </c>
      <c r="R17" s="448">
        <v>1.4767981170824005E-2</v>
      </c>
      <c r="S17" s="449">
        <v>13.744999999999933</v>
      </c>
      <c r="T17" s="448">
        <v>2.114436470760156E-2</v>
      </c>
      <c r="U17" s="450">
        <v>1429.0676499999929</v>
      </c>
      <c r="V17" s="343" t="s">
        <v>331</v>
      </c>
      <c r="W17" s="343" t="s">
        <v>502</v>
      </c>
      <c r="X17" s="343" t="s">
        <v>725</v>
      </c>
      <c r="Y17" s="343" t="s">
        <v>726</v>
      </c>
      <c r="Z17" s="343">
        <v>1</v>
      </c>
      <c r="AA17" s="451" t="s">
        <v>522</v>
      </c>
    </row>
    <row r="18" spans="2:27" s="421" customFormat="1" ht="27" customHeight="1">
      <c r="B18" s="901"/>
      <c r="C18" s="902"/>
      <c r="D18" s="341">
        <v>14</v>
      </c>
      <c r="E18" s="444" t="s">
        <v>740</v>
      </c>
      <c r="F18" s="445">
        <v>985.60799999999983</v>
      </c>
      <c r="G18" s="342">
        <v>136.88999999999999</v>
      </c>
      <c r="H18" s="446">
        <v>2022.98</v>
      </c>
      <c r="I18" s="447">
        <v>2026.1774259700742</v>
      </c>
      <c r="J18" s="448">
        <v>1.001588467576511</v>
      </c>
      <c r="K18" s="447">
        <v>2033.5000000000005</v>
      </c>
      <c r="L18" s="448">
        <v>1.0052002491374115</v>
      </c>
      <c r="M18" s="447">
        <v>0</v>
      </c>
      <c r="N18" s="448">
        <v>0</v>
      </c>
      <c r="O18" s="449">
        <v>2033.5000000000005</v>
      </c>
      <c r="P18" s="448">
        <v>1.0052002491374115</v>
      </c>
      <c r="Q18" s="446">
        <v>7.2000000000000011</v>
      </c>
      <c r="R18" s="448">
        <v>3.5591058735133323E-3</v>
      </c>
      <c r="S18" s="449">
        <v>10.520000000000437</v>
      </c>
      <c r="T18" s="448">
        <v>5.2002491374113615E-3</v>
      </c>
      <c r="U18" s="450">
        <v>1440.0828000000595</v>
      </c>
      <c r="V18" s="343" t="s">
        <v>331</v>
      </c>
      <c r="W18" s="343" t="s">
        <v>194</v>
      </c>
      <c r="X18" s="343" t="s">
        <v>599</v>
      </c>
      <c r="Y18" s="343" t="s">
        <v>600</v>
      </c>
      <c r="Z18" s="343">
        <v>1</v>
      </c>
      <c r="AA18" s="451" t="s">
        <v>332</v>
      </c>
    </row>
    <row r="19" spans="2:27" s="421" customFormat="1" ht="27" customHeight="1">
      <c r="B19" s="901"/>
      <c r="C19" s="902"/>
      <c r="D19" s="341">
        <v>15</v>
      </c>
      <c r="E19" s="444" t="s">
        <v>634</v>
      </c>
      <c r="F19" s="445">
        <v>980.35199999999998</v>
      </c>
      <c r="G19" s="342">
        <v>102.12</v>
      </c>
      <c r="H19" s="446">
        <v>1330.6</v>
      </c>
      <c r="I19" s="447">
        <v>1334.2823547375776</v>
      </c>
      <c r="J19" s="448">
        <v>1.0028074714229351</v>
      </c>
      <c r="K19" s="447">
        <v>1343.8</v>
      </c>
      <c r="L19" s="448">
        <v>1.009920336690215</v>
      </c>
      <c r="M19" s="447">
        <v>0</v>
      </c>
      <c r="N19" s="448">
        <v>0</v>
      </c>
      <c r="O19" s="449">
        <v>1343.8</v>
      </c>
      <c r="P19" s="448">
        <v>1.009920336690215</v>
      </c>
      <c r="Q19" s="446">
        <v>9.6</v>
      </c>
      <c r="R19" s="448">
        <v>7.2147903201563203E-3</v>
      </c>
      <c r="S19" s="449">
        <v>13.19999999999996</v>
      </c>
      <c r="T19" s="448">
        <v>9.9203366902149114E-3</v>
      </c>
      <c r="U19" s="450">
        <v>1347.9839999999958</v>
      </c>
      <c r="V19" s="343" t="s">
        <v>326</v>
      </c>
      <c r="W19" s="343" t="s">
        <v>502</v>
      </c>
      <c r="X19" s="343" t="s">
        <v>741</v>
      </c>
      <c r="Y19" s="343" t="s">
        <v>530</v>
      </c>
      <c r="Z19" s="343">
        <v>1</v>
      </c>
      <c r="AA19" s="451" t="s">
        <v>631</v>
      </c>
    </row>
    <row r="20" spans="2:27" s="421" customFormat="1" ht="27" customHeight="1">
      <c r="B20" s="901"/>
      <c r="C20" s="902"/>
      <c r="D20" s="341">
        <v>16</v>
      </c>
      <c r="E20" s="444" t="s">
        <v>724</v>
      </c>
      <c r="F20" s="445">
        <v>968.84800000000007</v>
      </c>
      <c r="G20" s="342">
        <v>127.48</v>
      </c>
      <c r="H20" s="446">
        <v>1158.6909999999998</v>
      </c>
      <c r="I20" s="447">
        <v>1162.2284653125291</v>
      </c>
      <c r="J20" s="448">
        <v>1.0029961668505993</v>
      </c>
      <c r="K20" s="447">
        <v>1169.3999999999999</v>
      </c>
      <c r="L20" s="448">
        <v>1.0092423260386074</v>
      </c>
      <c r="M20" s="447">
        <v>0</v>
      </c>
      <c r="N20" s="448">
        <v>0</v>
      </c>
      <c r="O20" s="449">
        <v>1169.3999999999999</v>
      </c>
      <c r="P20" s="448">
        <v>1.0092423260386074</v>
      </c>
      <c r="Q20" s="446">
        <v>7.6000000000000005</v>
      </c>
      <c r="R20" s="448">
        <v>6.5591257720997243E-3</v>
      </c>
      <c r="S20" s="449">
        <v>10.708999999999975</v>
      </c>
      <c r="T20" s="448">
        <v>9.2423260386073399E-3</v>
      </c>
      <c r="U20" s="450">
        <v>1365.1833199999967</v>
      </c>
      <c r="V20" s="343" t="s">
        <v>326</v>
      </c>
      <c r="W20" s="343" t="s">
        <v>502</v>
      </c>
      <c r="X20" s="500" t="s">
        <v>725</v>
      </c>
      <c r="Y20" s="501" t="s">
        <v>726</v>
      </c>
      <c r="Z20" s="343">
        <v>1</v>
      </c>
      <c r="AA20" s="451" t="s">
        <v>330</v>
      </c>
    </row>
    <row r="21" spans="2:27" s="421" customFormat="1" ht="27" customHeight="1">
      <c r="B21" s="901"/>
      <c r="C21" s="902"/>
      <c r="D21" s="341">
        <v>17</v>
      </c>
      <c r="E21" s="444" t="s">
        <v>742</v>
      </c>
      <c r="F21" s="445">
        <v>951.52000000000021</v>
      </c>
      <c r="G21" s="342">
        <v>297.35000000000002</v>
      </c>
      <c r="H21" s="446">
        <v>260.221</v>
      </c>
      <c r="I21" s="447">
        <v>260.221</v>
      </c>
      <c r="J21" s="448">
        <v>1</v>
      </c>
      <c r="K21" s="447">
        <v>264.70000000000005</v>
      </c>
      <c r="L21" s="448">
        <v>1.0172122926281892</v>
      </c>
      <c r="M21" s="447">
        <v>0</v>
      </c>
      <c r="N21" s="448">
        <v>0</v>
      </c>
      <c r="O21" s="449">
        <v>264.70000000000005</v>
      </c>
      <c r="P21" s="448">
        <v>1.0172122926281892</v>
      </c>
      <c r="Q21" s="446">
        <v>3.1999999999999997</v>
      </c>
      <c r="R21" s="448">
        <v>1.2297239653986419E-2</v>
      </c>
      <c r="S21" s="449">
        <v>4.4789999999999992</v>
      </c>
      <c r="T21" s="448">
        <v>1.7212292628189112E-2</v>
      </c>
      <c r="U21" s="450">
        <v>1331.8306499999999</v>
      </c>
      <c r="V21" s="343" t="s">
        <v>331</v>
      </c>
      <c r="W21" s="343" t="s">
        <v>194</v>
      </c>
      <c r="X21" s="343" t="s">
        <v>604</v>
      </c>
      <c r="Y21" s="343" t="s">
        <v>528</v>
      </c>
      <c r="Z21" s="343">
        <v>1</v>
      </c>
      <c r="AA21" s="451" t="s">
        <v>592</v>
      </c>
    </row>
    <row r="22" spans="2:27" s="421" customFormat="1" ht="27" customHeight="1">
      <c r="B22" s="901"/>
      <c r="C22" s="902"/>
      <c r="D22" s="341">
        <v>18</v>
      </c>
      <c r="E22" s="444" t="s">
        <v>711</v>
      </c>
      <c r="F22" s="445">
        <v>949.34799999999996</v>
      </c>
      <c r="G22" s="342">
        <v>103.19</v>
      </c>
      <c r="H22" s="446">
        <v>2250.4</v>
      </c>
      <c r="I22" s="447">
        <v>2254.1408935354316</v>
      </c>
      <c r="J22" s="448">
        <v>1.0016526280511693</v>
      </c>
      <c r="K22" s="447">
        <v>2263.3000000000002</v>
      </c>
      <c r="L22" s="448">
        <v>1.0057323142552435</v>
      </c>
      <c r="M22" s="447">
        <v>0</v>
      </c>
      <c r="N22" s="448">
        <v>0</v>
      </c>
      <c r="O22" s="449">
        <v>2263.3000000000002</v>
      </c>
      <c r="P22" s="448">
        <v>1.0057323142552435</v>
      </c>
      <c r="Q22" s="446">
        <v>9.2000000000000011</v>
      </c>
      <c r="R22" s="448">
        <v>4.088162104514753E-3</v>
      </c>
      <c r="S22" s="449">
        <v>12.900000000000205</v>
      </c>
      <c r="T22" s="448">
        <v>5.7323142552436028E-3</v>
      </c>
      <c r="U22" s="450">
        <v>1331.151000000021</v>
      </c>
      <c r="V22" s="343" t="s">
        <v>326</v>
      </c>
      <c r="W22" s="343" t="s">
        <v>502</v>
      </c>
      <c r="X22" s="501" t="s">
        <v>613</v>
      </c>
      <c r="Y22" s="343" t="s">
        <v>614</v>
      </c>
      <c r="Z22" s="343">
        <v>1</v>
      </c>
      <c r="AA22" s="451" t="s">
        <v>710</v>
      </c>
    </row>
    <row r="23" spans="2:27" s="421" customFormat="1" ht="27" customHeight="1">
      <c r="B23" s="901"/>
      <c r="C23" s="902"/>
      <c r="D23" s="341">
        <v>19</v>
      </c>
      <c r="E23" s="444" t="s">
        <v>633</v>
      </c>
      <c r="F23" s="445">
        <v>941.49999999999977</v>
      </c>
      <c r="G23" s="342">
        <v>13.45</v>
      </c>
      <c r="H23" s="446">
        <v>27344</v>
      </c>
      <c r="I23" s="447">
        <v>27344</v>
      </c>
      <c r="J23" s="448">
        <v>1</v>
      </c>
      <c r="K23" s="447">
        <v>27414</v>
      </c>
      <c r="L23" s="448">
        <v>1.0025599765944997</v>
      </c>
      <c r="M23" s="447">
        <v>0</v>
      </c>
      <c r="N23" s="448">
        <v>0</v>
      </c>
      <c r="O23" s="449">
        <v>27414</v>
      </c>
      <c r="P23" s="448">
        <v>1.0025599765944997</v>
      </c>
      <c r="Q23" s="446">
        <v>70</v>
      </c>
      <c r="R23" s="448">
        <v>2.5599765944997075E-3</v>
      </c>
      <c r="S23" s="449">
        <v>70</v>
      </c>
      <c r="T23" s="448">
        <v>2.5599765944997075E-3</v>
      </c>
      <c r="U23" s="450">
        <v>941.49999999999977</v>
      </c>
      <c r="V23" s="343" t="s">
        <v>327</v>
      </c>
      <c r="W23" s="343" t="s">
        <v>516</v>
      </c>
      <c r="X23" s="501" t="s">
        <v>730</v>
      </c>
      <c r="Y23" s="343" t="s">
        <v>743</v>
      </c>
      <c r="Z23" s="343">
        <v>1</v>
      </c>
      <c r="AA23" s="451" t="s">
        <v>520</v>
      </c>
    </row>
    <row r="24" spans="2:27" s="421" customFormat="1" ht="27" customHeight="1">
      <c r="B24" s="903"/>
      <c r="C24" s="904"/>
      <c r="D24" s="341">
        <v>20</v>
      </c>
      <c r="E24" s="444" t="s">
        <v>744</v>
      </c>
      <c r="F24" s="445">
        <v>939.05599999999993</v>
      </c>
      <c r="G24" s="342">
        <v>247.12</v>
      </c>
      <c r="H24" s="446">
        <v>334.33199999999999</v>
      </c>
      <c r="I24" s="447">
        <v>334.33199999999999</v>
      </c>
      <c r="J24" s="448">
        <v>1</v>
      </c>
      <c r="K24" s="447">
        <v>339.70000000000005</v>
      </c>
      <c r="L24" s="448">
        <v>1.0160558965339843</v>
      </c>
      <c r="M24" s="447">
        <v>0</v>
      </c>
      <c r="N24" s="448">
        <v>0</v>
      </c>
      <c r="O24" s="449">
        <v>339.70000000000005</v>
      </c>
      <c r="P24" s="448">
        <v>1.0160558965339843</v>
      </c>
      <c r="Q24" s="446">
        <v>3.8000000000000003</v>
      </c>
      <c r="R24" s="448">
        <v>1.1365947620927701E-2</v>
      </c>
      <c r="S24" s="449">
        <v>5.3680000000000305</v>
      </c>
      <c r="T24" s="448">
        <v>1.6055896533984274E-2</v>
      </c>
      <c r="U24" s="450">
        <v>1326.5401600000077</v>
      </c>
      <c r="V24" s="343" t="s">
        <v>331</v>
      </c>
      <c r="W24" s="343" t="s">
        <v>502</v>
      </c>
      <c r="X24" s="343" t="s">
        <v>745</v>
      </c>
      <c r="Y24" s="501" t="s">
        <v>746</v>
      </c>
      <c r="Z24" s="343">
        <v>1</v>
      </c>
      <c r="AA24" s="451" t="s">
        <v>704</v>
      </c>
    </row>
    <row r="25" spans="2:27" ht="27" customHeight="1"/>
    <row r="26" spans="2:27" ht="27" customHeight="1"/>
    <row r="27" spans="2:27" ht="29.25" customHeight="1"/>
    <row r="28" spans="2:27" ht="27.95" customHeight="1"/>
    <row r="29" spans="2:27" ht="27.95" customHeight="1"/>
    <row r="30" spans="2:27" ht="27.95" customHeight="1"/>
    <row r="31" spans="2:27" ht="27.95" customHeight="1"/>
    <row r="32" spans="2:27" ht="27.95" customHeight="1"/>
    <row r="42" ht="14.1" customHeight="1"/>
    <row r="52" ht="14.1" customHeight="1"/>
    <row r="62" ht="14.1" customHeight="1"/>
    <row r="87" spans="26:26">
      <c r="Z87" s="339" t="s">
        <v>517</v>
      </c>
    </row>
    <row r="88" spans="26:26">
      <c r="Z88" s="339" t="s">
        <v>518</v>
      </c>
    </row>
    <row r="91" spans="26:26" ht="18.75" customHeight="1"/>
    <row r="92" spans="26:26" ht="14.1" customHeight="1"/>
    <row r="102" ht="14.1" customHeight="1"/>
    <row r="112" ht="14.1" customHeight="1"/>
    <row r="122" ht="14.1" customHeight="1"/>
    <row r="142" ht="14.1" customHeight="1"/>
    <row r="162" ht="14.1" customHeight="1"/>
    <row r="172" ht="14.1" customHeight="1"/>
    <row r="182" ht="14.1" customHeight="1"/>
    <row r="192" ht="14.1" customHeight="1"/>
    <row r="202" ht="14.1" customHeight="1"/>
    <row r="212" ht="14.1" customHeight="1"/>
    <row r="222" ht="14.1" customHeight="1"/>
    <row r="232" ht="14.1" customHeight="1"/>
    <row r="242" ht="14.1" customHeight="1"/>
    <row r="252" ht="14.1" customHeight="1"/>
    <row r="262" ht="14.1" customHeight="1"/>
    <row r="272" ht="14.1" customHeight="1"/>
  </sheetData>
  <mergeCells count="21">
    <mergeCell ref="K3:L3"/>
    <mergeCell ref="B2:AA2"/>
    <mergeCell ref="B3:C4"/>
    <mergeCell ref="D3:D4"/>
    <mergeCell ref="E3:E4"/>
    <mergeCell ref="AC3:AJ5"/>
    <mergeCell ref="B5:C24"/>
    <mergeCell ref="W3:W4"/>
    <mergeCell ref="X3:X4"/>
    <mergeCell ref="Y3:Y4"/>
    <mergeCell ref="Z3:Z4"/>
    <mergeCell ref="AA3:AA4"/>
    <mergeCell ref="M3:N3"/>
    <mergeCell ref="O3:P3"/>
    <mergeCell ref="Q3:R3"/>
    <mergeCell ref="S3:U3"/>
    <mergeCell ref="V3:V4"/>
    <mergeCell ref="F3:F4"/>
    <mergeCell ref="G3:G4"/>
    <mergeCell ref="H3:H4"/>
    <mergeCell ref="I3:J3"/>
  </mergeCells>
  <phoneticPr fontId="12" type="noConversion"/>
  <dataValidations disablePrompts="1" count="4">
    <dataValidation type="list" allowBlank="1" showInputMessage="1" showErrorMessage="1" sqref="T1 T25:T1048576">
      <formula1>$AC$2:$AC$2</formula1>
    </dataValidation>
    <dataValidation type="list" allowBlank="1" showInputMessage="1" showErrorMessage="1" sqref="U1 U25:U1048576">
      <formula1>#REF!</formula1>
    </dataValidation>
    <dataValidation type="list" allowBlank="1" showInputMessage="1" showErrorMessage="1" sqref="W5:W24">
      <formula1>$AO$7:$AO$13</formula1>
    </dataValidation>
    <dataValidation type="list" allowBlank="1" showInputMessage="1" showErrorMessage="1" sqref="V5:V24">
      <formula1>$AP$7:$AP$13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71"/>
  <sheetViews>
    <sheetView zoomScale="55" zoomScaleNormal="55" workbookViewId="0">
      <pane xSplit="4" ySplit="1" topLeftCell="O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5" sqref="D5:AA24"/>
    </sheetView>
  </sheetViews>
  <sheetFormatPr defaultColWidth="8.85546875" defaultRowHeight="16.5"/>
  <cols>
    <col min="1" max="1" width="8.85546875" style="339"/>
    <col min="2" max="2" width="12.42578125" style="339" customWidth="1"/>
    <col min="3" max="3" width="8.85546875" style="339"/>
    <col min="4" max="4" width="11.5703125" style="339" customWidth="1"/>
    <col min="5" max="5" width="39.28515625" style="339" bestFit="1" customWidth="1"/>
    <col min="6" max="21" width="15.7109375" style="339" customWidth="1"/>
    <col min="22" max="22" width="12.42578125" style="339" bestFit="1" customWidth="1"/>
    <col min="23" max="23" width="25.28515625" style="339" bestFit="1" customWidth="1"/>
    <col min="24" max="24" width="88.28515625" style="339" customWidth="1"/>
    <col min="25" max="25" width="117.7109375" style="339" bestFit="1" customWidth="1"/>
    <col min="26" max="26" width="7.42578125" style="339" bestFit="1" customWidth="1"/>
    <col min="27" max="27" width="69.5703125" style="339" bestFit="1" customWidth="1"/>
    <col min="28" max="28" width="11.42578125" style="339" bestFit="1" customWidth="1"/>
    <col min="29" max="29" width="21.5703125" style="339" customWidth="1"/>
    <col min="30" max="30" width="19.42578125" style="339" bestFit="1" customWidth="1"/>
    <col min="31" max="36" width="14.42578125" style="339" customWidth="1"/>
    <col min="37" max="40" width="8.85546875" style="339"/>
    <col min="41" max="41" width="20.85546875" style="339" bestFit="1" customWidth="1"/>
    <col min="42" max="16384" width="8.85546875" style="339"/>
  </cols>
  <sheetData>
    <row r="1" spans="2:42" ht="21">
      <c r="B1" s="339" t="s">
        <v>667</v>
      </c>
    </row>
    <row r="2" spans="2:42" ht="41.1" customHeight="1">
      <c r="B2" s="916" t="s">
        <v>648</v>
      </c>
      <c r="C2" s="917"/>
      <c r="D2" s="917" t="s">
        <v>668</v>
      </c>
      <c r="E2" s="917" t="s">
        <v>669</v>
      </c>
      <c r="F2" s="917" t="s">
        <v>670</v>
      </c>
      <c r="G2" s="917" t="s">
        <v>671</v>
      </c>
      <c r="H2" s="917" t="s">
        <v>672</v>
      </c>
      <c r="I2" s="917" t="s">
        <v>673</v>
      </c>
      <c r="J2" s="917"/>
      <c r="K2" s="917" t="s">
        <v>674</v>
      </c>
      <c r="L2" s="917"/>
      <c r="M2" s="917" t="s">
        <v>675</v>
      </c>
      <c r="N2" s="917"/>
      <c r="O2" s="917" t="s">
        <v>676</v>
      </c>
      <c r="P2" s="917"/>
      <c r="Q2" s="917" t="s">
        <v>677</v>
      </c>
      <c r="R2" s="917"/>
      <c r="S2" s="917"/>
      <c r="T2" s="917" t="s">
        <v>678</v>
      </c>
      <c r="U2" s="917"/>
      <c r="V2" s="917" t="s">
        <v>166</v>
      </c>
      <c r="W2" s="917" t="s">
        <v>679</v>
      </c>
      <c r="X2" s="917" t="s">
        <v>680</v>
      </c>
      <c r="Y2" s="917" t="s">
        <v>681</v>
      </c>
      <c r="Z2" s="917" t="s">
        <v>682</v>
      </c>
      <c r="AA2" s="917" t="s">
        <v>167</v>
      </c>
      <c r="AC2" s="340" t="s">
        <v>683</v>
      </c>
      <c r="AD2" s="340"/>
    </row>
    <row r="3" spans="2:42" ht="17.100000000000001" customHeight="1">
      <c r="B3" s="918" t="s">
        <v>648</v>
      </c>
      <c r="C3" s="919"/>
      <c r="D3" s="922" t="s">
        <v>649</v>
      </c>
      <c r="E3" s="923" t="s">
        <v>650</v>
      </c>
      <c r="F3" s="924" t="s">
        <v>684</v>
      </c>
      <c r="G3" s="907" t="s">
        <v>652</v>
      </c>
      <c r="H3" s="915" t="s">
        <v>653</v>
      </c>
      <c r="I3" s="909" t="s">
        <v>654</v>
      </c>
      <c r="J3" s="910"/>
      <c r="K3" s="909" t="s">
        <v>655</v>
      </c>
      <c r="L3" s="910"/>
      <c r="M3" s="909" t="s">
        <v>656</v>
      </c>
      <c r="N3" s="910"/>
      <c r="O3" s="909" t="s">
        <v>657</v>
      </c>
      <c r="P3" s="910"/>
      <c r="Q3" s="909" t="s">
        <v>658</v>
      </c>
      <c r="R3" s="925"/>
      <c r="S3" s="910"/>
      <c r="T3" s="911" t="s">
        <v>659</v>
      </c>
      <c r="U3" s="912"/>
      <c r="V3" s="905" t="s">
        <v>166</v>
      </c>
      <c r="W3" s="905" t="s">
        <v>660</v>
      </c>
      <c r="X3" s="905" t="s">
        <v>661</v>
      </c>
      <c r="Y3" s="905" t="s">
        <v>662</v>
      </c>
      <c r="Z3" s="905" t="s">
        <v>663</v>
      </c>
      <c r="AA3" s="907" t="s">
        <v>167</v>
      </c>
      <c r="AC3" s="890" t="s">
        <v>664</v>
      </c>
      <c r="AD3" s="891"/>
      <c r="AE3" s="891"/>
      <c r="AF3" s="891"/>
      <c r="AG3" s="891"/>
      <c r="AH3" s="891"/>
      <c r="AI3" s="891"/>
      <c r="AJ3" s="892"/>
    </row>
    <row r="4" spans="2:42">
      <c r="B4" s="920"/>
      <c r="C4" s="921"/>
      <c r="D4" s="922"/>
      <c r="E4" s="922"/>
      <c r="F4" s="914"/>
      <c r="G4" s="908"/>
      <c r="H4" s="908"/>
      <c r="I4" s="442" t="s">
        <v>665</v>
      </c>
      <c r="J4" s="443" t="s">
        <v>642</v>
      </c>
      <c r="K4" s="442" t="s">
        <v>665</v>
      </c>
      <c r="L4" s="443" t="s">
        <v>642</v>
      </c>
      <c r="M4" s="442" t="s">
        <v>665</v>
      </c>
      <c r="N4" s="443" t="s">
        <v>642</v>
      </c>
      <c r="O4" s="442" t="s">
        <v>665</v>
      </c>
      <c r="P4" s="443" t="s">
        <v>642</v>
      </c>
      <c r="Q4" s="442" t="s">
        <v>665</v>
      </c>
      <c r="R4" s="443" t="s">
        <v>642</v>
      </c>
      <c r="S4" s="443" t="s">
        <v>643</v>
      </c>
      <c r="T4" s="442" t="s">
        <v>665</v>
      </c>
      <c r="U4" s="443" t="s">
        <v>642</v>
      </c>
      <c r="V4" s="906"/>
      <c r="W4" s="906"/>
      <c r="X4" s="906"/>
      <c r="Y4" s="906"/>
      <c r="Z4" s="906"/>
      <c r="AA4" s="908"/>
      <c r="AC4" s="893"/>
      <c r="AD4" s="894"/>
      <c r="AE4" s="894"/>
      <c r="AF4" s="894"/>
      <c r="AG4" s="894"/>
      <c r="AH4" s="894"/>
      <c r="AI4" s="894"/>
      <c r="AJ4" s="895"/>
    </row>
    <row r="5" spans="2:42" s="421" customFormat="1" ht="27" customHeight="1">
      <c r="B5" s="899" t="s">
        <v>712</v>
      </c>
      <c r="C5" s="900"/>
      <c r="D5" s="341">
        <v>1</v>
      </c>
      <c r="E5" s="444" t="s">
        <v>795</v>
      </c>
      <c r="F5" s="458">
        <v>2966.4543999999937</v>
      </c>
      <c r="G5" s="342">
        <v>935.2</v>
      </c>
      <c r="H5" s="446">
        <v>181.72800000000001</v>
      </c>
      <c r="I5" s="447">
        <v>183.33793814529625</v>
      </c>
      <c r="J5" s="448">
        <v>1.0093606067384653</v>
      </c>
      <c r="K5" s="447">
        <v>184.4</v>
      </c>
      <c r="L5" s="448">
        <v>1.0147032928332453</v>
      </c>
      <c r="M5" s="447">
        <v>0.5</v>
      </c>
      <c r="N5" s="448">
        <v>2.751364676879732E-3</v>
      </c>
      <c r="O5" s="449">
        <v>184.9</v>
      </c>
      <c r="P5" s="448">
        <v>1.0174546575101251</v>
      </c>
      <c r="Q5" s="446">
        <v>1.2</v>
      </c>
      <c r="R5" s="448">
        <v>6.603275224511357E-3</v>
      </c>
      <c r="S5" s="459">
        <v>1122.24</v>
      </c>
      <c r="T5" s="449">
        <v>3.1719999999999935</v>
      </c>
      <c r="U5" s="448">
        <v>1.7301383620263948E-2</v>
      </c>
      <c r="V5" s="343" t="s">
        <v>327</v>
      </c>
      <c r="W5" s="343" t="s">
        <v>516</v>
      </c>
      <c r="X5" s="343" t="s">
        <v>809</v>
      </c>
      <c r="Y5" s="343" t="s">
        <v>810</v>
      </c>
      <c r="Z5" s="343">
        <v>1</v>
      </c>
      <c r="AA5" s="451" t="s">
        <v>794</v>
      </c>
      <c r="AC5" s="896"/>
      <c r="AD5" s="897"/>
      <c r="AE5" s="897"/>
      <c r="AF5" s="897"/>
      <c r="AG5" s="897"/>
      <c r="AH5" s="897"/>
      <c r="AI5" s="897"/>
      <c r="AJ5" s="898"/>
    </row>
    <row r="6" spans="2:42" s="421" customFormat="1" ht="27" customHeight="1">
      <c r="B6" s="901"/>
      <c r="C6" s="902"/>
      <c r="D6" s="341">
        <v>2</v>
      </c>
      <c r="E6" s="444" t="s">
        <v>602</v>
      </c>
      <c r="F6" s="458">
        <v>2173.8780000000061</v>
      </c>
      <c r="G6" s="342">
        <v>447.3</v>
      </c>
      <c r="H6" s="446">
        <v>792.6400000000001</v>
      </c>
      <c r="I6" s="447">
        <v>795.50677234331977</v>
      </c>
      <c r="J6" s="448">
        <v>1.0036390293389115</v>
      </c>
      <c r="K6" s="447">
        <v>797.5</v>
      </c>
      <c r="L6" s="448">
        <v>1.0061314089624545</v>
      </c>
      <c r="M6" s="447">
        <v>0</v>
      </c>
      <c r="N6" s="448">
        <v>0</v>
      </c>
      <c r="O6" s="449">
        <v>797.5</v>
      </c>
      <c r="P6" s="448">
        <v>1.0061314089624545</v>
      </c>
      <c r="Q6" s="446">
        <v>2.4999999999999996</v>
      </c>
      <c r="R6" s="448">
        <v>3.1540169559951545E-3</v>
      </c>
      <c r="S6" s="459">
        <v>1118.2500000000002</v>
      </c>
      <c r="T6" s="449">
        <v>4.8600000000000136</v>
      </c>
      <c r="U6" s="448">
        <v>6.1093131686156977E-3</v>
      </c>
      <c r="V6" s="343" t="s">
        <v>327</v>
      </c>
      <c r="W6" s="343" t="s">
        <v>194</v>
      </c>
      <c r="X6" s="343" t="s">
        <v>604</v>
      </c>
      <c r="Y6" s="343" t="s">
        <v>528</v>
      </c>
      <c r="Z6" s="343">
        <v>1</v>
      </c>
      <c r="AA6" s="451" t="s">
        <v>601</v>
      </c>
      <c r="AC6" s="222" t="s">
        <v>666</v>
      </c>
      <c r="AD6" s="222" t="s">
        <v>644</v>
      </c>
      <c r="AE6" s="422" t="s">
        <v>645</v>
      </c>
      <c r="AF6" s="422" t="s">
        <v>369</v>
      </c>
      <c r="AG6" s="422" t="s">
        <v>502</v>
      </c>
      <c r="AH6" s="422" t="s">
        <v>194</v>
      </c>
      <c r="AI6" s="422" t="s">
        <v>195</v>
      </c>
      <c r="AJ6" s="422" t="s">
        <v>516</v>
      </c>
      <c r="AO6" s="452"/>
      <c r="AP6" s="452"/>
    </row>
    <row r="7" spans="2:42" s="421" customFormat="1" ht="27" customHeight="1">
      <c r="B7" s="901"/>
      <c r="C7" s="902"/>
      <c r="D7" s="341">
        <v>3</v>
      </c>
      <c r="E7" s="444" t="s">
        <v>709</v>
      </c>
      <c r="F7" s="458">
        <v>1979.2672500000031</v>
      </c>
      <c r="G7" s="342">
        <v>361.51</v>
      </c>
      <c r="H7" s="446">
        <v>400.92499999999995</v>
      </c>
      <c r="I7" s="447">
        <v>403.15232768451801</v>
      </c>
      <c r="J7" s="448">
        <v>1.0055757455293299</v>
      </c>
      <c r="K7" s="447">
        <v>406.40000000000003</v>
      </c>
      <c r="L7" s="448">
        <v>1.0136559206834197</v>
      </c>
      <c r="M7" s="447">
        <v>0</v>
      </c>
      <c r="N7" s="448">
        <v>0</v>
      </c>
      <c r="O7" s="449">
        <v>406.40000000000003</v>
      </c>
      <c r="P7" s="448">
        <v>1.0136559206834197</v>
      </c>
      <c r="Q7" s="446">
        <v>3.1</v>
      </c>
      <c r="R7" s="448">
        <v>7.7321194737170309E-3</v>
      </c>
      <c r="S7" s="459">
        <v>1120.681</v>
      </c>
      <c r="T7" s="449">
        <v>5.4750000000000085</v>
      </c>
      <c r="U7" s="448">
        <v>1.3580474733819231E-2</v>
      </c>
      <c r="V7" s="343" t="s">
        <v>326</v>
      </c>
      <c r="W7" s="343" t="s">
        <v>502</v>
      </c>
      <c r="X7" s="343" t="s">
        <v>811</v>
      </c>
      <c r="Y7" s="343" t="s">
        <v>713</v>
      </c>
      <c r="Z7" s="343">
        <v>1</v>
      </c>
      <c r="AA7" s="451" t="s">
        <v>332</v>
      </c>
      <c r="AC7" s="453">
        <f>SUM(Z5:Z24)</f>
        <v>20</v>
      </c>
      <c r="AD7" s="344">
        <f>SUMIF($W$5:$W$24,TRIM(AD6),$Z$5:$Z$24)</f>
        <v>0</v>
      </c>
      <c r="AE7" s="344">
        <f t="shared" ref="AE7:AI7" si="0">SUMIF($W$5:$W$24,TRIM(AE6),$Z$5:$Z$24)</f>
        <v>1</v>
      </c>
      <c r="AF7" s="344">
        <f>SUMIF($W$5:$W$24,TRIM(AF6),$Z$5:$Z$24)</f>
        <v>0</v>
      </c>
      <c r="AG7" s="344">
        <f>SUMIF($W$5:$W$24,TRIM(AG6),$Z$5:$Z$24)</f>
        <v>9</v>
      </c>
      <c r="AH7" s="344">
        <f t="shared" si="0"/>
        <v>7</v>
      </c>
      <c r="AI7" s="344">
        <f t="shared" si="0"/>
        <v>1</v>
      </c>
      <c r="AJ7" s="344">
        <f>SUMIF($W$5:$W$24,TRIM(AJ6),$Z$5:$Z$24)</f>
        <v>2</v>
      </c>
      <c r="AO7" s="454"/>
      <c r="AP7" s="208"/>
    </row>
    <row r="8" spans="2:42" s="421" customFormat="1" ht="27" customHeight="1">
      <c r="B8" s="901"/>
      <c r="C8" s="902"/>
      <c r="D8" s="341">
        <v>4</v>
      </c>
      <c r="E8" s="444" t="s">
        <v>728</v>
      </c>
      <c r="F8" s="458">
        <v>1936.9210000000051</v>
      </c>
      <c r="G8" s="342">
        <v>395.29</v>
      </c>
      <c r="H8" s="446">
        <v>603.20000000000005</v>
      </c>
      <c r="I8" s="447">
        <v>605.14171031711896</v>
      </c>
      <c r="J8" s="448">
        <v>1.0035157279881759</v>
      </c>
      <c r="K8" s="447">
        <v>608.1</v>
      </c>
      <c r="L8" s="448">
        <v>1.0081233421750664</v>
      </c>
      <c r="M8" s="447">
        <v>0</v>
      </c>
      <c r="N8" s="448">
        <v>0</v>
      </c>
      <c r="O8" s="449">
        <v>608.1</v>
      </c>
      <c r="P8" s="448">
        <v>1.0081233421750664</v>
      </c>
      <c r="Q8" s="446">
        <v>2.8</v>
      </c>
      <c r="R8" s="448">
        <v>4.6419098143236064E-3</v>
      </c>
      <c r="S8" s="459">
        <v>1106.8120000000001</v>
      </c>
      <c r="T8" s="449">
        <v>4.9000000000000128</v>
      </c>
      <c r="U8" s="448">
        <v>8.0972769129270782E-3</v>
      </c>
      <c r="V8" s="343" t="s">
        <v>327</v>
      </c>
      <c r="W8" s="343" t="s">
        <v>194</v>
      </c>
      <c r="X8" s="501" t="s">
        <v>603</v>
      </c>
      <c r="Y8" s="343" t="s">
        <v>528</v>
      </c>
      <c r="Z8" s="343">
        <v>1</v>
      </c>
      <c r="AA8" s="451" t="s">
        <v>727</v>
      </c>
      <c r="AC8" s="455" t="s">
        <v>11</v>
      </c>
      <c r="AD8" s="456">
        <f>SUMIF($W5:$W$24,TRIM(AD6),$F$5:$F$24)</f>
        <v>0</v>
      </c>
      <c r="AE8" s="456">
        <f>SUMIF($W5:$W$24,TRIM(AE6),$F$5:$F$24)</f>
        <v>1378.0689484536178</v>
      </c>
      <c r="AF8" s="456">
        <f>SUMIF($W5:$W$24,TRIM(AF6),$F$5:$F$24)</f>
        <v>0</v>
      </c>
      <c r="AG8" s="456">
        <f>SUMIF($W5:$W$24,TRIM(AG6),$F$5:$F$24)</f>
        <v>14187.858040000026</v>
      </c>
      <c r="AH8" s="456">
        <f>SUMIF($W5:$W$24,TRIM(AH6),$F$5:$F$24)</f>
        <v>12242.741329999997</v>
      </c>
      <c r="AI8" s="456">
        <f>SUMIF($W5:$W$24,TRIM(AI6),$F$5:$F$24)</f>
        <v>1688.7644800000005</v>
      </c>
      <c r="AJ8" s="456">
        <f>SUMIF($W5:$W$24,TRIM(AJ6),$F$5:$F$24)</f>
        <v>4336.3148299999921</v>
      </c>
      <c r="AO8" s="208"/>
      <c r="AP8" s="208"/>
    </row>
    <row r="9" spans="2:42" s="421" customFormat="1" ht="27" customHeight="1">
      <c r="B9" s="901"/>
      <c r="C9" s="902"/>
      <c r="D9" s="341">
        <v>5</v>
      </c>
      <c r="E9" s="444" t="s">
        <v>627</v>
      </c>
      <c r="F9" s="458">
        <v>1852.5570000000007</v>
      </c>
      <c r="G9" s="342">
        <v>325.01</v>
      </c>
      <c r="H9" s="446">
        <v>316.90000000000003</v>
      </c>
      <c r="I9" s="447">
        <v>318.70546938767961</v>
      </c>
      <c r="J9" s="448">
        <v>1.0057021173301617</v>
      </c>
      <c r="K9" s="447">
        <v>322.59999999999997</v>
      </c>
      <c r="L9" s="448">
        <v>1.0179867466077626</v>
      </c>
      <c r="M9" s="447">
        <v>0</v>
      </c>
      <c r="N9" s="448">
        <v>0</v>
      </c>
      <c r="O9" s="449">
        <v>322.59999999999997</v>
      </c>
      <c r="P9" s="448">
        <v>1.0179867466077626</v>
      </c>
      <c r="Q9" s="446">
        <v>3.8000000000000003</v>
      </c>
      <c r="R9" s="448">
        <v>1.1991164405175133E-2</v>
      </c>
      <c r="S9" s="459">
        <v>1235.038</v>
      </c>
      <c r="T9" s="449">
        <v>5.7000000000000028</v>
      </c>
      <c r="U9" s="448">
        <v>1.788485152435966E-2</v>
      </c>
      <c r="V9" s="343" t="s">
        <v>327</v>
      </c>
      <c r="W9" s="343" t="s">
        <v>194</v>
      </c>
      <c r="X9" s="343" t="s">
        <v>603</v>
      </c>
      <c r="Y9" s="343" t="s">
        <v>528</v>
      </c>
      <c r="Z9" s="343">
        <v>1</v>
      </c>
      <c r="AA9" s="451" t="s">
        <v>626</v>
      </c>
      <c r="AC9" s="341" t="s">
        <v>646</v>
      </c>
      <c r="AD9" s="457">
        <f t="shared" ref="AD9:AJ9" si="1">AD7/$AC7</f>
        <v>0</v>
      </c>
      <c r="AE9" s="457">
        <f t="shared" si="1"/>
        <v>0.05</v>
      </c>
      <c r="AF9" s="457">
        <f t="shared" si="1"/>
        <v>0</v>
      </c>
      <c r="AG9" s="457">
        <f t="shared" si="1"/>
        <v>0.45</v>
      </c>
      <c r="AH9" s="457">
        <f t="shared" si="1"/>
        <v>0.35</v>
      </c>
      <c r="AI9" s="457">
        <f t="shared" si="1"/>
        <v>0.05</v>
      </c>
      <c r="AJ9" s="457">
        <f t="shared" si="1"/>
        <v>0.1</v>
      </c>
      <c r="AO9" s="208"/>
      <c r="AP9" s="208"/>
    </row>
    <row r="10" spans="2:42" s="421" customFormat="1" ht="27" customHeight="1">
      <c r="B10" s="901"/>
      <c r="C10" s="902"/>
      <c r="D10" s="341">
        <v>6</v>
      </c>
      <c r="E10" s="444" t="s">
        <v>370</v>
      </c>
      <c r="F10" s="458">
        <v>1744.3694999999905</v>
      </c>
      <c r="G10" s="342">
        <v>420.33</v>
      </c>
      <c r="H10" s="446">
        <v>544.25</v>
      </c>
      <c r="I10" s="447">
        <v>546.56031473363703</v>
      </c>
      <c r="J10" s="448">
        <v>1.0042962712542984</v>
      </c>
      <c r="K10" s="447">
        <v>548.4</v>
      </c>
      <c r="L10" s="448">
        <v>1.0076251722553973</v>
      </c>
      <c r="M10" s="447">
        <v>0</v>
      </c>
      <c r="N10" s="448">
        <v>0</v>
      </c>
      <c r="O10" s="449">
        <v>548.4</v>
      </c>
      <c r="P10" s="448">
        <v>1.0076251722553973</v>
      </c>
      <c r="Q10" s="446">
        <v>1.8</v>
      </c>
      <c r="R10" s="448">
        <v>3.3073036288470371E-3</v>
      </c>
      <c r="S10" s="459">
        <v>756.59400000000005</v>
      </c>
      <c r="T10" s="449">
        <v>4.1499999999999773</v>
      </c>
      <c r="U10" s="448">
        <v>7.5929405925171415E-3</v>
      </c>
      <c r="V10" s="343" t="s">
        <v>327</v>
      </c>
      <c r="W10" s="343" t="s">
        <v>194</v>
      </c>
      <c r="X10" s="343" t="s">
        <v>603</v>
      </c>
      <c r="Y10" s="343" t="s">
        <v>528</v>
      </c>
      <c r="Z10" s="343">
        <v>1</v>
      </c>
      <c r="AA10" s="451" t="s">
        <v>352</v>
      </c>
      <c r="AO10" s="208"/>
      <c r="AP10" s="208"/>
    </row>
    <row r="11" spans="2:42" s="421" customFormat="1" ht="27" customHeight="1">
      <c r="B11" s="901"/>
      <c r="C11" s="902"/>
      <c r="D11" s="341">
        <v>7</v>
      </c>
      <c r="E11" s="444" t="s">
        <v>707</v>
      </c>
      <c r="F11" s="458">
        <v>1735.0410000000254</v>
      </c>
      <c r="G11" s="342">
        <v>118.03</v>
      </c>
      <c r="H11" s="446">
        <v>1953.1999999999998</v>
      </c>
      <c r="I11" s="447">
        <v>1957.8802912640872</v>
      </c>
      <c r="J11" s="448">
        <v>1.0022665642165791</v>
      </c>
      <c r="K11" s="447">
        <v>1967.8999999999999</v>
      </c>
      <c r="L11" s="448">
        <v>1.0075261109973377</v>
      </c>
      <c r="M11" s="447">
        <v>0</v>
      </c>
      <c r="N11" s="448">
        <v>0</v>
      </c>
      <c r="O11" s="449">
        <v>1967.8999999999999</v>
      </c>
      <c r="P11" s="448">
        <v>1.0075261109973377</v>
      </c>
      <c r="Q11" s="446">
        <v>9.2000000000000011</v>
      </c>
      <c r="R11" s="448">
        <v>4.7102191275855019E-3</v>
      </c>
      <c r="S11" s="459">
        <v>1085.876</v>
      </c>
      <c r="T11" s="449">
        <v>14.700000000000216</v>
      </c>
      <c r="U11" s="448">
        <v>7.5081199119223464E-3</v>
      </c>
      <c r="V11" s="343" t="s">
        <v>326</v>
      </c>
      <c r="W11" s="343" t="s">
        <v>502</v>
      </c>
      <c r="X11" s="343" t="s">
        <v>613</v>
      </c>
      <c r="Y11" s="343" t="s">
        <v>614</v>
      </c>
      <c r="Z11" s="343">
        <v>1</v>
      </c>
      <c r="AA11" s="451" t="s">
        <v>705</v>
      </c>
      <c r="AO11" s="208"/>
      <c r="AP11" s="208"/>
    </row>
    <row r="12" spans="2:42" s="421" customFormat="1" ht="27" customHeight="1">
      <c r="B12" s="901"/>
      <c r="C12" s="902"/>
      <c r="D12" s="341">
        <v>8</v>
      </c>
      <c r="E12" s="444" t="s">
        <v>640</v>
      </c>
      <c r="F12" s="458">
        <v>1688.7644800000005</v>
      </c>
      <c r="G12" s="342">
        <v>444.88</v>
      </c>
      <c r="H12" s="446">
        <v>126.504</v>
      </c>
      <c r="I12" s="447">
        <v>127.68039914288687</v>
      </c>
      <c r="J12" s="448">
        <v>1.0092037906479525</v>
      </c>
      <c r="K12" s="447">
        <v>130.30000000000001</v>
      </c>
      <c r="L12" s="448">
        <v>1.0300069563017771</v>
      </c>
      <c r="M12" s="447">
        <v>0</v>
      </c>
      <c r="N12" s="448">
        <v>0</v>
      </c>
      <c r="O12" s="449">
        <v>130.30000000000001</v>
      </c>
      <c r="P12" s="448">
        <v>1.0300069563017771</v>
      </c>
      <c r="Q12" s="446">
        <v>2.4</v>
      </c>
      <c r="R12" s="448">
        <v>1.8971732119142475E-2</v>
      </c>
      <c r="S12" s="459">
        <v>1067.712</v>
      </c>
      <c r="T12" s="449">
        <v>3.7960000000000012</v>
      </c>
      <c r="U12" s="448">
        <v>2.97304835000704E-2</v>
      </c>
      <c r="V12" s="343" t="s">
        <v>327</v>
      </c>
      <c r="W12" s="343" t="s">
        <v>195</v>
      </c>
      <c r="X12" s="343" t="s">
        <v>604</v>
      </c>
      <c r="Y12" s="343" t="s">
        <v>528</v>
      </c>
      <c r="Z12" s="343">
        <v>1</v>
      </c>
      <c r="AA12" s="451" t="s">
        <v>566</v>
      </c>
      <c r="AO12" s="208"/>
      <c r="AP12" s="208"/>
    </row>
    <row r="13" spans="2:42" s="421" customFormat="1" ht="27" customHeight="1">
      <c r="B13" s="901"/>
      <c r="C13" s="902"/>
      <c r="D13" s="341">
        <v>9</v>
      </c>
      <c r="E13" s="444" t="s">
        <v>529</v>
      </c>
      <c r="F13" s="458">
        <v>1664.5484100000078</v>
      </c>
      <c r="G13" s="342">
        <v>111.17</v>
      </c>
      <c r="H13" s="446">
        <v>2055.8270000000002</v>
      </c>
      <c r="I13" s="447">
        <v>2060.9584916842014</v>
      </c>
      <c r="J13" s="448">
        <v>1.0024677367266284</v>
      </c>
      <c r="K13" s="447">
        <v>2070.7999999999997</v>
      </c>
      <c r="L13" s="448">
        <v>1.0072832003860244</v>
      </c>
      <c r="M13" s="447">
        <v>0</v>
      </c>
      <c r="N13" s="448">
        <v>0</v>
      </c>
      <c r="O13" s="449">
        <v>2070.7999999999997</v>
      </c>
      <c r="P13" s="448">
        <v>1.0072832003860244</v>
      </c>
      <c r="Q13" s="446">
        <v>10.1</v>
      </c>
      <c r="R13" s="448">
        <v>4.9128647498062816E-3</v>
      </c>
      <c r="S13" s="459">
        <v>1122.817</v>
      </c>
      <c r="T13" s="449">
        <v>14.97300000000007</v>
      </c>
      <c r="U13" s="448">
        <v>7.2650662594200216E-3</v>
      </c>
      <c r="V13" s="343" t="s">
        <v>326</v>
      </c>
      <c r="W13" s="343" t="s">
        <v>502</v>
      </c>
      <c r="X13" s="343" t="s">
        <v>741</v>
      </c>
      <c r="Y13" s="343" t="s">
        <v>530</v>
      </c>
      <c r="Z13" s="343">
        <v>1</v>
      </c>
      <c r="AA13" s="451" t="s">
        <v>332</v>
      </c>
      <c r="AO13" s="208"/>
      <c r="AP13" s="208"/>
    </row>
    <row r="14" spans="2:42" s="421" customFormat="1" ht="27" customHeight="1">
      <c r="B14" s="901"/>
      <c r="C14" s="902"/>
      <c r="D14" s="341">
        <v>10</v>
      </c>
      <c r="E14" s="444" t="s">
        <v>570</v>
      </c>
      <c r="F14" s="458">
        <v>1629.3759999999961</v>
      </c>
      <c r="G14" s="342">
        <v>581.91999999999996</v>
      </c>
      <c r="H14" s="446">
        <v>133</v>
      </c>
      <c r="I14" s="447">
        <v>134.59989920100006</v>
      </c>
      <c r="J14" s="448">
        <v>1.0118641202550598</v>
      </c>
      <c r="K14" s="447">
        <v>134.69999999999999</v>
      </c>
      <c r="L14" s="448">
        <v>1.0127819548872179</v>
      </c>
      <c r="M14" s="447">
        <v>1.1000000000000001</v>
      </c>
      <c r="N14" s="448">
        <v>8.2706766917293242E-3</v>
      </c>
      <c r="O14" s="449">
        <v>135.79999999999998</v>
      </c>
      <c r="P14" s="448">
        <v>1.0210526315789472</v>
      </c>
      <c r="Q14" s="446">
        <v>1.3</v>
      </c>
      <c r="R14" s="448">
        <v>9.7744360902255641E-3</v>
      </c>
      <c r="S14" s="459">
        <v>756.49599999999998</v>
      </c>
      <c r="T14" s="449">
        <v>2.7999999999999936</v>
      </c>
      <c r="U14" s="448">
        <v>2.0802392993019343E-2</v>
      </c>
      <c r="V14" s="343" t="s">
        <v>327</v>
      </c>
      <c r="W14" s="343" t="s">
        <v>194</v>
      </c>
      <c r="X14" s="343" t="s">
        <v>603</v>
      </c>
      <c r="Y14" s="343" t="s">
        <v>528</v>
      </c>
      <c r="Z14" s="343">
        <v>1</v>
      </c>
      <c r="AA14" s="451" t="s">
        <v>334</v>
      </c>
    </row>
    <row r="15" spans="2:42" s="421" customFormat="1" ht="27" customHeight="1">
      <c r="B15" s="901"/>
      <c r="C15" s="902"/>
      <c r="D15" s="341">
        <v>11</v>
      </c>
      <c r="E15" s="444" t="s">
        <v>714</v>
      </c>
      <c r="F15" s="458">
        <v>1625.9205299999894</v>
      </c>
      <c r="G15" s="342">
        <v>371.13</v>
      </c>
      <c r="H15" s="446">
        <v>996.21899999999994</v>
      </c>
      <c r="I15" s="447">
        <v>998.94297989079416</v>
      </c>
      <c r="J15" s="448">
        <v>1.0027081348136277</v>
      </c>
      <c r="K15" s="447">
        <v>998.7</v>
      </c>
      <c r="L15" s="448">
        <v>1.0024904162638939</v>
      </c>
      <c r="M15" s="447">
        <v>1.9</v>
      </c>
      <c r="N15" s="448">
        <v>1.9072111654164397E-3</v>
      </c>
      <c r="O15" s="449">
        <v>1000.6</v>
      </c>
      <c r="P15" s="448">
        <v>1.0043976274293103</v>
      </c>
      <c r="Q15" s="446">
        <v>1.7999999999999998</v>
      </c>
      <c r="R15" s="448">
        <v>1.8068316303945216E-3</v>
      </c>
      <c r="S15" s="459">
        <v>668.03399999999999</v>
      </c>
      <c r="T15" s="449">
        <v>4.3809999999999718</v>
      </c>
      <c r="U15" s="448">
        <v>4.3856357051319473E-3</v>
      </c>
      <c r="V15" s="343" t="s">
        <v>326</v>
      </c>
      <c r="W15" s="343" t="s">
        <v>502</v>
      </c>
      <c r="X15" s="343" t="s">
        <v>811</v>
      </c>
      <c r="Y15" s="343" t="s">
        <v>713</v>
      </c>
      <c r="Z15" s="343">
        <v>1</v>
      </c>
      <c r="AA15" s="451" t="s">
        <v>354</v>
      </c>
      <c r="AE15" s="345"/>
    </row>
    <row r="16" spans="2:42" s="421" customFormat="1" ht="27" customHeight="1">
      <c r="B16" s="901"/>
      <c r="C16" s="902"/>
      <c r="D16" s="341">
        <v>12</v>
      </c>
      <c r="E16" s="444" t="s">
        <v>739</v>
      </c>
      <c r="F16" s="458">
        <v>1499.7672499999996</v>
      </c>
      <c r="G16" s="342">
        <v>103.97</v>
      </c>
      <c r="H16" s="446">
        <v>692.47500000000002</v>
      </c>
      <c r="I16" s="447">
        <v>696.32501418073878</v>
      </c>
      <c r="J16" s="448">
        <v>1.0054041750741824</v>
      </c>
      <c r="K16" s="447">
        <v>706.89999999999986</v>
      </c>
      <c r="L16" s="448">
        <v>1.0208310769341851</v>
      </c>
      <c r="M16" s="447">
        <v>0</v>
      </c>
      <c r="N16" s="448">
        <v>0</v>
      </c>
      <c r="O16" s="449">
        <v>706.89999999999986</v>
      </c>
      <c r="P16" s="448">
        <v>1.0208310769341851</v>
      </c>
      <c r="Q16" s="446">
        <v>10.600000000000001</v>
      </c>
      <c r="R16" s="448">
        <v>1.5307411819921299E-2</v>
      </c>
      <c r="S16" s="459">
        <v>1102.0820000000001</v>
      </c>
      <c r="T16" s="449">
        <v>14.424999999999997</v>
      </c>
      <c r="U16" s="448">
        <v>2.0715900917291807E-2</v>
      </c>
      <c r="V16" s="343" t="s">
        <v>326</v>
      </c>
      <c r="W16" s="343" t="s">
        <v>502</v>
      </c>
      <c r="X16" s="343" t="s">
        <v>725</v>
      </c>
      <c r="Y16" s="343" t="s">
        <v>726</v>
      </c>
      <c r="Z16" s="343">
        <v>1</v>
      </c>
      <c r="AA16" s="451" t="s">
        <v>522</v>
      </c>
    </row>
    <row r="17" spans="2:27" s="421" customFormat="1" ht="27" customHeight="1">
      <c r="B17" s="901"/>
      <c r="C17" s="902"/>
      <c r="D17" s="341">
        <v>13</v>
      </c>
      <c r="E17" s="444" t="s">
        <v>812</v>
      </c>
      <c r="F17" s="458">
        <v>1489.5214000000028</v>
      </c>
      <c r="G17" s="342">
        <v>416.3</v>
      </c>
      <c r="H17" s="446">
        <v>157.822</v>
      </c>
      <c r="I17" s="447">
        <v>159.35270919156</v>
      </c>
      <c r="J17" s="448">
        <v>1.0099394095365597</v>
      </c>
      <c r="K17" s="447">
        <v>160.9</v>
      </c>
      <c r="L17" s="448">
        <v>1.019502984374802</v>
      </c>
      <c r="M17" s="447">
        <v>0.5</v>
      </c>
      <c r="N17" s="448">
        <v>3.168126116764456E-3</v>
      </c>
      <c r="O17" s="449">
        <v>161.4</v>
      </c>
      <c r="P17" s="448">
        <v>1.0226711104915664</v>
      </c>
      <c r="Q17" s="446">
        <v>2</v>
      </c>
      <c r="R17" s="448">
        <v>1.2672504467057824E-2</v>
      </c>
      <c r="S17" s="459">
        <v>832.6</v>
      </c>
      <c r="T17" s="449">
        <v>3.5780000000000065</v>
      </c>
      <c r="U17" s="448">
        <v>2.2453336489553156E-2</v>
      </c>
      <c r="V17" s="343" t="s">
        <v>326</v>
      </c>
      <c r="W17" s="343" t="s">
        <v>502</v>
      </c>
      <c r="X17" s="343" t="s">
        <v>813</v>
      </c>
      <c r="Y17" s="343" t="s">
        <v>814</v>
      </c>
      <c r="Z17" s="343">
        <v>1</v>
      </c>
      <c r="AA17" s="451" t="s">
        <v>632</v>
      </c>
    </row>
    <row r="18" spans="2:27" s="421" customFormat="1" ht="27" customHeight="1">
      <c r="B18" s="901"/>
      <c r="C18" s="902"/>
      <c r="D18" s="341">
        <v>14</v>
      </c>
      <c r="E18" s="444" t="s">
        <v>737</v>
      </c>
      <c r="F18" s="458">
        <v>1478.9722499999993</v>
      </c>
      <c r="G18" s="342">
        <v>290.85000000000002</v>
      </c>
      <c r="H18" s="446">
        <v>218.215</v>
      </c>
      <c r="I18" s="447">
        <v>218.215</v>
      </c>
      <c r="J18" s="448">
        <v>1</v>
      </c>
      <c r="K18" s="447">
        <v>223.3</v>
      </c>
      <c r="L18" s="448">
        <v>1.0233027060467887</v>
      </c>
      <c r="M18" s="447">
        <v>0</v>
      </c>
      <c r="N18" s="448">
        <v>0</v>
      </c>
      <c r="O18" s="449">
        <v>223.3</v>
      </c>
      <c r="P18" s="448">
        <v>1.0233027060467887</v>
      </c>
      <c r="Q18" s="446">
        <v>3.3</v>
      </c>
      <c r="R18" s="448">
        <v>1.5122700089361408E-2</v>
      </c>
      <c r="S18" s="459">
        <v>959.80500000000006</v>
      </c>
      <c r="T18" s="449">
        <v>5.0849999999999973</v>
      </c>
      <c r="U18" s="448">
        <v>2.3302706046788704E-2</v>
      </c>
      <c r="V18" s="343" t="s">
        <v>327</v>
      </c>
      <c r="W18" s="343" t="s">
        <v>194</v>
      </c>
      <c r="X18" s="554" t="s">
        <v>603</v>
      </c>
      <c r="Y18" s="343" t="s">
        <v>528</v>
      </c>
      <c r="Z18" s="343">
        <v>1</v>
      </c>
      <c r="AA18" s="451" t="s">
        <v>342</v>
      </c>
    </row>
    <row r="19" spans="2:27" s="421" customFormat="1" ht="27" customHeight="1">
      <c r="B19" s="901"/>
      <c r="C19" s="902"/>
      <c r="D19" s="341">
        <v>15</v>
      </c>
      <c r="E19" s="444" t="s">
        <v>740</v>
      </c>
      <c r="F19" s="458">
        <v>1426.6675799999994</v>
      </c>
      <c r="G19" s="342">
        <v>136.88999999999999</v>
      </c>
      <c r="H19" s="446">
        <v>2090.6779999999999</v>
      </c>
      <c r="I19" s="447">
        <v>2095.241685119152</v>
      </c>
      <c r="J19" s="448">
        <v>1.0021803532039948</v>
      </c>
      <c r="K19" s="447">
        <v>2101.1000000000004</v>
      </c>
      <c r="L19" s="448">
        <v>1.0049849857319015</v>
      </c>
      <c r="M19" s="447">
        <v>0</v>
      </c>
      <c r="N19" s="448">
        <v>0</v>
      </c>
      <c r="O19" s="449">
        <v>2101.1000000000004</v>
      </c>
      <c r="P19" s="448">
        <v>1.0049849857319015</v>
      </c>
      <c r="Q19" s="446">
        <v>6.7</v>
      </c>
      <c r="R19" s="448">
        <v>3.2047020153270853E-3</v>
      </c>
      <c r="S19" s="459">
        <v>917.16300000000001</v>
      </c>
      <c r="T19" s="449">
        <v>10.421999999999997</v>
      </c>
      <c r="U19" s="448">
        <v>4.974127841202873E-3</v>
      </c>
      <c r="V19" s="343" t="s">
        <v>327</v>
      </c>
      <c r="W19" s="343" t="s">
        <v>194</v>
      </c>
      <c r="X19" s="343" t="s">
        <v>599</v>
      </c>
      <c r="Y19" s="343" t="s">
        <v>600</v>
      </c>
      <c r="Z19" s="343">
        <v>1</v>
      </c>
      <c r="AA19" s="451" t="s">
        <v>332</v>
      </c>
    </row>
    <row r="20" spans="2:27" s="421" customFormat="1" ht="27" customHeight="1">
      <c r="B20" s="901"/>
      <c r="C20" s="902"/>
      <c r="D20" s="341">
        <v>16</v>
      </c>
      <c r="E20" s="444" t="s">
        <v>815</v>
      </c>
      <c r="F20" s="458">
        <v>1410.1571999999992</v>
      </c>
      <c r="G20" s="342">
        <v>72.39</v>
      </c>
      <c r="H20" s="446">
        <v>1423.3200000000002</v>
      </c>
      <c r="I20" s="447">
        <v>1430.2757420325222</v>
      </c>
      <c r="J20" s="448">
        <v>1.0048954440753941</v>
      </c>
      <c r="K20" s="447">
        <v>1442.8</v>
      </c>
      <c r="L20" s="448">
        <v>1.0136863108787904</v>
      </c>
      <c r="M20" s="447">
        <v>0</v>
      </c>
      <c r="N20" s="448">
        <v>0</v>
      </c>
      <c r="O20" s="449">
        <v>1442.8</v>
      </c>
      <c r="P20" s="448">
        <v>1.0136863108787904</v>
      </c>
      <c r="Q20" s="446">
        <v>13.700000000000003</v>
      </c>
      <c r="R20" s="448">
        <v>9.625382907568222E-3</v>
      </c>
      <c r="S20" s="459">
        <v>991.74299999999994</v>
      </c>
      <c r="T20" s="449">
        <v>19.47999999999999</v>
      </c>
      <c r="U20" s="448">
        <v>1.3619751372079865E-2</v>
      </c>
      <c r="V20" s="343" t="s">
        <v>326</v>
      </c>
      <c r="W20" s="343" t="s">
        <v>502</v>
      </c>
      <c r="X20" s="343" t="s">
        <v>725</v>
      </c>
      <c r="Y20" s="343" t="s">
        <v>726</v>
      </c>
      <c r="Z20" s="343">
        <v>1</v>
      </c>
      <c r="AA20" s="451" t="s">
        <v>716</v>
      </c>
    </row>
    <row r="21" spans="2:27" s="421" customFormat="1" ht="27" customHeight="1">
      <c r="B21" s="901"/>
      <c r="C21" s="902"/>
      <c r="D21" s="341">
        <v>17</v>
      </c>
      <c r="E21" s="444" t="s">
        <v>721</v>
      </c>
      <c r="F21" s="458">
        <v>1404.8159999999993</v>
      </c>
      <c r="G21" s="342">
        <v>90.4</v>
      </c>
      <c r="H21" s="446">
        <v>1319.76</v>
      </c>
      <c r="I21" s="447">
        <v>1324.8645248479452</v>
      </c>
      <c r="J21" s="448">
        <v>1.0039254077673549</v>
      </c>
      <c r="K21" s="447">
        <v>1335.3000000000002</v>
      </c>
      <c r="L21" s="448">
        <v>1.0117748681578471</v>
      </c>
      <c r="M21" s="447">
        <v>0</v>
      </c>
      <c r="N21" s="448">
        <v>0</v>
      </c>
      <c r="O21" s="449">
        <v>1335.3000000000002</v>
      </c>
      <c r="P21" s="448">
        <v>1.0117748681578471</v>
      </c>
      <c r="Q21" s="446">
        <v>10.199999999999999</v>
      </c>
      <c r="R21" s="448">
        <v>7.7286779414438983E-3</v>
      </c>
      <c r="S21" s="459">
        <v>922.08000000000015</v>
      </c>
      <c r="T21" s="449">
        <v>15.539999999999992</v>
      </c>
      <c r="U21" s="448">
        <v>1.1729501174305742E-2</v>
      </c>
      <c r="V21" s="343" t="s">
        <v>326</v>
      </c>
      <c r="W21" s="343" t="s">
        <v>502</v>
      </c>
      <c r="X21" s="343" t="s">
        <v>613</v>
      </c>
      <c r="Y21" s="343" t="s">
        <v>614</v>
      </c>
      <c r="Z21" s="343">
        <v>1</v>
      </c>
      <c r="AA21" s="451" t="s">
        <v>347</v>
      </c>
    </row>
    <row r="22" spans="2:27" s="421" customFormat="1" ht="27" customHeight="1">
      <c r="B22" s="901"/>
      <c r="C22" s="902"/>
      <c r="D22" s="341">
        <v>18</v>
      </c>
      <c r="E22" s="444" t="s">
        <v>816</v>
      </c>
      <c r="F22" s="458">
        <v>1378.8189999999995</v>
      </c>
      <c r="G22" s="342">
        <v>75.14</v>
      </c>
      <c r="H22" s="446">
        <v>814.25</v>
      </c>
      <c r="I22" s="447">
        <v>818.03390329115257</v>
      </c>
      <c r="J22" s="448">
        <v>1.0046364268197725</v>
      </c>
      <c r="K22" s="447">
        <v>832.6</v>
      </c>
      <c r="L22" s="448">
        <v>1.0225360761436906</v>
      </c>
      <c r="M22" s="447">
        <v>0</v>
      </c>
      <c r="N22" s="448">
        <v>0</v>
      </c>
      <c r="O22" s="449">
        <v>832.6</v>
      </c>
      <c r="P22" s="448">
        <v>1.0225360761436906</v>
      </c>
      <c r="Q22" s="446">
        <v>14.5</v>
      </c>
      <c r="R22" s="448">
        <v>1.7807798587657353E-2</v>
      </c>
      <c r="S22" s="459">
        <v>1089.53</v>
      </c>
      <c r="T22" s="449">
        <v>18.349999999999994</v>
      </c>
      <c r="U22" s="448">
        <v>2.2431833113729649E-2</v>
      </c>
      <c r="V22" s="343" t="s">
        <v>326</v>
      </c>
      <c r="W22" s="343" t="s">
        <v>502</v>
      </c>
      <c r="X22" s="343" t="s">
        <v>613</v>
      </c>
      <c r="Y22" s="343" t="s">
        <v>614</v>
      </c>
      <c r="Z22" s="343">
        <v>1</v>
      </c>
      <c r="AA22" s="451" t="s">
        <v>332</v>
      </c>
    </row>
    <row r="23" spans="2:27" s="421" customFormat="1" ht="27" customHeight="1">
      <c r="B23" s="901"/>
      <c r="C23" s="902"/>
      <c r="D23" s="341">
        <v>19</v>
      </c>
      <c r="E23" s="444" t="s">
        <v>731</v>
      </c>
      <c r="F23" s="458">
        <v>1378.0689484536178</v>
      </c>
      <c r="G23" s="342">
        <v>413.08</v>
      </c>
      <c r="H23" s="446">
        <v>37.763917525773167</v>
      </c>
      <c r="I23" s="447">
        <v>39.659596642230916</v>
      </c>
      <c r="J23" s="448">
        <v>1.0501028070654879</v>
      </c>
      <c r="K23" s="447">
        <v>41</v>
      </c>
      <c r="L23" s="448">
        <v>1.0856924462886635</v>
      </c>
      <c r="M23" s="447">
        <v>0.1</v>
      </c>
      <c r="N23" s="448">
        <v>2.6480303568016182E-3</v>
      </c>
      <c r="O23" s="449">
        <v>41.1</v>
      </c>
      <c r="P23" s="448">
        <v>1.0883404766454652</v>
      </c>
      <c r="Q23" s="446">
        <v>1.6999999999999997</v>
      </c>
      <c r="R23" s="448">
        <v>4.5016516065627503E-2</v>
      </c>
      <c r="S23" s="459">
        <v>702.23599999999999</v>
      </c>
      <c r="T23" s="449">
        <v>3.3360824742268278</v>
      </c>
      <c r="U23" s="448">
        <v>8.4117912350990767E-2</v>
      </c>
      <c r="V23" s="343" t="s">
        <v>331</v>
      </c>
      <c r="W23" s="343" t="s">
        <v>817</v>
      </c>
      <c r="X23" s="343" t="s">
        <v>818</v>
      </c>
      <c r="Y23" s="343" t="s">
        <v>819</v>
      </c>
      <c r="Z23" s="343">
        <v>1</v>
      </c>
      <c r="AA23" s="451" t="s">
        <v>340</v>
      </c>
    </row>
    <row r="24" spans="2:27" s="421" customFormat="1" ht="27" customHeight="1">
      <c r="B24" s="903"/>
      <c r="C24" s="904"/>
      <c r="D24" s="341">
        <v>20</v>
      </c>
      <c r="E24" s="444" t="s">
        <v>630</v>
      </c>
      <c r="F24" s="458">
        <v>1369.8604299999984</v>
      </c>
      <c r="G24" s="342">
        <v>593.27</v>
      </c>
      <c r="H24" s="446">
        <v>85.891000000000005</v>
      </c>
      <c r="I24" s="447">
        <v>85.891000000000005</v>
      </c>
      <c r="J24" s="448">
        <v>1</v>
      </c>
      <c r="K24" s="447">
        <v>88.2</v>
      </c>
      <c r="L24" s="448">
        <v>1.0268829097344307</v>
      </c>
      <c r="M24" s="447">
        <v>0</v>
      </c>
      <c r="N24" s="448">
        <v>0</v>
      </c>
      <c r="O24" s="449">
        <v>88.2</v>
      </c>
      <c r="P24" s="448">
        <v>1.0268829097344307</v>
      </c>
      <c r="Q24" s="446">
        <v>1.2</v>
      </c>
      <c r="R24" s="448">
        <v>1.3971196050808581E-2</v>
      </c>
      <c r="S24" s="459">
        <v>711.92399999999998</v>
      </c>
      <c r="T24" s="449">
        <v>2.3089999999999975</v>
      </c>
      <c r="U24" s="448">
        <v>2.6882909734430818E-2</v>
      </c>
      <c r="V24" s="343" t="s">
        <v>327</v>
      </c>
      <c r="W24" s="343" t="s">
        <v>516</v>
      </c>
      <c r="X24" s="343" t="s">
        <v>809</v>
      </c>
      <c r="Y24" s="343" t="s">
        <v>810</v>
      </c>
      <c r="Z24" s="343">
        <v>1</v>
      </c>
      <c r="AA24" s="451" t="s">
        <v>629</v>
      </c>
    </row>
    <row r="25" spans="2:27" ht="27" customHeight="1"/>
    <row r="26" spans="2:27" ht="27" customHeight="1"/>
    <row r="27" spans="2:27" ht="29.25" customHeight="1"/>
    <row r="28" spans="2:27" ht="28.5" customHeight="1"/>
    <row r="29" spans="2:27" ht="28.5" customHeight="1"/>
    <row r="30" spans="2:27" ht="28.5" customHeight="1"/>
    <row r="31" spans="2:27" ht="28.5" customHeight="1"/>
    <row r="32" spans="2:27" ht="28.5" customHeight="1"/>
    <row r="41" ht="14.1" customHeight="1"/>
    <row r="51" ht="14.1" customHeight="1"/>
    <row r="61" ht="14.1" customHeight="1"/>
    <row r="86" spans="26:26">
      <c r="Z86" s="339" t="s">
        <v>517</v>
      </c>
    </row>
    <row r="87" spans="26:26">
      <c r="Z87" s="339" t="s">
        <v>518</v>
      </c>
    </row>
    <row r="90" spans="26:26" ht="18.75" customHeight="1"/>
    <row r="91" spans="26:26" ht="14.1" customHeight="1"/>
    <row r="101" ht="14.1" customHeight="1"/>
    <row r="111" ht="14.1" customHeight="1"/>
    <row r="121" ht="14.1" customHeight="1"/>
    <row r="141" ht="14.1" customHeight="1"/>
    <row r="161" ht="14.1" customHeight="1"/>
    <row r="171" ht="14.1" customHeight="1"/>
    <row r="181" ht="14.1" customHeight="1"/>
    <row r="191" ht="14.1" customHeight="1"/>
    <row r="201" ht="14.1" customHeight="1"/>
    <row r="211" ht="14.1" customHeight="1"/>
    <row r="221" ht="14.1" customHeight="1"/>
    <row r="231" ht="14.1" customHeight="1"/>
    <row r="241" ht="14.1" customHeight="1"/>
    <row r="251" ht="14.1" customHeight="1"/>
    <row r="261" ht="14.1" customHeight="1"/>
    <row r="271" ht="14.1" customHeight="1"/>
  </sheetData>
  <mergeCells count="21">
    <mergeCell ref="X3:X4"/>
    <mergeCell ref="Y3:Y4"/>
    <mergeCell ref="Z3:Z4"/>
    <mergeCell ref="AA3:AA4"/>
    <mergeCell ref="AC3:AJ5"/>
    <mergeCell ref="B5:C24"/>
    <mergeCell ref="B2:AA2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S3"/>
    <mergeCell ref="T3:U3"/>
    <mergeCell ref="V3:V4"/>
    <mergeCell ref="W3:W4"/>
  </mergeCells>
  <phoneticPr fontId="83" type="noConversion"/>
  <dataValidations count="4">
    <dataValidation type="list" allowBlank="1" showInputMessage="1" showErrorMessage="1" sqref="U25:U1048576">
      <formula1>#REF!</formula1>
    </dataValidation>
    <dataValidation type="list" allowBlank="1" showInputMessage="1" showErrorMessage="1" sqref="T25:T1048576">
      <formula1>$AC$1:$AC$1</formula1>
    </dataValidation>
    <dataValidation type="list" allowBlank="1" showInputMessage="1" showErrorMessage="1" sqref="V5:V24">
      <formula1>$AP$7:$AP$13</formula1>
    </dataValidation>
    <dataValidation type="list" allowBlank="1" showInputMessage="1" showErrorMessage="1" sqref="W5:W24">
      <formula1>$AO$7:$AO$13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I55"/>
  <sheetViews>
    <sheetView zoomScale="70" zoomScaleNormal="70" workbookViewId="0">
      <selection activeCell="J9" sqref="J9"/>
    </sheetView>
  </sheetViews>
  <sheetFormatPr defaultColWidth="8.28515625" defaultRowHeight="15"/>
  <cols>
    <col min="1" max="9" width="25.7109375" style="475" customWidth="1"/>
    <col min="10" max="16384" width="8.28515625" style="346"/>
  </cols>
  <sheetData>
    <row r="1" spans="1:9" ht="27" customHeight="1">
      <c r="A1" s="930" t="s">
        <v>685</v>
      </c>
      <c r="B1" s="931"/>
      <c r="C1" s="931"/>
      <c r="D1" s="931"/>
      <c r="E1" s="931"/>
      <c r="F1" s="931"/>
      <c r="G1" s="931"/>
      <c r="H1" s="931"/>
      <c r="I1" s="931"/>
    </row>
    <row r="2" spans="1:9" ht="16.5" customHeight="1">
      <c r="A2" s="555" t="s">
        <v>821</v>
      </c>
      <c r="B2" s="461">
        <f>SUM(C7:C37)</f>
        <v>410513.35740000004</v>
      </c>
      <c r="C2" s="555" t="s">
        <v>820</v>
      </c>
      <c r="D2" s="462">
        <f>B2/B54</f>
        <v>2.4205703303160232E-3</v>
      </c>
      <c r="E2" s="460" t="s">
        <v>686</v>
      </c>
      <c r="F2" s="461">
        <f>SUM(E7:E37)</f>
        <v>682885.07462140324</v>
      </c>
      <c r="G2" s="928" t="s">
        <v>822</v>
      </c>
      <c r="H2" s="929"/>
      <c r="I2" s="463">
        <f>F2/B54</f>
        <v>4.0265957753807605E-3</v>
      </c>
    </row>
    <row r="3" spans="1:9" ht="37.5" customHeight="1">
      <c r="A3" s="464" t="s">
        <v>687</v>
      </c>
      <c r="B3" s="464" t="s">
        <v>688</v>
      </c>
      <c r="C3" s="464" t="s">
        <v>689</v>
      </c>
      <c r="D3" s="464" t="s">
        <v>690</v>
      </c>
      <c r="E3" s="464" t="s">
        <v>691</v>
      </c>
      <c r="F3" s="464" t="s">
        <v>692</v>
      </c>
      <c r="G3" s="465" t="s">
        <v>693</v>
      </c>
      <c r="H3" s="466" t="s">
        <v>694</v>
      </c>
      <c r="I3" s="466" t="s">
        <v>695</v>
      </c>
    </row>
    <row r="4" spans="1:9" ht="18">
      <c r="A4" s="467">
        <v>46168</v>
      </c>
      <c r="B4" s="468">
        <v>9911969</v>
      </c>
      <c r="C4" s="469">
        <v>24077.750000000025</v>
      </c>
      <c r="D4" s="470">
        <f t="shared" ref="D4:D52" si="0">C4/B4</f>
        <v>2.4291591307438539E-3</v>
      </c>
      <c r="E4" s="469">
        <v>40870.480046882549</v>
      </c>
      <c r="F4" s="471">
        <f t="shared" ref="F4:F52" si="1">E4/B4</f>
        <v>4.1233462339200768E-3</v>
      </c>
      <c r="G4" s="927">
        <f>SUM(B4:B10)</f>
        <v>65939025</v>
      </c>
      <c r="H4" s="927">
        <f>SUM(C4:C10)</f>
        <v>159805.84200000006</v>
      </c>
      <c r="I4" s="927">
        <f>SUM(E4:E10)</f>
        <v>277202.05334308965</v>
      </c>
    </row>
    <row r="5" spans="1:9" ht="18">
      <c r="A5" s="467">
        <f>A4+1</f>
        <v>46169</v>
      </c>
      <c r="B5" s="468">
        <v>9723654</v>
      </c>
      <c r="C5" s="469">
        <v>23753.736000000019</v>
      </c>
      <c r="D5" s="470">
        <f t="shared" si="0"/>
        <v>2.4428816574509973E-3</v>
      </c>
      <c r="E5" s="469">
        <v>41541.052866311809</v>
      </c>
      <c r="F5" s="471">
        <f t="shared" si="1"/>
        <v>4.2721648534914764E-3</v>
      </c>
      <c r="G5" s="927"/>
      <c r="H5" s="927"/>
      <c r="I5" s="927"/>
    </row>
    <row r="6" spans="1:9" ht="18">
      <c r="A6" s="467">
        <f t="shared" ref="A6:A52" si="2">A5+1</f>
        <v>46170</v>
      </c>
      <c r="B6" s="468">
        <v>9072400</v>
      </c>
      <c r="C6" s="469">
        <v>22036.625999999997</v>
      </c>
      <c r="D6" s="470">
        <f t="shared" si="0"/>
        <v>2.4289742515762086E-3</v>
      </c>
      <c r="E6" s="469">
        <v>39008.063085263151</v>
      </c>
      <c r="F6" s="471">
        <f t="shared" si="1"/>
        <v>4.2996410084721959E-3</v>
      </c>
      <c r="G6" s="927"/>
      <c r="H6" s="927"/>
      <c r="I6" s="927"/>
    </row>
    <row r="7" spans="1:9" ht="18">
      <c r="A7" s="467">
        <f t="shared" si="2"/>
        <v>46171</v>
      </c>
      <c r="B7" s="468">
        <v>8447568</v>
      </c>
      <c r="C7" s="469">
        <v>20297.356000000014</v>
      </c>
      <c r="D7" s="470">
        <f t="shared" si="0"/>
        <v>2.4027455002433853E-3</v>
      </c>
      <c r="E7" s="469">
        <v>36998.501043108052</v>
      </c>
      <c r="F7" s="471">
        <f t="shared" si="1"/>
        <v>4.3797813812339898E-3</v>
      </c>
      <c r="G7" s="927"/>
      <c r="H7" s="927"/>
      <c r="I7" s="927"/>
    </row>
    <row r="8" spans="1:9" ht="18">
      <c r="A8" s="467">
        <f t="shared" si="2"/>
        <v>46172</v>
      </c>
      <c r="B8" s="468">
        <v>8820596</v>
      </c>
      <c r="C8" s="469">
        <v>21360.305000000026</v>
      </c>
      <c r="D8" s="470">
        <f t="shared" si="0"/>
        <v>2.4216396488400587E-3</v>
      </c>
      <c r="E8" s="469">
        <v>38266.987521645082</v>
      </c>
      <c r="F8" s="471">
        <f t="shared" si="1"/>
        <v>4.3383675572087289E-3</v>
      </c>
      <c r="G8" s="927"/>
      <c r="H8" s="927"/>
      <c r="I8" s="927"/>
    </row>
    <row r="9" spans="1:9" ht="18">
      <c r="A9" s="467">
        <f t="shared" si="2"/>
        <v>46173</v>
      </c>
      <c r="B9" s="468">
        <v>10386449</v>
      </c>
      <c r="C9" s="469">
        <v>25222.45399999998</v>
      </c>
      <c r="D9" s="470">
        <f t="shared" si="0"/>
        <v>2.4284001201950716E-3</v>
      </c>
      <c r="E9" s="469">
        <v>42323.717935777924</v>
      </c>
      <c r="F9" s="471">
        <f t="shared" si="1"/>
        <v>4.074897776494924E-3</v>
      </c>
      <c r="G9" s="927"/>
      <c r="H9" s="927"/>
      <c r="I9" s="927"/>
    </row>
    <row r="10" spans="1:9" ht="18">
      <c r="A10" s="467">
        <f t="shared" si="2"/>
        <v>46174</v>
      </c>
      <c r="B10" s="468">
        <v>9576389</v>
      </c>
      <c r="C10" s="469">
        <v>23057.614999999994</v>
      </c>
      <c r="D10" s="470">
        <f t="shared" si="0"/>
        <v>2.4077567233327713E-3</v>
      </c>
      <c r="E10" s="469">
        <v>38193.25084410105</v>
      </c>
      <c r="F10" s="471">
        <f t="shared" si="1"/>
        <v>3.9882727032184108E-3</v>
      </c>
      <c r="G10" s="927"/>
      <c r="H10" s="927"/>
      <c r="I10" s="927"/>
    </row>
    <row r="11" spans="1:9" ht="18">
      <c r="A11" s="472">
        <f t="shared" si="2"/>
        <v>46175</v>
      </c>
      <c r="B11" s="468">
        <v>10050370</v>
      </c>
      <c r="C11" s="469">
        <v>24349.529999999995</v>
      </c>
      <c r="D11" s="470">
        <f t="shared" si="0"/>
        <v>2.4227496102133548E-3</v>
      </c>
      <c r="E11" s="469">
        <v>40326.390123103745</v>
      </c>
      <c r="F11" s="471">
        <f t="shared" si="1"/>
        <v>4.0124284104071537E-3</v>
      </c>
      <c r="G11" s="926">
        <f>SUM(B11:B17)</f>
        <v>65024924</v>
      </c>
      <c r="H11" s="926">
        <f>SUM(C11:C17)</f>
        <v>157249.84899999999</v>
      </c>
      <c r="I11" s="926">
        <f>SUM(E11:E17)</f>
        <v>263724.2477329949</v>
      </c>
    </row>
    <row r="12" spans="1:9" ht="18">
      <c r="A12" s="472">
        <f t="shared" si="2"/>
        <v>46176</v>
      </c>
      <c r="B12" s="468">
        <v>9327317</v>
      </c>
      <c r="C12" s="469">
        <v>22481.110999999997</v>
      </c>
      <c r="D12" s="470">
        <f t="shared" si="0"/>
        <v>2.410244124864631E-3</v>
      </c>
      <c r="E12" s="469">
        <v>36930.327334718895</v>
      </c>
      <c r="F12" s="471">
        <f t="shared" si="1"/>
        <v>3.9593730259965317E-3</v>
      </c>
      <c r="G12" s="926"/>
      <c r="H12" s="926"/>
      <c r="I12" s="926"/>
    </row>
    <row r="13" spans="1:9" ht="18">
      <c r="A13" s="472">
        <f>A12+1</f>
        <v>46177</v>
      </c>
      <c r="B13" s="468">
        <v>8845232</v>
      </c>
      <c r="C13" s="469">
        <v>21472.798999999999</v>
      </c>
      <c r="D13" s="470">
        <f t="shared" si="0"/>
        <v>2.427612865326766E-3</v>
      </c>
      <c r="E13" s="469">
        <v>36941.463792205279</v>
      </c>
      <c r="F13" s="471">
        <f t="shared" si="1"/>
        <v>4.1764267791059954E-3</v>
      </c>
      <c r="G13" s="926"/>
      <c r="H13" s="926"/>
      <c r="I13" s="926"/>
    </row>
    <row r="14" spans="1:9" ht="18">
      <c r="A14" s="472">
        <f t="shared" si="2"/>
        <v>46178</v>
      </c>
      <c r="B14" s="468">
        <v>7987767</v>
      </c>
      <c r="C14" s="469">
        <v>19348.37</v>
      </c>
      <c r="D14" s="470">
        <f t="shared" si="0"/>
        <v>2.4222501732962414E-3</v>
      </c>
      <c r="E14" s="469">
        <v>32688.492415669272</v>
      </c>
      <c r="F14" s="471">
        <f t="shared" si="1"/>
        <v>4.092319219585307E-3</v>
      </c>
      <c r="G14" s="926"/>
      <c r="H14" s="926"/>
      <c r="I14" s="926"/>
    </row>
    <row r="15" spans="1:9" ht="18">
      <c r="A15" s="472">
        <f t="shared" si="2"/>
        <v>46179</v>
      </c>
      <c r="B15" s="468">
        <v>8617242</v>
      </c>
      <c r="C15" s="469">
        <v>20727.639999999992</v>
      </c>
      <c r="D15" s="470">
        <f t="shared" si="0"/>
        <v>2.4053682140991275E-3</v>
      </c>
      <c r="E15" s="469">
        <v>35646.692717434038</v>
      </c>
      <c r="F15" s="471">
        <f t="shared" si="1"/>
        <v>4.1366707256723255E-3</v>
      </c>
      <c r="G15" s="926"/>
      <c r="H15" s="926"/>
      <c r="I15" s="926"/>
    </row>
    <row r="16" spans="1:9" ht="18">
      <c r="A16" s="472">
        <f t="shared" si="2"/>
        <v>46180</v>
      </c>
      <c r="B16" s="468">
        <v>10141059</v>
      </c>
      <c r="C16" s="469">
        <v>24612.674000000006</v>
      </c>
      <c r="D16" s="470">
        <f t="shared" si="0"/>
        <v>2.42703193029446E-3</v>
      </c>
      <c r="E16" s="469">
        <v>40357.481262954891</v>
      </c>
      <c r="F16" s="471">
        <f t="shared" si="1"/>
        <v>3.9796121157519041E-3</v>
      </c>
      <c r="G16" s="926"/>
      <c r="H16" s="926"/>
      <c r="I16" s="926"/>
    </row>
    <row r="17" spans="1:9" ht="18">
      <c r="A17" s="472">
        <f t="shared" si="2"/>
        <v>46181</v>
      </c>
      <c r="B17" s="468">
        <v>10055937</v>
      </c>
      <c r="C17" s="469">
        <v>24257.724999999999</v>
      </c>
      <c r="D17" s="470">
        <f t="shared" si="0"/>
        <v>2.4122789353195032E-3</v>
      </c>
      <c r="E17" s="469">
        <v>40833.400086908798</v>
      </c>
      <c r="F17" s="471">
        <f t="shared" si="1"/>
        <v>4.060626084561667E-3</v>
      </c>
      <c r="G17" s="926"/>
      <c r="H17" s="926"/>
      <c r="I17" s="926"/>
    </row>
    <row r="18" spans="1:9" ht="18">
      <c r="A18" s="467">
        <f t="shared" si="2"/>
        <v>46182</v>
      </c>
      <c r="B18" s="468">
        <v>10760813</v>
      </c>
      <c r="C18" s="469">
        <v>26018.528000000024</v>
      </c>
      <c r="D18" s="470">
        <f t="shared" si="0"/>
        <v>2.4178961199307174E-3</v>
      </c>
      <c r="E18" s="469">
        <v>41925.46274616124</v>
      </c>
      <c r="F18" s="471">
        <f t="shared" si="1"/>
        <v>3.8961240889662557E-3</v>
      </c>
      <c r="G18" s="927">
        <f>SUM(B18:B24)</f>
        <v>67337724</v>
      </c>
      <c r="H18" s="927">
        <f>SUM(C18:C24)</f>
        <v>163325.77840000007</v>
      </c>
      <c r="I18" s="927">
        <f>SUM(E18:E24)</f>
        <v>263378.36954377615</v>
      </c>
    </row>
    <row r="19" spans="1:9" ht="18">
      <c r="A19" s="467">
        <f t="shared" si="2"/>
        <v>46183</v>
      </c>
      <c r="B19" s="468">
        <v>10128071</v>
      </c>
      <c r="C19" s="469">
        <v>24505.204000000009</v>
      </c>
      <c r="D19" s="470">
        <f t="shared" si="0"/>
        <v>2.4195331964003814E-3</v>
      </c>
      <c r="E19" s="469">
        <v>40194.589916695004</v>
      </c>
      <c r="F19" s="471">
        <f t="shared" si="1"/>
        <v>3.9686323206753783E-3</v>
      </c>
      <c r="G19" s="927"/>
      <c r="H19" s="927"/>
      <c r="I19" s="927"/>
    </row>
    <row r="20" spans="1:9" ht="18">
      <c r="A20" s="467">
        <f t="shared" si="2"/>
        <v>46184</v>
      </c>
      <c r="B20" s="468">
        <v>9476070</v>
      </c>
      <c r="C20" s="469">
        <v>22899.314399999999</v>
      </c>
      <c r="D20" s="470">
        <f t="shared" si="0"/>
        <v>2.4165412876857176E-3</v>
      </c>
      <c r="E20" s="469">
        <v>35721.809101604842</v>
      </c>
      <c r="F20" s="471">
        <f t="shared" si="1"/>
        <v>3.7696860725601271E-3</v>
      </c>
      <c r="G20" s="927"/>
      <c r="H20" s="927"/>
      <c r="I20" s="927"/>
    </row>
    <row r="21" spans="1:9" ht="18">
      <c r="A21" s="467">
        <f t="shared" si="2"/>
        <v>46185</v>
      </c>
      <c r="B21" s="468">
        <v>8134246</v>
      </c>
      <c r="C21" s="469">
        <v>19856.384000000009</v>
      </c>
      <c r="D21" s="470">
        <f t="shared" si="0"/>
        <v>2.4410847667995297E-3</v>
      </c>
      <c r="E21" s="469">
        <v>32789.972216586539</v>
      </c>
      <c r="F21" s="471">
        <f t="shared" si="1"/>
        <v>4.0311016185872097E-3</v>
      </c>
      <c r="G21" s="927"/>
      <c r="H21" s="927"/>
      <c r="I21" s="927"/>
    </row>
    <row r="22" spans="1:9" ht="18">
      <c r="A22" s="467">
        <f t="shared" si="2"/>
        <v>46186</v>
      </c>
      <c r="B22" s="468">
        <v>8644943</v>
      </c>
      <c r="C22" s="469">
        <v>21086.342000000015</v>
      </c>
      <c r="D22" s="470">
        <f t="shared" si="0"/>
        <v>2.4391533871304895E-3</v>
      </c>
      <c r="E22" s="469">
        <v>34016.42956938922</v>
      </c>
      <c r="F22" s="471">
        <f t="shared" si="1"/>
        <v>3.9348356107598648E-3</v>
      </c>
      <c r="G22" s="927"/>
      <c r="H22" s="927"/>
      <c r="I22" s="927"/>
    </row>
    <row r="23" spans="1:9" ht="18">
      <c r="A23" s="467">
        <f t="shared" si="2"/>
        <v>46187</v>
      </c>
      <c r="B23" s="468">
        <v>10278251</v>
      </c>
      <c r="C23" s="469">
        <v>24990.273000000001</v>
      </c>
      <c r="D23" s="470">
        <f t="shared" si="0"/>
        <v>2.4313740732737508E-3</v>
      </c>
      <c r="E23" s="469">
        <v>39695.93229393744</v>
      </c>
      <c r="F23" s="471">
        <f t="shared" si="1"/>
        <v>3.862129100946984E-3</v>
      </c>
      <c r="G23" s="927"/>
      <c r="H23" s="927"/>
      <c r="I23" s="927"/>
    </row>
    <row r="24" spans="1:9" ht="18">
      <c r="A24" s="467">
        <f t="shared" si="2"/>
        <v>46188</v>
      </c>
      <c r="B24" s="468">
        <v>9915330</v>
      </c>
      <c r="C24" s="469">
        <v>23969.733000000004</v>
      </c>
      <c r="D24" s="470">
        <f t="shared" si="0"/>
        <v>2.4174417795474286E-3</v>
      </c>
      <c r="E24" s="469">
        <v>39034.173699401916</v>
      </c>
      <c r="F24" s="471">
        <f t="shared" si="1"/>
        <v>3.9367498307572128E-3</v>
      </c>
      <c r="G24" s="927"/>
      <c r="H24" s="927"/>
      <c r="I24" s="927"/>
    </row>
    <row r="25" spans="1:9" ht="18">
      <c r="A25" s="472">
        <f t="shared" si="2"/>
        <v>46189</v>
      </c>
      <c r="B25" s="468"/>
      <c r="C25" s="469"/>
      <c r="D25" s="470" t="e">
        <f t="shared" si="0"/>
        <v>#DIV/0!</v>
      </c>
      <c r="E25" s="469"/>
      <c r="F25" s="471" t="e">
        <f t="shared" si="1"/>
        <v>#DIV/0!</v>
      </c>
      <c r="G25" s="926">
        <f>SUM(B25:B31)</f>
        <v>0</v>
      </c>
      <c r="H25" s="926">
        <f>SUM(C25:C31)</f>
        <v>0</v>
      </c>
      <c r="I25" s="926">
        <f>SUM(E25:E31)</f>
        <v>0</v>
      </c>
    </row>
    <row r="26" spans="1:9" ht="18">
      <c r="A26" s="472">
        <f t="shared" si="2"/>
        <v>46190</v>
      </c>
      <c r="B26" s="468"/>
      <c r="C26" s="469"/>
      <c r="D26" s="470" t="e">
        <f t="shared" si="0"/>
        <v>#DIV/0!</v>
      </c>
      <c r="E26" s="469"/>
      <c r="F26" s="471" t="e">
        <f t="shared" si="1"/>
        <v>#DIV/0!</v>
      </c>
      <c r="G26" s="926"/>
      <c r="H26" s="926"/>
      <c r="I26" s="926"/>
    </row>
    <row r="27" spans="1:9" ht="18">
      <c r="A27" s="472">
        <f t="shared" si="2"/>
        <v>46191</v>
      </c>
      <c r="B27" s="468"/>
      <c r="C27" s="469"/>
      <c r="D27" s="470" t="e">
        <f t="shared" si="0"/>
        <v>#DIV/0!</v>
      </c>
      <c r="E27" s="469"/>
      <c r="F27" s="471" t="e">
        <f t="shared" si="1"/>
        <v>#DIV/0!</v>
      </c>
      <c r="G27" s="926"/>
      <c r="H27" s="926"/>
      <c r="I27" s="926"/>
    </row>
    <row r="28" spans="1:9" ht="18">
      <c r="A28" s="472">
        <f t="shared" si="2"/>
        <v>46192</v>
      </c>
      <c r="B28" s="468"/>
      <c r="C28" s="469"/>
      <c r="D28" s="470" t="e">
        <f t="shared" si="0"/>
        <v>#DIV/0!</v>
      </c>
      <c r="E28" s="469"/>
      <c r="F28" s="471" t="e">
        <f t="shared" si="1"/>
        <v>#DIV/0!</v>
      </c>
      <c r="G28" s="926"/>
      <c r="H28" s="926"/>
      <c r="I28" s="926"/>
    </row>
    <row r="29" spans="1:9" ht="18">
      <c r="A29" s="472">
        <f t="shared" si="2"/>
        <v>46193</v>
      </c>
      <c r="B29" s="468"/>
      <c r="C29" s="469"/>
      <c r="D29" s="470" t="e">
        <f t="shared" si="0"/>
        <v>#DIV/0!</v>
      </c>
      <c r="E29" s="469"/>
      <c r="F29" s="471" t="e">
        <f t="shared" si="1"/>
        <v>#DIV/0!</v>
      </c>
      <c r="G29" s="926"/>
      <c r="H29" s="926"/>
      <c r="I29" s="926"/>
    </row>
    <row r="30" spans="1:9" ht="18">
      <c r="A30" s="472">
        <f t="shared" si="2"/>
        <v>46194</v>
      </c>
      <c r="B30" s="468"/>
      <c r="C30" s="469"/>
      <c r="D30" s="470" t="e">
        <f t="shared" si="0"/>
        <v>#DIV/0!</v>
      </c>
      <c r="E30" s="469"/>
      <c r="F30" s="471" t="e">
        <f t="shared" si="1"/>
        <v>#DIV/0!</v>
      </c>
      <c r="G30" s="926"/>
      <c r="H30" s="926"/>
      <c r="I30" s="926"/>
    </row>
    <row r="31" spans="1:9" ht="18">
      <c r="A31" s="472">
        <f t="shared" si="2"/>
        <v>46195</v>
      </c>
      <c r="B31" s="468"/>
      <c r="C31" s="469"/>
      <c r="D31" s="470" t="e">
        <f t="shared" si="0"/>
        <v>#DIV/0!</v>
      </c>
      <c r="E31" s="469"/>
      <c r="F31" s="471" t="e">
        <f t="shared" si="1"/>
        <v>#DIV/0!</v>
      </c>
      <c r="G31" s="926"/>
      <c r="H31" s="926"/>
      <c r="I31" s="926"/>
    </row>
    <row r="32" spans="1:9" ht="18">
      <c r="A32" s="467">
        <f t="shared" si="2"/>
        <v>46196</v>
      </c>
      <c r="B32" s="468"/>
      <c r="C32" s="469"/>
      <c r="D32" s="470" t="e">
        <f t="shared" si="0"/>
        <v>#DIV/0!</v>
      </c>
      <c r="E32" s="469"/>
      <c r="F32" s="471" t="e">
        <f t="shared" si="1"/>
        <v>#DIV/0!</v>
      </c>
      <c r="G32" s="927">
        <f>SUM(B32:B38)</f>
        <v>0</v>
      </c>
      <c r="H32" s="927">
        <f>SUM(C32:C38)</f>
        <v>0</v>
      </c>
      <c r="I32" s="927">
        <f>SUM(E32:E38)</f>
        <v>0</v>
      </c>
    </row>
    <row r="33" spans="1:9" ht="18">
      <c r="A33" s="467">
        <f t="shared" si="2"/>
        <v>46197</v>
      </c>
      <c r="B33" s="468"/>
      <c r="C33" s="469"/>
      <c r="D33" s="470" t="e">
        <f t="shared" si="0"/>
        <v>#DIV/0!</v>
      </c>
      <c r="E33" s="469"/>
      <c r="F33" s="471" t="e">
        <f t="shared" si="1"/>
        <v>#DIV/0!</v>
      </c>
      <c r="G33" s="927"/>
      <c r="H33" s="927"/>
      <c r="I33" s="927"/>
    </row>
    <row r="34" spans="1:9" ht="18">
      <c r="A34" s="467">
        <f t="shared" si="2"/>
        <v>46198</v>
      </c>
      <c r="B34" s="468"/>
      <c r="C34" s="469"/>
      <c r="D34" s="470" t="e">
        <f t="shared" si="0"/>
        <v>#DIV/0!</v>
      </c>
      <c r="E34" s="469"/>
      <c r="F34" s="471" t="e">
        <f t="shared" si="1"/>
        <v>#DIV/0!</v>
      </c>
      <c r="G34" s="927"/>
      <c r="H34" s="927"/>
      <c r="I34" s="927"/>
    </row>
    <row r="35" spans="1:9" ht="18">
      <c r="A35" s="467">
        <f t="shared" si="2"/>
        <v>46199</v>
      </c>
      <c r="B35" s="468"/>
      <c r="C35" s="469"/>
      <c r="D35" s="470" t="e">
        <f t="shared" si="0"/>
        <v>#DIV/0!</v>
      </c>
      <c r="E35" s="469"/>
      <c r="F35" s="471" t="e">
        <f t="shared" si="1"/>
        <v>#DIV/0!</v>
      </c>
      <c r="G35" s="927"/>
      <c r="H35" s="927"/>
      <c r="I35" s="927"/>
    </row>
    <row r="36" spans="1:9" ht="18">
      <c r="A36" s="467">
        <f t="shared" si="2"/>
        <v>46200</v>
      </c>
      <c r="B36" s="468"/>
      <c r="C36" s="469"/>
      <c r="D36" s="470" t="e">
        <f t="shared" si="0"/>
        <v>#DIV/0!</v>
      </c>
      <c r="E36" s="469"/>
      <c r="F36" s="471" t="e">
        <f t="shared" si="1"/>
        <v>#DIV/0!</v>
      </c>
      <c r="G36" s="927"/>
      <c r="H36" s="927"/>
      <c r="I36" s="927"/>
    </row>
    <row r="37" spans="1:9" ht="18">
      <c r="A37" s="467">
        <f t="shared" si="2"/>
        <v>46201</v>
      </c>
      <c r="B37" s="468"/>
      <c r="C37" s="469"/>
      <c r="D37" s="470" t="e">
        <f t="shared" si="0"/>
        <v>#DIV/0!</v>
      </c>
      <c r="E37" s="469"/>
      <c r="F37" s="471" t="e">
        <f t="shared" si="1"/>
        <v>#DIV/0!</v>
      </c>
      <c r="G37" s="927"/>
      <c r="H37" s="927"/>
      <c r="I37" s="927"/>
    </row>
    <row r="38" spans="1:9" ht="18">
      <c r="A38" s="467">
        <f t="shared" si="2"/>
        <v>46202</v>
      </c>
      <c r="B38" s="468"/>
      <c r="C38" s="469"/>
      <c r="D38" s="470" t="e">
        <f t="shared" si="0"/>
        <v>#DIV/0!</v>
      </c>
      <c r="E38" s="469"/>
      <c r="F38" s="471" t="e">
        <f t="shared" si="1"/>
        <v>#DIV/0!</v>
      </c>
      <c r="G38" s="927"/>
      <c r="H38" s="927"/>
      <c r="I38" s="927"/>
    </row>
    <row r="39" spans="1:9" ht="18">
      <c r="A39" s="472">
        <f t="shared" si="2"/>
        <v>46203</v>
      </c>
      <c r="B39" s="537"/>
      <c r="C39" s="538"/>
      <c r="D39" s="470" t="e">
        <f t="shared" si="0"/>
        <v>#DIV/0!</v>
      </c>
      <c r="E39" s="469"/>
      <c r="F39" s="471" t="e">
        <f t="shared" si="1"/>
        <v>#DIV/0!</v>
      </c>
      <c r="G39" s="926">
        <f>SUM(B39:B45)</f>
        <v>0</v>
      </c>
      <c r="H39" s="926">
        <f>SUM(C39:C45)</f>
        <v>0</v>
      </c>
      <c r="I39" s="926">
        <f>SUM(E39:E45)</f>
        <v>0</v>
      </c>
    </row>
    <row r="40" spans="1:9" ht="18">
      <c r="A40" s="472">
        <f t="shared" si="2"/>
        <v>46204</v>
      </c>
      <c r="B40" s="537"/>
      <c r="C40" s="538"/>
      <c r="D40" s="470" t="e">
        <f t="shared" si="0"/>
        <v>#DIV/0!</v>
      </c>
      <c r="E40" s="469"/>
      <c r="F40" s="471" t="e">
        <f t="shared" si="1"/>
        <v>#DIV/0!</v>
      </c>
      <c r="G40" s="926"/>
      <c r="H40" s="926"/>
      <c r="I40" s="926"/>
    </row>
    <row r="41" spans="1:9" ht="18">
      <c r="A41" s="472">
        <f t="shared" si="2"/>
        <v>46205</v>
      </c>
      <c r="B41" s="537"/>
      <c r="C41" s="538"/>
      <c r="D41" s="470" t="e">
        <f t="shared" si="0"/>
        <v>#DIV/0!</v>
      </c>
      <c r="E41" s="469"/>
      <c r="F41" s="471" t="e">
        <f t="shared" si="1"/>
        <v>#DIV/0!</v>
      </c>
      <c r="G41" s="926"/>
      <c r="H41" s="926"/>
      <c r="I41" s="926"/>
    </row>
    <row r="42" spans="1:9" ht="18">
      <c r="A42" s="472">
        <f t="shared" si="2"/>
        <v>46206</v>
      </c>
      <c r="B42" s="537"/>
      <c r="C42" s="538"/>
      <c r="D42" s="470" t="e">
        <f t="shared" si="0"/>
        <v>#DIV/0!</v>
      </c>
      <c r="E42" s="469"/>
      <c r="F42" s="471" t="e">
        <f t="shared" si="1"/>
        <v>#DIV/0!</v>
      </c>
      <c r="G42" s="926"/>
      <c r="H42" s="926"/>
      <c r="I42" s="926"/>
    </row>
    <row r="43" spans="1:9" ht="18">
      <c r="A43" s="472">
        <f t="shared" si="2"/>
        <v>46207</v>
      </c>
      <c r="B43" s="537"/>
      <c r="C43" s="538"/>
      <c r="D43" s="470" t="e">
        <f t="shared" si="0"/>
        <v>#DIV/0!</v>
      </c>
      <c r="E43" s="469"/>
      <c r="F43" s="471" t="e">
        <f t="shared" si="1"/>
        <v>#DIV/0!</v>
      </c>
      <c r="G43" s="926"/>
      <c r="H43" s="926"/>
      <c r="I43" s="926"/>
    </row>
    <row r="44" spans="1:9" ht="18">
      <c r="A44" s="472">
        <f t="shared" si="2"/>
        <v>46208</v>
      </c>
      <c r="B44" s="537"/>
      <c r="C44" s="538"/>
      <c r="D44" s="470" t="e">
        <f t="shared" si="0"/>
        <v>#DIV/0!</v>
      </c>
      <c r="E44" s="469"/>
      <c r="F44" s="471" t="e">
        <f t="shared" si="1"/>
        <v>#DIV/0!</v>
      </c>
      <c r="G44" s="926"/>
      <c r="H44" s="926"/>
      <c r="I44" s="926"/>
    </row>
    <row r="45" spans="1:9" ht="18">
      <c r="A45" s="472">
        <f t="shared" si="2"/>
        <v>46209</v>
      </c>
      <c r="B45" s="537"/>
      <c r="C45" s="538"/>
      <c r="D45" s="470" t="e">
        <f t="shared" si="0"/>
        <v>#DIV/0!</v>
      </c>
      <c r="E45" s="469"/>
      <c r="F45" s="471" t="e">
        <f t="shared" si="1"/>
        <v>#DIV/0!</v>
      </c>
      <c r="G45" s="926"/>
      <c r="H45" s="926"/>
      <c r="I45" s="926"/>
    </row>
    <row r="46" spans="1:9" ht="18">
      <c r="A46" s="467">
        <f t="shared" si="2"/>
        <v>46210</v>
      </c>
      <c r="B46" s="468"/>
      <c r="C46" s="469"/>
      <c r="D46" s="470" t="e">
        <f t="shared" si="0"/>
        <v>#DIV/0!</v>
      </c>
      <c r="E46" s="469"/>
      <c r="F46" s="471" t="e">
        <f t="shared" si="1"/>
        <v>#DIV/0!</v>
      </c>
      <c r="G46" s="927">
        <f>SUM(B46:B52)</f>
        <v>0</v>
      </c>
      <c r="H46" s="927">
        <f>SUM(C46:C52)</f>
        <v>0</v>
      </c>
      <c r="I46" s="927">
        <f>SUM(E46:E52)</f>
        <v>0</v>
      </c>
    </row>
    <row r="47" spans="1:9" ht="18">
      <c r="A47" s="467">
        <f t="shared" si="2"/>
        <v>46211</v>
      </c>
      <c r="B47" s="468"/>
      <c r="C47" s="469"/>
      <c r="D47" s="470" t="e">
        <f t="shared" si="0"/>
        <v>#DIV/0!</v>
      </c>
      <c r="E47" s="469"/>
      <c r="F47" s="471" t="e">
        <f t="shared" si="1"/>
        <v>#DIV/0!</v>
      </c>
      <c r="G47" s="927"/>
      <c r="H47" s="927"/>
      <c r="I47" s="927"/>
    </row>
    <row r="48" spans="1:9" ht="18">
      <c r="A48" s="467">
        <f t="shared" si="2"/>
        <v>46212</v>
      </c>
      <c r="B48" s="468"/>
      <c r="C48" s="469"/>
      <c r="D48" s="470" t="e">
        <f t="shared" si="0"/>
        <v>#DIV/0!</v>
      </c>
      <c r="E48" s="469"/>
      <c r="F48" s="471" t="e">
        <f t="shared" si="1"/>
        <v>#DIV/0!</v>
      </c>
      <c r="G48" s="927"/>
      <c r="H48" s="927"/>
      <c r="I48" s="927"/>
    </row>
    <row r="49" spans="1:9" ht="18">
      <c r="A49" s="467">
        <f t="shared" si="2"/>
        <v>46213</v>
      </c>
      <c r="B49" s="468"/>
      <c r="C49" s="469"/>
      <c r="D49" s="470" t="e">
        <f t="shared" si="0"/>
        <v>#DIV/0!</v>
      </c>
      <c r="E49" s="469"/>
      <c r="F49" s="471" t="e">
        <f t="shared" si="1"/>
        <v>#DIV/0!</v>
      </c>
      <c r="G49" s="927"/>
      <c r="H49" s="927"/>
      <c r="I49" s="927"/>
    </row>
    <row r="50" spans="1:9" ht="18">
      <c r="A50" s="467">
        <f t="shared" si="2"/>
        <v>46214</v>
      </c>
      <c r="B50" s="468"/>
      <c r="C50" s="469"/>
      <c r="D50" s="470" t="e">
        <f t="shared" si="0"/>
        <v>#DIV/0!</v>
      </c>
      <c r="E50" s="469"/>
      <c r="F50" s="471" t="e">
        <f t="shared" si="1"/>
        <v>#DIV/0!</v>
      </c>
      <c r="G50" s="927"/>
      <c r="H50" s="927"/>
      <c r="I50" s="927"/>
    </row>
    <row r="51" spans="1:9" ht="18">
      <c r="A51" s="467">
        <f t="shared" si="2"/>
        <v>46215</v>
      </c>
      <c r="B51" s="468"/>
      <c r="C51" s="469"/>
      <c r="D51" s="470" t="e">
        <f t="shared" si="0"/>
        <v>#DIV/0!</v>
      </c>
      <c r="E51" s="469"/>
      <c r="F51" s="471" t="e">
        <f t="shared" si="1"/>
        <v>#DIV/0!</v>
      </c>
      <c r="G51" s="927"/>
      <c r="H51" s="927"/>
      <c r="I51" s="927"/>
    </row>
    <row r="52" spans="1:9" ht="18">
      <c r="A52" s="467">
        <f t="shared" si="2"/>
        <v>46216</v>
      </c>
      <c r="B52" s="468"/>
      <c r="C52" s="469"/>
      <c r="D52" s="470" t="e">
        <f t="shared" si="0"/>
        <v>#DIV/0!</v>
      </c>
      <c r="E52" s="469"/>
      <c r="F52" s="471" t="e">
        <f t="shared" si="1"/>
        <v>#DIV/0!</v>
      </c>
      <c r="G52" s="927"/>
      <c r="H52" s="927"/>
      <c r="I52" s="927"/>
    </row>
    <row r="53" spans="1:9" ht="18">
      <c r="A53" s="473"/>
      <c r="B53" s="473"/>
      <c r="C53" s="473"/>
      <c r="D53" s="473"/>
      <c r="E53" s="473"/>
      <c r="F53" s="473"/>
      <c r="G53" s="473"/>
      <c r="H53" s="473"/>
      <c r="I53" s="473"/>
    </row>
    <row r="54" spans="1:9" ht="18.75">
      <c r="A54" s="474" t="s">
        <v>696</v>
      </c>
      <c r="B54" s="468">
        <f>SUM(B7:B37)</f>
        <v>169593650</v>
      </c>
      <c r="C54" s="473"/>
      <c r="D54" s="473"/>
      <c r="E54" s="473"/>
      <c r="F54" s="473"/>
      <c r="G54" s="473"/>
      <c r="H54" s="473"/>
      <c r="I54" s="473"/>
    </row>
    <row r="55" spans="1:9" ht="18">
      <c r="A55" s="473"/>
      <c r="B55" s="473"/>
      <c r="C55" s="473"/>
      <c r="D55" s="473"/>
      <c r="E55" s="473"/>
      <c r="F55" s="473"/>
      <c r="G55" s="473"/>
      <c r="H55" s="473"/>
      <c r="I55" s="473"/>
    </row>
  </sheetData>
  <mergeCells count="23">
    <mergeCell ref="G2:H2"/>
    <mergeCell ref="A1:I1"/>
    <mergeCell ref="G4:G10"/>
    <mergeCell ref="H4:H10"/>
    <mergeCell ref="I4:I10"/>
    <mergeCell ref="G11:G17"/>
    <mergeCell ref="H11:H17"/>
    <mergeCell ref="I11:I17"/>
    <mergeCell ref="G18:G24"/>
    <mergeCell ref="H18:H24"/>
    <mergeCell ref="I18:I24"/>
    <mergeCell ref="G25:G31"/>
    <mergeCell ref="H25:H31"/>
    <mergeCell ref="I25:I31"/>
    <mergeCell ref="G46:G52"/>
    <mergeCell ref="H46:H52"/>
    <mergeCell ref="I46:I52"/>
    <mergeCell ref="G32:G38"/>
    <mergeCell ref="H32:H38"/>
    <mergeCell ref="I32:I38"/>
    <mergeCell ref="G39:G45"/>
    <mergeCell ref="H39:H45"/>
    <mergeCell ref="I39:I45"/>
  </mergeCells>
  <phoneticPr fontId="12" type="noConversion"/>
  <conditionalFormatting sqref="A4:A52">
    <cfRule type="timePeriod" dxfId="2" priority="6" timePeriod="yesterday">
      <formula>FLOOR(A4,1)=TODAY()-1</formula>
    </cfRule>
  </conditionalFormatting>
  <conditionalFormatting sqref="D4:D52">
    <cfRule type="cellIs" dxfId="1" priority="1" operator="greaterThan">
      <formula>0.0025</formula>
    </cfRule>
  </conditionalFormatting>
  <conditionalFormatting sqref="D54">
    <cfRule type="cellIs" dxfId="0" priority="8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32" t="s">
        <v>234</v>
      </c>
      <c r="C2" s="932"/>
      <c r="D2" s="932"/>
      <c r="E2" s="932"/>
      <c r="F2" s="932"/>
    </row>
    <row r="3" spans="2:7" ht="15">
      <c r="B3" s="209" t="s">
        <v>235</v>
      </c>
      <c r="C3" s="209" t="s">
        <v>236</v>
      </c>
      <c r="D3" s="210"/>
      <c r="E3" s="209" t="s">
        <v>237</v>
      </c>
      <c r="F3" s="209" t="s">
        <v>238</v>
      </c>
      <c r="G3" s="210"/>
    </row>
    <row r="4" spans="2:7" ht="15">
      <c r="B4" s="211" t="s">
        <v>239</v>
      </c>
      <c r="C4" s="211" t="s">
        <v>240</v>
      </c>
      <c r="D4" s="210"/>
      <c r="E4" s="211" t="s">
        <v>241</v>
      </c>
      <c r="F4" s="211" t="s">
        <v>242</v>
      </c>
      <c r="G4" s="210"/>
    </row>
    <row r="5" spans="2:7" ht="15">
      <c r="B5" s="211" t="s">
        <v>243</v>
      </c>
      <c r="C5" s="211" t="s">
        <v>244</v>
      </c>
      <c r="D5" s="210"/>
      <c r="E5" s="211" t="s">
        <v>245</v>
      </c>
      <c r="F5" s="211" t="s">
        <v>246</v>
      </c>
      <c r="G5" s="210"/>
    </row>
    <row r="6" spans="2:7" ht="15">
      <c r="B6" s="211" t="s">
        <v>247</v>
      </c>
      <c r="C6" s="211" t="s">
        <v>248</v>
      </c>
      <c r="D6" s="210"/>
      <c r="E6" s="212" t="s">
        <v>249</v>
      </c>
      <c r="F6" s="212" t="s">
        <v>136</v>
      </c>
      <c r="G6" s="210"/>
    </row>
    <row r="7" spans="2:7" ht="15">
      <c r="B7" s="212" t="s">
        <v>250</v>
      </c>
      <c r="C7" s="212" t="s">
        <v>251</v>
      </c>
      <c r="D7" s="210"/>
      <c r="E7" s="211" t="s">
        <v>252</v>
      </c>
      <c r="F7" s="211" t="s">
        <v>253</v>
      </c>
      <c r="G7" s="210"/>
    </row>
    <row r="8" spans="2:7" ht="15">
      <c r="B8" s="211" t="s">
        <v>254</v>
      </c>
      <c r="C8" s="211" t="s">
        <v>255</v>
      </c>
      <c r="D8" s="210"/>
      <c r="E8" s="211" t="s">
        <v>256</v>
      </c>
      <c r="F8" s="211" t="s">
        <v>257</v>
      </c>
      <c r="G8" s="210"/>
    </row>
    <row r="9" spans="2:7" ht="15">
      <c r="B9" s="211" t="s">
        <v>258</v>
      </c>
      <c r="C9" s="211" t="s">
        <v>259</v>
      </c>
      <c r="D9" s="210"/>
      <c r="E9" s="212" t="s">
        <v>260</v>
      </c>
      <c r="F9" s="212" t="s">
        <v>135</v>
      </c>
      <c r="G9" s="210"/>
    </row>
    <row r="10" spans="2:7" ht="15">
      <c r="B10" s="211" t="s">
        <v>261</v>
      </c>
      <c r="C10" s="211" t="s">
        <v>262</v>
      </c>
      <c r="D10" s="210"/>
      <c r="E10" s="211" t="s">
        <v>263</v>
      </c>
      <c r="F10" s="211" t="s">
        <v>264</v>
      </c>
      <c r="G10" s="210"/>
    </row>
    <row r="11" spans="2:7" ht="15">
      <c r="B11" s="211" t="s">
        <v>265</v>
      </c>
      <c r="C11" s="211" t="s">
        <v>266</v>
      </c>
      <c r="D11" s="210"/>
      <c r="E11" s="211" t="s">
        <v>267</v>
      </c>
      <c r="F11" s="211" t="s">
        <v>257</v>
      </c>
      <c r="G11" s="210"/>
    </row>
    <row r="12" spans="2:7" ht="15">
      <c r="B12" s="211" t="s">
        <v>268</v>
      </c>
      <c r="C12" s="211" t="s">
        <v>269</v>
      </c>
      <c r="D12" s="210"/>
      <c r="E12" s="211" t="s">
        <v>270</v>
      </c>
      <c r="F12" s="211" t="s">
        <v>271</v>
      </c>
      <c r="G12" s="210"/>
    </row>
    <row r="13" spans="2:7" ht="15">
      <c r="B13" s="212" t="s">
        <v>272</v>
      </c>
      <c r="C13" s="212" t="s">
        <v>131</v>
      </c>
      <c r="D13" s="210"/>
      <c r="E13" s="211" t="s">
        <v>273</v>
      </c>
      <c r="F13" s="211" t="s">
        <v>274</v>
      </c>
      <c r="G13" s="210"/>
    </row>
    <row r="14" spans="2:7" ht="15">
      <c r="B14" s="211" t="s">
        <v>275</v>
      </c>
      <c r="C14" s="211" t="s">
        <v>276</v>
      </c>
      <c r="D14" s="210"/>
      <c r="E14" s="212" t="s">
        <v>277</v>
      </c>
      <c r="F14" s="212" t="s">
        <v>278</v>
      </c>
      <c r="G14" s="210"/>
    </row>
    <row r="15" spans="2:7" ht="15">
      <c r="B15" s="212" t="s">
        <v>279</v>
      </c>
      <c r="C15" s="212" t="s">
        <v>280</v>
      </c>
      <c r="D15" s="210"/>
      <c r="E15" s="211" t="s">
        <v>281</v>
      </c>
      <c r="F15" s="211" t="s">
        <v>278</v>
      </c>
      <c r="G15" s="210"/>
    </row>
    <row r="16" spans="2:7" ht="15">
      <c r="B16" s="211" t="s">
        <v>282</v>
      </c>
      <c r="C16" s="211" t="s">
        <v>283</v>
      </c>
      <c r="D16" s="210"/>
      <c r="E16" s="212" t="s">
        <v>284</v>
      </c>
      <c r="F16" s="212" t="s">
        <v>285</v>
      </c>
      <c r="G16" s="210"/>
    </row>
    <row r="17" spans="2:7" ht="15">
      <c r="B17" s="211" t="s">
        <v>286</v>
      </c>
      <c r="C17" s="211" t="s">
        <v>287</v>
      </c>
      <c r="D17" s="210"/>
      <c r="E17" s="211" t="s">
        <v>288</v>
      </c>
      <c r="F17" s="211" t="s">
        <v>289</v>
      </c>
      <c r="G17" s="210"/>
    </row>
    <row r="18" spans="2:7" ht="15">
      <c r="B18" s="211" t="s">
        <v>290</v>
      </c>
      <c r="C18" s="211" t="s">
        <v>291</v>
      </c>
      <c r="D18" s="210"/>
      <c r="E18" s="211" t="s">
        <v>292</v>
      </c>
      <c r="F18" s="211" t="s">
        <v>293</v>
      </c>
      <c r="G18" s="210"/>
    </row>
    <row r="19" spans="2:7" ht="15">
      <c r="B19" s="211" t="s">
        <v>294</v>
      </c>
      <c r="C19" s="211" t="s">
        <v>295</v>
      </c>
      <c r="D19" s="210"/>
      <c r="E19" s="211" t="s">
        <v>296</v>
      </c>
      <c r="F19" s="211" t="s">
        <v>297</v>
      </c>
      <c r="G19" s="210"/>
    </row>
    <row r="20" spans="2:7" ht="15">
      <c r="B20" s="211" t="s">
        <v>298</v>
      </c>
      <c r="C20" s="211" t="s">
        <v>299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D948E8-7028-40BD-A0A4-982980F9EDC7}"/>
</file>

<file path=customXml/itemProps2.xml><?xml version="1.0" encoding="utf-8"?>
<ds:datastoreItem xmlns:ds="http://schemas.openxmlformats.org/officeDocument/2006/customXml" ds:itemID="{A14ECD90-1D7D-4AD7-A2D4-6DC660235519}"/>
</file>

<file path=customXml/itemProps3.xml><?xml version="1.0" encoding="utf-8"?>
<ds:datastoreItem xmlns:ds="http://schemas.openxmlformats.org/officeDocument/2006/customXml" ds:itemID="{ED6F2E95-AF8A-44BD-B656-FC0DFFA0EA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2026-06-17T09:11:16Z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